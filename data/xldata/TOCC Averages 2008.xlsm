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/>
  <bookViews>
    <workbookView xWindow="0" yWindow="-15" windowWidth="19005" windowHeight="12645" tabRatio="648" firstSheet="1" activeTab="1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Sheet3" sheetId="15" r:id="rId10"/>
    <sheet name="Sheet2" sheetId="14" r:id="rId11"/>
    <sheet name="Sheet1" sheetId="13" r:id="rId12"/>
  </sheets>
  <functionGroups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Batting!$D$61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Bowling!$A$1:$AR$32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25725"/>
  <pivotCaches>
    <pivotCache cacheId="3" r:id="rId13"/>
  </pivotCaches>
</workbook>
</file>

<file path=xl/calcChain.xml><?xml version="1.0" encoding="utf-8"?>
<calcChain xmlns="http://schemas.openxmlformats.org/spreadsheetml/2006/main">
  <c r="J35" i="13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CP32" i="3"/>
  <c r="CN32"/>
  <c r="CI32"/>
  <c r="CG32"/>
  <c r="CE32"/>
  <c r="CQ32"/>
  <c r="CO32"/>
  <c r="CJ32"/>
  <c r="CH32"/>
  <c r="CF32"/>
  <c r="CK32" l="1"/>
  <c r="CR32" s="1"/>
  <c r="CT32"/>
  <c r="CM32"/>
  <c r="CL32"/>
  <c r="CQ31"/>
  <c r="CO31"/>
  <c r="CJ31"/>
  <c r="CH31"/>
  <c r="CF31"/>
  <c r="CP31"/>
  <c r="CN31"/>
  <c r="CI31"/>
  <c r="CG31"/>
  <c r="CE31"/>
  <c r="CK31" l="1"/>
  <c r="CT31"/>
  <c r="CM31"/>
  <c r="CR31"/>
  <c r="CL31"/>
  <c r="CQ30"/>
  <c r="CO30"/>
  <c r="CJ30"/>
  <c r="CH30"/>
  <c r="CF30"/>
  <c r="CP30"/>
  <c r="CN30"/>
  <c r="CI30"/>
  <c r="CG30"/>
  <c r="CE30"/>
  <c r="CK30" l="1"/>
  <c r="CT30"/>
  <c r="CM30"/>
  <c r="CR30"/>
  <c r="CL30"/>
  <c r="CP29"/>
  <c r="CN29"/>
  <c r="CI29"/>
  <c r="CG29"/>
  <c r="CE29"/>
  <c r="CQ29"/>
  <c r="CO29"/>
  <c r="CJ29"/>
  <c r="CH29"/>
  <c r="CF29"/>
  <c r="CK29" l="1"/>
  <c r="CT29"/>
  <c r="CM29"/>
  <c r="CR29"/>
  <c r="CL29"/>
  <c r="CP28"/>
  <c r="CN28"/>
  <c r="CI28"/>
  <c r="CG28"/>
  <c r="CE28"/>
  <c r="CQ28"/>
  <c r="CO28"/>
  <c r="CJ28"/>
  <c r="CH28"/>
  <c r="CF28"/>
  <c r="CK28" l="1"/>
  <c r="CT28"/>
  <c r="CM28"/>
  <c r="CR28"/>
  <c r="CL28"/>
  <c r="CP27"/>
  <c r="CN27"/>
  <c r="CI27"/>
  <c r="CG27"/>
  <c r="CE27"/>
  <c r="CQ27"/>
  <c r="CO27"/>
  <c r="CJ27"/>
  <c r="CH27"/>
  <c r="CF27"/>
  <c r="CK27" l="1"/>
  <c r="CR27" s="1"/>
  <c r="CT27"/>
  <c r="CM27"/>
  <c r="CL27"/>
  <c r="CP26"/>
  <c r="CN26"/>
  <c r="CI26"/>
  <c r="CG26"/>
  <c r="CE26"/>
  <c r="CQ26"/>
  <c r="CO26"/>
  <c r="CJ26"/>
  <c r="CH26"/>
  <c r="CF26"/>
  <c r="CK26" l="1"/>
  <c r="CT26"/>
  <c r="CM26"/>
  <c r="CL26"/>
  <c r="CR26"/>
  <c r="CP25"/>
  <c r="CN25"/>
  <c r="CI25"/>
  <c r="CG25"/>
  <c r="CE25"/>
  <c r="CQ25"/>
  <c r="CO25"/>
  <c r="CJ25"/>
  <c r="CH25"/>
  <c r="CF25"/>
  <c r="CK25" l="1"/>
  <c r="CT25"/>
  <c r="CM25"/>
  <c r="CL25"/>
  <c r="CR25"/>
  <c r="CP24"/>
  <c r="CN24"/>
  <c r="CI24"/>
  <c r="CG24"/>
  <c r="CE24"/>
  <c r="CQ24"/>
  <c r="CO24"/>
  <c r="CJ24"/>
  <c r="CH24"/>
  <c r="CF24"/>
  <c r="CK24" l="1"/>
  <c r="CR24" s="1"/>
  <c r="CT24"/>
  <c r="CM24"/>
  <c r="CL24"/>
  <c r="CP23"/>
  <c r="CN23"/>
  <c r="CI23"/>
  <c r="CG23"/>
  <c r="CE23"/>
  <c r="CQ23"/>
  <c r="CO23"/>
  <c r="CJ23"/>
  <c r="CH23"/>
  <c r="CF23"/>
  <c r="CK23" l="1"/>
  <c r="CR23" s="1"/>
  <c r="CT23"/>
  <c r="CM23"/>
  <c r="CL23"/>
  <c r="CP22"/>
  <c r="CN22"/>
  <c r="CI22"/>
  <c r="CG22"/>
  <c r="CE22"/>
  <c r="CQ22"/>
  <c r="CO22"/>
  <c r="CJ22"/>
  <c r="CH22"/>
  <c r="CF22"/>
  <c r="CK22" l="1"/>
  <c r="CT22"/>
  <c r="CM22"/>
  <c r="CL22"/>
  <c r="CR22"/>
  <c r="CP21"/>
  <c r="CN21"/>
  <c r="CI21"/>
  <c r="CG21"/>
  <c r="CE21"/>
  <c r="CQ21"/>
  <c r="CO21"/>
  <c r="CJ21"/>
  <c r="CH21"/>
  <c r="CF21"/>
  <c r="CK21" l="1"/>
  <c r="CT21"/>
  <c r="CM21"/>
  <c r="CR21"/>
  <c r="CL21"/>
  <c r="CP20"/>
  <c r="CN20"/>
  <c r="CI20"/>
  <c r="CG20"/>
  <c r="CE20"/>
  <c r="CQ20"/>
  <c r="CO20"/>
  <c r="CJ20"/>
  <c r="CH20"/>
  <c r="CF20"/>
  <c r="CK20" l="1"/>
  <c r="CT20"/>
  <c r="CM20"/>
  <c r="CL20"/>
  <c r="CR20"/>
  <c r="CP19"/>
  <c r="CN19"/>
  <c r="CI19"/>
  <c r="CG19"/>
  <c r="CE19"/>
  <c r="CQ19"/>
  <c r="CO19"/>
  <c r="CJ19"/>
  <c r="CH19"/>
  <c r="CF19"/>
  <c r="CK19" l="1"/>
  <c r="CT19"/>
  <c r="CM19"/>
  <c r="CR19"/>
  <c r="CL19"/>
  <c r="CP18"/>
  <c r="CN18"/>
  <c r="CI18"/>
  <c r="CG18"/>
  <c r="CE18"/>
  <c r="CQ18"/>
  <c r="CO18"/>
  <c r="CJ18"/>
  <c r="CH18"/>
  <c r="CF18"/>
  <c r="CK18" l="1"/>
  <c r="CT18"/>
  <c r="CM18"/>
  <c r="CL18"/>
  <c r="CR18"/>
  <c r="CP17"/>
  <c r="CN17"/>
  <c r="CI17"/>
  <c r="CG17"/>
  <c r="CE17"/>
  <c r="CQ17"/>
  <c r="CO17"/>
  <c r="CJ17"/>
  <c r="CH17"/>
  <c r="CF17"/>
  <c r="CK17" l="1"/>
  <c r="CT17"/>
  <c r="CM17"/>
  <c r="CL17"/>
  <c r="CR17"/>
  <c r="CP16"/>
  <c r="CN16"/>
  <c r="CI16"/>
  <c r="CG16"/>
  <c r="CE16"/>
  <c r="CQ16"/>
  <c r="CO16"/>
  <c r="CJ16"/>
  <c r="CH16"/>
  <c r="CF16"/>
  <c r="CK16" l="1"/>
  <c r="CT16"/>
  <c r="CM16"/>
  <c r="CL16"/>
  <c r="CR16"/>
  <c r="CP15"/>
  <c r="CN15"/>
  <c r="CI15"/>
  <c r="CG15"/>
  <c r="CE15"/>
  <c r="CQ15"/>
  <c r="CO15"/>
  <c r="CJ15"/>
  <c r="CH15"/>
  <c r="CF15"/>
  <c r="CK15" l="1"/>
  <c r="CT15"/>
  <c r="CM15"/>
  <c r="CL15"/>
  <c r="CR15"/>
  <c r="B41"/>
  <c r="CW37" i="2" l="1" a="1"/>
  <c r="CW37" s="1"/>
  <c r="CV37" a="1"/>
  <c r="CV37" s="1"/>
  <c r="CU37" a="1"/>
  <c r="CU37" s="1"/>
  <c r="CT37" a="1"/>
  <c r="CT37" s="1"/>
  <c r="CS37" a="1"/>
  <c r="CS37" s="1"/>
  <c r="CR37" a="1"/>
  <c r="CR37" s="1"/>
  <c r="AR78" i="3"/>
  <c r="AP78"/>
  <c r="AN78"/>
  <c r="AL78"/>
  <c r="AJ78"/>
  <c r="AH78"/>
  <c r="AF78"/>
  <c r="AD78"/>
  <c r="AB78"/>
  <c r="Z78"/>
  <c r="X78"/>
  <c r="V78"/>
  <c r="T78"/>
  <c r="R78"/>
  <c r="P78"/>
  <c r="N78"/>
  <c r="L78"/>
  <c r="J78"/>
  <c r="H78"/>
  <c r="F78"/>
  <c r="D78"/>
  <c r="AR77"/>
  <c r="AP77"/>
  <c r="AN77"/>
  <c r="AL77"/>
  <c r="AJ77"/>
  <c r="AH77"/>
  <c r="AF77"/>
  <c r="AD77"/>
  <c r="AB77"/>
  <c r="Z77"/>
  <c r="X77"/>
  <c r="V77"/>
  <c r="T77"/>
  <c r="R77"/>
  <c r="P77"/>
  <c r="N77"/>
  <c r="L77"/>
  <c r="J77"/>
  <c r="H77"/>
  <c r="F77"/>
  <c r="D77"/>
  <c r="AR73"/>
  <c r="AP73"/>
  <c r="AN73"/>
  <c r="AL73"/>
  <c r="AJ73"/>
  <c r="AH73"/>
  <c r="AF73"/>
  <c r="AD73"/>
  <c r="AB73"/>
  <c r="Z73"/>
  <c r="X73"/>
  <c r="V73"/>
  <c r="T73"/>
  <c r="R73"/>
  <c r="P73"/>
  <c r="N73"/>
  <c r="L73"/>
  <c r="J73"/>
  <c r="H73"/>
  <c r="F73"/>
  <c r="D73"/>
  <c r="AR72"/>
  <c r="AP72"/>
  <c r="AN72"/>
  <c r="AL72"/>
  <c r="AJ72"/>
  <c r="AH72"/>
  <c r="AF72"/>
  <c r="AD72"/>
  <c r="AB72"/>
  <c r="Z72"/>
  <c r="X72"/>
  <c r="V72"/>
  <c r="T72"/>
  <c r="R72"/>
  <c r="P72"/>
  <c r="N72"/>
  <c r="L72"/>
  <c r="J72"/>
  <c r="H72"/>
  <c r="F72"/>
  <c r="D72"/>
  <c r="AR70"/>
  <c r="AP70"/>
  <c r="AN70"/>
  <c r="AL70"/>
  <c r="AJ70"/>
  <c r="AH70"/>
  <c r="AF70"/>
  <c r="AD70"/>
  <c r="AB70"/>
  <c r="Z70"/>
  <c r="X70"/>
  <c r="V70"/>
  <c r="T70"/>
  <c r="R70"/>
  <c r="P70"/>
  <c r="N70"/>
  <c r="L70"/>
  <c r="J70"/>
  <c r="H70"/>
  <c r="F70"/>
  <c r="D70"/>
  <c r="AR69"/>
  <c r="AP69"/>
  <c r="AN69"/>
  <c r="AL69"/>
  <c r="AJ69"/>
  <c r="AH69"/>
  <c r="AF69"/>
  <c r="AD69"/>
  <c r="AB69"/>
  <c r="Z69"/>
  <c r="X69"/>
  <c r="V69"/>
  <c r="T69"/>
  <c r="R69"/>
  <c r="P69"/>
  <c r="AQ78"/>
  <c r="AO78"/>
  <c r="AM78"/>
  <c r="AK78"/>
  <c r="AI78"/>
  <c r="AG78"/>
  <c r="AE78"/>
  <c r="AC78"/>
  <c r="AA78"/>
  <c r="Y78"/>
  <c r="W78"/>
  <c r="U78"/>
  <c r="S78"/>
  <c r="Q78"/>
  <c r="O78"/>
  <c r="M78"/>
  <c r="K78"/>
  <c r="I78"/>
  <c r="G78"/>
  <c r="E78"/>
  <c r="C78"/>
  <c r="AQ77"/>
  <c r="AO77"/>
  <c r="AM77"/>
  <c r="AK77"/>
  <c r="AI77"/>
  <c r="AG77"/>
  <c r="AE77"/>
  <c r="AC77"/>
  <c r="AA77"/>
  <c r="Y77"/>
  <c r="W77"/>
  <c r="U77"/>
  <c r="S77"/>
  <c r="Q77"/>
  <c r="O77"/>
  <c r="M77"/>
  <c r="K77"/>
  <c r="I77"/>
  <c r="G77"/>
  <c r="E77"/>
  <c r="C77"/>
  <c r="AQ73"/>
  <c r="AO73"/>
  <c r="AM73"/>
  <c r="AK73"/>
  <c r="AI73"/>
  <c r="AG73"/>
  <c r="AE73"/>
  <c r="AC73"/>
  <c r="AA73"/>
  <c r="Y73"/>
  <c r="W73"/>
  <c r="U73"/>
  <c r="S73"/>
  <c r="Q73"/>
  <c r="O73"/>
  <c r="M73"/>
  <c r="K73"/>
  <c r="I73"/>
  <c r="G73"/>
  <c r="E73"/>
  <c r="C73"/>
  <c r="AQ72"/>
  <c r="AO72"/>
  <c r="AM72"/>
  <c r="AK72"/>
  <c r="AI72"/>
  <c r="AG72"/>
  <c r="AE72"/>
  <c r="AC72"/>
  <c r="AA72"/>
  <c r="Y72"/>
  <c r="W72"/>
  <c r="U72"/>
  <c r="S72"/>
  <c r="Q72"/>
  <c r="O72"/>
  <c r="M72"/>
  <c r="K72"/>
  <c r="I72"/>
  <c r="G72"/>
  <c r="E72"/>
  <c r="C72"/>
  <c r="AQ70"/>
  <c r="AO70"/>
  <c r="AM70"/>
  <c r="AK70"/>
  <c r="AI70"/>
  <c r="AG70"/>
  <c r="AE70"/>
  <c r="AC70"/>
  <c r="AA70"/>
  <c r="Y70"/>
  <c r="W70"/>
  <c r="U70"/>
  <c r="S70"/>
  <c r="Q70"/>
  <c r="O70"/>
  <c r="M70"/>
  <c r="K70"/>
  <c r="I70"/>
  <c r="G70"/>
  <c r="E70"/>
  <c r="C70"/>
  <c r="AQ69"/>
  <c r="AO69"/>
  <c r="AM69"/>
  <c r="AK69"/>
  <c r="AI69"/>
  <c r="AG69"/>
  <c r="AE69"/>
  <c r="AC69"/>
  <c r="AA69"/>
  <c r="Y69"/>
  <c r="W69"/>
  <c r="U69"/>
  <c r="S69"/>
  <c r="Q69"/>
  <c r="O69"/>
  <c r="M69"/>
  <c r="K69"/>
  <c r="I69"/>
  <c r="G69"/>
  <c r="E69"/>
  <c r="C69"/>
  <c r="AQ68"/>
  <c r="AO68"/>
  <c r="AM68"/>
  <c r="AK68"/>
  <c r="AI68"/>
  <c r="AG68"/>
  <c r="AE68"/>
  <c r="AC68"/>
  <c r="AA68"/>
  <c r="Y68"/>
  <c r="W68"/>
  <c r="U68"/>
  <c r="S68"/>
  <c r="Q68"/>
  <c r="O68"/>
  <c r="M68"/>
  <c r="K68"/>
  <c r="I68"/>
  <c r="G68"/>
  <c r="E68"/>
  <c r="C68"/>
  <c r="AQ67"/>
  <c r="AO67"/>
  <c r="AM67"/>
  <c r="AK67"/>
  <c r="AI67"/>
  <c r="AG67"/>
  <c r="AE67"/>
  <c r="AC67"/>
  <c r="AA67"/>
  <c r="Y67"/>
  <c r="W67"/>
  <c r="U67"/>
  <c r="S67"/>
  <c r="Q67"/>
  <c r="O67"/>
  <c r="M67"/>
  <c r="K67"/>
  <c r="I67"/>
  <c r="G67"/>
  <c r="E67"/>
  <c r="C67"/>
  <c r="AQ66"/>
  <c r="AO66"/>
  <c r="AM66"/>
  <c r="L69"/>
  <c r="H69"/>
  <c r="D69"/>
  <c r="AP68"/>
  <c r="AL68"/>
  <c r="AH68"/>
  <c r="AD68"/>
  <c r="Z68"/>
  <c r="V68"/>
  <c r="R68"/>
  <c r="N68"/>
  <c r="J68"/>
  <c r="F68"/>
  <c r="AR67"/>
  <c r="AN67"/>
  <c r="AJ67"/>
  <c r="AF67"/>
  <c r="AB67"/>
  <c r="X67"/>
  <c r="T67"/>
  <c r="P67"/>
  <c r="L67"/>
  <c r="H67"/>
  <c r="D67"/>
  <c r="AP66"/>
  <c r="AL66"/>
  <c r="AJ66"/>
  <c r="AH66"/>
  <c r="AF66"/>
  <c r="AD66"/>
  <c r="AB66"/>
  <c r="Z66"/>
  <c r="X66"/>
  <c r="V66"/>
  <c r="T66"/>
  <c r="R66"/>
  <c r="P66"/>
  <c r="N66"/>
  <c r="L66"/>
  <c r="J66"/>
  <c r="H66"/>
  <c r="F66"/>
  <c r="D66"/>
  <c r="AR65"/>
  <c r="AP65"/>
  <c r="AN65"/>
  <c r="AL65"/>
  <c r="AJ65"/>
  <c r="AH65"/>
  <c r="AF65"/>
  <c r="AD65"/>
  <c r="AB65"/>
  <c r="Z65"/>
  <c r="X65"/>
  <c r="V65"/>
  <c r="T65"/>
  <c r="R65"/>
  <c r="P65"/>
  <c r="N65"/>
  <c r="L65"/>
  <c r="J65"/>
  <c r="H65"/>
  <c r="F65"/>
  <c r="D65"/>
  <c r="AR64"/>
  <c r="AP64"/>
  <c r="AN64"/>
  <c r="AL64"/>
  <c r="AJ64"/>
  <c r="AH64"/>
  <c r="AF64"/>
  <c r="AD64"/>
  <c r="AB64"/>
  <c r="Z64"/>
  <c r="X64"/>
  <c r="V64"/>
  <c r="T64"/>
  <c r="R64"/>
  <c r="P64"/>
  <c r="N64"/>
  <c r="L64"/>
  <c r="J64"/>
  <c r="H64"/>
  <c r="F64"/>
  <c r="D64"/>
  <c r="AR63"/>
  <c r="AP63"/>
  <c r="AN63"/>
  <c r="AL63"/>
  <c r="AJ63"/>
  <c r="AH63"/>
  <c r="AF63"/>
  <c r="AD63"/>
  <c r="AB63"/>
  <c r="Z63"/>
  <c r="X63"/>
  <c r="V63"/>
  <c r="T63"/>
  <c r="R63"/>
  <c r="P63"/>
  <c r="N63"/>
  <c r="L63"/>
  <c r="J63"/>
  <c r="H63"/>
  <c r="F63"/>
  <c r="D63"/>
  <c r="AR62"/>
  <c r="AP62"/>
  <c r="AN62"/>
  <c r="AL62"/>
  <c r="AJ62"/>
  <c r="AH62"/>
  <c r="AF62"/>
  <c r="AD62"/>
  <c r="AB62"/>
  <c r="Z62"/>
  <c r="X62"/>
  <c r="V62"/>
  <c r="T62"/>
  <c r="R62"/>
  <c r="P62"/>
  <c r="N62"/>
  <c r="L62"/>
  <c r="J62"/>
  <c r="H62"/>
  <c r="F62"/>
  <c r="D62"/>
  <c r="AR61"/>
  <c r="AP61"/>
  <c r="AN61"/>
  <c r="AL61"/>
  <c r="AJ61"/>
  <c r="AH61"/>
  <c r="AF61"/>
  <c r="AD61"/>
  <c r="AB61"/>
  <c r="Z61"/>
  <c r="X61"/>
  <c r="V61"/>
  <c r="T61"/>
  <c r="R61"/>
  <c r="P61"/>
  <c r="N61"/>
  <c r="L61"/>
  <c r="J61"/>
  <c r="H61"/>
  <c r="F61"/>
  <c r="D61"/>
  <c r="AR60"/>
  <c r="AP60"/>
  <c r="AN60"/>
  <c r="AL60"/>
  <c r="AJ60"/>
  <c r="AH60"/>
  <c r="AF60"/>
  <c r="AD60"/>
  <c r="AB60"/>
  <c r="Z60"/>
  <c r="X60"/>
  <c r="V60"/>
  <c r="T60"/>
  <c r="R60"/>
  <c r="P60"/>
  <c r="N60"/>
  <c r="L60"/>
  <c r="J60"/>
  <c r="H60"/>
  <c r="F60"/>
  <c r="D60"/>
  <c r="AR59"/>
  <c r="AP59"/>
  <c r="AN59"/>
  <c r="AL59"/>
  <c r="AJ59"/>
  <c r="AH59"/>
  <c r="AF59"/>
  <c r="AD59"/>
  <c r="AB59"/>
  <c r="Z59"/>
  <c r="X59"/>
  <c r="V59"/>
  <c r="T59"/>
  <c r="R59"/>
  <c r="P59"/>
  <c r="N59"/>
  <c r="L59"/>
  <c r="J59"/>
  <c r="H59"/>
  <c r="F59"/>
  <c r="D59"/>
  <c r="AR58"/>
  <c r="AP58"/>
  <c r="AN58"/>
  <c r="AL58"/>
  <c r="AJ58"/>
  <c r="AH58"/>
  <c r="AF58"/>
  <c r="AD58"/>
  <c r="AB58"/>
  <c r="Z58"/>
  <c r="X58"/>
  <c r="V58"/>
  <c r="T58"/>
  <c r="R58"/>
  <c r="P58"/>
  <c r="N58"/>
  <c r="L58"/>
  <c r="J58"/>
  <c r="H58"/>
  <c r="F58"/>
  <c r="D58"/>
  <c r="AR57"/>
  <c r="AP57"/>
  <c r="AN57"/>
  <c r="AL57"/>
  <c r="AJ57"/>
  <c r="AH57"/>
  <c r="AF57"/>
  <c r="AD57"/>
  <c r="AB57"/>
  <c r="Z57"/>
  <c r="X57"/>
  <c r="V57"/>
  <c r="T57"/>
  <c r="R57"/>
  <c r="P57"/>
  <c r="N57"/>
  <c r="L57"/>
  <c r="J57"/>
  <c r="H57"/>
  <c r="F57"/>
  <c r="D57"/>
  <c r="AR56"/>
  <c r="AP56"/>
  <c r="AN56"/>
  <c r="AL56"/>
  <c r="AJ56"/>
  <c r="AH56"/>
  <c r="AF56"/>
  <c r="AD56"/>
  <c r="AB56"/>
  <c r="Z56"/>
  <c r="X56"/>
  <c r="V56"/>
  <c r="T56"/>
  <c r="R56"/>
  <c r="P56"/>
  <c r="N56"/>
  <c r="L56"/>
  <c r="J56"/>
  <c r="H56"/>
  <c r="F56"/>
  <c r="D56"/>
  <c r="AR55"/>
  <c r="AP55"/>
  <c r="AN55"/>
  <c r="N69"/>
  <c r="J69"/>
  <c r="F69"/>
  <c r="AR68"/>
  <c r="AN68"/>
  <c r="AJ68"/>
  <c r="AF68"/>
  <c r="AB68"/>
  <c r="X68"/>
  <c r="T68"/>
  <c r="P68"/>
  <c r="L68"/>
  <c r="H68"/>
  <c r="D68"/>
  <c r="AP67"/>
  <c r="AL67"/>
  <c r="AH67"/>
  <c r="AD67"/>
  <c r="Z67"/>
  <c r="V67"/>
  <c r="R67"/>
  <c r="N67"/>
  <c r="J67"/>
  <c r="F67"/>
  <c r="AR66"/>
  <c r="AN66"/>
  <c r="AK66"/>
  <c r="AI66"/>
  <c r="AG66"/>
  <c r="AE66"/>
  <c r="AC66"/>
  <c r="AA66"/>
  <c r="Y66"/>
  <c r="W66"/>
  <c r="U66"/>
  <c r="S66"/>
  <c r="Q66"/>
  <c r="O66"/>
  <c r="M66"/>
  <c r="K66"/>
  <c r="I66"/>
  <c r="G66"/>
  <c r="E66"/>
  <c r="C66"/>
  <c r="AQ65"/>
  <c r="AO65"/>
  <c r="AM65"/>
  <c r="AK65"/>
  <c r="AI65"/>
  <c r="AG65"/>
  <c r="AE65"/>
  <c r="AC65"/>
  <c r="AA65"/>
  <c r="Y65"/>
  <c r="W65"/>
  <c r="U65"/>
  <c r="S65"/>
  <c r="Q65"/>
  <c r="O65"/>
  <c r="M65"/>
  <c r="K65"/>
  <c r="I65"/>
  <c r="G65"/>
  <c r="E65"/>
  <c r="C65"/>
  <c r="AQ64"/>
  <c r="AO64"/>
  <c r="AM64"/>
  <c r="AK64"/>
  <c r="AI64"/>
  <c r="AG64"/>
  <c r="AE64"/>
  <c r="AC64"/>
  <c r="AA64"/>
  <c r="Y64"/>
  <c r="W64"/>
  <c r="U64"/>
  <c r="S64"/>
  <c r="Q64"/>
  <c r="O64"/>
  <c r="M64"/>
  <c r="K64"/>
  <c r="I64"/>
  <c r="G64"/>
  <c r="E64"/>
  <c r="C64"/>
  <c r="AQ63"/>
  <c r="AO63"/>
  <c r="AM63"/>
  <c r="AK63"/>
  <c r="AI63"/>
  <c r="AG63"/>
  <c r="AE63"/>
  <c r="AC63"/>
  <c r="AA63"/>
  <c r="Y63"/>
  <c r="W63"/>
  <c r="U63"/>
  <c r="S63"/>
  <c r="Q63"/>
  <c r="O63"/>
  <c r="M63"/>
  <c r="K63"/>
  <c r="I63"/>
  <c r="G63"/>
  <c r="E63"/>
  <c r="C63"/>
  <c r="AQ62"/>
  <c r="AO62"/>
  <c r="AM62"/>
  <c r="AK62"/>
  <c r="AI62"/>
  <c r="AG62"/>
  <c r="AE62"/>
  <c r="AC62"/>
  <c r="AA62"/>
  <c r="Y62"/>
  <c r="W62"/>
  <c r="U62"/>
  <c r="S62"/>
  <c r="Q62"/>
  <c r="O62"/>
  <c r="M62"/>
  <c r="K62"/>
  <c r="I62"/>
  <c r="G62"/>
  <c r="E62"/>
  <c r="C62"/>
  <c r="AQ61"/>
  <c r="AO61"/>
  <c r="AM61"/>
  <c r="AK61"/>
  <c r="AI61"/>
  <c r="AG61"/>
  <c r="AE61"/>
  <c r="AC61"/>
  <c r="AA61"/>
  <c r="Y61"/>
  <c r="W61"/>
  <c r="U61"/>
  <c r="S61"/>
  <c r="Q61"/>
  <c r="O61"/>
  <c r="M61"/>
  <c r="K61"/>
  <c r="I61"/>
  <c r="G61"/>
  <c r="E61"/>
  <c r="C61"/>
  <c r="AQ60"/>
  <c r="AO60"/>
  <c r="AM60"/>
  <c r="AK60"/>
  <c r="AI60"/>
  <c r="AG60"/>
  <c r="AE60"/>
  <c r="AC60"/>
  <c r="AA60"/>
  <c r="Y60"/>
  <c r="W60"/>
  <c r="U60"/>
  <c r="S60"/>
  <c r="Q60"/>
  <c r="O60"/>
  <c r="M60"/>
  <c r="K60"/>
  <c r="I60"/>
  <c r="G60"/>
  <c r="E60"/>
  <c r="C60"/>
  <c r="AQ59"/>
  <c r="AO59"/>
  <c r="AM59"/>
  <c r="AK59"/>
  <c r="AI59"/>
  <c r="AG59"/>
  <c r="AE59"/>
  <c r="AC59"/>
  <c r="AA59"/>
  <c r="Y59"/>
  <c r="W59"/>
  <c r="U59"/>
  <c r="S59"/>
  <c r="Q59"/>
  <c r="O59"/>
  <c r="M59"/>
  <c r="K59"/>
  <c r="I59"/>
  <c r="G59"/>
  <c r="E59"/>
  <c r="C59"/>
  <c r="AQ58"/>
  <c r="AO58"/>
  <c r="AM58"/>
  <c r="AK58"/>
  <c r="AI58"/>
  <c r="AG58"/>
  <c r="AE58"/>
  <c r="AC58"/>
  <c r="AA58"/>
  <c r="Y58"/>
  <c r="W58"/>
  <c r="U58"/>
  <c r="S58"/>
  <c r="Q58"/>
  <c r="O58"/>
  <c r="M58"/>
  <c r="K58"/>
  <c r="I58"/>
  <c r="G58"/>
  <c r="E58"/>
  <c r="C58"/>
  <c r="AQ57"/>
  <c r="AO57"/>
  <c r="AM57"/>
  <c r="AK57"/>
  <c r="AI57"/>
  <c r="AG57"/>
  <c r="AE57"/>
  <c r="AC57"/>
  <c r="AA57"/>
  <c r="Y57"/>
  <c r="W57"/>
  <c r="U57"/>
  <c r="S57"/>
  <c r="Q57"/>
  <c r="O57"/>
  <c r="M57"/>
  <c r="K57"/>
  <c r="I57"/>
  <c r="G57"/>
  <c r="E57"/>
  <c r="C57"/>
  <c r="AQ56"/>
  <c r="AO56"/>
  <c r="AM56"/>
  <c r="AK56"/>
  <c r="AI56"/>
  <c r="AG56"/>
  <c r="AE56"/>
  <c r="AC56"/>
  <c r="AA56"/>
  <c r="Y56"/>
  <c r="W56"/>
  <c r="U56"/>
  <c r="S56"/>
  <c r="Q56"/>
  <c r="O56"/>
  <c r="M56"/>
  <c r="K56"/>
  <c r="I56"/>
  <c r="G56"/>
  <c r="E56"/>
  <c r="C56"/>
  <c r="AQ55"/>
  <c r="AO55"/>
  <c r="AM55"/>
  <c r="AK55"/>
  <c r="AI55"/>
  <c r="AG55"/>
  <c r="AE55"/>
  <c r="AC55"/>
  <c r="AA55"/>
  <c r="Y55"/>
  <c r="W55"/>
  <c r="U55"/>
  <c r="S55"/>
  <c r="Q55"/>
  <c r="O55"/>
  <c r="M55"/>
  <c r="K55"/>
  <c r="I55"/>
  <c r="G55"/>
  <c r="E55"/>
  <c r="C55"/>
  <c r="AQ54"/>
  <c r="AO54"/>
  <c r="AM54"/>
  <c r="AK54"/>
  <c r="AI54"/>
  <c r="AJ55"/>
  <c r="AF55"/>
  <c r="AB55"/>
  <c r="X55"/>
  <c r="T55"/>
  <c r="P55"/>
  <c r="L55"/>
  <c r="H55"/>
  <c r="D55"/>
  <c r="AP54"/>
  <c r="AL54"/>
  <c r="AH54"/>
  <c r="AF54"/>
  <c r="AD54"/>
  <c r="AB54"/>
  <c r="Z54"/>
  <c r="X54"/>
  <c r="V54"/>
  <c r="T54"/>
  <c r="R54"/>
  <c r="P54"/>
  <c r="N54"/>
  <c r="L54"/>
  <c r="J54"/>
  <c r="H54"/>
  <c r="F54"/>
  <c r="D54"/>
  <c r="AR53"/>
  <c r="AP53"/>
  <c r="AN53"/>
  <c r="AL53"/>
  <c r="AJ53"/>
  <c r="AH53"/>
  <c r="AF53"/>
  <c r="AD53"/>
  <c r="AB53"/>
  <c r="Z53"/>
  <c r="X53"/>
  <c r="V53"/>
  <c r="T53"/>
  <c r="R53"/>
  <c r="P53"/>
  <c r="N53"/>
  <c r="L53"/>
  <c r="J53"/>
  <c r="H53"/>
  <c r="F53"/>
  <c r="D53"/>
  <c r="AR52"/>
  <c r="AP52"/>
  <c r="AN52"/>
  <c r="AL52"/>
  <c r="AJ52"/>
  <c r="AH52"/>
  <c r="AF52"/>
  <c r="AD52"/>
  <c r="AB52"/>
  <c r="Z52"/>
  <c r="X52"/>
  <c r="V52"/>
  <c r="T52"/>
  <c r="R52"/>
  <c r="P52"/>
  <c r="N52"/>
  <c r="L52"/>
  <c r="J52"/>
  <c r="H52"/>
  <c r="F52"/>
  <c r="D52"/>
  <c r="AR51"/>
  <c r="AP51"/>
  <c r="AN51"/>
  <c r="AL51"/>
  <c r="AJ51"/>
  <c r="AH51"/>
  <c r="AF51"/>
  <c r="AD51"/>
  <c r="AB51"/>
  <c r="Z51"/>
  <c r="X51"/>
  <c r="V51"/>
  <c r="T51"/>
  <c r="R51"/>
  <c r="P51"/>
  <c r="N51"/>
  <c r="L51"/>
  <c r="J51"/>
  <c r="H51"/>
  <c r="F51"/>
  <c r="D51"/>
  <c r="AR50"/>
  <c r="AP50"/>
  <c r="AN50"/>
  <c r="AL50"/>
  <c r="AJ50"/>
  <c r="AH50"/>
  <c r="AF50"/>
  <c r="AD50"/>
  <c r="AB50"/>
  <c r="Z50"/>
  <c r="X50"/>
  <c r="V50"/>
  <c r="T50"/>
  <c r="R50"/>
  <c r="P50"/>
  <c r="N50"/>
  <c r="L50"/>
  <c r="J50"/>
  <c r="H50"/>
  <c r="F50"/>
  <c r="D50"/>
  <c r="AR49"/>
  <c r="AP49"/>
  <c r="AN49"/>
  <c r="AL49"/>
  <c r="AJ49"/>
  <c r="AH49"/>
  <c r="AF49"/>
  <c r="AD49"/>
  <c r="AB49"/>
  <c r="Z49"/>
  <c r="X49"/>
  <c r="V49"/>
  <c r="T49"/>
  <c r="R49"/>
  <c r="P49"/>
  <c r="N49"/>
  <c r="L49"/>
  <c r="J49"/>
  <c r="H49"/>
  <c r="F49"/>
  <c r="D49"/>
  <c r="AR48"/>
  <c r="AP48"/>
  <c r="AN48"/>
  <c r="AL48"/>
  <c r="AJ48"/>
  <c r="AH48"/>
  <c r="AF48"/>
  <c r="AD48"/>
  <c r="AB48"/>
  <c r="Z48"/>
  <c r="X48"/>
  <c r="V48"/>
  <c r="T48"/>
  <c r="R48"/>
  <c r="P48"/>
  <c r="N48"/>
  <c r="L48"/>
  <c r="J48"/>
  <c r="H48"/>
  <c r="F48"/>
  <c r="D48"/>
  <c r="AR47"/>
  <c r="AP47"/>
  <c r="AN47"/>
  <c r="AL47"/>
  <c r="AJ47"/>
  <c r="AH47"/>
  <c r="AF47"/>
  <c r="AD47"/>
  <c r="AB47"/>
  <c r="Z47"/>
  <c r="X47"/>
  <c r="V47"/>
  <c r="T47"/>
  <c r="R47"/>
  <c r="P47"/>
  <c r="N47"/>
  <c r="L47"/>
  <c r="J47"/>
  <c r="H47"/>
  <c r="F47"/>
  <c r="D47"/>
  <c r="AR46"/>
  <c r="AP46"/>
  <c r="AN46"/>
  <c r="AL46"/>
  <c r="AJ46"/>
  <c r="AH46"/>
  <c r="AF46"/>
  <c r="AD46"/>
  <c r="AB46"/>
  <c r="Z46"/>
  <c r="X46"/>
  <c r="V46"/>
  <c r="T46"/>
  <c r="R46"/>
  <c r="P46"/>
  <c r="N46"/>
  <c r="L46"/>
  <c r="J46"/>
  <c r="H46"/>
  <c r="F46"/>
  <c r="D46"/>
  <c r="AR45"/>
  <c r="AP45"/>
  <c r="AN45"/>
  <c r="AL45"/>
  <c r="AJ45"/>
  <c r="AH45"/>
  <c r="AF45"/>
  <c r="AD45"/>
  <c r="AB45"/>
  <c r="Z45"/>
  <c r="X45"/>
  <c r="V45"/>
  <c r="T45"/>
  <c r="R45"/>
  <c r="P45"/>
  <c r="N45"/>
  <c r="L45"/>
  <c r="J45"/>
  <c r="H45"/>
  <c r="F45"/>
  <c r="D45"/>
  <c r="AR44"/>
  <c r="AP44"/>
  <c r="AN44"/>
  <c r="AL44"/>
  <c r="AJ44"/>
  <c r="AH44"/>
  <c r="AF44"/>
  <c r="AD44"/>
  <c r="AB44"/>
  <c r="Z44"/>
  <c r="X44"/>
  <c r="V44"/>
  <c r="T44"/>
  <c r="R44"/>
  <c r="P44"/>
  <c r="N44"/>
  <c r="L44"/>
  <c r="J44"/>
  <c r="H44"/>
  <c r="F44"/>
  <c r="D44"/>
  <c r="AR43"/>
  <c r="AP43"/>
  <c r="AN43"/>
  <c r="AL43"/>
  <c r="AJ43"/>
  <c r="AH43"/>
  <c r="AF43"/>
  <c r="AD43"/>
  <c r="AB43"/>
  <c r="Z43"/>
  <c r="X43"/>
  <c r="V43"/>
  <c r="T43"/>
  <c r="R43"/>
  <c r="P43"/>
  <c r="N43"/>
  <c r="L43"/>
  <c r="J43"/>
  <c r="H43"/>
  <c r="F43"/>
  <c r="D43"/>
  <c r="AR42"/>
  <c r="AP42"/>
  <c r="AN42"/>
  <c r="AL42"/>
  <c r="AJ42"/>
  <c r="AF42"/>
  <c r="AB42"/>
  <c r="X42"/>
  <c r="T42"/>
  <c r="P42"/>
  <c r="L42"/>
  <c r="H42"/>
  <c r="D42"/>
  <c r="DD37" i="2"/>
  <c r="AL55" i="3"/>
  <c r="AH55"/>
  <c r="AD55"/>
  <c r="Z55"/>
  <c r="V55"/>
  <c r="R55"/>
  <c r="N55"/>
  <c r="J55"/>
  <c r="F55"/>
  <c r="AR54"/>
  <c r="AN54"/>
  <c r="AJ54"/>
  <c r="AG54"/>
  <c r="AE54"/>
  <c r="AC54"/>
  <c r="AA54"/>
  <c r="Y54"/>
  <c r="W54"/>
  <c r="U54"/>
  <c r="S54"/>
  <c r="Q54"/>
  <c r="O54"/>
  <c r="M54"/>
  <c r="K54"/>
  <c r="I54"/>
  <c r="G54"/>
  <c r="E54"/>
  <c r="C54"/>
  <c r="AQ53"/>
  <c r="AO53"/>
  <c r="AM53"/>
  <c r="AK53"/>
  <c r="AI53"/>
  <c r="AG53"/>
  <c r="AE53"/>
  <c r="AC53"/>
  <c r="AA53"/>
  <c r="Y53"/>
  <c r="W53"/>
  <c r="U53"/>
  <c r="S53"/>
  <c r="Q53"/>
  <c r="O53"/>
  <c r="M53"/>
  <c r="K53"/>
  <c r="I53"/>
  <c r="G53"/>
  <c r="E53"/>
  <c r="C53"/>
  <c r="AQ52"/>
  <c r="AO52"/>
  <c r="AM52"/>
  <c r="AK52"/>
  <c r="AI52"/>
  <c r="AG52"/>
  <c r="AE52"/>
  <c r="AC52"/>
  <c r="AA52"/>
  <c r="Y52"/>
  <c r="W52"/>
  <c r="U52"/>
  <c r="S52"/>
  <c r="Q52"/>
  <c r="O52"/>
  <c r="M52"/>
  <c r="K52"/>
  <c r="I52"/>
  <c r="G52"/>
  <c r="E52"/>
  <c r="C52"/>
  <c r="AQ51"/>
  <c r="AO51"/>
  <c r="AM51"/>
  <c r="AK51"/>
  <c r="AI51"/>
  <c r="AG51"/>
  <c r="AE51"/>
  <c r="AC51"/>
  <c r="AA51"/>
  <c r="Y51"/>
  <c r="W51"/>
  <c r="U51"/>
  <c r="S51"/>
  <c r="Q51"/>
  <c r="O51"/>
  <c r="M51"/>
  <c r="K51"/>
  <c r="I51"/>
  <c r="G51"/>
  <c r="E51"/>
  <c r="C51"/>
  <c r="AQ50"/>
  <c r="AO50"/>
  <c r="AM50"/>
  <c r="AK50"/>
  <c r="AI50"/>
  <c r="AG50"/>
  <c r="AE50"/>
  <c r="AC50"/>
  <c r="AA50"/>
  <c r="Y50"/>
  <c r="W50"/>
  <c r="U50"/>
  <c r="S50"/>
  <c r="Q50"/>
  <c r="O50"/>
  <c r="M50"/>
  <c r="K50"/>
  <c r="I50"/>
  <c r="G50"/>
  <c r="E50"/>
  <c r="C50"/>
  <c r="AQ49"/>
  <c r="AO49"/>
  <c r="AM49"/>
  <c r="AK49"/>
  <c r="AI49"/>
  <c r="AG49"/>
  <c r="AE49"/>
  <c r="AC49"/>
  <c r="AA49"/>
  <c r="Y49"/>
  <c r="W49"/>
  <c r="U49"/>
  <c r="S49"/>
  <c r="Q49"/>
  <c r="O49"/>
  <c r="M49"/>
  <c r="K49"/>
  <c r="I49"/>
  <c r="G49"/>
  <c r="E49"/>
  <c r="C49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C48"/>
  <c r="AQ47"/>
  <c r="AO47"/>
  <c r="AM47"/>
  <c r="AK47"/>
  <c r="AI47"/>
  <c r="AG47"/>
  <c r="AE47"/>
  <c r="AC47"/>
  <c r="AA47"/>
  <c r="Y47"/>
  <c r="W47"/>
  <c r="U47"/>
  <c r="S47"/>
  <c r="Q47"/>
  <c r="O47"/>
  <c r="M47"/>
  <c r="K47"/>
  <c r="I47"/>
  <c r="G47"/>
  <c r="E47"/>
  <c r="C47"/>
  <c r="AQ46"/>
  <c r="AO46"/>
  <c r="AM46"/>
  <c r="AK46"/>
  <c r="AI46"/>
  <c r="AG46"/>
  <c r="AE46"/>
  <c r="AC46"/>
  <c r="AA46"/>
  <c r="Y46"/>
  <c r="W46"/>
  <c r="U46"/>
  <c r="S46"/>
  <c r="Q46"/>
  <c r="O46"/>
  <c r="M46"/>
  <c r="K46"/>
  <c r="I46"/>
  <c r="G46"/>
  <c r="E46"/>
  <c r="C46"/>
  <c r="AQ45"/>
  <c r="AO45"/>
  <c r="AM45"/>
  <c r="AK45"/>
  <c r="AI45"/>
  <c r="AG45"/>
  <c r="AE45"/>
  <c r="AC45"/>
  <c r="AA45"/>
  <c r="Y45"/>
  <c r="W45"/>
  <c r="U45"/>
  <c r="S45"/>
  <c r="Q45"/>
  <c r="O45"/>
  <c r="M45"/>
  <c r="K45"/>
  <c r="I45"/>
  <c r="G45"/>
  <c r="E45"/>
  <c r="C45"/>
  <c r="AQ44"/>
  <c r="AO44"/>
  <c r="AM44"/>
  <c r="AK44"/>
  <c r="AI44"/>
  <c r="AG44"/>
  <c r="AE44"/>
  <c r="AC44"/>
  <c r="AA44"/>
  <c r="Y44"/>
  <c r="W44"/>
  <c r="U44"/>
  <c r="S44"/>
  <c r="Q44"/>
  <c r="O44"/>
  <c r="M44"/>
  <c r="K44"/>
  <c r="I44"/>
  <c r="G44"/>
  <c r="E44"/>
  <c r="C44"/>
  <c r="AQ43"/>
  <c r="AO43"/>
  <c r="AM43"/>
  <c r="AK43"/>
  <c r="AI43"/>
  <c r="AG43"/>
  <c r="AE43"/>
  <c r="AC43"/>
  <c r="AA43"/>
  <c r="Y43"/>
  <c r="W43"/>
  <c r="U43"/>
  <c r="S43"/>
  <c r="Q43"/>
  <c r="O43"/>
  <c r="M43"/>
  <c r="K43"/>
  <c r="I43"/>
  <c r="G43"/>
  <c r="E43"/>
  <c r="C43"/>
  <c r="AQ42"/>
  <c r="AO42"/>
  <c r="AM42"/>
  <c r="AK42"/>
  <c r="AI42"/>
  <c r="AG42"/>
  <c r="AE42"/>
  <c r="AC42"/>
  <c r="AA42"/>
  <c r="Y42"/>
  <c r="W42"/>
  <c r="U42"/>
  <c r="S42"/>
  <c r="Q42"/>
  <c r="O42"/>
  <c r="M42"/>
  <c r="K42"/>
  <c r="I42"/>
  <c r="G42"/>
  <c r="E42"/>
  <c r="V53" i="2"/>
  <c r="T53"/>
  <c r="DC37"/>
  <c r="DA37"/>
  <c r="CY37"/>
  <c r="AH42" i="3"/>
  <c r="AD42"/>
  <c r="Z42"/>
  <c r="V42"/>
  <c r="R42"/>
  <c r="N42"/>
  <c r="J42"/>
  <c r="F42"/>
  <c r="U53" i="2"/>
  <c r="DB37"/>
  <c r="CZ37"/>
  <c r="CQ37"/>
  <c r="CP37" l="1" a="1"/>
  <c r="CP37" s="1"/>
  <c r="CO37" a="1"/>
  <c r="CO37" s="1"/>
  <c r="J79" i="3"/>
  <c r="R79"/>
  <c r="Z79"/>
  <c r="AH79"/>
  <c r="G79"/>
  <c r="K79"/>
  <c r="O79"/>
  <c r="S79"/>
  <c r="W79"/>
  <c r="AA79"/>
  <c r="AE79"/>
  <c r="AI79"/>
  <c r="AM79"/>
  <c r="AQ79"/>
  <c r="E80"/>
  <c r="I80"/>
  <c r="M80"/>
  <c r="Q80"/>
  <c r="U80"/>
  <c r="Y80"/>
  <c r="AC80"/>
  <c r="AG80"/>
  <c r="AK80"/>
  <c r="AO80"/>
  <c r="C81"/>
  <c r="G81"/>
  <c r="K81"/>
  <c r="O81"/>
  <c r="S81"/>
  <c r="W81"/>
  <c r="AA81"/>
  <c r="AE81"/>
  <c r="AI81"/>
  <c r="AM81"/>
  <c r="AQ81"/>
  <c r="H79"/>
  <c r="P79"/>
  <c r="X79"/>
  <c r="AF79"/>
  <c r="AL79"/>
  <c r="AP79"/>
  <c r="D80"/>
  <c r="H80"/>
  <c r="L80"/>
  <c r="P80"/>
  <c r="T80"/>
  <c r="X80"/>
  <c r="AB80"/>
  <c r="AF80"/>
  <c r="AJ80"/>
  <c r="AN80"/>
  <c r="AR80"/>
  <c r="F81"/>
  <c r="J81"/>
  <c r="N81"/>
  <c r="R81"/>
  <c r="V81"/>
  <c r="Z81"/>
  <c r="AD81"/>
  <c r="AH81"/>
  <c r="AL81"/>
  <c r="AP81"/>
  <c r="F79"/>
  <c r="N79"/>
  <c r="V79"/>
  <c r="AD79"/>
  <c r="E79"/>
  <c r="I79"/>
  <c r="M79"/>
  <c r="Q79"/>
  <c r="U79"/>
  <c r="Y79"/>
  <c r="AC79"/>
  <c r="AG79"/>
  <c r="AK79"/>
  <c r="AO79"/>
  <c r="C80"/>
  <c r="G80"/>
  <c r="K80"/>
  <c r="O80"/>
  <c r="S80"/>
  <c r="W80"/>
  <c r="AA80"/>
  <c r="AE80"/>
  <c r="AI80"/>
  <c r="AM80"/>
  <c r="AQ80"/>
  <c r="E81"/>
  <c r="I81"/>
  <c r="M81"/>
  <c r="Q81"/>
  <c r="U81"/>
  <c r="Y81"/>
  <c r="AC81"/>
  <c r="AG81"/>
  <c r="AK81"/>
  <c r="AO81"/>
  <c r="D79"/>
  <c r="L79"/>
  <c r="T79"/>
  <c r="AB79"/>
  <c r="AJ79"/>
  <c r="AN79"/>
  <c r="AR79"/>
  <c r="F80"/>
  <c r="J80"/>
  <c r="N80"/>
  <c r="R80"/>
  <c r="V80"/>
  <c r="Z80"/>
  <c r="AD80"/>
  <c r="AH80"/>
  <c r="AL80"/>
  <c r="AP80"/>
  <c r="D81"/>
  <c r="H81"/>
  <c r="L81"/>
  <c r="P81"/>
  <c r="T81"/>
  <c r="X81"/>
  <c r="AB81"/>
  <c r="AF81"/>
  <c r="AJ81"/>
  <c r="AN81"/>
  <c r="AR81"/>
  <c r="CM37" i="2"/>
  <c r="CN37"/>
  <c r="CK37"/>
  <c r="DH37" l="1"/>
  <c r="CH37"/>
  <c r="CI37"/>
  <c r="CG37"/>
  <c r="CX37" l="1"/>
  <c r="DI37"/>
  <c r="CL37"/>
  <c r="CJ37"/>
  <c r="DB25"/>
  <c r="CE37"/>
  <c r="DC25"/>
  <c r="DA25"/>
  <c r="CY25"/>
  <c r="DD25"/>
  <c r="CZ25"/>
  <c r="CF37" l="1"/>
  <c r="DE37"/>
  <c r="CW25" a="1"/>
  <c r="CW25" s="1"/>
  <c r="CV25" a="1"/>
  <c r="CV25" s="1"/>
  <c r="CU25" a="1"/>
  <c r="CU25" s="1"/>
  <c r="CT25" a="1"/>
  <c r="CT25" s="1"/>
  <c r="CS25" a="1"/>
  <c r="CS25" s="1"/>
  <c r="CR25" a="1"/>
  <c r="CR25" s="1"/>
  <c r="CQ25"/>
  <c r="CP25" l="1" a="1"/>
  <c r="CP25" s="1"/>
  <c r="CO25" a="1"/>
  <c r="CO25" s="1"/>
  <c r="CN25"/>
  <c r="CK25"/>
  <c r="CM25"/>
  <c r="DH25" l="1"/>
  <c r="CH25"/>
  <c r="CI25"/>
  <c r="CG25"/>
  <c r="DI25" l="1"/>
  <c r="CL25"/>
  <c r="CJ25"/>
  <c r="DD18"/>
  <c r="DB18"/>
  <c r="CZ18"/>
  <c r="CE25"/>
  <c r="DC18"/>
  <c r="DA18"/>
  <c r="CY18"/>
  <c r="CF25" l="1"/>
  <c r="DE25"/>
  <c r="CW18" a="1"/>
  <c r="CW18" s="1"/>
  <c r="CV18" a="1"/>
  <c r="CV18" s="1"/>
  <c r="CU18" a="1"/>
  <c r="CU18" s="1"/>
  <c r="CT18" a="1"/>
  <c r="CT18" s="1"/>
  <c r="CS18" a="1"/>
  <c r="CS18" s="1"/>
  <c r="CR18" a="1"/>
  <c r="CR18" s="1"/>
  <c r="CQ18"/>
  <c r="CP18" l="1" a="1"/>
  <c r="CP18" s="1"/>
  <c r="CO18" a="1"/>
  <c r="CO18" s="1"/>
  <c r="CN18"/>
  <c r="CK18"/>
  <c r="CM18"/>
  <c r="DH18" l="1"/>
  <c r="CH18"/>
  <c r="CI18"/>
  <c r="CG18"/>
  <c r="DI18" l="1"/>
  <c r="CL18"/>
  <c r="CJ18"/>
  <c r="DD16"/>
  <c r="DB16"/>
  <c r="CZ16"/>
  <c r="CE18"/>
  <c r="DC16"/>
  <c r="DA16"/>
  <c r="CY16"/>
  <c r="CF18" l="1"/>
  <c r="DE18"/>
  <c r="CW16" a="1"/>
  <c r="CW16" s="1"/>
  <c r="CV16" a="1"/>
  <c r="CV16" s="1"/>
  <c r="CU16" a="1"/>
  <c r="CU16" s="1"/>
  <c r="CT16" a="1"/>
  <c r="CT16" s="1"/>
  <c r="CS16" a="1"/>
  <c r="CS16" s="1"/>
  <c r="CR16" a="1"/>
  <c r="CR16" s="1"/>
  <c r="CQ16"/>
  <c r="CP16" l="1" a="1"/>
  <c r="CP16" s="1"/>
  <c r="CO16" a="1"/>
  <c r="CO16" s="1"/>
  <c r="CM16"/>
  <c r="CN16"/>
  <c r="CK16"/>
  <c r="DH16" l="1"/>
  <c r="CH16"/>
  <c r="CI16"/>
  <c r="CG16"/>
  <c r="DI16" l="1"/>
  <c r="CL16"/>
  <c r="CJ16"/>
  <c r="DD9"/>
  <c r="DB9"/>
  <c r="CZ9"/>
  <c r="CE16"/>
  <c r="DC9"/>
  <c r="DA9"/>
  <c r="CY9"/>
  <c r="CF16" l="1"/>
  <c r="DE16"/>
  <c r="CW9" a="1"/>
  <c r="CW9" s="1"/>
  <c r="CV9" a="1"/>
  <c r="CV9" s="1"/>
  <c r="CU9" a="1"/>
  <c r="CU9" s="1"/>
  <c r="CT9" a="1"/>
  <c r="CT9" s="1"/>
  <c r="CS9" a="1"/>
  <c r="CS9" s="1"/>
  <c r="CR9" a="1"/>
  <c r="CR9" s="1"/>
  <c r="CQ9"/>
  <c r="CP9" l="1" a="1"/>
  <c r="CP9" s="1"/>
  <c r="CO9" a="1"/>
  <c r="CO9" s="1"/>
  <c r="CN9"/>
  <c r="CK9"/>
  <c r="CM9"/>
  <c r="DH9" l="1"/>
  <c r="CH9"/>
  <c r="CI9"/>
  <c r="CG9"/>
  <c r="DI9" l="1"/>
  <c r="CL9"/>
  <c r="CJ9"/>
  <c r="CE9"/>
  <c r="CN9" i="3"/>
  <c r="CE9"/>
  <c r="CN13"/>
  <c r="CG13"/>
  <c r="CP7"/>
  <c r="CI7"/>
  <c r="DC26" i="2"/>
  <c r="CY26"/>
  <c r="CQ9" i="3"/>
  <c r="CO9"/>
  <c r="CJ9"/>
  <c r="CH9"/>
  <c r="CF9"/>
  <c r="CQ13"/>
  <c r="CO13"/>
  <c r="CJ13"/>
  <c r="CH13"/>
  <c r="CF13"/>
  <c r="CQ7"/>
  <c r="CO7"/>
  <c r="CJ7"/>
  <c r="CH7"/>
  <c r="CF7"/>
  <c r="DD26" i="2"/>
  <c r="DB26"/>
  <c r="CZ26"/>
  <c r="CP9" i="3"/>
  <c r="CI9"/>
  <c r="CG9"/>
  <c r="CP13"/>
  <c r="CI13"/>
  <c r="CE13"/>
  <c r="CN7"/>
  <c r="CG7"/>
  <c r="CE7"/>
  <c r="DA26" i="2"/>
  <c r="CK7" i="3" l="1"/>
  <c r="CK13"/>
  <c r="CR13" s="1"/>
  <c r="CK9"/>
  <c r="CF9" i="2"/>
  <c r="DE9"/>
  <c r="CT9" i="3"/>
  <c r="CM9"/>
  <c r="CR9"/>
  <c r="CL9"/>
  <c r="CT13"/>
  <c r="CM13"/>
  <c r="CL13"/>
  <c r="CT7"/>
  <c r="CM7"/>
  <c r="CR7"/>
  <c r="CL7"/>
  <c r="CW26" i="2" a="1"/>
  <c r="CW26" s="1"/>
  <c r="CV26" a="1"/>
  <c r="CV26" s="1"/>
  <c r="CU26" a="1"/>
  <c r="CU26" s="1"/>
  <c r="CT26" a="1"/>
  <c r="CT26" s="1"/>
  <c r="CS26" a="1"/>
  <c r="CS26" s="1"/>
  <c r="CR26" a="1"/>
  <c r="CR26" s="1"/>
  <c r="CQ26"/>
  <c r="CP26" l="1" a="1"/>
  <c r="CP26" s="1"/>
  <c r="CO26" a="1"/>
  <c r="CO26" s="1"/>
  <c r="CN26"/>
  <c r="CK26"/>
  <c r="CM26"/>
  <c r="DH26" l="1"/>
  <c r="CH26"/>
  <c r="CI26"/>
  <c r="CG26"/>
  <c r="DI26" l="1"/>
  <c r="CL26"/>
  <c r="CJ26"/>
  <c r="DD7"/>
  <c r="DB7"/>
  <c r="CZ7"/>
  <c r="CE26"/>
  <c r="DC7"/>
  <c r="DA7"/>
  <c r="CY7"/>
  <c r="CF26" l="1"/>
  <c r="DE26"/>
  <c r="CW7" a="1"/>
  <c r="CW7" s="1"/>
  <c r="CV7" a="1"/>
  <c r="CV7" s="1"/>
  <c r="CU7" a="1"/>
  <c r="CU7" s="1"/>
  <c r="CT7" a="1"/>
  <c r="CT7" s="1"/>
  <c r="CS7" a="1"/>
  <c r="CS7" s="1"/>
  <c r="CR7" a="1"/>
  <c r="CR7" s="1"/>
  <c r="CQ7"/>
  <c r="CP7" l="1" a="1"/>
  <c r="CP7" s="1"/>
  <c r="CO7" a="1"/>
  <c r="CO7" s="1"/>
  <c r="CN7"/>
  <c r="CK7"/>
  <c r="CM7"/>
  <c r="DH7" l="1"/>
  <c r="CH7"/>
  <c r="CI7"/>
  <c r="CG7"/>
  <c r="DI7" l="1"/>
  <c r="CL7"/>
  <c r="CJ7"/>
  <c r="DD33"/>
  <c r="DB33"/>
  <c r="CZ33"/>
  <c r="CE7"/>
  <c r="DC33"/>
  <c r="DA33"/>
  <c r="CY33"/>
  <c r="CF7" l="1"/>
  <c r="DE7"/>
  <c r="CW33" a="1"/>
  <c r="CW33" s="1"/>
  <c r="CV33" a="1"/>
  <c r="CV33" s="1"/>
  <c r="CU33" a="1"/>
  <c r="CU33" s="1"/>
  <c r="CT33" a="1"/>
  <c r="CT33" s="1"/>
  <c r="CS33" a="1"/>
  <c r="CS33" s="1"/>
  <c r="CR33" a="1"/>
  <c r="CR33" s="1"/>
  <c r="CQ33"/>
  <c r="CP33" l="1" a="1"/>
  <c r="CP33" s="1"/>
  <c r="CO33" a="1"/>
  <c r="CO33" s="1"/>
  <c r="CM33"/>
  <c r="CN33"/>
  <c r="CK33"/>
  <c r="DH33" l="1"/>
  <c r="CH33"/>
  <c r="CI33"/>
  <c r="CG33"/>
  <c r="DI33" l="1"/>
  <c r="CL33"/>
  <c r="CJ33"/>
  <c r="CE33"/>
  <c r="CF33" l="1"/>
  <c r="DE33"/>
  <c r="DD32"/>
  <c r="DB32"/>
  <c r="CZ32"/>
  <c r="DC32"/>
  <c r="DA32"/>
  <c r="CY32"/>
  <c r="CW32" l="1" a="1"/>
  <c r="CW32" s="1"/>
  <c r="CV32" a="1"/>
  <c r="CV32" s="1"/>
  <c r="CU32" a="1"/>
  <c r="CU32" s="1"/>
  <c r="CT32" a="1"/>
  <c r="CT32" s="1"/>
  <c r="CS32" a="1"/>
  <c r="CS32" s="1"/>
  <c r="CR32" a="1"/>
  <c r="CR32" s="1"/>
  <c r="CQ32"/>
  <c r="CP32" l="1" a="1"/>
  <c r="CP32" s="1"/>
  <c r="CO32" a="1"/>
  <c r="CO32" s="1"/>
  <c r="CN32"/>
  <c r="CK32"/>
  <c r="CM32"/>
  <c r="DH32" l="1"/>
  <c r="CH32"/>
  <c r="CI32"/>
  <c r="CG32"/>
  <c r="DI32" l="1"/>
  <c r="CL32"/>
  <c r="CJ32"/>
  <c r="CE32"/>
  <c r="CF32" l="1"/>
  <c r="DE32"/>
  <c r="AD20" i="1"/>
  <c r="AC20"/>
  <c r="AB20"/>
  <c r="AA20"/>
  <c r="Z20"/>
  <c r="Y20"/>
  <c r="AD19"/>
  <c r="AC19"/>
  <c r="AB19"/>
  <c r="AA19"/>
  <c r="Z19"/>
  <c r="Y19"/>
  <c r="AD18"/>
  <c r="AC18"/>
  <c r="AB18"/>
  <c r="AA18"/>
  <c r="Z18"/>
  <c r="Y18"/>
  <c r="AD17"/>
  <c r="AC17"/>
  <c r="AB17"/>
  <c r="AA17"/>
  <c r="Z17"/>
  <c r="Y17"/>
  <c r="AD16"/>
  <c r="AC16"/>
  <c r="AB16"/>
  <c r="AA16"/>
  <c r="Z16"/>
  <c r="Y16"/>
  <c r="AD15"/>
  <c r="AC15"/>
  <c r="AB15"/>
  <c r="AA15"/>
  <c r="Z15"/>
  <c r="Y15"/>
  <c r="AD14"/>
  <c r="AC14"/>
  <c r="AB14"/>
  <c r="AA14"/>
  <c r="Z14"/>
  <c r="Y14"/>
  <c r="AD13"/>
  <c r="AC13"/>
  <c r="AB13"/>
  <c r="AA13"/>
  <c r="Z13"/>
  <c r="Y13"/>
  <c r="AD12"/>
  <c r="AC12"/>
  <c r="AB12"/>
  <c r="AA12"/>
  <c r="Z12"/>
  <c r="Y12"/>
  <c r="AD11"/>
  <c r="AC11"/>
  <c r="AB11"/>
  <c r="AA11"/>
  <c r="Z11"/>
  <c r="Y11"/>
  <c r="AD10"/>
  <c r="AC10"/>
  <c r="AB10"/>
  <c r="AA10"/>
  <c r="Z10"/>
  <c r="Y10"/>
  <c r="AD9"/>
  <c r="AC9"/>
  <c r="AB9"/>
  <c r="AA9"/>
  <c r="Z9"/>
  <c r="Y9"/>
  <c r="AD8"/>
  <c r="AC8"/>
  <c r="AB8"/>
  <c r="AA8"/>
  <c r="Z8"/>
  <c r="Y8"/>
  <c r="AD7"/>
  <c r="AC7"/>
  <c r="AB7"/>
  <c r="AA7"/>
  <c r="Z7"/>
  <c r="Y7"/>
  <c r="AD6"/>
  <c r="AC6"/>
  <c r="AB6"/>
  <c r="AA6"/>
  <c r="Z6"/>
  <c r="Y6"/>
  <c r="AD5"/>
  <c r="AC5"/>
  <c r="AB5"/>
  <c r="AA5"/>
  <c r="Z5"/>
  <c r="Y5"/>
  <c r="CW12" i="2" a="1"/>
  <c r="CW12" s="1"/>
  <c r="CV12" a="1"/>
  <c r="CV12" s="1"/>
  <c r="CU12" a="1"/>
  <c r="CU12" s="1"/>
  <c r="CT12" a="1"/>
  <c r="CT12" s="1"/>
  <c r="CS12" a="1"/>
  <c r="CS12" s="1"/>
  <c r="CR12" a="1"/>
  <c r="CR12" s="1"/>
  <c r="CP12" a="1"/>
  <c r="CP12" s="1"/>
  <c r="CO12" a="1"/>
  <c r="CO12" s="1"/>
  <c r="CW17" a="1"/>
  <c r="CW17" s="1"/>
  <c r="CV17" a="1"/>
  <c r="CV17" s="1"/>
  <c r="CU17" a="1"/>
  <c r="CU17" s="1"/>
  <c r="CT17" a="1"/>
  <c r="CT17" s="1"/>
  <c r="CS17" a="1"/>
  <c r="CS17" s="1"/>
  <c r="CR17" a="1"/>
  <c r="CR17" s="1"/>
  <c r="CP17" a="1"/>
  <c r="CP17" s="1"/>
  <c r="CO17" a="1"/>
  <c r="CO17" s="1"/>
  <c r="CW6" a="1"/>
  <c r="CW6" s="1"/>
  <c r="CV6" a="1"/>
  <c r="CV6" s="1"/>
  <c r="CU6" a="1"/>
  <c r="CU6" s="1"/>
  <c r="CT6" a="1"/>
  <c r="CT6" s="1"/>
  <c r="CS6" a="1"/>
  <c r="CS6" s="1"/>
  <c r="CR6" a="1"/>
  <c r="CR6" s="1"/>
  <c r="CP6" a="1"/>
  <c r="CP6" s="1"/>
  <c r="CO6" a="1"/>
  <c r="CO6" s="1"/>
  <c r="Z23" i="1"/>
  <c r="Y23"/>
  <c r="Z22"/>
  <c r="Y22"/>
  <c r="Z21"/>
  <c r="Y21"/>
  <c r="C41" i="3"/>
  <c r="CW24" i="2" a="1"/>
  <c r="CW24" s="1"/>
  <c r="CV24" a="1"/>
  <c r="CV24" s="1"/>
  <c r="CU24" a="1"/>
  <c r="CU24" s="1"/>
  <c r="CT24" a="1"/>
  <c r="CT24" s="1"/>
  <c r="CS24" a="1"/>
  <c r="CS24" s="1"/>
  <c r="CR24" a="1"/>
  <c r="CR24" s="1"/>
  <c r="CP24" a="1"/>
  <c r="CP24" s="1"/>
  <c r="CO24" a="1"/>
  <c r="CO24" s="1"/>
  <c r="CW23" a="1"/>
  <c r="CW23" s="1"/>
  <c r="CV23" a="1"/>
  <c r="CV23" s="1"/>
  <c r="CU23" a="1"/>
  <c r="CU23" s="1"/>
  <c r="CT23" a="1"/>
  <c r="CT23" s="1"/>
  <c r="CS23" a="1"/>
  <c r="CS23" s="1"/>
  <c r="CR23" a="1"/>
  <c r="CR23" s="1"/>
  <c r="CP23" a="1"/>
  <c r="CP23" s="1"/>
  <c r="CO23" a="1"/>
  <c r="CO23" s="1"/>
  <c r="CW22" a="1"/>
  <c r="CW22" s="1"/>
  <c r="CV22" a="1"/>
  <c r="CV22" s="1"/>
  <c r="CU22" a="1"/>
  <c r="CU22" s="1"/>
  <c r="CT22" a="1"/>
  <c r="CT22" s="1"/>
  <c r="CS22" a="1"/>
  <c r="CS22" s="1"/>
  <c r="CR22" a="1"/>
  <c r="CR22" s="1"/>
  <c r="CP22" a="1"/>
  <c r="CP22" s="1"/>
  <c r="CO22" a="1"/>
  <c r="CO22" s="1"/>
  <c r="CW21" a="1"/>
  <c r="CW21" s="1"/>
  <c r="CV21" a="1"/>
  <c r="CV21" s="1"/>
  <c r="CU21" a="1"/>
  <c r="CU21" s="1"/>
  <c r="CT21" a="1"/>
  <c r="CT21" s="1"/>
  <c r="CS21" a="1"/>
  <c r="CS21" s="1"/>
  <c r="CR21" a="1"/>
  <c r="CR21" s="1"/>
  <c r="CP21" a="1"/>
  <c r="CP21" s="1"/>
  <c r="CO21" a="1"/>
  <c r="CO21" s="1"/>
  <c r="CW20" a="1"/>
  <c r="CW20" s="1"/>
  <c r="CV20" a="1"/>
  <c r="CV20" s="1"/>
  <c r="CU20" a="1"/>
  <c r="CU20" s="1"/>
  <c r="CT20" a="1"/>
  <c r="CT20" s="1"/>
  <c r="CS20" a="1"/>
  <c r="CS20" s="1"/>
  <c r="CR20" a="1"/>
  <c r="CR20" s="1"/>
  <c r="CP20" a="1"/>
  <c r="CP20" s="1"/>
  <c r="CO20" a="1"/>
  <c r="CO20" s="1"/>
  <c r="CW19" a="1"/>
  <c r="CW19" s="1"/>
  <c r="CV19" a="1"/>
  <c r="CV19" s="1"/>
  <c r="CU19" a="1"/>
  <c r="CU19" s="1"/>
  <c r="CT19" a="1"/>
  <c r="CT19" s="1"/>
  <c r="CS19" a="1"/>
  <c r="CS19" s="1"/>
  <c r="CR19" a="1"/>
  <c r="CR19" s="1"/>
  <c r="CP19" a="1"/>
  <c r="CP19" s="1"/>
  <c r="CO19" a="1"/>
  <c r="CO19" s="1"/>
  <c r="C1" a="1"/>
  <c r="C1" s="1"/>
  <c r="CO5" a="1"/>
  <c r="CO5" s="1"/>
  <c r="CP5" a="1"/>
  <c r="CP5" s="1"/>
  <c r="CR5" a="1"/>
  <c r="CR5" s="1"/>
  <c r="CS5" a="1"/>
  <c r="CS5" s="1"/>
  <c r="CT5" a="1"/>
  <c r="CT5" s="1"/>
  <c r="CU5" a="1"/>
  <c r="CU5" s="1"/>
  <c r="CV5" a="1"/>
  <c r="CV5" s="1"/>
  <c r="CW5" a="1"/>
  <c r="CW5" s="1"/>
  <c r="CO8" a="1"/>
  <c r="CO8" s="1"/>
  <c r="CP8" a="1"/>
  <c r="CP8" s="1"/>
  <c r="CR8" a="1"/>
  <c r="CR8" s="1"/>
  <c r="CS8" a="1"/>
  <c r="CS8" s="1"/>
  <c r="CT8" a="1"/>
  <c r="CT8" s="1"/>
  <c r="CU8" a="1"/>
  <c r="CU8" s="1"/>
  <c r="CV8" a="1"/>
  <c r="CV8" s="1"/>
  <c r="CW8" a="1"/>
  <c r="CW8" s="1"/>
  <c r="CO10" a="1"/>
  <c r="CO10" s="1"/>
  <c r="CP10" a="1"/>
  <c r="CP10" s="1"/>
  <c r="CR10" a="1"/>
  <c r="CR10" s="1"/>
  <c r="CS10" a="1"/>
  <c r="CS10" s="1"/>
  <c r="CT10" a="1"/>
  <c r="CT10" s="1"/>
  <c r="CU10" a="1"/>
  <c r="CU10" s="1"/>
  <c r="CV10" a="1"/>
  <c r="CV10" s="1"/>
  <c r="CW10" a="1"/>
  <c r="CW10" s="1"/>
  <c r="CO11" a="1"/>
  <c r="CO11" s="1"/>
  <c r="CP11" a="1"/>
  <c r="CP11" s="1"/>
  <c r="CR11" a="1"/>
  <c r="CR11" s="1"/>
  <c r="CS11" a="1"/>
  <c r="CS11" s="1"/>
  <c r="CT11" a="1"/>
  <c r="CT11" s="1"/>
  <c r="CU11" a="1"/>
  <c r="CU11" s="1"/>
  <c r="CV11" a="1"/>
  <c r="CV11" s="1"/>
  <c r="CW11" a="1"/>
  <c r="CW11" s="1"/>
  <c r="CO13" a="1"/>
  <c r="CO13" s="1"/>
  <c r="CP13" a="1"/>
  <c r="CP13" s="1"/>
  <c r="CR13" a="1"/>
  <c r="CR13" s="1"/>
  <c r="CS13" a="1"/>
  <c r="CS13" s="1"/>
  <c r="CT13" a="1"/>
  <c r="CT13" s="1"/>
  <c r="CU13" a="1"/>
  <c r="CU13" s="1"/>
  <c r="CV13" a="1"/>
  <c r="CV13" s="1"/>
  <c r="CW13" a="1"/>
  <c r="CW13" s="1"/>
  <c r="CO14" a="1"/>
  <c r="CO14" s="1"/>
  <c r="CP14" a="1"/>
  <c r="CP14" s="1"/>
  <c r="CR14" a="1"/>
  <c r="CR14" s="1"/>
  <c r="CS14" a="1"/>
  <c r="CS14" s="1"/>
  <c r="CT14" a="1"/>
  <c r="CT14" s="1"/>
  <c r="CU14" a="1"/>
  <c r="CU14" s="1"/>
  <c r="CV14" a="1"/>
  <c r="CV14" s="1"/>
  <c r="CW14" a="1"/>
  <c r="CW14" s="1"/>
  <c r="CO15" a="1"/>
  <c r="CO15" s="1"/>
  <c r="CP15" a="1"/>
  <c r="CP15" s="1"/>
  <c r="CR15" a="1"/>
  <c r="CR15" s="1"/>
  <c r="CS15" a="1"/>
  <c r="CS15" s="1"/>
  <c r="CT15" a="1"/>
  <c r="CT15" s="1"/>
  <c r="CU15" a="1"/>
  <c r="CU15" s="1"/>
  <c r="CV15" a="1"/>
  <c r="CV15" s="1"/>
  <c r="CW15" a="1"/>
  <c r="CW15" s="1"/>
  <c r="CO27" a="1"/>
  <c r="CO27" s="1"/>
  <c r="CP27" a="1"/>
  <c r="CP27" s="1"/>
  <c r="CR27" a="1"/>
  <c r="CR27" s="1"/>
  <c r="CS27" a="1"/>
  <c r="CS27" s="1"/>
  <c r="CT27" a="1"/>
  <c r="CT27" s="1"/>
  <c r="CU27" a="1"/>
  <c r="CU27" s="1"/>
  <c r="CV27" a="1"/>
  <c r="CV27" s="1"/>
  <c r="CW27" a="1"/>
  <c r="CW27" s="1"/>
  <c r="CO28" a="1"/>
  <c r="CO28" s="1"/>
  <c r="CP28" a="1"/>
  <c r="CP28" s="1"/>
  <c r="CR28" a="1"/>
  <c r="CR28" s="1"/>
  <c r="CS28" a="1"/>
  <c r="CS28" s="1"/>
  <c r="CT28" a="1"/>
  <c r="CT28" s="1"/>
  <c r="CU28" a="1"/>
  <c r="CU28" s="1"/>
  <c r="CV28" a="1"/>
  <c r="CV28" s="1"/>
  <c r="CW28" a="1"/>
  <c r="CW28" s="1"/>
  <c r="CO29" a="1"/>
  <c r="CO29" s="1"/>
  <c r="CP29" a="1"/>
  <c r="CP29" s="1"/>
  <c r="CR29" a="1"/>
  <c r="CR29" s="1"/>
  <c r="CS29" a="1"/>
  <c r="CS29" s="1"/>
  <c r="CT29" a="1"/>
  <c r="CT29" s="1"/>
  <c r="CU29" a="1"/>
  <c r="CU29" s="1"/>
  <c r="CV29" a="1"/>
  <c r="CV29" s="1"/>
  <c r="CW29" a="1"/>
  <c r="CW29" s="1"/>
  <c r="CO30" a="1"/>
  <c r="CO30" s="1"/>
  <c r="CP30" a="1"/>
  <c r="CP30" s="1"/>
  <c r="CR30" a="1"/>
  <c r="CR30" s="1"/>
  <c r="CS30" a="1"/>
  <c r="CS30" s="1"/>
  <c r="CT30" a="1"/>
  <c r="CT30" s="1"/>
  <c r="CU30" a="1"/>
  <c r="CU30" s="1"/>
  <c r="CV30" a="1"/>
  <c r="CV30" s="1"/>
  <c r="CW30" a="1"/>
  <c r="CW30" s="1"/>
  <c r="CO31" a="1"/>
  <c r="CO31" s="1"/>
  <c r="CP31" a="1"/>
  <c r="CP31" s="1"/>
  <c r="CR31" a="1"/>
  <c r="CR31" s="1"/>
  <c r="CS31" a="1"/>
  <c r="CS31" s="1"/>
  <c r="CT31" a="1"/>
  <c r="CT31" s="1"/>
  <c r="CU31" a="1"/>
  <c r="CU31" s="1"/>
  <c r="CV31" a="1"/>
  <c r="CV31" s="1"/>
  <c r="CW31" a="1"/>
  <c r="CW31" s="1"/>
  <c r="CO34" a="1"/>
  <c r="CO34" s="1"/>
  <c r="CP34" a="1"/>
  <c r="CP34" s="1"/>
  <c r="CR34" a="1"/>
  <c r="CR34" s="1"/>
  <c r="CS34" a="1"/>
  <c r="CS34" s="1"/>
  <c r="CT34" a="1"/>
  <c r="CT34" s="1"/>
  <c r="CU34" a="1"/>
  <c r="CU34" s="1"/>
  <c r="CV34" a="1"/>
  <c r="CV34" s="1"/>
  <c r="CW34" a="1"/>
  <c r="CW34" s="1"/>
  <c r="CO35" a="1"/>
  <c r="CO35" s="1"/>
  <c r="CP35" a="1"/>
  <c r="CP35" s="1"/>
  <c r="CR35" a="1"/>
  <c r="CR35" s="1"/>
  <c r="CS35" a="1"/>
  <c r="CS35" s="1"/>
  <c r="CT35" a="1"/>
  <c r="CT35" s="1"/>
  <c r="CU35" a="1"/>
  <c r="CU35" s="1"/>
  <c r="CV35" a="1"/>
  <c r="CV35" s="1"/>
  <c r="CW35" a="1"/>
  <c r="CW35" s="1"/>
  <c r="CO36" a="1"/>
  <c r="CO36" s="1"/>
  <c r="CP36" a="1"/>
  <c r="CP36" s="1"/>
  <c r="CR36" a="1"/>
  <c r="CR36" s="1"/>
  <c r="CS36" a="1"/>
  <c r="CS36" s="1"/>
  <c r="CT36" a="1"/>
  <c r="CT36" s="1"/>
  <c r="CU36" a="1"/>
  <c r="CU36" s="1"/>
  <c r="CV36" a="1"/>
  <c r="CV36" s="1"/>
  <c r="CW36" a="1"/>
  <c r="CW36" s="1"/>
  <c r="CO38" a="1"/>
  <c r="CO38" s="1"/>
  <c r="CP38" a="1"/>
  <c r="CP38" s="1"/>
  <c r="CR38" a="1"/>
  <c r="CR38" s="1"/>
  <c r="CS38" a="1"/>
  <c r="CS38" s="1"/>
  <c r="CT38" a="1"/>
  <c r="CT38" s="1"/>
  <c r="CU38" a="1"/>
  <c r="CU38" s="1"/>
  <c r="CV38" a="1"/>
  <c r="CV38" s="1"/>
  <c r="CW38" a="1"/>
  <c r="CW38" s="1"/>
  <c r="D41" a="1"/>
  <c r="D41" s="1"/>
  <c r="E41" a="1"/>
  <c r="E41" s="1"/>
  <c r="F41" a="1"/>
  <c r="F41" s="1"/>
  <c r="G41" a="1"/>
  <c r="G41" s="1"/>
  <c r="H41" a="1"/>
  <c r="H41" s="1"/>
  <c r="I41" a="1"/>
  <c r="I41" s="1"/>
  <c r="J41" a="1"/>
  <c r="J41" s="1"/>
  <c r="K41" a="1"/>
  <c r="K41" s="1"/>
  <c r="L41" a="1"/>
  <c r="L41" s="1"/>
  <c r="M41" a="1"/>
  <c r="M41" s="1"/>
  <c r="N41" a="1"/>
  <c r="N41" s="1"/>
  <c r="O41" a="1"/>
  <c r="O41" s="1"/>
  <c r="P41" a="1"/>
  <c r="P41" s="1"/>
  <c r="Q41" a="1"/>
  <c r="Q41" s="1"/>
  <c r="R41" a="1"/>
  <c r="R41" s="1"/>
  <c r="S41" a="1"/>
  <c r="S41" s="1"/>
  <c r="T41" a="1"/>
  <c r="T41" s="1"/>
  <c r="U41" a="1"/>
  <c r="U41" s="1"/>
  <c r="V41" a="1"/>
  <c r="V41" s="1"/>
  <c r="W41" a="1"/>
  <c r="W41" s="1"/>
  <c r="X41" a="1"/>
  <c r="X41" s="1"/>
  <c r="Y41" a="1"/>
  <c r="Y41" s="1"/>
  <c r="Z41" a="1"/>
  <c r="Z41" s="1"/>
  <c r="AA41" a="1"/>
  <c r="AA41" s="1"/>
  <c r="AB41" a="1"/>
  <c r="AB41" s="1"/>
  <c r="AC41" a="1"/>
  <c r="AC41" s="1"/>
  <c r="AD41" a="1"/>
  <c r="AD41" s="1"/>
  <c r="AE41" a="1"/>
  <c r="AE41" s="1"/>
  <c r="AF41" a="1"/>
  <c r="AF41" s="1"/>
  <c r="AG41" a="1"/>
  <c r="AG41" s="1"/>
  <c r="AH41" a="1"/>
  <c r="AH41" s="1"/>
  <c r="AI41" a="1"/>
  <c r="AI41" s="1"/>
  <c r="AJ41" a="1"/>
  <c r="AJ41" s="1"/>
  <c r="AK41" a="1"/>
  <c r="AK41" s="1"/>
  <c r="AL41" a="1"/>
  <c r="AL41" s="1"/>
  <c r="AM41" a="1"/>
  <c r="AM41" s="1"/>
  <c r="AN41" a="1"/>
  <c r="AN41" s="1"/>
  <c r="AO41" a="1"/>
  <c r="AO41" s="1"/>
  <c r="AP41" a="1"/>
  <c r="AP41" s="1"/>
  <c r="AQ41" a="1"/>
  <c r="AQ41" s="1"/>
  <c r="AR41" a="1"/>
  <c r="AR41" s="1"/>
  <c r="AS41" a="1"/>
  <c r="AS41" s="1"/>
  <c r="AT41" a="1"/>
  <c r="AT41" s="1"/>
  <c r="AU41" a="1"/>
  <c r="AU41" s="1"/>
  <c r="AV41" a="1"/>
  <c r="AV41" s="1"/>
  <c r="AW41" a="1"/>
  <c r="AW41" s="1"/>
  <c r="AX41" a="1"/>
  <c r="AX41" s="1"/>
  <c r="AY41" a="1"/>
  <c r="AY41" s="1"/>
  <c r="AZ41" a="1"/>
  <c r="AZ41" s="1"/>
  <c r="BA41" a="1"/>
  <c r="BA41" s="1"/>
  <c r="BB41" a="1"/>
  <c r="BB41" s="1"/>
  <c r="BC41" a="1"/>
  <c r="BC41" s="1"/>
  <c r="BD41" a="1"/>
  <c r="BD41" s="1"/>
  <c r="BE41" a="1"/>
  <c r="BE41" s="1"/>
  <c r="BF41" a="1"/>
  <c r="BF41" s="1"/>
  <c r="D42" a="1"/>
  <c r="D42" s="1"/>
  <c r="E42" a="1"/>
  <c r="E42" s="1"/>
  <c r="F42" a="1"/>
  <c r="F42" s="1"/>
  <c r="G42" a="1"/>
  <c r="G42" s="1"/>
  <c r="H42" a="1"/>
  <c r="H42" s="1"/>
  <c r="I42" a="1"/>
  <c r="I42" s="1"/>
  <c r="J42" a="1"/>
  <c r="J42" s="1"/>
  <c r="K42" a="1"/>
  <c r="K42" s="1"/>
  <c r="L42" a="1"/>
  <c r="L42" s="1"/>
  <c r="M42" a="1"/>
  <c r="M42" s="1"/>
  <c r="N42" a="1"/>
  <c r="N42" s="1"/>
  <c r="O42" a="1"/>
  <c r="O42" s="1"/>
  <c r="P42" a="1"/>
  <c r="P42" s="1"/>
  <c r="Q42" a="1"/>
  <c r="Q42" s="1"/>
  <c r="R42" a="1"/>
  <c r="R42" s="1"/>
  <c r="S42" a="1"/>
  <c r="S42" s="1"/>
  <c r="T42" a="1"/>
  <c r="T42" s="1"/>
  <c r="U42" a="1"/>
  <c r="U42" s="1"/>
  <c r="V42" a="1"/>
  <c r="V42" s="1"/>
  <c r="W42" a="1"/>
  <c r="W42" s="1"/>
  <c r="X42" a="1"/>
  <c r="X42" s="1"/>
  <c r="Y42" a="1"/>
  <c r="Y42" s="1"/>
  <c r="Z42" a="1"/>
  <c r="Z42" s="1"/>
  <c r="AA42" a="1"/>
  <c r="AA42" s="1"/>
  <c r="AB42" a="1"/>
  <c r="AB42" s="1"/>
  <c r="AC42" a="1"/>
  <c r="AC42" s="1"/>
  <c r="AD42" a="1"/>
  <c r="AD42" s="1"/>
  <c r="AE42" a="1"/>
  <c r="AE42" s="1"/>
  <c r="AF42" a="1"/>
  <c r="AF42" s="1"/>
  <c r="AG42" a="1"/>
  <c r="AG42" s="1"/>
  <c r="AH42" a="1"/>
  <c r="AH42" s="1"/>
  <c r="AI42" a="1"/>
  <c r="AI42" s="1"/>
  <c r="AJ42" a="1"/>
  <c r="AJ42" s="1"/>
  <c r="AK42" a="1"/>
  <c r="AK42" s="1"/>
  <c r="AL42" a="1"/>
  <c r="AL42" s="1"/>
  <c r="AM42" a="1"/>
  <c r="AM42" s="1"/>
  <c r="AN42" a="1"/>
  <c r="AN42" s="1"/>
  <c r="AO42" a="1"/>
  <c r="AO42" s="1"/>
  <c r="AP42" a="1"/>
  <c r="AP42" s="1"/>
  <c r="AQ42" a="1"/>
  <c r="AQ42" s="1"/>
  <c r="AR42" a="1"/>
  <c r="AR42" s="1"/>
  <c r="AS42" a="1"/>
  <c r="AS42" s="1"/>
  <c r="AT42" a="1"/>
  <c r="AT42" s="1"/>
  <c r="AU42" a="1"/>
  <c r="AU42" s="1"/>
  <c r="AV42" a="1"/>
  <c r="AV42" s="1"/>
  <c r="AW42" a="1"/>
  <c r="AW42" s="1"/>
  <c r="AX42" a="1"/>
  <c r="AX42" s="1"/>
  <c r="AY42" a="1"/>
  <c r="AY42" s="1"/>
  <c r="AZ42" a="1"/>
  <c r="AZ42" s="1"/>
  <c r="BA42" a="1"/>
  <c r="BA42" s="1"/>
  <c r="BB42" a="1"/>
  <c r="BB42" s="1"/>
  <c r="BC42" a="1"/>
  <c r="BC42" s="1"/>
  <c r="BD42" a="1"/>
  <c r="BD42" s="1"/>
  <c r="BE42" a="1"/>
  <c r="BE42" s="1"/>
  <c r="BF42" a="1"/>
  <c r="BF42" s="1"/>
  <c r="B1" i="3" a="1"/>
  <c r="B1" s="1"/>
  <c r="C35" a="1"/>
  <c r="C35" s="1"/>
  <c r="C40" a="1"/>
  <c r="C40" s="1"/>
  <c r="A16" i="4"/>
  <c r="B16"/>
  <c r="B15" s="1"/>
  <c r="C16"/>
  <c r="C15" s="1"/>
  <c r="D16"/>
  <c r="D15" s="1"/>
  <c r="E16"/>
  <c r="E15" s="1"/>
  <c r="F16"/>
  <c r="F15" s="1"/>
  <c r="G16"/>
  <c r="G15" s="1"/>
  <c r="H16"/>
  <c r="H15" s="1"/>
  <c r="I16"/>
  <c r="I15" s="1"/>
  <c r="J16"/>
  <c r="J15" s="1"/>
  <c r="K16"/>
  <c r="K15" s="1"/>
  <c r="L16"/>
  <c r="L15" s="1"/>
  <c r="M16"/>
  <c r="M15" s="1"/>
  <c r="N16"/>
  <c r="N15" s="1"/>
  <c r="O16"/>
  <c r="O15" s="1"/>
  <c r="Z16"/>
  <c r="Z15" s="1"/>
  <c r="AA16"/>
  <c r="AA15" s="1"/>
  <c r="AB16"/>
  <c r="AB15" s="1"/>
  <c r="AC16"/>
  <c r="AC15" s="1"/>
  <c r="AD16"/>
  <c r="AD15" s="1"/>
  <c r="AE16"/>
  <c r="AE15" s="1"/>
  <c r="AF16"/>
  <c r="AF15" s="1"/>
  <c r="AG16"/>
  <c r="AG15" s="1"/>
  <c r="AH16"/>
  <c r="AH15" s="1"/>
  <c r="AI16"/>
  <c r="AI15" s="1"/>
  <c r="AJ16"/>
  <c r="AJ15" s="1"/>
  <c r="AK16"/>
  <c r="AK15" s="1"/>
  <c r="AL16"/>
  <c r="AL15" s="1"/>
  <c r="AM16"/>
  <c r="AM15" s="1"/>
  <c r="AN16"/>
  <c r="AN15" s="1"/>
  <c r="AO16"/>
  <c r="AO15" s="1"/>
  <c r="A17"/>
  <c r="B17"/>
  <c r="C17"/>
  <c r="D17"/>
  <c r="E17"/>
  <c r="F17"/>
  <c r="G17"/>
  <c r="H17"/>
  <c r="I17"/>
  <c r="J17"/>
  <c r="K17"/>
  <c r="L17"/>
  <c r="M17"/>
  <c r="N17"/>
  <c r="O17"/>
  <c r="Z17"/>
  <c r="AA17"/>
  <c r="AB17"/>
  <c r="AC17"/>
  <c r="AD17"/>
  <c r="AE17"/>
  <c r="AF17"/>
  <c r="AG17"/>
  <c r="AH17"/>
  <c r="AI17"/>
  <c r="AJ17"/>
  <c r="AK17"/>
  <c r="AL17"/>
  <c r="AM17"/>
  <c r="AN17"/>
  <c r="AO17"/>
  <c r="A18"/>
  <c r="B18"/>
  <c r="C18"/>
  <c r="D18"/>
  <c r="E18"/>
  <c r="F18"/>
  <c r="G18"/>
  <c r="H18"/>
  <c r="I18"/>
  <c r="J18"/>
  <c r="K18"/>
  <c r="L18"/>
  <c r="M18"/>
  <c r="N18"/>
  <c r="O18"/>
  <c r="Z18"/>
  <c r="AA18"/>
  <c r="AB18"/>
  <c r="AC18"/>
  <c r="AD18"/>
  <c r="AE18"/>
  <c r="AF18"/>
  <c r="AG18"/>
  <c r="AH18"/>
  <c r="AI18"/>
  <c r="AJ18"/>
  <c r="AK18"/>
  <c r="AL18"/>
  <c r="AM18"/>
  <c r="AN18"/>
  <c r="AO18"/>
  <c r="A19"/>
  <c r="B19"/>
  <c r="C19"/>
  <c r="D19"/>
  <c r="E19"/>
  <c r="F19"/>
  <c r="G19"/>
  <c r="H19"/>
  <c r="I19"/>
  <c r="J19"/>
  <c r="K19"/>
  <c r="L19"/>
  <c r="M19"/>
  <c r="N19"/>
  <c r="O19"/>
  <c r="Z19"/>
  <c r="AA19"/>
  <c r="AB19"/>
  <c r="AC19"/>
  <c r="AD19"/>
  <c r="AE19"/>
  <c r="AF19"/>
  <c r="AG19"/>
  <c r="AH19"/>
  <c r="AI19"/>
  <c r="AJ19"/>
  <c r="AK19"/>
  <c r="AL19"/>
  <c r="AM19"/>
  <c r="AN19"/>
  <c r="AO19"/>
  <c r="A20"/>
  <c r="B20"/>
  <c r="C20"/>
  <c r="D20"/>
  <c r="E20"/>
  <c r="F20"/>
  <c r="G20"/>
  <c r="H20"/>
  <c r="I20"/>
  <c r="J20"/>
  <c r="K20"/>
  <c r="L20"/>
  <c r="M20"/>
  <c r="N20"/>
  <c r="O20"/>
  <c r="Z20"/>
  <c r="AA20"/>
  <c r="AB20"/>
  <c r="AC20"/>
  <c r="AD20"/>
  <c r="AE20"/>
  <c r="AF20"/>
  <c r="AG20"/>
  <c r="AH20"/>
  <c r="AI20"/>
  <c r="AJ20"/>
  <c r="AK20"/>
  <c r="AL20"/>
  <c r="AM20"/>
  <c r="AN20"/>
  <c r="AO20"/>
  <c r="A21"/>
  <c r="B21"/>
  <c r="C21"/>
  <c r="D21"/>
  <c r="E21"/>
  <c r="F21"/>
  <c r="G21"/>
  <c r="H21"/>
  <c r="I21"/>
  <c r="J21"/>
  <c r="K21"/>
  <c r="L21"/>
  <c r="M21"/>
  <c r="N21"/>
  <c r="O21"/>
  <c r="Z21"/>
  <c r="AA21"/>
  <c r="AB21"/>
  <c r="AC21"/>
  <c r="AD21"/>
  <c r="AE21"/>
  <c r="AF21"/>
  <c r="AG21"/>
  <c r="AH21"/>
  <c r="AI21"/>
  <c r="AJ21"/>
  <c r="AK21"/>
  <c r="AL21"/>
  <c r="AM21"/>
  <c r="AN21"/>
  <c r="AO21"/>
  <c r="A22"/>
  <c r="B22"/>
  <c r="C22"/>
  <c r="D22"/>
  <c r="E22"/>
  <c r="F22"/>
  <c r="G22"/>
  <c r="H22"/>
  <c r="I22"/>
  <c r="J22"/>
  <c r="K22"/>
  <c r="L22"/>
  <c r="M22"/>
  <c r="N22"/>
  <c r="O22"/>
  <c r="Z22"/>
  <c r="AA22"/>
  <c r="AB22"/>
  <c r="AC22"/>
  <c r="AD22"/>
  <c r="AE22"/>
  <c r="AF22"/>
  <c r="AG22"/>
  <c r="AH22"/>
  <c r="AI22"/>
  <c r="AJ22"/>
  <c r="AK22"/>
  <c r="AL22"/>
  <c r="AM22"/>
  <c r="AN22"/>
  <c r="AO22"/>
  <c r="A23"/>
  <c r="B23"/>
  <c r="C23"/>
  <c r="D23"/>
  <c r="E23"/>
  <c r="F23"/>
  <c r="G23"/>
  <c r="H23"/>
  <c r="I23"/>
  <c r="J23"/>
  <c r="K23"/>
  <c r="L23"/>
  <c r="M23"/>
  <c r="N23"/>
  <c r="O23"/>
  <c r="Z23"/>
  <c r="AA23"/>
  <c r="AB23"/>
  <c r="AC23"/>
  <c r="AD23"/>
  <c r="AE23"/>
  <c r="AF23"/>
  <c r="AG23"/>
  <c r="AH23"/>
  <c r="AI23"/>
  <c r="AJ23"/>
  <c r="AK23"/>
  <c r="AL23"/>
  <c r="AM23"/>
  <c r="AN23"/>
  <c r="AO23"/>
  <c r="A24"/>
  <c r="B24"/>
  <c r="C24"/>
  <c r="D24"/>
  <c r="E24"/>
  <c r="F24"/>
  <c r="G24"/>
  <c r="H24"/>
  <c r="I24"/>
  <c r="J24"/>
  <c r="K24"/>
  <c r="L24"/>
  <c r="M24"/>
  <c r="N24"/>
  <c r="O24"/>
  <c r="Z24"/>
  <c r="AA24"/>
  <c r="AB24"/>
  <c r="AC24"/>
  <c r="AD24"/>
  <c r="AE24"/>
  <c r="AF24"/>
  <c r="AG24"/>
  <c r="AH24"/>
  <c r="AI24"/>
  <c r="AJ24"/>
  <c r="AK24"/>
  <c r="AL24"/>
  <c r="AM24"/>
  <c r="AN24"/>
  <c r="AO24"/>
  <c r="A25"/>
  <c r="B25"/>
  <c r="C25"/>
  <c r="D25"/>
  <c r="E25"/>
  <c r="F25"/>
  <c r="G25"/>
  <c r="H25"/>
  <c r="I25"/>
  <c r="J25"/>
  <c r="K25"/>
  <c r="L25"/>
  <c r="M25"/>
  <c r="N25"/>
  <c r="O25"/>
  <c r="Z25"/>
  <c r="AA25"/>
  <c r="AB25"/>
  <c r="AC25"/>
  <c r="AD25"/>
  <c r="AE25"/>
  <c r="AF25"/>
  <c r="AG25"/>
  <c r="AH25"/>
  <c r="AI25"/>
  <c r="AJ25"/>
  <c r="AK25"/>
  <c r="AL25"/>
  <c r="AM25"/>
  <c r="AN25"/>
  <c r="AO25"/>
  <c r="A26"/>
  <c r="B26"/>
  <c r="C26"/>
  <c r="D26"/>
  <c r="E26"/>
  <c r="F26"/>
  <c r="G26"/>
  <c r="H26"/>
  <c r="I26"/>
  <c r="J26"/>
  <c r="K26"/>
  <c r="L26"/>
  <c r="M26"/>
  <c r="N26"/>
  <c r="O26"/>
  <c r="Z26"/>
  <c r="AA26"/>
  <c r="AB26"/>
  <c r="AC26"/>
  <c r="AD26"/>
  <c r="AE26"/>
  <c r="AF26"/>
  <c r="AG26"/>
  <c r="AH26"/>
  <c r="AI26"/>
  <c r="AJ26"/>
  <c r="AK26"/>
  <c r="AL26"/>
  <c r="AM26"/>
  <c r="AN26"/>
  <c r="AO26"/>
  <c r="A28"/>
  <c r="A29"/>
  <c r="B29"/>
  <c r="B41" s="1"/>
  <c r="B42" s="1"/>
  <c r="C29"/>
  <c r="D29"/>
  <c r="D41" s="1"/>
  <c r="D42" s="1"/>
  <c r="E29"/>
  <c r="F29"/>
  <c r="F41" s="1"/>
  <c r="F42" s="1"/>
  <c r="G29"/>
  <c r="H29"/>
  <c r="H41" s="1"/>
  <c r="H42" s="1"/>
  <c r="I29"/>
  <c r="J29"/>
  <c r="J41" s="1"/>
  <c r="J42" s="1"/>
  <c r="K29"/>
  <c r="L29"/>
  <c r="L41" s="1"/>
  <c r="L42" s="1"/>
  <c r="M29"/>
  <c r="N29"/>
  <c r="N41" s="1"/>
  <c r="N42" s="1"/>
  <c r="O29"/>
  <c r="Z29"/>
  <c r="Z41" s="1"/>
  <c r="Z42" s="1"/>
  <c r="AA29"/>
  <c r="AB29"/>
  <c r="AB41" s="1"/>
  <c r="AB42" s="1"/>
  <c r="AC29"/>
  <c r="AD29"/>
  <c r="AD41" s="1"/>
  <c r="AD42" s="1"/>
  <c r="AE29"/>
  <c r="AF29"/>
  <c r="AF41" s="1"/>
  <c r="AF42" s="1"/>
  <c r="AG29"/>
  <c r="AH29"/>
  <c r="AH41" s="1"/>
  <c r="AH42" s="1"/>
  <c r="AI29"/>
  <c r="AJ29"/>
  <c r="AJ41" s="1"/>
  <c r="AJ42" s="1"/>
  <c r="AK29"/>
  <c r="AL29"/>
  <c r="AL41" s="1"/>
  <c r="AL42" s="1"/>
  <c r="AM29"/>
  <c r="AN29"/>
  <c r="AN41" s="1"/>
  <c r="AN42" s="1"/>
  <c r="AO29"/>
  <c r="A30"/>
  <c r="B30"/>
  <c r="C30"/>
  <c r="D30"/>
  <c r="E30"/>
  <c r="F30"/>
  <c r="G30"/>
  <c r="H30"/>
  <c r="I30"/>
  <c r="J30"/>
  <c r="K30"/>
  <c r="L30"/>
  <c r="M30"/>
  <c r="N30"/>
  <c r="O30"/>
  <c r="Z30"/>
  <c r="AA30"/>
  <c r="AB30"/>
  <c r="AC30"/>
  <c r="AD30"/>
  <c r="AE30"/>
  <c r="AF30"/>
  <c r="AG30"/>
  <c r="AH30"/>
  <c r="AI30"/>
  <c r="AJ30"/>
  <c r="AK30"/>
  <c r="AL30"/>
  <c r="AM30"/>
  <c r="AN30"/>
  <c r="AO30"/>
  <c r="A31"/>
  <c r="B31"/>
  <c r="C31"/>
  <c r="D31"/>
  <c r="E31"/>
  <c r="F31"/>
  <c r="G31"/>
  <c r="H31"/>
  <c r="I31"/>
  <c r="J31"/>
  <c r="K31"/>
  <c r="L31"/>
  <c r="M31"/>
  <c r="N31"/>
  <c r="O31"/>
  <c r="Z31"/>
  <c r="AA31"/>
  <c r="AB31"/>
  <c r="AC31"/>
  <c r="AD31"/>
  <c r="AE31"/>
  <c r="AF31"/>
  <c r="AG31"/>
  <c r="AH31"/>
  <c r="AI31"/>
  <c r="AJ31"/>
  <c r="AK31"/>
  <c r="AL31"/>
  <c r="AM31"/>
  <c r="AN31"/>
  <c r="AO31"/>
  <c r="A32"/>
  <c r="B32"/>
  <c r="C32"/>
  <c r="D32"/>
  <c r="E32"/>
  <c r="F32"/>
  <c r="G32"/>
  <c r="H32"/>
  <c r="I32"/>
  <c r="J32"/>
  <c r="K32"/>
  <c r="L32"/>
  <c r="M32"/>
  <c r="N32"/>
  <c r="O32"/>
  <c r="Z32"/>
  <c r="AA32"/>
  <c r="AB32"/>
  <c r="AC32"/>
  <c r="AD32"/>
  <c r="AE32"/>
  <c r="AF32"/>
  <c r="AG32"/>
  <c r="AH32"/>
  <c r="AI32"/>
  <c r="AJ32"/>
  <c r="AK32"/>
  <c r="AL32"/>
  <c r="AM32"/>
  <c r="AN32"/>
  <c r="AO32"/>
  <c r="A33"/>
  <c r="B33"/>
  <c r="C33"/>
  <c r="D33"/>
  <c r="E33"/>
  <c r="F33"/>
  <c r="G33"/>
  <c r="H33"/>
  <c r="I33"/>
  <c r="J33"/>
  <c r="K33"/>
  <c r="L33"/>
  <c r="M33"/>
  <c r="N33"/>
  <c r="O33"/>
  <c r="Z33"/>
  <c r="AA33"/>
  <c r="AB33"/>
  <c r="AC33"/>
  <c r="AD33"/>
  <c r="AE33"/>
  <c r="AF33"/>
  <c r="AG33"/>
  <c r="AH33"/>
  <c r="AI33"/>
  <c r="AJ33"/>
  <c r="AK33"/>
  <c r="AL33"/>
  <c r="AM33"/>
  <c r="AN33"/>
  <c r="AO33"/>
  <c r="A34"/>
  <c r="B34"/>
  <c r="C34"/>
  <c r="D34"/>
  <c r="E34"/>
  <c r="F34"/>
  <c r="G34"/>
  <c r="H34"/>
  <c r="I34"/>
  <c r="J34"/>
  <c r="K34"/>
  <c r="L34"/>
  <c r="M34"/>
  <c r="N34"/>
  <c r="O34"/>
  <c r="Z34"/>
  <c r="AA34"/>
  <c r="AB34"/>
  <c r="AC34"/>
  <c r="AD34"/>
  <c r="AE34"/>
  <c r="AF34"/>
  <c r="AG34"/>
  <c r="AH34"/>
  <c r="AI34"/>
  <c r="AJ34"/>
  <c r="AK34"/>
  <c r="AL34"/>
  <c r="AM34"/>
  <c r="AN34"/>
  <c r="AO34"/>
  <c r="A35"/>
  <c r="B35"/>
  <c r="C35"/>
  <c r="D35"/>
  <c r="E35"/>
  <c r="F35"/>
  <c r="G35"/>
  <c r="H35"/>
  <c r="I35"/>
  <c r="J35"/>
  <c r="K35"/>
  <c r="L35"/>
  <c r="M35"/>
  <c r="N35"/>
  <c r="O35"/>
  <c r="Z35"/>
  <c r="AA35"/>
  <c r="AB35"/>
  <c r="AC35"/>
  <c r="AD35"/>
  <c r="AE35"/>
  <c r="AF35"/>
  <c r="AG35"/>
  <c r="AH35"/>
  <c r="AI35"/>
  <c r="AJ35"/>
  <c r="AK35"/>
  <c r="AL35"/>
  <c r="AM35"/>
  <c r="AN35"/>
  <c r="AO35"/>
  <c r="A36"/>
  <c r="B36"/>
  <c r="C36"/>
  <c r="D36"/>
  <c r="E36"/>
  <c r="F36"/>
  <c r="G36"/>
  <c r="H36"/>
  <c r="I36"/>
  <c r="J36"/>
  <c r="K36"/>
  <c r="L36"/>
  <c r="M36"/>
  <c r="N36"/>
  <c r="O36"/>
  <c r="Z36"/>
  <c r="AA36"/>
  <c r="AB36"/>
  <c r="AC36"/>
  <c r="AD36"/>
  <c r="AE36"/>
  <c r="AF36"/>
  <c r="AG36"/>
  <c r="AH36"/>
  <c r="AI36"/>
  <c r="AJ36"/>
  <c r="AK36"/>
  <c r="AL36"/>
  <c r="AM36"/>
  <c r="AN36"/>
  <c r="AO36"/>
  <c r="A37"/>
  <c r="B37"/>
  <c r="C37"/>
  <c r="D37"/>
  <c r="E37"/>
  <c r="F37"/>
  <c r="G37"/>
  <c r="H37"/>
  <c r="I37"/>
  <c r="J37"/>
  <c r="K37"/>
  <c r="L37"/>
  <c r="M37"/>
  <c r="N37"/>
  <c r="O37"/>
  <c r="Z37"/>
  <c r="AA37"/>
  <c r="AB37"/>
  <c r="AC37"/>
  <c r="AD37"/>
  <c r="AE37"/>
  <c r="AF37"/>
  <c r="AG37"/>
  <c r="AH37"/>
  <c r="AI37"/>
  <c r="AJ37"/>
  <c r="AK37"/>
  <c r="AL37"/>
  <c r="AM37"/>
  <c r="AN37"/>
  <c r="AO37"/>
  <c r="A38"/>
  <c r="B38"/>
  <c r="C38"/>
  <c r="D38"/>
  <c r="E38"/>
  <c r="F38"/>
  <c r="G38"/>
  <c r="H38"/>
  <c r="I38"/>
  <c r="J38"/>
  <c r="K38"/>
  <c r="L38"/>
  <c r="M38"/>
  <c r="N38"/>
  <c r="O38"/>
  <c r="Z38"/>
  <c r="AA38"/>
  <c r="AB38"/>
  <c r="AC38"/>
  <c r="AD38"/>
  <c r="AE38"/>
  <c r="AF38"/>
  <c r="AG38"/>
  <c r="AH38"/>
  <c r="AI38"/>
  <c r="AJ38"/>
  <c r="AK38"/>
  <c r="AL38"/>
  <c r="AM38"/>
  <c r="AN38"/>
  <c r="AO38"/>
  <c r="A39"/>
  <c r="B39"/>
  <c r="C39"/>
  <c r="D39"/>
  <c r="E39"/>
  <c r="F39"/>
  <c r="G39"/>
  <c r="H39"/>
  <c r="I39"/>
  <c r="J39"/>
  <c r="K39"/>
  <c r="L39"/>
  <c r="M39"/>
  <c r="N39"/>
  <c r="O39"/>
  <c r="Z39"/>
  <c r="AA39"/>
  <c r="AB39"/>
  <c r="AC39"/>
  <c r="AD39"/>
  <c r="AE39"/>
  <c r="AF39"/>
  <c r="AG39"/>
  <c r="AH39"/>
  <c r="AI39"/>
  <c r="AJ39"/>
  <c r="AK39"/>
  <c r="AL39"/>
  <c r="AM39"/>
  <c r="AN39"/>
  <c r="AO39"/>
  <c r="A41"/>
  <c r="A42" s="1"/>
  <c r="C41"/>
  <c r="C42" s="1"/>
  <c r="E41"/>
  <c r="E42" s="1"/>
  <c r="G41"/>
  <c r="G42" s="1"/>
  <c r="I41"/>
  <c r="I42" s="1"/>
  <c r="K41"/>
  <c r="K42" s="1"/>
  <c r="M41"/>
  <c r="M42" s="1"/>
  <c r="O41"/>
  <c r="O42" s="1"/>
  <c r="AA41"/>
  <c r="AA42" s="1"/>
  <c r="AC41"/>
  <c r="AC42" s="1"/>
  <c r="AE41"/>
  <c r="AE42" s="1"/>
  <c r="AG41"/>
  <c r="AG42" s="1"/>
  <c r="AI41"/>
  <c r="AI42" s="1"/>
  <c r="AK41"/>
  <c r="AK42" s="1"/>
  <c r="AM41"/>
  <c r="AM42" s="1"/>
  <c r="AO41"/>
  <c r="AO42" s="1"/>
  <c r="H44"/>
  <c r="D45" a="1"/>
  <c r="D45" s="1"/>
  <c r="H45"/>
  <c r="K45" s="1"/>
  <c r="N45" s="1"/>
  <c r="C4" i="7" s="1"/>
  <c r="D46" i="4" a="1"/>
  <c r="D46" s="1"/>
  <c r="L46"/>
  <c r="H46" s="1"/>
  <c r="M46" s="1"/>
  <c r="B5" i="7" s="1"/>
  <c r="D47" i="4" a="1"/>
  <c r="D47" s="1"/>
  <c r="L47"/>
  <c r="H47" s="1"/>
  <c r="K47" s="1"/>
  <c r="N47" s="1"/>
  <c r="C6" i="7" s="1"/>
  <c r="D48" i="4" a="1"/>
  <c r="D48" s="1"/>
  <c r="L48"/>
  <c r="H48" s="1"/>
  <c r="M48" s="1"/>
  <c r="B7" i="7" s="1"/>
  <c r="D49" i="4" a="1"/>
  <c r="D49" s="1"/>
  <c r="L49"/>
  <c r="H49" s="1"/>
  <c r="K49" s="1"/>
  <c r="N49" s="1"/>
  <c r="C8" i="7" s="1"/>
  <c r="D50" i="4" a="1"/>
  <c r="D50" s="1"/>
  <c r="D51" a="1"/>
  <c r="D51" s="1"/>
  <c r="D52" a="1"/>
  <c r="D52" s="1"/>
  <c r="D53" a="1"/>
  <c r="D53" s="1"/>
  <c r="D54" a="1"/>
  <c r="D54" s="1"/>
  <c r="D55" a="1"/>
  <c r="D55" s="1"/>
  <c r="D56" a="1"/>
  <c r="D56" s="1"/>
  <c r="D57" a="1"/>
  <c r="D57" s="1"/>
  <c r="D58" a="1"/>
  <c r="D58" s="1"/>
  <c r="D59" a="1"/>
  <c r="D59" s="1"/>
  <c r="D60" a="1"/>
  <c r="D60" s="1"/>
  <c r="D61" a="1"/>
  <c r="D61" s="1"/>
  <c r="D62" a="1"/>
  <c r="D62" s="1"/>
  <c r="D63" a="1"/>
  <c r="D63" s="1"/>
  <c r="D64" a="1"/>
  <c r="D64" s="1"/>
  <c r="D65" a="1"/>
  <c r="D65" s="1"/>
  <c r="D66" a="1"/>
  <c r="D66" s="1"/>
  <c r="D67" a="1"/>
  <c r="D67" s="1"/>
  <c r="D68" a="1"/>
  <c r="D68" s="1"/>
  <c r="D69" a="1"/>
  <c r="D69" s="1"/>
  <c r="D70" a="1"/>
  <c r="D70" s="1"/>
  <c r="D71" a="1"/>
  <c r="D71" s="1"/>
  <c r="D72" a="1"/>
  <c r="D72" s="1"/>
  <c r="D73" a="1"/>
  <c r="D73" s="1"/>
  <c r="D74" a="1"/>
  <c r="D74" s="1"/>
  <c r="D75" a="1"/>
  <c r="D75" s="1"/>
  <c r="D76" a="1"/>
  <c r="D76" s="1"/>
  <c r="D77" a="1"/>
  <c r="D77" s="1"/>
  <c r="D78" a="1"/>
  <c r="D78" s="1"/>
  <c r="D79" a="1"/>
  <c r="D79" s="1"/>
  <c r="D80" a="1"/>
  <c r="D80" s="1"/>
  <c r="K86"/>
  <c r="N86" s="1"/>
  <c r="M86"/>
  <c r="O86"/>
  <c r="K87"/>
  <c r="N87" s="1"/>
  <c r="M87"/>
  <c r="O87"/>
  <c r="H89" a="1"/>
  <c r="H89" s="1"/>
  <c r="H90" a="1"/>
  <c r="H90" s="1"/>
  <c r="H91" a="1"/>
  <c r="H91" s="1"/>
  <c r="H92" a="1"/>
  <c r="H92" s="1"/>
  <c r="O6" i="5"/>
  <c r="O7" s="1"/>
  <c r="O8"/>
  <c r="O9" s="1"/>
  <c r="O10" s="1"/>
  <c r="O11" s="1"/>
  <c r="O12" s="1"/>
  <c r="O13" s="1"/>
  <c r="O14" s="1"/>
  <c r="O15" s="1"/>
  <c r="O16" s="1"/>
  <c r="A4" i="7"/>
  <c r="A6"/>
  <c r="A8"/>
  <c r="C1" i="1" a="1"/>
  <c r="C1" s="1"/>
  <c r="D1" a="1"/>
  <c r="D1" s="1"/>
  <c r="C2" a="1"/>
  <c r="C2" s="1"/>
  <c r="D2" a="1"/>
  <c r="D2" s="1"/>
  <c r="C3" a="1"/>
  <c r="C3" s="1"/>
  <c r="A5"/>
  <c r="A6"/>
  <c r="A7"/>
  <c r="A8"/>
  <c r="A9"/>
  <c r="A10"/>
  <c r="A11"/>
  <c r="A12"/>
  <c r="A13"/>
  <c r="A14"/>
  <c r="A15"/>
  <c r="A16"/>
  <c r="A17"/>
  <c r="A18"/>
  <c r="A19"/>
  <c r="A20"/>
  <c r="A21"/>
  <c r="AA21"/>
  <c r="AB21"/>
  <c r="AC21"/>
  <c r="AD21"/>
  <c r="A22"/>
  <c r="AA22"/>
  <c r="AB22"/>
  <c r="AC22"/>
  <c r="AD22"/>
  <c r="A23"/>
  <c r="AA23"/>
  <c r="AB23"/>
  <c r="AC23"/>
  <c r="AD23"/>
  <c r="A24"/>
  <c r="Y24"/>
  <c r="Z24"/>
  <c r="AA24"/>
  <c r="AB24"/>
  <c r="AC24"/>
  <c r="AD24"/>
  <c r="A25"/>
  <c r="Y25"/>
  <c r="Z25"/>
  <c r="AA25"/>
  <c r="AB25"/>
  <c r="AC25"/>
  <c r="AD25"/>
  <c r="A26"/>
  <c r="Y26"/>
  <c r="Z26"/>
  <c r="AA26"/>
  <c r="AB26"/>
  <c r="AC26"/>
  <c r="AD26"/>
  <c r="A27"/>
  <c r="Y27"/>
  <c r="Z27"/>
  <c r="AA27"/>
  <c r="AB27"/>
  <c r="AC27"/>
  <c r="AD27"/>
  <c r="A28"/>
  <c r="Y28"/>
  <c r="Z28"/>
  <c r="AA28"/>
  <c r="AB28"/>
  <c r="AC28"/>
  <c r="AD28"/>
  <c r="A29"/>
  <c r="Y29"/>
  <c r="Z29"/>
  <c r="AA29"/>
  <c r="AB29"/>
  <c r="AC29"/>
  <c r="AD29"/>
  <c r="A30"/>
  <c r="Y30"/>
  <c r="Z30"/>
  <c r="AA30"/>
  <c r="AB30"/>
  <c r="AC30"/>
  <c r="AD30"/>
  <c r="A31"/>
  <c r="Y31"/>
  <c r="Z31"/>
  <c r="AA31"/>
  <c r="AB31"/>
  <c r="AC31"/>
  <c r="AD31"/>
  <c r="A32"/>
  <c r="Y32"/>
  <c r="Z32"/>
  <c r="AA32"/>
  <c r="AB32"/>
  <c r="AC32"/>
  <c r="AD32"/>
  <c r="A33"/>
  <c r="Y33"/>
  <c r="Z33"/>
  <c r="AA33"/>
  <c r="AB33"/>
  <c r="AC33"/>
  <c r="AD33"/>
  <c r="A34"/>
  <c r="Y34"/>
  <c r="Z34"/>
  <c r="AA34"/>
  <c r="AB34"/>
  <c r="AC34"/>
  <c r="AD34"/>
  <c r="A35"/>
  <c r="Y35"/>
  <c r="Z35"/>
  <c r="AA35"/>
  <c r="AB35"/>
  <c r="AC35"/>
  <c r="AD35"/>
  <c r="A36"/>
  <c r="Y36"/>
  <c r="Z36"/>
  <c r="AA36"/>
  <c r="AB36"/>
  <c r="AC36"/>
  <c r="AD36"/>
  <c r="A37"/>
  <c r="Y37"/>
  <c r="Z37"/>
  <c r="AA37"/>
  <c r="AB37"/>
  <c r="AC37"/>
  <c r="AD37"/>
  <c r="A38"/>
  <c r="Y38"/>
  <c r="Z38"/>
  <c r="AA38"/>
  <c r="AB38"/>
  <c r="AC38"/>
  <c r="AD38"/>
  <c r="A39"/>
  <c r="Y39"/>
  <c r="Z39"/>
  <c r="AA39"/>
  <c r="AB39"/>
  <c r="AC39"/>
  <c r="AD39"/>
  <c r="A40"/>
  <c r="Y40"/>
  <c r="Z40"/>
  <c r="AA40"/>
  <c r="AB40"/>
  <c r="AC40"/>
  <c r="AD40"/>
  <c r="A41"/>
  <c r="Y41"/>
  <c r="Z41"/>
  <c r="AA41"/>
  <c r="AB41"/>
  <c r="AC41"/>
  <c r="AD41"/>
  <c r="A42"/>
  <c r="Y42"/>
  <c r="Z42"/>
  <c r="AA42"/>
  <c r="AB42"/>
  <c r="AC42"/>
  <c r="AD42"/>
  <c r="A43"/>
  <c r="Y43"/>
  <c r="Z43"/>
  <c r="AA43"/>
  <c r="AB43"/>
  <c r="AC43"/>
  <c r="AD43"/>
  <c r="A44"/>
  <c r="Y44"/>
  <c r="Z44"/>
  <c r="AA44"/>
  <c r="AB44"/>
  <c r="AC44"/>
  <c r="AD44"/>
  <c r="A45"/>
  <c r="Y45"/>
  <c r="Z45"/>
  <c r="AA45"/>
  <c r="AB45"/>
  <c r="AC45"/>
  <c r="AD45"/>
  <c r="A46"/>
  <c r="Y46"/>
  <c r="Z46"/>
  <c r="AA46"/>
  <c r="AB46"/>
  <c r="AC46"/>
  <c r="AD46"/>
  <c r="A47"/>
  <c r="Y47"/>
  <c r="Z47"/>
  <c r="AA47"/>
  <c r="AB47"/>
  <c r="AC47"/>
  <c r="AD47"/>
  <c r="A48"/>
  <c r="Y48"/>
  <c r="Z48"/>
  <c r="AA48"/>
  <c r="AB48"/>
  <c r="AC48"/>
  <c r="AD48"/>
  <c r="A49"/>
  <c r="Y49"/>
  <c r="Z49"/>
  <c r="AA49"/>
  <c r="AB49"/>
  <c r="AC49"/>
  <c r="AD49"/>
  <c r="A50"/>
  <c r="Y50"/>
  <c r="Z50"/>
  <c r="AA50"/>
  <c r="AB50"/>
  <c r="AC50"/>
  <c r="AD50"/>
  <c r="A51"/>
  <c r="Y51"/>
  <c r="Z51"/>
  <c r="AA51"/>
  <c r="AB51"/>
  <c r="AC51"/>
  <c r="AD51"/>
  <c r="A52"/>
  <c r="Y52"/>
  <c r="Z52"/>
  <c r="AA52"/>
  <c r="AB52"/>
  <c r="AC52"/>
  <c r="AD52"/>
  <c r="A53"/>
  <c r="Y53"/>
  <c r="Z53"/>
  <c r="AA53"/>
  <c r="AB53"/>
  <c r="AC53"/>
  <c r="AD53"/>
  <c r="A54"/>
  <c r="Y54"/>
  <c r="Z54"/>
  <c r="AA54"/>
  <c r="AB54"/>
  <c r="AC54"/>
  <c r="AD54"/>
  <c r="A55"/>
  <c r="Y55"/>
  <c r="Z55"/>
  <c r="AA55"/>
  <c r="AB55"/>
  <c r="AC55"/>
  <c r="AD55"/>
  <c r="A56"/>
  <c r="Y56"/>
  <c r="Z56"/>
  <c r="AA56"/>
  <c r="AB56"/>
  <c r="AC56"/>
  <c r="AD56"/>
  <c r="A57"/>
  <c r="Y57"/>
  <c r="Z57"/>
  <c r="AA57"/>
  <c r="AB57"/>
  <c r="AC57"/>
  <c r="AD57"/>
  <c r="A58"/>
  <c r="Y58"/>
  <c r="Z58"/>
  <c r="AA58"/>
  <c r="AB58"/>
  <c r="AC58"/>
  <c r="AD58"/>
  <c r="A59"/>
  <c r="Y59"/>
  <c r="Z59"/>
  <c r="AA59"/>
  <c r="AB59"/>
  <c r="AC59"/>
  <c r="AD59"/>
  <c r="O61"/>
  <c r="P61"/>
  <c r="O63" a="1"/>
  <c r="O63" s="1"/>
  <c r="P63" a="1"/>
  <c r="P63" s="1"/>
  <c r="Q63"/>
  <c r="R63"/>
  <c r="S63"/>
  <c r="T63"/>
  <c r="U63"/>
  <c r="V63"/>
  <c r="W63"/>
  <c r="X63"/>
  <c r="Y63"/>
  <c r="O64" a="1"/>
  <c r="O64" s="1"/>
  <c r="P64" a="1"/>
  <c r="P64" s="1"/>
  <c r="S65"/>
  <c r="W65"/>
  <c r="AO43" i="4"/>
  <c r="AM43"/>
  <c r="AK43"/>
  <c r="AI43"/>
  <c r="AG43"/>
  <c r="AE43"/>
  <c r="AC43"/>
  <c r="AA43"/>
  <c r="O43"/>
  <c r="M43"/>
  <c r="K43"/>
  <c r="I43"/>
  <c r="G43"/>
  <c r="E43"/>
  <c r="C43"/>
  <c r="R53" i="2"/>
  <c r="N53"/>
  <c r="J53"/>
  <c r="F53"/>
  <c r="CH8"/>
  <c r="CH19"/>
  <c r="CH12"/>
  <c r="CH20"/>
  <c r="CH23"/>
  <c r="CH30"/>
  <c r="CH5"/>
  <c r="CH6"/>
  <c r="CE10"/>
  <c r="CH14"/>
  <c r="CH17"/>
  <c r="CH28"/>
  <c r="CH31"/>
  <c r="CE35"/>
  <c r="CH38"/>
  <c r="S53"/>
  <c r="O53"/>
  <c r="K53"/>
  <c r="G53"/>
  <c r="CG8"/>
  <c r="CE8"/>
  <c r="CK24"/>
  <c r="CG19"/>
  <c r="CE19"/>
  <c r="CK29"/>
  <c r="CG12"/>
  <c r="CE12"/>
  <c r="CK13"/>
  <c r="CG20"/>
  <c r="CE20"/>
  <c r="CK21"/>
  <c r="CG23"/>
  <c r="CE23"/>
  <c r="CK27"/>
  <c r="CG30"/>
  <c r="CE30"/>
  <c r="CK34"/>
  <c r="CI24"/>
  <c r="CK5"/>
  <c r="CK6"/>
  <c r="CG10"/>
  <c r="CG11"/>
  <c r="CE11"/>
  <c r="CK14"/>
  <c r="CG15"/>
  <c r="CE15"/>
  <c r="CK17"/>
  <c r="CG22"/>
  <c r="CE22"/>
  <c r="CK28"/>
  <c r="CK31"/>
  <c r="CG35"/>
  <c r="CG36"/>
  <c r="CE36"/>
  <c r="CK38"/>
  <c r="CJ6" i="3"/>
  <c r="CJ8"/>
  <c r="CF10"/>
  <c r="DD12" i="2"/>
  <c r="CZ12"/>
  <c r="CI6" i="3"/>
  <c r="CI8"/>
  <c r="CJ10"/>
  <c r="CQ12" i="2"/>
  <c r="DA12"/>
  <c r="CM12"/>
  <c r="DC17"/>
  <c r="CY17"/>
  <c r="CQ6"/>
  <c r="DA6"/>
  <c r="CM6"/>
  <c r="CQ6" i="3"/>
  <c r="CG6"/>
  <c r="DB17" i="2"/>
  <c r="DD6"/>
  <c r="CI6"/>
  <c r="CP6" i="3"/>
  <c r="DD17" i="2"/>
  <c r="CI17"/>
  <c r="CN6"/>
  <c r="CN6" i="3"/>
  <c r="DD24" i="2"/>
  <c r="CZ24"/>
  <c r="CM24"/>
  <c r="DB23"/>
  <c r="CQ23"/>
  <c r="CI23"/>
  <c r="DB22"/>
  <c r="DC24"/>
  <c r="CY24"/>
  <c r="DC23"/>
  <c r="CY23"/>
  <c r="DC22"/>
  <c r="CY22"/>
  <c r="DC21"/>
  <c r="CY21"/>
  <c r="DC20"/>
  <c r="CY20"/>
  <c r="DC19"/>
  <c r="CY19"/>
  <c r="CQ22"/>
  <c r="DB21"/>
  <c r="CI21"/>
  <c r="CZ20"/>
  <c r="DB19"/>
  <c r="CI19"/>
  <c r="CQ5"/>
  <c r="DB5"/>
  <c r="CM8"/>
  <c r="CZ8"/>
  <c r="DD8"/>
  <c r="CQ10"/>
  <c r="DB10"/>
  <c r="CM11"/>
  <c r="CZ11"/>
  <c r="DD11"/>
  <c r="CQ13"/>
  <c r="DB13"/>
  <c r="CM14"/>
  <c r="CZ14"/>
  <c r="DD14"/>
  <c r="CQ15"/>
  <c r="DB15"/>
  <c r="CM27"/>
  <c r="CZ27"/>
  <c r="DD27"/>
  <c r="CQ28"/>
  <c r="DB28"/>
  <c r="CM29"/>
  <c r="CZ29"/>
  <c r="DD29"/>
  <c r="CQ30"/>
  <c r="DB30"/>
  <c r="CM31"/>
  <c r="CZ31"/>
  <c r="DD31"/>
  <c r="CQ34"/>
  <c r="DB34"/>
  <c r="CM35"/>
  <c r="CZ35"/>
  <c r="DD35"/>
  <c r="CQ36"/>
  <c r="DB36"/>
  <c r="CM38"/>
  <c r="CZ38"/>
  <c r="DD38"/>
  <c r="G44"/>
  <c r="K44"/>
  <c r="O44"/>
  <c r="S44"/>
  <c r="W44"/>
  <c r="AA44"/>
  <c r="AE44"/>
  <c r="AI44"/>
  <c r="AM44"/>
  <c r="AQ44"/>
  <c r="AU44"/>
  <c r="AY44"/>
  <c r="BC44"/>
  <c r="D48"/>
  <c r="H48"/>
  <c r="L48"/>
  <c r="P48"/>
  <c r="T48"/>
  <c r="X48"/>
  <c r="AB48"/>
  <c r="D50"/>
  <c r="H50"/>
  <c r="L50"/>
  <c r="P50"/>
  <c r="T50"/>
  <c r="X50"/>
  <c r="AB50"/>
  <c r="D51"/>
  <c r="H51"/>
  <c r="L51"/>
  <c r="P51"/>
  <c r="T51"/>
  <c r="X51"/>
  <c r="AB51"/>
  <c r="CE5" i="3"/>
  <c r="CN5"/>
  <c r="CE8"/>
  <c r="CN8"/>
  <c r="CE10"/>
  <c r="CN10"/>
  <c r="CE11"/>
  <c r="CN11"/>
  <c r="CE12"/>
  <c r="CO12"/>
  <c r="CF14"/>
  <c r="CO14"/>
  <c r="D34"/>
  <c r="D71" s="1"/>
  <c r="H34"/>
  <c r="H71" s="1"/>
  <c r="L34"/>
  <c r="L71" s="1"/>
  <c r="P34"/>
  <c r="P71" s="1"/>
  <c r="T34"/>
  <c r="T71" s="1"/>
  <c r="X34"/>
  <c r="X71" s="1"/>
  <c r="AB34"/>
  <c r="AB71" s="1"/>
  <c r="AF34"/>
  <c r="AF71" s="1"/>
  <c r="AJ34"/>
  <c r="AJ71" s="1"/>
  <c r="AN34"/>
  <c r="AN71" s="1"/>
  <c r="AR34"/>
  <c r="AR71" s="1"/>
  <c r="AV34"/>
  <c r="AZ34"/>
  <c r="BD34"/>
  <c r="D38"/>
  <c r="D75" s="1"/>
  <c r="H38"/>
  <c r="H75" s="1"/>
  <c r="L38"/>
  <c r="L75" s="1"/>
  <c r="P38"/>
  <c r="P75" s="1"/>
  <c r="T38"/>
  <c r="T75" s="1"/>
  <c r="X38"/>
  <c r="X75" s="1"/>
  <c r="AB38"/>
  <c r="AB75" s="1"/>
  <c r="AF38"/>
  <c r="AF75" s="1"/>
  <c r="AJ38"/>
  <c r="AJ75" s="1"/>
  <c r="AN38"/>
  <c r="AN75" s="1"/>
  <c r="AR38"/>
  <c r="AR75" s="1"/>
  <c r="AV38"/>
  <c r="AZ38"/>
  <c r="BD38"/>
  <c r="D39"/>
  <c r="D76" s="1"/>
  <c r="H39"/>
  <c r="H76" s="1"/>
  <c r="L39"/>
  <c r="L76" s="1"/>
  <c r="P39"/>
  <c r="P76" s="1"/>
  <c r="T39"/>
  <c r="T76" s="1"/>
  <c r="X39"/>
  <c r="X76" s="1"/>
  <c r="AB39"/>
  <c r="AB76" s="1"/>
  <c r="AF39"/>
  <c r="AF76" s="1"/>
  <c r="AJ39"/>
  <c r="AJ76" s="1"/>
  <c r="AN39"/>
  <c r="AN76" s="1"/>
  <c r="AR39"/>
  <c r="AR76" s="1"/>
  <c r="AV39"/>
  <c r="AZ39"/>
  <c r="BD39"/>
  <c r="CM22" i="2"/>
  <c r="CZ21"/>
  <c r="DB20"/>
  <c r="CI20"/>
  <c r="CZ19"/>
  <c r="CN5"/>
  <c r="CN8"/>
  <c r="CI10"/>
  <c r="DC10"/>
  <c r="DA11"/>
  <c r="CY13"/>
  <c r="CN14"/>
  <c r="CI15"/>
  <c r="DC15"/>
  <c r="CY27"/>
  <c r="CN28"/>
  <c r="CI29"/>
  <c r="DC29"/>
  <c r="DA30"/>
  <c r="CY31"/>
  <c r="CN34"/>
  <c r="CI35"/>
  <c r="DC35"/>
  <c r="DA36"/>
  <c r="CY38"/>
  <c r="F44"/>
  <c r="N44"/>
  <c r="V44"/>
  <c r="AD44"/>
  <c r="AL44"/>
  <c r="AT44"/>
  <c r="BB44"/>
  <c r="G48"/>
  <c r="O48"/>
  <c r="W48"/>
  <c r="AE48"/>
  <c r="K50"/>
  <c r="S50"/>
  <c r="AA50"/>
  <c r="G51"/>
  <c r="O51"/>
  <c r="W51"/>
  <c r="AE51"/>
  <c r="CQ5" i="3"/>
  <c r="CQ8"/>
  <c r="CQ10"/>
  <c r="CQ11"/>
  <c r="CE14"/>
  <c r="E34"/>
  <c r="E71" s="1"/>
  <c r="M34"/>
  <c r="M71" s="1"/>
  <c r="U34"/>
  <c r="U71" s="1"/>
  <c r="AC34"/>
  <c r="AC71" s="1"/>
  <c r="AK34"/>
  <c r="AK71" s="1"/>
  <c r="AS34"/>
  <c r="BA34"/>
  <c r="E38"/>
  <c r="E75" s="1"/>
  <c r="M38"/>
  <c r="M75" s="1"/>
  <c r="U38"/>
  <c r="U75" s="1"/>
  <c r="AC38"/>
  <c r="AC75" s="1"/>
  <c r="AK38"/>
  <c r="AK75" s="1"/>
  <c r="AS38"/>
  <c r="BA38"/>
  <c r="E39"/>
  <c r="E76" s="1"/>
  <c r="M39"/>
  <c r="M76" s="1"/>
  <c r="U39"/>
  <c r="U76" s="1"/>
  <c r="AC39"/>
  <c r="AC76" s="1"/>
  <c r="AK39"/>
  <c r="AK76" s="1"/>
  <c r="AS39"/>
  <c r="BA39"/>
  <c r="CI5" i="2"/>
  <c r="CY8"/>
  <c r="CI11"/>
  <c r="DA13"/>
  <c r="CN15"/>
  <c r="CI28"/>
  <c r="CN29"/>
  <c r="DC30"/>
  <c r="CY34"/>
  <c r="CY36"/>
  <c r="D44"/>
  <c r="T44"/>
  <c r="AJ44"/>
  <c r="AZ44"/>
  <c r="M48"/>
  <c r="AC48"/>
  <c r="Q50"/>
  <c r="E51"/>
  <c r="U51"/>
  <c r="CO5" i="3"/>
  <c r="CO10"/>
  <c r="CP12"/>
  <c r="C34"/>
  <c r="C71" s="1"/>
  <c r="S34"/>
  <c r="S71" s="1"/>
  <c r="AI34"/>
  <c r="AI71" s="1"/>
  <c r="AY34"/>
  <c r="K38"/>
  <c r="K75" s="1"/>
  <c r="AA38"/>
  <c r="AA75" s="1"/>
  <c r="AQ38"/>
  <c r="AQ75" s="1"/>
  <c r="C39"/>
  <c r="C76" s="1"/>
  <c r="S39"/>
  <c r="S76" s="1"/>
  <c r="AI39"/>
  <c r="AI76" s="1"/>
  <c r="AY39"/>
  <c r="CY5" i="2"/>
  <c r="DC8"/>
  <c r="CY11"/>
  <c r="CI14"/>
  <c r="DA15"/>
  <c r="CY28"/>
  <c r="CY30"/>
  <c r="CI34"/>
  <c r="CN35"/>
  <c r="DC36"/>
  <c r="H44"/>
  <c r="X44"/>
  <c r="AN44"/>
  <c r="BD44"/>
  <c r="Q48"/>
  <c r="E50"/>
  <c r="U50"/>
  <c r="I51"/>
  <c r="Y51"/>
  <c r="CF8" i="3"/>
  <c r="CF11"/>
  <c r="CG14"/>
  <c r="O34"/>
  <c r="O71" s="1"/>
  <c r="AE34"/>
  <c r="AE71" s="1"/>
  <c r="AU34"/>
  <c r="G38"/>
  <c r="G75" s="1"/>
  <c r="W38"/>
  <c r="W75" s="1"/>
  <c r="AM38"/>
  <c r="AM75" s="1"/>
  <c r="BC38"/>
  <c r="O39"/>
  <c r="O76" s="1"/>
  <c r="AE39"/>
  <c r="AE76" s="1"/>
  <c r="AU39"/>
  <c r="P53" i="2"/>
  <c r="L53"/>
  <c r="H53"/>
  <c r="D53"/>
  <c r="CH24"/>
  <c r="CH29"/>
  <c r="CH13"/>
  <c r="CH21"/>
  <c r="CH27"/>
  <c r="CH34"/>
  <c r="CE5"/>
  <c r="CH10"/>
  <c r="CH11"/>
  <c r="CH15"/>
  <c r="CH22"/>
  <c r="CE28"/>
  <c r="CH35"/>
  <c r="CH36"/>
  <c r="CE38"/>
  <c r="Q53"/>
  <c r="M53"/>
  <c r="I53"/>
  <c r="E53"/>
  <c r="CK8"/>
  <c r="CG24"/>
  <c r="CE24"/>
  <c r="CK19"/>
  <c r="CG29"/>
  <c r="CE29"/>
  <c r="CK12"/>
  <c r="CG13"/>
  <c r="CE13"/>
  <c r="CK20"/>
  <c r="CG21"/>
  <c r="CE21"/>
  <c r="CK23"/>
  <c r="CG27"/>
  <c r="CE27"/>
  <c r="CK30"/>
  <c r="CG34"/>
  <c r="CE34"/>
  <c r="CG5"/>
  <c r="CG6"/>
  <c r="CE6"/>
  <c r="CK10"/>
  <c r="CK11"/>
  <c r="CG14"/>
  <c r="CE14"/>
  <c r="CK15"/>
  <c r="CG17"/>
  <c r="CE17"/>
  <c r="CK22"/>
  <c r="CG28"/>
  <c r="CG31"/>
  <c r="CE31"/>
  <c r="CK35"/>
  <c r="CK36"/>
  <c r="CG38"/>
  <c r="CJ11" i="3"/>
  <c r="CJ12"/>
  <c r="CJ5"/>
  <c r="CI14"/>
  <c r="DB12" i="2"/>
  <c r="CI11" i="3"/>
  <c r="CI12"/>
  <c r="CF5"/>
  <c r="CJ14"/>
  <c r="DC12" i="2"/>
  <c r="CY12"/>
  <c r="CQ17"/>
  <c r="DA17"/>
  <c r="CM17"/>
  <c r="DC6"/>
  <c r="CY6"/>
  <c r="CF6" i="3"/>
  <c r="CO6"/>
  <c r="CI12" i="2"/>
  <c r="CN17"/>
  <c r="CZ6"/>
  <c r="CH6" i="3"/>
  <c r="CN12" i="2"/>
  <c r="CZ17"/>
  <c r="DB6"/>
  <c r="CF12" i="3"/>
  <c r="CE6"/>
  <c r="DB24" i="2"/>
  <c r="CQ24"/>
  <c r="DD23"/>
  <c r="CZ23"/>
  <c r="CM23"/>
  <c r="DD22"/>
  <c r="CZ22"/>
  <c r="DA24"/>
  <c r="CN24"/>
  <c r="DA23"/>
  <c r="CN23"/>
  <c r="DA22"/>
  <c r="CN22"/>
  <c r="DA21"/>
  <c r="CN21"/>
  <c r="DA20"/>
  <c r="CN20"/>
  <c r="DA19"/>
  <c r="CN19"/>
  <c r="CI22"/>
  <c r="CQ21"/>
  <c r="DD20"/>
  <c r="CM20"/>
  <c r="CQ19"/>
  <c r="CM5"/>
  <c r="CZ5"/>
  <c r="DD5"/>
  <c r="CQ8"/>
  <c r="DB8"/>
  <c r="CM10"/>
  <c r="CZ10"/>
  <c r="DD10"/>
  <c r="CQ11"/>
  <c r="DB11"/>
  <c r="CM13"/>
  <c r="CZ13"/>
  <c r="DD13"/>
  <c r="CQ14"/>
  <c r="DB14"/>
  <c r="CM15"/>
  <c r="CZ15"/>
  <c r="DD15"/>
  <c r="CQ27"/>
  <c r="DB27"/>
  <c r="CM28"/>
  <c r="CZ28"/>
  <c r="DD28"/>
  <c r="CQ29"/>
  <c r="DB29"/>
  <c r="CM30"/>
  <c r="CZ30"/>
  <c r="DD30"/>
  <c r="CQ31"/>
  <c r="DB31"/>
  <c r="CM34"/>
  <c r="CZ34"/>
  <c r="DD34"/>
  <c r="CQ35"/>
  <c r="DB35"/>
  <c r="CM36"/>
  <c r="CZ36"/>
  <c r="DD36"/>
  <c r="CQ38"/>
  <c r="DB38"/>
  <c r="E44"/>
  <c r="I44"/>
  <c r="M44"/>
  <c r="Q44"/>
  <c r="U44"/>
  <c r="Y44"/>
  <c r="AC44"/>
  <c r="AG44"/>
  <c r="AK44"/>
  <c r="AO44"/>
  <c r="AS44"/>
  <c r="AW44"/>
  <c r="BA44"/>
  <c r="BE44"/>
  <c r="F48"/>
  <c r="J48"/>
  <c r="N48"/>
  <c r="R48"/>
  <c r="V48"/>
  <c r="Z48"/>
  <c r="AD48"/>
  <c r="F50"/>
  <c r="J50"/>
  <c r="N50"/>
  <c r="R50"/>
  <c r="V50"/>
  <c r="Z50"/>
  <c r="AD50"/>
  <c r="F51"/>
  <c r="J51"/>
  <c r="N51"/>
  <c r="R51"/>
  <c r="V51"/>
  <c r="Z51"/>
  <c r="AD51"/>
  <c r="CH5" i="3"/>
  <c r="CP5"/>
  <c r="CG8"/>
  <c r="CP8"/>
  <c r="CH10"/>
  <c r="CP10"/>
  <c r="CG11"/>
  <c r="CP11"/>
  <c r="CH12"/>
  <c r="CQ12"/>
  <c r="CH14"/>
  <c r="CQ14"/>
  <c r="F34"/>
  <c r="F71" s="1"/>
  <c r="J34"/>
  <c r="J71" s="1"/>
  <c r="N34"/>
  <c r="N71" s="1"/>
  <c r="R34"/>
  <c r="R71" s="1"/>
  <c r="V34"/>
  <c r="V71" s="1"/>
  <c r="Z34"/>
  <c r="Z71" s="1"/>
  <c r="AD34"/>
  <c r="AD71" s="1"/>
  <c r="AH34"/>
  <c r="AH71" s="1"/>
  <c r="AL34"/>
  <c r="AL71" s="1"/>
  <c r="AP34"/>
  <c r="AP71" s="1"/>
  <c r="AT34"/>
  <c r="AX34"/>
  <c r="BB34"/>
  <c r="BF34"/>
  <c r="F38"/>
  <c r="F75" s="1"/>
  <c r="J38"/>
  <c r="J75" s="1"/>
  <c r="N38"/>
  <c r="N75" s="1"/>
  <c r="R38"/>
  <c r="R75" s="1"/>
  <c r="V38"/>
  <c r="V75" s="1"/>
  <c r="Z38"/>
  <c r="Z75" s="1"/>
  <c r="AD38"/>
  <c r="AD75" s="1"/>
  <c r="AH38"/>
  <c r="AH75" s="1"/>
  <c r="AL38"/>
  <c r="AL75" s="1"/>
  <c r="AP38"/>
  <c r="AP75" s="1"/>
  <c r="AT38"/>
  <c r="AX38"/>
  <c r="BB38"/>
  <c r="BF38"/>
  <c r="F39"/>
  <c r="F76" s="1"/>
  <c r="J39"/>
  <c r="J76" s="1"/>
  <c r="N39"/>
  <c r="N76" s="1"/>
  <c r="R39"/>
  <c r="R76" s="1"/>
  <c r="V39"/>
  <c r="V76" s="1"/>
  <c r="Z39"/>
  <c r="Z76" s="1"/>
  <c r="AD39"/>
  <c r="AD76" s="1"/>
  <c r="AH39"/>
  <c r="AH76" s="1"/>
  <c r="AL39"/>
  <c r="AL76" s="1"/>
  <c r="AP39"/>
  <c r="AP76" s="1"/>
  <c r="AT39"/>
  <c r="AX39"/>
  <c r="BB39"/>
  <c r="BF39"/>
  <c r="DD21" i="2"/>
  <c r="CM21"/>
  <c r="CQ20"/>
  <c r="DD19"/>
  <c r="CM19"/>
  <c r="DA5"/>
  <c r="DA8"/>
  <c r="CY10"/>
  <c r="CN11"/>
  <c r="CI13"/>
  <c r="DC13"/>
  <c r="DA14"/>
  <c r="CY15"/>
  <c r="CI27"/>
  <c r="DC27"/>
  <c r="DA28"/>
  <c r="CY29"/>
  <c r="CN30"/>
  <c r="CI31"/>
  <c r="DC31"/>
  <c r="DA34"/>
  <c r="CY35"/>
  <c r="CN36"/>
  <c r="CI38"/>
  <c r="DC38"/>
  <c r="J44"/>
  <c r="R44"/>
  <c r="Z44"/>
  <c r="AH44"/>
  <c r="AP44"/>
  <c r="AX44"/>
  <c r="BF44"/>
  <c r="K48"/>
  <c r="S48"/>
  <c r="AA48"/>
  <c r="G50"/>
  <c r="O50"/>
  <c r="W50"/>
  <c r="AE50"/>
  <c r="K51"/>
  <c r="S51"/>
  <c r="AA51"/>
  <c r="CI5" i="3"/>
  <c r="CH8"/>
  <c r="CI10"/>
  <c r="CH11"/>
  <c r="CN12"/>
  <c r="CN14"/>
  <c r="I34"/>
  <c r="I71" s="1"/>
  <c r="Q34"/>
  <c r="Q71" s="1"/>
  <c r="Y34"/>
  <c r="Y71" s="1"/>
  <c r="AG34"/>
  <c r="AG71" s="1"/>
  <c r="AO34"/>
  <c r="AO71" s="1"/>
  <c r="AW34"/>
  <c r="BE34"/>
  <c r="I38"/>
  <c r="I75" s="1"/>
  <c r="Q38"/>
  <c r="Q75" s="1"/>
  <c r="Y38"/>
  <c r="Y75" s="1"/>
  <c r="AG38"/>
  <c r="AG75" s="1"/>
  <c r="AO38"/>
  <c r="AO75" s="1"/>
  <c r="AW38"/>
  <c r="BE38"/>
  <c r="I39"/>
  <c r="I76" s="1"/>
  <c r="Q39"/>
  <c r="Q76" s="1"/>
  <c r="Y39"/>
  <c r="Y76" s="1"/>
  <c r="AG39"/>
  <c r="AG76" s="1"/>
  <c r="AO39"/>
  <c r="AO76" s="1"/>
  <c r="AW39"/>
  <c r="BE39"/>
  <c r="DC5" i="2"/>
  <c r="CN10"/>
  <c r="DC11"/>
  <c r="CY14"/>
  <c r="CN27"/>
  <c r="DC28"/>
  <c r="CI30"/>
  <c r="DA31"/>
  <c r="DA35"/>
  <c r="CN38"/>
  <c r="L44"/>
  <c r="AB44"/>
  <c r="AR44"/>
  <c r="E48"/>
  <c r="U48"/>
  <c r="I50"/>
  <c r="Y50"/>
  <c r="M51"/>
  <c r="AC51"/>
  <c r="CO8" i="3"/>
  <c r="CO11"/>
  <c r="CP14"/>
  <c r="K34"/>
  <c r="K71" s="1"/>
  <c r="AA34"/>
  <c r="AA71" s="1"/>
  <c r="AQ34"/>
  <c r="AQ71" s="1"/>
  <c r="C38"/>
  <c r="C75" s="1"/>
  <c r="S38"/>
  <c r="S75" s="1"/>
  <c r="AI38"/>
  <c r="AI75" s="1"/>
  <c r="AY38"/>
  <c r="K39"/>
  <c r="K76" s="1"/>
  <c r="AA39"/>
  <c r="AA76" s="1"/>
  <c r="AQ39"/>
  <c r="AQ76" s="1"/>
  <c r="C42"/>
  <c r="C79" s="1"/>
  <c r="CI8" i="2"/>
  <c r="DA10"/>
  <c r="CN13"/>
  <c r="DC14"/>
  <c r="DA27"/>
  <c r="DA29"/>
  <c r="CN31"/>
  <c r="DC34"/>
  <c r="CI36"/>
  <c r="DA38"/>
  <c r="P44"/>
  <c r="AF44"/>
  <c r="AV44"/>
  <c r="I48"/>
  <c r="Y48"/>
  <c r="M50"/>
  <c r="AC50"/>
  <c r="Q51"/>
  <c r="CG5" i="3"/>
  <c r="CG10"/>
  <c r="CG12"/>
  <c r="G34"/>
  <c r="G71" s="1"/>
  <c r="W34"/>
  <c r="W71" s="1"/>
  <c r="AM34"/>
  <c r="AM71" s="1"/>
  <c r="BC34"/>
  <c r="O38"/>
  <c r="O75" s="1"/>
  <c r="AE38"/>
  <c r="AE75" s="1"/>
  <c r="AU38"/>
  <c r="G39"/>
  <c r="G76" s="1"/>
  <c r="W39"/>
  <c r="W76" s="1"/>
  <c r="AM39"/>
  <c r="AM76" s="1"/>
  <c r="BC39"/>
  <c r="CK14" l="1"/>
  <c r="CK5"/>
  <c r="CK12"/>
  <c r="CK11"/>
  <c r="CK10"/>
  <c r="CK8"/>
  <c r="CK6"/>
  <c r="A7" i="7"/>
  <c r="A5"/>
  <c r="L50" i="4"/>
  <c r="A43"/>
  <c r="AN43"/>
  <c r="AL43"/>
  <c r="AJ43"/>
  <c r="AH43"/>
  <c r="AF43"/>
  <c r="AD43"/>
  <c r="AB43"/>
  <c r="Z43"/>
  <c r="N43"/>
  <c r="L43"/>
  <c r="J43"/>
  <c r="H43"/>
  <c r="F43"/>
  <c r="D43"/>
  <c r="B43"/>
  <c r="A15" a="1"/>
  <c r="A15" s="1"/>
  <c r="AB2" i="1"/>
  <c r="CR40" i="2"/>
  <c r="CE42"/>
  <c r="AB3" i="1" a="1"/>
  <c r="AB3" s="1"/>
  <c r="AC63"/>
  <c r="BN40" i="3"/>
  <c r="AH40"/>
  <c r="AX40"/>
  <c r="R40"/>
  <c r="K36"/>
  <c r="BV40"/>
  <c r="BF40"/>
  <c r="AP40"/>
  <c r="Z40"/>
  <c r="J40"/>
  <c r="AQ36"/>
  <c r="AH35"/>
  <c r="K46" i="4"/>
  <c r="N46" s="1"/>
  <c r="C5" i="7" s="1"/>
  <c r="AA36" i="3"/>
  <c r="AX35"/>
  <c r="R35"/>
  <c r="BZ40"/>
  <c r="BR40"/>
  <c r="BJ40"/>
  <c r="BB40"/>
  <c r="AT40"/>
  <c r="AL40"/>
  <c r="AD40"/>
  <c r="V40"/>
  <c r="N40"/>
  <c r="F40"/>
  <c r="AY36"/>
  <c r="AI36"/>
  <c r="S36"/>
  <c r="C36"/>
  <c r="C37" s="1"/>
  <c r="AP35"/>
  <c r="Z35"/>
  <c r="J35"/>
  <c r="BC36"/>
  <c r="AU36"/>
  <c r="AM36"/>
  <c r="AE36"/>
  <c r="W36"/>
  <c r="O36"/>
  <c r="G36"/>
  <c r="BB35"/>
  <c r="AT35"/>
  <c r="AL35"/>
  <c r="AD35"/>
  <c r="V35"/>
  <c r="N35"/>
  <c r="F35"/>
  <c r="CB40"/>
  <c r="BX40"/>
  <c r="BT40"/>
  <c r="BP40"/>
  <c r="BL40"/>
  <c r="BH40"/>
  <c r="BD40"/>
  <c r="AZ40"/>
  <c r="AV40"/>
  <c r="AR40"/>
  <c r="AN40"/>
  <c r="AJ40"/>
  <c r="AF40"/>
  <c r="AB40"/>
  <c r="X40"/>
  <c r="T40"/>
  <c r="P40"/>
  <c r="L40"/>
  <c r="H40"/>
  <c r="D40"/>
  <c r="O48" i="4"/>
  <c r="D7" i="7" s="1"/>
  <c r="BE36" i="3"/>
  <c r="BA36"/>
  <c r="AW36"/>
  <c r="AS36"/>
  <c r="AO36"/>
  <c r="AK36"/>
  <c r="AG36"/>
  <c r="AC36"/>
  <c r="Y36"/>
  <c r="U36"/>
  <c r="Q36"/>
  <c r="M36"/>
  <c r="I36"/>
  <c r="E36"/>
  <c r="BD35"/>
  <c r="AZ35"/>
  <c r="AV35"/>
  <c r="AR35"/>
  <c r="AN35"/>
  <c r="AJ35"/>
  <c r="AF35"/>
  <c r="AB35"/>
  <c r="X35"/>
  <c r="T35"/>
  <c r="P35"/>
  <c r="L35"/>
  <c r="H35"/>
  <c r="D35"/>
  <c r="BD36"/>
  <c r="BB36"/>
  <c r="AZ36"/>
  <c r="AX36"/>
  <c r="AV36"/>
  <c r="AT36"/>
  <c r="AR36"/>
  <c r="AP36"/>
  <c r="AN36"/>
  <c r="AL36"/>
  <c r="AJ36"/>
  <c r="AH36"/>
  <c r="AF36"/>
  <c r="AD36"/>
  <c r="AB36"/>
  <c r="Z36"/>
  <c r="X36"/>
  <c r="V36"/>
  <c r="T36"/>
  <c r="R36"/>
  <c r="P36"/>
  <c r="N36"/>
  <c r="L36"/>
  <c r="J36"/>
  <c r="H36"/>
  <c r="F36"/>
  <c r="D36"/>
  <c r="BE35"/>
  <c r="BC35"/>
  <c r="BC37" s="1"/>
  <c r="BA35"/>
  <c r="BA37" s="1"/>
  <c r="AY35"/>
  <c r="AW35"/>
  <c r="AU35"/>
  <c r="AS35"/>
  <c r="AS37" s="1"/>
  <c r="AQ35"/>
  <c r="AO35"/>
  <c r="AM35"/>
  <c r="AM37" s="1"/>
  <c r="AK35"/>
  <c r="AK37" s="1"/>
  <c r="AI35"/>
  <c r="AI37" s="1"/>
  <c r="AG35"/>
  <c r="AE35"/>
  <c r="AC35"/>
  <c r="AC37" s="1"/>
  <c r="AA35"/>
  <c r="AA37" s="1"/>
  <c r="Y35"/>
  <c r="W35"/>
  <c r="W37" s="1"/>
  <c r="U35"/>
  <c r="U37" s="1"/>
  <c r="S35"/>
  <c r="Q35"/>
  <c r="O35"/>
  <c r="M35"/>
  <c r="M37" s="1"/>
  <c r="K35"/>
  <c r="I35"/>
  <c r="G35"/>
  <c r="G37" s="1"/>
  <c r="E35"/>
  <c r="E37" s="1"/>
  <c r="CC40"/>
  <c r="CA40"/>
  <c r="BY40"/>
  <c r="BW40"/>
  <c r="BU40"/>
  <c r="BS40"/>
  <c r="BQ40"/>
  <c r="BO40"/>
  <c r="BM40"/>
  <c r="BK40"/>
  <c r="BI40"/>
  <c r="BG40"/>
  <c r="BE40"/>
  <c r="BC40"/>
  <c r="BA40"/>
  <c r="AY40"/>
  <c r="AW40"/>
  <c r="AU40"/>
  <c r="AS40"/>
  <c r="AQ40"/>
  <c r="AO40"/>
  <c r="AM40"/>
  <c r="AK40"/>
  <c r="AI40"/>
  <c r="AG40"/>
  <c r="AE40"/>
  <c r="AC40"/>
  <c r="AA40"/>
  <c r="Y40"/>
  <c r="W40"/>
  <c r="U40"/>
  <c r="S40"/>
  <c r="Q40"/>
  <c r="O40"/>
  <c r="M40"/>
  <c r="K40"/>
  <c r="I40"/>
  <c r="G40"/>
  <c r="E40"/>
  <c r="O65" i="1"/>
  <c r="O66" s="1"/>
  <c r="CC1" i="3"/>
  <c r="BM1"/>
  <c r="AW1"/>
  <c r="AG1"/>
  <c r="Q1"/>
  <c r="O46" i="4"/>
  <c r="D5" i="7" s="1"/>
  <c r="M47" i="4"/>
  <c r="B6" i="7" s="1"/>
  <c r="K48" i="4"/>
  <c r="N48" s="1"/>
  <c r="C7" i="7" s="1"/>
  <c r="BU1" i="3"/>
  <c r="BE1"/>
  <c r="AO1"/>
  <c r="Y1"/>
  <c r="I1"/>
  <c r="R4" i="2"/>
  <c r="AX2"/>
  <c r="BU4" i="3"/>
  <c r="BE4"/>
  <c r="AO4"/>
  <c r="Y4"/>
  <c r="I4"/>
  <c r="BU3"/>
  <c r="BM3"/>
  <c r="BE3"/>
  <c r="AW3"/>
  <c r="AO3"/>
  <c r="AG3"/>
  <c r="Y3"/>
  <c r="Q3"/>
  <c r="I3"/>
  <c r="CC2"/>
  <c r="BU2"/>
  <c r="BM2"/>
  <c r="BE2"/>
  <c r="AW2"/>
  <c r="AO2"/>
  <c r="AG2"/>
  <c r="Y2"/>
  <c r="Q2"/>
  <c r="I2"/>
  <c r="CC4"/>
  <c r="BM4"/>
  <c r="AW4"/>
  <c r="AG4"/>
  <c r="Q4"/>
  <c r="CC3"/>
  <c r="BQ3"/>
  <c r="BI3"/>
  <c r="BA3"/>
  <c r="AS3"/>
  <c r="AK3"/>
  <c r="AC3"/>
  <c r="U3"/>
  <c r="M3"/>
  <c r="E3"/>
  <c r="BY2"/>
  <c r="BQ2"/>
  <c r="BI2"/>
  <c r="BA2"/>
  <c r="AS2"/>
  <c r="AK2"/>
  <c r="AC2"/>
  <c r="U2"/>
  <c r="M2"/>
  <c r="E2"/>
  <c r="BY1"/>
  <c r="BQ1"/>
  <c r="BI1"/>
  <c r="BA1"/>
  <c r="AS1"/>
  <c r="AK1"/>
  <c r="AC1"/>
  <c r="U1"/>
  <c r="M1"/>
  <c r="E1"/>
  <c r="CD4" i="2"/>
  <c r="AH3"/>
  <c r="BN1"/>
  <c r="AX4"/>
  <c r="BN3"/>
  <c r="CD2"/>
  <c r="R2"/>
  <c r="AH1"/>
  <c r="BN4"/>
  <c r="AH4"/>
  <c r="CD3"/>
  <c r="AX3"/>
  <c r="R3"/>
  <c r="BN2"/>
  <c r="AH2"/>
  <c r="CD1"/>
  <c r="AX1"/>
  <c r="R1"/>
  <c r="BY4" i="3"/>
  <c r="BQ4"/>
  <c r="BI4"/>
  <c r="BA4"/>
  <c r="AS4"/>
  <c r="AK4"/>
  <c r="AC4"/>
  <c r="U4"/>
  <c r="M4"/>
  <c r="E4"/>
  <c r="BY3"/>
  <c r="BV4" i="2"/>
  <c r="BF4"/>
  <c r="AP4"/>
  <c r="Z4"/>
  <c r="J4"/>
  <c r="BV3"/>
  <c r="BF3"/>
  <c r="AP3"/>
  <c r="Z3"/>
  <c r="J3"/>
  <c r="BV2"/>
  <c r="BF2"/>
  <c r="AP2"/>
  <c r="Z2"/>
  <c r="J2"/>
  <c r="BV1"/>
  <c r="BF1"/>
  <c r="AP1"/>
  <c r="Z1"/>
  <c r="J1"/>
  <c r="BZ4"/>
  <c r="BR4"/>
  <c r="BJ4"/>
  <c r="BB4"/>
  <c r="AT4"/>
  <c r="AL4"/>
  <c r="AD4"/>
  <c r="V4"/>
  <c r="N4"/>
  <c r="F4"/>
  <c r="BZ3"/>
  <c r="BR3"/>
  <c r="BJ3"/>
  <c r="BB3"/>
  <c r="AT3"/>
  <c r="AL3"/>
  <c r="AD3"/>
  <c r="V3"/>
  <c r="N3"/>
  <c r="F3"/>
  <c r="BZ2"/>
  <c r="BR2"/>
  <c r="BJ2"/>
  <c r="BB2"/>
  <c r="AT2"/>
  <c r="AL2"/>
  <c r="AD2"/>
  <c r="V2"/>
  <c r="N2"/>
  <c r="F2"/>
  <c r="BZ1"/>
  <c r="BR1"/>
  <c r="BJ1"/>
  <c r="BB1"/>
  <c r="AT1"/>
  <c r="AL1"/>
  <c r="AD1"/>
  <c r="V1"/>
  <c r="N1"/>
  <c r="F1"/>
  <c r="CB4"/>
  <c r="BX4"/>
  <c r="BT4"/>
  <c r="BP4"/>
  <c r="BL4"/>
  <c r="BH4"/>
  <c r="BD4"/>
  <c r="AZ4"/>
  <c r="AV4"/>
  <c r="AR4"/>
  <c r="AN4"/>
  <c r="AJ4"/>
  <c r="AF4"/>
  <c r="AB4"/>
  <c r="X4"/>
  <c r="T4"/>
  <c r="P4"/>
  <c r="L4"/>
  <c r="H4"/>
  <c r="D4"/>
  <c r="CB3"/>
  <c r="BX3"/>
  <c r="BT3"/>
  <c r="BP3"/>
  <c r="BL3"/>
  <c r="BH3"/>
  <c r="BD3"/>
  <c r="AZ3"/>
  <c r="AV3"/>
  <c r="AR3"/>
  <c r="AN3"/>
  <c r="AJ3"/>
  <c r="AF3"/>
  <c r="AB3"/>
  <c r="X3"/>
  <c r="T3"/>
  <c r="P3"/>
  <c r="L3"/>
  <c r="H3"/>
  <c r="D3"/>
  <c r="CB2"/>
  <c r="BX2"/>
  <c r="BT2"/>
  <c r="BP2"/>
  <c r="BL2"/>
  <c r="BH2"/>
  <c r="BD2"/>
  <c r="AZ2"/>
  <c r="AV2"/>
  <c r="AR2"/>
  <c r="AN2"/>
  <c r="AJ2"/>
  <c r="AF2"/>
  <c r="AB2"/>
  <c r="X2"/>
  <c r="T2"/>
  <c r="P2"/>
  <c r="L2"/>
  <c r="H2"/>
  <c r="D2"/>
  <c r="CB1"/>
  <c r="BX1"/>
  <c r="BT1"/>
  <c r="BP1"/>
  <c r="BL1"/>
  <c r="BH1"/>
  <c r="BD1"/>
  <c r="AZ1"/>
  <c r="AV1"/>
  <c r="AR1"/>
  <c r="AN1"/>
  <c r="AJ1"/>
  <c r="AF1"/>
  <c r="AB1"/>
  <c r="X1"/>
  <c r="T1"/>
  <c r="P1"/>
  <c r="L1"/>
  <c r="H1"/>
  <c r="D1"/>
  <c r="M49" i="4"/>
  <c r="B8" i="7" s="1"/>
  <c r="CU40" i="2"/>
  <c r="CS40"/>
  <c r="CP40"/>
  <c r="CE41"/>
  <c r="CV40"/>
  <c r="CT40"/>
  <c r="CO40"/>
  <c r="O47" i="4"/>
  <c r="D6" i="7" s="1"/>
  <c r="O49" i="4"/>
  <c r="D8" i="7" s="1"/>
  <c r="O45" i="4"/>
  <c r="D4" i="7" s="1"/>
  <c r="CA4" i="3"/>
  <c r="BW4"/>
  <c r="BS4"/>
  <c r="BO4"/>
  <c r="BK4"/>
  <c r="BG4"/>
  <c r="BC4"/>
  <c r="AY4"/>
  <c r="AU4"/>
  <c r="AQ4"/>
  <c r="AM4"/>
  <c r="AI4"/>
  <c r="AE4"/>
  <c r="AA4"/>
  <c r="W4"/>
  <c r="S4"/>
  <c r="O4"/>
  <c r="K4"/>
  <c r="G4"/>
  <c r="C4"/>
  <c r="CA3"/>
  <c r="BW3"/>
  <c r="BS3"/>
  <c r="BO3"/>
  <c r="BK3"/>
  <c r="BG3"/>
  <c r="BC3"/>
  <c r="AY3"/>
  <c r="AU3"/>
  <c r="AQ3"/>
  <c r="AM3"/>
  <c r="AI3"/>
  <c r="AE3"/>
  <c r="AA3"/>
  <c r="W3"/>
  <c r="S3"/>
  <c r="O3"/>
  <c r="K3"/>
  <c r="G3"/>
  <c r="C3"/>
  <c r="CA2"/>
  <c r="BW2"/>
  <c r="BS2"/>
  <c r="BO2"/>
  <c r="BK2"/>
  <c r="BG2"/>
  <c r="BC2"/>
  <c r="AY2"/>
  <c r="AU2"/>
  <c r="AQ2"/>
  <c r="AM2"/>
  <c r="AI2"/>
  <c r="AE2"/>
  <c r="AA2"/>
  <c r="W2"/>
  <c r="S2"/>
  <c r="O2"/>
  <c r="K2"/>
  <c r="G2"/>
  <c r="C2"/>
  <c r="CA1"/>
  <c r="BW1"/>
  <c r="BS1"/>
  <c r="BO1"/>
  <c r="BK1"/>
  <c r="BG1"/>
  <c r="BC1"/>
  <c r="AY1"/>
  <c r="AU1"/>
  <c r="AQ1"/>
  <c r="AM1"/>
  <c r="AI1"/>
  <c r="AE1"/>
  <c r="AA1"/>
  <c r="W1"/>
  <c r="S1"/>
  <c r="O1"/>
  <c r="K1"/>
  <c r="G1"/>
  <c r="C1"/>
  <c r="CC4" i="2"/>
  <c r="CA4"/>
  <c r="BY4"/>
  <c r="BW4"/>
  <c r="BU4"/>
  <c r="BS4"/>
  <c r="BQ4"/>
  <c r="BO4"/>
  <c r="BM4"/>
  <c r="BK4"/>
  <c r="BI4"/>
  <c r="BG4"/>
  <c r="BE4"/>
  <c r="BC4"/>
  <c r="BA4"/>
  <c r="AY4"/>
  <c r="AW4"/>
  <c r="AU4"/>
  <c r="AS4"/>
  <c r="AQ4"/>
  <c r="AO4"/>
  <c r="AM4"/>
  <c r="AK4"/>
  <c r="AI4"/>
  <c r="AG4"/>
  <c r="AE4"/>
  <c r="AC4"/>
  <c r="AA4"/>
  <c r="Y4"/>
  <c r="W4"/>
  <c r="U4"/>
  <c r="S4"/>
  <c r="Q4"/>
  <c r="O4"/>
  <c r="M4"/>
  <c r="K4"/>
  <c r="I4"/>
  <c r="G4"/>
  <c r="E4"/>
  <c r="C4"/>
  <c r="CC3"/>
  <c r="CA3"/>
  <c r="BY3"/>
  <c r="BW3"/>
  <c r="BU3"/>
  <c r="BS3"/>
  <c r="BQ3"/>
  <c r="BO3"/>
  <c r="BM3"/>
  <c r="BK3"/>
  <c r="BI3"/>
  <c r="BG3"/>
  <c r="BE3"/>
  <c r="BC3"/>
  <c r="BA3"/>
  <c r="AY3"/>
  <c r="AW3"/>
  <c r="AU3"/>
  <c r="AS3"/>
  <c r="AQ3"/>
  <c r="AO3"/>
  <c r="AM3"/>
  <c r="AK3"/>
  <c r="AI3"/>
  <c r="AG3"/>
  <c r="AE3"/>
  <c r="AC3"/>
  <c r="AA3"/>
  <c r="Y3"/>
  <c r="W3"/>
  <c r="U3"/>
  <c r="S3"/>
  <c r="Q3"/>
  <c r="O3"/>
  <c r="M3"/>
  <c r="K3"/>
  <c r="I3"/>
  <c r="G3"/>
  <c r="E3"/>
  <c r="C3"/>
  <c r="CC2"/>
  <c r="CA2"/>
  <c r="BY2"/>
  <c r="BW2"/>
  <c r="BU2"/>
  <c r="BS2"/>
  <c r="BQ2"/>
  <c r="BO2"/>
  <c r="BM2"/>
  <c r="BK2"/>
  <c r="BI2"/>
  <c r="BG2"/>
  <c r="BE2"/>
  <c r="BC2"/>
  <c r="BA2"/>
  <c r="AY2"/>
  <c r="AW2"/>
  <c r="AU2"/>
  <c r="AS2"/>
  <c r="AQ2"/>
  <c r="AO2"/>
  <c r="AM2"/>
  <c r="AK2"/>
  <c r="AI2"/>
  <c r="AG2"/>
  <c r="AE2"/>
  <c r="AC2"/>
  <c r="AA2"/>
  <c r="Y2"/>
  <c r="W2"/>
  <c r="U2"/>
  <c r="S2"/>
  <c r="Q2"/>
  <c r="O2"/>
  <c r="M2"/>
  <c r="K2"/>
  <c r="I2"/>
  <c r="G2"/>
  <c r="E2"/>
  <c r="C2"/>
  <c r="CC1"/>
  <c r="CA1"/>
  <c r="BY1"/>
  <c r="BW1"/>
  <c r="BU1"/>
  <c r="BS1"/>
  <c r="BQ1"/>
  <c r="BO1"/>
  <c r="BM1"/>
  <c r="BK1"/>
  <c r="BI1"/>
  <c r="BG1"/>
  <c r="BE1"/>
  <c r="BC1"/>
  <c r="BA1"/>
  <c r="AY1"/>
  <c r="AW1"/>
  <c r="AU1"/>
  <c r="AS1"/>
  <c r="AQ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M45" i="4"/>
  <c r="B4" i="7" s="1"/>
  <c r="CT11" i="3"/>
  <c r="CM11"/>
  <c r="CM8"/>
  <c r="CT8"/>
  <c r="CJ36" i="2"/>
  <c r="CJ34"/>
  <c r="CJ14"/>
  <c r="CJ8"/>
  <c r="CY40"/>
  <c r="CE39" i="3"/>
  <c r="CE38"/>
  <c r="CE34"/>
  <c r="CE44" i="2"/>
  <c r="CO44"/>
  <c r="CJ30"/>
  <c r="CJ28"/>
  <c r="CJ11"/>
  <c r="DC40"/>
  <c r="CJ5"/>
  <c r="CI44"/>
  <c r="CQ3" i="3"/>
  <c r="CJ38" i="2"/>
  <c r="CJ35"/>
  <c r="CJ31"/>
  <c r="CJ29"/>
  <c r="CJ27"/>
  <c r="CJ15"/>
  <c r="CJ13"/>
  <c r="CJ10"/>
  <c r="DA40"/>
  <c r="CJ20"/>
  <c r="DI20"/>
  <c r="CT14" i="3"/>
  <c r="CM14"/>
  <c r="CP3"/>
  <c r="B51" i="2"/>
  <c r="B50"/>
  <c r="DI38"/>
  <c r="DI36"/>
  <c r="DI35"/>
  <c r="DI34"/>
  <c r="DI31"/>
  <c r="DI30"/>
  <c r="DI29"/>
  <c r="DI28"/>
  <c r="DI27"/>
  <c r="DI15"/>
  <c r="DI14"/>
  <c r="DI13"/>
  <c r="DI11"/>
  <c r="DI10"/>
  <c r="DI8"/>
  <c r="DD40"/>
  <c r="DB40"/>
  <c r="CZ40"/>
  <c r="DI5"/>
  <c r="CQ40"/>
  <c r="CJ19"/>
  <c r="DI19"/>
  <c r="CJ21"/>
  <c r="DI21"/>
  <c r="CJ22"/>
  <c r="DI22"/>
  <c r="CJ23"/>
  <c r="DI23"/>
  <c r="DI24"/>
  <c r="CM12" i="3"/>
  <c r="CT12"/>
  <c r="CJ17" i="2"/>
  <c r="CJ6"/>
  <c r="CJ12"/>
  <c r="CT6" i="3"/>
  <c r="CM6"/>
  <c r="DI6" i="2"/>
  <c r="DI17"/>
  <c r="DI12"/>
  <c r="CR14" i="3"/>
  <c r="CL14"/>
  <c r="CR10"/>
  <c r="CL10"/>
  <c r="CT5"/>
  <c r="CF34"/>
  <c r="CM5"/>
  <c r="CT10"/>
  <c r="CM10"/>
  <c r="CR5"/>
  <c r="CL5"/>
  <c r="CJ34"/>
  <c r="CR8"/>
  <c r="CL8"/>
  <c r="CR12"/>
  <c r="CL12"/>
  <c r="CR6"/>
  <c r="CL6"/>
  <c r="CR11"/>
  <c r="CL11"/>
  <c r="DH38" i="2"/>
  <c r="CL38"/>
  <c r="DE38" s="1"/>
  <c r="CX38"/>
  <c r="CF36"/>
  <c r="DH36"/>
  <c r="CL36"/>
  <c r="DE36" s="1"/>
  <c r="CX36"/>
  <c r="DH35"/>
  <c r="CL35"/>
  <c r="DE35" s="1"/>
  <c r="CX35"/>
  <c r="CF31"/>
  <c r="DH31"/>
  <c r="CL31"/>
  <c r="DE31" s="1"/>
  <c r="DH28"/>
  <c r="CL28"/>
  <c r="DE28" s="1"/>
  <c r="CF22"/>
  <c r="DH22"/>
  <c r="CL22"/>
  <c r="DE22" s="1"/>
  <c r="CF17"/>
  <c r="DH17"/>
  <c r="CL17"/>
  <c r="DE17" s="1"/>
  <c r="CF15"/>
  <c r="DH15"/>
  <c r="CL15"/>
  <c r="DE15" s="1"/>
  <c r="CF14"/>
  <c r="DH14"/>
  <c r="CL14"/>
  <c r="DE14" s="1"/>
  <c r="CF11"/>
  <c r="DH11"/>
  <c r="CL11"/>
  <c r="DE11" s="1"/>
  <c r="DH10"/>
  <c r="CL10"/>
  <c r="DE10" s="1"/>
  <c r="CF6"/>
  <c r="DH6"/>
  <c r="CL6"/>
  <c r="DE6" s="1"/>
  <c r="DH5"/>
  <c r="CK44"/>
  <c r="CL5"/>
  <c r="DE5" s="1"/>
  <c r="CG44"/>
  <c r="CJ24"/>
  <c r="CF34"/>
  <c r="DH34"/>
  <c r="CL34"/>
  <c r="DE34" s="1"/>
  <c r="CF30"/>
  <c r="DH30"/>
  <c r="CL30"/>
  <c r="DE30" s="1"/>
  <c r="CF27"/>
  <c r="DH27"/>
  <c r="CL27"/>
  <c r="DE27" s="1"/>
  <c r="CF23"/>
  <c r="DH23"/>
  <c r="CL23"/>
  <c r="DE23" s="1"/>
  <c r="CF21"/>
  <c r="DH21"/>
  <c r="CL21"/>
  <c r="DE21" s="1"/>
  <c r="CF20"/>
  <c r="DH20"/>
  <c r="CL20"/>
  <c r="DE20" s="1"/>
  <c r="CF13"/>
  <c r="DH13"/>
  <c r="CL13"/>
  <c r="DE13" s="1"/>
  <c r="CF12"/>
  <c r="DH12"/>
  <c r="CL12"/>
  <c r="DE12" s="1"/>
  <c r="CF29"/>
  <c r="DH29"/>
  <c r="CL29"/>
  <c r="DE29" s="1"/>
  <c r="CF19"/>
  <c r="DH19"/>
  <c r="CL19"/>
  <c r="DE19" s="1"/>
  <c r="CF24"/>
  <c r="DH24"/>
  <c r="CL24"/>
  <c r="DE24" s="1"/>
  <c r="CF8"/>
  <c r="DH8"/>
  <c r="CL8"/>
  <c r="DE8" s="1"/>
  <c r="CF38"/>
  <c r="CF35"/>
  <c r="CF28"/>
  <c r="CF10"/>
  <c r="CF5"/>
  <c r="CH44"/>
  <c r="O17" i="5"/>
  <c r="Z63" i="1"/>
  <c r="D45" i="2" a="1"/>
  <c r="AA2" i="1"/>
  <c r="AA63"/>
  <c r="AA3" a="1"/>
  <c r="AA3" s="1"/>
  <c r="AD63"/>
  <c r="AB63"/>
  <c r="CO42" i="2"/>
  <c r="P65" i="1"/>
  <c r="P66" s="1"/>
  <c r="H93" i="4"/>
  <c r="A5" i="5" s="1" a="1"/>
  <c r="CO41" i="2"/>
  <c r="CB4" i="3"/>
  <c r="BZ4"/>
  <c r="BX4"/>
  <c r="BV4"/>
  <c r="BT4"/>
  <c r="BR4"/>
  <c r="BP4"/>
  <c r="BN4"/>
  <c r="BL4"/>
  <c r="BJ4"/>
  <c r="BH4"/>
  <c r="BF4"/>
  <c r="BD4"/>
  <c r="BB4"/>
  <c r="AZ4"/>
  <c r="AX4"/>
  <c r="AV4"/>
  <c r="AT4"/>
  <c r="AR4"/>
  <c r="AP4"/>
  <c r="AN4"/>
  <c r="AL4"/>
  <c r="AJ4"/>
  <c r="AH4"/>
  <c r="AF4"/>
  <c r="AD4"/>
  <c r="AB4"/>
  <c r="Z4"/>
  <c r="X4"/>
  <c r="V4"/>
  <c r="T4"/>
  <c r="R4"/>
  <c r="P4"/>
  <c r="N4"/>
  <c r="L4"/>
  <c r="J4"/>
  <c r="H4"/>
  <c r="F4"/>
  <c r="D4"/>
  <c r="B4"/>
  <c r="CB3"/>
  <c r="BZ3"/>
  <c r="BX3"/>
  <c r="BV3"/>
  <c r="BT3"/>
  <c r="BR3"/>
  <c r="BP3"/>
  <c r="BN3"/>
  <c r="BL3"/>
  <c r="BJ3"/>
  <c r="BH3"/>
  <c r="BF3"/>
  <c r="BD3"/>
  <c r="BB3"/>
  <c r="AZ3"/>
  <c r="AX3"/>
  <c r="AV3"/>
  <c r="AT3"/>
  <c r="AR3"/>
  <c r="AP3"/>
  <c r="AN3"/>
  <c r="AL3"/>
  <c r="AJ3"/>
  <c r="AH3"/>
  <c r="AF3"/>
  <c r="AD3"/>
  <c r="AB3"/>
  <c r="Z3"/>
  <c r="X3"/>
  <c r="V3"/>
  <c r="T3"/>
  <c r="R3"/>
  <c r="P3"/>
  <c r="N3"/>
  <c r="L3"/>
  <c r="J3"/>
  <c r="H3"/>
  <c r="F3"/>
  <c r="D3"/>
  <c r="B3"/>
  <c r="CB2"/>
  <c r="BZ2"/>
  <c r="BX2"/>
  <c r="BV2"/>
  <c r="BT2"/>
  <c r="BR2"/>
  <c r="BP2"/>
  <c r="BN2"/>
  <c r="BL2"/>
  <c r="BJ2"/>
  <c r="BH2"/>
  <c r="BF2"/>
  <c r="BD2"/>
  <c r="BB2"/>
  <c r="AZ2"/>
  <c r="AX2"/>
  <c r="AV2"/>
  <c r="AT2"/>
  <c r="AR2"/>
  <c r="AP2"/>
  <c r="AN2"/>
  <c r="AL2"/>
  <c r="AJ2"/>
  <c r="AH2"/>
  <c r="AF2"/>
  <c r="AD2"/>
  <c r="AB2"/>
  <c r="Z2"/>
  <c r="X2"/>
  <c r="V2"/>
  <c r="T2"/>
  <c r="R2"/>
  <c r="P2"/>
  <c r="N2"/>
  <c r="L2"/>
  <c r="J2"/>
  <c r="H2"/>
  <c r="F2"/>
  <c r="D2"/>
  <c r="B2"/>
  <c r="CB1"/>
  <c r="BZ1"/>
  <c r="BX1"/>
  <c r="BV1"/>
  <c r="BT1"/>
  <c r="BR1"/>
  <c r="BP1"/>
  <c r="BN1"/>
  <c r="BL1"/>
  <c r="BJ1"/>
  <c r="BH1"/>
  <c r="BF1"/>
  <c r="BD1"/>
  <c r="BB1"/>
  <c r="AZ1"/>
  <c r="AX1"/>
  <c r="AV1"/>
  <c r="AT1"/>
  <c r="AR1"/>
  <c r="AP1"/>
  <c r="AN1"/>
  <c r="AL1"/>
  <c r="AJ1"/>
  <c r="AH1"/>
  <c r="AF1"/>
  <c r="AD1"/>
  <c r="AB1"/>
  <c r="Z1"/>
  <c r="X1"/>
  <c r="V1"/>
  <c r="T1"/>
  <c r="R1"/>
  <c r="P1"/>
  <c r="N1"/>
  <c r="L1"/>
  <c r="J1"/>
  <c r="H1"/>
  <c r="F1"/>
  <c r="D1"/>
  <c r="A9" i="7"/>
  <c r="C74" i="3"/>
  <c r="AK74"/>
  <c r="AC74"/>
  <c r="U74"/>
  <c r="M74"/>
  <c r="E74"/>
  <c r="AM74"/>
  <c r="AI74"/>
  <c r="AA74"/>
  <c r="W74"/>
  <c r="G74"/>
  <c r="DF37" i="2" l="1"/>
  <c r="DF25"/>
  <c r="DF18"/>
  <c r="DF16"/>
  <c r="DF9"/>
  <c r="H50" i="4"/>
  <c r="L51"/>
  <c r="CS31" i="3"/>
  <c r="CS29"/>
  <c r="CS27"/>
  <c r="CS25"/>
  <c r="CS23"/>
  <c r="CS21"/>
  <c r="CS19"/>
  <c r="CS17"/>
  <c r="CS16"/>
  <c r="CS32"/>
  <c r="CS30"/>
  <c r="CS28"/>
  <c r="CS26"/>
  <c r="CS24"/>
  <c r="CS22"/>
  <c r="CS20"/>
  <c r="CS18"/>
  <c r="CS15"/>
  <c r="I37"/>
  <c r="AB37"/>
  <c r="L37"/>
  <c r="AR37"/>
  <c r="AO37"/>
  <c r="Y37"/>
  <c r="BE37"/>
  <c r="D37"/>
  <c r="T37"/>
  <c r="AJ37"/>
  <c r="AZ37"/>
  <c r="AY37"/>
  <c r="S37"/>
  <c r="H37"/>
  <c r="P37"/>
  <c r="X37"/>
  <c r="AF37"/>
  <c r="AN37"/>
  <c r="AV37"/>
  <c r="BD37"/>
  <c r="Q37"/>
  <c r="AG37"/>
  <c r="AW37"/>
  <c r="N37"/>
  <c r="R37"/>
  <c r="Z37"/>
  <c r="AD37"/>
  <c r="AH37"/>
  <c r="AT37"/>
  <c r="O37"/>
  <c r="AE37"/>
  <c r="AU37"/>
  <c r="AQ37"/>
  <c r="K37"/>
  <c r="F37"/>
  <c r="V37"/>
  <c r="AL37"/>
  <c r="BB37"/>
  <c r="J37"/>
  <c r="AP37"/>
  <c r="AX37"/>
  <c r="CS9"/>
  <c r="CS13"/>
  <c r="CS7"/>
  <c r="DF26" i="2"/>
  <c r="DF7"/>
  <c r="DF33"/>
  <c r="DF32"/>
  <c r="DF8"/>
  <c r="CE35" i="3"/>
  <c r="CE36"/>
  <c r="CR41" i="2"/>
  <c r="CR42" s="1"/>
  <c r="CS12" i="3"/>
  <c r="CS6"/>
  <c r="CS14"/>
  <c r="DF19" i="2"/>
  <c r="DF12"/>
  <c r="DF20"/>
  <c r="DF23"/>
  <c r="DF30"/>
  <c r="DF5"/>
  <c r="DF6"/>
  <c r="DF15"/>
  <c r="DF17"/>
  <c r="DF28"/>
  <c r="DF35"/>
  <c r="CS11" i="3"/>
  <c r="CS8"/>
  <c r="CS10"/>
  <c r="DF24" i="2"/>
  <c r="DF29"/>
  <c r="DF13"/>
  <c r="DF21"/>
  <c r="DF27"/>
  <c r="DF34"/>
  <c r="DF10"/>
  <c r="DF11"/>
  <c r="DF14"/>
  <c r="DF22"/>
  <c r="DF31"/>
  <c r="DF36"/>
  <c r="DF38"/>
  <c r="CS5" i="3"/>
  <c r="AA65" i="1"/>
  <c r="O67"/>
  <c r="D45" i="2"/>
  <c r="E45"/>
  <c r="E46" s="1"/>
  <c r="G45"/>
  <c r="G46" s="1"/>
  <c r="I45"/>
  <c r="I46" s="1"/>
  <c r="K45"/>
  <c r="K46" s="1"/>
  <c r="M45"/>
  <c r="M46" s="1"/>
  <c r="O45"/>
  <c r="O46" s="1"/>
  <c r="Q45"/>
  <c r="Q46" s="1"/>
  <c r="S45"/>
  <c r="S46" s="1"/>
  <c r="U45"/>
  <c r="U46" s="1"/>
  <c r="W45"/>
  <c r="W46" s="1"/>
  <c r="Y45"/>
  <c r="Y46" s="1"/>
  <c r="AA45"/>
  <c r="AA46" s="1"/>
  <c r="AC45"/>
  <c r="AC46" s="1"/>
  <c r="AE45"/>
  <c r="AE46" s="1"/>
  <c r="AG45"/>
  <c r="AG46" s="1"/>
  <c r="AI45"/>
  <c r="AI46" s="1"/>
  <c r="AK45"/>
  <c r="AK46" s="1"/>
  <c r="AM45"/>
  <c r="AM46" s="1"/>
  <c r="AO45"/>
  <c r="AO46" s="1"/>
  <c r="AQ45"/>
  <c r="AQ46" s="1"/>
  <c r="AS45"/>
  <c r="AS46" s="1"/>
  <c r="AU45"/>
  <c r="AU46" s="1"/>
  <c r="AV45"/>
  <c r="AV46" s="1"/>
  <c r="AW45"/>
  <c r="AW46" s="1"/>
  <c r="AX45"/>
  <c r="AX46" s="1"/>
  <c r="AY45"/>
  <c r="AY46" s="1"/>
  <c r="AZ45"/>
  <c r="AZ46" s="1"/>
  <c r="BA45"/>
  <c r="BA46" s="1"/>
  <c r="BB45"/>
  <c r="BB46" s="1"/>
  <c r="BC45"/>
  <c r="BC46" s="1"/>
  <c r="BD45"/>
  <c r="BD46" s="1"/>
  <c r="BE45"/>
  <c r="BE46" s="1"/>
  <c r="BF45"/>
  <c r="BF46" s="1"/>
  <c r="H45"/>
  <c r="H46" s="1"/>
  <c r="L45"/>
  <c r="L46" s="1"/>
  <c r="P45"/>
  <c r="P46" s="1"/>
  <c r="T45"/>
  <c r="T46" s="1"/>
  <c r="X45"/>
  <c r="X46" s="1"/>
  <c r="AB45"/>
  <c r="AB46" s="1"/>
  <c r="AF45"/>
  <c r="AF46" s="1"/>
  <c r="AJ45"/>
  <c r="AJ46" s="1"/>
  <c r="AN45"/>
  <c r="AN46" s="1"/>
  <c r="AR45"/>
  <c r="AR46" s="1"/>
  <c r="F45"/>
  <c r="F46" s="1"/>
  <c r="J45"/>
  <c r="J46" s="1"/>
  <c r="N45"/>
  <c r="N46" s="1"/>
  <c r="R45"/>
  <c r="R46" s="1"/>
  <c r="V45"/>
  <c r="V46" s="1"/>
  <c r="Z45"/>
  <c r="Z46" s="1"/>
  <c r="AD45"/>
  <c r="AD46" s="1"/>
  <c r="AH45"/>
  <c r="AH46" s="1"/>
  <c r="AL45"/>
  <c r="AL46" s="1"/>
  <c r="AP45"/>
  <c r="AP46" s="1"/>
  <c r="AT45"/>
  <c r="AT46" s="1"/>
  <c r="CE37" i="3"/>
  <c r="CF39"/>
  <c r="CG39" s="1"/>
  <c r="A5" i="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B6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/>
  <c r="O18" i="5"/>
  <c r="B3" i="10"/>
  <c r="B11"/>
  <c r="B15"/>
  <c r="B19"/>
  <c r="B27"/>
  <c r="B35"/>
  <c r="B43"/>
  <c r="B51"/>
  <c r="B14"/>
  <c r="B30"/>
  <c r="B46"/>
  <c r="B12"/>
  <c r="B28"/>
  <c r="B44"/>
  <c r="CH46" i="2"/>
  <c r="I74" i="3"/>
  <c r="L74"/>
  <c r="AO74"/>
  <c r="T74"/>
  <c r="S74"/>
  <c r="P74"/>
  <c r="AF74"/>
  <c r="Q74"/>
  <c r="R74"/>
  <c r="AD74"/>
  <c r="AE74"/>
  <c r="AQ74"/>
  <c r="F74"/>
  <c r="AL74"/>
  <c r="J74"/>
  <c r="AB74"/>
  <c r="AR74"/>
  <c r="Y74"/>
  <c r="D74"/>
  <c r="AJ74"/>
  <c r="H74"/>
  <c r="X74"/>
  <c r="AN74"/>
  <c r="AG74"/>
  <c r="N74"/>
  <c r="Z74"/>
  <c r="AH74"/>
  <c r="O74"/>
  <c r="K74"/>
  <c r="V74"/>
  <c r="AP74"/>
  <c r="CG37" l="1"/>
  <c r="K50" i="4"/>
  <c r="N50" s="1"/>
  <c r="C9" i="7" s="1"/>
  <c r="O50" i="4"/>
  <c r="D9" i="7" s="1"/>
  <c r="M50" i="4"/>
  <c r="B9" i="7" s="1"/>
  <c r="H51" i="4"/>
  <c r="L52"/>
  <c r="A10" i="7"/>
  <c r="CH37" i="3" a="1"/>
  <c r="CH37" s="1"/>
  <c r="I40" i="9"/>
  <c r="I21"/>
  <c r="I16"/>
  <c r="I53"/>
  <c r="I8"/>
  <c r="I32"/>
  <c r="I48"/>
  <c r="B7" i="10"/>
  <c r="B36"/>
  <c r="B20"/>
  <c r="B4"/>
  <c r="B38"/>
  <c r="B22"/>
  <c r="B6"/>
  <c r="B47"/>
  <c r="B39"/>
  <c r="B31"/>
  <c r="B23"/>
  <c r="I24" i="9"/>
  <c r="I5"/>
  <c r="I37"/>
  <c r="I29"/>
  <c r="I56"/>
  <c r="I13"/>
  <c r="I45"/>
  <c r="I57"/>
  <c r="I4"/>
  <c r="I12"/>
  <c r="I20"/>
  <c r="I28"/>
  <c r="I36"/>
  <c r="I44"/>
  <c r="I52"/>
  <c r="I60"/>
  <c r="I9"/>
  <c r="I17"/>
  <c r="I25"/>
  <c r="I33"/>
  <c r="I41"/>
  <c r="I49"/>
  <c r="B5" i="10"/>
  <c r="B48"/>
  <c r="B40"/>
  <c r="B32"/>
  <c r="B24"/>
  <c r="B16"/>
  <c r="B8"/>
  <c r="B50"/>
  <c r="C50" s="1"/>
  <c r="B42"/>
  <c r="B34"/>
  <c r="C34" s="1"/>
  <c r="B26"/>
  <c r="B18"/>
  <c r="C18" s="1"/>
  <c r="B10"/>
  <c r="B2"/>
  <c r="C2" s="1"/>
  <c r="B49"/>
  <c r="D49" s="1" a="1"/>
  <c r="B45"/>
  <c r="C45" s="1"/>
  <c r="B41"/>
  <c r="D41" s="1" a="1"/>
  <c r="B37"/>
  <c r="D37" s="1" a="1"/>
  <c r="B33"/>
  <c r="D33" s="1" a="1"/>
  <c r="B29"/>
  <c r="D29" s="1" a="1"/>
  <c r="B25"/>
  <c r="D25" s="1" a="1"/>
  <c r="B21"/>
  <c r="C21" s="1"/>
  <c r="B17"/>
  <c r="D17" s="1" a="1"/>
  <c r="B13"/>
  <c r="C13" s="1"/>
  <c r="B9"/>
  <c r="D9" s="1" a="1"/>
  <c r="I59" i="9"/>
  <c r="D59" s="1"/>
  <c r="I2"/>
  <c r="I6"/>
  <c r="D6" s="1"/>
  <c r="I10"/>
  <c r="I14"/>
  <c r="D14" s="1"/>
  <c r="I18"/>
  <c r="I22"/>
  <c r="D22" s="1"/>
  <c r="I26"/>
  <c r="I30"/>
  <c r="D30" s="1"/>
  <c r="I34"/>
  <c r="I38"/>
  <c r="D38" s="1"/>
  <c r="I42"/>
  <c r="I46"/>
  <c r="D46" s="1"/>
  <c r="I50"/>
  <c r="I54"/>
  <c r="D54" s="1"/>
  <c r="I58"/>
  <c r="I3"/>
  <c r="B3" s="1"/>
  <c r="I7"/>
  <c r="I11"/>
  <c r="D11" s="1"/>
  <c r="I15"/>
  <c r="I19"/>
  <c r="B19" s="1"/>
  <c r="I23"/>
  <c r="I27"/>
  <c r="B27" s="1"/>
  <c r="I31"/>
  <c r="I35"/>
  <c r="B35" s="1"/>
  <c r="I39"/>
  <c r="I43"/>
  <c r="D43" s="1"/>
  <c r="I47"/>
  <c r="I51"/>
  <c r="D51" s="1"/>
  <c r="I55"/>
  <c r="CS42" i="2"/>
  <c r="CT42"/>
  <c r="CV42"/>
  <c r="CU42"/>
  <c r="D48" i="10" a="1"/>
  <c r="C48"/>
  <c r="D32" a="1"/>
  <c r="C32"/>
  <c r="D16" a="1"/>
  <c r="C16"/>
  <c r="D50" a="1"/>
  <c r="D34" a="1"/>
  <c r="D18" a="1"/>
  <c r="D2" a="1"/>
  <c r="D45" a="1"/>
  <c r="C41"/>
  <c r="C37"/>
  <c r="D5" a="1"/>
  <c r="C5"/>
  <c r="G45" i="5"/>
  <c r="H45" s="1"/>
  <c r="E42" i="6" s="1"/>
  <c r="E45" i="5"/>
  <c r="J45"/>
  <c r="G42" i="6" s="1"/>
  <c r="G43" i="5"/>
  <c r="H43" s="1"/>
  <c r="E40" i="6" s="1"/>
  <c r="E43" i="5"/>
  <c r="J43"/>
  <c r="G40" i="6" s="1"/>
  <c r="G41" i="5"/>
  <c r="H41" s="1"/>
  <c r="E38" i="6" s="1"/>
  <c r="E41" i="5"/>
  <c r="J41"/>
  <c r="G38" i="6" s="1"/>
  <c r="G39" i="5"/>
  <c r="H39" s="1"/>
  <c r="E36" i="6" s="1"/>
  <c r="E39" i="5"/>
  <c r="J39"/>
  <c r="G36" i="6" s="1"/>
  <c r="G37" i="5"/>
  <c r="H37" s="1"/>
  <c r="E34" i="6" s="1"/>
  <c r="E37" i="5"/>
  <c r="J37"/>
  <c r="G34" i="6" s="1"/>
  <c r="G35" i="5"/>
  <c r="H35" s="1"/>
  <c r="E32" i="6" s="1"/>
  <c r="E35" i="5"/>
  <c r="J35"/>
  <c r="G32" i="6" s="1"/>
  <c r="G33" i="5"/>
  <c r="H33" s="1"/>
  <c r="E30" i="6" s="1"/>
  <c r="E33" i="5"/>
  <c r="J33"/>
  <c r="G30" i="6" s="1"/>
  <c r="G31" i="5"/>
  <c r="H31" s="1"/>
  <c r="E28" i="6" s="1"/>
  <c r="E31" i="5"/>
  <c r="J31"/>
  <c r="G28" i="6" s="1"/>
  <c r="G29" i="5"/>
  <c r="H29" s="1"/>
  <c r="E26" i="6" s="1"/>
  <c r="E29" i="5"/>
  <c r="J29"/>
  <c r="G26" i="6" s="1"/>
  <c r="G27" i="5"/>
  <c r="H27" s="1"/>
  <c r="E24" i="6" s="1"/>
  <c r="E27" i="5"/>
  <c r="J27"/>
  <c r="G24" i="6" s="1"/>
  <c r="G25" i="5"/>
  <c r="H25" s="1"/>
  <c r="E22" i="6" s="1"/>
  <c r="E25" i="5"/>
  <c r="J25"/>
  <c r="G22" i="6" s="1"/>
  <c r="G23" i="5"/>
  <c r="H23" s="1"/>
  <c r="E20" i="6" s="1"/>
  <c r="E23" i="5"/>
  <c r="J23"/>
  <c r="G20" i="6" s="1"/>
  <c r="G21" i="5"/>
  <c r="H21" s="1"/>
  <c r="E18" i="6" s="1"/>
  <c r="E21" i="5"/>
  <c r="J21"/>
  <c r="G18" i="6" s="1"/>
  <c r="G19" i="5"/>
  <c r="H19" s="1"/>
  <c r="E16" i="6" s="1"/>
  <c r="E19" i="5"/>
  <c r="J19"/>
  <c r="G16" i="6" s="1"/>
  <c r="G17" i="5"/>
  <c r="H17" s="1"/>
  <c r="E14" i="6" s="1"/>
  <c r="E17" i="5"/>
  <c r="J17"/>
  <c r="G14" i="6" s="1"/>
  <c r="G15" i="5"/>
  <c r="H15" s="1"/>
  <c r="E12" i="6" s="1"/>
  <c r="E15" i="5"/>
  <c r="J15"/>
  <c r="G12" i="6" s="1"/>
  <c r="G13" i="5"/>
  <c r="H13" s="1"/>
  <c r="E10" i="6" s="1"/>
  <c r="E13" i="5"/>
  <c r="J13"/>
  <c r="G10" i="6" s="1"/>
  <c r="G11" i="5"/>
  <c r="H11" s="1"/>
  <c r="E8" i="6" s="1"/>
  <c r="E11" i="5"/>
  <c r="J11"/>
  <c r="G8" i="6" s="1"/>
  <c r="G9" i="5"/>
  <c r="H9" s="1"/>
  <c r="E6" i="6" s="1"/>
  <c r="E9" i="5"/>
  <c r="J9"/>
  <c r="G6" i="6" s="1"/>
  <c r="G7" i="5"/>
  <c r="H7" s="1"/>
  <c r="E4" i="6" s="1"/>
  <c r="E7" i="5"/>
  <c r="J7"/>
  <c r="G4" i="6" s="1"/>
  <c r="E46" i="4"/>
  <c r="E48"/>
  <c r="E50"/>
  <c r="E52"/>
  <c r="E54"/>
  <c r="E56"/>
  <c r="E58"/>
  <c r="E60"/>
  <c r="E62"/>
  <c r="E64"/>
  <c r="E66"/>
  <c r="E68"/>
  <c r="E70"/>
  <c r="E72"/>
  <c r="E74"/>
  <c r="E76"/>
  <c r="E78"/>
  <c r="E80"/>
  <c r="G5" i="5"/>
  <c r="H5" s="1"/>
  <c r="E2" i="6" s="1"/>
  <c r="E45" i="4"/>
  <c r="E49"/>
  <c r="E53"/>
  <c r="E57"/>
  <c r="E61"/>
  <c r="E65"/>
  <c r="E69"/>
  <c r="E73"/>
  <c r="E77"/>
  <c r="E5" i="5"/>
  <c r="J5"/>
  <c r="G2" i="6" s="1"/>
  <c r="E47" i="4"/>
  <c r="E51"/>
  <c r="E55"/>
  <c r="E59"/>
  <c r="E63"/>
  <c r="E67"/>
  <c r="E71"/>
  <c r="E75"/>
  <c r="E79"/>
  <c r="D2" i="9"/>
  <c r="E2"/>
  <c r="G2"/>
  <c r="B2"/>
  <c r="F2"/>
  <c r="H2"/>
  <c r="C2"/>
  <c r="E6"/>
  <c r="B6"/>
  <c r="H6"/>
  <c r="D10"/>
  <c r="E10"/>
  <c r="G10"/>
  <c r="B10"/>
  <c r="F10"/>
  <c r="H10"/>
  <c r="C10"/>
  <c r="C14"/>
  <c r="H14"/>
  <c r="B14"/>
  <c r="D18"/>
  <c r="C18"/>
  <c r="F18"/>
  <c r="H18"/>
  <c r="E18"/>
  <c r="B18"/>
  <c r="G18"/>
  <c r="E22"/>
  <c r="B22"/>
  <c r="H22"/>
  <c r="D26"/>
  <c r="C26"/>
  <c r="F26"/>
  <c r="H26"/>
  <c r="E26"/>
  <c r="B26"/>
  <c r="G26"/>
  <c r="E30"/>
  <c r="B30"/>
  <c r="H30"/>
  <c r="D34"/>
  <c r="E34"/>
  <c r="G34"/>
  <c r="B34"/>
  <c r="F34"/>
  <c r="H34"/>
  <c r="C34"/>
  <c r="E38"/>
  <c r="B38"/>
  <c r="H38"/>
  <c r="D42"/>
  <c r="C42"/>
  <c r="F42"/>
  <c r="H42"/>
  <c r="E42"/>
  <c r="B42"/>
  <c r="G42"/>
  <c r="C46"/>
  <c r="H46"/>
  <c r="B46"/>
  <c r="D50"/>
  <c r="C50"/>
  <c r="F50"/>
  <c r="H50"/>
  <c r="E50"/>
  <c r="B50"/>
  <c r="G50"/>
  <c r="C54"/>
  <c r="H54"/>
  <c r="B54"/>
  <c r="D58"/>
  <c r="C58"/>
  <c r="F58"/>
  <c r="H58"/>
  <c r="E58"/>
  <c r="B58"/>
  <c r="G58"/>
  <c r="F3"/>
  <c r="E3"/>
  <c r="H3"/>
  <c r="D7"/>
  <c r="C7"/>
  <c r="F7"/>
  <c r="H7"/>
  <c r="B7"/>
  <c r="G7"/>
  <c r="E7"/>
  <c r="C11"/>
  <c r="H11"/>
  <c r="G11"/>
  <c r="B15"/>
  <c r="F15"/>
  <c r="D15"/>
  <c r="E15"/>
  <c r="G15"/>
  <c r="H15"/>
  <c r="C15"/>
  <c r="F19"/>
  <c r="E19"/>
  <c r="H19"/>
  <c r="B23"/>
  <c r="F23"/>
  <c r="D23"/>
  <c r="E23"/>
  <c r="G23"/>
  <c r="H23"/>
  <c r="C23"/>
  <c r="F27"/>
  <c r="E27"/>
  <c r="H27"/>
  <c r="B31"/>
  <c r="F31"/>
  <c r="D31"/>
  <c r="E31"/>
  <c r="G31"/>
  <c r="H31"/>
  <c r="C31"/>
  <c r="F35"/>
  <c r="E35"/>
  <c r="H35"/>
  <c r="B39"/>
  <c r="F39"/>
  <c r="D39"/>
  <c r="E39"/>
  <c r="G39"/>
  <c r="H39"/>
  <c r="C39"/>
  <c r="C43"/>
  <c r="H43"/>
  <c r="G43"/>
  <c r="D47"/>
  <c r="C47"/>
  <c r="F47"/>
  <c r="H47"/>
  <c r="B47"/>
  <c r="G47"/>
  <c r="E47"/>
  <c r="C51"/>
  <c r="H51"/>
  <c r="G51"/>
  <c r="D55"/>
  <c r="C55"/>
  <c r="F55"/>
  <c r="H55"/>
  <c r="B55"/>
  <c r="G55"/>
  <c r="E55"/>
  <c r="C59"/>
  <c r="H59"/>
  <c r="G59"/>
  <c r="D40" i="10" a="1"/>
  <c r="C40"/>
  <c r="D24" a="1"/>
  <c r="C24"/>
  <c r="D8" a="1"/>
  <c r="C8"/>
  <c r="D42" a="1"/>
  <c r="C42"/>
  <c r="D26" a="1"/>
  <c r="C26"/>
  <c r="D10" a="1"/>
  <c r="C10"/>
  <c r="D44" a="1"/>
  <c r="C44"/>
  <c r="D36" a="1"/>
  <c r="C36"/>
  <c r="D28" a="1"/>
  <c r="C28"/>
  <c r="D20" a="1"/>
  <c r="C20"/>
  <c r="D12" a="1"/>
  <c r="C12"/>
  <c r="D4" a="1"/>
  <c r="C4"/>
  <c r="D46" a="1"/>
  <c r="C46"/>
  <c r="D38" a="1"/>
  <c r="C38"/>
  <c r="D30" a="1"/>
  <c r="C30"/>
  <c r="D22" a="1"/>
  <c r="C22"/>
  <c r="D14" a="1"/>
  <c r="C14"/>
  <c r="D6" a="1"/>
  <c r="C6"/>
  <c r="D51" a="1"/>
  <c r="C51"/>
  <c r="D47" a="1"/>
  <c r="C47"/>
  <c r="D43" a="1"/>
  <c r="C43"/>
  <c r="D39" a="1"/>
  <c r="C39"/>
  <c r="D35" a="1"/>
  <c r="C35"/>
  <c r="D31" a="1"/>
  <c r="C31"/>
  <c r="D27" a="1"/>
  <c r="C27"/>
  <c r="D23" a="1"/>
  <c r="C23"/>
  <c r="D19" a="1"/>
  <c r="C19"/>
  <c r="D15" a="1"/>
  <c r="C15"/>
  <c r="D11" a="1"/>
  <c r="C11"/>
  <c r="D7" a="1"/>
  <c r="C7"/>
  <c r="D3" a="1"/>
  <c r="C3"/>
  <c r="O19" i="5"/>
  <c r="G46"/>
  <c r="H46" s="1"/>
  <c r="J46"/>
  <c r="E46"/>
  <c r="G44"/>
  <c r="H44" s="1"/>
  <c r="E41" i="6" s="1"/>
  <c r="E44" i="5"/>
  <c r="J44"/>
  <c r="G41" i="6" s="1"/>
  <c r="G42" i="5"/>
  <c r="H42" s="1"/>
  <c r="E39" i="6" s="1"/>
  <c r="E42" i="5"/>
  <c r="J42"/>
  <c r="G39" i="6" s="1"/>
  <c r="G40" i="5"/>
  <c r="H40" s="1"/>
  <c r="E37" i="6" s="1"/>
  <c r="E40" i="5"/>
  <c r="J40"/>
  <c r="G37" i="6" s="1"/>
  <c r="G38" i="5"/>
  <c r="H38" s="1"/>
  <c r="E35" i="6" s="1"/>
  <c r="E38" i="5"/>
  <c r="J38"/>
  <c r="G35" i="6" s="1"/>
  <c r="G36" i="5"/>
  <c r="H36" s="1"/>
  <c r="E33" i="6" s="1"/>
  <c r="E36" i="5"/>
  <c r="J36"/>
  <c r="G33" i="6" s="1"/>
  <c r="G34" i="5"/>
  <c r="H34" s="1"/>
  <c r="E31" i="6" s="1"/>
  <c r="E34" i="5"/>
  <c r="J34"/>
  <c r="G31" i="6" s="1"/>
  <c r="G32" i="5"/>
  <c r="H32" s="1"/>
  <c r="E29" i="6" s="1"/>
  <c r="E32" i="5"/>
  <c r="J32"/>
  <c r="G29" i="6" s="1"/>
  <c r="G30" i="5"/>
  <c r="H30" s="1"/>
  <c r="E27" i="6" s="1"/>
  <c r="E30" i="5"/>
  <c r="J30"/>
  <c r="G27" i="6" s="1"/>
  <c r="G28" i="5"/>
  <c r="H28" s="1"/>
  <c r="E25" i="6" s="1"/>
  <c r="E28" i="5"/>
  <c r="J28"/>
  <c r="G25" i="6" s="1"/>
  <c r="G26" i="5"/>
  <c r="H26" s="1"/>
  <c r="E23" i="6" s="1"/>
  <c r="E26" i="5"/>
  <c r="J26"/>
  <c r="G23" i="6" s="1"/>
  <c r="G24" i="5"/>
  <c r="H24" s="1"/>
  <c r="E21" i="6" s="1"/>
  <c r="E24" i="5"/>
  <c r="J24"/>
  <c r="G21" i="6" s="1"/>
  <c r="G22" i="5"/>
  <c r="H22" s="1"/>
  <c r="E19" i="6" s="1"/>
  <c r="E22" i="5"/>
  <c r="J22"/>
  <c r="G19" i="6" s="1"/>
  <c r="G20" i="5"/>
  <c r="H20" s="1"/>
  <c r="E17" i="6" s="1"/>
  <c r="E20" i="5"/>
  <c r="J20"/>
  <c r="G17" i="6" s="1"/>
  <c r="G18" i="5"/>
  <c r="H18" s="1"/>
  <c r="E15" i="6" s="1"/>
  <c r="E18" i="5"/>
  <c r="J18"/>
  <c r="G15" i="6" s="1"/>
  <c r="G16" i="5"/>
  <c r="H16" s="1"/>
  <c r="E13" i="6" s="1"/>
  <c r="E16" i="5"/>
  <c r="J16"/>
  <c r="G13" i="6" s="1"/>
  <c r="G14" i="5"/>
  <c r="H14" s="1"/>
  <c r="E11" i="6" s="1"/>
  <c r="E14" i="5"/>
  <c r="J14"/>
  <c r="G11" i="6" s="1"/>
  <c r="G12" i="5"/>
  <c r="H12" s="1"/>
  <c r="E9" i="6" s="1"/>
  <c r="E12" i="5"/>
  <c r="J12"/>
  <c r="G9" i="6" s="1"/>
  <c r="G10" i="5"/>
  <c r="H10" s="1"/>
  <c r="E7" i="6" s="1"/>
  <c r="E10" i="5"/>
  <c r="J10"/>
  <c r="G7" i="6" s="1"/>
  <c r="G8" i="5"/>
  <c r="H8" s="1"/>
  <c r="E5" i="6" s="1"/>
  <c r="E8" i="5"/>
  <c r="J8"/>
  <c r="G5" i="6" s="1"/>
  <c r="G6" i="5"/>
  <c r="H6" s="1"/>
  <c r="E3" i="6" s="1"/>
  <c r="E6" i="5"/>
  <c r="J6"/>
  <c r="G3" i="6" s="1"/>
  <c r="D4" i="9"/>
  <c r="C4"/>
  <c r="F4"/>
  <c r="H4"/>
  <c r="E4"/>
  <c r="B4"/>
  <c r="G4"/>
  <c r="D8"/>
  <c r="E8"/>
  <c r="G8"/>
  <c r="B8"/>
  <c r="F8"/>
  <c r="H8"/>
  <c r="C8"/>
  <c r="D12"/>
  <c r="E12"/>
  <c r="G12"/>
  <c r="B12"/>
  <c r="F12"/>
  <c r="H12"/>
  <c r="C12"/>
  <c r="D16"/>
  <c r="C16"/>
  <c r="F16"/>
  <c r="H16"/>
  <c r="E16"/>
  <c r="B16"/>
  <c r="G16"/>
  <c r="D20"/>
  <c r="C20"/>
  <c r="F20"/>
  <c r="H20"/>
  <c r="E20"/>
  <c r="B20"/>
  <c r="G20"/>
  <c r="D24"/>
  <c r="E24"/>
  <c r="G24"/>
  <c r="B24"/>
  <c r="F24"/>
  <c r="H24"/>
  <c r="C24"/>
  <c r="D28"/>
  <c r="E28"/>
  <c r="G28"/>
  <c r="B28"/>
  <c r="F28"/>
  <c r="H28"/>
  <c r="C28"/>
  <c r="D32"/>
  <c r="E32"/>
  <c r="G32"/>
  <c r="B32"/>
  <c r="F32"/>
  <c r="H32"/>
  <c r="C32"/>
  <c r="D36"/>
  <c r="E36"/>
  <c r="G36"/>
  <c r="B36"/>
  <c r="F36"/>
  <c r="H36"/>
  <c r="C36"/>
  <c r="D40"/>
  <c r="E40"/>
  <c r="G40"/>
  <c r="B40"/>
  <c r="F40"/>
  <c r="H40"/>
  <c r="C40"/>
  <c r="D44"/>
  <c r="C44"/>
  <c r="F44"/>
  <c r="H44"/>
  <c r="E44"/>
  <c r="B44"/>
  <c r="G44"/>
  <c r="D48"/>
  <c r="C48"/>
  <c r="F48"/>
  <c r="H48"/>
  <c r="E48"/>
  <c r="B48"/>
  <c r="G48"/>
  <c r="D52"/>
  <c r="C52"/>
  <c r="F52"/>
  <c r="H52"/>
  <c r="E52"/>
  <c r="B52"/>
  <c r="G52"/>
  <c r="D56"/>
  <c r="C56"/>
  <c r="F56"/>
  <c r="H56"/>
  <c r="E56"/>
  <c r="B56"/>
  <c r="G56"/>
  <c r="D60"/>
  <c r="C60"/>
  <c r="F60"/>
  <c r="H60"/>
  <c r="E60"/>
  <c r="B60"/>
  <c r="G60"/>
  <c r="D5"/>
  <c r="C5"/>
  <c r="F5"/>
  <c r="H5"/>
  <c r="B5"/>
  <c r="G5"/>
  <c r="E5"/>
  <c r="D9"/>
  <c r="C9"/>
  <c r="F9"/>
  <c r="H9"/>
  <c r="B9"/>
  <c r="G9"/>
  <c r="E9"/>
  <c r="D13"/>
  <c r="C13"/>
  <c r="F13"/>
  <c r="H13"/>
  <c r="B13"/>
  <c r="G13"/>
  <c r="E13"/>
  <c r="D17"/>
  <c r="C17"/>
  <c r="F17"/>
  <c r="H17"/>
  <c r="B17"/>
  <c r="G17"/>
  <c r="E17"/>
  <c r="B21"/>
  <c r="F21"/>
  <c r="D21"/>
  <c r="E21"/>
  <c r="G21"/>
  <c r="H21"/>
  <c r="C21"/>
  <c r="D25"/>
  <c r="C25"/>
  <c r="F25"/>
  <c r="H25"/>
  <c r="B25"/>
  <c r="G25"/>
  <c r="E25"/>
  <c r="B29"/>
  <c r="F29"/>
  <c r="D29"/>
  <c r="E29"/>
  <c r="G29"/>
  <c r="H29"/>
  <c r="C29"/>
  <c r="B33"/>
  <c r="F33"/>
  <c r="D33"/>
  <c r="E33"/>
  <c r="G33"/>
  <c r="H33"/>
  <c r="C33"/>
  <c r="B37"/>
  <c r="F37"/>
  <c r="D37"/>
  <c r="E37"/>
  <c r="G37"/>
  <c r="H37"/>
  <c r="C37"/>
  <c r="B41"/>
  <c r="F41"/>
  <c r="D41"/>
  <c r="E41"/>
  <c r="G41"/>
  <c r="H41"/>
  <c r="C41"/>
  <c r="D45"/>
  <c r="C45"/>
  <c r="F45"/>
  <c r="H45"/>
  <c r="B45"/>
  <c r="G45"/>
  <c r="E45"/>
  <c r="D49"/>
  <c r="C49"/>
  <c r="F49"/>
  <c r="H49"/>
  <c r="B49"/>
  <c r="G49"/>
  <c r="E49"/>
  <c r="D53"/>
  <c r="C53"/>
  <c r="F53"/>
  <c r="H53"/>
  <c r="B53"/>
  <c r="G53"/>
  <c r="E53"/>
  <c r="D57"/>
  <c r="C57"/>
  <c r="F57"/>
  <c r="H57"/>
  <c r="B57"/>
  <c r="G57"/>
  <c r="E57"/>
  <c r="CO45" i="2"/>
  <c r="D46"/>
  <c r="CE45"/>
  <c r="CH39" i="3"/>
  <c r="L53" i="4" l="1"/>
  <c r="A11" i="7"/>
  <c r="H52" i="4"/>
  <c r="K51"/>
  <c r="N51" s="1"/>
  <c r="C10" i="7" s="1"/>
  <c r="M51" i="4"/>
  <c r="B10" i="7" s="1"/>
  <c r="O51" i="4"/>
  <c r="D10" i="7" s="1"/>
  <c r="E59" i="9"/>
  <c r="B59"/>
  <c r="F59"/>
  <c r="E51"/>
  <c r="B51"/>
  <c r="F51"/>
  <c r="E43"/>
  <c r="B43"/>
  <c r="F43"/>
  <c r="C35"/>
  <c r="G35"/>
  <c r="D35"/>
  <c r="C27"/>
  <c r="G27"/>
  <c r="D27"/>
  <c r="C19"/>
  <c r="G19"/>
  <c r="D19"/>
  <c r="E11"/>
  <c r="B11"/>
  <c r="F11"/>
  <c r="C3"/>
  <c r="G3"/>
  <c r="D3"/>
  <c r="G54"/>
  <c r="E54"/>
  <c r="F54"/>
  <c r="G46"/>
  <c r="E46"/>
  <c r="F46"/>
  <c r="C38"/>
  <c r="F38"/>
  <c r="G38"/>
  <c r="C30"/>
  <c r="F30"/>
  <c r="G30"/>
  <c r="C22"/>
  <c r="F22"/>
  <c r="L22" s="1"/>
  <c r="G22"/>
  <c r="G14"/>
  <c r="E14"/>
  <c r="F14"/>
  <c r="C6"/>
  <c r="F6"/>
  <c r="G6"/>
  <c r="D21" i="10" a="1"/>
  <c r="G21" s="1"/>
  <c r="C9"/>
  <c r="C29"/>
  <c r="D13" a="1"/>
  <c r="E13" s="1"/>
  <c r="C25"/>
  <c r="C17"/>
  <c r="C33"/>
  <c r="C49"/>
  <c r="L45" i="9"/>
  <c r="J45"/>
  <c r="L29"/>
  <c r="J29"/>
  <c r="L21"/>
  <c r="J21"/>
  <c r="L13"/>
  <c r="J13"/>
  <c r="L56"/>
  <c r="J56"/>
  <c r="L48"/>
  <c r="J48"/>
  <c r="L16"/>
  <c r="J16"/>
  <c r="L8"/>
  <c r="J8"/>
  <c r="I12" i="5"/>
  <c r="F9" i="6" s="1"/>
  <c r="D12" i="5"/>
  <c r="C9" i="6" s="1"/>
  <c r="F12" i="5"/>
  <c r="I16"/>
  <c r="F13" i="6" s="1"/>
  <c r="D16" i="5"/>
  <c r="C13" i="6" s="1"/>
  <c r="F16" i="5"/>
  <c r="I20"/>
  <c r="F17" i="6" s="1"/>
  <c r="D20" i="5"/>
  <c r="C17" i="6" s="1"/>
  <c r="F20" i="5"/>
  <c r="I24"/>
  <c r="F21" i="6" s="1"/>
  <c r="D24" i="5"/>
  <c r="C21" i="6" s="1"/>
  <c r="F24" i="5"/>
  <c r="I28"/>
  <c r="F25" i="6" s="1"/>
  <c r="D28" i="5"/>
  <c r="C25" i="6" s="1"/>
  <c r="F28" i="5"/>
  <c r="I32"/>
  <c r="F29" i="6" s="1"/>
  <c r="D32" i="5"/>
  <c r="C29" i="6" s="1"/>
  <c r="F32" i="5"/>
  <c r="I36"/>
  <c r="F33" i="6" s="1"/>
  <c r="D36" i="5"/>
  <c r="C33" i="6" s="1"/>
  <c r="F36" i="5"/>
  <c r="I40"/>
  <c r="F37" i="6" s="1"/>
  <c r="D40" i="5"/>
  <c r="C37" i="6" s="1"/>
  <c r="F40" i="5"/>
  <c r="I44"/>
  <c r="F41" i="6" s="1"/>
  <c r="D44" i="5"/>
  <c r="C41" i="6" s="1"/>
  <c r="F44" i="5"/>
  <c r="F46"/>
  <c r="I46"/>
  <c r="D46"/>
  <c r="O20"/>
  <c r="E3" i="10"/>
  <c r="G3"/>
  <c r="I3"/>
  <c r="K3"/>
  <c r="F3"/>
  <c r="J3"/>
  <c r="D3"/>
  <c r="H3"/>
  <c r="E7"/>
  <c r="G7"/>
  <c r="I7"/>
  <c r="K7"/>
  <c r="F7"/>
  <c r="J7"/>
  <c r="D7"/>
  <c r="H7"/>
  <c r="E11"/>
  <c r="G11"/>
  <c r="I11"/>
  <c r="K11"/>
  <c r="F11"/>
  <c r="J11"/>
  <c r="D11"/>
  <c r="H11"/>
  <c r="E15"/>
  <c r="G15"/>
  <c r="I15"/>
  <c r="K15"/>
  <c r="F15"/>
  <c r="J15"/>
  <c r="D15"/>
  <c r="H15"/>
  <c r="E19"/>
  <c r="G19"/>
  <c r="I19"/>
  <c r="K19"/>
  <c r="F19"/>
  <c r="J19"/>
  <c r="D19"/>
  <c r="H19"/>
  <c r="E23"/>
  <c r="G23"/>
  <c r="I23"/>
  <c r="K23"/>
  <c r="F23"/>
  <c r="J23"/>
  <c r="D23"/>
  <c r="H23"/>
  <c r="E27"/>
  <c r="G27"/>
  <c r="I27"/>
  <c r="K27"/>
  <c r="F27"/>
  <c r="J27"/>
  <c r="D27"/>
  <c r="H27"/>
  <c r="E31"/>
  <c r="G31"/>
  <c r="I31"/>
  <c r="K31"/>
  <c r="F31"/>
  <c r="J31"/>
  <c r="D31"/>
  <c r="H31"/>
  <c r="E35"/>
  <c r="G35"/>
  <c r="I35"/>
  <c r="K35"/>
  <c r="F35"/>
  <c r="J35"/>
  <c r="D35"/>
  <c r="H35"/>
  <c r="E39"/>
  <c r="G39"/>
  <c r="I39"/>
  <c r="K39"/>
  <c r="F39"/>
  <c r="J39"/>
  <c r="D39"/>
  <c r="H39"/>
  <c r="E43"/>
  <c r="G43"/>
  <c r="I43"/>
  <c r="K43"/>
  <c r="F43"/>
  <c r="J43"/>
  <c r="D43"/>
  <c r="H43"/>
  <c r="E47"/>
  <c r="G47"/>
  <c r="I47"/>
  <c r="K47"/>
  <c r="F47"/>
  <c r="J47"/>
  <c r="D47"/>
  <c r="H47"/>
  <c r="E51"/>
  <c r="G51"/>
  <c r="I51"/>
  <c r="K51"/>
  <c r="F51"/>
  <c r="J51"/>
  <c r="D51"/>
  <c r="H51"/>
  <c r="E6"/>
  <c r="G6"/>
  <c r="I6"/>
  <c r="K6"/>
  <c r="D6"/>
  <c r="H6"/>
  <c r="F6"/>
  <c r="J6"/>
  <c r="E14"/>
  <c r="G14"/>
  <c r="I14"/>
  <c r="K14"/>
  <c r="D14"/>
  <c r="H14"/>
  <c r="F14"/>
  <c r="J14"/>
  <c r="E22"/>
  <c r="G22"/>
  <c r="I22"/>
  <c r="K22"/>
  <c r="D22"/>
  <c r="H22"/>
  <c r="F22"/>
  <c r="J22"/>
  <c r="E30"/>
  <c r="G30"/>
  <c r="I30"/>
  <c r="K30"/>
  <c r="D30"/>
  <c r="H30"/>
  <c r="F30"/>
  <c r="J30"/>
  <c r="E38"/>
  <c r="G38"/>
  <c r="I38"/>
  <c r="K38"/>
  <c r="D38"/>
  <c r="H38"/>
  <c r="F38"/>
  <c r="J38"/>
  <c r="E46"/>
  <c r="G46"/>
  <c r="I46"/>
  <c r="K46"/>
  <c r="D46"/>
  <c r="H46"/>
  <c r="F46"/>
  <c r="J46"/>
  <c r="E4"/>
  <c r="G4"/>
  <c r="I4"/>
  <c r="K4"/>
  <c r="D4"/>
  <c r="H4"/>
  <c r="F4"/>
  <c r="J4"/>
  <c r="E12"/>
  <c r="G12"/>
  <c r="I12"/>
  <c r="K12"/>
  <c r="D12"/>
  <c r="H12"/>
  <c r="F12"/>
  <c r="J12"/>
  <c r="E20"/>
  <c r="G20"/>
  <c r="I20"/>
  <c r="K20"/>
  <c r="D20"/>
  <c r="H20"/>
  <c r="F20"/>
  <c r="J20"/>
  <c r="E28"/>
  <c r="G28"/>
  <c r="I28"/>
  <c r="K28"/>
  <c r="D28"/>
  <c r="H28"/>
  <c r="F28"/>
  <c r="J28"/>
  <c r="E36"/>
  <c r="G36"/>
  <c r="I36"/>
  <c r="K36"/>
  <c r="D36"/>
  <c r="H36"/>
  <c r="F36"/>
  <c r="J36"/>
  <c r="E44"/>
  <c r="G44"/>
  <c r="I44"/>
  <c r="K44"/>
  <c r="D44"/>
  <c r="H44"/>
  <c r="F44"/>
  <c r="J44"/>
  <c r="E10"/>
  <c r="G10"/>
  <c r="I10"/>
  <c r="K10"/>
  <c r="D10"/>
  <c r="H10"/>
  <c r="F10"/>
  <c r="J10"/>
  <c r="E26"/>
  <c r="G26"/>
  <c r="I26"/>
  <c r="K26"/>
  <c r="D26"/>
  <c r="H26"/>
  <c r="F26"/>
  <c r="J26"/>
  <c r="E42"/>
  <c r="G42"/>
  <c r="I42"/>
  <c r="K42"/>
  <c r="D42"/>
  <c r="H42"/>
  <c r="F42"/>
  <c r="J42"/>
  <c r="E8"/>
  <c r="G8"/>
  <c r="I8"/>
  <c r="K8"/>
  <c r="D8"/>
  <c r="H8"/>
  <c r="F8"/>
  <c r="J8"/>
  <c r="E24"/>
  <c r="G24"/>
  <c r="I24"/>
  <c r="K24"/>
  <c r="D24"/>
  <c r="H24"/>
  <c r="F24"/>
  <c r="J24"/>
  <c r="E40"/>
  <c r="G40"/>
  <c r="I40"/>
  <c r="K40"/>
  <c r="D40"/>
  <c r="H40"/>
  <c r="F40"/>
  <c r="J40"/>
  <c r="L59" i="9"/>
  <c r="J59"/>
  <c r="L51"/>
  <c r="J51"/>
  <c r="J43"/>
  <c r="J35"/>
  <c r="J27"/>
  <c r="J19"/>
  <c r="J11"/>
  <c r="J3"/>
  <c r="L54"/>
  <c r="J54"/>
  <c r="L46"/>
  <c r="J46"/>
  <c r="J38"/>
  <c r="J30"/>
  <c r="J22"/>
  <c r="J14"/>
  <c r="J6"/>
  <c r="D5" i="5"/>
  <c r="C2" i="6" s="1"/>
  <c r="F5" i="5"/>
  <c r="I5"/>
  <c r="F2" i="6" s="1"/>
  <c r="D7" i="5"/>
  <c r="C4" i="6" s="1"/>
  <c r="F7" i="5"/>
  <c r="I7"/>
  <c r="F4" i="6" s="1"/>
  <c r="D11" i="5"/>
  <c r="C8" i="6" s="1"/>
  <c r="F11" i="5"/>
  <c r="I11"/>
  <c r="F8" i="6" s="1"/>
  <c r="D15" i="5"/>
  <c r="C12" i="6" s="1"/>
  <c r="F15" i="5"/>
  <c r="I15"/>
  <c r="F12" i="6" s="1"/>
  <c r="D19" i="5"/>
  <c r="C16" i="6" s="1"/>
  <c r="F19" i="5"/>
  <c r="I19"/>
  <c r="F16" i="6" s="1"/>
  <c r="D23" i="5"/>
  <c r="C20" i="6" s="1"/>
  <c r="F23" i="5"/>
  <c r="I23"/>
  <c r="F20" i="6" s="1"/>
  <c r="D27" i="5"/>
  <c r="C24" i="6" s="1"/>
  <c r="F27" i="5"/>
  <c r="I27"/>
  <c r="F24" i="6" s="1"/>
  <c r="D31" i="5"/>
  <c r="C28" i="6" s="1"/>
  <c r="F31" i="5"/>
  <c r="I31"/>
  <c r="F28" i="6" s="1"/>
  <c r="D35" i="5"/>
  <c r="C32" i="6" s="1"/>
  <c r="F35" i="5"/>
  <c r="I35"/>
  <c r="F32" i="6" s="1"/>
  <c r="D39" i="5"/>
  <c r="C36" i="6" s="1"/>
  <c r="F39" i="5"/>
  <c r="I39"/>
  <c r="F36" i="6" s="1"/>
  <c r="D43" i="5"/>
  <c r="C40" i="6" s="1"/>
  <c r="F43" i="5"/>
  <c r="I43"/>
  <c r="F40" i="6" s="1"/>
  <c r="E5" i="10"/>
  <c r="G5"/>
  <c r="I5"/>
  <c r="K5"/>
  <c r="F5"/>
  <c r="J5"/>
  <c r="D5"/>
  <c r="H5"/>
  <c r="E9"/>
  <c r="G9"/>
  <c r="I9"/>
  <c r="K9"/>
  <c r="F9"/>
  <c r="J9"/>
  <c r="D9"/>
  <c r="H9"/>
  <c r="K13"/>
  <c r="E17"/>
  <c r="G17"/>
  <c r="I17"/>
  <c r="K17"/>
  <c r="F17"/>
  <c r="J17"/>
  <c r="D17"/>
  <c r="H17"/>
  <c r="E21"/>
  <c r="E25"/>
  <c r="G25"/>
  <c r="I25"/>
  <c r="K25"/>
  <c r="F25"/>
  <c r="J25"/>
  <c r="D25"/>
  <c r="H25"/>
  <c r="E29"/>
  <c r="G29"/>
  <c r="I29"/>
  <c r="K29"/>
  <c r="F29"/>
  <c r="J29"/>
  <c r="D29"/>
  <c r="H29"/>
  <c r="E33"/>
  <c r="G33"/>
  <c r="I33"/>
  <c r="K33"/>
  <c r="F33"/>
  <c r="J33"/>
  <c r="D33"/>
  <c r="H33"/>
  <c r="E37"/>
  <c r="G37"/>
  <c r="I37"/>
  <c r="K37"/>
  <c r="F37"/>
  <c r="J37"/>
  <c r="D37"/>
  <c r="H37"/>
  <c r="E41"/>
  <c r="G41"/>
  <c r="I41"/>
  <c r="K41"/>
  <c r="F41"/>
  <c r="J41"/>
  <c r="D41"/>
  <c r="H41"/>
  <c r="E45"/>
  <c r="G45"/>
  <c r="I45"/>
  <c r="K45"/>
  <c r="F45"/>
  <c r="J45"/>
  <c r="D45"/>
  <c r="H45"/>
  <c r="E49"/>
  <c r="G49"/>
  <c r="I49"/>
  <c r="K49"/>
  <c r="F49"/>
  <c r="J49"/>
  <c r="D49"/>
  <c r="H49"/>
  <c r="E2"/>
  <c r="G2"/>
  <c r="I2"/>
  <c r="K2"/>
  <c r="F2"/>
  <c r="J2"/>
  <c r="D2"/>
  <c r="H2"/>
  <c r="E18"/>
  <c r="G18"/>
  <c r="I18"/>
  <c r="K18"/>
  <c r="D18"/>
  <c r="H18"/>
  <c r="F18"/>
  <c r="J18"/>
  <c r="E34"/>
  <c r="G34"/>
  <c r="I34"/>
  <c r="K34"/>
  <c r="D34"/>
  <c r="H34"/>
  <c r="F34"/>
  <c r="J34"/>
  <c r="E50"/>
  <c r="G50"/>
  <c r="I50"/>
  <c r="K50"/>
  <c r="D50"/>
  <c r="H50"/>
  <c r="F50"/>
  <c r="J50"/>
  <c r="E16"/>
  <c r="G16"/>
  <c r="I16"/>
  <c r="K16"/>
  <c r="D16"/>
  <c r="H16"/>
  <c r="F16"/>
  <c r="J16"/>
  <c r="E32"/>
  <c r="G32"/>
  <c r="I32"/>
  <c r="K32"/>
  <c r="D32"/>
  <c r="H32"/>
  <c r="F32"/>
  <c r="J32"/>
  <c r="E48"/>
  <c r="G48"/>
  <c r="I48"/>
  <c r="K48"/>
  <c r="D48"/>
  <c r="H48"/>
  <c r="F48"/>
  <c r="J48"/>
  <c r="L53" i="9"/>
  <c r="J53"/>
  <c r="L37"/>
  <c r="J37"/>
  <c r="L5"/>
  <c r="J5"/>
  <c r="L40"/>
  <c r="J40"/>
  <c r="L32"/>
  <c r="J32"/>
  <c r="L24"/>
  <c r="J24"/>
  <c r="I8" i="5"/>
  <c r="F5" i="6" s="1"/>
  <c r="D8" i="5"/>
  <c r="C5" i="6" s="1"/>
  <c r="F8" i="5"/>
  <c r="CO46" i="2"/>
  <c r="CE46"/>
  <c r="CH47" s="1"/>
  <c r="L57" i="9"/>
  <c r="J57"/>
  <c r="L49"/>
  <c r="J49"/>
  <c r="L41"/>
  <c r="J41"/>
  <c r="L33"/>
  <c r="J33"/>
  <c r="L25"/>
  <c r="J25"/>
  <c r="L17"/>
  <c r="J17"/>
  <c r="L9"/>
  <c r="J9"/>
  <c r="L60"/>
  <c r="J60"/>
  <c r="L52"/>
  <c r="J52"/>
  <c r="L44"/>
  <c r="J44"/>
  <c r="L36"/>
  <c r="J36"/>
  <c r="L28"/>
  <c r="J28"/>
  <c r="L20"/>
  <c r="J20"/>
  <c r="L12"/>
  <c r="J12"/>
  <c r="L4"/>
  <c r="J4"/>
  <c r="I6" i="5"/>
  <c r="F3" i="6" s="1"/>
  <c r="F6" i="5"/>
  <c r="D6"/>
  <c r="C3" i="6" s="1"/>
  <c r="I10" i="5"/>
  <c r="F7" i="6" s="1"/>
  <c r="F10" i="5"/>
  <c r="D10"/>
  <c r="C7" i="6" s="1"/>
  <c r="I14" i="5"/>
  <c r="F11" i="6" s="1"/>
  <c r="F14" i="5"/>
  <c r="D14"/>
  <c r="C11" i="6" s="1"/>
  <c r="I18" i="5"/>
  <c r="F15" i="6" s="1"/>
  <c r="F18" i="5"/>
  <c r="D18"/>
  <c r="C15" i="6" s="1"/>
  <c r="I22" i="5"/>
  <c r="F19" i="6" s="1"/>
  <c r="F22" i="5"/>
  <c r="D22"/>
  <c r="C19" i="6" s="1"/>
  <c r="I26" i="5"/>
  <c r="F23" i="6" s="1"/>
  <c r="F26" i="5"/>
  <c r="D26"/>
  <c r="C23" i="6" s="1"/>
  <c r="I30" i="5"/>
  <c r="F27" i="6" s="1"/>
  <c r="F30" i="5"/>
  <c r="D30"/>
  <c r="C27" i="6" s="1"/>
  <c r="I34" i="5"/>
  <c r="F31" i="6" s="1"/>
  <c r="F34" i="5"/>
  <c r="D34"/>
  <c r="C31" i="6" s="1"/>
  <c r="I38" i="5"/>
  <c r="F35" i="6" s="1"/>
  <c r="F38" i="5"/>
  <c r="D38"/>
  <c r="C35" i="6" s="1"/>
  <c r="I42" i="5"/>
  <c r="F39" i="6" s="1"/>
  <c r="F42" i="5"/>
  <c r="D42"/>
  <c r="C39" i="6" s="1"/>
  <c r="L55" i="9"/>
  <c r="J55"/>
  <c r="L47"/>
  <c r="J47"/>
  <c r="L39"/>
  <c r="J39"/>
  <c r="L31"/>
  <c r="J31"/>
  <c r="L23"/>
  <c r="J23"/>
  <c r="L15"/>
  <c r="J15"/>
  <c r="L7"/>
  <c r="J7"/>
  <c r="L58"/>
  <c r="J58"/>
  <c r="L50"/>
  <c r="J50"/>
  <c r="L42"/>
  <c r="J42"/>
  <c r="L34"/>
  <c r="J34"/>
  <c r="L26"/>
  <c r="J26"/>
  <c r="L18"/>
  <c r="J18"/>
  <c r="L10"/>
  <c r="J10"/>
  <c r="L2"/>
  <c r="J2"/>
  <c r="D9" i="5"/>
  <c r="C6" i="6" s="1"/>
  <c r="F9" i="5"/>
  <c r="I9"/>
  <c r="F6" i="6" s="1"/>
  <c r="D13" i="5"/>
  <c r="C10" i="6" s="1"/>
  <c r="F13" i="5"/>
  <c r="I13"/>
  <c r="F10" i="6" s="1"/>
  <c r="D17" i="5"/>
  <c r="C14" i="6" s="1"/>
  <c r="F17" i="5"/>
  <c r="I17"/>
  <c r="F14" i="6" s="1"/>
  <c r="D21" i="5"/>
  <c r="C18" i="6" s="1"/>
  <c r="F21" i="5"/>
  <c r="I21"/>
  <c r="F18" i="6" s="1"/>
  <c r="D25" i="5"/>
  <c r="C22" i="6" s="1"/>
  <c r="F25" i="5"/>
  <c r="I25"/>
  <c r="F22" i="6" s="1"/>
  <c r="D29" i="5"/>
  <c r="C26" i="6" s="1"/>
  <c r="F29" i="5"/>
  <c r="I29"/>
  <c r="F26" i="6" s="1"/>
  <c r="D33" i="5"/>
  <c r="C30" i="6" s="1"/>
  <c r="F33" i="5"/>
  <c r="I33"/>
  <c r="F30" i="6" s="1"/>
  <c r="D37" i="5"/>
  <c r="C34" i="6" s="1"/>
  <c r="F37" i="5"/>
  <c r="I37"/>
  <c r="F34" i="6" s="1"/>
  <c r="D41" i="5"/>
  <c r="C38" i="6" s="1"/>
  <c r="F41" i="5"/>
  <c r="I41"/>
  <c r="F38" i="6" s="1"/>
  <c r="D45" i="5"/>
  <c r="C42" i="6" s="1"/>
  <c r="F45" i="5"/>
  <c r="I45"/>
  <c r="F42" i="6" s="1"/>
  <c r="M52" i="4" l="1"/>
  <c r="B11" i="7" s="1"/>
  <c r="K52" i="4"/>
  <c r="N52" s="1"/>
  <c r="C11" i="7" s="1"/>
  <c r="O52" i="4"/>
  <c r="D11" i="7" s="1"/>
  <c r="H53" i="4"/>
  <c r="A12" i="7"/>
  <c r="L54" i="4"/>
  <c r="P1" i="10" a="1"/>
  <c r="P1" s="1"/>
  <c r="L19" i="9"/>
  <c r="M1" a="1"/>
  <c r="M1" s="1"/>
  <c r="K50" s="1"/>
  <c r="H13" i="10"/>
  <c r="L6" i="9"/>
  <c r="L14"/>
  <c r="J13" i="10"/>
  <c r="G13"/>
  <c r="L30" i="9"/>
  <c r="L38"/>
  <c r="L3"/>
  <c r="L11"/>
  <c r="L27"/>
  <c r="L35"/>
  <c r="L43"/>
  <c r="F21" i="10"/>
  <c r="D21"/>
  <c r="I21"/>
  <c r="H21"/>
  <c r="J21"/>
  <c r="K21"/>
  <c r="D13"/>
  <c r="F13"/>
  <c r="I13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48" i="10"/>
  <c r="N48"/>
  <c r="N32"/>
  <c r="L32"/>
  <c r="N16"/>
  <c r="L16"/>
  <c r="L50"/>
  <c r="N50"/>
  <c r="N34"/>
  <c r="L34"/>
  <c r="N18"/>
  <c r="L18"/>
  <c r="N2"/>
  <c r="L2"/>
  <c r="L49"/>
  <c r="N49"/>
  <c r="L45"/>
  <c r="N45"/>
  <c r="L41"/>
  <c r="N41"/>
  <c r="L37"/>
  <c r="N37"/>
  <c r="L33"/>
  <c r="N33"/>
  <c r="L29"/>
  <c r="N29"/>
  <c r="L25"/>
  <c r="N25"/>
  <c r="L21"/>
  <c r="L17"/>
  <c r="N17"/>
  <c r="L13"/>
  <c r="L9"/>
  <c r="N9"/>
  <c r="L5"/>
  <c r="N5"/>
  <c r="C39" i="5"/>
  <c r="D36" i="6"/>
  <c r="C31" i="5"/>
  <c r="D28" i="6"/>
  <c r="C23" i="5"/>
  <c r="D20" i="6"/>
  <c r="C15" i="5"/>
  <c r="D12" i="6"/>
  <c r="C7" i="5"/>
  <c r="D4" i="6"/>
  <c r="O21" i="5"/>
  <c r="C44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/>
  <c r="N24"/>
  <c r="L24"/>
  <c r="N8"/>
  <c r="L8"/>
  <c r="N42"/>
  <c r="L42"/>
  <c r="N26"/>
  <c r="L26"/>
  <c r="N10"/>
  <c r="L10"/>
  <c r="N44"/>
  <c r="L44"/>
  <c r="N36"/>
  <c r="L36"/>
  <c r="N28"/>
  <c r="L28"/>
  <c r="N20"/>
  <c r="L20"/>
  <c r="N12"/>
  <c r="L12"/>
  <c r="N4"/>
  <c r="L4"/>
  <c r="L46"/>
  <c r="N46"/>
  <c r="N38"/>
  <c r="L38"/>
  <c r="N30"/>
  <c r="L30"/>
  <c r="N22"/>
  <c r="L22"/>
  <c r="N14"/>
  <c r="L14"/>
  <c r="N6"/>
  <c r="L6"/>
  <c r="N51"/>
  <c r="L51"/>
  <c r="N47"/>
  <c r="L47"/>
  <c r="L43"/>
  <c r="N43"/>
  <c r="L39"/>
  <c r="N39"/>
  <c r="L35"/>
  <c r="N35"/>
  <c r="L31"/>
  <c r="N31"/>
  <c r="L27"/>
  <c r="N27"/>
  <c r="L23"/>
  <c r="N23"/>
  <c r="L19"/>
  <c r="N19"/>
  <c r="L15"/>
  <c r="N15"/>
  <c r="L11"/>
  <c r="N11"/>
  <c r="L7"/>
  <c r="N7"/>
  <c r="L3"/>
  <c r="N3"/>
  <c r="C40" i="5"/>
  <c r="D37" i="6"/>
  <c r="C32" i="5"/>
  <c r="D29" i="6"/>
  <c r="C24" i="5"/>
  <c r="D21" i="6"/>
  <c r="C16" i="5"/>
  <c r="D13" i="6"/>
  <c r="K30" i="9"/>
  <c r="C46" i="5"/>
  <c r="K46" s="1"/>
  <c r="L46" s="1"/>
  <c r="M46" s="1"/>
  <c r="R1" i="10" l="1" a="1"/>
  <c r="R1" s="1"/>
  <c r="K56" i="9"/>
  <c r="K35"/>
  <c r="K45"/>
  <c r="K3"/>
  <c r="L55" i="4"/>
  <c r="A13" i="7"/>
  <c r="H54" i="4"/>
  <c r="K53"/>
  <c r="N53" s="1"/>
  <c r="C12" i="7" s="1"/>
  <c r="M53" i="4"/>
  <c r="B12" i="7" s="1"/>
  <c r="O53" i="4"/>
  <c r="D12" i="7" s="1"/>
  <c r="K21" i="9"/>
  <c r="K16"/>
  <c r="K51"/>
  <c r="K19"/>
  <c r="K46"/>
  <c r="K14"/>
  <c r="N21" i="10"/>
  <c r="K29" i="9"/>
  <c r="K13"/>
  <c r="K48"/>
  <c r="K8"/>
  <c r="K59"/>
  <c r="K43"/>
  <c r="K27"/>
  <c r="K11"/>
  <c r="K54"/>
  <c r="K38"/>
  <c r="K22"/>
  <c r="K6"/>
  <c r="M39" i="10"/>
  <c r="M43"/>
  <c r="K5" i="9"/>
  <c r="K53"/>
  <c r="K32"/>
  <c r="M46" i="10"/>
  <c r="K37" i="9"/>
  <c r="K40"/>
  <c r="K24"/>
  <c r="K39"/>
  <c r="K34"/>
  <c r="N13" i="10"/>
  <c r="K57" i="9"/>
  <c r="K12"/>
  <c r="K25"/>
  <c r="K10"/>
  <c r="K55"/>
  <c r="M47" i="10"/>
  <c r="M51"/>
  <c r="M38"/>
  <c r="M44"/>
  <c r="M42"/>
  <c r="M40"/>
  <c r="M37"/>
  <c r="M41"/>
  <c r="M45"/>
  <c r="M49"/>
  <c r="M50"/>
  <c r="M48"/>
  <c r="K28" i="9"/>
  <c r="K31"/>
  <c r="K41"/>
  <c r="K9"/>
  <c r="K7"/>
  <c r="K42"/>
  <c r="K60"/>
  <c r="K58"/>
  <c r="K20"/>
  <c r="K4"/>
  <c r="K15"/>
  <c r="K18"/>
  <c r="K33"/>
  <c r="K17"/>
  <c r="K36"/>
  <c r="K23"/>
  <c r="K26"/>
  <c r="K2"/>
  <c r="M2" s="1"/>
  <c r="T2" s="1"/>
  <c r="K44"/>
  <c r="K49"/>
  <c r="K52"/>
  <c r="K47"/>
  <c r="M36" i="10"/>
  <c r="M35"/>
  <c r="M34"/>
  <c r="M33"/>
  <c r="M32"/>
  <c r="M3"/>
  <c r="M6"/>
  <c r="M14"/>
  <c r="M22"/>
  <c r="M30"/>
  <c r="M4"/>
  <c r="M12"/>
  <c r="M20"/>
  <c r="M28"/>
  <c r="M10"/>
  <c r="M26"/>
  <c r="M8"/>
  <c r="M24"/>
  <c r="M18" i="9"/>
  <c r="T18" s="1"/>
  <c r="M9"/>
  <c r="S9" s="1"/>
  <c r="M41"/>
  <c r="S41" s="1"/>
  <c r="M5" i="10"/>
  <c r="M9"/>
  <c r="M13"/>
  <c r="M17"/>
  <c r="M21"/>
  <c r="M25"/>
  <c r="M29"/>
  <c r="M7"/>
  <c r="M11"/>
  <c r="M15"/>
  <c r="M19"/>
  <c r="M23"/>
  <c r="M27"/>
  <c r="M31"/>
  <c r="M16" i="9"/>
  <c r="T16" s="1"/>
  <c r="M32"/>
  <c r="T32" s="1"/>
  <c r="M7"/>
  <c r="Q7" s="1"/>
  <c r="M19"/>
  <c r="Q19" s="1"/>
  <c r="M27"/>
  <c r="Q27" s="1"/>
  <c r="M2" i="10"/>
  <c r="M18"/>
  <c r="M16"/>
  <c r="K24" i="5"/>
  <c r="B21" i="6"/>
  <c r="I21" s="1"/>
  <c r="J21" s="1"/>
  <c r="F64" i="4"/>
  <c r="K40" i="5"/>
  <c r="B37" i="6"/>
  <c r="I37" s="1"/>
  <c r="J37" s="1"/>
  <c r="F80" i="4"/>
  <c r="K10" i="5"/>
  <c r="B7" i="6"/>
  <c r="I7" s="1"/>
  <c r="J7" s="1"/>
  <c r="F50" i="4"/>
  <c r="K18" i="5"/>
  <c r="B15" i="6"/>
  <c r="I15" s="1"/>
  <c r="J15" s="1"/>
  <c r="F58" i="4"/>
  <c r="K26" i="5"/>
  <c r="B23" i="6"/>
  <c r="I23" s="1"/>
  <c r="J23" s="1"/>
  <c r="F66" i="4"/>
  <c r="K34" i="5"/>
  <c r="B31" i="6"/>
  <c r="I31" s="1"/>
  <c r="J31" s="1"/>
  <c r="F74" i="4"/>
  <c r="B39" i="6"/>
  <c r="I39" s="1"/>
  <c r="J39" s="1"/>
  <c r="K42" i="5"/>
  <c r="B10" i="6"/>
  <c r="I10" s="1"/>
  <c r="J10" s="1"/>
  <c r="K13" i="5"/>
  <c r="F53" i="4"/>
  <c r="B18" i="6"/>
  <c r="I18" s="1"/>
  <c r="J18" s="1"/>
  <c r="K21" i="5"/>
  <c r="F61" i="4"/>
  <c r="B26" i="6"/>
  <c r="I26" s="1"/>
  <c r="J26" s="1"/>
  <c r="K29" i="5"/>
  <c r="F69" i="4"/>
  <c r="B34" i="6"/>
  <c r="I34" s="1"/>
  <c r="J34" s="1"/>
  <c r="K37" i="5"/>
  <c r="F77" i="4"/>
  <c r="B42" i="6"/>
  <c r="I42" s="1"/>
  <c r="J42" s="1"/>
  <c r="K45" i="5"/>
  <c r="B22" i="6"/>
  <c r="I22" s="1"/>
  <c r="J22" s="1"/>
  <c r="K25" i="5"/>
  <c r="F65" i="4"/>
  <c r="K16" i="5"/>
  <c r="B13" i="6"/>
  <c r="I13" s="1"/>
  <c r="J13" s="1"/>
  <c r="F56" i="4"/>
  <c r="K32" i="5"/>
  <c r="B29" i="6"/>
  <c r="I29" s="1"/>
  <c r="J29" s="1"/>
  <c r="F72" i="4"/>
  <c r="B2" i="6"/>
  <c r="I2" s="1"/>
  <c r="J2" s="1"/>
  <c r="K5" i="5"/>
  <c r="F45" i="4"/>
  <c r="B8" i="6"/>
  <c r="I8" s="1"/>
  <c r="J8" s="1"/>
  <c r="K11" i="5"/>
  <c r="F51" i="4"/>
  <c r="B16" i="6"/>
  <c r="I16" s="1"/>
  <c r="J16" s="1"/>
  <c r="K19" i="5"/>
  <c r="F59" i="4"/>
  <c r="B24" i="6"/>
  <c r="I24" s="1"/>
  <c r="J24" s="1"/>
  <c r="K27" i="5"/>
  <c r="F67" i="4"/>
  <c r="B32" i="6"/>
  <c r="I32" s="1"/>
  <c r="J32" s="1"/>
  <c r="K35" i="5"/>
  <c r="F75" i="4"/>
  <c r="B40" i="6"/>
  <c r="I40" s="1"/>
  <c r="J40" s="1"/>
  <c r="K43" i="5"/>
  <c r="K8"/>
  <c r="B5" i="6"/>
  <c r="I5" s="1"/>
  <c r="J5" s="1"/>
  <c r="F48" i="4"/>
  <c r="K6" i="5"/>
  <c r="B3" i="6"/>
  <c r="I3" s="1"/>
  <c r="J3" s="1"/>
  <c r="F46" i="4"/>
  <c r="K14" i="5"/>
  <c r="B11" i="6"/>
  <c r="I11" s="1"/>
  <c r="J11" s="1"/>
  <c r="F54" i="4"/>
  <c r="K22" i="5"/>
  <c r="B19" i="6"/>
  <c r="I19" s="1"/>
  <c r="J19" s="1"/>
  <c r="F62" i="4"/>
  <c r="K30" i="5"/>
  <c r="B27" i="6"/>
  <c r="I27" s="1"/>
  <c r="J27" s="1"/>
  <c r="F70" i="4"/>
  <c r="K38" i="5"/>
  <c r="B35" i="6"/>
  <c r="I35" s="1"/>
  <c r="J35" s="1"/>
  <c r="F78" i="4"/>
  <c r="B6" i="6"/>
  <c r="I6" s="1"/>
  <c r="J6" s="1"/>
  <c r="K9" i="5"/>
  <c r="F49" i="4"/>
  <c r="B14" i="6"/>
  <c r="I14" s="1"/>
  <c r="J14" s="1"/>
  <c r="K17" i="5"/>
  <c r="F57" i="4"/>
  <c r="B30" i="6"/>
  <c r="I30" s="1"/>
  <c r="J30" s="1"/>
  <c r="K33" i="5"/>
  <c r="F73" i="4"/>
  <c r="B38" i="6"/>
  <c r="I38" s="1"/>
  <c r="J38" s="1"/>
  <c r="K41" i="5"/>
  <c r="K12"/>
  <c r="B9" i="6"/>
  <c r="I9" s="1"/>
  <c r="J9" s="1"/>
  <c r="F52" i="4"/>
  <c r="K20" i="5"/>
  <c r="B17" i="6"/>
  <c r="I17" s="1"/>
  <c r="J17" s="1"/>
  <c r="F60" i="4"/>
  <c r="K28" i="5"/>
  <c r="B25" i="6"/>
  <c r="I25" s="1"/>
  <c r="J25" s="1"/>
  <c r="F68" i="4"/>
  <c r="K36" i="5"/>
  <c r="B33" i="6"/>
  <c r="I33" s="1"/>
  <c r="J33" s="1"/>
  <c r="F76" i="4"/>
  <c r="B41" i="6"/>
  <c r="I41" s="1"/>
  <c r="J41" s="1"/>
  <c r="K44" i="5"/>
  <c r="O22"/>
  <c r="B4" i="6"/>
  <c r="I4" s="1"/>
  <c r="J4" s="1"/>
  <c r="K7" i="5"/>
  <c r="F47" i="4"/>
  <c r="B12" i="6"/>
  <c r="I12" s="1"/>
  <c r="J12" s="1"/>
  <c r="K15" i="5"/>
  <c r="F55" i="4"/>
  <c r="B20" i="6"/>
  <c r="I20" s="1"/>
  <c r="J20" s="1"/>
  <c r="K23" i="5"/>
  <c r="F63" i="4"/>
  <c r="B28" i="6"/>
  <c r="I28" s="1"/>
  <c r="J28" s="1"/>
  <c r="K31" i="5"/>
  <c r="F71" i="4"/>
  <c r="B36" i="6"/>
  <c r="I36" s="1"/>
  <c r="J36" s="1"/>
  <c r="K39" i="5"/>
  <c r="F79" i="4"/>
  <c r="M25" i="9" l="1"/>
  <c r="S25" s="1"/>
  <c r="M34"/>
  <c r="T34" s="1"/>
  <c r="O54" i="4"/>
  <c r="D13" i="7" s="1"/>
  <c r="M54" i="4"/>
  <c r="B13" i="7" s="1"/>
  <c r="K54" i="4"/>
  <c r="N54" s="1"/>
  <c r="C13" i="7" s="1"/>
  <c r="H55" i="4"/>
  <c r="L56"/>
  <c r="A14" i="7"/>
  <c r="S18" i="9"/>
  <c r="M10"/>
  <c r="T10" s="1"/>
  <c r="M35"/>
  <c r="Q35" s="1"/>
  <c r="M40"/>
  <c r="R40" s="1"/>
  <c r="M24"/>
  <c r="T24" s="1"/>
  <c r="M8"/>
  <c r="T8" s="1"/>
  <c r="M33"/>
  <c r="S33" s="1"/>
  <c r="M17"/>
  <c r="S17" s="1"/>
  <c r="M42"/>
  <c r="T42" s="1"/>
  <c r="M26"/>
  <c r="Q26" s="1"/>
  <c r="M15"/>
  <c r="P15" s="1"/>
  <c r="Q3" i="10" a="1"/>
  <c r="Q3" s="1"/>
  <c r="Q25" a="1"/>
  <c r="Q24" a="1"/>
  <c r="Q23" a="1"/>
  <c r="Q22" a="1"/>
  <c r="Q21" a="1"/>
  <c r="Q19" a="1"/>
  <c r="Q18" a="1"/>
  <c r="Q17" a="1"/>
  <c r="Q16" a="1"/>
  <c r="Q14" a="1"/>
  <c r="Q12" a="1"/>
  <c r="Q11" a="1"/>
  <c r="Q9" a="1"/>
  <c r="Q6" a="1"/>
  <c r="Q5" a="1"/>
  <c r="Q20" a="1"/>
  <c r="Q15" a="1"/>
  <c r="Q13" a="1"/>
  <c r="Q10" a="1"/>
  <c r="Q8" a="1"/>
  <c r="Q7" a="1"/>
  <c r="Q4" a="1"/>
  <c r="W3"/>
  <c r="V3"/>
  <c r="S15" i="9"/>
  <c r="Q15"/>
  <c r="M39"/>
  <c r="S39" s="1"/>
  <c r="M31"/>
  <c r="Q31" s="1"/>
  <c r="M23"/>
  <c r="S23" s="1"/>
  <c r="M11"/>
  <c r="Q11" s="1"/>
  <c r="M3"/>
  <c r="S3" s="1"/>
  <c r="M36"/>
  <c r="R36" s="1"/>
  <c r="M28"/>
  <c r="R28" s="1"/>
  <c r="M20"/>
  <c r="T20" s="1"/>
  <c r="M12"/>
  <c r="R12" s="1"/>
  <c r="M4"/>
  <c r="T4" s="1"/>
  <c r="M37"/>
  <c r="P37" s="1"/>
  <c r="M29"/>
  <c r="Q29" s="1"/>
  <c r="M21"/>
  <c r="Q21" s="1"/>
  <c r="M13"/>
  <c r="Q13" s="1"/>
  <c r="M5"/>
  <c r="Q5" s="1"/>
  <c r="M38"/>
  <c r="T38" s="1"/>
  <c r="M30"/>
  <c r="R30" s="1"/>
  <c r="M22"/>
  <c r="Q22" s="1"/>
  <c r="M14"/>
  <c r="R14" s="1"/>
  <c r="M6"/>
  <c r="Q6" s="1"/>
  <c r="M43"/>
  <c r="Q43" s="1"/>
  <c r="S38"/>
  <c r="T37"/>
  <c r="O38"/>
  <c r="T41"/>
  <c r="Q33"/>
  <c r="T9"/>
  <c r="T39"/>
  <c r="Q39"/>
  <c r="T15"/>
  <c r="T25"/>
  <c r="O42"/>
  <c r="S34"/>
  <c r="R26"/>
  <c r="O10"/>
  <c r="S2"/>
  <c r="O27"/>
  <c r="O19"/>
  <c r="R15"/>
  <c r="O7"/>
  <c r="S32"/>
  <c r="S16"/>
  <c r="S8"/>
  <c r="P41"/>
  <c r="Q41"/>
  <c r="T33"/>
  <c r="P25"/>
  <c r="Q25"/>
  <c r="T17"/>
  <c r="P9"/>
  <c r="Q9"/>
  <c r="S42"/>
  <c r="O34"/>
  <c r="R34"/>
  <c r="S26"/>
  <c r="O18"/>
  <c r="R18"/>
  <c r="S10"/>
  <c r="O2"/>
  <c r="R2"/>
  <c r="R35"/>
  <c r="S35"/>
  <c r="R27"/>
  <c r="S27"/>
  <c r="R19"/>
  <c r="S19"/>
  <c r="R7"/>
  <c r="S7"/>
  <c r="Q40"/>
  <c r="O32"/>
  <c r="R32"/>
  <c r="O24"/>
  <c r="R24"/>
  <c r="O16"/>
  <c r="R16"/>
  <c r="O8"/>
  <c r="O39"/>
  <c r="O23"/>
  <c r="O3"/>
  <c r="S28"/>
  <c r="S12"/>
  <c r="P4"/>
  <c r="P35"/>
  <c r="T35"/>
  <c r="P27"/>
  <c r="T27"/>
  <c r="P19"/>
  <c r="T19"/>
  <c r="P7"/>
  <c r="T7"/>
  <c r="S40"/>
  <c r="Q32"/>
  <c r="P32"/>
  <c r="Q24"/>
  <c r="P24"/>
  <c r="Q16"/>
  <c r="P16"/>
  <c r="P8"/>
  <c r="R41"/>
  <c r="O41"/>
  <c r="R33"/>
  <c r="O33"/>
  <c r="R25"/>
  <c r="O25"/>
  <c r="O17"/>
  <c r="R9"/>
  <c r="O9"/>
  <c r="Q42"/>
  <c r="P42"/>
  <c r="Q34"/>
  <c r="P34"/>
  <c r="P26"/>
  <c r="Q18"/>
  <c r="P18"/>
  <c r="Q10"/>
  <c r="P10"/>
  <c r="Q2"/>
  <c r="P2"/>
  <c r="L31" i="5"/>
  <c r="H28" i="6"/>
  <c r="O23" i="5"/>
  <c r="L28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s="1"/>
  <c r="H41" i="6"/>
  <c r="L36" i="5"/>
  <c r="H33" i="6"/>
  <c r="L20" i="5"/>
  <c r="H17" i="6"/>
  <c r="L41" i="5"/>
  <c r="M41" s="1"/>
  <c r="H38" i="6"/>
  <c r="L17" i="5"/>
  <c r="H14" i="6"/>
  <c r="L30" i="5"/>
  <c r="H27" i="6"/>
  <c r="L14" i="5"/>
  <c r="H11" i="6"/>
  <c r="L43" i="5"/>
  <c r="M43" s="1"/>
  <c r="H40" i="6"/>
  <c r="L27" i="5"/>
  <c r="H24" i="6"/>
  <c r="L11" i="5"/>
  <c r="H8" i="6"/>
  <c r="L16" i="5"/>
  <c r="H13" i="6"/>
  <c r="L25" i="5"/>
  <c r="H22" i="6"/>
  <c r="L45" i="5"/>
  <c r="M45" s="1"/>
  <c r="H42" i="6"/>
  <c r="L29" i="5"/>
  <c r="H26" i="6"/>
  <c r="L13" i="5"/>
  <c r="H10" i="6"/>
  <c r="L42" i="5"/>
  <c r="M42" s="1"/>
  <c r="H39" i="6"/>
  <c r="L34" i="5"/>
  <c r="H31" i="6"/>
  <c r="L18" i="5"/>
  <c r="H15" i="6"/>
  <c r="L40" i="5"/>
  <c r="H37" i="6"/>
  <c r="O12" i="9" l="1"/>
  <c r="O28"/>
  <c r="R3"/>
  <c r="R23"/>
  <c r="R39"/>
  <c r="P3"/>
  <c r="Q12"/>
  <c r="O37"/>
  <c r="P23"/>
  <c r="P39"/>
  <c r="Q28"/>
  <c r="T5"/>
  <c r="T23"/>
  <c r="Q3"/>
  <c r="Q23"/>
  <c r="T12"/>
  <c r="T28"/>
  <c r="T3"/>
  <c r="P28"/>
  <c r="T21"/>
  <c r="R37"/>
  <c r="P12"/>
  <c r="P5"/>
  <c r="P21"/>
  <c r="L57" i="4"/>
  <c r="A15" i="7"/>
  <c r="H56" i="4"/>
  <c r="K55"/>
  <c r="N55" s="1"/>
  <c r="C14" i="7" s="1"/>
  <c r="M55" i="4"/>
  <c r="B14" i="7" s="1"/>
  <c r="O55" i="4"/>
  <c r="D14" i="7" s="1"/>
  <c r="R10" i="9"/>
  <c r="R17"/>
  <c r="Q8"/>
  <c r="O40"/>
  <c r="R8"/>
  <c r="T40"/>
  <c r="P40"/>
  <c r="Q17"/>
  <c r="O20"/>
  <c r="P17"/>
  <c r="R3" i="10"/>
  <c r="S3"/>
  <c r="Q14" i="9"/>
  <c r="P30"/>
  <c r="T26"/>
  <c r="O26"/>
  <c r="T31"/>
  <c r="S24"/>
  <c r="O15"/>
  <c r="O35"/>
  <c r="P33"/>
  <c r="O31"/>
  <c r="R31"/>
  <c r="R42"/>
  <c r="S36"/>
  <c r="T36"/>
  <c r="R13"/>
  <c r="R29"/>
  <c r="R4"/>
  <c r="X3" i="10"/>
  <c r="T3"/>
  <c r="Y3"/>
  <c r="U3"/>
  <c r="P20" i="9"/>
  <c r="T11"/>
  <c r="S20"/>
  <c r="R11"/>
  <c r="O6"/>
  <c r="O22"/>
  <c r="Q38"/>
  <c r="P29"/>
  <c r="Y4" i="10"/>
  <c r="W4"/>
  <c r="U4"/>
  <c r="S4"/>
  <c r="Q4"/>
  <c r="X4"/>
  <c r="V4"/>
  <c r="T4"/>
  <c r="R4"/>
  <c r="Y8"/>
  <c r="W8"/>
  <c r="U8"/>
  <c r="S8"/>
  <c r="Q8"/>
  <c r="X8"/>
  <c r="V8"/>
  <c r="T8"/>
  <c r="R8"/>
  <c r="Y13"/>
  <c r="W13"/>
  <c r="U13"/>
  <c r="S13"/>
  <c r="Q13"/>
  <c r="X13"/>
  <c r="V13"/>
  <c r="T13"/>
  <c r="R13"/>
  <c r="R20"/>
  <c r="Y20"/>
  <c r="W20"/>
  <c r="U20"/>
  <c r="S20"/>
  <c r="Q20"/>
  <c r="X20"/>
  <c r="V20"/>
  <c r="T20"/>
  <c r="X6"/>
  <c r="V6"/>
  <c r="T6"/>
  <c r="R6"/>
  <c r="Y6"/>
  <c r="W6"/>
  <c r="U6"/>
  <c r="S6"/>
  <c r="Q6"/>
  <c r="Y11"/>
  <c r="W11"/>
  <c r="U11"/>
  <c r="S11"/>
  <c r="Q11"/>
  <c r="X11"/>
  <c r="V11"/>
  <c r="T11"/>
  <c r="R11"/>
  <c r="X14"/>
  <c r="V14"/>
  <c r="T14"/>
  <c r="R14"/>
  <c r="Y14"/>
  <c r="W14"/>
  <c r="U14"/>
  <c r="S14"/>
  <c r="Q14"/>
  <c r="X17"/>
  <c r="V17"/>
  <c r="T17"/>
  <c r="R17"/>
  <c r="Y17"/>
  <c r="W17"/>
  <c r="U17"/>
  <c r="S17"/>
  <c r="Q17"/>
  <c r="X19"/>
  <c r="V19"/>
  <c r="T19"/>
  <c r="R19"/>
  <c r="Y19"/>
  <c r="W19"/>
  <c r="U19"/>
  <c r="S19"/>
  <c r="Q19"/>
  <c r="X22"/>
  <c r="V22"/>
  <c r="T22"/>
  <c r="R22"/>
  <c r="Y22"/>
  <c r="W22"/>
  <c r="U22"/>
  <c r="S22"/>
  <c r="Q22"/>
  <c r="X24"/>
  <c r="V24"/>
  <c r="T24"/>
  <c r="R24"/>
  <c r="Y24"/>
  <c r="W24"/>
  <c r="U24"/>
  <c r="S24"/>
  <c r="Q24"/>
  <c r="X7"/>
  <c r="V7"/>
  <c r="T7"/>
  <c r="R7"/>
  <c r="Y7"/>
  <c r="W7"/>
  <c r="U7"/>
  <c r="S7"/>
  <c r="Q7"/>
  <c r="Y10"/>
  <c r="W10"/>
  <c r="U10"/>
  <c r="S10"/>
  <c r="Q10"/>
  <c r="X10"/>
  <c r="V10"/>
  <c r="T10"/>
  <c r="R10"/>
  <c r="Y15"/>
  <c r="W15"/>
  <c r="U15"/>
  <c r="S15"/>
  <c r="Q15"/>
  <c r="X15"/>
  <c r="V15"/>
  <c r="T15"/>
  <c r="R15"/>
  <c r="Y5"/>
  <c r="W5"/>
  <c r="U5"/>
  <c r="S5"/>
  <c r="Q5"/>
  <c r="X5"/>
  <c r="V5"/>
  <c r="T5"/>
  <c r="R5"/>
  <c r="X9"/>
  <c r="V9"/>
  <c r="T9"/>
  <c r="Y9"/>
  <c r="W9"/>
  <c r="U9"/>
  <c r="S9"/>
  <c r="Q9"/>
  <c r="R9"/>
  <c r="X12"/>
  <c r="V12"/>
  <c r="T12"/>
  <c r="Y12"/>
  <c r="W12"/>
  <c r="U12"/>
  <c r="S12"/>
  <c r="Q12"/>
  <c r="R12"/>
  <c r="T16"/>
  <c r="Y16"/>
  <c r="W16"/>
  <c r="U16"/>
  <c r="S16"/>
  <c r="Q16"/>
  <c r="X16"/>
  <c r="V16"/>
  <c r="R16"/>
  <c r="X18"/>
  <c r="V18"/>
  <c r="T18"/>
  <c r="R18"/>
  <c r="Y18"/>
  <c r="W18"/>
  <c r="U18"/>
  <c r="S18"/>
  <c r="Q18"/>
  <c r="X21"/>
  <c r="T21"/>
  <c r="R21"/>
  <c r="Y21"/>
  <c r="W21"/>
  <c r="U21"/>
  <c r="S21"/>
  <c r="Q21"/>
  <c r="V21"/>
  <c r="X23"/>
  <c r="V23"/>
  <c r="T23"/>
  <c r="R23"/>
  <c r="Y23"/>
  <c r="W23"/>
  <c r="U23"/>
  <c r="S23"/>
  <c r="Q23"/>
  <c r="X25"/>
  <c r="V25"/>
  <c r="T25"/>
  <c r="R25"/>
  <c r="Y25"/>
  <c r="W25"/>
  <c r="U25"/>
  <c r="S25"/>
  <c r="Q25"/>
  <c r="O5" i="9"/>
  <c r="O21"/>
  <c r="P14"/>
  <c r="Q30"/>
  <c r="S21"/>
  <c r="S14"/>
  <c r="S5"/>
  <c r="S30"/>
  <c r="P43"/>
  <c r="R5"/>
  <c r="R21"/>
  <c r="R6"/>
  <c r="T6"/>
  <c r="R22"/>
  <c r="T22"/>
  <c r="S13"/>
  <c r="T13"/>
  <c r="T14"/>
  <c r="O14"/>
  <c r="T30"/>
  <c r="O30"/>
  <c r="S37"/>
  <c r="Q37"/>
  <c r="O36"/>
  <c r="Q4"/>
  <c r="Q20"/>
  <c r="Q36"/>
  <c r="P11"/>
  <c r="P31"/>
  <c r="O11"/>
  <c r="S4"/>
  <c r="S31"/>
  <c r="R20"/>
  <c r="S11"/>
  <c r="S6"/>
  <c r="S22"/>
  <c r="P38"/>
  <c r="O13"/>
  <c r="T29"/>
  <c r="O4"/>
  <c r="P36"/>
  <c r="P6"/>
  <c r="P22"/>
  <c r="R38"/>
  <c r="P13"/>
  <c r="S29"/>
  <c r="O29"/>
  <c r="O43"/>
  <c r="S43"/>
  <c r="T43"/>
  <c r="R43"/>
  <c r="M40" i="5"/>
  <c r="M18"/>
  <c r="M29"/>
  <c r="M25"/>
  <c r="M11"/>
  <c r="M30"/>
  <c r="M36"/>
  <c r="M7"/>
  <c r="M39"/>
  <c r="M24"/>
  <c r="M31"/>
  <c r="M34"/>
  <c r="M13"/>
  <c r="M16"/>
  <c r="M27"/>
  <c r="M14"/>
  <c r="M17"/>
  <c r="M20"/>
  <c r="M23"/>
  <c r="M15"/>
  <c r="M10"/>
  <c r="M26"/>
  <c r="M21"/>
  <c r="M37"/>
  <c r="M32"/>
  <c r="M5"/>
  <c r="M19"/>
  <c r="M8"/>
  <c r="M6"/>
  <c r="M33"/>
  <c r="M12"/>
  <c r="O24"/>
  <c r="M35"/>
  <c r="M22"/>
  <c r="M38"/>
  <c r="M9"/>
  <c r="M28"/>
  <c r="M56" i="4" l="1"/>
  <c r="B15" i="7" s="1"/>
  <c r="K56" i="4"/>
  <c r="N56" s="1"/>
  <c r="C15" i="7" s="1"/>
  <c r="O56" i="4"/>
  <c r="D15" i="7" s="1"/>
  <c r="H57" i="4"/>
  <c r="A16" i="7"/>
  <c r="L58" i="4"/>
  <c r="N6" i="5"/>
  <c r="P6" s="1"/>
  <c r="N5"/>
  <c r="P5" s="1"/>
  <c r="N20"/>
  <c r="N14"/>
  <c r="N13"/>
  <c r="N9"/>
  <c r="N22"/>
  <c r="N23"/>
  <c r="N21"/>
  <c r="N19"/>
  <c r="N17"/>
  <c r="N16"/>
  <c r="N15"/>
  <c r="N11"/>
  <c r="N7"/>
  <c r="N8"/>
  <c r="O25"/>
  <c r="N24"/>
  <c r="N18"/>
  <c r="N12"/>
  <c r="N10"/>
  <c r="L59" i="4" l="1"/>
  <c r="A17" i="7"/>
  <c r="H58" i="4"/>
  <c r="K57"/>
  <c r="N57" s="1"/>
  <c r="C16" i="7" s="1"/>
  <c r="O57" i="4"/>
  <c r="D16" i="7" s="1"/>
  <c r="M57" i="4"/>
  <c r="B16" i="7" s="1"/>
  <c r="Q6" i="5"/>
  <c r="R6"/>
  <c r="Q5"/>
  <c r="R5"/>
  <c r="Q12"/>
  <c r="P12"/>
  <c r="R12"/>
  <c r="Q8"/>
  <c r="P8"/>
  <c r="R8"/>
  <c r="Q10"/>
  <c r="P10"/>
  <c r="R10"/>
  <c r="Q18"/>
  <c r="P18"/>
  <c r="R18"/>
  <c r="O26"/>
  <c r="N25"/>
  <c r="P7"/>
  <c r="R7"/>
  <c r="Q7"/>
  <c r="P15"/>
  <c r="R15"/>
  <c r="Q15"/>
  <c r="P17"/>
  <c r="R17"/>
  <c r="Q17"/>
  <c r="P21"/>
  <c r="R21"/>
  <c r="Q21"/>
  <c r="Q22"/>
  <c r="P22"/>
  <c r="R22"/>
  <c r="P13"/>
  <c r="R13"/>
  <c r="Q13"/>
  <c r="Q20"/>
  <c r="P20"/>
  <c r="R20"/>
  <c r="Q24"/>
  <c r="P24"/>
  <c r="R24"/>
  <c r="P11"/>
  <c r="R11"/>
  <c r="Q11"/>
  <c r="Q16"/>
  <c r="P16"/>
  <c r="R16"/>
  <c r="P19"/>
  <c r="R19"/>
  <c r="Q19"/>
  <c r="P23"/>
  <c r="R23"/>
  <c r="Q23"/>
  <c r="P9"/>
  <c r="R9"/>
  <c r="Q9"/>
  <c r="Q14"/>
  <c r="P14"/>
  <c r="R14"/>
  <c r="O58" i="4" l="1"/>
  <c r="D17" i="7" s="1"/>
  <c r="M58" i="4"/>
  <c r="B17" i="7" s="1"/>
  <c r="K58" i="4"/>
  <c r="N58" s="1"/>
  <c r="C17" i="7" s="1"/>
  <c r="H59" i="4"/>
  <c r="L60"/>
  <c r="A18" i="7"/>
  <c r="T15" i="5" a="1"/>
  <c r="T15" s="1"/>
  <c r="S15"/>
  <c r="O27"/>
  <c r="N26"/>
  <c r="P25"/>
  <c r="R25"/>
  <c r="Q25"/>
  <c r="L61" i="4" l="1"/>
  <c r="A19" i="7"/>
  <c r="H60" i="4"/>
  <c r="K59"/>
  <c r="N59" s="1"/>
  <c r="C18" i="7" s="1"/>
  <c r="M59" i="4"/>
  <c r="B18" i="7" s="1"/>
  <c r="O59" i="4"/>
  <c r="D18" i="7" s="1"/>
  <c r="Q26" i="5"/>
  <c r="P26"/>
  <c r="R26"/>
  <c r="O28"/>
  <c r="N27"/>
  <c r="M60" i="4" l="1"/>
  <c r="B19" i="7" s="1"/>
  <c r="K60" i="4"/>
  <c r="N60" s="1"/>
  <c r="C19" i="7" s="1"/>
  <c r="O60" i="4"/>
  <c r="D19" i="7" s="1"/>
  <c r="H61" i="4"/>
  <c r="A20" i="7"/>
  <c r="L62" i="4"/>
  <c r="O29" i="5"/>
  <c r="N28"/>
  <c r="P27"/>
  <c r="R27"/>
  <c r="Q27"/>
  <c r="L63" i="4" l="1"/>
  <c r="A21" i="7"/>
  <c r="H62" i="4"/>
  <c r="K61"/>
  <c r="N61" s="1"/>
  <c r="C20" i="7" s="1"/>
  <c r="O61" i="4"/>
  <c r="D20" i="7" s="1"/>
  <c r="M61" i="4"/>
  <c r="B20" i="7" s="1"/>
  <c r="Q28" i="5"/>
  <c r="P28"/>
  <c r="R28"/>
  <c r="O30"/>
  <c r="N29"/>
  <c r="O62" i="4" l="1"/>
  <c r="D21" i="7" s="1"/>
  <c r="M62" i="4"/>
  <c r="B21" i="7" s="1"/>
  <c r="K62" i="4"/>
  <c r="N62" s="1"/>
  <c r="C21" i="7" s="1"/>
  <c r="H63" i="4"/>
  <c r="L64"/>
  <c r="A22" i="7"/>
  <c r="P29" i="5"/>
  <c r="R29"/>
  <c r="Q29"/>
  <c r="O31"/>
  <c r="N30"/>
  <c r="L65" i="4" l="1"/>
  <c r="A23" i="7"/>
  <c r="H64" i="4"/>
  <c r="K63"/>
  <c r="N63" s="1"/>
  <c r="C22" i="7" s="1"/>
  <c r="O63" i="4"/>
  <c r="D22" i="7" s="1"/>
  <c r="M63" i="4"/>
  <c r="B22" i="7" s="1"/>
  <c r="O32" i="5"/>
  <c r="N31"/>
  <c r="Q30"/>
  <c r="P30"/>
  <c r="R30"/>
  <c r="M64" i="4" l="1"/>
  <c r="B23" i="7" s="1"/>
  <c r="K64" i="4"/>
  <c r="N64" s="1"/>
  <c r="C23" i="7" s="1"/>
  <c r="O64" i="4"/>
  <c r="D23" i="7" s="1"/>
  <c r="H65" i="4"/>
  <c r="A24" i="7"/>
  <c r="L66" i="4"/>
  <c r="P31" i="5"/>
  <c r="R31"/>
  <c r="Q31"/>
  <c r="O33"/>
  <c r="N32"/>
  <c r="L67" i="4" l="1"/>
  <c r="A25" i="7"/>
  <c r="H66" i="4"/>
  <c r="K65"/>
  <c r="N65" s="1"/>
  <c r="C24" i="7" s="1"/>
  <c r="O65" i="4"/>
  <c r="D24" i="7" s="1"/>
  <c r="M65" i="4"/>
  <c r="B24" i="7" s="1"/>
  <c r="Q32" i="5"/>
  <c r="P32"/>
  <c r="R32"/>
  <c r="O34"/>
  <c r="N33"/>
  <c r="O66" i="4" l="1"/>
  <c r="D25" i="7" s="1"/>
  <c r="M66" i="4"/>
  <c r="B25" i="7" s="1"/>
  <c r="K66" i="4"/>
  <c r="N66" s="1"/>
  <c r="C25" i="7" s="1"/>
  <c r="H67" i="4"/>
  <c r="L68"/>
  <c r="A26" i="7"/>
  <c r="P33" i="5"/>
  <c r="R33"/>
  <c r="Q33"/>
  <c r="O35"/>
  <c r="N34"/>
  <c r="L69" i="4" l="1"/>
  <c r="A27" i="7"/>
  <c r="H68" i="4"/>
  <c r="K67"/>
  <c r="N67" s="1"/>
  <c r="C26" i="7" s="1"/>
  <c r="M67" i="4"/>
  <c r="B26" i="7" s="1"/>
  <c r="O67" i="4"/>
  <c r="D26" i="7" s="1"/>
  <c r="O36" i="5"/>
  <c r="N35"/>
  <c r="Q34"/>
  <c r="P34"/>
  <c r="R34"/>
  <c r="M68" i="4" l="1"/>
  <c r="B27" i="7" s="1"/>
  <c r="K68" i="4"/>
  <c r="N68" s="1"/>
  <c r="C27" i="7" s="1"/>
  <c r="O68" i="4"/>
  <c r="D27" i="7" s="1"/>
  <c r="H69" i="4"/>
  <c r="A28" i="7"/>
  <c r="L70" i="4"/>
  <c r="O37" i="5"/>
  <c r="N36"/>
  <c r="P35"/>
  <c r="R35"/>
  <c r="Q35"/>
  <c r="L71" i="4" l="1"/>
  <c r="A29" i="7"/>
  <c r="H70" i="4"/>
  <c r="K69"/>
  <c r="N69" s="1"/>
  <c r="C28" i="7" s="1"/>
  <c r="O69" i="4"/>
  <c r="D28" i="7" s="1"/>
  <c r="M69" i="4"/>
  <c r="B28" i="7" s="1"/>
  <c r="Q36" i="5"/>
  <c r="P36"/>
  <c r="R36"/>
  <c r="O38"/>
  <c r="N37"/>
  <c r="O70" i="4" l="1"/>
  <c r="D29" i="7" s="1"/>
  <c r="M70" i="4"/>
  <c r="B29" i="7" s="1"/>
  <c r="K70" i="4"/>
  <c r="N70" s="1"/>
  <c r="C29" i="7" s="1"/>
  <c r="H71" i="4"/>
  <c r="L72"/>
  <c r="A30" i="7"/>
  <c r="P37" i="5"/>
  <c r="R37"/>
  <c r="Q37"/>
  <c r="O39"/>
  <c r="N38"/>
  <c r="L73" i="4" l="1"/>
  <c r="A31" i="7"/>
  <c r="H72" i="4"/>
  <c r="K71"/>
  <c r="N71" s="1"/>
  <c r="C30" i="7" s="1"/>
  <c r="O71" i="4"/>
  <c r="D30" i="7" s="1"/>
  <c r="M71" i="4"/>
  <c r="B30" i="7" s="1"/>
  <c r="O40" i="5"/>
  <c r="N39"/>
  <c r="Q38"/>
  <c r="P38"/>
  <c r="R38"/>
  <c r="M72" i="4" l="1"/>
  <c r="B31" i="7" s="1"/>
  <c r="K72" i="4"/>
  <c r="N72" s="1"/>
  <c r="C31" i="7" s="1"/>
  <c r="O72" i="4"/>
  <c r="D31" i="7" s="1"/>
  <c r="H73" i="4"/>
  <c r="A32" i="7"/>
  <c r="L74" i="4"/>
  <c r="P39" i="5"/>
  <c r="R39"/>
  <c r="Q39"/>
  <c r="O41"/>
  <c r="N40"/>
  <c r="L75" i="4" l="1"/>
  <c r="A33" i="7"/>
  <c r="H74" i="4"/>
  <c r="K73"/>
  <c r="N73" s="1"/>
  <c r="C32" i="7" s="1"/>
  <c r="O73" i="4"/>
  <c r="D32" i="7" s="1"/>
  <c r="M73" i="4"/>
  <c r="B32" i="7" s="1"/>
  <c r="Q40" i="5"/>
  <c r="P40"/>
  <c r="R40"/>
  <c r="O42"/>
  <c r="N41"/>
  <c r="O74" i="4" l="1"/>
  <c r="D33" i="7" s="1"/>
  <c r="M74" i="4"/>
  <c r="B33" i="7" s="1"/>
  <c r="K74" i="4"/>
  <c r="N74" s="1"/>
  <c r="C33" i="7" s="1"/>
  <c r="H75" i="4"/>
  <c r="L76"/>
  <c r="A34" i="7"/>
  <c r="P41" i="5"/>
  <c r="R41"/>
  <c r="Q41"/>
  <c r="O43"/>
  <c r="N42"/>
  <c r="L77" i="4" l="1"/>
  <c r="A35" i="7"/>
  <c r="H76" i="4"/>
  <c r="K75"/>
  <c r="N75" s="1"/>
  <c r="C34" i="7" s="1"/>
  <c r="M75" i="4"/>
  <c r="B34" i="7" s="1"/>
  <c r="O75" i="4"/>
  <c r="D34" i="7" s="1"/>
  <c r="O44" i="5"/>
  <c r="N43"/>
  <c r="Q42"/>
  <c r="P42"/>
  <c r="R42"/>
  <c r="H77" i="4" l="1"/>
  <c r="A36" i="7"/>
  <c r="L78" i="4"/>
  <c r="M76"/>
  <c r="B35" i="7" s="1"/>
  <c r="K76" i="4"/>
  <c r="N76" s="1"/>
  <c r="C35" i="7" s="1"/>
  <c r="O76" i="4"/>
  <c r="D35" i="7" s="1"/>
  <c r="P43" i="5"/>
  <c r="R43"/>
  <c r="Q43"/>
  <c r="O45"/>
  <c r="N44"/>
  <c r="L79" i="4" l="1"/>
  <c r="A37" i="7"/>
  <c r="H78" i="4"/>
  <c r="K77"/>
  <c r="N77" s="1"/>
  <c r="C36" i="7" s="1"/>
  <c r="O77" i="4"/>
  <c r="D36" i="7" s="1"/>
  <c r="M77" i="4"/>
  <c r="B36" i="7" s="1"/>
  <c r="O46" i="5"/>
  <c r="N46" s="1"/>
  <c r="N45"/>
  <c r="Q44"/>
  <c r="P44"/>
  <c r="R44"/>
  <c r="O78" i="4" l="1"/>
  <c r="D37" i="7" s="1"/>
  <c r="M78" i="4"/>
  <c r="B37" i="7" s="1"/>
  <c r="K78" i="4"/>
  <c r="N78" s="1"/>
  <c r="C37" i="7" s="1"/>
  <c r="H79" i="4"/>
  <c r="L80"/>
  <c r="A38" i="7"/>
  <c r="P45" i="5"/>
  <c r="R45"/>
  <c r="Q45"/>
  <c r="Q46"/>
  <c r="P46"/>
  <c r="R46"/>
  <c r="L81" i="4" l="1"/>
  <c r="A39" i="7"/>
  <c r="H80" i="4"/>
  <c r="K79"/>
  <c r="N79" s="1"/>
  <c r="C38" i="7" s="1"/>
  <c r="M79" i="4"/>
  <c r="B38" i="7" s="1"/>
  <c r="O79" i="4"/>
  <c r="D38" i="7" s="1"/>
  <c r="M80" i="4" l="1"/>
  <c r="B39" i="7" s="1"/>
  <c r="K80" i="4"/>
  <c r="N80" s="1"/>
  <c r="C39" i="7" s="1"/>
  <c r="O80" i="4"/>
  <c r="D39" i="7" s="1"/>
  <c r="H81" i="4"/>
  <c r="L82"/>
  <c r="A40" i="7"/>
  <c r="H82" i="4" l="1"/>
  <c r="L83"/>
  <c r="M81"/>
  <c r="B40" i="7" s="1"/>
  <c r="K81" i="4"/>
  <c r="N81" s="1"/>
  <c r="C40" i="7" s="1"/>
  <c r="O81" i="4"/>
  <c r="D40" i="7" s="1"/>
  <c r="M82" i="4" l="1"/>
  <c r="K82"/>
  <c r="N82" s="1"/>
  <c r="O82"/>
  <c r="H83"/>
  <c r="L84"/>
  <c r="L85" l="1"/>
  <c r="H84"/>
  <c r="M83"/>
  <c r="K83"/>
  <c r="N83" s="1"/>
  <c r="O83"/>
  <c r="H85" l="1"/>
  <c r="L86"/>
  <c r="L87" s="1"/>
  <c r="K84"/>
  <c r="N84" s="1"/>
  <c r="O84"/>
  <c r="M84"/>
  <c r="K85" l="1"/>
  <c r="N85" s="1"/>
  <c r="O85"/>
  <c r="M85"/>
</calcChain>
</file>

<file path=xl/sharedStrings.xml><?xml version="1.0" encoding="utf-8"?>
<sst xmlns="http://schemas.openxmlformats.org/spreadsheetml/2006/main" count="1205" uniqueCount="628">
  <si>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</si>
  <si>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</si>
  <si>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</si>
  <si>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</si>
  <si>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</si>
  <si>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</si>
  <si>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</si>
  <si>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</si>
  <si>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</si>
  <si>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</si>
  <si>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</si>
  <si>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</si>
  <si>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</si>
  <si>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</si>
  <si>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</si>
  <si>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</si>
  <si>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</si>
  <si>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</si>
  <si>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</si>
  <si>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</si>
  <si>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</si>
  <si>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</si>
  <si>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</si>
  <si>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</si>
  <si>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</si>
  <si>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</si>
  <si>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</si>
  <si>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</si>
  <si>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</si>
  <si>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</si>
  <si>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</si>
  <si>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</si>
  <si>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</si>
  <si>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</si>
  <si>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</si>
  <si>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</si>
  <si>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</si>
  <si>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</si>
  <si>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</si>
  <si>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</si>
  <si>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</si>
  <si>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</si>
  <si>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</si>
  <si>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</si>
  <si>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</si>
  <si>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</si>
  <si>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</si>
  <si>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</si>
  <si>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</si>
  <si>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</si>
  <si>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</si>
  <si>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</si>
  <si>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</si>
  <si>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</si>
  <si>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</si>
  <si>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</si>
  <si>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</si>
  <si>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</si>
  <si>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</si>
  <si>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</si>
  <si>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</si>
  <si>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</si>
  <si>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</si>
  <si>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</si>
  <si>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</si>
  <si>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</si>
  <si>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</si>
  <si>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</si>
  <si>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</si>
  <si>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</si>
  <si>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</si>
  <si>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</si>
  <si>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</si>
  <si>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</si>
  <si>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</si>
  <si>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</si>
  <si>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</si>
  <si>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</si>
  <si>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</si>
  <si>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</si>
  <si>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</si>
  <si>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</si>
  <si>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</si>
  <si>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</si>
  <si>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</si>
  <si>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</si>
  <si>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</si>
  <si>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</si>
  <si>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</si>
  <si>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</si>
  <si>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</si>
  <si>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</si>
  <si>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</si>
  <si>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</si>
  <si>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</si>
  <si>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</si>
  <si>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</si>
  <si>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</si>
  <si>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</si>
  <si>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</si>
  <si>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</si>
  <si>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</si>
  <si>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</si>
  <si>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</si>
  <si>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</si>
  <si>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</si>
  <si>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</si>
  <si>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</si>
  <si>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</si>
  <si>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</si>
  <si>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</si>
  <si>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</si>
  <si>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</si>
  <si>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</si>
  <si>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</si>
  <si>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</si>
  <si>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</si>
  <si>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</si>
  <si>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</si>
  <si>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</si>
  <si>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</si>
  <si>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</si>
  <si>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</si>
  <si>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</si>
  <si>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</si>
  <si>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</si>
  <si>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</si>
  <si>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</si>
  <si>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</si>
  <si>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</si>
  <si>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</si>
  <si>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</si>
  <si>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</si>
  <si>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</si>
  <si>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</si>
  <si>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</si>
  <si>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</si>
  <si>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</si>
  <si>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</si>
  <si>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</si>
  <si>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</si>
  <si>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</si>
  <si>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</si>
  <si>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</si>
  <si>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</si>
  <si>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</si>
  <si>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</si>
  <si>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</si>
  <si>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</si>
  <si>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</si>
  <si>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Lestrelle J</t>
  </si>
  <si>
    <t>Sharpe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</si>
  <si>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</si>
  <si>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</si>
  <si>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</si>
  <si>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</si>
  <si>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</si>
  <si>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</si>
  <si>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</si>
  <si>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</si>
  <si>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</si>
  <si>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</si>
  <si>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</si>
  <si>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</si>
  <si>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</si>
  <si>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</si>
  <si>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</si>
  <si>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</si>
  <si>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</si>
  <si>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</si>
  <si>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</si>
  <si>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</si>
  <si>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</si>
  <si>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</si>
  <si>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</si>
  <si>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</si>
  <si>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</si>
  <si>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</si>
  <si>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</si>
  <si>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</si>
  <si>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</si>
  <si>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</si>
  <si>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</si>
  <si>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</si>
  <si>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</si>
  <si>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</si>
  <si>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</si>
  <si>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</si>
  <si>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</si>
  <si>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</si>
  <si>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</si>
  <si>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</si>
  <si>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</si>
  <si>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</si>
  <si>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</si>
  <si>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</si>
  <si>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</si>
  <si>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</si>
  <si>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</si>
  <si>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TOCC Runs</t>
  </si>
  <si>
    <t>Opp Runs</t>
  </si>
  <si>
    <t>TOCC Wkts</t>
  </si>
  <si>
    <t>Opp Wkts</t>
  </si>
  <si>
    <t>Pos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</si>
  <si>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</si>
  <si>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</si>
  <si>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</si>
  <si>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</si>
  <si>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</si>
  <si>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</si>
  <si>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</si>
  <si>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</si>
  <si>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</si>
  <si>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</si>
  <si>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</si>
  <si>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</si>
  <si>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A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</si>
  <si>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</si>
  <si>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</si>
  <si>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</si>
  <si>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</si>
  <si>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</si>
  <si>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</si>
  <si>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</si>
  <si>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</si>
  <si>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</si>
  <si>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</si>
  <si>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</si>
  <si>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</si>
  <si>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Johnson A</t>
  </si>
  <si>
    <t>Daniel</t>
  </si>
  <si>
    <t>Edghill D</t>
  </si>
  <si>
    <t>de Souza C</t>
  </si>
  <si>
    <t>Clayton</t>
  </si>
  <si>
    <t>Seymour C</t>
  </si>
  <si>
    <t>H</t>
  </si>
  <si>
    <t>Queries</t>
  </si>
  <si>
    <t>11/0/dnb*/0/0</t>
  </si>
  <si>
    <t>Phil</t>
  </si>
  <si>
    <t>Chaffey P</t>
  </si>
  <si>
    <t>10/0/dnb*/0/0</t>
  </si>
  <si>
    <t>Churchleigh</t>
  </si>
  <si>
    <t>ND</t>
  </si>
  <si>
    <t>7/0/dnb/0/0</t>
  </si>
  <si>
    <t>9/0/dnb/0/0</t>
  </si>
  <si>
    <t>10/0/dnb/0/0</t>
  </si>
  <si>
    <t>11/0/dnb/0/0</t>
  </si>
  <si>
    <t>TOCC</t>
  </si>
  <si>
    <t>L</t>
  </si>
  <si>
    <t>Alex</t>
  </si>
  <si>
    <t>Gibb A</t>
  </si>
  <si>
    <t>4/0/b/1/0</t>
  </si>
  <si>
    <t>5/0/b/0/0</t>
  </si>
  <si>
    <t>Beddington</t>
  </si>
  <si>
    <t>W</t>
  </si>
  <si>
    <t>5/1/c/0/0</t>
  </si>
  <si>
    <t>Vishwa</t>
  </si>
  <si>
    <t>Norwood Exiles</t>
  </si>
  <si>
    <t>4/0/lb/0/0</t>
  </si>
  <si>
    <t>4/0/27/0</t>
  </si>
  <si>
    <t>Sanderstead</t>
  </si>
  <si>
    <t>3/0/19/0</t>
  </si>
  <si>
    <t>11/0/dnb/1/0</t>
  </si>
  <si>
    <t>3/0/25/0</t>
  </si>
  <si>
    <t>9/1/c/0/0</t>
  </si>
  <si>
    <t>8/0/dnb*/1/0</t>
  </si>
  <si>
    <t>3/0/10/1</t>
  </si>
  <si>
    <t>2/9/b/0/1.0</t>
  </si>
  <si>
    <t>10/7/no/0/0</t>
  </si>
  <si>
    <t>Middleton J</t>
  </si>
  <si>
    <t>6/0/28/1</t>
  </si>
  <si>
    <t>N/O</t>
  </si>
  <si>
    <t>4/0/38/1</t>
  </si>
  <si>
    <t>Davies R</t>
  </si>
  <si>
    <t>Ray</t>
  </si>
  <si>
    <t>8/0/dnb/0/0</t>
  </si>
  <si>
    <t>5/0/dnb/0/0</t>
  </si>
  <si>
    <t>6/0/dnb/0/0</t>
  </si>
  <si>
    <t>Robinson Lakeside</t>
  </si>
  <si>
    <t>John Fisher Lamgas</t>
  </si>
  <si>
    <t>Middleton 5-30</t>
  </si>
  <si>
    <t>Middleton 57</t>
  </si>
  <si>
    <t>Middleton 48</t>
  </si>
  <si>
    <t>Singh 4-34</t>
  </si>
  <si>
    <t>Middleton 5-38</t>
  </si>
  <si>
    <t>Banforth 102</t>
  </si>
  <si>
    <t>Morden Corinthians</t>
  </si>
  <si>
    <t>Middleton 39</t>
  </si>
  <si>
    <t>Patel 51*</t>
  </si>
  <si>
    <t>Orpington</t>
  </si>
  <si>
    <t>Cooper 4-12</t>
  </si>
  <si>
    <t>Statics</t>
  </si>
  <si>
    <t>Old Josephians</t>
  </si>
  <si>
    <t>LESSA Wanderers</t>
  </si>
  <si>
    <t>Feroz 97*, Seymour 5-45</t>
  </si>
  <si>
    <t>Macca 4-21</t>
  </si>
  <si>
    <t>Norwood</t>
  </si>
  <si>
    <t>Sayeed 112</t>
  </si>
  <si>
    <t>Wright 4-41</t>
  </si>
  <si>
    <t>Aston 3-3</t>
  </si>
  <si>
    <t>Kingstonian</t>
  </si>
  <si>
    <t>Clark 4-28</t>
  </si>
  <si>
    <t>Middleton 38*</t>
  </si>
  <si>
    <t>Somerville 52*</t>
  </si>
  <si>
    <t>Greyling 43, Somerville 4-20</t>
  </si>
  <si>
    <t>Seymour 3-9</t>
  </si>
  <si>
    <t>Sharpe 63*</t>
  </si>
  <si>
    <t>Gibb 78</t>
  </si>
  <si>
    <t>Stevenson R 79*, Knight O 57</t>
  </si>
  <si>
    <t>2008 Season</t>
  </si>
  <si>
    <t>1/6/c/0/1.0</t>
  </si>
  <si>
    <t>2/23/no/0/2.0</t>
  </si>
  <si>
    <t>3/1/lb/0/0</t>
  </si>
  <si>
    <t>4/1/no/0/0</t>
  </si>
  <si>
    <t>3/0/34/0</t>
  </si>
  <si>
    <t>Singh R</t>
  </si>
  <si>
    <t>8/1/45/1</t>
  </si>
  <si>
    <t>10/2/30/5</t>
  </si>
  <si>
    <t>9/1/29/1</t>
  </si>
  <si>
    <t>4/0/21/0</t>
  </si>
  <si>
    <t>1/5/c+/0.1/0</t>
  </si>
  <si>
    <t>2/1/lb/0/0</t>
  </si>
  <si>
    <t>3/15/b/0/2.0</t>
  </si>
  <si>
    <t>4/57/c/0/7.0</t>
  </si>
  <si>
    <t>Ricky</t>
  </si>
  <si>
    <t>5/5/c/0/1.0</t>
  </si>
  <si>
    <t>6/2/b/0/0</t>
  </si>
  <si>
    <t>7/1/b/0/0</t>
  </si>
  <si>
    <t>8/3/b*/0/0</t>
  </si>
  <si>
    <t>9/5/no/0/0</t>
  </si>
  <si>
    <t>10/13/b/0/0</t>
  </si>
  <si>
    <t>1/0/b/1/0</t>
  </si>
  <si>
    <t>2/9/c/0/0</t>
  </si>
  <si>
    <t>3/15/c/0/2.0</t>
  </si>
  <si>
    <t>4/7/b/0/1.0</t>
  </si>
  <si>
    <t>5/4/b/0/0</t>
  </si>
  <si>
    <t>6/3/ro/0/0</t>
  </si>
  <si>
    <t>7/11/b/0/0.1</t>
  </si>
  <si>
    <t>8/4/b/0/0</t>
  </si>
  <si>
    <t>9/8/b/0/1.0</t>
  </si>
  <si>
    <t>10/7/no/1/1.0</t>
  </si>
  <si>
    <t>11/4/c*/0/0</t>
  </si>
  <si>
    <t>3/15/c+/0/2.0</t>
  </si>
  <si>
    <t>2/0/b/0/0</t>
  </si>
  <si>
    <t>3/0/c/0/0</t>
  </si>
  <si>
    <t>4/48/c/0/5.2</t>
  </si>
  <si>
    <t>5/21/c/0/1.0</t>
  </si>
  <si>
    <t>6/5/c*/0/0</t>
  </si>
  <si>
    <t>Harry</t>
  </si>
  <si>
    <t>Singh H</t>
  </si>
  <si>
    <t>7/14/c/1/0</t>
  </si>
  <si>
    <t>8/18/c/0/2.0</t>
  </si>
  <si>
    <t>10/6/b/1/1.0</t>
  </si>
  <si>
    <t>11/2/no/0/0</t>
  </si>
  <si>
    <t>3/0/c+/1.0/0</t>
  </si>
  <si>
    <t>8/1/41/2</t>
  </si>
  <si>
    <t>7/0/29/1</t>
  </si>
  <si>
    <t>1/0/20/0</t>
  </si>
  <si>
    <t>0.1/0/6/0</t>
  </si>
  <si>
    <t>5/1/31/1</t>
  </si>
  <si>
    <t>10/2/34/4</t>
  </si>
  <si>
    <t>11/0/43/1</t>
  </si>
  <si>
    <t>5/0/30/2</t>
  </si>
  <si>
    <t>1.5/0/15/0</t>
  </si>
  <si>
    <t>9/18/c/0/3.1</t>
  </si>
  <si>
    <t>1/25/lb/0/2.0</t>
  </si>
  <si>
    <t>3/10/c+/0/0</t>
  </si>
  <si>
    <t>4/9/lb/0/0</t>
  </si>
  <si>
    <t>6/0/b/0/0</t>
  </si>
  <si>
    <t>6/17/c/0/1.0</t>
  </si>
  <si>
    <t>7/7/no/0/1.0</t>
  </si>
  <si>
    <t>8/0/no/0/0</t>
  </si>
  <si>
    <t>11/0/dnb*/2/0</t>
  </si>
  <si>
    <t>10/0/30/0</t>
  </si>
  <si>
    <t>6/1/36/0</t>
  </si>
  <si>
    <t>13/3/38/5</t>
  </si>
  <si>
    <t>6/1/22/0</t>
  </si>
  <si>
    <t>7/1/22/1</t>
  </si>
  <si>
    <t>5/0/24/0</t>
  </si>
  <si>
    <t>8/2/29/0</t>
  </si>
  <si>
    <t>6/0/36/1</t>
  </si>
  <si>
    <t>5/0/36/0</t>
  </si>
  <si>
    <t>Chitnavis B</t>
  </si>
  <si>
    <t>6/1/31/2</t>
  </si>
  <si>
    <t>1/20/c/0/3.0</t>
  </si>
  <si>
    <t>2/5/lb/0/0</t>
  </si>
  <si>
    <t>3/2/c+/0/0</t>
  </si>
  <si>
    <t>4/3/c/0/0</t>
  </si>
  <si>
    <t>6/17/b/1/2.0</t>
  </si>
  <si>
    <t>7/7/c/1/1.0</t>
  </si>
  <si>
    <t>8/5/lb/0/0</t>
  </si>
  <si>
    <t>9/10/b/0/2.0</t>
  </si>
  <si>
    <t>11/20/c*/0/5.0</t>
  </si>
  <si>
    <t>8/1/28/2</t>
  </si>
  <si>
    <t>6/0/12/1</t>
  </si>
  <si>
    <t>8/1/22/2</t>
  </si>
  <si>
    <t>8/0/26/1</t>
  </si>
  <si>
    <t>5/0/18/0</t>
  </si>
  <si>
    <t>3/1/16/0</t>
  </si>
  <si>
    <t>2/0/15/0</t>
  </si>
  <si>
    <t>1/0/c/0/0</t>
  </si>
  <si>
    <t>Martin</t>
  </si>
  <si>
    <t>3/6/c/1/0</t>
  </si>
  <si>
    <t>5/39/b/0/6.0</t>
  </si>
  <si>
    <t>6/2/c+/1.0/0</t>
  </si>
  <si>
    <t>7/1/c/0/0</t>
  </si>
  <si>
    <t>8/8/b/0/1.0</t>
  </si>
  <si>
    <t>9/7/b*/0/1.0</t>
  </si>
  <si>
    <t>10/11/no/0/0</t>
  </si>
  <si>
    <t>11/5/c/0/0</t>
  </si>
  <si>
    <t>2/1/c/0/0</t>
  </si>
  <si>
    <t>3/19/b/0/3.0</t>
  </si>
  <si>
    <t>4/0/lb/1/0</t>
  </si>
  <si>
    <t>5/31/c/0/4.1</t>
  </si>
  <si>
    <t>6/24/b+/0/2.0</t>
  </si>
  <si>
    <t>7/13/c*/1/1/0</t>
  </si>
  <si>
    <t>8/2/b/2/0</t>
  </si>
  <si>
    <t>Mark</t>
  </si>
  <si>
    <t>Clarkson M</t>
  </si>
  <si>
    <t>9/15/c/2/2.0</t>
  </si>
  <si>
    <t>10/0/c/0/0/</t>
  </si>
  <si>
    <t>11/1/no/0/0</t>
  </si>
  <si>
    <t>6/4/5/0</t>
  </si>
  <si>
    <t>6/1/23/2</t>
  </si>
  <si>
    <t>5/0/12/4</t>
  </si>
  <si>
    <t>4/1/21/1</t>
  </si>
  <si>
    <t>3/0/4/2</t>
  </si>
  <si>
    <t>2.5/0/8/1</t>
  </si>
  <si>
    <t>1/22/lb/0/1.0</t>
  </si>
  <si>
    <t>2/21/b/0/2.0</t>
  </si>
  <si>
    <t>3/11/b/0/2.0</t>
  </si>
  <si>
    <t>4/2/c+/0/0</t>
  </si>
  <si>
    <t>7/11/b/0/2.0</t>
  </si>
  <si>
    <t>9/5/c/0/1.0</t>
  </si>
  <si>
    <t>10/2/c/0/0</t>
  </si>
  <si>
    <t>5/2/17/0</t>
  </si>
  <si>
    <t>6/1/27/0</t>
  </si>
  <si>
    <t>8/2/34/1</t>
  </si>
  <si>
    <t>4/0/18/1</t>
  </si>
  <si>
    <t>4/0/11/0</t>
  </si>
  <si>
    <t>1.5/0/17/0</t>
  </si>
  <si>
    <t>3/0/8/2</t>
  </si>
  <si>
    <t>Wright P</t>
  </si>
  <si>
    <t>3/0/20/0</t>
  </si>
  <si>
    <t>3/0/21/0</t>
  </si>
  <si>
    <t>2/0/4/1</t>
  </si>
  <si>
    <t>1/0/4/1</t>
  </si>
  <si>
    <t>1/29/no/0/3.0</t>
  </si>
  <si>
    <t>2/19/lb/0/1.0</t>
  </si>
  <si>
    <t>4/12/no/0/1.0</t>
  </si>
  <si>
    <t>5/0/dnb+/0/0</t>
  </si>
  <si>
    <t>1/9/ro+/0/0</t>
  </si>
  <si>
    <t>2/7/c/0/0</t>
  </si>
  <si>
    <t>3/15/no/0/1.0</t>
  </si>
  <si>
    <t>4/1/c/0/0</t>
  </si>
  <si>
    <t>6/8/ro/1/0.1</t>
  </si>
  <si>
    <t>7/3/no/0/0</t>
  </si>
  <si>
    <t>2/0/3/1</t>
  </si>
  <si>
    <t>2/0/7/0</t>
  </si>
  <si>
    <t>2/0/5/1</t>
  </si>
  <si>
    <t>2/1/10/1</t>
  </si>
  <si>
    <t>1/0/1/1</t>
  </si>
  <si>
    <t>1/0/2/2</t>
  </si>
  <si>
    <t>8/1/27/0</t>
  </si>
  <si>
    <t>4/1/21/0</t>
  </si>
  <si>
    <t>8/1/36/1</t>
  </si>
  <si>
    <t>8/1/48/2</t>
  </si>
  <si>
    <t>7/0/45/5</t>
  </si>
  <si>
    <t>2/1/7/0</t>
  </si>
  <si>
    <t>1/0/c/1/0</t>
  </si>
  <si>
    <t>2/3/b/1/0</t>
  </si>
  <si>
    <t>3/8/b+/0/2.0</t>
  </si>
  <si>
    <t>4/15/c/0/2.0</t>
  </si>
  <si>
    <t>5/0/b/1/1.0</t>
  </si>
  <si>
    <t>6/6/b/0/0</t>
  </si>
  <si>
    <t>7/6/b/0/1.0</t>
  </si>
  <si>
    <t>8/0/lb/0/0</t>
  </si>
  <si>
    <t>9/0/c/1/0</t>
  </si>
  <si>
    <t>10/0/no/0/0</t>
  </si>
  <si>
    <t>11/4/b*/0/1.0</t>
  </si>
  <si>
    <t>12/2/37/1</t>
  </si>
  <si>
    <t>8/1/29/1</t>
  </si>
  <si>
    <t>11/0/35/1</t>
  </si>
  <si>
    <t>8/2/36/0</t>
  </si>
  <si>
    <t>4/0/26/1</t>
  </si>
  <si>
    <t>1/0/12/0</t>
  </si>
  <si>
    <t>1/12/lb/0/1.0</t>
  </si>
  <si>
    <t>2/8/c+/1.0/2.0</t>
  </si>
  <si>
    <t>4/2/lb/1/0</t>
  </si>
  <si>
    <t>5/25/b/0/2.0</t>
  </si>
  <si>
    <t>Lovell</t>
  </si>
  <si>
    <t>6/15/ro/0/0</t>
  </si>
  <si>
    <t>7/35/c/0/3.1</t>
  </si>
  <si>
    <t>8/22/no/0/3.0</t>
  </si>
  <si>
    <t>9/0/no/0/0</t>
  </si>
  <si>
    <t>5/0/30/1</t>
  </si>
  <si>
    <t>6/1/20/0</t>
  </si>
  <si>
    <t>5/0/33/0</t>
  </si>
  <si>
    <t>6/0/40/1</t>
  </si>
  <si>
    <t>8/0/53/1</t>
  </si>
  <si>
    <t>5/0/33/1</t>
  </si>
  <si>
    <t>1/22/b+/0/3.0</t>
  </si>
  <si>
    <t>2/4/c/0/1.0</t>
  </si>
  <si>
    <t>3/4/ro/0/1.0</t>
  </si>
  <si>
    <t>4/0/c/0/0</t>
  </si>
  <si>
    <t>5/0/c/0/0</t>
  </si>
  <si>
    <t>6/25/c/1/3.0</t>
  </si>
  <si>
    <t>7/7/c/0/0</t>
  </si>
  <si>
    <t>8/2/no/0/0</t>
  </si>
  <si>
    <t>9/11/no/0/0</t>
  </si>
  <si>
    <t>6/0/21/0</t>
  </si>
  <si>
    <t>9/5/14/0</t>
  </si>
  <si>
    <t>8.2/2/26/2</t>
  </si>
  <si>
    <t>12/1/44/2</t>
  </si>
  <si>
    <t>3/1/10/1</t>
  </si>
  <si>
    <t>9/0/41/4</t>
  </si>
  <si>
    <t>1/8/b+/1.0/2.0</t>
  </si>
  <si>
    <t>3/6/b/0/1.0</t>
  </si>
  <si>
    <t>4/2/c/1/0</t>
  </si>
  <si>
    <t>5/2/ro/0/0</t>
  </si>
  <si>
    <t>6/9/no/0/0</t>
  </si>
  <si>
    <t>7/6/b/0/0</t>
  </si>
  <si>
    <t>8/1/no/0/0</t>
  </si>
  <si>
    <t>9/0/dnb/1/0</t>
  </si>
  <si>
    <t>7/1/25/1</t>
  </si>
  <si>
    <t>7/1/28/4</t>
  </si>
  <si>
    <t>8/0/19/0</t>
  </si>
  <si>
    <t>8.4/1/14/2</t>
  </si>
  <si>
    <t>1/0/7/1</t>
  </si>
  <si>
    <t>1/8/b/0/1.0</t>
  </si>
  <si>
    <t>3/8/lb/2/0.1</t>
  </si>
  <si>
    <t>4/29/lb+/0/1.0</t>
  </si>
  <si>
    <t>5/38/no/0/5.1</t>
  </si>
  <si>
    <t>6/3/no/0/0</t>
  </si>
  <si>
    <t>8/0/dnb*/0/0</t>
  </si>
  <si>
    <t>Missen</t>
  </si>
  <si>
    <t>1/30/b/0/0</t>
  </si>
  <si>
    <t>2/43/b+/2.0/5.0</t>
  </si>
  <si>
    <t>3/2/b/0/0</t>
  </si>
  <si>
    <t>4/2/b/0/0</t>
  </si>
  <si>
    <t>6/5/ro/0/0</t>
  </si>
  <si>
    <t>7/14/no/0/0</t>
  </si>
  <si>
    <t>8/11/lb*/0/2.0</t>
  </si>
  <si>
    <t>11/1/35/1</t>
  </si>
  <si>
    <t>6/1/23/1</t>
  </si>
  <si>
    <t>9/2/20/2</t>
  </si>
  <si>
    <t>2/0/11/0</t>
  </si>
  <si>
    <t>7/1/28/0</t>
  </si>
  <si>
    <t>5.3/0/7/1</t>
  </si>
  <si>
    <t>6.1/3/17/2</t>
  </si>
  <si>
    <t>4/0/13/0</t>
  </si>
  <si>
    <t>4/0/8/1</t>
  </si>
  <si>
    <t>4/0/15/1</t>
  </si>
  <si>
    <t>5/0/9/3</t>
  </si>
  <si>
    <t>4/0/22/0</t>
  </si>
  <si>
    <t>2/1/2/1</t>
  </si>
  <si>
    <t>1/0/lb/0/0</t>
  </si>
  <si>
    <t>2/11/b/0/0</t>
  </si>
  <si>
    <t>3/63/no/2/4.2</t>
  </si>
  <si>
    <t>5/17/no+/0/1.0</t>
  </si>
  <si>
    <t>1/11/c/0/2.0</t>
  </si>
  <si>
    <t>2/6/b/0/1.0</t>
  </si>
  <si>
    <t>3/6/c/0/1.0</t>
  </si>
  <si>
    <t>Gibb B</t>
  </si>
  <si>
    <t>6/2/c/0/0</t>
  </si>
  <si>
    <t>5/78/c/1/10.0</t>
  </si>
  <si>
    <t>4/21/ro/0/2.0</t>
  </si>
  <si>
    <t>8/3/c/0/0</t>
  </si>
  <si>
    <t>9/1/b*/0/0</t>
  </si>
  <si>
    <t>10/20/b/0/3.0</t>
  </si>
  <si>
    <t>Engel W</t>
  </si>
  <si>
    <t>Will</t>
  </si>
  <si>
    <t>Ben</t>
  </si>
  <si>
    <t>5/1/12/1</t>
  </si>
  <si>
    <t>8/2/31/3</t>
  </si>
  <si>
    <t>6/0/32/1</t>
  </si>
  <si>
    <t>3/0/26/0</t>
  </si>
  <si>
    <t>6/1/38/0</t>
  </si>
  <si>
    <t>0.1/0/5/0</t>
  </si>
  <si>
    <t>Gibb A 1-0-78-78</t>
  </si>
  <si>
    <t>Missen 1-0-30-30</t>
  </si>
  <si>
    <t>Wright P 3-1-25-45</t>
  </si>
  <si>
    <t>Martin 2-0-31-37</t>
  </si>
  <si>
    <t>Singh H 3-0-15-35</t>
  </si>
  <si>
    <t>Rollins R 3-0-19-29</t>
  </si>
  <si>
    <t>Chitnavis B 2-0-15-18</t>
  </si>
  <si>
    <t>Davies R 1-0-8-8</t>
  </si>
  <si>
    <t>Leadley J 1-0-6-6</t>
  </si>
  <si>
    <t>Edghill D 4-1-5-5</t>
  </si>
  <si>
    <t>Wiseman R 1-0-0-0</t>
  </si>
  <si>
    <t>Lestrelle J 1-1-23*-23</t>
  </si>
  <si>
    <t>Bowers M 1-1-1*-1</t>
  </si>
  <si>
    <t>Woodhouse M 1-0-0-0</t>
  </si>
  <si>
    <t>Lovell 4-0-15-31</t>
  </si>
  <si>
    <t>Engel W 1-0-3-3</t>
  </si>
  <si>
    <t>Gibb B 1-0-2-2</t>
  </si>
  <si>
    <t>Edghill C 2-1-10-1,</t>
  </si>
  <si>
    <t>Missen 9-2-20-2,</t>
  </si>
  <si>
    <t>Sharpe D 23.1-5-75-6,</t>
  </si>
  <si>
    <t>Wright P 20-0-106-6,</t>
  </si>
  <si>
    <t>Gibb B 4-0-18-1,</t>
  </si>
  <si>
    <t>Clarkson M 37.2-5-162-8,</t>
  </si>
  <si>
    <t>Lovell 6-0-26-1,</t>
  </si>
  <si>
    <t>de Souza C 25.4-3-117-4,</t>
  </si>
  <si>
    <t>Clark C 60-9-215-7,</t>
  </si>
  <si>
    <t>Engel W 6-0-32-1,</t>
  </si>
  <si>
    <t>Edghill D 14-3-72-2,</t>
  </si>
  <si>
    <t>Chitnavis B 4-0-38-1,</t>
  </si>
  <si>
    <t>Greyling R 29-1-120-3,</t>
  </si>
  <si>
    <t>Chaffey P 27-1-161-3,</t>
  </si>
  <si>
    <t>Johnson A 10-0-69-1,</t>
  </si>
  <si>
    <t>Lestrelle A 37.5-3-183-1,</t>
  </si>
  <si>
    <t>Smith C 0.1-0-5-0,</t>
  </si>
  <si>
    <t>Wiseman R 2-1-7-0,</t>
  </si>
  <si>
    <t>Bowers M 3-0-26-0,</t>
  </si>
  <si>
    <t>0</t>
  </si>
  <si>
    <t>5</t>
  </si>
  <si>
    <t>2</t>
  </si>
  <si>
    <t>3</t>
  </si>
  <si>
    <t>1</t>
  </si>
  <si>
    <t>5 (4)</t>
  </si>
  <si>
    <t>1 (1)</t>
  </si>
  <si>
    <t>4</t>
  </si>
  <si>
    <t>Row Labels</t>
  </si>
  <si>
    <t>#N/A</t>
  </si>
  <si>
    <t>Grand Total</t>
  </si>
  <si>
    <t>Column Labels</t>
  </si>
  <si>
    <t>Count of Result</t>
  </si>
</sst>
</file>

<file path=xl/styles.xml><?xml version="1.0" encoding="utf-8"?>
<styleSheet xmlns="http://schemas.openxmlformats.org/spreadsheetml/2006/main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57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165" fontId="10" fillId="0" borderId="0" xfId="0" applyNumberFormat="1" applyFont="1" applyAlignment="1">
      <alignment horizontal="right" vertical="top"/>
    </xf>
    <xf numFmtId="2" fontId="10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18" fillId="0" borderId="2" xfId="0" applyFont="1" applyBorder="1" applyAlignment="1">
      <alignment horizontal="left" vertical="top"/>
    </xf>
    <xf numFmtId="2" fontId="15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20" fillId="0" borderId="0" xfId="0" applyFont="1">
      <alignment vertical="top"/>
    </xf>
    <xf numFmtId="0" fontId="10" fillId="0" borderId="0" xfId="0" applyNumberFormat="1" applyFont="1">
      <alignment vertical="top"/>
    </xf>
    <xf numFmtId="0" fontId="20" fillId="0" borderId="0" xfId="0" applyNumberFormat="1" applyFont="1">
      <alignment vertical="top"/>
    </xf>
    <xf numFmtId="0" fontId="15" fillId="0" borderId="0" xfId="0" applyNumberFormat="1" applyFont="1" applyAlignment="1">
      <alignment horizontal="center" vertical="top"/>
    </xf>
    <xf numFmtId="0" fontId="10" fillId="0" borderId="0" xfId="0" applyNumberFormat="1" applyFont="1" applyAlignment="1">
      <alignment horizontal="center"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39881.015610416667" createdVersion="3" refreshedVersion="3" minRefreshableVersion="3" recordCount="19">
  <cacheSource type="worksheet">
    <worksheetSource ref="H59:I78" sheet="Sheet1"/>
  </cacheSource>
  <cacheFields count="2">
    <cacheField name="Capt Name" numFmtId="0">
      <sharedItems count="4">
        <s v="Clark C"/>
        <s v="Cooper G"/>
        <s v="Lestrelle A"/>
        <e v="#N/A"/>
      </sharedItems>
    </cacheField>
    <cacheField name="Result" numFmtId="0">
      <sharedItems count="4">
        <s v="ND"/>
        <s v="L"/>
        <s v="D"/>
        <s v="W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x v="0"/>
  </r>
  <r>
    <x v="0"/>
    <x v="1"/>
  </r>
  <r>
    <x v="0"/>
    <x v="1"/>
  </r>
  <r>
    <x v="0"/>
    <x v="1"/>
  </r>
  <r>
    <x v="0"/>
    <x v="2"/>
  </r>
  <r>
    <x v="0"/>
    <x v="1"/>
  </r>
  <r>
    <x v="0"/>
    <x v="3"/>
  </r>
  <r>
    <x v="0"/>
    <x v="3"/>
  </r>
  <r>
    <x v="0"/>
    <x v="1"/>
  </r>
  <r>
    <x v="0"/>
    <x v="2"/>
  </r>
  <r>
    <x v="0"/>
    <x v="2"/>
  </r>
  <r>
    <x v="0"/>
    <x v="2"/>
  </r>
  <r>
    <x v="0"/>
    <x v="3"/>
  </r>
  <r>
    <x v="0"/>
    <x v="3"/>
  </r>
  <r>
    <x v="0"/>
    <x v="1"/>
  </r>
  <r>
    <x v="1"/>
    <x v="1"/>
  </r>
  <r>
    <x v="1"/>
    <x v="3"/>
  </r>
  <r>
    <x v="2"/>
    <x v="1"/>
  </r>
  <r>
    <x v="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9" firstHeaderRow="1" firstDataRow="2" firstDataCol="1"/>
  <pivotFields count="2">
    <pivotField axis="axisRow" showAll="0">
      <items count="5">
        <item x="0"/>
        <item x="1"/>
        <item x="2"/>
        <item x="3"/>
        <item t="default"/>
      </items>
    </pivotField>
    <pivotField axis="axisCol" dataField="1" showAll="0">
      <items count="5">
        <item x="2"/>
        <item x="1"/>
        <item x="0"/>
        <item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Result" fld="1" subtotal="count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B2" totalsRowShown="0">
  <autoFilter ref="A1:B2"/>
  <tableColumns count="2">
    <tableColumn id="1" name="Capt Name"/>
    <tableColumn id="2" name="Resul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E67"/>
  <sheetViews>
    <sheetView showGridLines="0" workbookViewId="0">
      <pane xSplit="3" ySplit="4" topLeftCell="E5" activePane="bottomRight" state="frozenSplit"/>
      <selection pane="topRight" activeCell="O1" sqref="O1"/>
      <selection pane="bottomLeft" activeCell="K43" sqref="K43"/>
      <selection pane="bottomRight" activeCell="K12" sqref="K12"/>
    </sheetView>
  </sheetViews>
  <sheetFormatPr defaultRowHeight="11.2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1" s="22" customFormat="1" ht="12.75">
      <c r="A1" s="103" t="s">
        <v>309</v>
      </c>
      <c r="B1" s="29"/>
      <c r="C1" s="39" t="str">
        <f t="array" ref="C1">"Won:"&amp;SUM(IF($E$5:$E$67="W",1,0))</f>
        <v>Won:5</v>
      </c>
      <c r="D1" s="102" t="str">
        <f t="array" ref="D1">"N/D:"&amp;SUM(IF($E$5:$E$67="ND",1,0))</f>
        <v>N/D:1</v>
      </c>
      <c r="E1" s="30"/>
      <c r="F1" s="30"/>
      <c r="H1" s="64"/>
      <c r="J1" s="98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1" s="45" customFormat="1">
      <c r="A2" s="40"/>
      <c r="B2" s="41"/>
      <c r="C2" s="39" t="str">
        <f t="array" ref="C2">"Lost:"&amp;SUM(IF($E$5:$E$67="L",1,0))</f>
        <v>Lost:9</v>
      </c>
      <c r="D2" s="65" t="str">
        <f t="array" ref="D2">"Tied:"&amp;SUM(IF($E$5:$E$67="T",1,0))</f>
        <v>Tied:0</v>
      </c>
      <c r="E2" s="42"/>
      <c r="F2" s="42"/>
      <c r="G2" s="63"/>
      <c r="H2" s="65"/>
      <c r="J2" s="99"/>
      <c r="K2" s="40"/>
      <c r="L2" s="42"/>
      <c r="M2" s="42"/>
      <c r="N2" s="43" t="s">
        <v>221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208</v>
      </c>
      <c r="AA2" s="45">
        <f>MAX(AA5:AA59)</f>
        <v>191</v>
      </c>
      <c r="AB2" s="45">
        <f>MAX(AB5:AB59)</f>
        <v>230</v>
      </c>
    </row>
    <row r="3" spans="1:31" s="45" customFormat="1" ht="12" thickBot="1">
      <c r="A3" s="40"/>
      <c r="B3" s="41"/>
      <c r="C3" s="39" t="str">
        <f t="array" ref="C3">"Drawn:"&amp;SUM(IF($E$5:$E$67="D",1,0))</f>
        <v>Drawn:4</v>
      </c>
      <c r="D3" s="42"/>
      <c r="E3" s="42"/>
      <c r="F3" s="42"/>
      <c r="G3" s="40"/>
      <c r="H3" s="42"/>
      <c r="I3" s="40"/>
      <c r="J3" s="95"/>
      <c r="K3" s="40"/>
      <c r="L3" s="42"/>
      <c r="M3" s="42"/>
      <c r="N3" s="43" t="s">
        <v>222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209</v>
      </c>
      <c r="AA3" s="45">
        <f t="array" ref="AA3">MIN(IF(AA5:AA59=0,99999,AA5:AA59))</f>
        <v>37</v>
      </c>
      <c r="AB3" s="45">
        <f t="array" ref="AB3">MIN(IF(AB5:AB59&lt;=0,99999,AB5:AB59))</f>
        <v>32</v>
      </c>
    </row>
    <row r="4" spans="1:31" s="46" customFormat="1" ht="32.25" thickBot="1">
      <c r="A4" s="111" t="s">
        <v>129</v>
      </c>
      <c r="B4" s="112" t="s">
        <v>0</v>
      </c>
      <c r="C4" s="113" t="s">
        <v>1</v>
      </c>
      <c r="D4" s="111" t="s">
        <v>2</v>
      </c>
      <c r="E4" s="111" t="s">
        <v>3</v>
      </c>
      <c r="F4" s="111" t="s">
        <v>160</v>
      </c>
      <c r="G4" s="113" t="s">
        <v>9</v>
      </c>
      <c r="H4" s="111" t="s">
        <v>37</v>
      </c>
      <c r="I4" s="111" t="s">
        <v>107</v>
      </c>
      <c r="J4" s="114"/>
      <c r="K4" s="113" t="s">
        <v>9</v>
      </c>
      <c r="L4" s="111" t="s">
        <v>37</v>
      </c>
      <c r="M4" s="111" t="s">
        <v>107</v>
      </c>
      <c r="N4" s="113"/>
      <c r="O4" s="113" t="s">
        <v>185</v>
      </c>
      <c r="P4" s="113" t="s">
        <v>186</v>
      </c>
      <c r="Q4" s="113" t="s">
        <v>109</v>
      </c>
      <c r="R4" s="115" t="s">
        <v>110</v>
      </c>
      <c r="S4" s="115" t="s">
        <v>111</v>
      </c>
      <c r="T4" s="115" t="s">
        <v>112</v>
      </c>
      <c r="U4" s="115" t="s">
        <v>113</v>
      </c>
      <c r="V4" s="115" t="s">
        <v>114</v>
      </c>
      <c r="W4" s="115" t="s">
        <v>115</v>
      </c>
      <c r="X4" s="115" t="s">
        <v>116</v>
      </c>
      <c r="Y4" s="115" t="s">
        <v>119</v>
      </c>
      <c r="Z4" s="115" t="s">
        <v>120</v>
      </c>
      <c r="AA4" s="116" t="s">
        <v>199</v>
      </c>
      <c r="AB4" s="116" t="s">
        <v>200</v>
      </c>
      <c r="AC4" s="116" t="s">
        <v>201</v>
      </c>
      <c r="AD4" s="116" t="s">
        <v>202</v>
      </c>
      <c r="AE4" s="46" t="s">
        <v>236</v>
      </c>
    </row>
    <row r="5" spans="1:31" s="22" customFormat="1">
      <c r="A5" s="117" t="str">
        <f t="shared" ref="A5:A59" si="0">TEXT(WEEKDAY(B5),"ddd")</f>
        <v>Sun</v>
      </c>
      <c r="B5" s="118">
        <v>39565</v>
      </c>
      <c r="C5" s="119" t="s">
        <v>279</v>
      </c>
      <c r="D5" s="120" t="s">
        <v>216</v>
      </c>
      <c r="E5" s="120" t="s">
        <v>242</v>
      </c>
      <c r="F5" s="120" t="s">
        <v>247</v>
      </c>
      <c r="G5" s="121">
        <v>37</v>
      </c>
      <c r="H5" s="120">
        <v>2</v>
      </c>
      <c r="I5" s="120"/>
      <c r="J5" s="122"/>
      <c r="K5" s="121"/>
      <c r="L5" s="120"/>
      <c r="M5" s="120"/>
      <c r="N5" s="119"/>
      <c r="O5" s="123">
        <v>13</v>
      </c>
      <c r="P5" s="123"/>
      <c r="Q5" s="124"/>
      <c r="R5" s="124"/>
      <c r="S5" s="124"/>
      <c r="T5" s="124"/>
      <c r="U5" s="124">
        <v>3</v>
      </c>
      <c r="V5" s="124">
        <v>1</v>
      </c>
      <c r="W5" s="124">
        <v>2</v>
      </c>
      <c r="X5" s="124">
        <v>0</v>
      </c>
      <c r="Y5" s="124">
        <f t="shared" ref="Y5:Y20" si="1">SUM(Q5:T5)</f>
        <v>0</v>
      </c>
      <c r="Z5" s="124">
        <f t="shared" ref="Z5:Z20" si="2">SUM(U5:X5)</f>
        <v>6</v>
      </c>
      <c r="AA5" s="124">
        <f t="shared" ref="AA5:AA20" si="3">IF(F5="TOCC",G5,K5)</f>
        <v>37</v>
      </c>
      <c r="AB5" s="124">
        <f t="shared" ref="AB5:AB20" si="4">IF(F5&lt;&gt;"TOCC",G5,K5)</f>
        <v>0</v>
      </c>
      <c r="AC5" s="124">
        <f t="shared" ref="AC5:AC20" si="5">IF(F5="TOCC",H5,L5)</f>
        <v>2</v>
      </c>
      <c r="AD5" s="124">
        <f t="shared" ref="AD5:AD20" si="6">IF(F5&lt;&gt;"TOCC",H5,L5)</f>
        <v>0</v>
      </c>
    </row>
    <row r="6" spans="1:31" s="51" customFormat="1">
      <c r="A6" s="117" t="str">
        <f>TEXT(WEEKDAY(B6),"ddd")</f>
        <v>Sun</v>
      </c>
      <c r="B6" s="118">
        <v>39579</v>
      </c>
      <c r="C6" s="119" t="s">
        <v>278</v>
      </c>
      <c r="D6" s="120" t="s">
        <v>235</v>
      </c>
      <c r="E6" s="120" t="s">
        <v>248</v>
      </c>
      <c r="F6" s="120" t="s">
        <v>1</v>
      </c>
      <c r="G6" s="121">
        <v>182</v>
      </c>
      <c r="H6" s="120">
        <v>7</v>
      </c>
      <c r="I6" s="120"/>
      <c r="J6" s="122" t="s">
        <v>280</v>
      </c>
      <c r="K6" s="121">
        <v>129</v>
      </c>
      <c r="L6" s="120">
        <v>10</v>
      </c>
      <c r="M6" s="120"/>
      <c r="N6" s="119" t="s">
        <v>281</v>
      </c>
      <c r="O6" s="123">
        <v>38.299999999999997</v>
      </c>
      <c r="P6" s="123">
        <v>37</v>
      </c>
      <c r="Q6" s="124">
        <v>16</v>
      </c>
      <c r="R6" s="124">
        <v>0</v>
      </c>
      <c r="S6" s="124">
        <v>2</v>
      </c>
      <c r="T6" s="124">
        <v>1</v>
      </c>
      <c r="U6" s="124">
        <v>12</v>
      </c>
      <c r="V6" s="124">
        <v>2</v>
      </c>
      <c r="W6" s="124">
        <v>6</v>
      </c>
      <c r="X6" s="124">
        <v>2</v>
      </c>
      <c r="Y6" s="124">
        <f t="shared" si="1"/>
        <v>19</v>
      </c>
      <c r="Z6" s="124">
        <f t="shared" si="2"/>
        <v>22</v>
      </c>
      <c r="AA6" s="124">
        <f t="shared" si="3"/>
        <v>129</v>
      </c>
      <c r="AB6" s="124">
        <f t="shared" si="4"/>
        <v>182</v>
      </c>
      <c r="AC6" s="124">
        <f t="shared" si="5"/>
        <v>10</v>
      </c>
      <c r="AD6" s="124">
        <f t="shared" si="6"/>
        <v>7</v>
      </c>
      <c r="AE6" s="22"/>
    </row>
    <row r="7" spans="1:31" s="45" customFormat="1">
      <c r="A7" s="117" t="str">
        <f t="shared" si="0"/>
        <v>Sat</v>
      </c>
      <c r="B7" s="118">
        <v>39592</v>
      </c>
      <c r="C7" s="119" t="s">
        <v>241</v>
      </c>
      <c r="D7" s="120" t="s">
        <v>216</v>
      </c>
      <c r="E7" s="120" t="s">
        <v>248</v>
      </c>
      <c r="F7" s="120" t="s">
        <v>247</v>
      </c>
      <c r="G7" s="121">
        <v>95</v>
      </c>
      <c r="H7" s="120">
        <v>10</v>
      </c>
      <c r="I7" s="120"/>
      <c r="J7" s="122"/>
      <c r="K7" s="121">
        <v>96</v>
      </c>
      <c r="L7" s="120">
        <v>3</v>
      </c>
      <c r="M7" s="120"/>
      <c r="N7" s="119"/>
      <c r="O7" s="123">
        <v>38.5</v>
      </c>
      <c r="P7" s="123">
        <v>16.100000000000001</v>
      </c>
      <c r="Q7" s="124">
        <v>4</v>
      </c>
      <c r="R7" s="124">
        <v>0</v>
      </c>
      <c r="S7" s="124">
        <v>0</v>
      </c>
      <c r="T7" s="124">
        <v>0</v>
      </c>
      <c r="U7" s="124">
        <v>10</v>
      </c>
      <c r="V7" s="124">
        <v>9</v>
      </c>
      <c r="W7" s="124">
        <v>4</v>
      </c>
      <c r="X7" s="124">
        <v>0</v>
      </c>
      <c r="Y7" s="124">
        <f t="shared" si="1"/>
        <v>4</v>
      </c>
      <c r="Z7" s="124">
        <f t="shared" si="2"/>
        <v>23</v>
      </c>
      <c r="AA7" s="124">
        <f t="shared" si="3"/>
        <v>95</v>
      </c>
      <c r="AB7" s="124">
        <f t="shared" si="4"/>
        <v>96</v>
      </c>
      <c r="AC7" s="124">
        <f t="shared" si="5"/>
        <v>10</v>
      </c>
      <c r="AD7" s="124">
        <f t="shared" si="6"/>
        <v>3</v>
      </c>
    </row>
    <row r="8" spans="1:31" s="51" customFormat="1">
      <c r="A8" s="117" t="str">
        <f t="shared" si="0"/>
        <v>Sun</v>
      </c>
      <c r="B8" s="118">
        <v>39600</v>
      </c>
      <c r="C8" s="119" t="s">
        <v>253</v>
      </c>
      <c r="D8" s="120" t="s">
        <v>216</v>
      </c>
      <c r="E8" s="120" t="s">
        <v>248</v>
      </c>
      <c r="F8" s="120" t="s">
        <v>247</v>
      </c>
      <c r="G8" s="121">
        <v>155</v>
      </c>
      <c r="H8" s="120">
        <v>10</v>
      </c>
      <c r="I8" s="120"/>
      <c r="J8" s="145" t="s">
        <v>282</v>
      </c>
      <c r="K8" s="121">
        <v>156</v>
      </c>
      <c r="L8" s="120">
        <v>8</v>
      </c>
      <c r="M8" s="120"/>
      <c r="N8" s="119" t="s">
        <v>283</v>
      </c>
      <c r="O8" s="123">
        <v>42.2</v>
      </c>
      <c r="P8" s="123">
        <v>32.5</v>
      </c>
      <c r="Q8" s="124">
        <v>1</v>
      </c>
      <c r="R8" s="124">
        <v>1</v>
      </c>
      <c r="S8" s="124">
        <v>7</v>
      </c>
      <c r="T8" s="124">
        <v>2</v>
      </c>
      <c r="U8" s="124">
        <v>15</v>
      </c>
      <c r="V8" s="124">
        <v>2</v>
      </c>
      <c r="W8" s="124">
        <v>4</v>
      </c>
      <c r="X8" s="124">
        <v>2</v>
      </c>
      <c r="Y8" s="124">
        <f t="shared" si="1"/>
        <v>11</v>
      </c>
      <c r="Z8" s="124">
        <f t="shared" si="2"/>
        <v>23</v>
      </c>
      <c r="AA8" s="124">
        <f t="shared" si="3"/>
        <v>155</v>
      </c>
      <c r="AB8" s="124">
        <f t="shared" si="4"/>
        <v>156</v>
      </c>
      <c r="AC8" s="124">
        <f t="shared" si="5"/>
        <v>10</v>
      </c>
      <c r="AD8" s="124">
        <f t="shared" si="6"/>
        <v>8</v>
      </c>
    </row>
    <row r="9" spans="1:31" s="45" customFormat="1">
      <c r="A9" s="117" t="str">
        <f t="shared" si="0"/>
        <v>Sun</v>
      </c>
      <c r="B9" s="118">
        <v>39607</v>
      </c>
      <c r="C9" s="119" t="s">
        <v>256</v>
      </c>
      <c r="D9" s="120" t="s">
        <v>235</v>
      </c>
      <c r="E9" s="120" t="s">
        <v>217</v>
      </c>
      <c r="F9" s="120" t="s">
        <v>1</v>
      </c>
      <c r="G9" s="121">
        <v>190</v>
      </c>
      <c r="H9" s="120">
        <v>7</v>
      </c>
      <c r="I9" s="120"/>
      <c r="J9" s="122" t="s">
        <v>284</v>
      </c>
      <c r="K9" s="121">
        <v>81</v>
      </c>
      <c r="L9" s="120">
        <v>6</v>
      </c>
      <c r="M9" s="120"/>
      <c r="N9" s="119"/>
      <c r="O9" s="123">
        <v>42</v>
      </c>
      <c r="P9" s="123">
        <v>46</v>
      </c>
      <c r="Q9" s="124">
        <v>11</v>
      </c>
      <c r="R9" s="124">
        <v>0</v>
      </c>
      <c r="S9" s="124">
        <v>1</v>
      </c>
      <c r="T9" s="124">
        <v>3</v>
      </c>
      <c r="U9" s="124">
        <v>3</v>
      </c>
      <c r="V9" s="124">
        <v>2</v>
      </c>
      <c r="W9" s="124">
        <v>3</v>
      </c>
      <c r="X9" s="124">
        <v>4</v>
      </c>
      <c r="Y9" s="124">
        <f t="shared" si="1"/>
        <v>15</v>
      </c>
      <c r="Z9" s="124">
        <f t="shared" si="2"/>
        <v>12</v>
      </c>
      <c r="AA9" s="124">
        <f t="shared" si="3"/>
        <v>81</v>
      </c>
      <c r="AB9" s="124">
        <f t="shared" si="4"/>
        <v>190</v>
      </c>
      <c r="AC9" s="124">
        <f t="shared" si="5"/>
        <v>6</v>
      </c>
      <c r="AD9" s="124">
        <f t="shared" si="6"/>
        <v>7</v>
      </c>
    </row>
    <row r="10" spans="1:31">
      <c r="A10" s="117" t="str">
        <f t="shared" si="0"/>
        <v>Sun</v>
      </c>
      <c r="B10" s="118">
        <v>39614</v>
      </c>
      <c r="C10" s="119" t="s">
        <v>260</v>
      </c>
      <c r="D10" s="120" t="s">
        <v>216</v>
      </c>
      <c r="E10" s="120" t="s">
        <v>248</v>
      </c>
      <c r="F10" s="120" t="s">
        <v>1</v>
      </c>
      <c r="G10" s="121">
        <v>230</v>
      </c>
      <c r="H10" s="120">
        <v>5</v>
      </c>
      <c r="I10" s="120"/>
      <c r="J10" s="122" t="s">
        <v>285</v>
      </c>
      <c r="K10" s="121">
        <v>136</v>
      </c>
      <c r="L10" s="120">
        <v>10</v>
      </c>
      <c r="M10" s="120"/>
      <c r="N10" s="119"/>
      <c r="O10" s="123">
        <v>39.200000000000003</v>
      </c>
      <c r="P10" s="123">
        <v>40</v>
      </c>
      <c r="Q10" s="124">
        <v>10</v>
      </c>
      <c r="R10" s="124">
        <v>4</v>
      </c>
      <c r="S10" s="124">
        <v>5</v>
      </c>
      <c r="T10" s="124">
        <v>2</v>
      </c>
      <c r="U10" s="124">
        <v>25</v>
      </c>
      <c r="V10" s="124">
        <v>12</v>
      </c>
      <c r="W10" s="124">
        <v>3</v>
      </c>
      <c r="X10" s="124">
        <v>0</v>
      </c>
      <c r="Y10" s="124">
        <f t="shared" si="1"/>
        <v>21</v>
      </c>
      <c r="Z10" s="124">
        <f t="shared" si="2"/>
        <v>40</v>
      </c>
      <c r="AA10" s="124">
        <f t="shared" si="3"/>
        <v>136</v>
      </c>
      <c r="AB10" s="124">
        <f t="shared" si="4"/>
        <v>230</v>
      </c>
      <c r="AC10" s="124">
        <f t="shared" si="5"/>
        <v>10</v>
      </c>
      <c r="AD10" s="124">
        <f t="shared" si="6"/>
        <v>5</v>
      </c>
    </row>
    <row r="11" spans="1:31">
      <c r="A11" s="117" t="str">
        <f t="shared" si="0"/>
        <v>Sat</v>
      </c>
      <c r="B11" s="118">
        <v>39620</v>
      </c>
      <c r="C11" s="119" t="s">
        <v>286</v>
      </c>
      <c r="D11" s="120" t="s">
        <v>216</v>
      </c>
      <c r="E11" s="120" t="s">
        <v>248</v>
      </c>
      <c r="F11" s="120" t="s">
        <v>1</v>
      </c>
      <c r="G11" s="121">
        <v>152</v>
      </c>
      <c r="H11" s="120">
        <v>7</v>
      </c>
      <c r="I11" s="120"/>
      <c r="J11" s="122" t="s">
        <v>288</v>
      </c>
      <c r="K11" s="121">
        <v>111</v>
      </c>
      <c r="L11" s="120">
        <v>10</v>
      </c>
      <c r="M11" s="120"/>
      <c r="N11" s="119" t="s">
        <v>287</v>
      </c>
      <c r="O11" s="123">
        <v>36.4</v>
      </c>
      <c r="P11" s="123">
        <v>40</v>
      </c>
      <c r="Q11" s="124">
        <v>17</v>
      </c>
      <c r="R11" s="124">
        <v>2</v>
      </c>
      <c r="S11" s="124">
        <v>10</v>
      </c>
      <c r="T11" s="124">
        <v>5</v>
      </c>
      <c r="U11" s="124">
        <v>14</v>
      </c>
      <c r="V11" s="124">
        <v>2</v>
      </c>
      <c r="W11" s="124">
        <v>6</v>
      </c>
      <c r="X11" s="124">
        <v>1</v>
      </c>
      <c r="Y11" s="124">
        <f t="shared" si="1"/>
        <v>34</v>
      </c>
      <c r="Z11" s="124">
        <f t="shared" si="2"/>
        <v>23</v>
      </c>
      <c r="AA11" s="124">
        <f t="shared" si="3"/>
        <v>111</v>
      </c>
      <c r="AB11" s="124">
        <f t="shared" si="4"/>
        <v>152</v>
      </c>
      <c r="AC11" s="124">
        <f t="shared" si="5"/>
        <v>10</v>
      </c>
      <c r="AD11" s="124">
        <f t="shared" si="6"/>
        <v>7</v>
      </c>
    </row>
    <row r="12" spans="1:31">
      <c r="A12" s="117" t="str">
        <f t="shared" si="0"/>
        <v>Sat</v>
      </c>
      <c r="B12" s="118">
        <v>39627</v>
      </c>
      <c r="C12" s="119" t="s">
        <v>289</v>
      </c>
      <c r="D12" s="120" t="s">
        <v>235</v>
      </c>
      <c r="E12" s="120" t="s">
        <v>254</v>
      </c>
      <c r="F12" s="120" t="s">
        <v>247</v>
      </c>
      <c r="G12" s="121">
        <v>126</v>
      </c>
      <c r="H12" s="120">
        <v>10</v>
      </c>
      <c r="I12" s="120"/>
      <c r="J12" s="122"/>
      <c r="K12" s="121">
        <v>82</v>
      </c>
      <c r="L12" s="120">
        <v>10</v>
      </c>
      <c r="M12" s="120"/>
      <c r="N12" s="122" t="s">
        <v>290</v>
      </c>
      <c r="O12" s="123">
        <v>34.5</v>
      </c>
      <c r="P12" s="123">
        <v>26.5</v>
      </c>
      <c r="Q12" s="124">
        <v>10</v>
      </c>
      <c r="R12" s="124">
        <v>2</v>
      </c>
      <c r="S12" s="124">
        <v>8</v>
      </c>
      <c r="T12" s="124">
        <v>1</v>
      </c>
      <c r="U12" s="124">
        <v>15</v>
      </c>
      <c r="V12" s="124">
        <v>3</v>
      </c>
      <c r="W12" s="124">
        <v>2</v>
      </c>
      <c r="X12" s="124">
        <v>0</v>
      </c>
      <c r="Y12" s="124">
        <f t="shared" si="1"/>
        <v>21</v>
      </c>
      <c r="Z12" s="124">
        <f t="shared" si="2"/>
        <v>20</v>
      </c>
      <c r="AA12" s="124">
        <f t="shared" si="3"/>
        <v>126</v>
      </c>
      <c r="AB12" s="124">
        <f t="shared" si="4"/>
        <v>82</v>
      </c>
      <c r="AC12" s="124">
        <f t="shared" si="5"/>
        <v>10</v>
      </c>
      <c r="AD12" s="124">
        <f t="shared" si="6"/>
        <v>10</v>
      </c>
    </row>
    <row r="13" spans="1:31">
      <c r="A13" s="117" t="str">
        <f t="shared" si="0"/>
        <v>Sun</v>
      </c>
      <c r="B13" s="118">
        <v>39635</v>
      </c>
      <c r="C13" s="119" t="s">
        <v>257</v>
      </c>
      <c r="D13" s="120" t="s">
        <v>216</v>
      </c>
      <c r="E13" s="120" t="s">
        <v>248</v>
      </c>
      <c r="F13" s="120" t="s">
        <v>247</v>
      </c>
      <c r="G13" s="121">
        <v>127</v>
      </c>
      <c r="H13" s="120">
        <v>10</v>
      </c>
      <c r="I13" s="120"/>
      <c r="J13" s="122"/>
      <c r="K13" s="121">
        <v>129</v>
      </c>
      <c r="L13" s="120">
        <v>2</v>
      </c>
      <c r="M13" s="120"/>
      <c r="N13" s="119"/>
      <c r="O13" s="123">
        <v>35.1</v>
      </c>
      <c r="P13" s="123">
        <v>28.5</v>
      </c>
      <c r="Q13" s="124">
        <v>4</v>
      </c>
      <c r="R13" s="124">
        <v>2</v>
      </c>
      <c r="S13" s="124">
        <v>14</v>
      </c>
      <c r="T13" s="124">
        <v>1</v>
      </c>
      <c r="U13" s="124">
        <v>14</v>
      </c>
      <c r="V13" s="124">
        <v>3</v>
      </c>
      <c r="W13" s="124">
        <v>6</v>
      </c>
      <c r="X13" s="124">
        <v>8</v>
      </c>
      <c r="Y13" s="124">
        <f t="shared" si="1"/>
        <v>21</v>
      </c>
      <c r="Z13" s="124">
        <f t="shared" si="2"/>
        <v>31</v>
      </c>
      <c r="AA13" s="124">
        <f t="shared" si="3"/>
        <v>127</v>
      </c>
      <c r="AB13" s="124">
        <f t="shared" si="4"/>
        <v>129</v>
      </c>
      <c r="AC13" s="124">
        <f t="shared" si="5"/>
        <v>10</v>
      </c>
      <c r="AD13" s="124">
        <f t="shared" si="6"/>
        <v>2</v>
      </c>
    </row>
    <row r="14" spans="1:31">
      <c r="A14" s="117" t="str">
        <f t="shared" si="0"/>
        <v>Sun</v>
      </c>
      <c r="B14" s="118">
        <v>39642</v>
      </c>
      <c r="C14" s="119" t="s">
        <v>291</v>
      </c>
      <c r="D14" s="120" t="s">
        <v>235</v>
      </c>
      <c r="E14" s="120" t="s">
        <v>254</v>
      </c>
      <c r="F14" s="120" t="s">
        <v>1</v>
      </c>
      <c r="G14" s="121">
        <v>73</v>
      </c>
      <c r="H14" s="120">
        <v>7</v>
      </c>
      <c r="I14" s="120"/>
      <c r="J14" s="122"/>
      <c r="K14" s="121">
        <v>74</v>
      </c>
      <c r="L14" s="120">
        <v>2</v>
      </c>
      <c r="M14" s="120"/>
      <c r="N14" s="119"/>
      <c r="O14" s="123">
        <v>12.1</v>
      </c>
      <c r="P14" s="123">
        <v>15</v>
      </c>
      <c r="Q14" s="124">
        <v>10</v>
      </c>
      <c r="R14" s="124">
        <v>2</v>
      </c>
      <c r="S14" s="124">
        <v>5</v>
      </c>
      <c r="T14" s="124">
        <v>2</v>
      </c>
      <c r="U14" s="124">
        <v>11</v>
      </c>
      <c r="V14" s="124">
        <v>1</v>
      </c>
      <c r="W14" s="124">
        <v>1</v>
      </c>
      <c r="X14" s="124">
        <v>1</v>
      </c>
      <c r="Y14" s="124">
        <f t="shared" si="1"/>
        <v>19</v>
      </c>
      <c r="Z14" s="124">
        <f t="shared" si="2"/>
        <v>14</v>
      </c>
      <c r="AA14" s="124">
        <f t="shared" si="3"/>
        <v>74</v>
      </c>
      <c r="AB14" s="124">
        <f t="shared" si="4"/>
        <v>73</v>
      </c>
      <c r="AC14" s="124">
        <f t="shared" si="5"/>
        <v>2</v>
      </c>
      <c r="AD14" s="124">
        <f t="shared" si="6"/>
        <v>7</v>
      </c>
    </row>
    <row r="15" spans="1:31">
      <c r="A15" s="117" t="str">
        <f t="shared" si="0"/>
        <v>Sun</v>
      </c>
      <c r="B15" s="118">
        <v>39642</v>
      </c>
      <c r="C15" s="119" t="s">
        <v>292</v>
      </c>
      <c r="D15" s="120" t="s">
        <v>235</v>
      </c>
      <c r="E15" s="120" t="s">
        <v>254</v>
      </c>
      <c r="F15" s="120" t="s">
        <v>247</v>
      </c>
      <c r="G15" s="121">
        <v>60</v>
      </c>
      <c r="H15" s="120">
        <v>5</v>
      </c>
      <c r="I15" s="120"/>
      <c r="J15" s="122"/>
      <c r="K15" s="121">
        <v>32</v>
      </c>
      <c r="L15" s="120">
        <v>8</v>
      </c>
      <c r="M15" s="120"/>
      <c r="N15" s="119"/>
      <c r="O15" s="123">
        <v>10</v>
      </c>
      <c r="P15" s="123">
        <v>10</v>
      </c>
      <c r="Q15" s="124">
        <v>6</v>
      </c>
      <c r="R15" s="124">
        <v>4</v>
      </c>
      <c r="S15" s="124">
        <v>2</v>
      </c>
      <c r="T15" s="124">
        <v>2</v>
      </c>
      <c r="U15" s="124">
        <v>13</v>
      </c>
      <c r="V15" s="124">
        <v>0</v>
      </c>
      <c r="W15" s="124">
        <v>1</v>
      </c>
      <c r="X15" s="124">
        <v>2</v>
      </c>
      <c r="Y15" s="124">
        <f t="shared" si="1"/>
        <v>14</v>
      </c>
      <c r="Z15" s="124">
        <f t="shared" si="2"/>
        <v>16</v>
      </c>
      <c r="AA15" s="124">
        <f t="shared" si="3"/>
        <v>60</v>
      </c>
      <c r="AB15" s="124">
        <f t="shared" si="4"/>
        <v>32</v>
      </c>
      <c r="AC15" s="124">
        <f t="shared" si="5"/>
        <v>5</v>
      </c>
      <c r="AD15" s="124">
        <f t="shared" si="6"/>
        <v>8</v>
      </c>
      <c r="AE15" s="22"/>
    </row>
    <row r="16" spans="1:31">
      <c r="A16" s="117" t="str">
        <f t="shared" si="0"/>
        <v>Sat</v>
      </c>
      <c r="B16" s="118">
        <v>39648</v>
      </c>
      <c r="C16" s="119" t="s">
        <v>293</v>
      </c>
      <c r="D16" s="120" t="s">
        <v>216</v>
      </c>
      <c r="E16" s="120" t="s">
        <v>248</v>
      </c>
      <c r="F16" s="120" t="s">
        <v>1</v>
      </c>
      <c r="G16" s="121">
        <v>214</v>
      </c>
      <c r="H16" s="120">
        <v>8</v>
      </c>
      <c r="I16" s="120"/>
      <c r="J16" s="122" t="s">
        <v>294</v>
      </c>
      <c r="K16" s="121">
        <v>55</v>
      </c>
      <c r="L16" s="120">
        <v>10</v>
      </c>
      <c r="M16" s="120"/>
      <c r="N16" s="119" t="s">
        <v>295</v>
      </c>
      <c r="O16" s="123">
        <v>18.5</v>
      </c>
      <c r="P16" s="123">
        <v>40</v>
      </c>
      <c r="Q16" s="124">
        <v>4</v>
      </c>
      <c r="R16" s="124">
        <v>1</v>
      </c>
      <c r="S16" s="124">
        <v>3</v>
      </c>
      <c r="T16" s="124">
        <v>2</v>
      </c>
      <c r="U16" s="124">
        <v>0</v>
      </c>
      <c r="V16" s="124">
        <v>2</v>
      </c>
      <c r="W16" s="124">
        <v>6</v>
      </c>
      <c r="X16" s="124">
        <v>1</v>
      </c>
      <c r="Y16" s="124">
        <f t="shared" si="1"/>
        <v>10</v>
      </c>
      <c r="Z16" s="124">
        <f t="shared" si="2"/>
        <v>9</v>
      </c>
      <c r="AA16" s="124">
        <f t="shared" si="3"/>
        <v>55</v>
      </c>
      <c r="AB16" s="124">
        <f t="shared" si="4"/>
        <v>214</v>
      </c>
      <c r="AC16" s="124">
        <f t="shared" si="5"/>
        <v>10</v>
      </c>
      <c r="AD16" s="124">
        <f t="shared" si="6"/>
        <v>8</v>
      </c>
    </row>
    <row r="17" spans="1:30">
      <c r="A17" s="117" t="str">
        <f t="shared" si="0"/>
        <v>Sun</v>
      </c>
      <c r="B17" s="118">
        <v>39656</v>
      </c>
      <c r="C17" s="119" t="s">
        <v>296</v>
      </c>
      <c r="D17" s="120" t="s">
        <v>235</v>
      </c>
      <c r="E17" s="120" t="s">
        <v>217</v>
      </c>
      <c r="F17" s="120" t="s">
        <v>1</v>
      </c>
      <c r="G17" s="121">
        <v>182</v>
      </c>
      <c r="H17" s="120">
        <v>6</v>
      </c>
      <c r="I17" s="120"/>
      <c r="J17" s="122"/>
      <c r="K17" s="121">
        <v>166</v>
      </c>
      <c r="L17" s="120">
        <v>7</v>
      </c>
      <c r="M17" s="120"/>
      <c r="N17" s="119"/>
      <c r="O17" s="123">
        <v>41</v>
      </c>
      <c r="P17" s="123">
        <v>44</v>
      </c>
      <c r="Q17" s="124">
        <v>11</v>
      </c>
      <c r="R17" s="124">
        <v>1</v>
      </c>
      <c r="S17" s="124">
        <v>4</v>
      </c>
      <c r="T17" s="124">
        <v>7</v>
      </c>
      <c r="U17" s="124">
        <v>12</v>
      </c>
      <c r="V17" s="124">
        <v>5</v>
      </c>
      <c r="W17" s="124">
        <v>9</v>
      </c>
      <c r="X17" s="124">
        <v>2</v>
      </c>
      <c r="Y17" s="124">
        <f t="shared" si="1"/>
        <v>23</v>
      </c>
      <c r="Z17" s="124">
        <f t="shared" si="2"/>
        <v>28</v>
      </c>
      <c r="AA17" s="124">
        <f t="shared" si="3"/>
        <v>166</v>
      </c>
      <c r="AB17" s="124">
        <f t="shared" si="4"/>
        <v>182</v>
      </c>
      <c r="AC17" s="124">
        <f t="shared" si="5"/>
        <v>7</v>
      </c>
      <c r="AD17" s="124">
        <f t="shared" si="6"/>
        <v>6</v>
      </c>
    </row>
    <row r="18" spans="1:30">
      <c r="A18" s="117" t="str">
        <f t="shared" si="0"/>
        <v>Sun</v>
      </c>
      <c r="B18" s="118">
        <v>39663</v>
      </c>
      <c r="C18" s="119" t="s">
        <v>286</v>
      </c>
      <c r="D18" s="120" t="s">
        <v>235</v>
      </c>
      <c r="E18" s="120" t="s">
        <v>217</v>
      </c>
      <c r="F18" s="120" t="s">
        <v>1</v>
      </c>
      <c r="G18" s="121">
        <v>216</v>
      </c>
      <c r="H18" s="120">
        <v>5</v>
      </c>
      <c r="I18" s="120"/>
      <c r="J18" s="122" t="s">
        <v>297</v>
      </c>
      <c r="K18" s="121">
        <v>88</v>
      </c>
      <c r="L18" s="120">
        <v>7</v>
      </c>
      <c r="M18" s="120"/>
      <c r="N18" s="119"/>
      <c r="O18" s="123">
        <v>26</v>
      </c>
      <c r="P18" s="123">
        <v>35</v>
      </c>
      <c r="Q18" s="124">
        <v>6</v>
      </c>
      <c r="R18" s="124">
        <v>1</v>
      </c>
      <c r="S18" s="124">
        <v>5</v>
      </c>
      <c r="T18" s="124">
        <v>3</v>
      </c>
      <c r="U18" s="124">
        <v>1</v>
      </c>
      <c r="V18" s="124">
        <v>6</v>
      </c>
      <c r="W18" s="124">
        <v>5</v>
      </c>
      <c r="X18" s="124">
        <v>1</v>
      </c>
      <c r="Y18" s="124">
        <f t="shared" si="1"/>
        <v>15</v>
      </c>
      <c r="Z18" s="124">
        <f t="shared" si="2"/>
        <v>13</v>
      </c>
      <c r="AA18" s="124">
        <f t="shared" si="3"/>
        <v>88</v>
      </c>
      <c r="AB18" s="124">
        <f t="shared" si="4"/>
        <v>216</v>
      </c>
      <c r="AC18" s="124">
        <f t="shared" si="5"/>
        <v>7</v>
      </c>
      <c r="AD18" s="124">
        <f t="shared" si="6"/>
        <v>5</v>
      </c>
    </row>
    <row r="19" spans="1:30">
      <c r="A19" s="117" t="str">
        <f t="shared" si="0"/>
        <v>Sun</v>
      </c>
      <c r="B19" s="118">
        <v>39670</v>
      </c>
      <c r="C19" s="119" t="s">
        <v>279</v>
      </c>
      <c r="D19" s="120" t="s">
        <v>235</v>
      </c>
      <c r="E19" s="120" t="s">
        <v>217</v>
      </c>
      <c r="F19" s="120" t="s">
        <v>1</v>
      </c>
      <c r="G19" s="121">
        <v>167</v>
      </c>
      <c r="H19" s="120">
        <v>9</v>
      </c>
      <c r="I19" s="120"/>
      <c r="J19" s="122" t="s">
        <v>298</v>
      </c>
      <c r="K19" s="121">
        <v>50</v>
      </c>
      <c r="L19" s="120">
        <v>6</v>
      </c>
      <c r="M19" s="120"/>
      <c r="N19" s="119" t="s">
        <v>299</v>
      </c>
      <c r="O19" s="123">
        <v>24.5</v>
      </c>
      <c r="P19" s="123">
        <v>47.2</v>
      </c>
      <c r="Q19" s="124">
        <v>7</v>
      </c>
      <c r="R19" s="124">
        <v>3</v>
      </c>
      <c r="S19" s="124">
        <v>2</v>
      </c>
      <c r="T19" s="124">
        <v>1</v>
      </c>
      <c r="U19" s="124">
        <v>1</v>
      </c>
      <c r="V19" s="124">
        <v>1</v>
      </c>
      <c r="W19" s="124">
        <v>15</v>
      </c>
      <c r="X19" s="124">
        <v>0</v>
      </c>
      <c r="Y19" s="124">
        <f t="shared" si="1"/>
        <v>13</v>
      </c>
      <c r="Z19" s="124">
        <f t="shared" si="2"/>
        <v>17</v>
      </c>
      <c r="AA19" s="124">
        <f t="shared" si="3"/>
        <v>50</v>
      </c>
      <c r="AB19" s="124">
        <f t="shared" si="4"/>
        <v>167</v>
      </c>
      <c r="AC19" s="124">
        <f t="shared" si="5"/>
        <v>6</v>
      </c>
      <c r="AD19" s="124">
        <f t="shared" si="6"/>
        <v>9</v>
      </c>
    </row>
    <row r="20" spans="1:30">
      <c r="A20" s="117" t="str">
        <f t="shared" si="0"/>
        <v>Sat</v>
      </c>
      <c r="B20" s="118">
        <v>39676</v>
      </c>
      <c r="C20" s="119" t="s">
        <v>300</v>
      </c>
      <c r="D20" s="120" t="s">
        <v>216</v>
      </c>
      <c r="E20" s="120" t="s">
        <v>254</v>
      </c>
      <c r="F20" s="120" t="s">
        <v>1</v>
      </c>
      <c r="G20" s="121">
        <v>101</v>
      </c>
      <c r="H20" s="120">
        <v>9</v>
      </c>
      <c r="I20" s="120"/>
      <c r="J20" s="122" t="s">
        <v>301</v>
      </c>
      <c r="K20" s="121">
        <v>102</v>
      </c>
      <c r="L20" s="120">
        <v>4</v>
      </c>
      <c r="M20" s="120"/>
      <c r="N20" s="119" t="s">
        <v>302</v>
      </c>
      <c r="O20" s="123">
        <v>28</v>
      </c>
      <c r="P20" s="123">
        <v>31.4</v>
      </c>
      <c r="Q20" s="124">
        <v>8</v>
      </c>
      <c r="R20" s="124">
        <v>2</v>
      </c>
      <c r="S20" s="124">
        <v>6</v>
      </c>
      <c r="T20" s="124">
        <v>2</v>
      </c>
      <c r="U20" s="124">
        <v>12</v>
      </c>
      <c r="V20" s="124">
        <v>0</v>
      </c>
      <c r="W20" s="124">
        <v>0</v>
      </c>
      <c r="X20" s="124">
        <v>1</v>
      </c>
      <c r="Y20" s="124">
        <f t="shared" si="1"/>
        <v>18</v>
      </c>
      <c r="Z20" s="124">
        <f t="shared" si="2"/>
        <v>13</v>
      </c>
      <c r="AA20" s="124">
        <f t="shared" si="3"/>
        <v>102</v>
      </c>
      <c r="AB20" s="124">
        <f t="shared" si="4"/>
        <v>101</v>
      </c>
      <c r="AC20" s="124">
        <f t="shared" si="5"/>
        <v>4</v>
      </c>
      <c r="AD20" s="124">
        <f t="shared" si="6"/>
        <v>9</v>
      </c>
    </row>
    <row r="21" spans="1:30">
      <c r="A21" s="117" t="str">
        <f t="shared" si="0"/>
        <v>Sun</v>
      </c>
      <c r="B21" s="118">
        <v>39684</v>
      </c>
      <c r="C21" s="119" t="s">
        <v>257</v>
      </c>
      <c r="D21" s="120" t="s">
        <v>235</v>
      </c>
      <c r="E21" s="120" t="s">
        <v>248</v>
      </c>
      <c r="F21" s="120" t="s">
        <v>247</v>
      </c>
      <c r="G21" s="121">
        <v>129</v>
      </c>
      <c r="H21" s="120">
        <v>10</v>
      </c>
      <c r="I21" s="120"/>
      <c r="J21" s="122" t="s">
        <v>304</v>
      </c>
      <c r="K21" s="121">
        <v>130</v>
      </c>
      <c r="L21" s="120">
        <v>6</v>
      </c>
      <c r="M21" s="120"/>
      <c r="N21" s="119" t="s">
        <v>303</v>
      </c>
      <c r="O21" s="123">
        <v>42</v>
      </c>
      <c r="P21" s="123">
        <v>40.299999999999997</v>
      </c>
      <c r="Q21" s="124">
        <v>12</v>
      </c>
      <c r="R21" s="124">
        <v>5</v>
      </c>
      <c r="S21" s="124">
        <v>4</v>
      </c>
      <c r="T21" s="124">
        <v>0</v>
      </c>
      <c r="U21" s="124">
        <v>17</v>
      </c>
      <c r="V21" s="124">
        <v>1</v>
      </c>
      <c r="W21" s="124">
        <v>3</v>
      </c>
      <c r="X21" s="124">
        <v>0</v>
      </c>
      <c r="Y21" s="124">
        <f t="shared" ref="Y21:Y23" si="7">SUM(Q21:T21)</f>
        <v>21</v>
      </c>
      <c r="Z21" s="124">
        <f t="shared" ref="Z21:Z23" si="8">SUM(U21:X21)</f>
        <v>21</v>
      </c>
      <c r="AA21" s="124">
        <f t="shared" ref="AA21:AA59" si="9">IF(F21="TOCC",G21,K21)</f>
        <v>129</v>
      </c>
      <c r="AB21" s="124">
        <f t="shared" ref="AB21:AB59" si="10">IF(F21&lt;&gt;"TOCC",G21,K21)</f>
        <v>130</v>
      </c>
      <c r="AC21" s="124">
        <f t="shared" ref="AC21:AC59" si="11">IF(F21="TOCC",H21,L21)</f>
        <v>10</v>
      </c>
      <c r="AD21" s="124">
        <f t="shared" ref="AD21:AD59" si="12">IF(F21&lt;&gt;"TOCC",H21,L21)</f>
        <v>6</v>
      </c>
    </row>
    <row r="22" spans="1:30">
      <c r="A22" s="117" t="str">
        <f t="shared" si="0"/>
        <v>Sun</v>
      </c>
      <c r="B22" s="118">
        <v>39691</v>
      </c>
      <c r="C22" s="119" t="s">
        <v>293</v>
      </c>
      <c r="D22" s="120" t="s">
        <v>235</v>
      </c>
      <c r="E22" s="120" t="s">
        <v>254</v>
      </c>
      <c r="F22" s="120" t="s">
        <v>1</v>
      </c>
      <c r="G22" s="121">
        <v>105</v>
      </c>
      <c r="H22" s="120">
        <v>9</v>
      </c>
      <c r="I22" s="120"/>
      <c r="J22" s="122" t="s">
        <v>305</v>
      </c>
      <c r="K22" s="121">
        <v>106</v>
      </c>
      <c r="L22" s="120">
        <v>3</v>
      </c>
      <c r="M22" s="120"/>
      <c r="N22" s="119" t="s">
        <v>306</v>
      </c>
      <c r="O22" s="123">
        <v>29</v>
      </c>
      <c r="P22" s="123">
        <v>29.1</v>
      </c>
      <c r="Q22" s="124">
        <v>15</v>
      </c>
      <c r="R22" s="124">
        <v>9</v>
      </c>
      <c r="S22" s="124">
        <v>2</v>
      </c>
      <c r="T22" s="124">
        <v>3</v>
      </c>
      <c r="U22" s="124">
        <v>9</v>
      </c>
      <c r="V22" s="124">
        <v>0</v>
      </c>
      <c r="W22" s="124">
        <v>4</v>
      </c>
      <c r="X22" s="124">
        <v>2</v>
      </c>
      <c r="Y22" s="124">
        <f t="shared" si="7"/>
        <v>29</v>
      </c>
      <c r="Z22" s="124">
        <f t="shared" si="8"/>
        <v>15</v>
      </c>
      <c r="AA22" s="124">
        <f t="shared" si="9"/>
        <v>106</v>
      </c>
      <c r="AB22" s="124">
        <f t="shared" si="10"/>
        <v>105</v>
      </c>
      <c r="AC22" s="124">
        <f t="shared" si="11"/>
        <v>3</v>
      </c>
      <c r="AD22" s="124">
        <f t="shared" si="12"/>
        <v>9</v>
      </c>
    </row>
    <row r="23" spans="1:30">
      <c r="A23" s="117" t="str">
        <f t="shared" si="0"/>
        <v>Sun</v>
      </c>
      <c r="B23" s="118">
        <v>39712</v>
      </c>
      <c r="C23" s="119" t="s">
        <v>260</v>
      </c>
      <c r="D23" s="120" t="s">
        <v>216</v>
      </c>
      <c r="E23" s="120" t="s">
        <v>248</v>
      </c>
      <c r="F23" s="120" t="s">
        <v>247</v>
      </c>
      <c r="G23" s="121">
        <v>191</v>
      </c>
      <c r="H23" s="120">
        <v>10</v>
      </c>
      <c r="I23" s="120"/>
      <c r="J23" s="122" t="s">
        <v>307</v>
      </c>
      <c r="K23" s="121">
        <v>193</v>
      </c>
      <c r="L23" s="120">
        <v>6</v>
      </c>
      <c r="M23" s="120"/>
      <c r="N23" s="119" t="s">
        <v>308</v>
      </c>
      <c r="O23" s="123">
        <v>44.3</v>
      </c>
      <c r="P23" s="123">
        <v>36.1</v>
      </c>
      <c r="Q23" s="124">
        <v>18</v>
      </c>
      <c r="R23" s="124">
        <v>5</v>
      </c>
      <c r="S23" s="124">
        <v>8</v>
      </c>
      <c r="T23" s="124">
        <v>3</v>
      </c>
      <c r="U23" s="124">
        <v>22</v>
      </c>
      <c r="V23" s="124">
        <v>1</v>
      </c>
      <c r="W23" s="124">
        <v>3</v>
      </c>
      <c r="X23" s="124">
        <v>3</v>
      </c>
      <c r="Y23" s="124">
        <f t="shared" si="7"/>
        <v>34</v>
      </c>
      <c r="Z23" s="124">
        <f t="shared" si="8"/>
        <v>29</v>
      </c>
      <c r="AA23" s="124">
        <f t="shared" si="9"/>
        <v>191</v>
      </c>
      <c r="AB23" s="124">
        <f t="shared" si="10"/>
        <v>193</v>
      </c>
      <c r="AC23" s="124">
        <f t="shared" si="11"/>
        <v>10</v>
      </c>
      <c r="AD23" s="124">
        <f t="shared" si="12"/>
        <v>6</v>
      </c>
    </row>
    <row r="24" spans="1:30">
      <c r="A24" s="117" t="str">
        <f t="shared" si="0"/>
        <v>Sat</v>
      </c>
      <c r="B24" s="118"/>
      <c r="C24" s="119"/>
      <c r="D24" s="120"/>
      <c r="E24" s="120"/>
      <c r="F24" s="120"/>
      <c r="G24" s="121"/>
      <c r="H24" s="120"/>
      <c r="I24" s="120"/>
      <c r="J24" s="122"/>
      <c r="K24" s="121"/>
      <c r="L24" s="120"/>
      <c r="M24" s="120"/>
      <c r="N24" s="119"/>
      <c r="O24" s="123"/>
      <c r="P24" s="123"/>
      <c r="Q24" s="124"/>
      <c r="R24" s="124"/>
      <c r="S24" s="124"/>
      <c r="T24" s="124"/>
      <c r="U24" s="124"/>
      <c r="V24" s="124"/>
      <c r="W24" s="124"/>
      <c r="X24" s="124"/>
      <c r="Y24" s="124">
        <f t="shared" ref="Y24:Y59" si="13">SUM(Q24:T24)</f>
        <v>0</v>
      </c>
      <c r="Z24" s="124">
        <f t="shared" ref="Z24:Z59" si="14">SUM(U24:X24)</f>
        <v>0</v>
      </c>
      <c r="AA24" s="124">
        <f t="shared" si="9"/>
        <v>0</v>
      </c>
      <c r="AB24" s="124">
        <f t="shared" si="10"/>
        <v>0</v>
      </c>
      <c r="AC24" s="124">
        <f t="shared" si="11"/>
        <v>0</v>
      </c>
      <c r="AD24" s="124">
        <f t="shared" si="12"/>
        <v>0</v>
      </c>
    </row>
    <row r="25" spans="1:30">
      <c r="A25" s="117" t="str">
        <f t="shared" si="0"/>
        <v>Sat</v>
      </c>
      <c r="B25" s="118"/>
      <c r="C25" s="119"/>
      <c r="D25" s="120"/>
      <c r="E25" s="120"/>
      <c r="F25" s="120"/>
      <c r="G25" s="121"/>
      <c r="H25" s="120"/>
      <c r="I25" s="120"/>
      <c r="J25" s="122"/>
      <c r="K25" s="121"/>
      <c r="L25" s="120"/>
      <c r="M25" s="120"/>
      <c r="N25" s="131"/>
      <c r="O25" s="123"/>
      <c r="P25" s="123"/>
      <c r="Q25" s="124"/>
      <c r="R25" s="124"/>
      <c r="S25" s="124"/>
      <c r="T25" s="124"/>
      <c r="U25" s="124"/>
      <c r="V25" s="124"/>
      <c r="W25" s="124"/>
      <c r="X25" s="124"/>
      <c r="Y25" s="124">
        <f t="shared" si="13"/>
        <v>0</v>
      </c>
      <c r="Z25" s="124">
        <f t="shared" si="14"/>
        <v>0</v>
      </c>
      <c r="AA25" s="124">
        <f t="shared" si="9"/>
        <v>0</v>
      </c>
      <c r="AB25" s="124">
        <f t="shared" si="10"/>
        <v>0</v>
      </c>
      <c r="AC25" s="124">
        <f t="shared" si="11"/>
        <v>0</v>
      </c>
      <c r="AD25" s="124">
        <f t="shared" si="12"/>
        <v>0</v>
      </c>
    </row>
    <row r="26" spans="1:30">
      <c r="A26" s="117" t="str">
        <f t="shared" si="0"/>
        <v>Sat</v>
      </c>
      <c r="B26" s="118"/>
      <c r="C26" s="119"/>
      <c r="D26" s="120"/>
      <c r="E26" s="120"/>
      <c r="F26" s="120"/>
      <c r="G26" s="121"/>
      <c r="H26" s="120"/>
      <c r="I26" s="120"/>
      <c r="J26" s="122"/>
      <c r="K26" s="121"/>
      <c r="L26" s="120"/>
      <c r="M26" s="120"/>
      <c r="N26" s="119"/>
      <c r="O26" s="123"/>
      <c r="P26" s="123"/>
      <c r="Q26" s="124"/>
      <c r="R26" s="124"/>
      <c r="S26" s="124"/>
      <c r="T26" s="124"/>
      <c r="U26" s="124"/>
      <c r="V26" s="124"/>
      <c r="W26" s="124"/>
      <c r="X26" s="124"/>
      <c r="Y26" s="124">
        <f t="shared" si="13"/>
        <v>0</v>
      </c>
      <c r="Z26" s="124">
        <f t="shared" si="14"/>
        <v>0</v>
      </c>
      <c r="AA26" s="124">
        <f t="shared" si="9"/>
        <v>0</v>
      </c>
      <c r="AB26" s="124">
        <f t="shared" si="10"/>
        <v>0</v>
      </c>
      <c r="AC26" s="124">
        <f t="shared" si="11"/>
        <v>0</v>
      </c>
      <c r="AD26" s="124">
        <f t="shared" si="12"/>
        <v>0</v>
      </c>
    </row>
    <row r="27" spans="1:30">
      <c r="A27" s="117" t="str">
        <f t="shared" si="0"/>
        <v>Sat</v>
      </c>
      <c r="B27" s="118"/>
      <c r="C27" s="119"/>
      <c r="D27" s="120"/>
      <c r="E27" s="120"/>
      <c r="F27" s="120"/>
      <c r="G27" s="121"/>
      <c r="H27" s="120"/>
      <c r="I27" s="120"/>
      <c r="J27" s="122"/>
      <c r="K27" s="121"/>
      <c r="L27" s="120"/>
      <c r="M27" s="120"/>
      <c r="N27" s="119"/>
      <c r="O27" s="123"/>
      <c r="P27" s="123"/>
      <c r="Q27" s="124"/>
      <c r="R27" s="124"/>
      <c r="S27" s="124"/>
      <c r="T27" s="124"/>
      <c r="U27" s="124"/>
      <c r="V27" s="124"/>
      <c r="W27" s="124"/>
      <c r="X27" s="124"/>
      <c r="Y27" s="124">
        <f t="shared" si="13"/>
        <v>0</v>
      </c>
      <c r="Z27" s="124">
        <f t="shared" si="14"/>
        <v>0</v>
      </c>
      <c r="AA27" s="124">
        <f t="shared" si="9"/>
        <v>0</v>
      </c>
      <c r="AB27" s="124">
        <f t="shared" si="10"/>
        <v>0</v>
      </c>
      <c r="AC27" s="124">
        <f t="shared" si="11"/>
        <v>0</v>
      </c>
      <c r="AD27" s="124">
        <f t="shared" si="12"/>
        <v>0</v>
      </c>
    </row>
    <row r="28" spans="1:30">
      <c r="A28" s="117" t="str">
        <f t="shared" si="0"/>
        <v>Sat</v>
      </c>
      <c r="B28" s="118"/>
      <c r="C28" s="119"/>
      <c r="D28" s="120"/>
      <c r="E28" s="120"/>
      <c r="F28" s="120"/>
      <c r="G28" s="121"/>
      <c r="H28" s="120"/>
      <c r="I28" s="120"/>
      <c r="J28" s="122"/>
      <c r="K28" s="121"/>
      <c r="L28" s="120"/>
      <c r="M28" s="120"/>
      <c r="N28" s="119"/>
      <c r="O28" s="123"/>
      <c r="P28" s="123"/>
      <c r="Q28" s="124"/>
      <c r="R28" s="124"/>
      <c r="S28" s="124"/>
      <c r="T28" s="124"/>
      <c r="U28" s="124"/>
      <c r="V28" s="124"/>
      <c r="W28" s="124"/>
      <c r="X28" s="124"/>
      <c r="Y28" s="124">
        <f t="shared" si="13"/>
        <v>0</v>
      </c>
      <c r="Z28" s="124">
        <f t="shared" si="14"/>
        <v>0</v>
      </c>
      <c r="AA28" s="124">
        <f t="shared" si="9"/>
        <v>0</v>
      </c>
      <c r="AB28" s="124">
        <f t="shared" si="10"/>
        <v>0</v>
      </c>
      <c r="AC28" s="124">
        <f t="shared" si="11"/>
        <v>0</v>
      </c>
      <c r="AD28" s="124">
        <f t="shared" si="12"/>
        <v>0</v>
      </c>
    </row>
    <row r="29" spans="1:30">
      <c r="A29" s="117" t="str">
        <f t="shared" si="0"/>
        <v>Sat</v>
      </c>
      <c r="B29" s="118"/>
      <c r="C29" s="119"/>
      <c r="D29" s="120"/>
      <c r="E29" s="120"/>
      <c r="F29" s="120"/>
      <c r="G29" s="121"/>
      <c r="H29" s="120"/>
      <c r="I29" s="120"/>
      <c r="J29" s="122"/>
      <c r="K29" s="121"/>
      <c r="L29" s="120"/>
      <c r="M29" s="120"/>
      <c r="N29" s="119"/>
      <c r="O29" s="123"/>
      <c r="P29" s="123"/>
      <c r="Q29" s="124"/>
      <c r="R29" s="124"/>
      <c r="S29" s="124"/>
      <c r="T29" s="124"/>
      <c r="U29" s="124"/>
      <c r="V29" s="124"/>
      <c r="W29" s="124"/>
      <c r="X29" s="124"/>
      <c r="Y29" s="124">
        <f t="shared" si="13"/>
        <v>0</v>
      </c>
      <c r="Z29" s="124">
        <f t="shared" si="14"/>
        <v>0</v>
      </c>
      <c r="AA29" s="124">
        <f t="shared" si="9"/>
        <v>0</v>
      </c>
      <c r="AB29" s="124">
        <f t="shared" si="10"/>
        <v>0</v>
      </c>
      <c r="AC29" s="124">
        <f t="shared" si="11"/>
        <v>0</v>
      </c>
      <c r="AD29" s="124">
        <f t="shared" si="12"/>
        <v>0</v>
      </c>
    </row>
    <row r="30" spans="1:30">
      <c r="A30" s="117" t="str">
        <f t="shared" si="0"/>
        <v>Sat</v>
      </c>
      <c r="B30" s="118"/>
      <c r="C30" s="119"/>
      <c r="D30" s="120"/>
      <c r="E30" s="120"/>
      <c r="F30" s="120"/>
      <c r="G30" s="121"/>
      <c r="H30" s="120"/>
      <c r="I30" s="120"/>
      <c r="J30" s="122"/>
      <c r="K30" s="121"/>
      <c r="L30" s="120"/>
      <c r="M30" s="120"/>
      <c r="N30" s="119"/>
      <c r="O30" s="123"/>
      <c r="P30" s="123"/>
      <c r="Q30" s="124"/>
      <c r="R30" s="124"/>
      <c r="S30" s="124"/>
      <c r="T30" s="124"/>
      <c r="U30" s="124"/>
      <c r="V30" s="124"/>
      <c r="W30" s="124"/>
      <c r="X30" s="124"/>
      <c r="Y30" s="124">
        <f t="shared" si="13"/>
        <v>0</v>
      </c>
      <c r="Z30" s="124">
        <f t="shared" si="14"/>
        <v>0</v>
      </c>
      <c r="AA30" s="124">
        <f t="shared" si="9"/>
        <v>0</v>
      </c>
      <c r="AB30" s="124">
        <f t="shared" si="10"/>
        <v>0</v>
      </c>
      <c r="AC30" s="124">
        <f t="shared" si="11"/>
        <v>0</v>
      </c>
      <c r="AD30" s="124">
        <f t="shared" si="12"/>
        <v>0</v>
      </c>
    </row>
    <row r="31" spans="1:30">
      <c r="A31" s="117" t="str">
        <f t="shared" si="0"/>
        <v>Sat</v>
      </c>
      <c r="B31" s="118"/>
      <c r="C31" s="119"/>
      <c r="D31" s="120"/>
      <c r="E31" s="120"/>
      <c r="F31" s="120"/>
      <c r="G31" s="121"/>
      <c r="H31" s="120"/>
      <c r="I31" s="120"/>
      <c r="J31" s="122"/>
      <c r="K31" s="121"/>
      <c r="L31" s="120"/>
      <c r="M31" s="120"/>
      <c r="N31" s="119"/>
      <c r="O31" s="123"/>
      <c r="P31" s="123"/>
      <c r="Q31" s="124"/>
      <c r="R31" s="124"/>
      <c r="S31" s="124"/>
      <c r="T31" s="124"/>
      <c r="U31" s="124"/>
      <c r="V31" s="124"/>
      <c r="W31" s="124"/>
      <c r="X31" s="124"/>
      <c r="Y31" s="124">
        <f t="shared" si="13"/>
        <v>0</v>
      </c>
      <c r="Z31" s="124">
        <f t="shared" si="14"/>
        <v>0</v>
      </c>
      <c r="AA31" s="124">
        <f t="shared" si="9"/>
        <v>0</v>
      </c>
      <c r="AB31" s="124">
        <f t="shared" si="10"/>
        <v>0</v>
      </c>
      <c r="AC31" s="124">
        <f t="shared" si="11"/>
        <v>0</v>
      </c>
      <c r="AD31" s="124">
        <f t="shared" si="12"/>
        <v>0</v>
      </c>
    </row>
    <row r="32" spans="1:30">
      <c r="A32" s="117" t="str">
        <f t="shared" si="0"/>
        <v>Sat</v>
      </c>
      <c r="B32" s="118"/>
      <c r="C32" s="119"/>
      <c r="D32" s="120"/>
      <c r="E32" s="120"/>
      <c r="F32" s="120"/>
      <c r="G32" s="121"/>
      <c r="H32" s="120"/>
      <c r="I32" s="120"/>
      <c r="J32" s="122"/>
      <c r="K32" s="121"/>
      <c r="L32" s="120"/>
      <c r="M32" s="120"/>
      <c r="N32" s="119"/>
      <c r="O32" s="123"/>
      <c r="P32" s="123"/>
      <c r="Q32" s="124"/>
      <c r="R32" s="124"/>
      <c r="S32" s="124"/>
      <c r="T32" s="124"/>
      <c r="U32" s="124"/>
      <c r="V32" s="124"/>
      <c r="W32" s="124"/>
      <c r="X32" s="124"/>
      <c r="Y32" s="124">
        <f t="shared" si="13"/>
        <v>0</v>
      </c>
      <c r="Z32" s="124">
        <f t="shared" si="14"/>
        <v>0</v>
      </c>
      <c r="AA32" s="124">
        <f t="shared" si="9"/>
        <v>0</v>
      </c>
      <c r="AB32" s="124">
        <f t="shared" si="10"/>
        <v>0</v>
      </c>
      <c r="AC32" s="124">
        <f t="shared" si="11"/>
        <v>0</v>
      </c>
      <c r="AD32" s="124">
        <f t="shared" si="12"/>
        <v>0</v>
      </c>
    </row>
    <row r="33" spans="1:30">
      <c r="A33" s="117" t="str">
        <f t="shared" si="0"/>
        <v>Sat</v>
      </c>
      <c r="B33" s="118"/>
      <c r="C33" s="119"/>
      <c r="D33" s="120"/>
      <c r="E33" s="120"/>
      <c r="F33" s="120"/>
      <c r="G33" s="121"/>
      <c r="H33" s="120"/>
      <c r="I33" s="120"/>
      <c r="J33" s="122"/>
      <c r="K33" s="121"/>
      <c r="L33" s="120"/>
      <c r="M33" s="120"/>
      <c r="N33" s="119"/>
      <c r="O33" s="123"/>
      <c r="P33" s="123"/>
      <c r="Q33" s="124"/>
      <c r="R33" s="124"/>
      <c r="S33" s="124"/>
      <c r="T33" s="124"/>
      <c r="U33" s="124"/>
      <c r="V33" s="124"/>
      <c r="W33" s="124"/>
      <c r="X33" s="124"/>
      <c r="Y33" s="124">
        <f t="shared" si="13"/>
        <v>0</v>
      </c>
      <c r="Z33" s="124">
        <f t="shared" si="14"/>
        <v>0</v>
      </c>
      <c r="AA33" s="124">
        <f t="shared" si="9"/>
        <v>0</v>
      </c>
      <c r="AB33" s="124">
        <f t="shared" si="10"/>
        <v>0</v>
      </c>
      <c r="AC33" s="124">
        <f t="shared" si="11"/>
        <v>0</v>
      </c>
      <c r="AD33" s="124">
        <f t="shared" si="12"/>
        <v>0</v>
      </c>
    </row>
    <row r="34" spans="1:30">
      <c r="A34" s="117" t="str">
        <f t="shared" si="0"/>
        <v>Sat</v>
      </c>
      <c r="B34" s="118"/>
      <c r="C34" s="119"/>
      <c r="D34" s="120"/>
      <c r="E34" s="120"/>
      <c r="F34" s="120"/>
      <c r="G34" s="121"/>
      <c r="H34" s="120"/>
      <c r="I34" s="120"/>
      <c r="J34" s="122"/>
      <c r="K34" s="121"/>
      <c r="L34" s="120"/>
      <c r="M34" s="120"/>
      <c r="N34" s="119"/>
      <c r="O34" s="123"/>
      <c r="P34" s="123"/>
      <c r="Q34" s="124"/>
      <c r="R34" s="124"/>
      <c r="S34" s="124"/>
      <c r="T34" s="124"/>
      <c r="U34" s="124"/>
      <c r="V34" s="124"/>
      <c r="W34" s="124"/>
      <c r="X34" s="124"/>
      <c r="Y34" s="124">
        <f t="shared" si="13"/>
        <v>0</v>
      </c>
      <c r="Z34" s="124">
        <f t="shared" si="14"/>
        <v>0</v>
      </c>
      <c r="AA34" s="124">
        <f t="shared" si="9"/>
        <v>0</v>
      </c>
      <c r="AB34" s="124">
        <f t="shared" si="10"/>
        <v>0</v>
      </c>
      <c r="AC34" s="124">
        <f t="shared" si="11"/>
        <v>0</v>
      </c>
      <c r="AD34" s="124">
        <f t="shared" si="12"/>
        <v>0</v>
      </c>
    </row>
    <row r="35" spans="1:30">
      <c r="A35" s="117" t="str">
        <f t="shared" si="0"/>
        <v>Sat</v>
      </c>
      <c r="B35" s="118"/>
      <c r="C35" s="119"/>
      <c r="D35" s="120"/>
      <c r="E35" s="120"/>
      <c r="F35" s="120"/>
      <c r="G35" s="121"/>
      <c r="H35" s="120"/>
      <c r="I35" s="120"/>
      <c r="J35" s="122"/>
      <c r="K35" s="121"/>
      <c r="L35" s="120"/>
      <c r="M35" s="120"/>
      <c r="N35" s="119"/>
      <c r="O35" s="123"/>
      <c r="P35" s="123"/>
      <c r="Q35" s="124"/>
      <c r="R35" s="124"/>
      <c r="S35" s="124"/>
      <c r="T35" s="124"/>
      <c r="U35" s="124"/>
      <c r="V35" s="124"/>
      <c r="W35" s="124"/>
      <c r="X35" s="124"/>
      <c r="Y35" s="124">
        <f t="shared" si="13"/>
        <v>0</v>
      </c>
      <c r="Z35" s="124">
        <f t="shared" si="14"/>
        <v>0</v>
      </c>
      <c r="AA35" s="124">
        <f t="shared" si="9"/>
        <v>0</v>
      </c>
      <c r="AB35" s="124">
        <f t="shared" si="10"/>
        <v>0</v>
      </c>
      <c r="AC35" s="124">
        <f t="shared" si="11"/>
        <v>0</v>
      </c>
      <c r="AD35" s="124">
        <f t="shared" si="12"/>
        <v>0</v>
      </c>
    </row>
    <row r="36" spans="1:30">
      <c r="A36" s="117" t="str">
        <f t="shared" si="0"/>
        <v>Sat</v>
      </c>
      <c r="B36" s="118"/>
      <c r="C36" s="119"/>
      <c r="D36" s="120"/>
      <c r="E36" s="120"/>
      <c r="F36" s="120"/>
      <c r="G36" s="121"/>
      <c r="H36" s="120"/>
      <c r="I36" s="120"/>
      <c r="J36" s="122"/>
      <c r="K36" s="121"/>
      <c r="L36" s="120"/>
      <c r="M36" s="120"/>
      <c r="N36" s="119"/>
      <c r="O36" s="123"/>
      <c r="P36" s="123"/>
      <c r="Q36" s="124"/>
      <c r="R36" s="124"/>
      <c r="S36" s="124"/>
      <c r="T36" s="124"/>
      <c r="U36" s="124"/>
      <c r="V36" s="124"/>
      <c r="W36" s="124"/>
      <c r="X36" s="124"/>
      <c r="Y36" s="124">
        <f t="shared" si="13"/>
        <v>0</v>
      </c>
      <c r="Z36" s="124">
        <f t="shared" si="14"/>
        <v>0</v>
      </c>
      <c r="AA36" s="124">
        <f t="shared" si="9"/>
        <v>0</v>
      </c>
      <c r="AB36" s="124">
        <f t="shared" si="10"/>
        <v>0</v>
      </c>
      <c r="AC36" s="124">
        <f t="shared" si="11"/>
        <v>0</v>
      </c>
      <c r="AD36" s="124">
        <f t="shared" si="12"/>
        <v>0</v>
      </c>
    </row>
    <row r="37" spans="1:30">
      <c r="A37" s="117" t="str">
        <f t="shared" si="0"/>
        <v>Sat</v>
      </c>
      <c r="B37" s="118"/>
      <c r="C37" s="119"/>
      <c r="D37" s="120"/>
      <c r="E37" s="120"/>
      <c r="F37" s="120"/>
      <c r="G37" s="121"/>
      <c r="H37" s="120"/>
      <c r="I37" s="120"/>
      <c r="J37" s="122"/>
      <c r="K37" s="121"/>
      <c r="L37" s="120"/>
      <c r="M37" s="120"/>
      <c r="N37" s="119"/>
      <c r="O37" s="123"/>
      <c r="P37" s="123"/>
      <c r="Q37" s="124"/>
      <c r="R37" s="124"/>
      <c r="S37" s="124"/>
      <c r="T37" s="124"/>
      <c r="U37" s="124"/>
      <c r="V37" s="124"/>
      <c r="W37" s="124"/>
      <c r="X37" s="124"/>
      <c r="Y37" s="124">
        <f t="shared" si="13"/>
        <v>0</v>
      </c>
      <c r="Z37" s="124">
        <f t="shared" si="14"/>
        <v>0</v>
      </c>
      <c r="AA37" s="124">
        <f t="shared" si="9"/>
        <v>0</v>
      </c>
      <c r="AB37" s="124">
        <f t="shared" si="10"/>
        <v>0</v>
      </c>
      <c r="AC37" s="124">
        <f t="shared" si="11"/>
        <v>0</v>
      </c>
      <c r="AD37" s="124">
        <f t="shared" si="12"/>
        <v>0</v>
      </c>
    </row>
    <row r="38" spans="1:30">
      <c r="A38" s="117" t="str">
        <f t="shared" si="0"/>
        <v>Sat</v>
      </c>
      <c r="B38" s="118"/>
      <c r="C38" s="119"/>
      <c r="D38" s="120"/>
      <c r="E38" s="120"/>
      <c r="F38" s="120"/>
      <c r="G38" s="121"/>
      <c r="H38" s="120"/>
      <c r="I38" s="120"/>
      <c r="J38" s="122"/>
      <c r="K38" s="121"/>
      <c r="L38" s="120"/>
      <c r="M38" s="120"/>
      <c r="N38" s="119"/>
      <c r="O38" s="123"/>
      <c r="P38" s="123"/>
      <c r="Q38" s="124"/>
      <c r="R38" s="124"/>
      <c r="S38" s="124"/>
      <c r="T38" s="124"/>
      <c r="U38" s="124"/>
      <c r="V38" s="124"/>
      <c r="W38" s="124"/>
      <c r="X38" s="124"/>
      <c r="Y38" s="124">
        <f t="shared" si="13"/>
        <v>0</v>
      </c>
      <c r="Z38" s="124">
        <f t="shared" si="14"/>
        <v>0</v>
      </c>
      <c r="AA38" s="124">
        <f t="shared" si="9"/>
        <v>0</v>
      </c>
      <c r="AB38" s="124">
        <f t="shared" si="10"/>
        <v>0</v>
      </c>
      <c r="AC38" s="124">
        <f t="shared" si="11"/>
        <v>0</v>
      </c>
      <c r="AD38" s="124">
        <f t="shared" si="12"/>
        <v>0</v>
      </c>
    </row>
    <row r="39" spans="1:30">
      <c r="A39" s="117" t="str">
        <f t="shared" si="0"/>
        <v>Sat</v>
      </c>
      <c r="B39" s="118"/>
      <c r="C39" s="119"/>
      <c r="D39" s="120"/>
      <c r="E39" s="120"/>
      <c r="F39" s="120"/>
      <c r="G39" s="121"/>
      <c r="H39" s="120"/>
      <c r="I39" s="120"/>
      <c r="J39" s="122"/>
      <c r="K39" s="121"/>
      <c r="L39" s="120"/>
      <c r="M39" s="120"/>
      <c r="N39" s="119"/>
      <c r="O39" s="123"/>
      <c r="P39" s="123"/>
      <c r="Q39" s="124"/>
      <c r="R39" s="124"/>
      <c r="S39" s="124"/>
      <c r="T39" s="124"/>
      <c r="U39" s="124"/>
      <c r="V39" s="124"/>
      <c r="W39" s="124"/>
      <c r="X39" s="124"/>
      <c r="Y39" s="124">
        <f t="shared" si="13"/>
        <v>0</v>
      </c>
      <c r="Z39" s="124">
        <f t="shared" si="14"/>
        <v>0</v>
      </c>
      <c r="AA39" s="124">
        <f t="shared" si="9"/>
        <v>0</v>
      </c>
      <c r="AB39" s="124">
        <f t="shared" si="10"/>
        <v>0</v>
      </c>
      <c r="AC39" s="124">
        <f t="shared" si="11"/>
        <v>0</v>
      </c>
      <c r="AD39" s="124">
        <f t="shared" si="12"/>
        <v>0</v>
      </c>
    </row>
    <row r="40" spans="1:30">
      <c r="A40" s="117" t="str">
        <f t="shared" si="0"/>
        <v>Sat</v>
      </c>
      <c r="B40" s="118"/>
      <c r="C40" s="119"/>
      <c r="D40" s="120"/>
      <c r="E40" s="120"/>
      <c r="F40" s="120"/>
      <c r="G40" s="121"/>
      <c r="H40" s="120"/>
      <c r="I40" s="120"/>
      <c r="J40" s="122"/>
      <c r="K40" s="121"/>
      <c r="L40" s="120"/>
      <c r="M40" s="120"/>
      <c r="N40" s="119"/>
      <c r="O40" s="123"/>
      <c r="P40" s="123"/>
      <c r="Q40" s="124"/>
      <c r="R40" s="124"/>
      <c r="S40" s="124"/>
      <c r="T40" s="124"/>
      <c r="U40" s="124"/>
      <c r="V40" s="124"/>
      <c r="W40" s="124"/>
      <c r="X40" s="124"/>
      <c r="Y40" s="124">
        <f t="shared" si="13"/>
        <v>0</v>
      </c>
      <c r="Z40" s="124">
        <f t="shared" si="14"/>
        <v>0</v>
      </c>
      <c r="AA40" s="124">
        <f t="shared" si="9"/>
        <v>0</v>
      </c>
      <c r="AB40" s="124">
        <f t="shared" si="10"/>
        <v>0</v>
      </c>
      <c r="AC40" s="124">
        <f t="shared" si="11"/>
        <v>0</v>
      </c>
      <c r="AD40" s="124">
        <f t="shared" si="12"/>
        <v>0</v>
      </c>
    </row>
    <row r="41" spans="1:30">
      <c r="A41" s="117" t="str">
        <f t="shared" si="0"/>
        <v>Sat</v>
      </c>
      <c r="B41" s="118"/>
      <c r="C41" s="119"/>
      <c r="D41" s="120"/>
      <c r="E41" s="120"/>
      <c r="F41" s="120"/>
      <c r="G41" s="121"/>
      <c r="H41" s="120"/>
      <c r="I41" s="120"/>
      <c r="J41" s="122"/>
      <c r="K41" s="121"/>
      <c r="L41" s="120"/>
      <c r="M41" s="120"/>
      <c r="N41" s="119"/>
      <c r="O41" s="123"/>
      <c r="P41" s="123"/>
      <c r="Q41" s="124"/>
      <c r="R41" s="124"/>
      <c r="S41" s="124"/>
      <c r="T41" s="124"/>
      <c r="U41" s="124"/>
      <c r="V41" s="124"/>
      <c r="W41" s="124"/>
      <c r="X41" s="124"/>
      <c r="Y41" s="124">
        <f t="shared" si="13"/>
        <v>0</v>
      </c>
      <c r="Z41" s="124">
        <f t="shared" si="14"/>
        <v>0</v>
      </c>
      <c r="AA41" s="124">
        <f t="shared" si="9"/>
        <v>0</v>
      </c>
      <c r="AB41" s="124">
        <f t="shared" si="10"/>
        <v>0</v>
      </c>
      <c r="AC41" s="124">
        <f t="shared" si="11"/>
        <v>0</v>
      </c>
      <c r="AD41" s="124">
        <f t="shared" si="12"/>
        <v>0</v>
      </c>
    </row>
    <row r="42" spans="1:30">
      <c r="A42" s="117" t="str">
        <f t="shared" si="0"/>
        <v>Sat</v>
      </c>
      <c r="B42" s="118"/>
      <c r="C42" s="119"/>
      <c r="D42" s="120"/>
      <c r="E42" s="120"/>
      <c r="F42" s="120"/>
      <c r="G42" s="121"/>
      <c r="H42" s="120"/>
      <c r="I42" s="120"/>
      <c r="J42" s="122"/>
      <c r="K42" s="121"/>
      <c r="L42" s="120"/>
      <c r="M42" s="120"/>
      <c r="N42" s="119"/>
      <c r="O42" s="123"/>
      <c r="P42" s="123"/>
      <c r="Q42" s="124"/>
      <c r="R42" s="124"/>
      <c r="S42" s="124"/>
      <c r="T42" s="124"/>
      <c r="U42" s="124"/>
      <c r="V42" s="124"/>
      <c r="W42" s="124"/>
      <c r="X42" s="124"/>
      <c r="Y42" s="124">
        <f t="shared" si="13"/>
        <v>0</v>
      </c>
      <c r="Z42" s="124">
        <f t="shared" si="14"/>
        <v>0</v>
      </c>
      <c r="AA42" s="124">
        <f t="shared" si="9"/>
        <v>0</v>
      </c>
      <c r="AB42" s="124">
        <f t="shared" si="10"/>
        <v>0</v>
      </c>
      <c r="AC42" s="124">
        <f t="shared" si="11"/>
        <v>0</v>
      </c>
      <c r="AD42" s="124">
        <f t="shared" si="12"/>
        <v>0</v>
      </c>
    </row>
    <row r="43" spans="1:30">
      <c r="A43" s="117" t="str">
        <f t="shared" si="0"/>
        <v>Sat</v>
      </c>
      <c r="B43" s="118"/>
      <c r="C43" s="119"/>
      <c r="D43" s="120"/>
      <c r="E43" s="120"/>
      <c r="F43" s="120"/>
      <c r="G43" s="121"/>
      <c r="H43" s="120"/>
      <c r="I43" s="120"/>
      <c r="J43" s="122"/>
      <c r="K43" s="121"/>
      <c r="L43" s="120"/>
      <c r="M43" s="120"/>
      <c r="N43" s="119"/>
      <c r="O43" s="123"/>
      <c r="P43" s="123"/>
      <c r="Q43" s="124"/>
      <c r="R43" s="124"/>
      <c r="S43" s="124"/>
      <c r="T43" s="124"/>
      <c r="U43" s="124"/>
      <c r="V43" s="124"/>
      <c r="W43" s="124"/>
      <c r="X43" s="124"/>
      <c r="Y43" s="124">
        <f t="shared" si="13"/>
        <v>0</v>
      </c>
      <c r="Z43" s="124">
        <f t="shared" si="14"/>
        <v>0</v>
      </c>
      <c r="AA43" s="124">
        <f t="shared" si="9"/>
        <v>0</v>
      </c>
      <c r="AB43" s="124">
        <f t="shared" si="10"/>
        <v>0</v>
      </c>
      <c r="AC43" s="124">
        <f t="shared" si="11"/>
        <v>0</v>
      </c>
      <c r="AD43" s="124">
        <f t="shared" si="12"/>
        <v>0</v>
      </c>
    </row>
    <row r="44" spans="1:30">
      <c r="A44" s="117" t="str">
        <f t="shared" si="0"/>
        <v>Sat</v>
      </c>
      <c r="B44" s="118"/>
      <c r="C44" s="119"/>
      <c r="D44" s="120"/>
      <c r="E44" s="120"/>
      <c r="F44" s="120"/>
      <c r="G44" s="121"/>
      <c r="H44" s="120"/>
      <c r="I44" s="120"/>
      <c r="J44" s="122"/>
      <c r="K44" s="121"/>
      <c r="L44" s="120"/>
      <c r="M44" s="120"/>
      <c r="N44" s="119"/>
      <c r="O44" s="123"/>
      <c r="P44" s="123"/>
      <c r="Q44" s="124"/>
      <c r="R44" s="124"/>
      <c r="S44" s="124"/>
      <c r="T44" s="124"/>
      <c r="U44" s="124"/>
      <c r="V44" s="124"/>
      <c r="W44" s="124"/>
      <c r="X44" s="124"/>
      <c r="Y44" s="124">
        <f t="shared" si="13"/>
        <v>0</v>
      </c>
      <c r="Z44" s="124">
        <f t="shared" si="14"/>
        <v>0</v>
      </c>
      <c r="AA44" s="124">
        <f t="shared" si="9"/>
        <v>0</v>
      </c>
      <c r="AB44" s="124">
        <f t="shared" si="10"/>
        <v>0</v>
      </c>
      <c r="AC44" s="124">
        <f t="shared" si="11"/>
        <v>0</v>
      </c>
      <c r="AD44" s="124">
        <f t="shared" si="12"/>
        <v>0</v>
      </c>
    </row>
    <row r="45" spans="1:30">
      <c r="A45" s="117" t="str">
        <f t="shared" si="0"/>
        <v>Sat</v>
      </c>
      <c r="B45" s="118"/>
      <c r="C45" s="119"/>
      <c r="D45" s="120"/>
      <c r="E45" s="120"/>
      <c r="F45" s="120"/>
      <c r="G45" s="121"/>
      <c r="H45" s="120"/>
      <c r="I45" s="120"/>
      <c r="J45" s="122"/>
      <c r="K45" s="121"/>
      <c r="L45" s="120"/>
      <c r="M45" s="120"/>
      <c r="N45" s="119"/>
      <c r="O45" s="123"/>
      <c r="P45" s="123"/>
      <c r="Q45" s="124"/>
      <c r="R45" s="124"/>
      <c r="S45" s="124"/>
      <c r="T45" s="124"/>
      <c r="U45" s="124"/>
      <c r="V45" s="124"/>
      <c r="W45" s="124"/>
      <c r="X45" s="124"/>
      <c r="Y45" s="124">
        <f t="shared" si="13"/>
        <v>0</v>
      </c>
      <c r="Z45" s="124">
        <f t="shared" si="14"/>
        <v>0</v>
      </c>
      <c r="AA45" s="124">
        <f t="shared" si="9"/>
        <v>0</v>
      </c>
      <c r="AB45" s="124">
        <f t="shared" si="10"/>
        <v>0</v>
      </c>
      <c r="AC45" s="124">
        <f t="shared" si="11"/>
        <v>0</v>
      </c>
      <c r="AD45" s="124">
        <f t="shared" si="12"/>
        <v>0</v>
      </c>
    </row>
    <row r="46" spans="1:30">
      <c r="A46" s="117" t="str">
        <f t="shared" si="0"/>
        <v>Sat</v>
      </c>
      <c r="B46" s="118"/>
      <c r="C46" s="119"/>
      <c r="D46" s="120"/>
      <c r="E46" s="120"/>
      <c r="F46" s="120"/>
      <c r="G46" s="121"/>
      <c r="H46" s="120"/>
      <c r="I46" s="120"/>
      <c r="J46" s="122"/>
      <c r="K46" s="121"/>
      <c r="L46" s="120"/>
      <c r="M46" s="120"/>
      <c r="N46" s="119"/>
      <c r="O46" s="123"/>
      <c r="P46" s="123"/>
      <c r="Q46" s="124"/>
      <c r="R46" s="124"/>
      <c r="S46" s="124"/>
      <c r="T46" s="124"/>
      <c r="U46" s="124"/>
      <c r="V46" s="124"/>
      <c r="W46" s="124"/>
      <c r="X46" s="124"/>
      <c r="Y46" s="124">
        <f>SUM(Q46:T46)</f>
        <v>0</v>
      </c>
      <c r="Z46" s="124">
        <f>SUM(U46:X46)</f>
        <v>0</v>
      </c>
      <c r="AA46" s="124">
        <f>IF(F46="TOCC",G46,K46)</f>
        <v>0</v>
      </c>
      <c r="AB46" s="124">
        <f>IF(F46&lt;&gt;"TOCC",G46,K46)</f>
        <v>0</v>
      </c>
      <c r="AC46" s="124">
        <f>IF(F46="TOCC",H46,L46)</f>
        <v>0</v>
      </c>
      <c r="AD46" s="124">
        <f>IF(F46&lt;&gt;"TOCC",H46,L46)</f>
        <v>0</v>
      </c>
    </row>
    <row r="47" spans="1:30">
      <c r="A47" s="117" t="str">
        <f t="shared" si="0"/>
        <v>Sat</v>
      </c>
      <c r="B47" s="118"/>
      <c r="C47" s="119"/>
      <c r="D47" s="120"/>
      <c r="E47" s="120"/>
      <c r="F47" s="120"/>
      <c r="G47" s="121"/>
      <c r="H47" s="120"/>
      <c r="I47" s="120"/>
      <c r="J47" s="122"/>
      <c r="K47" s="121"/>
      <c r="L47" s="120"/>
      <c r="M47" s="120"/>
      <c r="N47" s="119"/>
      <c r="O47" s="123"/>
      <c r="P47" s="123"/>
      <c r="Q47" s="124"/>
      <c r="R47" s="124"/>
      <c r="S47" s="124"/>
      <c r="T47" s="124"/>
      <c r="U47" s="124"/>
      <c r="V47" s="124"/>
      <c r="W47" s="124"/>
      <c r="X47" s="124"/>
      <c r="Y47" s="124">
        <f>SUM(Q47:T47)</f>
        <v>0</v>
      </c>
      <c r="Z47" s="124">
        <f>SUM(U47:X47)</f>
        <v>0</v>
      </c>
      <c r="AA47" s="124">
        <f t="shared" si="9"/>
        <v>0</v>
      </c>
      <c r="AB47" s="124">
        <f t="shared" si="10"/>
        <v>0</v>
      </c>
      <c r="AC47" s="124">
        <f t="shared" si="11"/>
        <v>0</v>
      </c>
      <c r="AD47" s="124">
        <f t="shared" si="12"/>
        <v>0</v>
      </c>
    </row>
    <row r="48" spans="1:30">
      <c r="A48" s="117" t="str">
        <f t="shared" si="0"/>
        <v>Sat</v>
      </c>
      <c r="B48" s="118"/>
      <c r="C48" s="119"/>
      <c r="D48" s="120"/>
      <c r="E48" s="120"/>
      <c r="F48" s="120"/>
      <c r="G48" s="121"/>
      <c r="H48" s="120"/>
      <c r="I48" s="120"/>
      <c r="J48" s="122"/>
      <c r="K48" s="121"/>
      <c r="L48" s="120"/>
      <c r="M48" s="120"/>
      <c r="N48" s="119"/>
      <c r="O48" s="123"/>
      <c r="P48" s="123"/>
      <c r="Q48" s="124"/>
      <c r="R48" s="124"/>
      <c r="S48" s="124"/>
      <c r="T48" s="124"/>
      <c r="U48" s="124"/>
      <c r="V48" s="124"/>
      <c r="W48" s="124"/>
      <c r="X48" s="124"/>
      <c r="Y48" s="124">
        <f t="shared" si="13"/>
        <v>0</v>
      </c>
      <c r="Z48" s="124">
        <f t="shared" si="14"/>
        <v>0</v>
      </c>
      <c r="AA48" s="124">
        <f t="shared" si="9"/>
        <v>0</v>
      </c>
      <c r="AB48" s="124">
        <f t="shared" si="10"/>
        <v>0</v>
      </c>
      <c r="AC48" s="124">
        <f t="shared" si="11"/>
        <v>0</v>
      </c>
      <c r="AD48" s="124">
        <f t="shared" si="12"/>
        <v>0</v>
      </c>
    </row>
    <row r="49" spans="1:30">
      <c r="A49" s="117" t="str">
        <f t="shared" si="0"/>
        <v>Sat</v>
      </c>
      <c r="B49" s="118"/>
      <c r="C49" s="119"/>
      <c r="D49" s="120"/>
      <c r="E49" s="120"/>
      <c r="F49" s="120"/>
      <c r="G49" s="121"/>
      <c r="H49" s="120"/>
      <c r="I49" s="120"/>
      <c r="J49" s="122"/>
      <c r="K49" s="121"/>
      <c r="L49" s="120"/>
      <c r="M49" s="120"/>
      <c r="N49" s="119"/>
      <c r="O49" s="123"/>
      <c r="P49" s="123"/>
      <c r="Q49" s="124"/>
      <c r="R49" s="124"/>
      <c r="S49" s="124"/>
      <c r="T49" s="124"/>
      <c r="U49" s="124"/>
      <c r="V49" s="124"/>
      <c r="W49" s="124"/>
      <c r="X49" s="124"/>
      <c r="Y49" s="124">
        <f t="shared" si="13"/>
        <v>0</v>
      </c>
      <c r="Z49" s="124">
        <f t="shared" si="14"/>
        <v>0</v>
      </c>
      <c r="AA49" s="124">
        <f t="shared" si="9"/>
        <v>0</v>
      </c>
      <c r="AB49" s="124">
        <f t="shared" si="10"/>
        <v>0</v>
      </c>
      <c r="AC49" s="124">
        <f t="shared" si="11"/>
        <v>0</v>
      </c>
      <c r="AD49" s="124">
        <f t="shared" si="12"/>
        <v>0</v>
      </c>
    </row>
    <row r="50" spans="1:30">
      <c r="A50" s="117" t="str">
        <f t="shared" si="0"/>
        <v>Sat</v>
      </c>
      <c r="B50" s="118"/>
      <c r="C50" s="119"/>
      <c r="D50" s="120"/>
      <c r="E50" s="120"/>
      <c r="F50" s="120"/>
      <c r="G50" s="121"/>
      <c r="H50" s="120"/>
      <c r="I50" s="120"/>
      <c r="J50" s="122"/>
      <c r="K50" s="121"/>
      <c r="L50" s="120"/>
      <c r="M50" s="120"/>
      <c r="N50" s="119"/>
      <c r="O50" s="123"/>
      <c r="P50" s="123"/>
      <c r="Q50" s="124"/>
      <c r="R50" s="124"/>
      <c r="S50" s="124"/>
      <c r="T50" s="124"/>
      <c r="U50" s="124"/>
      <c r="V50" s="124"/>
      <c r="W50" s="124"/>
      <c r="X50" s="124"/>
      <c r="Y50" s="124">
        <f t="shared" si="13"/>
        <v>0</v>
      </c>
      <c r="Z50" s="124">
        <f t="shared" si="14"/>
        <v>0</v>
      </c>
      <c r="AA50" s="124">
        <f t="shared" si="9"/>
        <v>0</v>
      </c>
      <c r="AB50" s="124">
        <f t="shared" si="10"/>
        <v>0</v>
      </c>
      <c r="AC50" s="124">
        <f t="shared" si="11"/>
        <v>0</v>
      </c>
      <c r="AD50" s="124">
        <f t="shared" si="12"/>
        <v>0</v>
      </c>
    </row>
    <row r="51" spans="1:30">
      <c r="A51" s="117" t="str">
        <f t="shared" si="0"/>
        <v>Sat</v>
      </c>
      <c r="B51" s="118"/>
      <c r="C51" s="119"/>
      <c r="D51" s="120"/>
      <c r="E51" s="120"/>
      <c r="F51" s="120"/>
      <c r="G51" s="121"/>
      <c r="H51" s="120"/>
      <c r="I51" s="120"/>
      <c r="J51" s="122"/>
      <c r="K51" s="121"/>
      <c r="L51" s="120"/>
      <c r="M51" s="120"/>
      <c r="N51" s="119"/>
      <c r="O51" s="123"/>
      <c r="P51" s="123"/>
      <c r="Q51" s="124"/>
      <c r="R51" s="124"/>
      <c r="S51" s="124"/>
      <c r="T51" s="124"/>
      <c r="U51" s="124"/>
      <c r="V51" s="124"/>
      <c r="W51" s="124"/>
      <c r="X51" s="124"/>
      <c r="Y51" s="124">
        <f t="shared" si="13"/>
        <v>0</v>
      </c>
      <c r="Z51" s="124">
        <f t="shared" si="14"/>
        <v>0</v>
      </c>
      <c r="AA51" s="124">
        <f t="shared" si="9"/>
        <v>0</v>
      </c>
      <c r="AB51" s="124">
        <f t="shared" si="10"/>
        <v>0</v>
      </c>
      <c r="AC51" s="124">
        <f t="shared" si="11"/>
        <v>0</v>
      </c>
      <c r="AD51" s="124">
        <f t="shared" si="12"/>
        <v>0</v>
      </c>
    </row>
    <row r="52" spans="1:30">
      <c r="A52" s="117" t="str">
        <f t="shared" si="0"/>
        <v>Sat</v>
      </c>
      <c r="B52" s="118"/>
      <c r="C52" s="119"/>
      <c r="D52" s="120"/>
      <c r="E52" s="120"/>
      <c r="F52" s="120"/>
      <c r="G52" s="121"/>
      <c r="H52" s="120"/>
      <c r="I52" s="120"/>
      <c r="J52" s="122"/>
      <c r="K52" s="121"/>
      <c r="L52" s="120"/>
      <c r="M52" s="120"/>
      <c r="N52" s="119"/>
      <c r="O52" s="123"/>
      <c r="P52" s="123"/>
      <c r="Q52" s="124"/>
      <c r="R52" s="124"/>
      <c r="S52" s="124"/>
      <c r="T52" s="124"/>
      <c r="U52" s="124"/>
      <c r="V52" s="124"/>
      <c r="W52" s="124"/>
      <c r="X52" s="124"/>
      <c r="Y52" s="124">
        <f t="shared" si="13"/>
        <v>0</v>
      </c>
      <c r="Z52" s="124">
        <f t="shared" si="14"/>
        <v>0</v>
      </c>
      <c r="AA52" s="124">
        <f t="shared" si="9"/>
        <v>0</v>
      </c>
      <c r="AB52" s="124">
        <f t="shared" si="10"/>
        <v>0</v>
      </c>
      <c r="AC52" s="124">
        <f t="shared" si="11"/>
        <v>0</v>
      </c>
      <c r="AD52" s="124">
        <f t="shared" si="12"/>
        <v>0</v>
      </c>
    </row>
    <row r="53" spans="1:30">
      <c r="A53" s="117" t="str">
        <f t="shared" si="0"/>
        <v>Sat</v>
      </c>
      <c r="B53" s="118"/>
      <c r="C53" s="119"/>
      <c r="D53" s="120"/>
      <c r="E53" s="120"/>
      <c r="F53" s="120"/>
      <c r="G53" s="121"/>
      <c r="H53" s="120"/>
      <c r="I53" s="120"/>
      <c r="J53" s="122"/>
      <c r="K53" s="121"/>
      <c r="L53" s="120"/>
      <c r="M53" s="120"/>
      <c r="N53" s="119"/>
      <c r="O53" s="123"/>
      <c r="P53" s="123"/>
      <c r="Q53" s="124"/>
      <c r="R53" s="124"/>
      <c r="S53" s="124"/>
      <c r="T53" s="124"/>
      <c r="U53" s="124"/>
      <c r="V53" s="124"/>
      <c r="W53" s="124"/>
      <c r="X53" s="124"/>
      <c r="Y53" s="124">
        <f t="shared" si="13"/>
        <v>0</v>
      </c>
      <c r="Z53" s="124">
        <f t="shared" si="14"/>
        <v>0</v>
      </c>
      <c r="AA53" s="124">
        <f t="shared" si="9"/>
        <v>0</v>
      </c>
      <c r="AB53" s="124">
        <f t="shared" si="10"/>
        <v>0</v>
      </c>
      <c r="AC53" s="124">
        <f t="shared" si="11"/>
        <v>0</v>
      </c>
      <c r="AD53" s="124">
        <f t="shared" si="12"/>
        <v>0</v>
      </c>
    </row>
    <row r="54" spans="1:30">
      <c r="A54" s="117" t="str">
        <f t="shared" si="0"/>
        <v>Sat</v>
      </c>
      <c r="B54" s="118"/>
      <c r="C54" s="125"/>
      <c r="D54" s="120"/>
      <c r="E54" s="120"/>
      <c r="F54" s="120"/>
      <c r="G54" s="121"/>
      <c r="H54" s="120"/>
      <c r="I54" s="120"/>
      <c r="J54" s="122"/>
      <c r="K54" s="121"/>
      <c r="L54" s="120"/>
      <c r="M54" s="120"/>
      <c r="N54" s="119"/>
      <c r="O54" s="123"/>
      <c r="P54" s="123"/>
      <c r="Q54" s="124"/>
      <c r="R54" s="124"/>
      <c r="S54" s="124"/>
      <c r="T54" s="124"/>
      <c r="U54" s="124"/>
      <c r="V54" s="124"/>
      <c r="W54" s="124"/>
      <c r="X54" s="124"/>
      <c r="Y54" s="124">
        <f t="shared" si="13"/>
        <v>0</v>
      </c>
      <c r="Z54" s="124">
        <f t="shared" si="14"/>
        <v>0</v>
      </c>
      <c r="AA54" s="124">
        <f t="shared" si="9"/>
        <v>0</v>
      </c>
      <c r="AB54" s="124">
        <f t="shared" si="10"/>
        <v>0</v>
      </c>
      <c r="AC54" s="124">
        <f t="shared" si="11"/>
        <v>0</v>
      </c>
      <c r="AD54" s="124">
        <f t="shared" si="12"/>
        <v>0</v>
      </c>
    </row>
    <row r="55" spans="1:30">
      <c r="A55" s="117" t="str">
        <f t="shared" si="0"/>
        <v>Sat</v>
      </c>
      <c r="B55" s="118"/>
      <c r="C55" s="119"/>
      <c r="D55" s="120"/>
      <c r="E55" s="120"/>
      <c r="F55" s="120"/>
      <c r="G55" s="121"/>
      <c r="H55" s="120"/>
      <c r="I55" s="120"/>
      <c r="J55" s="122"/>
      <c r="K55" s="121"/>
      <c r="L55" s="120"/>
      <c r="M55" s="120"/>
      <c r="N55" s="119"/>
      <c r="O55" s="123"/>
      <c r="P55" s="123"/>
      <c r="Q55" s="124"/>
      <c r="R55" s="124"/>
      <c r="S55" s="124"/>
      <c r="T55" s="124"/>
      <c r="U55" s="124"/>
      <c r="V55" s="124"/>
      <c r="W55" s="124"/>
      <c r="X55" s="124"/>
      <c r="Y55" s="124">
        <f t="shared" si="13"/>
        <v>0</v>
      </c>
      <c r="Z55" s="124">
        <f t="shared" si="14"/>
        <v>0</v>
      </c>
      <c r="AA55" s="124">
        <f t="shared" si="9"/>
        <v>0</v>
      </c>
      <c r="AB55" s="124">
        <f t="shared" si="10"/>
        <v>0</v>
      </c>
      <c r="AC55" s="124">
        <f t="shared" si="11"/>
        <v>0</v>
      </c>
      <c r="AD55" s="124">
        <f t="shared" si="12"/>
        <v>0</v>
      </c>
    </row>
    <row r="56" spans="1:30">
      <c r="A56" s="117" t="str">
        <f t="shared" si="0"/>
        <v>Sat</v>
      </c>
      <c r="B56" s="118"/>
      <c r="C56" s="119"/>
      <c r="D56" s="120"/>
      <c r="E56" s="120"/>
      <c r="F56" s="120"/>
      <c r="G56" s="121"/>
      <c r="H56" s="120"/>
      <c r="I56" s="120"/>
      <c r="J56" s="122"/>
      <c r="K56" s="121"/>
      <c r="L56" s="120"/>
      <c r="M56" s="120"/>
      <c r="N56" s="119"/>
      <c r="O56" s="123"/>
      <c r="P56" s="123"/>
      <c r="Q56" s="124"/>
      <c r="R56" s="124"/>
      <c r="S56" s="124"/>
      <c r="T56" s="124"/>
      <c r="U56" s="124"/>
      <c r="V56" s="124"/>
      <c r="W56" s="124"/>
      <c r="X56" s="124"/>
      <c r="Y56" s="124">
        <f t="shared" si="13"/>
        <v>0</v>
      </c>
      <c r="Z56" s="124">
        <f t="shared" si="14"/>
        <v>0</v>
      </c>
      <c r="AA56" s="124">
        <f t="shared" si="9"/>
        <v>0</v>
      </c>
      <c r="AB56" s="124">
        <f t="shared" si="10"/>
        <v>0</v>
      </c>
      <c r="AC56" s="124">
        <f t="shared" si="11"/>
        <v>0</v>
      </c>
      <c r="AD56" s="124">
        <f t="shared" si="12"/>
        <v>0</v>
      </c>
    </row>
    <row r="57" spans="1:30">
      <c r="A57" s="117" t="str">
        <f t="shared" si="0"/>
        <v>Sat</v>
      </c>
      <c r="B57" s="118"/>
      <c r="C57" s="119"/>
      <c r="D57" s="120"/>
      <c r="E57" s="120"/>
      <c r="F57" s="120"/>
      <c r="G57" s="121"/>
      <c r="H57" s="120"/>
      <c r="I57" s="120"/>
      <c r="J57" s="122"/>
      <c r="K57" s="121"/>
      <c r="L57" s="120"/>
      <c r="M57" s="120"/>
      <c r="N57" s="119"/>
      <c r="O57" s="123"/>
      <c r="P57" s="123"/>
      <c r="Q57" s="124"/>
      <c r="R57" s="124"/>
      <c r="S57" s="124"/>
      <c r="T57" s="124"/>
      <c r="U57" s="124"/>
      <c r="V57" s="124"/>
      <c r="W57" s="124"/>
      <c r="X57" s="124"/>
      <c r="Y57" s="124">
        <f t="shared" si="13"/>
        <v>0</v>
      </c>
      <c r="Z57" s="124">
        <f t="shared" si="14"/>
        <v>0</v>
      </c>
      <c r="AA57" s="124">
        <f t="shared" si="9"/>
        <v>0</v>
      </c>
      <c r="AB57" s="124">
        <f t="shared" si="10"/>
        <v>0</v>
      </c>
      <c r="AC57" s="124">
        <f t="shared" si="11"/>
        <v>0</v>
      </c>
      <c r="AD57" s="124">
        <f t="shared" si="12"/>
        <v>0</v>
      </c>
    </row>
    <row r="58" spans="1:30">
      <c r="A58" s="117" t="str">
        <f t="shared" si="0"/>
        <v>Sat</v>
      </c>
      <c r="B58" s="118"/>
      <c r="C58" s="119"/>
      <c r="D58" s="120"/>
      <c r="E58" s="120"/>
      <c r="F58" s="120"/>
      <c r="G58" s="121"/>
      <c r="H58" s="120"/>
      <c r="I58" s="120" t="s">
        <v>108</v>
      </c>
      <c r="J58" s="122"/>
      <c r="K58" s="121"/>
      <c r="L58" s="120"/>
      <c r="M58" s="120"/>
      <c r="N58" s="119"/>
      <c r="O58" s="123"/>
      <c r="P58" s="123"/>
      <c r="Q58" s="124"/>
      <c r="R58" s="124"/>
      <c r="S58" s="124"/>
      <c r="T58" s="124"/>
      <c r="U58" s="124"/>
      <c r="V58" s="124"/>
      <c r="W58" s="124"/>
      <c r="X58" s="124"/>
      <c r="Y58" s="124">
        <f t="shared" si="13"/>
        <v>0</v>
      </c>
      <c r="Z58" s="124">
        <f t="shared" si="14"/>
        <v>0</v>
      </c>
      <c r="AA58" s="124">
        <f t="shared" si="9"/>
        <v>0</v>
      </c>
      <c r="AB58" s="124">
        <f t="shared" si="10"/>
        <v>0</v>
      </c>
      <c r="AC58" s="124">
        <f t="shared" si="11"/>
        <v>0</v>
      </c>
      <c r="AD58" s="124">
        <f t="shared" si="12"/>
        <v>0</v>
      </c>
    </row>
    <row r="59" spans="1:30">
      <c r="A59" s="117" t="str">
        <f t="shared" si="0"/>
        <v>Sat</v>
      </c>
      <c r="B59" s="118"/>
      <c r="C59" s="119"/>
      <c r="D59" s="120"/>
      <c r="E59" s="120"/>
      <c r="F59" s="120"/>
      <c r="G59" s="121"/>
      <c r="H59" s="120"/>
      <c r="I59" s="120" t="s">
        <v>108</v>
      </c>
      <c r="J59" s="122"/>
      <c r="K59" s="121"/>
      <c r="L59" s="120"/>
      <c r="M59" s="120"/>
      <c r="N59" s="119"/>
      <c r="O59" s="123"/>
      <c r="P59" s="123"/>
      <c r="Q59" s="124"/>
      <c r="R59" s="124"/>
      <c r="S59" s="124"/>
      <c r="T59" s="124"/>
      <c r="U59" s="124"/>
      <c r="V59" s="124"/>
      <c r="W59" s="124"/>
      <c r="X59" s="124"/>
      <c r="Y59" s="124">
        <f t="shared" si="13"/>
        <v>0</v>
      </c>
      <c r="Z59" s="124">
        <f t="shared" si="14"/>
        <v>0</v>
      </c>
      <c r="AA59" s="124">
        <f t="shared" si="9"/>
        <v>0</v>
      </c>
      <c r="AB59" s="124">
        <f t="shared" si="10"/>
        <v>0</v>
      </c>
      <c r="AC59" s="124">
        <f t="shared" si="11"/>
        <v>0</v>
      </c>
      <c r="AD59" s="124">
        <f t="shared" si="12"/>
        <v>0</v>
      </c>
    </row>
    <row r="60" spans="1:30">
      <c r="A60" s="38"/>
      <c r="B60" s="34"/>
      <c r="C60" s="36"/>
      <c r="D60" s="35"/>
      <c r="E60" s="35"/>
      <c r="F60" s="35"/>
      <c r="G60" s="33"/>
      <c r="H60" s="35"/>
      <c r="I60" s="35"/>
      <c r="J60" s="96"/>
      <c r="K60" s="33"/>
      <c r="L60" s="35"/>
      <c r="M60" s="35"/>
      <c r="N60" s="36"/>
      <c r="O60" s="36"/>
      <c r="P60" s="36"/>
    </row>
    <row r="61" spans="1:30">
      <c r="A61" s="38"/>
      <c r="B61" s="34"/>
      <c r="C61" s="36"/>
      <c r="D61" s="35"/>
      <c r="E61" s="35"/>
      <c r="F61" s="35"/>
      <c r="G61" s="33"/>
      <c r="H61" s="35"/>
      <c r="I61" s="35"/>
      <c r="J61" s="96"/>
      <c r="K61" s="33"/>
      <c r="L61" s="35"/>
      <c r="M61" s="35"/>
      <c r="N61" s="36" t="s">
        <v>156</v>
      </c>
      <c r="O61" s="36">
        <f>MAX(O5:O59)</f>
        <v>44.3</v>
      </c>
      <c r="P61" s="36">
        <f>MAX(P5:P59)</f>
        <v>47.2</v>
      </c>
      <c r="Q61" s="37"/>
      <c r="R61" s="37"/>
      <c r="S61" s="37"/>
      <c r="T61" s="37"/>
      <c r="U61" s="37"/>
      <c r="V61" s="37"/>
      <c r="W61" s="37"/>
      <c r="X61" s="37"/>
    </row>
    <row r="62" spans="1:30">
      <c r="A62" s="38"/>
      <c r="B62" s="34"/>
      <c r="C62" s="36"/>
      <c r="D62" s="35"/>
      <c r="E62" s="35"/>
      <c r="F62" s="35"/>
      <c r="G62" s="33"/>
      <c r="H62" s="35"/>
      <c r="I62" s="35"/>
      <c r="J62" s="9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>
      <c r="A63" s="38"/>
      <c r="B63" s="34"/>
      <c r="C63" s="36"/>
      <c r="D63" s="35"/>
      <c r="E63" s="35"/>
      <c r="F63" s="35"/>
      <c r="G63" s="33"/>
      <c r="H63" s="35"/>
      <c r="I63" s="35"/>
      <c r="J63" s="96"/>
      <c r="K63" s="33"/>
      <c r="L63" s="35"/>
      <c r="M63" s="35"/>
      <c r="N63" s="36"/>
      <c r="O63" s="36">
        <f t="array" ref="O63">SUM(FLOOR(O5:O59,1))</f>
        <v>591</v>
      </c>
      <c r="P63" s="36">
        <f t="array" ref="P63">SUM(FLOOR(P5:P59,1))</f>
        <v>592</v>
      </c>
      <c r="Q63" s="37">
        <f>SUM(Q5:Q59)</f>
        <v>170</v>
      </c>
      <c r="R63" s="37">
        <f t="shared" ref="R63:Z63" si="15">SUM(R5:R59)</f>
        <v>44</v>
      </c>
      <c r="S63" s="37">
        <f t="shared" si="15"/>
        <v>88</v>
      </c>
      <c r="T63" s="37">
        <f t="shared" si="15"/>
        <v>40</v>
      </c>
      <c r="U63" s="37">
        <f t="shared" si="15"/>
        <v>209</v>
      </c>
      <c r="V63" s="37">
        <f t="shared" si="15"/>
        <v>53</v>
      </c>
      <c r="W63" s="37">
        <f t="shared" si="15"/>
        <v>83</v>
      </c>
      <c r="X63" s="37">
        <f t="shared" si="15"/>
        <v>30</v>
      </c>
      <c r="Y63" s="37">
        <f t="shared" si="15"/>
        <v>342</v>
      </c>
      <c r="Z63" s="37">
        <f t="shared" si="15"/>
        <v>375</v>
      </c>
      <c r="AA63" s="26">
        <f>SUM(AA5:AA59)</f>
        <v>2018</v>
      </c>
      <c r="AB63" s="26">
        <f>SUM(AB5:AB59)</f>
        <v>2630</v>
      </c>
      <c r="AC63" s="26">
        <f>SUM(AC5:AC59)</f>
        <v>142</v>
      </c>
      <c r="AD63" s="26">
        <f>SUM(AD5:AD59)</f>
        <v>122</v>
      </c>
    </row>
    <row r="64" spans="1:30">
      <c r="A64" s="38"/>
      <c r="B64" s="34"/>
      <c r="C64" s="36"/>
      <c r="D64" s="35"/>
      <c r="E64" s="35"/>
      <c r="F64" s="35"/>
      <c r="G64" s="33"/>
      <c r="H64" s="35"/>
      <c r="I64" s="35"/>
      <c r="J64" s="96"/>
      <c r="K64" s="33"/>
      <c r="L64" s="35"/>
      <c r="M64" s="35"/>
      <c r="N64" s="36"/>
      <c r="O64" s="36">
        <f t="array" ref="O64">SUM(O5:O59-FLOOR(O5:O59,1))*10</f>
        <v>36</v>
      </c>
      <c r="P64" s="36">
        <f t="array" ref="P64">SUM(P5:P59-FLOOR(P5:P59,1))*10</f>
        <v>27.000000000000028</v>
      </c>
      <c r="Q64" s="37"/>
      <c r="R64" s="37"/>
      <c r="S64" s="37"/>
      <c r="T64" s="37"/>
      <c r="U64" s="37"/>
      <c r="V64" s="37"/>
      <c r="W64" s="37"/>
      <c r="X64" s="37"/>
    </row>
    <row r="65" spans="1:28">
      <c r="A65" s="38"/>
      <c r="B65" s="34"/>
      <c r="C65" s="36"/>
      <c r="D65" s="35"/>
      <c r="E65" s="35"/>
      <c r="F65" s="35"/>
      <c r="G65" s="33"/>
      <c r="H65" s="35"/>
      <c r="I65" s="35"/>
      <c r="J65" s="96"/>
      <c r="K65" s="33"/>
      <c r="L65" s="35"/>
      <c r="M65" s="35"/>
      <c r="N65" s="36" t="s">
        <v>155</v>
      </c>
      <c r="O65" s="36">
        <f>O63*6+O64</f>
        <v>3582</v>
      </c>
      <c r="P65" s="36">
        <f>P63*6+P64</f>
        <v>3579</v>
      </c>
      <c r="Q65" s="37"/>
      <c r="R65" s="37"/>
      <c r="S65" s="37">
        <f>MAX(S7:S59)</f>
        <v>14</v>
      </c>
      <c r="T65" s="37"/>
      <c r="U65" s="37"/>
      <c r="V65" s="37"/>
      <c r="W65" s="37">
        <f>MAX(W7:W59)</f>
        <v>15</v>
      </c>
      <c r="X65" s="37"/>
      <c r="Z65" s="26" t="s">
        <v>38</v>
      </c>
      <c r="AA65" s="26">
        <f>AA63/AC63</f>
        <v>14.211267605633802</v>
      </c>
      <c r="AB65" s="26">
        <f>AB63/AD63</f>
        <v>21.557377049180328</v>
      </c>
    </row>
    <row r="66" spans="1:28">
      <c r="A66" s="38"/>
      <c r="B66" s="34"/>
      <c r="C66" s="36"/>
      <c r="D66" s="35"/>
      <c r="E66" s="35"/>
      <c r="F66" s="35"/>
      <c r="G66" s="33"/>
      <c r="H66" s="35"/>
      <c r="I66" s="35"/>
      <c r="J66" s="96"/>
      <c r="K66" s="33"/>
      <c r="L66" s="35"/>
      <c r="M66" s="35"/>
      <c r="N66" s="36" t="s">
        <v>206</v>
      </c>
      <c r="O66" s="36">
        <f>INT(O65/6)+(O65-INT(O65/6)*6)/10</f>
        <v>597</v>
      </c>
      <c r="P66" s="36">
        <f>INT(P65/6)+(P65-INT(P65/6)*6)/10</f>
        <v>596.29999999999995</v>
      </c>
      <c r="Q66" s="37"/>
      <c r="R66" s="37"/>
      <c r="S66" s="37"/>
      <c r="T66" s="37"/>
      <c r="U66" s="37"/>
      <c r="V66" s="37"/>
      <c r="W66" s="37"/>
      <c r="X66" s="37"/>
    </row>
    <row r="67" spans="1:28">
      <c r="A67" s="38"/>
      <c r="B67" s="34"/>
      <c r="C67" s="36"/>
      <c r="D67" s="35"/>
      <c r="E67" s="35"/>
      <c r="F67" s="35"/>
      <c r="G67" s="33"/>
      <c r="H67" s="35"/>
      <c r="I67" s="35"/>
      <c r="J67" s="96"/>
      <c r="K67" s="33"/>
      <c r="L67" s="35"/>
      <c r="M67" s="35"/>
      <c r="N67" s="36" t="s">
        <v>207</v>
      </c>
      <c r="O67" s="36">
        <f>AA63/O65*100</f>
        <v>56.337241764377445</v>
      </c>
      <c r="P67" s="36">
        <f>AB63/P65*100</f>
        <v>73.48421346744901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I1542"/>
  <sheetViews>
    <sheetView workbookViewId="0">
      <pane xSplit="3" ySplit="4" topLeftCell="T20" activePane="bottomRight" state="frozenSplit"/>
      <selection pane="topRight" activeCell="D1" sqref="D1"/>
      <selection pane="bottomLeft" activeCell="A4" sqref="A4"/>
      <selection pane="bottomRight" activeCell="C48" activeCellId="2" sqref="C4:V4 C41:V41 C48:V48"/>
    </sheetView>
  </sheetViews>
  <sheetFormatPr defaultRowHeight="10.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2851562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>
      <c r="A1" s="66"/>
      <c r="B1" s="66"/>
      <c r="C1" s="52" t="str">
        <f t="array" ref="C1:CD4">TRANSPOSE(Matches!B4:E82)</f>
        <v>Date</v>
      </c>
      <c r="D1" s="67">
        <v>39565</v>
      </c>
      <c r="E1" s="67">
        <v>39579</v>
      </c>
      <c r="F1" s="67">
        <v>39592</v>
      </c>
      <c r="G1" s="67">
        <v>39600</v>
      </c>
      <c r="H1" s="67">
        <v>39607</v>
      </c>
      <c r="I1" s="67">
        <v>39614</v>
      </c>
      <c r="J1" s="67">
        <v>39620</v>
      </c>
      <c r="K1" s="67">
        <v>39627</v>
      </c>
      <c r="L1" s="67">
        <v>39635</v>
      </c>
      <c r="M1" s="67">
        <v>39642</v>
      </c>
      <c r="N1" s="67">
        <v>39642</v>
      </c>
      <c r="O1" s="67">
        <v>39648</v>
      </c>
      <c r="P1" s="67">
        <v>39656</v>
      </c>
      <c r="Q1" s="67">
        <v>39663</v>
      </c>
      <c r="R1" s="67">
        <v>39670</v>
      </c>
      <c r="S1" s="67">
        <v>39676</v>
      </c>
      <c r="T1" s="67">
        <v>39684</v>
      </c>
      <c r="U1" s="67">
        <v>39691</v>
      </c>
      <c r="V1" s="67">
        <v>39712</v>
      </c>
      <c r="W1" s="67">
        <v>0</v>
      </c>
      <c r="X1" s="67">
        <v>0</v>
      </c>
      <c r="Y1" s="67">
        <v>0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>
      <c r="C2" s="55" t="str">
        <v>Opp</v>
      </c>
      <c r="D2" s="71" t="str">
        <v>John Fisher Lamgas</v>
      </c>
      <c r="E2" s="71" t="str">
        <v>Robinson Lakeside</v>
      </c>
      <c r="F2" s="71" t="str">
        <v>Churchleigh</v>
      </c>
      <c r="G2" s="71" t="str">
        <v>Beddington</v>
      </c>
      <c r="H2" s="71" t="str">
        <v>Vishwa</v>
      </c>
      <c r="I2" s="71" t="str">
        <v>Sanderstead</v>
      </c>
      <c r="J2" s="71" t="str">
        <v>Morden Corinthians</v>
      </c>
      <c r="K2" s="71" t="str">
        <v>Orpington</v>
      </c>
      <c r="L2" s="71" t="str">
        <v>Norwood Exiles</v>
      </c>
      <c r="M2" s="71" t="str">
        <v>Statics</v>
      </c>
      <c r="N2" s="71" t="str">
        <v>Old Josephians</v>
      </c>
      <c r="O2" s="71" t="str">
        <v>LESSA Wanderers</v>
      </c>
      <c r="P2" s="71" t="str">
        <v>Norwood</v>
      </c>
      <c r="Q2" s="71" t="str">
        <v>Morden Corinthians</v>
      </c>
      <c r="R2" s="71" t="str">
        <v>John Fisher Lamgas</v>
      </c>
      <c r="S2" s="71" t="str">
        <v>Kingstonian</v>
      </c>
      <c r="T2" s="71" t="str">
        <v>Norwood Exiles</v>
      </c>
      <c r="U2" s="71" t="str">
        <v>LESSA Wanderers</v>
      </c>
      <c r="V2" s="71" t="str">
        <v>Sanderstead</v>
      </c>
      <c r="W2" s="71">
        <v>0</v>
      </c>
      <c r="X2" s="71">
        <v>0</v>
      </c>
      <c r="Y2" s="71">
        <v>0</v>
      </c>
      <c r="Z2" s="71">
        <v>0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>
      <c r="C3" s="55" t="str">
        <v>Venue</v>
      </c>
      <c r="D3" s="55" t="str">
        <v>A</v>
      </c>
      <c r="E3" s="55" t="str">
        <v>H</v>
      </c>
      <c r="F3" s="55" t="str">
        <v>A</v>
      </c>
      <c r="G3" s="55" t="str">
        <v>A</v>
      </c>
      <c r="H3" s="55" t="str">
        <v>H</v>
      </c>
      <c r="I3" s="55" t="str">
        <v>A</v>
      </c>
      <c r="J3" s="55" t="str">
        <v>A</v>
      </c>
      <c r="K3" s="55" t="str">
        <v>H</v>
      </c>
      <c r="L3" s="55" t="str">
        <v>A</v>
      </c>
      <c r="M3" s="55" t="str">
        <v>H</v>
      </c>
      <c r="N3" s="55" t="str">
        <v>H</v>
      </c>
      <c r="O3" s="55" t="str">
        <v>A</v>
      </c>
      <c r="P3" s="55" t="str">
        <v>H</v>
      </c>
      <c r="Q3" s="55" t="str">
        <v>H</v>
      </c>
      <c r="R3" s="55" t="str">
        <v>H</v>
      </c>
      <c r="S3" s="55" t="str">
        <v>A</v>
      </c>
      <c r="T3" s="55" t="str">
        <v>H</v>
      </c>
      <c r="U3" s="55" t="str">
        <v>H</v>
      </c>
      <c r="V3" s="55" t="str">
        <v>A</v>
      </c>
      <c r="W3" s="55">
        <v>0</v>
      </c>
      <c r="X3" s="55">
        <v>0</v>
      </c>
      <c r="Y3" s="55">
        <v>0</v>
      </c>
      <c r="Z3" s="55">
        <v>0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>
      <c r="C4" s="55" t="str">
        <v>Result</v>
      </c>
      <c r="D4" s="70" t="str">
        <v>ND</v>
      </c>
      <c r="E4" s="55" t="str">
        <v>L</v>
      </c>
      <c r="F4" s="55" t="str">
        <v>L</v>
      </c>
      <c r="G4" s="55" t="str">
        <v>L</v>
      </c>
      <c r="H4" s="55" t="str">
        <v>D</v>
      </c>
      <c r="I4" s="55" t="str">
        <v>L</v>
      </c>
      <c r="J4" s="55" t="str">
        <v>L</v>
      </c>
      <c r="K4" s="55" t="str">
        <v>W</v>
      </c>
      <c r="L4" s="55" t="str">
        <v>L</v>
      </c>
      <c r="M4" s="55" t="str">
        <v>W</v>
      </c>
      <c r="N4" s="55" t="str">
        <v>W</v>
      </c>
      <c r="O4" s="55" t="str">
        <v>L</v>
      </c>
      <c r="P4" s="55" t="str">
        <v>D</v>
      </c>
      <c r="Q4" s="55" t="str">
        <v>D</v>
      </c>
      <c r="R4" s="55" t="str">
        <v>D</v>
      </c>
      <c r="S4" s="55" t="str">
        <v>W</v>
      </c>
      <c r="T4" s="55" t="str">
        <v>L</v>
      </c>
      <c r="U4" s="55" t="str">
        <v>W</v>
      </c>
      <c r="V4" s="55" t="str">
        <v>L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126</v>
      </c>
      <c r="CJ4" s="50" t="s">
        <v>142</v>
      </c>
      <c r="CK4" s="50" t="s">
        <v>9</v>
      </c>
      <c r="CL4" s="47" t="s">
        <v>38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215</v>
      </c>
      <c r="CX4" s="50"/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127</v>
      </c>
      <c r="DD4" s="70" t="s">
        <v>128</v>
      </c>
      <c r="DE4" s="70" t="s">
        <v>140</v>
      </c>
      <c r="DF4" s="70" t="s">
        <v>139</v>
      </c>
      <c r="DG4" s="70" t="s">
        <v>146</v>
      </c>
      <c r="DH4" s="70" t="s">
        <v>161</v>
      </c>
      <c r="DI4" s="70" t="s">
        <v>163</v>
      </c>
    </row>
    <row r="5" spans="1:113">
      <c r="A5" s="70" t="s">
        <v>61</v>
      </c>
      <c r="B5" s="70" t="s">
        <v>26</v>
      </c>
      <c r="C5" s="70" t="s">
        <v>147</v>
      </c>
      <c r="V5" t="s">
        <v>421</v>
      </c>
      <c r="CE5" s="70">
        <f>BatSplit(D5:CD5,MatchesPlayed)</f>
        <v>1</v>
      </c>
      <c r="CF5" s="70">
        <f>CE5-CG5</f>
        <v>0</v>
      </c>
      <c r="CG5" s="70">
        <f>BatSplit(D5:CD5,InnsBattedIn)</f>
        <v>1</v>
      </c>
      <c r="CH5" s="70">
        <f>BatSplit(D5:CD5,NotOuts)</f>
        <v>1</v>
      </c>
      <c r="CI5" s="70">
        <f>BatSplit(D5:CD5,HighestScore)</f>
        <v>-1</v>
      </c>
      <c r="CJ5" s="74" t="str">
        <f t="shared" ref="CJ5:CJ38" si="0">IF(CI5&lt;0,-CI5&amp;"*",CI5)</f>
        <v>1*</v>
      </c>
      <c r="CK5" s="70">
        <f>BatSplit(D5:CD5,RunsScored)</f>
        <v>1</v>
      </c>
      <c r="CL5" s="72">
        <f>IF(CG5=CH5,0,CK5/(CG5-CH5))</f>
        <v>0</v>
      </c>
      <c r="CM5" s="70">
        <f>BatSplit(D5:CD5,BatPts)</f>
        <v>1</v>
      </c>
      <c r="CN5" s="70">
        <f>BatSplit(D5:CD5,FldPts)</f>
        <v>0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>
        <f>BatSplit(D5:CD5,Ducks)</f>
        <v>0</v>
      </c>
      <c r="CR5" s="73">
        <f t="array" ref="CR5">SUM(IF(ISERR(FIND(CR$4,$D5:$CD5)),0,1))</f>
        <v>0</v>
      </c>
      <c r="CS5" s="73">
        <f t="array" ref="CS5">SUM(IF(ISERR(FIND(CS$4,$D5:$CD5)),0,1))</f>
        <v>0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/>
      <c r="CY5" s="73">
        <f>BatSplit(D5:CD5,Catches)</f>
        <v>0</v>
      </c>
      <c r="CZ5" s="73">
        <f>BatSplit(D5:CD5,Fours)</f>
        <v>0</v>
      </c>
      <c r="DA5" s="73">
        <f>BatSplit(D5:CD5,Sixes)</f>
        <v>0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101.01005000000001</v>
      </c>
      <c r="DF5" s="70">
        <f t="shared" ref="DF5:DF38" si="1">RANK(DE5,$DE$5:$DE$38)</f>
        <v>33</v>
      </c>
      <c r="DG5" s="70">
        <v>0</v>
      </c>
      <c r="DH5" s="92" t="str">
        <f>IF(CK5&gt;=50,(CZ5*4+DA5*6+DG5*5)/CK5,"")</f>
        <v/>
      </c>
      <c r="DI5" s="100" t="e">
        <f>CQ5/(CG5-CH5)</f>
        <v>#DIV/0!</v>
      </c>
    </row>
    <row r="6" spans="1:113">
      <c r="B6" s="70" t="s">
        <v>238</v>
      </c>
      <c r="C6" s="70" t="s">
        <v>239</v>
      </c>
      <c r="D6" t="s">
        <v>246</v>
      </c>
      <c r="E6" t="s">
        <v>330</v>
      </c>
      <c r="F6" t="s">
        <v>338</v>
      </c>
      <c r="G6" t="s">
        <v>353</v>
      </c>
      <c r="H6" t="s">
        <v>244</v>
      </c>
      <c r="I6" t="s">
        <v>391</v>
      </c>
      <c r="J6" t="s">
        <v>405</v>
      </c>
      <c r="CE6" s="70">
        <f>BatSplit(D6:CD6,MatchesPlayed)</f>
        <v>7</v>
      </c>
      <c r="CF6" s="70">
        <f>CE6-CG6</f>
        <v>2</v>
      </c>
      <c r="CG6" s="70">
        <f>BatSplit(D6:CD6,InnsBattedIn)</f>
        <v>5</v>
      </c>
      <c r="CH6" s="70">
        <f>BatSplit(D6:CD6,NotOuts)</f>
        <v>1</v>
      </c>
      <c r="CI6" s="70">
        <f>BatSplit(D6:CD6,HighestScore)</f>
        <v>13</v>
      </c>
      <c r="CJ6" s="74">
        <f t="shared" si="0"/>
        <v>13</v>
      </c>
      <c r="CK6" s="70">
        <f>BatSplit(D6:CD6,RunsScored)</f>
        <v>30</v>
      </c>
      <c r="CL6" s="72">
        <f>IF(CG6=CH6,0,CK6/(CG6-CH6))</f>
        <v>7.5</v>
      </c>
      <c r="CM6" s="70">
        <f>BatSplit(D6:CD6,BatPts)</f>
        <v>30</v>
      </c>
      <c r="CN6" s="70">
        <f>BatSplit(D6:CD6,FldPts)</f>
        <v>0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>BatSplit(D6:CD6,Ducks)</f>
        <v>0</v>
      </c>
      <c r="CR6" s="73">
        <f t="array" ref="CR6">SUM(IF(ISERR(FIND(CR$4,$D6:$CD6)),0,1))</f>
        <v>3</v>
      </c>
      <c r="CS6" s="73">
        <f t="array" ref="CS6">SUM(IF(ISERR(FIND(CS$4,$D6:$CD6)),0,1))</f>
        <v>1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>BatSplit(D6:CD6,Catches)</f>
        <v>0</v>
      </c>
      <c r="CZ6" s="73">
        <f>BatSplit(D6:CD6,Fours)</f>
        <v>2</v>
      </c>
      <c r="DA6" s="73">
        <f>BatSplit(D6:CD6,Sixes)</f>
        <v>0</v>
      </c>
      <c r="DB6" s="73">
        <f>BatSplit(D6:CD6,Stumpings)</f>
        <v>0</v>
      </c>
      <c r="DC6" s="73">
        <f>BatSplit(D6:CD6,CaughtWkt)</f>
        <v>0</v>
      </c>
      <c r="DD6" s="73">
        <f>BatSplit(D6:CD6,TwentyFives)</f>
        <v>0</v>
      </c>
      <c r="DE6" s="70">
        <f>ROUND(IF(ISERROR(CL6),0,CL6),2)*100000+CG6*100+CE6+CK6/100+ROW()/100000</f>
        <v>750507.30006000004</v>
      </c>
      <c r="DF6" s="70">
        <f t="shared" si="1"/>
        <v>21</v>
      </c>
      <c r="DG6" s="70">
        <v>0</v>
      </c>
      <c r="DH6" s="92" t="str">
        <f>IF(CK6&gt;=50,(CZ6*4+DA6*6+DG6*5)/CK6,"")</f>
        <v/>
      </c>
      <c r="DI6" s="100">
        <f>CQ6/(CG6-CH6)</f>
        <v>0</v>
      </c>
    </row>
    <row r="7" spans="1:113">
      <c r="C7" s="133" t="s">
        <v>382</v>
      </c>
      <c r="D7"/>
      <c r="E7"/>
      <c r="F7"/>
      <c r="G7"/>
      <c r="H7"/>
      <c r="I7" t="s">
        <v>387</v>
      </c>
      <c r="O7" t="s">
        <v>472</v>
      </c>
      <c r="CE7" s="70">
        <f>BatSplit(D7:CD7,MatchesPlayed)</f>
        <v>2</v>
      </c>
      <c r="CF7" s="70">
        <f>CE7-CG7</f>
        <v>0</v>
      </c>
      <c r="CG7" s="70">
        <f>BatSplit(D7:CD7,InnsBattedIn)</f>
        <v>2</v>
      </c>
      <c r="CH7" s="70">
        <f>BatSplit(D7:CD7,NotOuts)</f>
        <v>0</v>
      </c>
      <c r="CI7" s="70">
        <f>BatSplit(D7:CD7,HighestScore)</f>
        <v>15</v>
      </c>
      <c r="CJ7" s="74">
        <f t="shared" ref="CJ7" si="2">IF(CI7&lt;0,-CI7&amp;"*",CI7)</f>
        <v>15</v>
      </c>
      <c r="CK7" s="70">
        <f>BatSplit(D7:CD7,RunsScored)</f>
        <v>18</v>
      </c>
      <c r="CL7" s="72">
        <f>IF(CG7=CH7,0,CK7/(CG7-CH7))</f>
        <v>9</v>
      </c>
      <c r="CM7" s="70">
        <f>BatSplit(D7:CD7,BatPts)</f>
        <v>18</v>
      </c>
      <c r="CN7" s="70">
        <f>BatSplit(D7:CD7,FldPts)</f>
        <v>0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>BatSplit(D7:CD7,Ducks)</f>
        <v>0</v>
      </c>
      <c r="CR7" s="73">
        <f t="array" ref="CR7">SUM(IF(ISERR(FIND(CR$4,$D7:$CD7)),0,1))</f>
        <v>0</v>
      </c>
      <c r="CS7" s="73">
        <f t="array" ref="CS7">SUM(IF(ISERR(FIND(CS$4,$D7:$CD7)),0,1))</f>
        <v>2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>BatSplit(D7:CD7,Catches)</f>
        <v>0</v>
      </c>
      <c r="CZ7" s="73">
        <f>BatSplit(D7:CD7,Fours)</f>
        <v>2</v>
      </c>
      <c r="DA7" s="73">
        <f>BatSplit(D7:CD7,Sixes)</f>
        <v>0</v>
      </c>
      <c r="DB7" s="73">
        <f>BatSplit(D7:CD7,Stumpings)</f>
        <v>0</v>
      </c>
      <c r="DC7" s="73">
        <f>BatSplit(D7:CD7,CaughtWkt)</f>
        <v>0</v>
      </c>
      <c r="DD7" s="73">
        <f>BatSplit(D7:CD7,TwentyFives)</f>
        <v>0</v>
      </c>
      <c r="DE7" s="70">
        <f>ROUND(IF(ISERROR(CL7),0,CL7),2)*100000+CG7*100+CE7+CK7/100+ROW()/100000</f>
        <v>900202.18007</v>
      </c>
      <c r="DF7" s="70">
        <f t="shared" si="1"/>
        <v>17</v>
      </c>
      <c r="DG7" s="70">
        <v>0</v>
      </c>
      <c r="DH7" s="92" t="str">
        <f>IF(CK7&gt;=50,(CZ7*4+DA7*6+DG7*5)/CK7,"")</f>
        <v/>
      </c>
      <c r="DI7" s="100">
        <f>CQ7/(CG7-CH7)</f>
        <v>0</v>
      </c>
    </row>
    <row r="8" spans="1:113">
      <c r="A8" s="70" t="s">
        <v>99</v>
      </c>
      <c r="B8" s="70" t="s">
        <v>33</v>
      </c>
      <c r="C8" s="70" t="s">
        <v>148</v>
      </c>
      <c r="D8" t="s">
        <v>240</v>
      </c>
      <c r="E8" t="s">
        <v>328</v>
      </c>
      <c r="F8" t="s">
        <v>341</v>
      </c>
      <c r="G8" t="s">
        <v>347</v>
      </c>
      <c r="H8" t="s">
        <v>372</v>
      </c>
      <c r="I8" t="s">
        <v>392</v>
      </c>
      <c r="L8" s="133" t="s">
        <v>434</v>
      </c>
      <c r="M8" s="133" t="s">
        <v>265</v>
      </c>
      <c r="N8" s="133" t="s">
        <v>237</v>
      </c>
      <c r="O8" s="133" t="s">
        <v>479</v>
      </c>
      <c r="P8" s="133" t="s">
        <v>237</v>
      </c>
      <c r="Q8" s="133" t="s">
        <v>237</v>
      </c>
      <c r="R8" t="s">
        <v>372</v>
      </c>
      <c r="S8" t="s">
        <v>534</v>
      </c>
      <c r="U8" s="133" t="s">
        <v>237</v>
      </c>
      <c r="V8" s="133" t="s">
        <v>568</v>
      </c>
      <c r="CE8" s="70">
        <f>BatSplit(D8:CD8,MatchesPlayed)</f>
        <v>16</v>
      </c>
      <c r="CF8" s="70">
        <f>CE8-CG8</f>
        <v>9</v>
      </c>
      <c r="CG8" s="70">
        <f>BatSplit(D8:CD8,InnsBattedIn)</f>
        <v>7</v>
      </c>
      <c r="CH8" s="70">
        <f>BatSplit(D8:CD8,NotOuts)</f>
        <v>0</v>
      </c>
      <c r="CI8" s="70">
        <f>BatSplit(D8:CD8,HighestScore)</f>
        <v>20</v>
      </c>
      <c r="CJ8" s="74">
        <f t="shared" si="0"/>
        <v>20</v>
      </c>
      <c r="CK8" s="70">
        <f>BatSplit(D8:CD8,RunsScored)</f>
        <v>39</v>
      </c>
      <c r="CL8" s="72">
        <f>IF(CG8=CH8,0,CK8/(CG8-CH8))</f>
        <v>5.5714285714285712</v>
      </c>
      <c r="CM8" s="70">
        <f>BatSplit(D8:CD8,BatPts)</f>
        <v>39</v>
      </c>
      <c r="CN8" s="70">
        <f>BatSplit(D8:CD8,FldPts)</f>
        <v>25</v>
      </c>
      <c r="CO8" s="73">
        <f t="array" ref="CO8">SUM(IF(ISERR(FIND("*",D8:CD8)),0,1))</f>
        <v>15</v>
      </c>
      <c r="CP8" s="73">
        <f t="array" ref="CP8">SUM(IF(ISERR(FIND("+",D8:CD8)),0,1))</f>
        <v>0</v>
      </c>
      <c r="CQ8" s="70">
        <f>BatSplit(D8:CD8,Ducks)</f>
        <v>0</v>
      </c>
      <c r="CR8" s="73">
        <f t="array" ref="CR8">SUM(IF(ISERR(FIND(CR$4,$D8:$CD8)),0,1))</f>
        <v>3</v>
      </c>
      <c r="CS8" s="73">
        <f t="array" ref="CS8">SUM(IF(ISERR(FIND(CS$4,$D8:$CD8)),0,1))</f>
        <v>4</v>
      </c>
      <c r="CT8" s="73">
        <f t="array" ref="CT8">SUM(IF(ISERR(FIND(CT$4,$D8:$CD8)),0,1))</f>
        <v>0</v>
      </c>
      <c r="CU8" s="73">
        <f t="array" ref="CU8">SUM(IF(ISERR(FIND(CU$4,$D8:$CD8)),0,1))</f>
        <v>0</v>
      </c>
      <c r="CV8" s="73">
        <f t="array" ref="CV8">SUM(IF(ISERR(FIND(CV$4,$D8:$CD8)),0,1))</f>
        <v>0</v>
      </c>
      <c r="CW8" s="73">
        <f t="array" ref="CW8">SUM(IF(ISERR(FIND(CW$4,$D8:$CD8)),0,1))</f>
        <v>0</v>
      </c>
      <c r="CX8" s="73"/>
      <c r="CY8" s="73">
        <f>BatSplit(D8:CD8,Catches)</f>
        <v>5</v>
      </c>
      <c r="CZ8" s="73">
        <f>BatSplit(D8:CD8,Fours)</f>
        <v>6</v>
      </c>
      <c r="DA8" s="73">
        <f>BatSplit(D8:CD8,Sixes)</f>
        <v>0</v>
      </c>
      <c r="DB8" s="73">
        <f>BatSplit(D8:CD8,Stumpings)</f>
        <v>0</v>
      </c>
      <c r="DC8" s="73">
        <f>BatSplit(D8:CD8,CaughtWkt)</f>
        <v>0</v>
      </c>
      <c r="DD8" s="73">
        <f>BatSplit(D8:CD8,TwentyFives)</f>
        <v>0</v>
      </c>
      <c r="DE8" s="70">
        <f>ROUND(IF(ISERROR(CL8),0,CL8),2)*100000+CG8*100+CE8+CK8/100+ROW()/100000</f>
        <v>557716.39008000004</v>
      </c>
      <c r="DF8" s="70">
        <f t="shared" si="1"/>
        <v>27</v>
      </c>
      <c r="DG8" s="70">
        <v>0</v>
      </c>
      <c r="DH8" s="92" t="str">
        <f>IF(CK8&gt;=50,(CZ8*4+DA8*6+DG8*5)/CK8,"")</f>
        <v/>
      </c>
      <c r="DI8" s="100">
        <f>CQ8/(CG8-CH8)</f>
        <v>0</v>
      </c>
    </row>
    <row r="9" spans="1:113">
      <c r="B9" s="133" t="s">
        <v>417</v>
      </c>
      <c r="C9" s="133" t="s">
        <v>418</v>
      </c>
      <c r="D9"/>
      <c r="E9"/>
      <c r="F9"/>
      <c r="G9"/>
      <c r="H9"/>
      <c r="I9"/>
      <c r="K9" t="s">
        <v>419</v>
      </c>
      <c r="L9" t="s">
        <v>432</v>
      </c>
      <c r="N9" s="133"/>
      <c r="O9" t="s">
        <v>475</v>
      </c>
      <c r="P9" t="s">
        <v>492</v>
      </c>
      <c r="Q9" t="s">
        <v>504</v>
      </c>
      <c r="R9" t="s">
        <v>521</v>
      </c>
      <c r="U9" s="133" t="s">
        <v>243</v>
      </c>
      <c r="V9"/>
      <c r="CE9" s="70">
        <f>BatSplit(D9:CD9,MatchesPlayed)</f>
        <v>7</v>
      </c>
      <c r="CF9" s="70">
        <f>CE9-CG9</f>
        <v>1</v>
      </c>
      <c r="CG9" s="70">
        <f>BatSplit(D9:CD9,InnsBattedIn)</f>
        <v>6</v>
      </c>
      <c r="CH9" s="70">
        <f>BatSplit(D9:CD9,NotOuts)</f>
        <v>0</v>
      </c>
      <c r="CI9" s="70">
        <f>BatSplit(D9:CD9,HighestScore)</f>
        <v>35</v>
      </c>
      <c r="CJ9" s="74">
        <f t="shared" ref="CJ9" si="3">IF(CI9&lt;0,-CI9&amp;"*",CI9)</f>
        <v>35</v>
      </c>
      <c r="CK9" s="70">
        <f>BatSplit(D9:CD9,RunsScored)</f>
        <v>73</v>
      </c>
      <c r="CL9" s="72">
        <f>IF(CG9=CH9,0,CK9/(CG9-CH9))</f>
        <v>12.166666666666666</v>
      </c>
      <c r="CM9" s="70">
        <f>BatSplit(D9:CD9,BatPts)</f>
        <v>68</v>
      </c>
      <c r="CN9" s="70">
        <f>BatSplit(D9:CD9,FldPts)</f>
        <v>10</v>
      </c>
      <c r="CO9" s="73">
        <f t="array" ref="CO9">SUM(IF(ISERR(FIND("*",D9:CD9)),0,1))</f>
        <v>0</v>
      </c>
      <c r="CP9" s="73">
        <f t="array" ref="CP9">SUM(IF(ISERR(FIND("+",D9:CD9)),0,1))</f>
        <v>0</v>
      </c>
      <c r="CQ9" s="70">
        <f>BatSplit(D9:CD9,Ducks)</f>
        <v>1</v>
      </c>
      <c r="CR9" s="73">
        <f t="array" ref="CR9">SUM(IF(ISERR(FIND(CR$4,$D9:$CD9)),0,1))</f>
        <v>3</v>
      </c>
      <c r="CS9" s="73">
        <f t="array" ref="CS9">SUM(IF(ISERR(FIND(CS$4,$D9:$CD9)),0,1))</f>
        <v>3</v>
      </c>
      <c r="CT9" s="73">
        <f t="array" ref="CT9">SUM(IF(ISERR(FIND(CT$4,$D9:$CD9)),0,1))</f>
        <v>0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>BatSplit(D9:CD9,Catches)</f>
        <v>2</v>
      </c>
      <c r="CZ9" s="73">
        <f>BatSplit(D9:CD9,Fours)</f>
        <v>8</v>
      </c>
      <c r="DA9" s="73">
        <f>BatSplit(D9:CD9,Sixes)</f>
        <v>1</v>
      </c>
      <c r="DB9" s="73">
        <f>BatSplit(D9:CD9,Stumpings)</f>
        <v>0</v>
      </c>
      <c r="DC9" s="73">
        <f>BatSplit(D9:CD9,CaughtWkt)</f>
        <v>0</v>
      </c>
      <c r="DD9" s="73">
        <f>BatSplit(D9:CD9,TwentyFives)</f>
        <v>1</v>
      </c>
      <c r="DE9" s="70">
        <f>ROUND(IF(ISERROR(CL9),0,CL9),2)*100000+CG9*100+CE9+CK9/100+ROW()/100000</f>
        <v>1217607.73009</v>
      </c>
      <c r="DF9" s="70">
        <f t="shared" si="1"/>
        <v>9</v>
      </c>
      <c r="DG9" s="70">
        <v>0</v>
      </c>
      <c r="DH9" s="92">
        <f>IF(CK9&gt;=50,(CZ9*4+DA9*6+DG9*5)/CK9,"")</f>
        <v>0.52054794520547942</v>
      </c>
      <c r="DI9" s="100">
        <f>CQ9/(CG9-CH9)</f>
        <v>0.16666666666666666</v>
      </c>
    </row>
    <row r="10" spans="1:113">
      <c r="A10" s="70" t="s">
        <v>131</v>
      </c>
      <c r="B10" s="70" t="s">
        <v>179</v>
      </c>
      <c r="C10" s="70" t="s">
        <v>149</v>
      </c>
      <c r="D10" s="133" t="s">
        <v>313</v>
      </c>
      <c r="E10" s="133" t="s">
        <v>321</v>
      </c>
      <c r="G10" s="133" t="s">
        <v>331</v>
      </c>
      <c r="H10" s="133" t="s">
        <v>365</v>
      </c>
      <c r="K10" t="s">
        <v>410</v>
      </c>
      <c r="M10"/>
      <c r="P10" s="133"/>
      <c r="Q10" t="s">
        <v>502</v>
      </c>
      <c r="R10" t="s">
        <v>518</v>
      </c>
      <c r="S10"/>
      <c r="T10"/>
      <c r="V10" s="133"/>
      <c r="CE10" s="70">
        <f t="shared" ref="CE10:CE34" si="4">BatSplit(D10:CD10,MatchesPlayed)</f>
        <v>7</v>
      </c>
      <c r="CF10" s="70">
        <f t="shared" ref="CF10:CF34" si="5">CE10-CG10</f>
        <v>0</v>
      </c>
      <c r="CG10" s="70">
        <f t="shared" ref="CG10:CG34" si="6">BatSplit(D10:CD10,InnsBattedIn)</f>
        <v>7</v>
      </c>
      <c r="CH10" s="70">
        <f t="shared" ref="CH10:CH34" si="7">BatSplit(D10:CD10,NotOuts)</f>
        <v>1</v>
      </c>
      <c r="CI10" s="70">
        <f t="shared" ref="CI10:CI34" si="8">BatSplit(D10:CD10,HighestScore)</f>
        <v>25</v>
      </c>
      <c r="CJ10" s="74">
        <f t="shared" si="0"/>
        <v>25</v>
      </c>
      <c r="CK10" s="70">
        <f t="shared" ref="CK10:CK34" si="9">BatSplit(D10:CD10,RunsScored)</f>
        <v>34</v>
      </c>
      <c r="CL10" s="72">
        <f t="shared" ref="CL10:CL34" si="10">IF(CG10=CH10,0,CK10/(CG10-CH10))</f>
        <v>5.666666666666667</v>
      </c>
      <c r="CM10" s="70">
        <f t="shared" ref="CM10:CM34" si="11">BatSplit(D10:CD10,BatPts)</f>
        <v>29</v>
      </c>
      <c r="CN10" s="70">
        <f t="shared" ref="CN10:CN34" si="12">BatSplit(D10:CD10,FldPts)</f>
        <v>10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ref="CQ10:CQ34" si="13">BatSplit(D10:CD10,Ducks)</f>
        <v>1</v>
      </c>
      <c r="CR10" s="73">
        <f t="array" ref="CR10">SUM(IF(ISERR(FIND(CR$4,$D10:$CD10)),0,1))</f>
        <v>1</v>
      </c>
      <c r="CS10" s="73">
        <f t="array" ref="CS10">SUM(IF(ISERR(FIND(CS$4,$D10:$CD10)),0,1))</f>
        <v>3</v>
      </c>
      <c r="CT10" s="73">
        <f t="array" ref="CT10">SUM(IF(ISERR(FIND(CT$4,$D10:$CD10)),0,1))</f>
        <v>2</v>
      </c>
      <c r="CU10" s="73">
        <f t="array" ref="CU10">SUM(IF(ISERR(FIND(CU$4,$D10:$CD10)),0,1))</f>
        <v>0</v>
      </c>
      <c r="CV10" s="73">
        <f t="array" ref="CV10">SUM(IF(ISERR(FIND(CV$4,$D10:$CD10)),0,1))</f>
        <v>0</v>
      </c>
      <c r="CW10" s="73">
        <f t="array" ref="CW10">SUM(IF(ISERR(FIND(CW$4,$D10:$CD10)),0,1))</f>
        <v>0</v>
      </c>
      <c r="CX10" s="73"/>
      <c r="CY10" s="73">
        <f t="shared" ref="CY10:CY34" si="14">BatSplit(D10:CD10,Catches)</f>
        <v>2</v>
      </c>
      <c r="CZ10" s="73">
        <f t="shared" ref="CZ10:CZ34" si="15">BatSplit(D10:CD10,Fours)</f>
        <v>3</v>
      </c>
      <c r="DA10" s="73">
        <f t="shared" ref="DA10:DA34" si="16">BatSplit(D10:CD10,Sixes)</f>
        <v>0</v>
      </c>
      <c r="DB10" s="73">
        <f t="shared" ref="DB10:DB34" si="17">BatSplit(D10:CD10,Stumpings)</f>
        <v>0</v>
      </c>
      <c r="DC10" s="73">
        <f t="shared" ref="DC10:DC34" si="18">BatSplit(D10:CD10,CaughtWkt)</f>
        <v>0</v>
      </c>
      <c r="DD10" s="73">
        <f t="shared" ref="DD10:DD34" si="19">BatSplit(D10:CD10,TwentyFives)</f>
        <v>1</v>
      </c>
      <c r="DE10" s="70">
        <f t="shared" ref="DE10:DE34" si="20">ROUND(IF(ISERROR(CL10),0,CL10),2)*100000+CG10*100+CE10+CK10/100+ROW()/100000</f>
        <v>567707.34009999991</v>
      </c>
      <c r="DF10" s="70">
        <f t="shared" si="1"/>
        <v>26</v>
      </c>
      <c r="DG10" s="70">
        <v>0</v>
      </c>
      <c r="DH10" s="92" t="str">
        <f t="shared" ref="DH10:DH34" si="21">IF(CK10&gt;=50,(CZ10*4+DA10*6+DG10*5)/CK10,"")</f>
        <v/>
      </c>
      <c r="DI10" s="100">
        <f t="shared" ref="DI10:DI34" si="22">CQ10/(CG10-CH10)</f>
        <v>0.16666666666666666</v>
      </c>
    </row>
    <row r="11" spans="1:113">
      <c r="A11" s="70" t="s">
        <v>43</v>
      </c>
      <c r="B11" s="70" t="s">
        <v>28</v>
      </c>
      <c r="C11" s="70" t="s">
        <v>44</v>
      </c>
      <c r="D11" s="133" t="s">
        <v>244</v>
      </c>
      <c r="E11" s="133" t="s">
        <v>329</v>
      </c>
      <c r="F11" s="133" t="s">
        <v>340</v>
      </c>
      <c r="G11" s="133" t="s">
        <v>352</v>
      </c>
      <c r="H11" s="133" t="s">
        <v>343</v>
      </c>
      <c r="I11" s="133" t="s">
        <v>268</v>
      </c>
      <c r="J11" s="62" t="s">
        <v>407</v>
      </c>
      <c r="K11" s="133" t="s">
        <v>415</v>
      </c>
      <c r="L11" s="133" t="s">
        <v>369</v>
      </c>
      <c r="M11" s="133" t="s">
        <v>244</v>
      </c>
      <c r="N11" s="133" t="s">
        <v>244</v>
      </c>
      <c r="O11" s="133" t="s">
        <v>478</v>
      </c>
      <c r="P11" s="133" t="s">
        <v>245</v>
      </c>
      <c r="Q11" s="133" t="s">
        <v>509</v>
      </c>
      <c r="R11" s="133" t="s">
        <v>245</v>
      </c>
      <c r="S11" s="133" t="s">
        <v>243</v>
      </c>
      <c r="T11" s="133" t="s">
        <v>541</v>
      </c>
      <c r="U11" s="133"/>
      <c r="V11" s="133"/>
      <c r="CE11" s="70">
        <f t="shared" si="4"/>
        <v>17</v>
      </c>
      <c r="CF11" s="70">
        <f t="shared" si="5"/>
        <v>6</v>
      </c>
      <c r="CG11" s="70">
        <f t="shared" si="6"/>
        <v>11</v>
      </c>
      <c r="CH11" s="70">
        <f t="shared" si="7"/>
        <v>6</v>
      </c>
      <c r="CI11" s="70">
        <f t="shared" si="8"/>
        <v>17</v>
      </c>
      <c r="CJ11" s="74">
        <f t="shared" si="0"/>
        <v>17</v>
      </c>
      <c r="CK11" s="70">
        <f t="shared" si="9"/>
        <v>87</v>
      </c>
      <c r="CL11" s="72">
        <f t="shared" si="10"/>
        <v>17.399999999999999</v>
      </c>
      <c r="CM11" s="70">
        <f t="shared" si="11"/>
        <v>82</v>
      </c>
      <c r="CN11" s="70">
        <f t="shared" si="12"/>
        <v>15</v>
      </c>
      <c r="CO11" s="73">
        <f t="array" ref="CO11">SUM(IF(ISERR(FIND("*",D11:CD11)),0,1))</f>
        <v>2</v>
      </c>
      <c r="CP11" s="73">
        <f t="array" ref="CP11">SUM(IF(ISERR(FIND("+",D11:CD11)),0,1))</f>
        <v>0</v>
      </c>
      <c r="CQ11" s="70">
        <f t="shared" si="13"/>
        <v>1</v>
      </c>
      <c r="CR11" s="73">
        <f t="array" ref="CR11">SUM(IF(ISERR(FIND(CR$4,$D11:$CD11)),0,1))</f>
        <v>3</v>
      </c>
      <c r="CS11" s="73">
        <f t="array" ref="CS11">SUM(IF(ISERR(FIND(CS$4,$D11:$CD11)),0,1))</f>
        <v>2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0</v>
      </c>
      <c r="CW11" s="73">
        <f t="array" ref="CW11">SUM(IF(ISERR(FIND(CW$4,$D11:$CD11)),0,1))</f>
        <v>0</v>
      </c>
      <c r="CX11" s="73"/>
      <c r="CY11" s="73">
        <f t="shared" si="14"/>
        <v>3</v>
      </c>
      <c r="CZ11" s="73">
        <f t="shared" si="15"/>
        <v>5</v>
      </c>
      <c r="DA11" s="73">
        <f t="shared" si="16"/>
        <v>0</v>
      </c>
      <c r="DB11" s="73">
        <f t="shared" si="17"/>
        <v>0</v>
      </c>
      <c r="DC11" s="73">
        <f t="shared" si="18"/>
        <v>0</v>
      </c>
      <c r="DD11" s="73">
        <f t="shared" si="19"/>
        <v>0</v>
      </c>
      <c r="DE11" s="70">
        <f t="shared" si="20"/>
        <v>1741117.8701099998</v>
      </c>
      <c r="DF11" s="70">
        <f t="shared" si="1"/>
        <v>7</v>
      </c>
      <c r="DG11" s="70">
        <v>0</v>
      </c>
      <c r="DH11" s="92">
        <f t="shared" si="21"/>
        <v>0.22988505747126436</v>
      </c>
      <c r="DI11" s="100">
        <f t="shared" si="22"/>
        <v>0.2</v>
      </c>
    </row>
    <row r="12" spans="1:113">
      <c r="B12" s="70" t="s">
        <v>274</v>
      </c>
      <c r="C12" s="70" t="s">
        <v>273</v>
      </c>
      <c r="F12" t="s">
        <v>339</v>
      </c>
      <c r="CE12" s="70">
        <f>BatSplit(D12:CD12,MatchesPlayed)</f>
        <v>1</v>
      </c>
      <c r="CF12" s="70">
        <f>CE12-CG12</f>
        <v>0</v>
      </c>
      <c r="CG12" s="70">
        <f>BatSplit(D12:CD12,InnsBattedIn)</f>
        <v>1</v>
      </c>
      <c r="CH12" s="70">
        <f>BatSplit(D12:CD12,NotOuts)</f>
        <v>0</v>
      </c>
      <c r="CI12" s="70">
        <f>BatSplit(D12:CD12,HighestScore)</f>
        <v>8</v>
      </c>
      <c r="CJ12" s="74">
        <f t="shared" si="0"/>
        <v>8</v>
      </c>
      <c r="CK12" s="70">
        <f>BatSplit(D12:CD12,RunsScored)</f>
        <v>8</v>
      </c>
      <c r="CL12" s="72">
        <f>IF(CG12=CH12,0,CK12/(CG12-CH12))</f>
        <v>8</v>
      </c>
      <c r="CM12" s="70">
        <f>BatSplit(D12:CD12,BatPts)</f>
        <v>8</v>
      </c>
      <c r="CN12" s="70">
        <f>BatSplit(D12:CD12,FldPts)</f>
        <v>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>BatSplit(D12:CD12,Ducks)</f>
        <v>0</v>
      </c>
      <c r="CR12" s="73">
        <f t="array" ref="CR12">SUM(IF(ISERR(FIND(CR$4,$D12:$CD12)),0,1))</f>
        <v>1</v>
      </c>
      <c r="CS12" s="73">
        <f t="array" ref="CS12">SUM(IF(ISERR(FIND(CS$4,$D12:$CD12)),0,1))</f>
        <v>0</v>
      </c>
      <c r="CT12" s="73">
        <f t="array" ref="CT12">SUM(IF(ISERR(FIND(CT$4,$D12:$CD12)),0,1))</f>
        <v>0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/>
      <c r="CY12" s="73">
        <f>BatSplit(D12:CD12,Catches)</f>
        <v>0</v>
      </c>
      <c r="CZ12" s="73">
        <f>BatSplit(D12:CD12,Fours)</f>
        <v>1</v>
      </c>
      <c r="DA12" s="73">
        <f>BatSplit(D12:CD12,Sixes)</f>
        <v>0</v>
      </c>
      <c r="DB12" s="73">
        <f>BatSplit(D12:CD12,Stumpings)</f>
        <v>0</v>
      </c>
      <c r="DC12" s="73">
        <f>BatSplit(D12:CD12,CaughtWkt)</f>
        <v>0</v>
      </c>
      <c r="DD12" s="73">
        <f>BatSplit(D12:CD12,TwentyFives)</f>
        <v>0</v>
      </c>
      <c r="DE12" s="70">
        <f>ROUND(IF(ISERROR(CL12),0,CL12),2)*100000+CG12*100+CE12+CK12/100+ROW()/100000</f>
        <v>800101.08011999994</v>
      </c>
      <c r="DF12" s="70">
        <f t="shared" si="1"/>
        <v>19</v>
      </c>
      <c r="DG12" s="70">
        <v>0</v>
      </c>
      <c r="DH12" s="92" t="str">
        <f>IF(CK12&gt;=50,(CZ12*4+DA12*6+DG12*5)/CK12,"")</f>
        <v/>
      </c>
      <c r="DI12" s="100">
        <f>CQ12/(CG12-CH12)</f>
        <v>0</v>
      </c>
    </row>
    <row r="13" spans="1:113">
      <c r="B13" s="70" t="s">
        <v>233</v>
      </c>
      <c r="C13" s="70" t="s">
        <v>232</v>
      </c>
      <c r="K13" s="133" t="s">
        <v>421</v>
      </c>
      <c r="L13" t="s">
        <v>246</v>
      </c>
      <c r="M13"/>
      <c r="O13" t="s">
        <v>473</v>
      </c>
      <c r="P13"/>
      <c r="Q13"/>
      <c r="R13" t="s">
        <v>520</v>
      </c>
      <c r="T13" t="s">
        <v>264</v>
      </c>
      <c r="U13" t="s">
        <v>275</v>
      </c>
      <c r="V13" t="s">
        <v>569</v>
      </c>
      <c r="CE13" s="70">
        <f t="shared" si="4"/>
        <v>7</v>
      </c>
      <c r="CF13" s="70">
        <f t="shared" si="5"/>
        <v>2</v>
      </c>
      <c r="CG13" s="70">
        <f t="shared" si="6"/>
        <v>5</v>
      </c>
      <c r="CH13" s="70">
        <f t="shared" si="7"/>
        <v>2</v>
      </c>
      <c r="CI13" s="70">
        <f t="shared" si="8"/>
        <v>20</v>
      </c>
      <c r="CJ13" s="74">
        <f t="shared" si="0"/>
        <v>20</v>
      </c>
      <c r="CK13" s="70">
        <f t="shared" si="9"/>
        <v>31</v>
      </c>
      <c r="CL13" s="72">
        <f t="shared" si="10"/>
        <v>10.333333333333334</v>
      </c>
      <c r="CM13" s="70">
        <f t="shared" si="11"/>
        <v>26</v>
      </c>
      <c r="CN13" s="70">
        <f t="shared" si="12"/>
        <v>5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3"/>
        <v>1</v>
      </c>
      <c r="CR13" s="73">
        <f t="array" ref="CR13">SUM(IF(ISERR(FIND(CR$4,$D13:$CD13)),0,1))</f>
        <v>2</v>
      </c>
      <c r="CS13" s="73">
        <f t="array" ref="CS13">SUM(IF(ISERR(FIND(CS$4,$D13:$CD13)),0,1))</f>
        <v>1</v>
      </c>
      <c r="CT13" s="73">
        <f t="array" ref="CT13">SUM(IF(ISERR(FIND(CT$4,$D13:$CD13)),0,1))</f>
        <v>0</v>
      </c>
      <c r="CU13" s="73">
        <f t="array" ref="CU13">SUM(IF(ISERR(FIND(CU$4,$D13:$CD13)),0,1))</f>
        <v>0</v>
      </c>
      <c r="CV13" s="73">
        <f t="array" ref="CV13">SUM(IF(ISERR(FIND(CV$4,$D13:$CD13)),0,1))</f>
        <v>0</v>
      </c>
      <c r="CW13" s="73">
        <f t="array" ref="CW13">SUM(IF(ISERR(FIND(CW$4,$D13:$CD13)),0,1))</f>
        <v>0</v>
      </c>
      <c r="CX13" s="73"/>
      <c r="CY13" s="73">
        <f t="shared" si="14"/>
        <v>1</v>
      </c>
      <c r="CZ13" s="73">
        <f t="shared" si="15"/>
        <v>4</v>
      </c>
      <c r="DA13" s="73">
        <f t="shared" si="16"/>
        <v>0</v>
      </c>
      <c r="DB13" s="73">
        <f t="shared" si="17"/>
        <v>0</v>
      </c>
      <c r="DC13" s="73">
        <f t="shared" si="18"/>
        <v>0</v>
      </c>
      <c r="DD13" s="73">
        <f t="shared" si="19"/>
        <v>0</v>
      </c>
      <c r="DE13" s="70">
        <f t="shared" si="20"/>
        <v>1033507.31013</v>
      </c>
      <c r="DF13" s="70">
        <f t="shared" si="1"/>
        <v>13</v>
      </c>
      <c r="DG13" s="70">
        <v>0</v>
      </c>
      <c r="DH13" s="92" t="str">
        <f t="shared" si="21"/>
        <v/>
      </c>
      <c r="DI13" s="100">
        <f t="shared" si="22"/>
        <v>0.33333333333333331</v>
      </c>
    </row>
    <row r="14" spans="1:113">
      <c r="A14" s="70" t="s">
        <v>187</v>
      </c>
      <c r="B14" s="70" t="s">
        <v>181</v>
      </c>
      <c r="C14" s="70" t="s">
        <v>182</v>
      </c>
      <c r="E14" s="133" t="s">
        <v>262</v>
      </c>
      <c r="G14" s="133" t="s">
        <v>346</v>
      </c>
      <c r="H14" s="133" t="s">
        <v>369</v>
      </c>
      <c r="I14" s="133" t="s">
        <v>384</v>
      </c>
      <c r="J14" s="133" t="s">
        <v>400</v>
      </c>
      <c r="K14" s="133" t="s">
        <v>400</v>
      </c>
      <c r="L14" s="133" t="s">
        <v>428</v>
      </c>
      <c r="M14" s="133" t="s">
        <v>448</v>
      </c>
      <c r="N14" s="133" t="s">
        <v>245</v>
      </c>
      <c r="O14" s="133" t="s">
        <v>469</v>
      </c>
      <c r="P14" s="133" t="s">
        <v>486</v>
      </c>
      <c r="Q14"/>
      <c r="T14" s="133"/>
      <c r="U14" t="s">
        <v>556</v>
      </c>
      <c r="V14" t="s">
        <v>560</v>
      </c>
      <c r="CE14" s="70">
        <f t="shared" si="4"/>
        <v>13</v>
      </c>
      <c r="CF14" s="70">
        <f t="shared" si="5"/>
        <v>2</v>
      </c>
      <c r="CG14" s="70">
        <f t="shared" si="6"/>
        <v>11</v>
      </c>
      <c r="CH14" s="70">
        <f t="shared" si="7"/>
        <v>0</v>
      </c>
      <c r="CI14" s="70">
        <f t="shared" si="8"/>
        <v>22</v>
      </c>
      <c r="CJ14" s="74">
        <f t="shared" si="0"/>
        <v>22</v>
      </c>
      <c r="CK14" s="70">
        <f t="shared" si="9"/>
        <v>122</v>
      </c>
      <c r="CL14" s="72">
        <f t="shared" si="10"/>
        <v>11.090909090909092</v>
      </c>
      <c r="CM14" s="70">
        <f t="shared" si="11"/>
        <v>102</v>
      </c>
      <c r="CN14" s="70">
        <f t="shared" si="12"/>
        <v>10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3"/>
        <v>4</v>
      </c>
      <c r="CR14" s="73">
        <f t="array" ref="CR14">SUM(IF(ISERR(FIND(CR$4,$D14:$CD14)),0,1))</f>
        <v>0</v>
      </c>
      <c r="CS14" s="73">
        <f t="array" ref="CS14">SUM(IF(ISERR(FIND(CS$4,$D14:$CD14)),0,1))</f>
        <v>7</v>
      </c>
      <c r="CT14" s="73">
        <f t="array" ref="CT14">SUM(IF(ISERR(FIND(CT$4,$D14:$CD14)),0,1))</f>
        <v>4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/>
      <c r="CY14" s="73">
        <f t="shared" si="14"/>
        <v>2</v>
      </c>
      <c r="CZ14" s="73">
        <f t="shared" si="15"/>
        <v>10</v>
      </c>
      <c r="DA14" s="73">
        <f t="shared" si="16"/>
        <v>0</v>
      </c>
      <c r="DB14" s="73">
        <f t="shared" si="17"/>
        <v>0</v>
      </c>
      <c r="DC14" s="73">
        <f t="shared" si="18"/>
        <v>0</v>
      </c>
      <c r="DD14" s="73">
        <f t="shared" si="19"/>
        <v>0</v>
      </c>
      <c r="DE14" s="70">
        <f t="shared" si="20"/>
        <v>1110114.2201399999</v>
      </c>
      <c r="DF14" s="70">
        <f t="shared" si="1"/>
        <v>11</v>
      </c>
      <c r="DG14" s="70">
        <v>0</v>
      </c>
      <c r="DH14" s="92">
        <f t="shared" si="21"/>
        <v>0.32786885245901637</v>
      </c>
      <c r="DI14" s="100">
        <f t="shared" si="22"/>
        <v>0.36363636363636365</v>
      </c>
    </row>
    <row r="15" spans="1:113">
      <c r="B15" s="70" t="s">
        <v>230</v>
      </c>
      <c r="C15" s="70" t="s">
        <v>231</v>
      </c>
      <c r="J15" t="s">
        <v>409</v>
      </c>
      <c r="K15" t="s">
        <v>420</v>
      </c>
      <c r="O15" t="s">
        <v>477</v>
      </c>
      <c r="P15" t="s">
        <v>494</v>
      </c>
      <c r="CE15" s="70">
        <f t="shared" si="4"/>
        <v>4</v>
      </c>
      <c r="CF15" s="70">
        <f t="shared" si="5"/>
        <v>0</v>
      </c>
      <c r="CG15" s="70">
        <f t="shared" si="6"/>
        <v>4</v>
      </c>
      <c r="CH15" s="70">
        <f t="shared" si="7"/>
        <v>1</v>
      </c>
      <c r="CI15" s="70">
        <f t="shared" si="8"/>
        <v>5</v>
      </c>
      <c r="CJ15" s="74">
        <f t="shared" si="0"/>
        <v>5</v>
      </c>
      <c r="CK15" s="70">
        <f t="shared" si="9"/>
        <v>5</v>
      </c>
      <c r="CL15" s="72">
        <f t="shared" si="10"/>
        <v>1.6666666666666667</v>
      </c>
      <c r="CM15" s="70">
        <f t="shared" si="11"/>
        <v>-5</v>
      </c>
      <c r="CN15" s="70">
        <f t="shared" si="12"/>
        <v>5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3"/>
        <v>2</v>
      </c>
      <c r="CR15" s="73">
        <f t="array" ref="CR15">SUM(IF(ISERR(FIND(CR$4,$D15:$CD15)),0,1))</f>
        <v>0</v>
      </c>
      <c r="CS15" s="73">
        <f t="array" ref="CS15">SUM(IF(ISERR(FIND(CS$4,$D15:$CD15)),0,1))</f>
        <v>3</v>
      </c>
      <c r="CT15" s="73">
        <f t="array" ref="CT15">SUM(IF(ISERR(FIND(CT$4,$D15:$CD15)),0,1))</f>
        <v>0</v>
      </c>
      <c r="CU15" s="73">
        <f t="array" ref="CU15">SUM(IF(ISERR(FIND(CU$4,$D15:$CD15)),0,1))</f>
        <v>0</v>
      </c>
      <c r="CV15" s="73">
        <f t="array" ref="CV15">SUM(IF(ISERR(FIND(CV$4,$D15:$CD15)),0,1))</f>
        <v>0</v>
      </c>
      <c r="CW15" s="73">
        <f t="array" ref="CW15">SUM(IF(ISERR(FIND(CW$4,$D15:$CD15)),0,1))</f>
        <v>0</v>
      </c>
      <c r="CX15" s="73"/>
      <c r="CY15" s="73">
        <f t="shared" si="14"/>
        <v>1</v>
      </c>
      <c r="CZ15" s="73">
        <f t="shared" si="15"/>
        <v>0</v>
      </c>
      <c r="DA15" s="73">
        <f t="shared" si="16"/>
        <v>0</v>
      </c>
      <c r="DB15" s="73">
        <f t="shared" si="17"/>
        <v>0</v>
      </c>
      <c r="DC15" s="73">
        <f t="shared" si="18"/>
        <v>0</v>
      </c>
      <c r="DD15" s="73">
        <f t="shared" si="19"/>
        <v>0</v>
      </c>
      <c r="DE15" s="70">
        <f t="shared" si="20"/>
        <v>167404.05015</v>
      </c>
      <c r="DF15" s="70">
        <f t="shared" si="1"/>
        <v>30</v>
      </c>
      <c r="DG15" s="70">
        <v>0</v>
      </c>
      <c r="DH15" s="92" t="str">
        <f t="shared" si="21"/>
        <v/>
      </c>
      <c r="DI15" s="100">
        <f t="shared" si="22"/>
        <v>0.66666666666666663</v>
      </c>
    </row>
    <row r="16" spans="1:113">
      <c r="B16" s="133" t="s">
        <v>571</v>
      </c>
      <c r="C16" t="s">
        <v>570</v>
      </c>
      <c r="T16"/>
      <c r="V16" t="s">
        <v>567</v>
      </c>
      <c r="CE16" s="70">
        <f t="shared" ref="CE16" si="23">BatSplit(D16:CD16,MatchesPlayed)</f>
        <v>1</v>
      </c>
      <c r="CF16" s="70">
        <f t="shared" ref="CF16" si="24">CE16-CG16</f>
        <v>0</v>
      </c>
      <c r="CG16" s="70">
        <f t="shared" ref="CG16" si="25">BatSplit(D16:CD16,InnsBattedIn)</f>
        <v>1</v>
      </c>
      <c r="CH16" s="70">
        <f t="shared" ref="CH16" si="26">BatSplit(D16:CD16,NotOuts)</f>
        <v>0</v>
      </c>
      <c r="CI16" s="70">
        <f t="shared" ref="CI16" si="27">BatSplit(D16:CD16,HighestScore)</f>
        <v>3</v>
      </c>
      <c r="CJ16" s="74">
        <f t="shared" ref="CJ16" si="28">IF(CI16&lt;0,-CI16&amp;"*",CI16)</f>
        <v>3</v>
      </c>
      <c r="CK16" s="70">
        <f t="shared" ref="CK16" si="29">BatSplit(D16:CD16,RunsScored)</f>
        <v>3</v>
      </c>
      <c r="CL16" s="72">
        <f t="shared" ref="CL16" si="30">IF(CG16=CH16,0,CK16/(CG16-CH16))</f>
        <v>3</v>
      </c>
      <c r="CM16" s="70">
        <f t="shared" ref="CM16" si="31">BatSplit(D16:CD16,BatPts)</f>
        <v>3</v>
      </c>
      <c r="CN16" s="70">
        <f t="shared" ref="CN16" si="32">BatSplit(D16:CD16,FldPts)</f>
        <v>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ref="CQ16" si="33">BatSplit(D16:CD16,Ducks)</f>
        <v>0</v>
      </c>
      <c r="CR16" s="73">
        <f t="array" ref="CR16">SUM(IF(ISERR(FIND(CR$4,$D16:$CD16)),0,1))</f>
        <v>0</v>
      </c>
      <c r="CS16" s="73">
        <f t="array" ref="CS16">SUM(IF(ISERR(FIND(CS$4,$D16:$CD16)),0,1))</f>
        <v>1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73"/>
      <c r="CY16" s="73">
        <f t="shared" ref="CY16" si="34">BatSplit(D16:CD16,Catches)</f>
        <v>0</v>
      </c>
      <c r="CZ16" s="73">
        <f t="shared" ref="CZ16" si="35">BatSplit(D16:CD16,Fours)</f>
        <v>0</v>
      </c>
      <c r="DA16" s="73">
        <f t="shared" ref="DA16" si="36">BatSplit(D16:CD16,Sixes)</f>
        <v>0</v>
      </c>
      <c r="DB16" s="73">
        <f t="shared" ref="DB16" si="37">BatSplit(D16:CD16,Stumpings)</f>
        <v>0</v>
      </c>
      <c r="DC16" s="73">
        <f t="shared" ref="DC16" si="38">BatSplit(D16:CD16,CaughtWkt)</f>
        <v>0</v>
      </c>
      <c r="DD16" s="73">
        <f t="shared" ref="DD16" si="39">BatSplit(D16:CD16,TwentyFives)</f>
        <v>0</v>
      </c>
      <c r="DE16" s="70">
        <f t="shared" ref="DE16" si="40">ROUND(IF(ISERROR(CL16),0,CL16),2)*100000+CG16*100+CE16+CK16/100+ROW()/100000</f>
        <v>300101.03016000002</v>
      </c>
      <c r="DF16" s="70">
        <f t="shared" si="1"/>
        <v>28</v>
      </c>
      <c r="DG16" s="70">
        <v>0</v>
      </c>
      <c r="DH16" s="92" t="str">
        <f t="shared" ref="DH16" si="41">IF(CK16&gt;=50,(CZ16*4+DA16*6+DG16*5)/CK16,"")</f>
        <v/>
      </c>
      <c r="DI16" s="100">
        <f t="shared" ref="DI16" si="42">CQ16/(CG16-CH16)</f>
        <v>0</v>
      </c>
    </row>
    <row r="17" spans="1:113">
      <c r="B17" s="70" t="s">
        <v>249</v>
      </c>
      <c r="C17" s="70" t="s">
        <v>250</v>
      </c>
      <c r="V17" t="s">
        <v>565</v>
      </c>
      <c r="CE17" s="70">
        <f>BatSplit(D17:CD17,MatchesPlayed)</f>
        <v>1</v>
      </c>
      <c r="CF17" s="70">
        <f>CE17-CG17</f>
        <v>0</v>
      </c>
      <c r="CG17" s="70">
        <f>BatSplit(D17:CD17,InnsBattedIn)</f>
        <v>1</v>
      </c>
      <c r="CH17" s="70">
        <f>BatSplit(D17:CD17,NotOuts)</f>
        <v>0</v>
      </c>
      <c r="CI17" s="70">
        <f>BatSplit(D17:CD17,HighestScore)</f>
        <v>78</v>
      </c>
      <c r="CJ17" s="74">
        <f t="shared" si="0"/>
        <v>78</v>
      </c>
      <c r="CK17" s="70">
        <f>BatSplit(D17:CD17,RunsScored)</f>
        <v>78</v>
      </c>
      <c r="CL17" s="72">
        <f>IF(CG17=CH17,0,CK17/(CG17-CH17))</f>
        <v>78</v>
      </c>
      <c r="CM17" s="70">
        <f>BatSplit(D17:CD17,BatPts)</f>
        <v>88</v>
      </c>
      <c r="CN17" s="70">
        <f>BatSplit(D17:CD17,FldPts)</f>
        <v>5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>BatSplit(D17:CD17,Ducks)</f>
        <v>0</v>
      </c>
      <c r="CR17" s="73">
        <f t="array" ref="CR17">SUM(IF(ISERR(FIND(CR$4,$D17:$CD17)),0,1))</f>
        <v>0</v>
      </c>
      <c r="CS17" s="73">
        <f t="array" ref="CS17">SUM(IF(ISERR(FIND(CS$4,$D17:$CD17)),0,1))</f>
        <v>1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/>
      <c r="CY17" s="73">
        <f>BatSplit(D17:CD17,Catches)</f>
        <v>1</v>
      </c>
      <c r="CZ17" s="73">
        <f>BatSplit(D17:CD17,Fours)</f>
        <v>10</v>
      </c>
      <c r="DA17" s="73">
        <f>BatSplit(D17:CD17,Sixes)</f>
        <v>0</v>
      </c>
      <c r="DB17" s="73">
        <f>BatSplit(D17:CD17,Stumpings)</f>
        <v>0</v>
      </c>
      <c r="DC17" s="73">
        <f>BatSplit(D17:CD17,CaughtWkt)</f>
        <v>0</v>
      </c>
      <c r="DD17" s="73">
        <f>BatSplit(D17:CD17,TwentyFives)</f>
        <v>1</v>
      </c>
      <c r="DE17" s="70">
        <f>ROUND(IF(ISERROR(CL17),0,CL17),2)*100000+CG17*100+CE17+CK17/100+ROW()/100000</f>
        <v>7800101.7801700002</v>
      </c>
      <c r="DF17" s="70">
        <f t="shared" si="1"/>
        <v>1</v>
      </c>
      <c r="DG17" s="70">
        <v>0</v>
      </c>
      <c r="DH17" s="92">
        <f>IF(CK17&gt;=50,(CZ17*4+DA17*6+DG17*5)/CK17,"")</f>
        <v>0.51282051282051277</v>
      </c>
      <c r="DI17" s="100">
        <f>CQ17/(CG17-CH17)</f>
        <v>0</v>
      </c>
    </row>
    <row r="18" spans="1:113">
      <c r="B18" s="133" t="s">
        <v>572</v>
      </c>
      <c r="C18" s="133" t="s">
        <v>563</v>
      </c>
      <c r="V18" t="s">
        <v>564</v>
      </c>
      <c r="CE18" s="70">
        <f>BatSplit(D18:CD18,MatchesPlayed)</f>
        <v>1</v>
      </c>
      <c r="CF18" s="70">
        <f>CE18-CG18</f>
        <v>0</v>
      </c>
      <c r="CG18" s="70">
        <f>BatSplit(D18:CD18,InnsBattedIn)</f>
        <v>1</v>
      </c>
      <c r="CH18" s="70">
        <f>BatSplit(D18:CD18,NotOuts)</f>
        <v>0</v>
      </c>
      <c r="CI18" s="70">
        <f>BatSplit(D18:CD18,HighestScore)</f>
        <v>2</v>
      </c>
      <c r="CJ18" s="74">
        <f t="shared" ref="CJ18" si="43">IF(CI18&lt;0,-CI18&amp;"*",CI18)</f>
        <v>2</v>
      </c>
      <c r="CK18" s="70">
        <f>BatSplit(D18:CD18,RunsScored)</f>
        <v>2</v>
      </c>
      <c r="CL18" s="72">
        <f>IF(CG18=CH18,0,CK18/(CG18-CH18))</f>
        <v>2</v>
      </c>
      <c r="CM18" s="70">
        <f>BatSplit(D18:CD18,BatPts)</f>
        <v>2</v>
      </c>
      <c r="CN18" s="70">
        <f>BatSplit(D18:CD18,FldPts)</f>
        <v>0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>BatSplit(D18:CD18,Ducks)</f>
        <v>0</v>
      </c>
      <c r="CR18" s="73">
        <f t="array" ref="CR18">SUM(IF(ISERR(FIND(CR$4,$D18:$CD18)),0,1))</f>
        <v>0</v>
      </c>
      <c r="CS18" s="73">
        <f t="array" ref="CS18">SUM(IF(ISERR(FIND(CS$4,$D18:$CD18)),0,1))</f>
        <v>1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/>
      <c r="CY18" s="73">
        <f>BatSplit(D18:CD18,Catches)</f>
        <v>0</v>
      </c>
      <c r="CZ18" s="73">
        <f>BatSplit(D18:CD18,Fours)</f>
        <v>0</v>
      </c>
      <c r="DA18" s="73">
        <f>BatSplit(D18:CD18,Sixes)</f>
        <v>0</v>
      </c>
      <c r="DB18" s="73">
        <f>BatSplit(D18:CD18,Stumpings)</f>
        <v>0</v>
      </c>
      <c r="DC18" s="73">
        <f>BatSplit(D18:CD18,CaughtWkt)</f>
        <v>0</v>
      </c>
      <c r="DD18" s="73">
        <f>BatSplit(D18:CD18,TwentyFives)</f>
        <v>0</v>
      </c>
      <c r="DE18" s="70">
        <f>ROUND(IF(ISERROR(CL18),0,CL18),2)*100000+CG18*100+CE18+CK18/100+ROW()/100000</f>
        <v>200101.02017999999</v>
      </c>
      <c r="DF18" s="70">
        <f t="shared" si="1"/>
        <v>29</v>
      </c>
      <c r="DG18" s="70">
        <v>0</v>
      </c>
      <c r="DH18" s="92" t="str">
        <f>IF(CK18&gt;=50,(CZ18*4+DA18*6+DG18*5)/CK18,"")</f>
        <v/>
      </c>
      <c r="DI18" s="100">
        <f>CQ18/(CG18-CH18)</f>
        <v>0</v>
      </c>
    </row>
    <row r="19" spans="1:113">
      <c r="B19" s="70" t="s">
        <v>204</v>
      </c>
      <c r="C19" s="70" t="s">
        <v>205</v>
      </c>
      <c r="H19" t="s">
        <v>370</v>
      </c>
      <c r="I19" t="s">
        <v>388</v>
      </c>
      <c r="J19" t="s">
        <v>267</v>
      </c>
      <c r="L19" s="133" t="s">
        <v>429</v>
      </c>
      <c r="M19" s="133" t="s">
        <v>447</v>
      </c>
      <c r="N19" s="133" t="s">
        <v>456</v>
      </c>
      <c r="P19" s="133" t="s">
        <v>487</v>
      </c>
      <c r="Q19" s="133" t="s">
        <v>501</v>
      </c>
      <c r="R19" s="133" t="s">
        <v>516</v>
      </c>
      <c r="T19" s="133" t="s">
        <v>537</v>
      </c>
      <c r="CE19" s="70">
        <f t="shared" ref="CE19:CE24" si="44">BatSplit(D19:CD19,MatchesPlayed)</f>
        <v>10</v>
      </c>
      <c r="CF19" s="70">
        <f t="shared" ref="CF19:CF24" si="45">CE19-CG19</f>
        <v>0</v>
      </c>
      <c r="CG19" s="70">
        <f t="shared" ref="CG19:CG24" si="46">BatSplit(D19:CD19,InnsBattedIn)</f>
        <v>10</v>
      </c>
      <c r="CH19" s="70">
        <f t="shared" ref="CH19:CH24" si="47">BatSplit(D19:CD19,NotOuts)</f>
        <v>3</v>
      </c>
      <c r="CI19" s="70">
        <f t="shared" ref="CI19:CI24" si="48">BatSplit(D19:CD19,HighestScore)</f>
        <v>43</v>
      </c>
      <c r="CJ19" s="74">
        <f t="shared" ref="CJ19:CJ24" si="49">IF(CI19&lt;0,-CI19&amp;"*",CI19)</f>
        <v>43</v>
      </c>
      <c r="CK19" s="70">
        <f t="shared" ref="CK19:CK24" si="50">BatSplit(D19:CD19,RunsScored)</f>
        <v>167</v>
      </c>
      <c r="CL19" s="72">
        <f t="shared" ref="CL19:CL24" si="51">IF(CG19=CH19,0,CK19/(CG19-CH19))</f>
        <v>23.857142857142858</v>
      </c>
      <c r="CM19" s="70">
        <f t="shared" ref="CM19:CM24" si="52">BatSplit(D19:CD19,BatPts)</f>
        <v>167</v>
      </c>
      <c r="CN19" s="70">
        <f t="shared" ref="CN19:CN24" si="53">BatSplit(D19:CD19,FldPts)</f>
        <v>5</v>
      </c>
      <c r="CO19" s="73">
        <f t="array" ref="CO19">SUM(IF(ISERR(FIND("*",D19:CD19)),0,1))</f>
        <v>0</v>
      </c>
      <c r="CP19" s="73">
        <f t="array" ref="CP19">SUM(IF(ISERR(FIND("+",D19:CD19)),0,1))</f>
        <v>4</v>
      </c>
      <c r="CQ19" s="70">
        <f t="shared" ref="CQ19:CQ24" si="54">BatSplit(D19:CD19,Ducks)</f>
        <v>0</v>
      </c>
      <c r="CR19" s="73">
        <f t="array" ref="CR19">SUM(IF(ISERR(FIND(CR$4,$D19:$CD19)),0,1))</f>
        <v>6</v>
      </c>
      <c r="CS19" s="73">
        <f t="array" ref="CS19">SUM(IF(ISERR(FIND(CS$4,$D19:$CD19)),0,1))</f>
        <v>1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/>
      <c r="CY19" s="73">
        <f t="shared" ref="CY19:CY24" si="55">BatSplit(D19:CD19,Catches)</f>
        <v>5</v>
      </c>
      <c r="CZ19" s="73">
        <f t="shared" ref="CZ19:CZ24" si="56">BatSplit(D19:CD19,Fours)</f>
        <v>21</v>
      </c>
      <c r="DA19" s="73">
        <f t="shared" ref="DA19:DA24" si="57">BatSplit(D19:CD19,Sixes)</f>
        <v>0</v>
      </c>
      <c r="DB19" s="73">
        <f t="shared" ref="DB19:DB24" si="58">BatSplit(D19:CD19,Stumpings)</f>
        <v>0</v>
      </c>
      <c r="DC19" s="73">
        <f t="shared" ref="DC19:DC24" si="59">BatSplit(D19:CD19,CaughtWkt)</f>
        <v>4</v>
      </c>
      <c r="DD19" s="73">
        <f t="shared" ref="DD19:DD24" si="60">BatSplit(D19:CD19,TwentyFives)</f>
        <v>2</v>
      </c>
      <c r="DE19" s="70">
        <f t="shared" ref="DE19:DE24" si="61">ROUND(IF(ISERROR(CL19),0,CL19),2)*100000+CG19*100+CE19+CK19/100+ROW()/100000</f>
        <v>2387011.67019</v>
      </c>
      <c r="DF19" s="70">
        <f t="shared" si="1"/>
        <v>4</v>
      </c>
      <c r="DG19" s="70">
        <v>0</v>
      </c>
      <c r="DH19" s="92">
        <f t="shared" ref="DH19:DH24" si="62">IF(CK19&gt;=50,(CZ19*4+DA19*6+DG19*5)/CK19,"")</f>
        <v>0.50299401197604787</v>
      </c>
      <c r="DI19" s="100">
        <f t="shared" ref="DI19:DI24" si="63">CQ19/(CG19-CH19)</f>
        <v>0</v>
      </c>
    </row>
    <row r="20" spans="1:113">
      <c r="B20" s="70" t="s">
        <v>29</v>
      </c>
      <c r="C20" s="70" t="s">
        <v>229</v>
      </c>
      <c r="D20" t="s">
        <v>277</v>
      </c>
      <c r="E20" t="s">
        <v>326</v>
      </c>
      <c r="F20" t="s">
        <v>335</v>
      </c>
      <c r="G20" s="62" t="s">
        <v>354</v>
      </c>
      <c r="H20" t="s">
        <v>371</v>
      </c>
      <c r="I20" t="s">
        <v>252</v>
      </c>
      <c r="J20" t="s">
        <v>406</v>
      </c>
      <c r="K20" t="s">
        <v>414</v>
      </c>
      <c r="L20" t="s">
        <v>431</v>
      </c>
      <c r="M20" t="s">
        <v>450</v>
      </c>
      <c r="N20" t="s">
        <v>451</v>
      </c>
      <c r="Q20" s="133" t="s">
        <v>508</v>
      </c>
      <c r="S20" t="s">
        <v>531</v>
      </c>
      <c r="U20" t="s">
        <v>559</v>
      </c>
      <c r="V20" s="133"/>
      <c r="CE20" s="70">
        <f t="shared" si="44"/>
        <v>14</v>
      </c>
      <c r="CF20" s="70">
        <f t="shared" si="45"/>
        <v>2</v>
      </c>
      <c r="CG20" s="70">
        <f t="shared" si="46"/>
        <v>12</v>
      </c>
      <c r="CH20" s="70">
        <f t="shared" si="47"/>
        <v>3</v>
      </c>
      <c r="CI20" s="70">
        <f t="shared" si="48"/>
        <v>29</v>
      </c>
      <c r="CJ20" s="74">
        <f t="shared" si="49"/>
        <v>29</v>
      </c>
      <c r="CK20" s="70">
        <f t="shared" si="50"/>
        <v>97</v>
      </c>
      <c r="CL20" s="72">
        <f t="shared" si="51"/>
        <v>10.777777777777779</v>
      </c>
      <c r="CM20" s="70">
        <f t="shared" si="52"/>
        <v>87</v>
      </c>
      <c r="CN20" s="70">
        <f t="shared" si="53"/>
        <v>0</v>
      </c>
      <c r="CO20" s="73">
        <f t="array" ref="CO20">SUM(IF(ISERR(FIND("*",D20:CD20)),0,1))</f>
        <v>0</v>
      </c>
      <c r="CP20" s="73">
        <f t="array" ref="CP20">SUM(IF(ISERR(FIND("+",D20:CD20)),0,1))</f>
        <v>7</v>
      </c>
      <c r="CQ20" s="70">
        <f t="shared" si="54"/>
        <v>2</v>
      </c>
      <c r="CR20" s="73">
        <f t="array" ref="CR20">SUM(IF(ISERR(FIND(CR$4,$D20:$CD20)),0,1))</f>
        <v>5</v>
      </c>
      <c r="CS20" s="73">
        <f t="array" ref="CS20">SUM(IF(ISERR(FIND(CS$4,$D20:$CD20)),0,1))</f>
        <v>2</v>
      </c>
      <c r="CT20" s="73">
        <f t="array" ref="CT20">SUM(IF(ISERR(FIND(CT$4,$D20:$CD20)),0,1))</f>
        <v>1</v>
      </c>
      <c r="CU20" s="73">
        <f t="array" ref="CU20">SUM(IF(ISERR(FIND(CU$4,$D20:$CD20)),0,1))</f>
        <v>0</v>
      </c>
      <c r="CV20" s="73">
        <f t="array" ref="CV20">SUM(IF(ISERR(FIND(CV$4,$D20:$CD20)),0,1))</f>
        <v>1</v>
      </c>
      <c r="CW20" s="73">
        <f t="array" ref="CW20">SUM(IF(ISERR(FIND(CW$4,$D20:$CD20)),0,1))</f>
        <v>0</v>
      </c>
      <c r="CX20" s="73"/>
      <c r="CY20" s="73">
        <f t="shared" si="55"/>
        <v>1</v>
      </c>
      <c r="CZ20" s="73">
        <f t="shared" si="56"/>
        <v>5</v>
      </c>
      <c r="DA20" s="73">
        <f t="shared" si="57"/>
        <v>0</v>
      </c>
      <c r="DB20" s="73">
        <f t="shared" si="58"/>
        <v>0</v>
      </c>
      <c r="DC20" s="73">
        <f t="shared" si="59"/>
        <v>1</v>
      </c>
      <c r="DD20" s="73">
        <f t="shared" si="60"/>
        <v>1</v>
      </c>
      <c r="DE20" s="70">
        <f t="shared" si="61"/>
        <v>1079214.9701999999</v>
      </c>
      <c r="DF20" s="70">
        <f t="shared" si="1"/>
        <v>12</v>
      </c>
      <c r="DG20" s="70">
        <v>0</v>
      </c>
      <c r="DH20" s="92">
        <f t="shared" si="62"/>
        <v>0.20618556701030927</v>
      </c>
      <c r="DI20" s="100">
        <f t="shared" si="63"/>
        <v>0.22222222222222221</v>
      </c>
    </row>
    <row r="21" spans="1:113">
      <c r="B21" s="70" t="s">
        <v>219</v>
      </c>
      <c r="C21" s="70" t="s">
        <v>218</v>
      </c>
      <c r="I21" t="s">
        <v>389</v>
      </c>
      <c r="M21" t="s">
        <v>243</v>
      </c>
      <c r="N21" t="s">
        <v>453</v>
      </c>
      <c r="Q21" t="s">
        <v>505</v>
      </c>
      <c r="R21" t="s">
        <v>522</v>
      </c>
      <c r="T21" t="s">
        <v>540</v>
      </c>
      <c r="U21" t="s">
        <v>277</v>
      </c>
      <c r="V21"/>
      <c r="CE21" s="70">
        <f t="shared" si="44"/>
        <v>7</v>
      </c>
      <c r="CF21" s="70">
        <f t="shared" si="45"/>
        <v>2</v>
      </c>
      <c r="CG21" s="70">
        <f t="shared" si="46"/>
        <v>5</v>
      </c>
      <c r="CH21" s="70">
        <f t="shared" si="47"/>
        <v>2</v>
      </c>
      <c r="CI21" s="70">
        <f t="shared" si="48"/>
        <v>-15</v>
      </c>
      <c r="CJ21" s="74" t="str">
        <f t="shared" si="49"/>
        <v>15*</v>
      </c>
      <c r="CK21" s="70">
        <f t="shared" si="50"/>
        <v>28</v>
      </c>
      <c r="CL21" s="72">
        <f t="shared" si="51"/>
        <v>9.3333333333333339</v>
      </c>
      <c r="CM21" s="70">
        <f t="shared" si="52"/>
        <v>23</v>
      </c>
      <c r="CN21" s="70">
        <f t="shared" si="53"/>
        <v>5</v>
      </c>
      <c r="CO21" s="73">
        <f t="array" ref="CO21">SUM(IF(ISERR(FIND("*",D21:CD21)),0,1))</f>
        <v>0</v>
      </c>
      <c r="CP21" s="73">
        <f t="array" ref="CP21">SUM(IF(ISERR(FIND("+",D21:CD21)),0,1))</f>
        <v>0</v>
      </c>
      <c r="CQ21" s="70">
        <f t="shared" si="54"/>
        <v>1</v>
      </c>
      <c r="CR21" s="73">
        <f t="array" ref="CR21">SUM(IF(ISERR(FIND(CR$4,$D21:$CD21)),0,1))</f>
        <v>0</v>
      </c>
      <c r="CS21" s="73">
        <f t="array" ref="CS21">SUM(IF(ISERR(FIND(CS$4,$D21:$CD21)),0,1))</f>
        <v>2</v>
      </c>
      <c r="CT21" s="73">
        <f t="array" ref="CT21">SUM(IF(ISERR(FIND(CT$4,$D21:$CD21)),0,1))</f>
        <v>0</v>
      </c>
      <c r="CU21" s="73">
        <f t="array" ref="CU21">SUM(IF(ISERR(FIND(CU$4,$D21:$CD21)),0,1))</f>
        <v>0</v>
      </c>
      <c r="CV21" s="73">
        <f t="array" ref="CV21">SUM(IF(ISERR(FIND(CV$4,$D21:$CD21)),0,1))</f>
        <v>1</v>
      </c>
      <c r="CW21" s="73">
        <f t="array" ref="CW21">SUM(IF(ISERR(FIND(CW$4,$D21:$CD21)),0,1))</f>
        <v>0</v>
      </c>
      <c r="CX21" s="73"/>
      <c r="CY21" s="73">
        <f t="shared" si="55"/>
        <v>1</v>
      </c>
      <c r="CZ21" s="73">
        <f t="shared" si="56"/>
        <v>2</v>
      </c>
      <c r="DA21" s="73">
        <f t="shared" si="57"/>
        <v>0</v>
      </c>
      <c r="DB21" s="73">
        <f t="shared" si="58"/>
        <v>0</v>
      </c>
      <c r="DC21" s="73">
        <f t="shared" si="59"/>
        <v>0</v>
      </c>
      <c r="DD21" s="73">
        <f t="shared" si="60"/>
        <v>0</v>
      </c>
      <c r="DE21" s="70">
        <f t="shared" si="61"/>
        <v>933507.28021</v>
      </c>
      <c r="DF21" s="70">
        <f t="shared" si="1"/>
        <v>16</v>
      </c>
      <c r="DG21" s="70">
        <v>0</v>
      </c>
      <c r="DH21" s="92" t="str">
        <f t="shared" si="62"/>
        <v/>
      </c>
      <c r="DI21" s="100">
        <f t="shared" si="63"/>
        <v>0.33333333333333331</v>
      </c>
    </row>
    <row r="22" spans="1:113">
      <c r="A22" s="70" t="s">
        <v>47</v>
      </c>
      <c r="B22" s="70" t="s">
        <v>25</v>
      </c>
      <c r="C22" s="70" t="s">
        <v>48</v>
      </c>
      <c r="D22" s="133" t="s">
        <v>310</v>
      </c>
      <c r="V22"/>
      <c r="CE22" s="70">
        <f t="shared" si="44"/>
        <v>1</v>
      </c>
      <c r="CF22" s="70">
        <f t="shared" si="45"/>
        <v>0</v>
      </c>
      <c r="CG22" s="70">
        <f t="shared" si="46"/>
        <v>1</v>
      </c>
      <c r="CH22" s="70">
        <f t="shared" si="47"/>
        <v>0</v>
      </c>
      <c r="CI22" s="70">
        <f t="shared" si="48"/>
        <v>6</v>
      </c>
      <c r="CJ22" s="74">
        <f t="shared" si="49"/>
        <v>6</v>
      </c>
      <c r="CK22" s="70">
        <f t="shared" si="50"/>
        <v>6</v>
      </c>
      <c r="CL22" s="72">
        <f t="shared" si="51"/>
        <v>6</v>
      </c>
      <c r="CM22" s="70">
        <f t="shared" si="52"/>
        <v>6</v>
      </c>
      <c r="CN22" s="70">
        <f t="shared" si="53"/>
        <v>0</v>
      </c>
      <c r="CO22" s="73">
        <f t="array" ref="CO22">SUM(IF(ISERR(FIND("*",D22:CD22)),0,1))</f>
        <v>0</v>
      </c>
      <c r="CP22" s="73">
        <f t="array" ref="CP22">SUM(IF(ISERR(FIND("+",D22:CD22)),0,1))</f>
        <v>0</v>
      </c>
      <c r="CQ22" s="70">
        <f t="shared" si="54"/>
        <v>0</v>
      </c>
      <c r="CR22" s="73">
        <f t="array" ref="CR22">SUM(IF(ISERR(FIND(CR$4,$D22:$CD22)),0,1))</f>
        <v>0</v>
      </c>
      <c r="CS22" s="73">
        <f t="array" ref="CS22">SUM(IF(ISERR(FIND(CS$4,$D22:$CD22)),0,1))</f>
        <v>1</v>
      </c>
      <c r="CT22" s="73">
        <f t="array" ref="CT22">SUM(IF(ISERR(FIND(CT$4,$D22:$CD22)),0,1))</f>
        <v>0</v>
      </c>
      <c r="CU22" s="73">
        <f t="array" ref="CU22">SUM(IF(ISERR(FIND(CU$4,$D22:$CD22)),0,1))</f>
        <v>0</v>
      </c>
      <c r="CV22" s="73">
        <f t="array" ref="CV22">SUM(IF(ISERR(FIND(CV$4,$D22:$CD22)),0,1))</f>
        <v>0</v>
      </c>
      <c r="CW22" s="73">
        <f t="array" ref="CW22">SUM(IF(ISERR(FIND(CW$4,$D22:$CD22)),0,1))</f>
        <v>0</v>
      </c>
      <c r="CX22" s="73"/>
      <c r="CY22" s="73">
        <f t="shared" si="55"/>
        <v>0</v>
      </c>
      <c r="CZ22" s="73">
        <f t="shared" si="56"/>
        <v>1</v>
      </c>
      <c r="DA22" s="73">
        <f t="shared" si="57"/>
        <v>0</v>
      </c>
      <c r="DB22" s="73">
        <f t="shared" si="58"/>
        <v>0</v>
      </c>
      <c r="DC22" s="73">
        <f t="shared" si="59"/>
        <v>0</v>
      </c>
      <c r="DD22" s="73">
        <f t="shared" si="60"/>
        <v>0</v>
      </c>
      <c r="DE22" s="70">
        <f t="shared" si="61"/>
        <v>600101.0602200001</v>
      </c>
      <c r="DF22" s="70">
        <f t="shared" si="1"/>
        <v>24</v>
      </c>
      <c r="DG22" s="70">
        <v>0</v>
      </c>
      <c r="DH22" s="92" t="str">
        <f t="shared" si="62"/>
        <v/>
      </c>
      <c r="DI22" s="100">
        <f t="shared" si="63"/>
        <v>0</v>
      </c>
    </row>
    <row r="23" spans="1:113">
      <c r="A23" s="70" t="s">
        <v>189</v>
      </c>
      <c r="B23" s="70" t="s">
        <v>183</v>
      </c>
      <c r="C23" s="70" t="s">
        <v>184</v>
      </c>
      <c r="D23" t="s">
        <v>276</v>
      </c>
      <c r="E23" t="s">
        <v>322</v>
      </c>
      <c r="F23" t="s">
        <v>332</v>
      </c>
      <c r="G23" t="s">
        <v>343</v>
      </c>
      <c r="L23" t="s">
        <v>338</v>
      </c>
      <c r="R23" t="s">
        <v>343</v>
      </c>
      <c r="S23" t="s">
        <v>529</v>
      </c>
      <c r="T23" t="s">
        <v>542</v>
      </c>
      <c r="U23" t="s">
        <v>245</v>
      </c>
      <c r="V23" t="s">
        <v>562</v>
      </c>
      <c r="CE23" s="70">
        <f t="shared" si="44"/>
        <v>10</v>
      </c>
      <c r="CF23" s="70">
        <f t="shared" si="45"/>
        <v>2</v>
      </c>
      <c r="CG23" s="70">
        <f t="shared" si="46"/>
        <v>8</v>
      </c>
      <c r="CH23" s="70">
        <f t="shared" si="47"/>
        <v>0</v>
      </c>
      <c r="CI23" s="70">
        <f t="shared" si="48"/>
        <v>15</v>
      </c>
      <c r="CJ23" s="74">
        <f t="shared" si="49"/>
        <v>15</v>
      </c>
      <c r="CK23" s="70">
        <f t="shared" si="50"/>
        <v>53</v>
      </c>
      <c r="CL23" s="72">
        <f t="shared" si="51"/>
        <v>6.625</v>
      </c>
      <c r="CM23" s="70">
        <f t="shared" si="52"/>
        <v>43</v>
      </c>
      <c r="CN23" s="70">
        <f t="shared" si="53"/>
        <v>0</v>
      </c>
      <c r="CO23" s="73">
        <f t="array" ref="CO23">SUM(IF(ISERR(FIND("*",D23:CD23)),0,1))</f>
        <v>1</v>
      </c>
      <c r="CP23" s="73">
        <f t="array" ref="CP23">SUM(IF(ISERR(FIND("+",D23:CD23)),0,1))</f>
        <v>0</v>
      </c>
      <c r="CQ23" s="70">
        <f t="shared" si="54"/>
        <v>2</v>
      </c>
      <c r="CR23" s="73">
        <f t="array" ref="CR23">SUM(IF(ISERR(FIND(CR$4,$D23:$CD23)),0,1))</f>
        <v>5</v>
      </c>
      <c r="CS23" s="73">
        <f t="array" ref="CS23">SUM(IF(ISERR(FIND(CS$4,$D23:$CD23)),0,1))</f>
        <v>2</v>
      </c>
      <c r="CT23" s="73">
        <f t="array" ref="CT23">SUM(IF(ISERR(FIND(CT$4,$D23:$CD23)),0,1))</f>
        <v>1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/>
      <c r="CY23" s="73">
        <f t="shared" si="55"/>
        <v>0</v>
      </c>
      <c r="CZ23" s="73">
        <f t="shared" si="56"/>
        <v>6</v>
      </c>
      <c r="DA23" s="73">
        <f t="shared" si="57"/>
        <v>0</v>
      </c>
      <c r="DB23" s="73">
        <f t="shared" si="58"/>
        <v>0</v>
      </c>
      <c r="DC23" s="73">
        <f t="shared" si="59"/>
        <v>0</v>
      </c>
      <c r="DD23" s="73">
        <f t="shared" si="60"/>
        <v>0</v>
      </c>
      <c r="DE23" s="70">
        <f t="shared" si="61"/>
        <v>663810.53023000003</v>
      </c>
      <c r="DF23" s="70">
        <f t="shared" si="1"/>
        <v>22</v>
      </c>
      <c r="DG23" s="70">
        <v>0</v>
      </c>
      <c r="DH23" s="92">
        <f t="shared" si="62"/>
        <v>0.45283018867924529</v>
      </c>
      <c r="DI23" s="100">
        <f t="shared" si="63"/>
        <v>0.25</v>
      </c>
    </row>
    <row r="24" spans="1:113">
      <c r="A24" s="70" t="s">
        <v>137</v>
      </c>
      <c r="B24" s="70" t="s">
        <v>31</v>
      </c>
      <c r="C24" s="70" t="s">
        <v>150</v>
      </c>
      <c r="D24" s="133" t="s">
        <v>311</v>
      </c>
      <c r="Q24"/>
      <c r="CE24" s="70">
        <f t="shared" si="44"/>
        <v>1</v>
      </c>
      <c r="CF24" s="70">
        <f t="shared" si="45"/>
        <v>0</v>
      </c>
      <c r="CG24" s="70">
        <f t="shared" si="46"/>
        <v>1</v>
      </c>
      <c r="CH24" s="70">
        <f t="shared" si="47"/>
        <v>1</v>
      </c>
      <c r="CI24" s="70">
        <f t="shared" si="48"/>
        <v>-23</v>
      </c>
      <c r="CJ24" s="74" t="str">
        <f t="shared" si="49"/>
        <v>23*</v>
      </c>
      <c r="CK24" s="70">
        <f t="shared" si="50"/>
        <v>23</v>
      </c>
      <c r="CL24" s="72">
        <f t="shared" si="51"/>
        <v>0</v>
      </c>
      <c r="CM24" s="70">
        <f t="shared" si="52"/>
        <v>23</v>
      </c>
      <c r="CN24" s="70">
        <f t="shared" si="53"/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54"/>
        <v>0</v>
      </c>
      <c r="CR24" s="73">
        <f t="array" ref="CR24">SUM(IF(ISERR(FIND(CR$4,$D24:$CD24)),0,1))</f>
        <v>0</v>
      </c>
      <c r="CS24" s="73">
        <f t="array" ref="CS24">SUM(IF(ISERR(FIND(CS$4,$D24:$CD24)),0,1))</f>
        <v>0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/>
      <c r="CY24" s="73">
        <f t="shared" si="55"/>
        <v>0</v>
      </c>
      <c r="CZ24" s="73">
        <f t="shared" si="56"/>
        <v>2</v>
      </c>
      <c r="DA24" s="73">
        <f t="shared" si="57"/>
        <v>0</v>
      </c>
      <c r="DB24" s="73">
        <f t="shared" si="58"/>
        <v>0</v>
      </c>
      <c r="DC24" s="73">
        <f t="shared" si="59"/>
        <v>0</v>
      </c>
      <c r="DD24" s="73">
        <f t="shared" si="60"/>
        <v>0</v>
      </c>
      <c r="DE24" s="70">
        <f t="shared" si="61"/>
        <v>101.23024000000001</v>
      </c>
      <c r="DF24" s="70">
        <f t="shared" si="1"/>
        <v>32</v>
      </c>
      <c r="DG24" s="70">
        <v>0</v>
      </c>
      <c r="DH24" s="92" t="str">
        <f t="shared" si="62"/>
        <v/>
      </c>
      <c r="DI24" s="100" t="e">
        <f t="shared" si="63"/>
        <v>#DIV/0!</v>
      </c>
    </row>
    <row r="25" spans="1:113">
      <c r="C25" t="s">
        <v>490</v>
      </c>
      <c r="D25" s="133"/>
      <c r="P25" t="s">
        <v>491</v>
      </c>
      <c r="Q25"/>
      <c r="S25" t="s">
        <v>470</v>
      </c>
      <c r="T25" t="s">
        <v>539</v>
      </c>
      <c r="U25" t="s">
        <v>557</v>
      </c>
      <c r="CE25" s="70">
        <f t="shared" ref="CE25" si="64">BatSplit(D25:CD25,MatchesPlayed)</f>
        <v>4</v>
      </c>
      <c r="CF25" s="70">
        <f t="shared" ref="CF25" si="65">CE25-CG25</f>
        <v>0</v>
      </c>
      <c r="CG25" s="70">
        <f t="shared" ref="CG25" si="66">BatSplit(D25:CD25,InnsBattedIn)</f>
        <v>4</v>
      </c>
      <c r="CH25" s="70">
        <f t="shared" ref="CH25" si="67">BatSplit(D25:CD25,NotOuts)</f>
        <v>0</v>
      </c>
      <c r="CI25" s="70">
        <f t="shared" ref="CI25" si="68">BatSplit(D25:CD25,HighestScore)</f>
        <v>15</v>
      </c>
      <c r="CJ25" s="74">
        <f t="shared" ref="CJ25" si="69">IF(CI25&lt;0,-CI25&amp;"*",CI25)</f>
        <v>15</v>
      </c>
      <c r="CK25" s="70">
        <f t="shared" ref="CK25" si="70">BatSplit(D25:CD25,RunsScored)</f>
        <v>31</v>
      </c>
      <c r="CL25" s="72">
        <f t="shared" ref="CL25" si="71">IF(CG25=CH25,0,CK25/(CG25-CH25))</f>
        <v>7.75</v>
      </c>
      <c r="CM25" s="70">
        <f t="shared" ref="CM25" si="72">BatSplit(D25:CD25,BatPts)</f>
        <v>31</v>
      </c>
      <c r="CN25" s="70">
        <f t="shared" ref="CN25" si="73">BatSplit(D25:CD25,FldPts)</f>
        <v>5</v>
      </c>
      <c r="CO25" s="73">
        <f t="array" ref="CO25">SUM(IF(ISERR(FIND("*",D25:CD25)),0,1))</f>
        <v>0</v>
      </c>
      <c r="CP25" s="73">
        <f t="array" ref="CP25">SUM(IF(ISERR(FIND("+",D25:CD25)),0,1))</f>
        <v>0</v>
      </c>
      <c r="CQ25" s="70">
        <f t="shared" ref="CQ25" si="74">BatSplit(D25:CD25,Ducks)</f>
        <v>0</v>
      </c>
      <c r="CR25" s="73">
        <f t="array" ref="CR25">SUM(IF(ISERR(FIND(CR$4,$D25:$CD25)),0,1))</f>
        <v>3</v>
      </c>
      <c r="CS25" s="73">
        <f t="array" ref="CS25">SUM(IF(ISERR(FIND(CS$4,$D25:$CD25)),0,1))</f>
        <v>0</v>
      </c>
      <c r="CT25" s="73">
        <f t="array" ref="CT25">SUM(IF(ISERR(FIND(CT$4,$D25:$CD25)),0,1))</f>
        <v>0</v>
      </c>
      <c r="CU25" s="73">
        <f t="array" ref="CU25">SUM(IF(ISERR(FIND(CU$4,$D25:$CD25)),0,1))</f>
        <v>0</v>
      </c>
      <c r="CV25" s="73">
        <f t="array" ref="CV25">SUM(IF(ISERR(FIND(CV$4,$D25:$CD25)),0,1))</f>
        <v>1</v>
      </c>
      <c r="CW25" s="73">
        <f t="array" ref="CW25">SUM(IF(ISERR(FIND(CW$4,$D25:$CD25)),0,1))</f>
        <v>0</v>
      </c>
      <c r="CX25" s="73"/>
      <c r="CY25" s="73">
        <f t="shared" ref="CY25" si="75">BatSplit(D25:CD25,Catches)</f>
        <v>1</v>
      </c>
      <c r="CZ25" s="73">
        <f t="shared" ref="CZ25" si="76">BatSplit(D25:CD25,Fours)</f>
        <v>0</v>
      </c>
      <c r="DA25" s="73">
        <f t="shared" ref="DA25" si="77">BatSplit(D25:CD25,Sixes)</f>
        <v>0</v>
      </c>
      <c r="DB25" s="73">
        <f t="shared" ref="DB25" si="78">BatSplit(D25:CD25,Stumpings)</f>
        <v>0</v>
      </c>
      <c r="DC25" s="73">
        <f t="shared" ref="DC25" si="79">BatSplit(D25:CD25,CaughtWkt)</f>
        <v>0</v>
      </c>
      <c r="DD25" s="73">
        <f t="shared" ref="DD25" si="80">BatSplit(D25:CD25,TwentyFives)</f>
        <v>0</v>
      </c>
      <c r="DE25" s="70">
        <f t="shared" ref="DE25" si="81">ROUND(IF(ISERROR(CL25),0,CL25),2)*100000+CG25*100+CE25+CK25/100+ROW()/100000</f>
        <v>775404.3102500001</v>
      </c>
      <c r="DF25" s="70">
        <f t="shared" si="1"/>
        <v>20</v>
      </c>
      <c r="DG25" s="70">
        <v>0</v>
      </c>
      <c r="DH25" s="92" t="str">
        <f t="shared" ref="DH25" si="82">IF(CK25&gt;=50,(CZ25*4+DA25*6+DG25*5)/CK25,"")</f>
        <v/>
      </c>
      <c r="DI25" s="100">
        <f t="shared" ref="DI25" si="83">CQ25/(CG25-CH25)</f>
        <v>0</v>
      </c>
    </row>
    <row r="26" spans="1:113">
      <c r="C26" s="133" t="s">
        <v>401</v>
      </c>
      <c r="J26" t="s">
        <v>402</v>
      </c>
      <c r="K26" t="s">
        <v>413</v>
      </c>
      <c r="CE26" s="70">
        <f t="shared" ref="CE26" si="84">BatSplit(D26:CD26,MatchesPlayed)</f>
        <v>2</v>
      </c>
      <c r="CF26" s="70">
        <f t="shared" ref="CF26" si="85">CE26-CG26</f>
        <v>0</v>
      </c>
      <c r="CG26" s="70">
        <f t="shared" ref="CG26" si="86">BatSplit(D26:CD26,InnsBattedIn)</f>
        <v>2</v>
      </c>
      <c r="CH26" s="70">
        <f t="shared" ref="CH26" si="87">BatSplit(D26:CD26,NotOuts)</f>
        <v>0</v>
      </c>
      <c r="CI26" s="70">
        <f t="shared" ref="CI26" si="88">BatSplit(D26:CD26,HighestScore)</f>
        <v>31</v>
      </c>
      <c r="CJ26" s="74">
        <f t="shared" ref="CJ26" si="89">IF(CI26&lt;0,-CI26&amp;"*",CI26)</f>
        <v>31</v>
      </c>
      <c r="CK26" s="70">
        <f t="shared" ref="CK26" si="90">BatSplit(D26:CD26,RunsScored)</f>
        <v>37</v>
      </c>
      <c r="CL26" s="72">
        <f t="shared" ref="CL26" si="91">IF(CG26=CH26,0,CK26/(CG26-CH26))</f>
        <v>18.5</v>
      </c>
      <c r="CM26" s="70">
        <f t="shared" ref="CM26" si="92">BatSplit(D26:CD26,BatPts)</f>
        <v>37</v>
      </c>
      <c r="CN26" s="70">
        <f t="shared" ref="CN26" si="93">BatSplit(D26:CD26,FldPts)</f>
        <v>5</v>
      </c>
      <c r="CO26" s="73">
        <f t="array" ref="CO26">SUM(IF(ISERR(FIND("*",D26:CD26)),0,1))</f>
        <v>0</v>
      </c>
      <c r="CP26" s="73">
        <f t="array" ref="CP26">SUM(IF(ISERR(FIND("+",D26:CD26)),0,1))</f>
        <v>0</v>
      </c>
      <c r="CQ26" s="70">
        <f t="shared" ref="CQ26" si="94">BatSplit(D26:CD26,Ducks)</f>
        <v>0</v>
      </c>
      <c r="CR26" s="73">
        <f t="array" ref="CR26">SUM(IF(ISERR(FIND(CR$4,$D26:$CD26)),0,1))</f>
        <v>0</v>
      </c>
      <c r="CS26" s="73">
        <f t="array" ref="CS26">SUM(IF(ISERR(FIND(CS$4,$D26:$CD26)),0,1))</f>
        <v>2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73"/>
      <c r="CY26" s="73">
        <f t="shared" ref="CY26" si="95">BatSplit(D26:CD26,Catches)</f>
        <v>1</v>
      </c>
      <c r="CZ26" s="73">
        <f t="shared" ref="CZ26" si="96">BatSplit(D26:CD26,Fours)</f>
        <v>4</v>
      </c>
      <c r="DA26" s="73">
        <f t="shared" ref="DA26" si="97">BatSplit(D26:CD26,Sixes)</f>
        <v>1</v>
      </c>
      <c r="DB26" s="73">
        <f t="shared" ref="DB26" si="98">BatSplit(D26:CD26,Stumpings)</f>
        <v>0</v>
      </c>
      <c r="DC26" s="73">
        <f t="shared" ref="DC26" si="99">BatSplit(D26:CD26,CaughtWkt)</f>
        <v>0</v>
      </c>
      <c r="DD26" s="73">
        <f t="shared" ref="DD26" si="100">BatSplit(D26:CD26,TwentyFives)</f>
        <v>1</v>
      </c>
      <c r="DE26" s="70">
        <f t="shared" ref="DE26" si="101">ROUND(IF(ISERROR(CL26),0,CL26),2)*100000+CG26*100+CE26+CK26/100+ROW()/100000</f>
        <v>1850202.37026</v>
      </c>
      <c r="DF26" s="70">
        <f t="shared" si="1"/>
        <v>6</v>
      </c>
      <c r="DG26" s="70">
        <v>0</v>
      </c>
      <c r="DH26" s="92" t="str">
        <f t="shared" ref="DH26" si="102">IF(CK26&gt;=50,(CZ26*4+DA26*6+DG26*5)/CK26,"")</f>
        <v/>
      </c>
      <c r="DI26" s="100">
        <f t="shared" ref="DI26" si="103">CQ26/(CG26-CH26)</f>
        <v>0</v>
      </c>
    </row>
    <row r="27" spans="1:113">
      <c r="B27" s="70" t="s">
        <v>31</v>
      </c>
      <c r="C27" s="70" t="s">
        <v>269</v>
      </c>
      <c r="E27" t="s">
        <v>323</v>
      </c>
      <c r="F27" t="s">
        <v>334</v>
      </c>
      <c r="G27" t="s">
        <v>345</v>
      </c>
      <c r="H27" t="s">
        <v>367</v>
      </c>
      <c r="J27" s="133" t="s">
        <v>403</v>
      </c>
      <c r="K27" s="133" t="s">
        <v>412</v>
      </c>
      <c r="N27" s="133"/>
      <c r="O27" s="133"/>
      <c r="P27" s="133"/>
      <c r="Q27"/>
      <c r="S27" t="s">
        <v>532</v>
      </c>
      <c r="T27" s="133"/>
      <c r="U27" s="133"/>
      <c r="CE27" s="70">
        <f t="shared" si="4"/>
        <v>7</v>
      </c>
      <c r="CF27" s="70">
        <f t="shared" si="5"/>
        <v>0</v>
      </c>
      <c r="CG27" s="70">
        <f t="shared" si="6"/>
        <v>7</v>
      </c>
      <c r="CH27" s="70">
        <f t="shared" si="7"/>
        <v>1</v>
      </c>
      <c r="CI27" s="70">
        <f t="shared" si="8"/>
        <v>57</v>
      </c>
      <c r="CJ27" s="74">
        <f t="shared" si="0"/>
        <v>57</v>
      </c>
      <c r="CK27" s="70">
        <f t="shared" si="9"/>
        <v>198</v>
      </c>
      <c r="CL27" s="72">
        <f t="shared" si="10"/>
        <v>33</v>
      </c>
      <c r="CM27" s="70">
        <f t="shared" si="11"/>
        <v>203</v>
      </c>
      <c r="CN27" s="70">
        <f t="shared" si="12"/>
        <v>5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>
        <f t="shared" si="13"/>
        <v>1</v>
      </c>
      <c r="CR27" s="73">
        <f t="array" ref="CR27">SUM(IF(ISERR(FIND(CR$4,$D27:$CD27)),0,1))</f>
        <v>2</v>
      </c>
      <c r="CS27" s="73">
        <f t="array" ref="CS27">SUM(IF(ISERR(FIND(CS$4,$D27:$CD27)),0,1))</f>
        <v>2</v>
      </c>
      <c r="CT27" s="73">
        <f t="array" ref="CT27">SUM(IF(ISERR(FIND(CT$4,$D27:$CD27)),0,1))</f>
        <v>2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/>
      <c r="CY27" s="73">
        <f t="shared" si="14"/>
        <v>1</v>
      </c>
      <c r="CZ27" s="73">
        <f t="shared" si="15"/>
        <v>24</v>
      </c>
      <c r="DA27" s="73">
        <f t="shared" si="16"/>
        <v>3</v>
      </c>
      <c r="DB27" s="73">
        <f t="shared" si="17"/>
        <v>0</v>
      </c>
      <c r="DC27" s="73">
        <f t="shared" si="18"/>
        <v>0</v>
      </c>
      <c r="DD27" s="73">
        <f t="shared" si="19"/>
        <v>4</v>
      </c>
      <c r="DE27" s="70">
        <f t="shared" si="20"/>
        <v>3300708.9802700002</v>
      </c>
      <c r="DF27" s="70">
        <f t="shared" si="1"/>
        <v>2</v>
      </c>
      <c r="DG27" s="70">
        <v>0</v>
      </c>
      <c r="DH27" s="92">
        <f t="shared" si="21"/>
        <v>0.5757575757575758</v>
      </c>
      <c r="DI27" s="100">
        <f t="shared" si="22"/>
        <v>0.16666666666666666</v>
      </c>
    </row>
    <row r="28" spans="1:113">
      <c r="C28" t="s">
        <v>535</v>
      </c>
      <c r="S28"/>
      <c r="T28" t="s">
        <v>536</v>
      </c>
      <c r="CE28" s="70">
        <f t="shared" si="4"/>
        <v>1</v>
      </c>
      <c r="CF28" s="70">
        <f t="shared" si="5"/>
        <v>0</v>
      </c>
      <c r="CG28" s="70">
        <f t="shared" si="6"/>
        <v>1</v>
      </c>
      <c r="CH28" s="70">
        <f t="shared" si="7"/>
        <v>0</v>
      </c>
      <c r="CI28" s="70">
        <f t="shared" si="8"/>
        <v>30</v>
      </c>
      <c r="CJ28" s="74">
        <f t="shared" si="0"/>
        <v>30</v>
      </c>
      <c r="CK28" s="70">
        <f t="shared" si="9"/>
        <v>30</v>
      </c>
      <c r="CL28" s="72">
        <f t="shared" si="10"/>
        <v>30</v>
      </c>
      <c r="CM28" s="70">
        <f t="shared" si="11"/>
        <v>30</v>
      </c>
      <c r="CN28" s="70">
        <f t="shared" si="12"/>
        <v>0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>
        <f t="shared" si="13"/>
        <v>0</v>
      </c>
      <c r="CR28" s="73">
        <f t="array" ref="CR28">SUM(IF(ISERR(FIND(CR$4,$D28:$CD28)),0,1))</f>
        <v>1</v>
      </c>
      <c r="CS28" s="73">
        <f t="array" ref="CS28">SUM(IF(ISERR(FIND(CS$4,$D28:$CD28)),0,1))</f>
        <v>0</v>
      </c>
      <c r="CT28" s="73">
        <f t="array" ref="CT28">SUM(IF(ISERR(FIND(CT$4,$D28:$CD28)),0,1))</f>
        <v>0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/>
      <c r="CY28" s="73">
        <f t="shared" si="14"/>
        <v>0</v>
      </c>
      <c r="CZ28" s="73">
        <f t="shared" si="15"/>
        <v>0</v>
      </c>
      <c r="DA28" s="73">
        <f t="shared" si="16"/>
        <v>0</v>
      </c>
      <c r="DB28" s="73">
        <f t="shared" si="17"/>
        <v>0</v>
      </c>
      <c r="DC28" s="73">
        <f t="shared" si="18"/>
        <v>0</v>
      </c>
      <c r="DD28" s="73">
        <f t="shared" si="19"/>
        <v>1</v>
      </c>
      <c r="DE28" s="70">
        <f t="shared" si="20"/>
        <v>3000101.3002799996</v>
      </c>
      <c r="DF28" s="70">
        <f t="shared" si="1"/>
        <v>3</v>
      </c>
      <c r="DG28" s="70">
        <v>0</v>
      </c>
      <c r="DH28" s="92" t="str">
        <f t="shared" si="21"/>
        <v/>
      </c>
      <c r="DI28" s="100">
        <f t="shared" si="22"/>
        <v>0</v>
      </c>
    </row>
    <row r="29" spans="1:113">
      <c r="B29" s="70" t="s">
        <v>213</v>
      </c>
      <c r="C29" s="70" t="s">
        <v>228</v>
      </c>
      <c r="K29" t="s">
        <v>411</v>
      </c>
      <c r="O29" s="133"/>
      <c r="Q29" t="s">
        <v>503</v>
      </c>
      <c r="R29" t="s">
        <v>517</v>
      </c>
      <c r="T29" s="133"/>
      <c r="V29" s="133"/>
      <c r="CE29" s="70">
        <f t="shared" si="4"/>
        <v>3</v>
      </c>
      <c r="CF29" s="70">
        <f t="shared" si="5"/>
        <v>0</v>
      </c>
      <c r="CG29" s="70">
        <f t="shared" si="6"/>
        <v>3</v>
      </c>
      <c r="CH29" s="70">
        <f t="shared" si="7"/>
        <v>0</v>
      </c>
      <c r="CI29" s="70">
        <f t="shared" si="8"/>
        <v>19</v>
      </c>
      <c r="CJ29" s="74">
        <f t="shared" si="0"/>
        <v>19</v>
      </c>
      <c r="CK29" s="70">
        <f t="shared" si="9"/>
        <v>29</v>
      </c>
      <c r="CL29" s="72">
        <f t="shared" si="10"/>
        <v>9.6666666666666661</v>
      </c>
      <c r="CM29" s="70">
        <f t="shared" si="11"/>
        <v>29</v>
      </c>
      <c r="CN29" s="70">
        <f t="shared" si="12"/>
        <v>0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 t="shared" si="13"/>
        <v>0</v>
      </c>
      <c r="CR29" s="73">
        <f t="array" ref="CR29">SUM(IF(ISERR(FIND(CR$4,$D29:$CD29)),0,1))</f>
        <v>2</v>
      </c>
      <c r="CS29" s="73">
        <f t="array" ref="CS29">SUM(IF(ISERR(FIND(CS$4,$D29:$CD29)),0,1))</f>
        <v>0</v>
      </c>
      <c r="CT29" s="73">
        <f t="array" ref="CT29">SUM(IF(ISERR(FIND(CT$4,$D29:$CD29)),0,1))</f>
        <v>0</v>
      </c>
      <c r="CU29" s="73">
        <f t="array" ref="CU29">SUM(IF(ISERR(FIND(CU$4,$D29:$CD29)),0,1))</f>
        <v>0</v>
      </c>
      <c r="CV29" s="73">
        <f t="array" ref="CV29">SUM(IF(ISERR(FIND(CV$4,$D29:$CD29)),0,1))</f>
        <v>1</v>
      </c>
      <c r="CW29" s="73">
        <f t="array" ref="CW29">SUM(IF(ISERR(FIND(CW$4,$D29:$CD29)),0,1))</f>
        <v>0</v>
      </c>
      <c r="CX29" s="73"/>
      <c r="CY29" s="73">
        <f t="shared" si="14"/>
        <v>0</v>
      </c>
      <c r="CZ29" s="73">
        <f t="shared" si="15"/>
        <v>5</v>
      </c>
      <c r="DA29" s="73">
        <f t="shared" si="16"/>
        <v>0</v>
      </c>
      <c r="DB29" s="73">
        <f t="shared" si="17"/>
        <v>0</v>
      </c>
      <c r="DC29" s="73">
        <f t="shared" si="18"/>
        <v>0</v>
      </c>
      <c r="DD29" s="73">
        <f t="shared" si="19"/>
        <v>0</v>
      </c>
      <c r="DE29" s="70">
        <f t="shared" si="20"/>
        <v>967303.29029000003</v>
      </c>
      <c r="DF29" s="70">
        <f t="shared" si="1"/>
        <v>15</v>
      </c>
      <c r="DG29" s="70">
        <v>0</v>
      </c>
      <c r="DH29" s="92" t="str">
        <f t="shared" si="21"/>
        <v/>
      </c>
      <c r="DI29" s="100">
        <f t="shared" si="22"/>
        <v>0</v>
      </c>
    </row>
    <row r="30" spans="1:113">
      <c r="B30" s="70" t="s">
        <v>33</v>
      </c>
      <c r="C30" s="70" t="s">
        <v>234</v>
      </c>
      <c r="F30" t="s">
        <v>336</v>
      </c>
      <c r="H30" t="s">
        <v>245</v>
      </c>
      <c r="I30" t="s">
        <v>385</v>
      </c>
      <c r="J30" t="s">
        <v>408</v>
      </c>
      <c r="K30" t="s">
        <v>416</v>
      </c>
      <c r="L30" t="s">
        <v>433</v>
      </c>
      <c r="M30" t="s">
        <v>246</v>
      </c>
      <c r="N30" t="s">
        <v>255</v>
      </c>
      <c r="O30" t="s">
        <v>470</v>
      </c>
      <c r="P30" t="s">
        <v>493</v>
      </c>
      <c r="Q30" t="s">
        <v>245</v>
      </c>
      <c r="R30"/>
      <c r="S30" t="s">
        <v>533</v>
      </c>
      <c r="T30" t="s">
        <v>538</v>
      </c>
      <c r="U30" t="s">
        <v>244</v>
      </c>
      <c r="CE30" s="70">
        <f t="shared" si="4"/>
        <v>14</v>
      </c>
      <c r="CF30" s="70">
        <f t="shared" si="5"/>
        <v>4</v>
      </c>
      <c r="CG30" s="70">
        <f t="shared" si="6"/>
        <v>10</v>
      </c>
      <c r="CH30" s="70">
        <f t="shared" si="7"/>
        <v>3</v>
      </c>
      <c r="CI30" s="70">
        <f t="shared" si="8"/>
        <v>-22</v>
      </c>
      <c r="CJ30" s="74" t="str">
        <f t="shared" si="0"/>
        <v>22*</v>
      </c>
      <c r="CK30" s="70">
        <f t="shared" si="9"/>
        <v>57</v>
      </c>
      <c r="CL30" s="72">
        <f t="shared" si="10"/>
        <v>8.1428571428571423</v>
      </c>
      <c r="CM30" s="70">
        <f t="shared" si="11"/>
        <v>57</v>
      </c>
      <c r="CN30" s="70">
        <f t="shared" si="12"/>
        <v>15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 t="shared" si="13"/>
        <v>0</v>
      </c>
      <c r="CR30" s="73">
        <f t="array" ref="CR30">SUM(IF(ISERR(FIND(CR$4,$D30:$CD30)),0,1))</f>
        <v>3</v>
      </c>
      <c r="CS30" s="73">
        <f t="array" ref="CS30">SUM(IF(ISERR(FIND(CS$4,$D30:$CD30)),0,1))</f>
        <v>2</v>
      </c>
      <c r="CT30" s="73">
        <f t="array" ref="CT30">SUM(IF(ISERR(FIND(CT$4,$D30:$CD30)),0,1))</f>
        <v>1</v>
      </c>
      <c r="CU30" s="73">
        <f t="array" ref="CU30">SUM(IF(ISERR(FIND(CU$4,$D30:$CD30)),0,1))</f>
        <v>0</v>
      </c>
      <c r="CV30" s="73">
        <f t="array" ref="CV30">SUM(IF(ISERR(FIND(CV$4,$D30:$CD30)),0,1))</f>
        <v>1</v>
      </c>
      <c r="CW30" s="73">
        <f t="array" ref="CW30">SUM(IF(ISERR(FIND(CW$4,$D30:$CD30)),0,1))</f>
        <v>0</v>
      </c>
      <c r="CX30" s="73"/>
      <c r="CY30" s="73">
        <f t="shared" si="14"/>
        <v>3</v>
      </c>
      <c r="CZ30" s="73">
        <f t="shared" si="15"/>
        <v>4</v>
      </c>
      <c r="DA30" s="73">
        <f t="shared" si="16"/>
        <v>0</v>
      </c>
      <c r="DB30" s="73">
        <f t="shared" si="17"/>
        <v>0</v>
      </c>
      <c r="DC30" s="73">
        <f t="shared" si="18"/>
        <v>0</v>
      </c>
      <c r="DD30" s="73">
        <f t="shared" si="19"/>
        <v>0</v>
      </c>
      <c r="DE30" s="70">
        <f t="shared" si="20"/>
        <v>815014.5702999999</v>
      </c>
      <c r="DF30" s="70">
        <f t="shared" si="1"/>
        <v>18</v>
      </c>
      <c r="DG30" s="70">
        <v>0</v>
      </c>
      <c r="DH30" s="92">
        <f t="shared" si="21"/>
        <v>0.2807017543859649</v>
      </c>
      <c r="DI30" s="100">
        <f t="shared" si="22"/>
        <v>0</v>
      </c>
    </row>
    <row r="31" spans="1:113">
      <c r="A31" s="70" t="s">
        <v>53</v>
      </c>
      <c r="B31" s="70" t="s">
        <v>27</v>
      </c>
      <c r="C31" s="70" t="s">
        <v>151</v>
      </c>
      <c r="E31" s="133" t="s">
        <v>320</v>
      </c>
      <c r="J31" t="s">
        <v>258</v>
      </c>
      <c r="L31" t="s">
        <v>430</v>
      </c>
      <c r="M31" t="s">
        <v>344</v>
      </c>
      <c r="N31" t="s">
        <v>275</v>
      </c>
      <c r="R31"/>
      <c r="S31" t="s">
        <v>530</v>
      </c>
      <c r="U31" t="s">
        <v>558</v>
      </c>
      <c r="CE31" s="70">
        <f t="shared" si="4"/>
        <v>7</v>
      </c>
      <c r="CF31" s="70">
        <f t="shared" si="5"/>
        <v>1</v>
      </c>
      <c r="CG31" s="70">
        <f t="shared" si="6"/>
        <v>6</v>
      </c>
      <c r="CH31" s="70">
        <f t="shared" si="7"/>
        <v>1</v>
      </c>
      <c r="CI31" s="70">
        <f t="shared" si="8"/>
        <v>-63</v>
      </c>
      <c r="CJ31" s="74" t="str">
        <f t="shared" si="0"/>
        <v>63*</v>
      </c>
      <c r="CK31" s="70">
        <f t="shared" si="9"/>
        <v>87</v>
      </c>
      <c r="CL31" s="72">
        <f t="shared" si="10"/>
        <v>17.399999999999999</v>
      </c>
      <c r="CM31" s="70">
        <f t="shared" si="11"/>
        <v>87</v>
      </c>
      <c r="CN31" s="70">
        <f t="shared" si="12"/>
        <v>20</v>
      </c>
      <c r="CO31" s="73">
        <f t="array" ref="CO31">SUM(IF(ISERR(FIND("*",D31:CD31)),0,1))</f>
        <v>0</v>
      </c>
      <c r="CP31" s="73">
        <f t="array" ref="CP31">SUM(IF(ISERR(FIND("+",D31:CD31)),0,1))</f>
        <v>1</v>
      </c>
      <c r="CQ31" s="70">
        <f t="shared" si="13"/>
        <v>2</v>
      </c>
      <c r="CR31" s="73">
        <f t="array" ref="CR31">SUM(IF(ISERR(FIND(CR$4,$D31:$CD31)),0,1))</f>
        <v>1</v>
      </c>
      <c r="CS31" s="73">
        <f t="array" ref="CS31">SUM(IF(ISERR(FIND(CS$4,$D31:$CD31)),0,1))</f>
        <v>2</v>
      </c>
      <c r="CT31" s="73">
        <f t="array" ref="CT31">SUM(IF(ISERR(FIND(CT$4,$D31:$CD31)),0,1))</f>
        <v>2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/>
      <c r="CY31" s="73">
        <f t="shared" si="14"/>
        <v>4</v>
      </c>
      <c r="CZ31" s="73">
        <f t="shared" si="15"/>
        <v>6</v>
      </c>
      <c r="DA31" s="73">
        <f t="shared" si="16"/>
        <v>3</v>
      </c>
      <c r="DB31" s="73">
        <f t="shared" si="17"/>
        <v>1</v>
      </c>
      <c r="DC31" s="73">
        <f t="shared" si="18"/>
        <v>0</v>
      </c>
      <c r="DD31" s="73">
        <f t="shared" si="19"/>
        <v>1</v>
      </c>
      <c r="DE31" s="70">
        <f t="shared" si="20"/>
        <v>1740607.8703099999</v>
      </c>
      <c r="DF31" s="70">
        <f t="shared" si="1"/>
        <v>8</v>
      </c>
      <c r="DG31" s="70">
        <v>0</v>
      </c>
      <c r="DH31" s="92">
        <f t="shared" si="21"/>
        <v>0.48275862068965519</v>
      </c>
      <c r="DI31" s="100">
        <f t="shared" si="22"/>
        <v>0.4</v>
      </c>
    </row>
    <row r="32" spans="1:113">
      <c r="B32" s="133" t="s">
        <v>348</v>
      </c>
      <c r="C32" s="133" t="s">
        <v>349</v>
      </c>
      <c r="E32" s="133"/>
      <c r="G32" t="s">
        <v>350</v>
      </c>
      <c r="M32" s="133"/>
      <c r="P32" t="s">
        <v>333</v>
      </c>
      <c r="R32"/>
      <c r="U32"/>
      <c r="V32" t="s">
        <v>561</v>
      </c>
      <c r="CE32" s="70">
        <f t="shared" ref="CE32:CE33" si="104">BatSplit(D32:CD32,MatchesPlayed)</f>
        <v>3</v>
      </c>
      <c r="CF32" s="70">
        <f t="shared" ref="CF32:CF33" si="105">CE32-CG32</f>
        <v>0</v>
      </c>
      <c r="CG32" s="70">
        <f t="shared" ref="CG32:CG33" si="106">BatSplit(D32:CD32,InnsBattedIn)</f>
        <v>3</v>
      </c>
      <c r="CH32" s="70">
        <f t="shared" ref="CH32:CH33" si="107">BatSplit(D32:CD32,NotOuts)</f>
        <v>0</v>
      </c>
      <c r="CI32" s="70">
        <f t="shared" ref="CI32:CI33" si="108">BatSplit(D32:CD32,HighestScore)</f>
        <v>15</v>
      </c>
      <c r="CJ32" s="74">
        <f t="shared" ref="CJ32:CJ33" si="109">IF(CI32&lt;0,-CI32&amp;"*",CI32)</f>
        <v>15</v>
      </c>
      <c r="CK32" s="70">
        <f t="shared" ref="CK32:CK33" si="110">BatSplit(D32:CD32,RunsScored)</f>
        <v>35</v>
      </c>
      <c r="CL32" s="72">
        <f t="shared" ref="CL32:CL33" si="111">IF(CG32=CH32,0,CK32/(CG32-CH32))</f>
        <v>11.666666666666666</v>
      </c>
      <c r="CM32" s="70">
        <f t="shared" ref="CM32:CM33" si="112">BatSplit(D32:CD32,BatPts)</f>
        <v>35</v>
      </c>
      <c r="CN32" s="70">
        <f t="shared" ref="CN32:CN33" si="113">BatSplit(D32:CD32,FldPts)</f>
        <v>5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 t="shared" ref="CQ32:CQ33" si="114">BatSplit(D32:CD32,Ducks)</f>
        <v>0</v>
      </c>
      <c r="CR32" s="73">
        <f t="array" ref="CR32">SUM(IF(ISERR(FIND(CR$4,$D32:$CD32)),0,1))</f>
        <v>1</v>
      </c>
      <c r="CS32" s="73">
        <f t="array" ref="CS32">SUM(IF(ISERR(FIND(CS$4,$D32:$CD32)),0,1))</f>
        <v>2</v>
      </c>
      <c r="CT32" s="73">
        <f t="array" ref="CT32">SUM(IF(ISERR(FIND(CT$4,$D32:$CD32)),0,1))</f>
        <v>0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/>
      <c r="CY32" s="73">
        <f t="shared" ref="CY32:CY33" si="115">BatSplit(D32:CD32,Catches)</f>
        <v>1</v>
      </c>
      <c r="CZ32" s="73">
        <f t="shared" ref="CZ32:CZ33" si="116">BatSplit(D32:CD32,Fours)</f>
        <v>3</v>
      </c>
      <c r="DA32" s="73">
        <f t="shared" ref="DA32:DA33" si="117">BatSplit(D32:CD32,Sixes)</f>
        <v>0</v>
      </c>
      <c r="DB32" s="73">
        <f t="shared" ref="DB32:DB33" si="118">BatSplit(D32:CD32,Stumpings)</f>
        <v>0</v>
      </c>
      <c r="DC32" s="73">
        <f t="shared" ref="DC32:DC33" si="119">BatSplit(D32:CD32,CaughtWkt)</f>
        <v>0</v>
      </c>
      <c r="DD32" s="73">
        <f t="shared" ref="DD32:DD33" si="120">BatSplit(D32:CD32,TwentyFives)</f>
        <v>0</v>
      </c>
      <c r="DE32" s="70">
        <f t="shared" ref="DE32:DE33" si="121">ROUND(IF(ISERROR(CL32),0,CL32),2)*100000+CG32*100+CE32+CK32/100+ROW()/100000</f>
        <v>1167303.3503200002</v>
      </c>
      <c r="DF32" s="70">
        <f t="shared" si="1"/>
        <v>10</v>
      </c>
      <c r="DG32" s="70">
        <v>0</v>
      </c>
      <c r="DH32" s="92" t="str">
        <f t="shared" ref="DH32:DH33" si="122">IF(CK32&gt;=50,(CZ32*4+DA32*6+DG32*5)/CK32,"")</f>
        <v/>
      </c>
      <c r="DI32" s="100">
        <f t="shared" ref="DI32:DI33" si="123">CQ32/(CG32-CH32)</f>
        <v>0</v>
      </c>
    </row>
    <row r="33" spans="1:113">
      <c r="B33" s="133" t="s">
        <v>324</v>
      </c>
      <c r="C33" s="133" t="s">
        <v>315</v>
      </c>
      <c r="E33" t="s">
        <v>325</v>
      </c>
      <c r="G33" t="s">
        <v>364</v>
      </c>
      <c r="M33" t="s">
        <v>245</v>
      </c>
      <c r="N33" t="s">
        <v>454</v>
      </c>
      <c r="P33" t="s">
        <v>489</v>
      </c>
      <c r="R33"/>
      <c r="U33"/>
      <c r="V33" t="s">
        <v>405</v>
      </c>
      <c r="CE33" s="70">
        <f t="shared" si="104"/>
        <v>6</v>
      </c>
      <c r="CF33" s="70">
        <f t="shared" si="105"/>
        <v>1</v>
      </c>
      <c r="CG33" s="70">
        <f t="shared" si="106"/>
        <v>5</v>
      </c>
      <c r="CH33" s="70">
        <f t="shared" si="107"/>
        <v>0</v>
      </c>
      <c r="CI33" s="70">
        <f t="shared" si="108"/>
        <v>25</v>
      </c>
      <c r="CJ33" s="74">
        <f t="shared" si="109"/>
        <v>25</v>
      </c>
      <c r="CK33" s="70">
        <f t="shared" si="110"/>
        <v>50</v>
      </c>
      <c r="CL33" s="72">
        <f t="shared" si="111"/>
        <v>10</v>
      </c>
      <c r="CM33" s="70">
        <f t="shared" si="112"/>
        <v>50</v>
      </c>
      <c r="CN33" s="70">
        <f t="shared" si="113"/>
        <v>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 t="shared" si="114"/>
        <v>0</v>
      </c>
      <c r="CR33" s="73">
        <f t="array" ref="CR33">SUM(IF(ISERR(FIND(CR$4,$D33:$CD33)),0,1))</f>
        <v>1</v>
      </c>
      <c r="CS33" s="73">
        <f t="array" ref="CS33">SUM(IF(ISERR(FIND(CS$4,$D33:$CD33)),0,1))</f>
        <v>4</v>
      </c>
      <c r="CT33" s="73">
        <f t="array" ref="CT33">SUM(IF(ISERR(FIND(CT$4,$D33:$CD33)),0,1))</f>
        <v>0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/>
      <c r="CY33" s="73">
        <f t="shared" si="115"/>
        <v>0</v>
      </c>
      <c r="CZ33" s="73">
        <f t="shared" si="116"/>
        <v>6</v>
      </c>
      <c r="DA33" s="73">
        <f t="shared" si="117"/>
        <v>1</v>
      </c>
      <c r="DB33" s="73">
        <f t="shared" si="118"/>
        <v>0</v>
      </c>
      <c r="DC33" s="73">
        <f t="shared" si="119"/>
        <v>0</v>
      </c>
      <c r="DD33" s="73">
        <f t="shared" si="120"/>
        <v>1</v>
      </c>
      <c r="DE33" s="70">
        <f t="shared" si="121"/>
        <v>1000506.50033</v>
      </c>
      <c r="DF33" s="70">
        <f t="shared" si="1"/>
        <v>14</v>
      </c>
      <c r="DG33" s="70">
        <v>0</v>
      </c>
      <c r="DH33" s="92">
        <f t="shared" si="122"/>
        <v>0.6</v>
      </c>
      <c r="DI33" s="100">
        <f t="shared" si="123"/>
        <v>0</v>
      </c>
    </row>
    <row r="34" spans="1:113">
      <c r="B34" s="70" t="s">
        <v>30</v>
      </c>
      <c r="C34" s="70" t="s">
        <v>220</v>
      </c>
      <c r="D34" t="s">
        <v>243</v>
      </c>
      <c r="E34" t="s">
        <v>327</v>
      </c>
      <c r="F34" t="s">
        <v>337</v>
      </c>
      <c r="G34" t="s">
        <v>351</v>
      </c>
      <c r="H34" t="s">
        <v>368</v>
      </c>
      <c r="I34" t="s">
        <v>390</v>
      </c>
      <c r="L34" s="133" t="s">
        <v>255</v>
      </c>
      <c r="M34" s="133" t="s">
        <v>277</v>
      </c>
      <c r="N34" s="133" t="s">
        <v>452</v>
      </c>
      <c r="O34" s="133" t="s">
        <v>474</v>
      </c>
      <c r="P34" s="133" t="s">
        <v>488</v>
      </c>
      <c r="Q34" s="133" t="s">
        <v>507</v>
      </c>
      <c r="R34" s="133" t="s">
        <v>519</v>
      </c>
      <c r="T34" s="133" t="s">
        <v>505</v>
      </c>
      <c r="U34" s="133" t="s">
        <v>251</v>
      </c>
      <c r="V34" s="133" t="s">
        <v>566</v>
      </c>
      <c r="CE34" s="70">
        <f t="shared" si="4"/>
        <v>16</v>
      </c>
      <c r="CF34" s="70">
        <f t="shared" si="5"/>
        <v>2</v>
      </c>
      <c r="CG34" s="70">
        <f t="shared" si="6"/>
        <v>14</v>
      </c>
      <c r="CH34" s="70">
        <f t="shared" si="7"/>
        <v>0</v>
      </c>
      <c r="CI34" s="70">
        <f t="shared" si="8"/>
        <v>21</v>
      </c>
      <c r="CJ34" s="74">
        <f t="shared" si="0"/>
        <v>21</v>
      </c>
      <c r="CK34" s="70">
        <f t="shared" si="9"/>
        <v>81</v>
      </c>
      <c r="CL34" s="72">
        <f t="shared" si="10"/>
        <v>5.7857142857142856</v>
      </c>
      <c r="CM34" s="70">
        <f t="shared" si="11"/>
        <v>66</v>
      </c>
      <c r="CN34" s="70">
        <f t="shared" si="12"/>
        <v>10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3"/>
        <v>3</v>
      </c>
      <c r="CR34" s="73">
        <f t="array" ref="CR34">SUM(IF(ISERR(FIND(CR$4,$D34:$CD34)),0,1))</f>
        <v>5</v>
      </c>
      <c r="CS34" s="73">
        <f t="array" ref="CS34">SUM(IF(ISERR(FIND(CS$4,$D34:$CD34)),0,1))</f>
        <v>5</v>
      </c>
      <c r="CT34" s="73">
        <f t="array" ref="CT34">SUM(IF(ISERR(FIND(CT$4,$D34:$CD34)),0,1))</f>
        <v>2</v>
      </c>
      <c r="CU34" s="73">
        <f t="array" ref="CU34">SUM(IF(ISERR(FIND(CU$4,$D34:$CD34)),0,1))</f>
        <v>0</v>
      </c>
      <c r="CV34" s="73">
        <f t="array" ref="CV34">SUM(IF(ISERR(FIND(CV$4,$D34:$CD34)),0,1))</f>
        <v>2</v>
      </c>
      <c r="CW34" s="73">
        <f t="array" ref="CW34">SUM(IF(ISERR(FIND(CW$4,$D34:$CD34)),0,1))</f>
        <v>0</v>
      </c>
      <c r="CX34" s="73"/>
      <c r="CY34" s="73">
        <f t="shared" si="14"/>
        <v>2</v>
      </c>
      <c r="CZ34" s="73">
        <f t="shared" si="15"/>
        <v>4</v>
      </c>
      <c r="DA34" s="73">
        <f t="shared" si="16"/>
        <v>1</v>
      </c>
      <c r="DB34" s="73">
        <f t="shared" si="17"/>
        <v>0</v>
      </c>
      <c r="DC34" s="73">
        <f t="shared" si="18"/>
        <v>0</v>
      </c>
      <c r="DD34" s="73">
        <f t="shared" si="19"/>
        <v>0</v>
      </c>
      <c r="DE34" s="70">
        <f t="shared" si="20"/>
        <v>580416.81034000008</v>
      </c>
      <c r="DF34" s="70">
        <f t="shared" si="1"/>
        <v>25</v>
      </c>
      <c r="DG34" s="70">
        <v>0</v>
      </c>
      <c r="DH34" s="92">
        <f t="shared" si="21"/>
        <v>0.27160493827160492</v>
      </c>
      <c r="DI34" s="100">
        <f t="shared" si="22"/>
        <v>0.21428571428571427</v>
      </c>
    </row>
    <row r="35" spans="1:113">
      <c r="B35" s="70" t="s">
        <v>213</v>
      </c>
      <c r="C35" s="70" t="s">
        <v>214</v>
      </c>
      <c r="D35" t="s">
        <v>275</v>
      </c>
      <c r="O35" t="s">
        <v>476</v>
      </c>
      <c r="Q35"/>
      <c r="CE35" s="70">
        <f>BatSplit(D35:CD35,MatchesPlayed)</f>
        <v>2</v>
      </c>
      <c r="CF35" s="70">
        <f>CE35-CG35</f>
        <v>1</v>
      </c>
      <c r="CG35" s="70">
        <f>BatSplit(D35:CD35,InnsBattedIn)</f>
        <v>1</v>
      </c>
      <c r="CH35" s="70">
        <f>BatSplit(D35:CD35,NotOuts)</f>
        <v>0</v>
      </c>
      <c r="CI35" s="70">
        <f>BatSplit(D35:CD35,HighestScore)</f>
        <v>0</v>
      </c>
      <c r="CJ35" s="74">
        <f t="shared" si="0"/>
        <v>0</v>
      </c>
      <c r="CK35" s="70">
        <f>BatSplit(D35:CD35,RunsScored)</f>
        <v>0</v>
      </c>
      <c r="CL35" s="72">
        <f>IF(CG35=CH35,0,CK35/(CG35-CH35))</f>
        <v>0</v>
      </c>
      <c r="CM35" s="70">
        <f>BatSplit(D35:CD35,BatPts)</f>
        <v>-5</v>
      </c>
      <c r="CN35" s="70">
        <f>BatSplit(D35:CD35,FldPts)</f>
        <v>0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>BatSplit(D35:CD35,Ducks)</f>
        <v>1</v>
      </c>
      <c r="CR35" s="73">
        <f t="array" ref="CR35">SUM(IF(ISERR(FIND(CR$4,$D35:$CD35)),0,1))</f>
        <v>0</v>
      </c>
      <c r="CS35" s="73">
        <f t="array" ref="CS35">SUM(IF(ISERR(FIND(CS$4,$D35:$CD35)),0,1))</f>
        <v>0</v>
      </c>
      <c r="CT35" s="73">
        <f t="array" ref="CT35">SUM(IF(ISERR(FIND(CT$4,$D35:$CD35)),0,1))</f>
        <v>1</v>
      </c>
      <c r="CU35" s="73">
        <f t="array" ref="CU35">SUM(IF(ISERR(FIND(CU$4,$D35:$CD35)),0,1))</f>
        <v>0</v>
      </c>
      <c r="CV35" s="73">
        <f t="array" ref="CV35">SUM(IF(ISERR(FIND(CV$4,$D35:$CD35)),0,1))</f>
        <v>0</v>
      </c>
      <c r="CW35" s="73">
        <f t="array" ref="CW35">SUM(IF(ISERR(FIND(CW$4,$D35:$CD35)),0,1))</f>
        <v>0</v>
      </c>
      <c r="CX35" s="132" t="str">
        <f>IF(CG35-CH35&gt;=10,MAX(CR35:CW35)/(CG35-CH35),"")</f>
        <v/>
      </c>
      <c r="CY35" s="73">
        <f>BatSplit(D35:CD35,Catches)</f>
        <v>0</v>
      </c>
      <c r="CZ35" s="73">
        <f>BatSplit(D35:CD35,Fours)</f>
        <v>0</v>
      </c>
      <c r="DA35" s="73">
        <f>BatSplit(D35:CD35,Sixes)</f>
        <v>0</v>
      </c>
      <c r="DB35" s="73">
        <f>BatSplit(D35:CD35,Stumpings)</f>
        <v>0</v>
      </c>
      <c r="DC35" s="73">
        <f>BatSplit(D35:CD35,CaughtWkt)</f>
        <v>0</v>
      </c>
      <c r="DD35" s="73">
        <f>BatSplit(D35:CD35,TwentyFives)</f>
        <v>0</v>
      </c>
      <c r="DE35" s="70">
        <f>ROUND(IF(ISERROR(CL35),0,CL35),2)*100000+CG35*100+CE35+CK35/100+ROW()/100000</f>
        <v>102.00035</v>
      </c>
      <c r="DF35" s="70">
        <f t="shared" si="1"/>
        <v>31</v>
      </c>
      <c r="DG35" s="70">
        <v>0</v>
      </c>
      <c r="DH35" s="92" t="str">
        <f>IF(CK35&gt;=50,(CZ35*4+DA35*6+DG35*5)/CK35,"")</f>
        <v/>
      </c>
      <c r="DI35" s="100">
        <f>CQ35/(CG35-CH35)</f>
        <v>1</v>
      </c>
    </row>
    <row r="36" spans="1:113">
      <c r="A36" s="70" t="s">
        <v>60</v>
      </c>
      <c r="B36" s="70" t="s">
        <v>26</v>
      </c>
      <c r="C36" s="70" t="s">
        <v>153</v>
      </c>
      <c r="F36" t="s">
        <v>331</v>
      </c>
      <c r="N36"/>
      <c r="R36"/>
      <c r="S36"/>
      <c r="T36"/>
      <c r="V36" s="133"/>
      <c r="CE36" s="70">
        <f>BatSplit(D36:CD36,MatchesPlayed)</f>
        <v>1</v>
      </c>
      <c r="CF36" s="70">
        <f>CE36-CG36</f>
        <v>0</v>
      </c>
      <c r="CG36" s="70">
        <f>BatSplit(D36:CD36,InnsBattedIn)</f>
        <v>1</v>
      </c>
      <c r="CH36" s="70">
        <f>BatSplit(D36:CD36,NotOuts)</f>
        <v>0</v>
      </c>
      <c r="CI36" s="70">
        <f>BatSplit(D36:CD36,HighestScore)</f>
        <v>0</v>
      </c>
      <c r="CJ36" s="74">
        <f t="shared" si="0"/>
        <v>0</v>
      </c>
      <c r="CK36" s="70">
        <f>BatSplit(D36:CD36,RunsScored)</f>
        <v>0</v>
      </c>
      <c r="CL36" s="72">
        <f>IF(CG36=CH36,0,CK36/(CG36-CH36))</f>
        <v>0</v>
      </c>
      <c r="CM36" s="70">
        <f>BatSplit(D36:CD36,BatPts)</f>
        <v>-5</v>
      </c>
      <c r="CN36" s="70">
        <f>BatSplit(D36:CD36,FldPts)</f>
        <v>5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>BatSplit(D36:CD36,Ducks)</f>
        <v>1</v>
      </c>
      <c r="CR36" s="73">
        <f t="array" ref="CR36">SUM(IF(ISERR(FIND(CR$4,$D36:$CD36)),0,1))</f>
        <v>1</v>
      </c>
      <c r="CS36" s="73">
        <f t="array" ref="CS36">SUM(IF(ISERR(FIND(CS$4,$D36:$CD36)),0,1))</f>
        <v>0</v>
      </c>
      <c r="CT36" s="73">
        <f t="array" ref="CT36">SUM(IF(ISERR(FIND(CT$4,$D36:$CD36)),0,1))</f>
        <v>0</v>
      </c>
      <c r="CU36" s="73">
        <f t="array" ref="CU36">SUM(IF(ISERR(FIND(CU$4,$D36:$CD36)),0,1))</f>
        <v>0</v>
      </c>
      <c r="CV36" s="73">
        <f t="array" ref="CV36">SUM(IF(ISERR(FIND(CV$4,$D36:$CD36)),0,1))</f>
        <v>0</v>
      </c>
      <c r="CW36" s="73">
        <f t="array" ref="CW36">SUM(IF(ISERR(FIND(CW$4,$D36:$CD36)),0,1))</f>
        <v>0</v>
      </c>
      <c r="CX36" s="132" t="str">
        <f>IF(CG36-CH36&gt;=10,MAX(CR36:CW36)/(CG36-CH36),"")</f>
        <v/>
      </c>
      <c r="CY36" s="73">
        <f>BatSplit(D36:CD36,Catches)</f>
        <v>1</v>
      </c>
      <c r="CZ36" s="73">
        <f>BatSplit(D36:CD36,Fours)</f>
        <v>0</v>
      </c>
      <c r="DA36" s="73">
        <f>BatSplit(D36:CD36,Sixes)</f>
        <v>0</v>
      </c>
      <c r="DB36" s="73">
        <f>BatSplit(D36:CD36,Stumpings)</f>
        <v>0</v>
      </c>
      <c r="DC36" s="73">
        <f>BatSplit(D36:CD36,CaughtWkt)</f>
        <v>0</v>
      </c>
      <c r="DD36" s="73">
        <f>BatSplit(D36:CD36,TwentyFives)</f>
        <v>0</v>
      </c>
      <c r="DE36" s="70">
        <f>ROUND(IF(ISERROR(CL36),0,CL36),2)*100000+CG36*100+CE36+CK36/100+ROW()/100000</f>
        <v>101.00036</v>
      </c>
      <c r="DF36" s="70">
        <f t="shared" si="1"/>
        <v>34</v>
      </c>
      <c r="DG36" s="70">
        <v>0</v>
      </c>
      <c r="DH36" s="92" t="str">
        <f>IF(CK36&gt;=50,(CZ36*4+DA36*6+DG36*5)/CK36,"")</f>
        <v/>
      </c>
      <c r="DI36" s="100">
        <f>CQ36/(CG36-CH36)</f>
        <v>1</v>
      </c>
    </row>
    <row r="37" spans="1:113">
      <c r="A37" s="70" t="s">
        <v>57</v>
      </c>
      <c r="B37" s="70" t="s">
        <v>32</v>
      </c>
      <c r="C37" s="70" t="s">
        <v>154</v>
      </c>
      <c r="D37" s="133" t="s">
        <v>312</v>
      </c>
      <c r="F37" s="62" t="s">
        <v>342</v>
      </c>
      <c r="H37" s="133" t="s">
        <v>366</v>
      </c>
      <c r="I37" s="62" t="s">
        <v>386</v>
      </c>
      <c r="J37" s="62" t="s">
        <v>404</v>
      </c>
      <c r="N37"/>
      <c r="O37" t="s">
        <v>471</v>
      </c>
      <c r="R37"/>
      <c r="S37"/>
      <c r="T37"/>
      <c r="V37" s="133"/>
      <c r="CE37" s="70">
        <f>BatSplit(D37:CD37,MatchesPlayed)</f>
        <v>6</v>
      </c>
      <c r="CF37" s="70">
        <f>CE37-CG37</f>
        <v>0</v>
      </c>
      <c r="CG37" s="70">
        <f>BatSplit(D37:CD37,InnsBattedIn)</f>
        <v>6</v>
      </c>
      <c r="CH37" s="70">
        <f>BatSplit(D37:CD37,NotOuts)</f>
        <v>0</v>
      </c>
      <c r="CI37" s="70">
        <f>BatSplit(D37:CD37,HighestScore)</f>
        <v>15</v>
      </c>
      <c r="CJ37" s="74">
        <f t="shared" ref="CJ37" si="124">IF(CI37&lt;0,-CI37&amp;"*",CI37)</f>
        <v>15</v>
      </c>
      <c r="CK37" s="70">
        <f>BatSplit(D37:CD37,RunsScored)</f>
        <v>38</v>
      </c>
      <c r="CL37" s="72">
        <f>IF(CG37=CH37,0,CK37/(CG37-CH37))</f>
        <v>6.333333333333333</v>
      </c>
      <c r="CM37" s="70">
        <f>BatSplit(D37:CD37,BatPts)</f>
        <v>38</v>
      </c>
      <c r="CN37" s="70">
        <f>BatSplit(D37:CD37,FldPts)</f>
        <v>0</v>
      </c>
      <c r="CO37" s="73">
        <f t="array" ref="CO37">SUM(IF(ISERR(FIND("*",D37:CD37)),0,1))</f>
        <v>0</v>
      </c>
      <c r="CP37" s="73">
        <f t="array" ref="CP37">SUM(IF(ISERR(FIND("+",D37:CD37)),0,1))</f>
        <v>5</v>
      </c>
      <c r="CQ37" s="70">
        <f>BatSplit(D37:CD37,Ducks)</f>
        <v>0</v>
      </c>
      <c r="CR37" s="73">
        <f t="array" ref="CR37">SUM(IF(ISERR(FIND(CR$4,$D37:$CD37)),0,1))</f>
        <v>1</v>
      </c>
      <c r="CS37" s="73">
        <f t="array" ref="CS37">SUM(IF(ISERR(FIND(CS$4,$D37:$CD37)),0,1))</f>
        <v>4</v>
      </c>
      <c r="CT37" s="73">
        <f t="array" ref="CT37">SUM(IF(ISERR(FIND(CT$4,$D37:$CD37)),0,1))</f>
        <v>1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132" t="str">
        <f>IF(CG37-CH37&gt;=10,MAX(CR37:CW37)/(CG37-CH37),"")</f>
        <v/>
      </c>
      <c r="CY37" s="73">
        <f>BatSplit(D37:CD37,Catches)</f>
        <v>1</v>
      </c>
      <c r="CZ37" s="73">
        <f>BatSplit(D37:CD37,Fours)</f>
        <v>4</v>
      </c>
      <c r="DA37" s="73">
        <f>BatSplit(D37:CD37,Sixes)</f>
        <v>0</v>
      </c>
      <c r="DB37" s="73">
        <f>BatSplit(D37:CD37,Stumpings)</f>
        <v>0</v>
      </c>
      <c r="DC37" s="73">
        <f>BatSplit(D37:CD37,CaughtWkt)</f>
        <v>1</v>
      </c>
      <c r="DD37" s="73">
        <f>BatSplit(D37:CD37,TwentyFives)</f>
        <v>0</v>
      </c>
      <c r="DE37" s="70">
        <f>ROUND(IF(ISERROR(CL37),0,CL37),2)*100000+CG37*100+CE37+CK37/100+ROW()/100000</f>
        <v>633606.38037000003</v>
      </c>
      <c r="DF37" s="70">
        <f t="shared" si="1"/>
        <v>23</v>
      </c>
      <c r="DG37" s="70">
        <v>0</v>
      </c>
      <c r="DH37" s="92" t="str">
        <f>IF(CK37&gt;=50,(CZ37*4+DA37*6+DG37*5)/CK37,"")</f>
        <v/>
      </c>
      <c r="DI37" s="100">
        <f>CQ37/(CG37-CH37)</f>
        <v>0</v>
      </c>
    </row>
    <row r="38" spans="1:113">
      <c r="B38" t="s">
        <v>198</v>
      </c>
      <c r="C38" t="s">
        <v>442</v>
      </c>
      <c r="D38" s="133"/>
      <c r="E38" s="133"/>
      <c r="F38" s="133"/>
      <c r="G38" s="133"/>
      <c r="H38" s="133"/>
      <c r="I38" s="133"/>
      <c r="J38" s="133"/>
      <c r="M38" t="s">
        <v>449</v>
      </c>
      <c r="N38" t="s">
        <v>455</v>
      </c>
      <c r="O38"/>
      <c r="Q38" t="s">
        <v>506</v>
      </c>
      <c r="R38" t="s">
        <v>523</v>
      </c>
      <c r="S38"/>
      <c r="U38"/>
      <c r="CE38" s="70">
        <f>BatSplit(D38:CD38,MatchesPlayed)</f>
        <v>4</v>
      </c>
      <c r="CF38" s="70">
        <f>CE38-CG38</f>
        <v>1</v>
      </c>
      <c r="CG38" s="70">
        <f>BatSplit(D38:CD38,InnsBattedIn)</f>
        <v>3</v>
      </c>
      <c r="CH38" s="70">
        <f>BatSplit(D38:CD38,NotOuts)</f>
        <v>1</v>
      </c>
      <c r="CI38" s="70">
        <f>BatSplit(D38:CD38,HighestScore)</f>
        <v>25</v>
      </c>
      <c r="CJ38" s="74">
        <f t="shared" si="0"/>
        <v>25</v>
      </c>
      <c r="CK38" s="70">
        <f>BatSplit(D38:CD38,RunsScored)</f>
        <v>45</v>
      </c>
      <c r="CL38" s="72">
        <f>IF(CG38=CH38,0,CK38/(CG38-CH38))</f>
        <v>22.5</v>
      </c>
      <c r="CM38" s="70">
        <f>BatSplit(D38:CD38,BatPts)</f>
        <v>45</v>
      </c>
      <c r="CN38" s="70">
        <f>BatSplit(D38:CD38,FldPts)</f>
        <v>15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>BatSplit(D38:CD38,Ducks)</f>
        <v>0</v>
      </c>
      <c r="CR38" s="73">
        <f t="array" ref="CR38">SUM(IF(ISERR(FIND(CR$4,$D38:$CD38)),0,1))</f>
        <v>0</v>
      </c>
      <c r="CS38" s="73">
        <f t="array" ref="CS38">SUM(IF(ISERR(FIND(CS$4,$D38:$CD38)),0,1))</f>
        <v>1</v>
      </c>
      <c r="CT38" s="73">
        <f t="array" ref="CT38">SUM(IF(ISERR(FIND(CT$4,$D38:$CD38)),0,1))</f>
        <v>0</v>
      </c>
      <c r="CU38" s="73">
        <f t="array" ref="CU38">SUM(IF(ISERR(FIND(CU$4,$D38:$CD38)),0,1))</f>
        <v>0</v>
      </c>
      <c r="CV38" s="73">
        <f t="array" ref="CV38">SUM(IF(ISERR(FIND(CV$4,$D38:$CD38)),0,1))</f>
        <v>1</v>
      </c>
      <c r="CW38" s="73">
        <f t="array" ref="CW38">SUM(IF(ISERR(FIND(CW$4,$D38:$CD38)),0,1))</f>
        <v>0</v>
      </c>
      <c r="CX38" s="132" t="str">
        <f>IF(CG38-CH38&gt;=10,MAX(CR38:CW38)/(CG38-CH38),"")</f>
        <v/>
      </c>
      <c r="CY38" s="73">
        <f>BatSplit(D38:CD38,Catches)</f>
        <v>3</v>
      </c>
      <c r="CZ38" s="73">
        <f>BatSplit(D38:CD38,Fours)</f>
        <v>4</v>
      </c>
      <c r="DA38" s="73">
        <f>BatSplit(D38:CD38,Sixes)</f>
        <v>1</v>
      </c>
      <c r="DB38" s="73">
        <f>BatSplit(D38:CD38,Stumpings)</f>
        <v>0</v>
      </c>
      <c r="DC38" s="73">
        <f>BatSplit(D38:CD38,CaughtWkt)</f>
        <v>0</v>
      </c>
      <c r="DD38" s="73">
        <f>BatSplit(D38:CD38,TwentyFives)</f>
        <v>1</v>
      </c>
      <c r="DE38" s="70">
        <f>ROUND(IF(ISERROR(CL38),0,CL38),2)*100000+CG38*100+CE38+CK38/100+ROW()/100000</f>
        <v>2250304.4503800003</v>
      </c>
      <c r="DF38" s="70">
        <f t="shared" si="1"/>
        <v>5</v>
      </c>
      <c r="DG38" s="70">
        <v>0</v>
      </c>
      <c r="DH38" s="92" t="str">
        <f>IF(CK38&gt;=50,(CZ38*4+DA38*6+DG38*5)/CK38,"")</f>
        <v/>
      </c>
      <c r="DI38" s="100">
        <f>CQ38/(CG38-CH38)</f>
        <v>0</v>
      </c>
    </row>
    <row r="39" spans="1:113">
      <c r="CJ39" s="74"/>
      <c r="CL39" s="72"/>
      <c r="CO39" s="73"/>
      <c r="CP39" s="73"/>
      <c r="CR39" s="73"/>
      <c r="CS39" s="73"/>
      <c r="CT39" s="73"/>
      <c r="CU39" s="73"/>
      <c r="CV39" s="73"/>
      <c r="CW39" s="73"/>
      <c r="CX39" s="73"/>
    </row>
    <row r="40" spans="1:113">
      <c r="CO40" s="93">
        <f t="shared" ref="CO40:CV40" si="125">SUM(CO5:CO39)</f>
        <v>18</v>
      </c>
      <c r="CP40" s="93">
        <f t="shared" si="125"/>
        <v>17</v>
      </c>
      <c r="CQ40" s="62">
        <f t="shared" si="125"/>
        <v>23</v>
      </c>
      <c r="CR40" s="75">
        <f t="shared" si="125"/>
        <v>53</v>
      </c>
      <c r="CS40" s="75">
        <f t="shared" si="125"/>
        <v>61</v>
      </c>
      <c r="CT40" s="75">
        <f t="shared" si="125"/>
        <v>17</v>
      </c>
      <c r="CU40" s="75">
        <f t="shared" si="125"/>
        <v>0</v>
      </c>
      <c r="CV40" s="75">
        <f t="shared" si="125"/>
        <v>8</v>
      </c>
      <c r="CW40" s="75"/>
      <c r="CX40" s="75"/>
      <c r="CY40" s="62">
        <f t="shared" ref="CY40:DD40" si="126">SUM(CY5:CY39)</f>
        <v>42</v>
      </c>
      <c r="CZ40" s="62">
        <f t="shared" si="126"/>
        <v>152</v>
      </c>
      <c r="DA40" s="62">
        <f t="shared" si="126"/>
        <v>11</v>
      </c>
      <c r="DB40" s="62">
        <f t="shared" si="126"/>
        <v>1</v>
      </c>
      <c r="DC40" s="62">
        <f t="shared" si="126"/>
        <v>6</v>
      </c>
      <c r="DD40" s="62">
        <f t="shared" si="126"/>
        <v>15</v>
      </c>
    </row>
    <row r="41" spans="1:113">
      <c r="C41" s="70" t="s">
        <v>130</v>
      </c>
      <c r="D41" s="70">
        <f t="array" ref="D41">SUM(IF(NOT(ISERR(FIND("*",D5:D38))),1,0))</f>
        <v>1</v>
      </c>
      <c r="E41" s="70">
        <f t="array" ref="E41">SUM(IF(NOT(ISERR(FIND("*",E5:E38))),1,0))</f>
        <v>1</v>
      </c>
      <c r="F41" s="70">
        <f t="array" ref="F41">SUM(IF(NOT(ISERR(FIND("*",F5:F38))),1,0))</f>
        <v>1</v>
      </c>
      <c r="G41" s="70">
        <f t="array" ref="G41">SUM(IF(NOT(ISERR(FIND("*",G5:G38))),1,0))</f>
        <v>1</v>
      </c>
      <c r="H41" s="70">
        <f t="array" ref="H41">SUM(IF(NOT(ISERR(FIND("*",H5:H38))),1,0))</f>
        <v>1</v>
      </c>
      <c r="I41" s="70">
        <f t="array" ref="I41">SUM(IF(NOT(ISERR(FIND("*",I5:I38))),1,0))</f>
        <v>1</v>
      </c>
      <c r="J41" s="70">
        <f t="array" ref="J41">SUM(IF(NOT(ISERR(FIND("*",J5:J38))),1,0))</f>
        <v>1</v>
      </c>
      <c r="K41" s="70">
        <f t="array" ref="K41">SUM(IF(NOT(ISERR(FIND("*",K5:K38))),1,0))</f>
        <v>1</v>
      </c>
      <c r="L41" s="70">
        <f t="array" ref="L41">SUM(IF(NOT(ISERR(FIND("*",L5:L38))),1,0))</f>
        <v>0</v>
      </c>
      <c r="M41" s="70">
        <f t="array" ref="M41">SUM(IF(NOT(ISERR(FIND("*",M5:M38))),1,0))</f>
        <v>1</v>
      </c>
      <c r="N41" s="70">
        <f t="array" ref="N41">SUM(IF(NOT(ISERR(FIND("*",N5:N38))),1,0))</f>
        <v>1</v>
      </c>
      <c r="O41" s="70">
        <f t="array" ref="O41">SUM(IF(NOT(ISERR(FIND("*",O5:O38))),1,0))</f>
        <v>1</v>
      </c>
      <c r="P41" s="70">
        <f t="array" ref="P41">SUM(IF(NOT(ISERR(FIND("*",P5:P38))),1,0))</f>
        <v>1</v>
      </c>
      <c r="Q41" s="70">
        <f t="array" ref="Q41">SUM(IF(NOT(ISERR(FIND("*",Q5:Q38))),1,0))</f>
        <v>1</v>
      </c>
      <c r="R41" s="70">
        <f t="array" ref="R41">SUM(IF(NOT(ISERR(FIND("*",R5:R38))),1,0))</f>
        <v>1</v>
      </c>
      <c r="S41" s="70">
        <f t="array" ref="S41">SUM(IF(NOT(ISERR(FIND("*",S5:S38))),1,0))</f>
        <v>1</v>
      </c>
      <c r="T41" s="70">
        <f t="array" ref="T41">SUM(IF(NOT(ISERR(FIND("*",T5:T38))),1,0))</f>
        <v>1</v>
      </c>
      <c r="U41" s="70">
        <f t="array" ref="U41">SUM(IF(NOT(ISERR(FIND("*",U5:U38))),1,0))</f>
        <v>1</v>
      </c>
      <c r="V41" s="70">
        <f t="array" ref="V41">SUM(IF(NOT(ISERR(FIND("*",V5:V38))),1,0))</f>
        <v>1</v>
      </c>
      <c r="W41" s="70">
        <f t="array" ref="W41">SUM(IF(NOT(ISERR(FIND("*",W5:W38))),1,0))</f>
        <v>0</v>
      </c>
      <c r="X41" s="70">
        <f t="array" ref="X41">SUM(IF(NOT(ISERR(FIND("*",X5:X38))),1,0))</f>
        <v>0</v>
      </c>
      <c r="Y41" s="70">
        <f t="array" ref="Y41">SUM(IF(NOT(ISERR(FIND("*",Y5:Y38))),1,0))</f>
        <v>0</v>
      </c>
      <c r="Z41" s="70">
        <f t="array" ref="Z41">SUM(IF(NOT(ISERR(FIND("*",Z5:Z38))),1,0))</f>
        <v>0</v>
      </c>
      <c r="AA41" s="70">
        <f t="array" ref="AA41">SUM(IF(NOT(ISERR(FIND("*",AA5:AA38))),1,0))</f>
        <v>0</v>
      </c>
      <c r="AB41" s="70">
        <f t="array" ref="AB41">SUM(IF(NOT(ISERR(FIND("*",AB5:AB38))),1,0))</f>
        <v>0</v>
      </c>
      <c r="AC41" s="70">
        <f t="array" ref="AC41">SUM(IF(NOT(ISERR(FIND("*",AC5:AC38))),1,0))</f>
        <v>0</v>
      </c>
      <c r="AD41" s="70">
        <f t="array" ref="AD41">SUM(IF(NOT(ISERR(FIND("*",AD5:AD38))),1,0))</f>
        <v>0</v>
      </c>
      <c r="AE41" s="70">
        <f t="array" ref="AE41">SUM(IF(NOT(ISERR(FIND("*",AE5:AE38))),1,0))</f>
        <v>0</v>
      </c>
      <c r="AF41" s="70">
        <f t="array" ref="AF41">SUM(IF(NOT(ISERR(FIND("*",AF5:AF38))),1,0))</f>
        <v>0</v>
      </c>
      <c r="AG41" s="70">
        <f t="array" ref="AG41">SUM(IF(NOT(ISERR(FIND("*",AG5:AG38))),1,0))</f>
        <v>0</v>
      </c>
      <c r="AH41" s="70">
        <f t="array" ref="AH41">SUM(IF(NOT(ISERR(FIND("*",AH5:AH38))),1,0))</f>
        <v>0</v>
      </c>
      <c r="AI41" s="70">
        <f t="array" ref="AI41">SUM(IF(NOT(ISERR(FIND("*",AI5:AI38))),1,0))</f>
        <v>0</v>
      </c>
      <c r="AJ41" s="70">
        <f t="array" ref="AJ41">SUM(IF(NOT(ISERR(FIND("*",AJ5:AJ38))),1,0))</f>
        <v>0</v>
      </c>
      <c r="AK41" s="70">
        <f t="array" ref="AK41">SUM(IF(NOT(ISERR(FIND("*",AK5:AK38))),1,0))</f>
        <v>0</v>
      </c>
      <c r="AL41" s="70">
        <f t="array" ref="AL41">SUM(IF(NOT(ISERR(FIND("*",AL5:AL38))),1,0))</f>
        <v>0</v>
      </c>
      <c r="AM41" s="70">
        <f t="array" ref="AM41">SUM(IF(NOT(ISERR(FIND("*",AM5:AM38))),1,0))</f>
        <v>0</v>
      </c>
      <c r="AN41" s="70">
        <f t="array" ref="AN41">SUM(IF(NOT(ISERR(FIND("*",AN5:AN38))),1,0))</f>
        <v>0</v>
      </c>
      <c r="AO41" s="70">
        <f t="array" ref="AO41">SUM(IF(NOT(ISERR(FIND("*",AO5:AO38))),1,0))</f>
        <v>0</v>
      </c>
      <c r="AP41" s="70">
        <f t="array" ref="AP41">SUM(IF(NOT(ISERR(FIND("*",AP5:AP38))),1,0))</f>
        <v>0</v>
      </c>
      <c r="AQ41" s="70">
        <f t="array" ref="AQ41">SUM(IF(NOT(ISERR(FIND("*",AQ5:AQ38))),1,0))</f>
        <v>0</v>
      </c>
      <c r="AR41" s="70">
        <f t="array" ref="AR41">SUM(IF(NOT(ISERR(FIND("*",AR5:AR38))),1,0))</f>
        <v>0</v>
      </c>
      <c r="AS41" s="70">
        <f t="array" ref="AS41">SUM(IF(NOT(ISERR(FIND("*",AS5:AS38))),1,0))</f>
        <v>0</v>
      </c>
      <c r="AT41" s="70">
        <f t="array" ref="AT41">SUM(IF(NOT(ISERR(FIND("*",AT5:AT38))),1,0))</f>
        <v>0</v>
      </c>
      <c r="AU41" s="70">
        <f t="array" ref="AU41">SUM(IF(NOT(ISERR(FIND("*",AU5:AU38))),1,0))</f>
        <v>0</v>
      </c>
      <c r="AV41" s="70">
        <f t="array" ref="AV41">SUM(IF(NOT(ISERR(FIND("*",AV5:AV38))),1,0))</f>
        <v>0</v>
      </c>
      <c r="AW41" s="70">
        <f t="array" ref="AW41">SUM(IF(NOT(ISERR(FIND("*",AW5:AW38))),1,0))</f>
        <v>0</v>
      </c>
      <c r="AX41" s="70">
        <f t="array" ref="AX41">SUM(IF(NOT(ISERR(FIND("*",AX5:AX38))),1,0))</f>
        <v>0</v>
      </c>
      <c r="AY41" s="70">
        <f t="array" ref="AY41">SUM(IF(NOT(ISERR(FIND("*",AY5:AY38))),1,0))</f>
        <v>0</v>
      </c>
      <c r="AZ41" s="70">
        <f t="array" ref="AZ41">SUM(IF(NOT(ISERR(FIND("*",AZ5:AZ38))),1,0))</f>
        <v>0</v>
      </c>
      <c r="BA41" s="70">
        <f t="array" ref="BA41">SUM(IF(NOT(ISERR(FIND("*",BA5:BA38))),1,0))</f>
        <v>0</v>
      </c>
      <c r="BB41" s="70">
        <f t="array" ref="BB41">SUM(IF(NOT(ISERR(FIND("*",BB5:BB38))),1,0))</f>
        <v>0</v>
      </c>
      <c r="BC41" s="70">
        <f t="array" ref="BC41">SUM(IF(NOT(ISERR(FIND("*",BC5:BC38))),1,0))</f>
        <v>0</v>
      </c>
      <c r="BD41" s="70">
        <f t="array" ref="BD41">SUM(IF(NOT(ISERR(FIND("*",BD5:BD38))),1,0))</f>
        <v>0</v>
      </c>
      <c r="BE41" s="70">
        <f t="array" ref="BE41">SUM(IF(NOT(ISERR(FIND("*",BE5:BE38))),1,0))</f>
        <v>0</v>
      </c>
      <c r="BF41" s="70">
        <f t="array" ref="BF41">SUM(IF(NOT(ISERR(FIND("*",BF5:BF38))),1,0))</f>
        <v>0</v>
      </c>
      <c r="CE41" s="70">
        <f>SUM(D41:BF41)</f>
        <v>18</v>
      </c>
      <c r="CO41" s="94">
        <f>SUM(D41:BF41)</f>
        <v>18</v>
      </c>
      <c r="CP41" s="62"/>
      <c r="CQ41" s="62"/>
      <c r="CR41" s="75">
        <f>SUM(CR40:CV40)</f>
        <v>139</v>
      </c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</row>
    <row r="42" spans="1:113">
      <c r="C42" s="70" t="s">
        <v>14</v>
      </c>
      <c r="D42" s="70">
        <f t="array" ref="D42">SUM(IF(NOT(ISERR(FIND("+",D5:D38))),1,0))</f>
        <v>0</v>
      </c>
      <c r="E42" s="70">
        <f t="array" ref="E42">SUM(IF(NOT(ISERR(FIND("+",E5:E38))),1,0))</f>
        <v>1</v>
      </c>
      <c r="F42" s="70">
        <f t="array" ref="F42">SUM(IF(NOT(ISERR(FIND("+",F5:F38))),1,0))</f>
        <v>1</v>
      </c>
      <c r="G42" s="70">
        <f t="array" ref="G42">SUM(IF(NOT(ISERR(FIND("+",G5:G38))),1,0))</f>
        <v>1</v>
      </c>
      <c r="H42" s="70">
        <f t="array" ref="H42">SUM(IF(NOT(ISERR(FIND("+",H5:H38))),1,0))</f>
        <v>1</v>
      </c>
      <c r="I42" s="70">
        <f t="array" ref="I42">SUM(IF(NOT(ISERR(FIND("+",I5:I38))),1,0))</f>
        <v>1</v>
      </c>
      <c r="J42" s="70">
        <f t="array" ref="J42">SUM(IF(NOT(ISERR(FIND("+",J5:J38))),1,0))</f>
        <v>1</v>
      </c>
      <c r="K42" s="70">
        <f t="array" ref="K42">SUM(IF(NOT(ISERR(FIND("+",K5:K38))),1,0))</f>
        <v>1</v>
      </c>
      <c r="L42" s="70">
        <f t="array" ref="L42">SUM(IF(NOT(ISERR(FIND("+",L5:L38))),1,0))</f>
        <v>1</v>
      </c>
      <c r="M42" s="70">
        <f t="array" ref="M42">SUM(IF(NOT(ISERR(FIND("+",M5:M38))),1,0))</f>
        <v>1</v>
      </c>
      <c r="N42" s="70">
        <f t="array" ref="N42">SUM(IF(NOT(ISERR(FIND("+",N5:N38))),1,0))</f>
        <v>1</v>
      </c>
      <c r="O42" s="70">
        <f t="array" ref="O42">SUM(IF(NOT(ISERR(FIND("+",O5:O38))),1,0))</f>
        <v>1</v>
      </c>
      <c r="P42" s="70">
        <f t="array" ref="P42">SUM(IF(NOT(ISERR(FIND("+",P5:P38))),1,0))</f>
        <v>1</v>
      </c>
      <c r="Q42" s="70">
        <f t="array" ref="Q42">SUM(IF(NOT(ISERR(FIND("+",Q5:Q38))),1,0))</f>
        <v>1</v>
      </c>
      <c r="R42" s="70">
        <f t="array" ref="R42">SUM(IF(NOT(ISERR(FIND("+",R5:R38))),1,0))</f>
        <v>1</v>
      </c>
      <c r="S42" s="70">
        <f t="array" ref="S42">SUM(IF(NOT(ISERR(FIND("+",S5:S38))),1,0))</f>
        <v>1</v>
      </c>
      <c r="T42" s="70">
        <f t="array" ref="T42">SUM(IF(NOT(ISERR(FIND("+",T5:T38))),1,0))</f>
        <v>1</v>
      </c>
      <c r="U42" s="70">
        <f t="array" ref="U42">SUM(IF(NOT(ISERR(FIND("+",U5:U38))),1,0))</f>
        <v>1</v>
      </c>
      <c r="V42" s="70">
        <f t="array" ref="V42">SUM(IF(NOT(ISERR(FIND("+",V5:V38))),1,0))</f>
        <v>0</v>
      </c>
      <c r="W42" s="70">
        <f t="array" ref="W42">SUM(IF(NOT(ISERR(FIND("+",W5:W38))),1,0))</f>
        <v>0</v>
      </c>
      <c r="X42" s="70">
        <f t="array" ref="X42">SUM(IF(NOT(ISERR(FIND("+",X5:X38))),1,0))</f>
        <v>0</v>
      </c>
      <c r="Y42" s="70">
        <f t="array" ref="Y42">SUM(IF(NOT(ISERR(FIND("+",Y5:Y38))),1,0))</f>
        <v>0</v>
      </c>
      <c r="Z42" s="70">
        <f t="array" ref="Z42">SUM(IF(NOT(ISERR(FIND("+",Z5:Z38))),1,0))</f>
        <v>0</v>
      </c>
      <c r="AA42" s="70">
        <f t="array" ref="AA42">SUM(IF(NOT(ISERR(FIND("+",AA5:AA38))),1,0))</f>
        <v>0</v>
      </c>
      <c r="AB42" s="70">
        <f t="array" ref="AB42">SUM(IF(NOT(ISERR(FIND("+",AB5:AB38))),1,0))</f>
        <v>0</v>
      </c>
      <c r="AC42" s="70">
        <f t="array" ref="AC42">SUM(IF(NOT(ISERR(FIND("+",AC5:AC38))),1,0))</f>
        <v>0</v>
      </c>
      <c r="AD42" s="70">
        <f t="array" ref="AD42">SUM(IF(NOT(ISERR(FIND("+",AD5:AD38))),1,0))</f>
        <v>0</v>
      </c>
      <c r="AE42" s="70">
        <f t="array" ref="AE42">SUM(IF(NOT(ISERR(FIND("+",AE5:AE38))),1,0))</f>
        <v>0</v>
      </c>
      <c r="AF42" s="70">
        <f t="array" ref="AF42">SUM(IF(NOT(ISERR(FIND("+",AF5:AF38))),1,0))</f>
        <v>0</v>
      </c>
      <c r="AG42" s="70">
        <f t="array" ref="AG42">SUM(IF(NOT(ISERR(FIND("+",AG5:AG38))),1,0))</f>
        <v>0</v>
      </c>
      <c r="AH42" s="70">
        <f t="array" ref="AH42">SUM(IF(NOT(ISERR(FIND("+",AH5:AH38))),1,0))</f>
        <v>0</v>
      </c>
      <c r="AI42" s="70">
        <f t="array" ref="AI42">SUM(IF(NOT(ISERR(FIND("+",AI5:AI38))),1,0))</f>
        <v>0</v>
      </c>
      <c r="AJ42" s="70">
        <f t="array" ref="AJ42">SUM(IF(NOT(ISERR(FIND("+",AJ5:AJ38))),1,0))</f>
        <v>0</v>
      </c>
      <c r="AK42" s="70">
        <f t="array" ref="AK42">SUM(IF(NOT(ISERR(FIND("+",AK5:AK38))),1,0))</f>
        <v>0</v>
      </c>
      <c r="AL42" s="70">
        <f t="array" ref="AL42">SUM(IF(NOT(ISERR(FIND("+",AL5:AL38))),1,0))</f>
        <v>0</v>
      </c>
      <c r="AM42" s="70">
        <f t="array" ref="AM42">SUM(IF(NOT(ISERR(FIND("+",AM5:AM38))),1,0))</f>
        <v>0</v>
      </c>
      <c r="AN42" s="70">
        <f t="array" ref="AN42">SUM(IF(NOT(ISERR(FIND("+",AN5:AN38))),1,0))</f>
        <v>0</v>
      </c>
      <c r="AO42" s="70">
        <f t="array" ref="AO42">SUM(IF(NOT(ISERR(FIND("+",AO5:AO38))),1,0))</f>
        <v>0</v>
      </c>
      <c r="AP42" s="70">
        <f t="array" ref="AP42">SUM(IF(NOT(ISERR(FIND("+",AP5:AP38))),1,0))</f>
        <v>0</v>
      </c>
      <c r="AQ42" s="70">
        <f t="array" ref="AQ42">SUM(IF(NOT(ISERR(FIND("+",AQ5:AQ38))),1,0))</f>
        <v>0</v>
      </c>
      <c r="AR42" s="70">
        <f t="array" ref="AR42">SUM(IF(NOT(ISERR(FIND("+",AR5:AR38))),1,0))</f>
        <v>0</v>
      </c>
      <c r="AS42" s="70">
        <f t="array" ref="AS42">SUM(IF(NOT(ISERR(FIND("+",AS5:AS38))),1,0))</f>
        <v>0</v>
      </c>
      <c r="AT42" s="70">
        <f t="array" ref="AT42">SUM(IF(NOT(ISERR(FIND("+",AT5:AT38))),1,0))</f>
        <v>0</v>
      </c>
      <c r="AU42" s="70">
        <f t="array" ref="AU42">SUM(IF(NOT(ISERR(FIND("+",AU5:AU38))),1,0))</f>
        <v>0</v>
      </c>
      <c r="AV42" s="70">
        <f t="array" ref="AV42">SUM(IF(NOT(ISERR(FIND("+",AV5:AV38))),1,0))</f>
        <v>0</v>
      </c>
      <c r="AW42" s="70">
        <f t="array" ref="AW42">SUM(IF(NOT(ISERR(FIND("+",AW5:AW38))),1,0))</f>
        <v>0</v>
      </c>
      <c r="AX42" s="70">
        <f t="array" ref="AX42">SUM(IF(NOT(ISERR(FIND("+",AX5:AX38))),1,0))</f>
        <v>0</v>
      </c>
      <c r="AY42" s="70">
        <f t="array" ref="AY42">SUM(IF(NOT(ISERR(FIND("+",AY5:AY38))),1,0))</f>
        <v>0</v>
      </c>
      <c r="AZ42" s="70">
        <f t="array" ref="AZ42">SUM(IF(NOT(ISERR(FIND("+",AZ5:AZ38))),1,0))</f>
        <v>0</v>
      </c>
      <c r="BA42" s="70">
        <f t="array" ref="BA42">SUM(IF(NOT(ISERR(FIND("+",BA5:BA38))),1,0))</f>
        <v>0</v>
      </c>
      <c r="BB42" s="70">
        <f t="array" ref="BB42">SUM(IF(NOT(ISERR(FIND("+",BB5:BB38))),1,0))</f>
        <v>0</v>
      </c>
      <c r="BC42" s="70">
        <f t="array" ref="BC42">SUM(IF(NOT(ISERR(FIND("+",BC5:BC38))),1,0))</f>
        <v>0</v>
      </c>
      <c r="BD42" s="70">
        <f t="array" ref="BD42">SUM(IF(NOT(ISERR(FIND("+",BD5:BD38))),1,0))</f>
        <v>0</v>
      </c>
      <c r="BE42" s="70">
        <f t="array" ref="BE42">SUM(IF(NOT(ISERR(FIND("+",BE5:BE38))),1,0))</f>
        <v>0</v>
      </c>
      <c r="BF42" s="70">
        <f t="array" ref="BF42">SUM(IF(NOT(ISERR(FIND("+",BF5:BF38))),1,0))</f>
        <v>0</v>
      </c>
      <c r="CE42" s="70">
        <f>SUM(D42:BF42)</f>
        <v>17</v>
      </c>
      <c r="CO42" s="94">
        <f>SUM(D42:BF42)</f>
        <v>17</v>
      </c>
      <c r="CP42" s="62"/>
      <c r="CQ42" s="62"/>
      <c r="CR42" s="110">
        <f>CR40/$CR$41</f>
        <v>0.38129496402877699</v>
      </c>
      <c r="CS42" s="110">
        <f>CS40/$CR$41</f>
        <v>0.43884892086330934</v>
      </c>
      <c r="CT42" s="110">
        <f>CT40/$CR$41</f>
        <v>0.1223021582733813</v>
      </c>
      <c r="CU42" s="110">
        <f>CU40/$CR$41</f>
        <v>0</v>
      </c>
      <c r="CV42" s="110">
        <f>CV40/$CR$41</f>
        <v>5.7553956834532377E-2</v>
      </c>
      <c r="CW42" s="110"/>
      <c r="CX42" s="110"/>
      <c r="CY42" s="62"/>
      <c r="CZ42" s="62"/>
      <c r="DA42" s="62"/>
      <c r="DB42" s="62"/>
      <c r="DC42" s="62"/>
      <c r="DD42" s="62"/>
    </row>
    <row r="44" spans="1:113">
      <c r="C44" s="70" t="s">
        <v>121</v>
      </c>
      <c r="D44" s="70">
        <f t="shared" ref="D44:AI44" si="127">BatSplit(D5:D38,RunsScored)</f>
        <v>31</v>
      </c>
      <c r="E44" s="70">
        <f t="shared" si="127"/>
        <v>107</v>
      </c>
      <c r="F44" s="70">
        <f t="shared" si="127"/>
        <v>72</v>
      </c>
      <c r="G44" s="70">
        <f t="shared" si="127"/>
        <v>132</v>
      </c>
      <c r="H44" s="70">
        <f t="shared" si="127"/>
        <v>68</v>
      </c>
      <c r="I44" s="70">
        <f t="shared" si="127"/>
        <v>96</v>
      </c>
      <c r="J44" s="70">
        <f t="shared" si="127"/>
        <v>88</v>
      </c>
      <c r="K44" s="70">
        <f t="shared" si="127"/>
        <v>106</v>
      </c>
      <c r="L44" s="70">
        <f t="shared" si="127"/>
        <v>96</v>
      </c>
      <c r="M44" s="70">
        <f t="shared" si="127"/>
        <v>60</v>
      </c>
      <c r="N44" s="70">
        <f t="shared" si="127"/>
        <v>44</v>
      </c>
      <c r="O44" s="70">
        <f t="shared" si="127"/>
        <v>42</v>
      </c>
      <c r="P44" s="70">
        <f t="shared" si="127"/>
        <v>134</v>
      </c>
      <c r="Q44" s="70">
        <f t="shared" si="127"/>
        <v>75</v>
      </c>
      <c r="R44" s="70">
        <f t="shared" si="127"/>
        <v>34</v>
      </c>
      <c r="S44" s="70">
        <f t="shared" si="127"/>
        <v>89</v>
      </c>
      <c r="T44" s="70">
        <f t="shared" si="127"/>
        <v>108</v>
      </c>
      <c r="U44" s="70">
        <f t="shared" si="127"/>
        <v>91</v>
      </c>
      <c r="V44" s="70">
        <f t="shared" si="127"/>
        <v>150</v>
      </c>
      <c r="W44" s="70">
        <f t="shared" si="127"/>
        <v>0</v>
      </c>
      <c r="X44" s="70">
        <f t="shared" si="127"/>
        <v>0</v>
      </c>
      <c r="Y44" s="70">
        <f t="shared" si="127"/>
        <v>0</v>
      </c>
      <c r="Z44" s="70">
        <f t="shared" si="127"/>
        <v>0</v>
      </c>
      <c r="AA44" s="70">
        <f t="shared" si="127"/>
        <v>0</v>
      </c>
      <c r="AB44" s="70">
        <f t="shared" si="127"/>
        <v>0</v>
      </c>
      <c r="AC44" s="70">
        <f t="shared" si="127"/>
        <v>0</v>
      </c>
      <c r="AD44" s="70">
        <f t="shared" si="127"/>
        <v>0</v>
      </c>
      <c r="AE44" s="70">
        <f t="shared" si="127"/>
        <v>0</v>
      </c>
      <c r="AF44" s="70">
        <f t="shared" si="127"/>
        <v>0</v>
      </c>
      <c r="AG44" s="70">
        <f t="shared" si="127"/>
        <v>0</v>
      </c>
      <c r="AH44" s="70">
        <f t="shared" si="127"/>
        <v>0</v>
      </c>
      <c r="AI44" s="70">
        <f t="shared" si="127"/>
        <v>0</v>
      </c>
      <c r="AJ44" s="70">
        <f t="shared" ref="AJ44:BF44" si="128">BatSplit(AJ5:AJ38,RunsScored)</f>
        <v>0</v>
      </c>
      <c r="AK44" s="70">
        <f t="shared" si="128"/>
        <v>0</v>
      </c>
      <c r="AL44" s="70">
        <f t="shared" si="128"/>
        <v>0</v>
      </c>
      <c r="AM44" s="70">
        <f t="shared" si="128"/>
        <v>0</v>
      </c>
      <c r="AN44" s="70">
        <f t="shared" si="128"/>
        <v>0</v>
      </c>
      <c r="AO44" s="70">
        <f t="shared" si="128"/>
        <v>0</v>
      </c>
      <c r="AP44" s="70">
        <f t="shared" si="128"/>
        <v>0</v>
      </c>
      <c r="AQ44" s="70">
        <f t="shared" si="128"/>
        <v>0</v>
      </c>
      <c r="AR44" s="70">
        <f t="shared" si="128"/>
        <v>0</v>
      </c>
      <c r="AS44" s="70">
        <f t="shared" si="128"/>
        <v>0</v>
      </c>
      <c r="AT44" s="70">
        <f t="shared" si="128"/>
        <v>0</v>
      </c>
      <c r="AU44" s="70">
        <f t="shared" si="128"/>
        <v>0</v>
      </c>
      <c r="AV44" s="70">
        <f t="shared" si="128"/>
        <v>0</v>
      </c>
      <c r="AW44" s="70">
        <f t="shared" si="128"/>
        <v>0</v>
      </c>
      <c r="AX44" s="70">
        <f t="shared" si="128"/>
        <v>0</v>
      </c>
      <c r="AY44" s="70">
        <f t="shared" si="128"/>
        <v>0</v>
      </c>
      <c r="AZ44" s="70">
        <f t="shared" si="128"/>
        <v>0</v>
      </c>
      <c r="BA44" s="70">
        <f t="shared" si="128"/>
        <v>0</v>
      </c>
      <c r="BB44" s="70">
        <f t="shared" si="128"/>
        <v>0</v>
      </c>
      <c r="BC44" s="70">
        <f t="shared" si="128"/>
        <v>0</v>
      </c>
      <c r="BD44" s="70">
        <f t="shared" si="128"/>
        <v>0</v>
      </c>
      <c r="BE44" s="70">
        <f t="shared" si="128"/>
        <v>0</v>
      </c>
      <c r="BF44" s="70">
        <f t="shared" si="128"/>
        <v>0</v>
      </c>
      <c r="CE44" s="70">
        <f>SUM(D44:BD44)</f>
        <v>1623</v>
      </c>
      <c r="CG44" s="70">
        <f>SUM(CG5:CG39)</f>
        <v>166</v>
      </c>
      <c r="CH44" s="70">
        <f>SUM(CH5:CH39)</f>
        <v>27</v>
      </c>
      <c r="CI44" s="70">
        <f>SUM(CI5:CI38)</f>
        <v>485</v>
      </c>
      <c r="CK44" s="70">
        <f>SUM(CK5:CK39)</f>
        <v>1623</v>
      </c>
      <c r="CO44" s="70">
        <f>SUM(D44:BF44)</f>
        <v>1623</v>
      </c>
    </row>
    <row r="45" spans="1:113">
      <c r="C45" s="70" t="s">
        <v>120</v>
      </c>
      <c r="D45" s="70">
        <f t="array" ref="D45:BF45">TRANSPOSE(Matches!Z5:Z59)</f>
        <v>6</v>
      </c>
      <c r="E45" s="70">
        <v>22</v>
      </c>
      <c r="F45" s="70">
        <v>23</v>
      </c>
      <c r="G45" s="70">
        <v>23</v>
      </c>
      <c r="H45" s="70">
        <v>12</v>
      </c>
      <c r="I45" s="70">
        <v>40</v>
      </c>
      <c r="J45" s="70">
        <v>23</v>
      </c>
      <c r="K45" s="70">
        <v>20</v>
      </c>
      <c r="L45" s="70">
        <v>31</v>
      </c>
      <c r="M45" s="70">
        <v>14</v>
      </c>
      <c r="N45" s="70">
        <v>16</v>
      </c>
      <c r="O45" s="70">
        <v>9</v>
      </c>
      <c r="P45" s="70">
        <v>28</v>
      </c>
      <c r="Q45" s="70">
        <v>13</v>
      </c>
      <c r="R45" s="70">
        <v>17</v>
      </c>
      <c r="S45" s="70">
        <v>13</v>
      </c>
      <c r="T45" s="70">
        <v>21</v>
      </c>
      <c r="U45" s="70">
        <v>15</v>
      </c>
      <c r="V45" s="70">
        <v>29</v>
      </c>
      <c r="W45" s="70">
        <v>0</v>
      </c>
      <c r="X45" s="70">
        <v>0</v>
      </c>
      <c r="Y45" s="70">
        <v>0</v>
      </c>
      <c r="Z45" s="70">
        <v>0</v>
      </c>
      <c r="AA45" s="70">
        <v>0</v>
      </c>
      <c r="AB45" s="70">
        <v>0</v>
      </c>
      <c r="AC45" s="70">
        <v>0</v>
      </c>
      <c r="AD45" s="70">
        <v>0</v>
      </c>
      <c r="AE45" s="70">
        <v>0</v>
      </c>
      <c r="AF45" s="70">
        <v>0</v>
      </c>
      <c r="AG45" s="70">
        <v>0</v>
      </c>
      <c r="AH45" s="70">
        <v>0</v>
      </c>
      <c r="AI45" s="70">
        <v>0</v>
      </c>
      <c r="AJ45" s="70">
        <v>0</v>
      </c>
      <c r="AK45" s="70">
        <v>0</v>
      </c>
      <c r="AL45" s="70">
        <v>0</v>
      </c>
      <c r="AM45" s="70">
        <v>0</v>
      </c>
      <c r="AN45" s="70">
        <v>0</v>
      </c>
      <c r="AO45" s="70">
        <v>0</v>
      </c>
      <c r="AP45" s="70">
        <v>0</v>
      </c>
      <c r="AQ45" s="70">
        <v>0</v>
      </c>
      <c r="AR45" s="70">
        <v>0</v>
      </c>
      <c r="AS45" s="70">
        <v>0</v>
      </c>
      <c r="AT45" s="70">
        <v>0</v>
      </c>
      <c r="AU45" s="70">
        <v>0</v>
      </c>
      <c r="AV45" s="70">
        <v>0</v>
      </c>
      <c r="AW45" s="70">
        <v>0</v>
      </c>
      <c r="AX45" s="70">
        <v>0</v>
      </c>
      <c r="AY45" s="70">
        <v>0</v>
      </c>
      <c r="AZ45" s="70">
        <v>0</v>
      </c>
      <c r="BA45" s="70">
        <v>0</v>
      </c>
      <c r="BB45" s="70">
        <v>0</v>
      </c>
      <c r="BC45" s="70">
        <v>0</v>
      </c>
      <c r="BD45" s="70">
        <v>0</v>
      </c>
      <c r="BE45" s="70">
        <v>0</v>
      </c>
      <c r="BF45" s="70">
        <v>0</v>
      </c>
      <c r="CE45" s="70">
        <f>SUM(D45:BD45)</f>
        <v>375</v>
      </c>
      <c r="CO45" s="70">
        <f>SUM(D45:BF45)</f>
        <v>375</v>
      </c>
    </row>
    <row r="46" spans="1:113" s="62" customFormat="1">
      <c r="C46" s="62" t="s">
        <v>122</v>
      </c>
      <c r="D46" s="62">
        <f>D45+D44</f>
        <v>37</v>
      </c>
      <c r="E46" s="62">
        <f t="shared" ref="E46:BF46" si="129">E45+E44</f>
        <v>129</v>
      </c>
      <c r="F46" s="62">
        <f t="shared" si="129"/>
        <v>95</v>
      </c>
      <c r="G46" s="62">
        <f t="shared" si="129"/>
        <v>155</v>
      </c>
      <c r="H46" s="62">
        <f t="shared" si="129"/>
        <v>80</v>
      </c>
      <c r="I46" s="62">
        <f t="shared" si="129"/>
        <v>136</v>
      </c>
      <c r="J46" s="62">
        <f t="shared" si="129"/>
        <v>111</v>
      </c>
      <c r="K46" s="62">
        <f t="shared" si="129"/>
        <v>126</v>
      </c>
      <c r="L46" s="62">
        <f t="shared" si="129"/>
        <v>127</v>
      </c>
      <c r="M46" s="62">
        <f t="shared" si="129"/>
        <v>74</v>
      </c>
      <c r="N46" s="62">
        <f t="shared" si="129"/>
        <v>60</v>
      </c>
      <c r="O46" s="62">
        <f t="shared" si="129"/>
        <v>51</v>
      </c>
      <c r="P46" s="62">
        <f t="shared" si="129"/>
        <v>162</v>
      </c>
      <c r="Q46" s="62">
        <f t="shared" si="129"/>
        <v>88</v>
      </c>
      <c r="R46" s="62">
        <f t="shared" si="129"/>
        <v>51</v>
      </c>
      <c r="S46" s="62">
        <f t="shared" si="129"/>
        <v>102</v>
      </c>
      <c r="T46" s="62">
        <f t="shared" si="129"/>
        <v>129</v>
      </c>
      <c r="U46" s="62">
        <f t="shared" si="129"/>
        <v>106</v>
      </c>
      <c r="V46" s="62">
        <f t="shared" si="129"/>
        <v>179</v>
      </c>
      <c r="W46" s="62">
        <f t="shared" si="129"/>
        <v>0</v>
      </c>
      <c r="X46" s="62">
        <f t="shared" si="129"/>
        <v>0</v>
      </c>
      <c r="Y46" s="62">
        <f t="shared" si="129"/>
        <v>0</v>
      </c>
      <c r="Z46" s="62">
        <f t="shared" si="129"/>
        <v>0</v>
      </c>
      <c r="AA46" s="62">
        <f t="shared" si="129"/>
        <v>0</v>
      </c>
      <c r="AB46" s="62">
        <f t="shared" si="129"/>
        <v>0</v>
      </c>
      <c r="AC46" s="62">
        <f t="shared" si="129"/>
        <v>0</v>
      </c>
      <c r="AD46" s="62">
        <f t="shared" si="129"/>
        <v>0</v>
      </c>
      <c r="AE46" s="62">
        <f t="shared" si="129"/>
        <v>0</v>
      </c>
      <c r="AF46" s="62">
        <f t="shared" si="129"/>
        <v>0</v>
      </c>
      <c r="AG46" s="62">
        <f t="shared" si="129"/>
        <v>0</v>
      </c>
      <c r="AH46" s="62">
        <f t="shared" si="129"/>
        <v>0</v>
      </c>
      <c r="AI46" s="62">
        <f t="shared" si="129"/>
        <v>0</v>
      </c>
      <c r="AJ46" s="62">
        <f t="shared" si="129"/>
        <v>0</v>
      </c>
      <c r="AK46" s="62">
        <f t="shared" si="129"/>
        <v>0</v>
      </c>
      <c r="AL46" s="62">
        <f t="shared" si="129"/>
        <v>0</v>
      </c>
      <c r="AM46" s="62">
        <f t="shared" si="129"/>
        <v>0</v>
      </c>
      <c r="AN46" s="62">
        <f t="shared" si="129"/>
        <v>0</v>
      </c>
      <c r="AO46" s="62">
        <f t="shared" si="129"/>
        <v>0</v>
      </c>
      <c r="AP46" s="62">
        <f t="shared" si="129"/>
        <v>0</v>
      </c>
      <c r="AQ46" s="62">
        <f t="shared" si="129"/>
        <v>0</v>
      </c>
      <c r="AR46" s="62">
        <f t="shared" si="129"/>
        <v>0</v>
      </c>
      <c r="AS46" s="62">
        <f t="shared" si="129"/>
        <v>0</v>
      </c>
      <c r="AT46" s="62">
        <f t="shared" si="129"/>
        <v>0</v>
      </c>
      <c r="AU46" s="62">
        <f>AU45+AU44</f>
        <v>0</v>
      </c>
      <c r="AV46" s="62">
        <f t="shared" si="129"/>
        <v>0</v>
      </c>
      <c r="AW46" s="62">
        <f t="shared" si="129"/>
        <v>0</v>
      </c>
      <c r="AX46" s="62">
        <f t="shared" si="129"/>
        <v>0</v>
      </c>
      <c r="AY46" s="62">
        <f t="shared" si="129"/>
        <v>0</v>
      </c>
      <c r="AZ46" s="62">
        <f t="shared" si="129"/>
        <v>0</v>
      </c>
      <c r="BA46" s="62">
        <f t="shared" si="129"/>
        <v>0</v>
      </c>
      <c r="BB46" s="62">
        <f t="shared" si="129"/>
        <v>0</v>
      </c>
      <c r="BC46" s="62">
        <f t="shared" si="129"/>
        <v>0</v>
      </c>
      <c r="BD46" s="62">
        <f t="shared" si="129"/>
        <v>0</v>
      </c>
      <c r="BE46" s="62">
        <f t="shared" si="129"/>
        <v>0</v>
      </c>
      <c r="BF46" s="62">
        <f t="shared" si="129"/>
        <v>0</v>
      </c>
      <c r="CE46" s="70">
        <f>SUM(D46:BD46)</f>
        <v>1998</v>
      </c>
      <c r="CG46" s="70" t="s">
        <v>37</v>
      </c>
      <c r="CH46" s="70">
        <f>CG44-CH44</f>
        <v>139</v>
      </c>
      <c r="CI46" s="70"/>
      <c r="CJ46" s="70"/>
      <c r="CK46" s="70"/>
      <c r="CO46" s="62">
        <f>SUM(D46:BF46)</f>
        <v>1998</v>
      </c>
    </row>
    <row r="47" spans="1:113">
      <c r="D47" s="55"/>
      <c r="CG47" s="70" t="s">
        <v>38</v>
      </c>
      <c r="CH47" s="70">
        <f>CE46/CH46</f>
        <v>14.37410071942446</v>
      </c>
    </row>
    <row r="48" spans="1:113" s="126" customFormat="1">
      <c r="C48" s="126" t="s">
        <v>227</v>
      </c>
      <c r="D48" s="127" t="str">
        <f>INDEX($C$5:$C$38,findcellcontaining("*",D5:D38))</f>
        <v>Clark C</v>
      </c>
      <c r="E48" s="127" t="str">
        <f>INDEX($C$5:$C$38,findcellcontaining("*",E5:E38))</f>
        <v>Clark C</v>
      </c>
      <c r="F48" s="127" t="str">
        <f>INDEX($C$5:$C$38,findcellcontaining("*",F5:F38))</f>
        <v>Clark C</v>
      </c>
      <c r="G48" s="127" t="str">
        <f>INDEX($C$5:$C$38,findcellcontaining("*",G5:G38))</f>
        <v>Clark C</v>
      </c>
      <c r="H48" s="127" t="str">
        <f>INDEX($C$5:$C$38,findcellcontaining("*",H5:H38))</f>
        <v>Clark C</v>
      </c>
      <c r="I48" s="127" t="str">
        <f>INDEX($C$5:$C$38,findcellcontaining("*",I5:I38))</f>
        <v>Clark C</v>
      </c>
      <c r="J48" s="127" t="str">
        <f>INDEX($C$5:$C$38,findcellcontaining("*",J5:J38))</f>
        <v>Cooper G</v>
      </c>
      <c r="K48" s="127" t="str">
        <f>INDEX($C$5:$C$38,findcellcontaining("*",K5:K38))</f>
        <v>Cooper G</v>
      </c>
      <c r="L48" s="127" t="e">
        <f>INDEX($C$5:$C$38,findcellcontaining("*",L5:L38))</f>
        <v>#N/A</v>
      </c>
      <c r="M48" s="127" t="str">
        <f>INDEX($C$5:$C$38,findcellcontaining("*",M5:M38))</f>
        <v>Clark C</v>
      </c>
      <c r="N48" s="127" t="str">
        <f>INDEX($C$5:$C$38,findcellcontaining("*",N5:N38))</f>
        <v>Clark C</v>
      </c>
      <c r="O48" s="127" t="str">
        <f>INDEX($C$5:$C$38,findcellcontaining("*",O5:O38))</f>
        <v>Clark C</v>
      </c>
      <c r="P48" s="127" t="str">
        <f>INDEX($C$5:$C$38,findcellcontaining("*",P5:P38))</f>
        <v>Clark C</v>
      </c>
      <c r="Q48" s="127" t="str">
        <f>INDEX($C$5:$C$38,findcellcontaining("*",Q5:Q38))</f>
        <v>Clark C</v>
      </c>
      <c r="R48" s="127" t="str">
        <f>INDEX($C$5:$C$38,findcellcontaining("*",R5:R38))</f>
        <v>Clark C</v>
      </c>
      <c r="S48" s="127" t="str">
        <f>INDEX($C$5:$C$38,findcellcontaining("*",S5:S38))</f>
        <v>Clark C</v>
      </c>
      <c r="T48" s="127" t="str">
        <f>INDEX($C$5:$C$38,findcellcontaining("*",T5:T38))</f>
        <v>Lestrelle A</v>
      </c>
      <c r="U48" s="127" t="str">
        <f>INDEX($C$5:$C$38,findcellcontaining("*",U5:U38))</f>
        <v>Clark C</v>
      </c>
      <c r="V48" s="127" t="str">
        <f>INDEX($C$5:$C$38,findcellcontaining("*",V5:V38))</f>
        <v>Clark C</v>
      </c>
      <c r="W48" s="127" t="e">
        <f>INDEX($C$5:$C$38,findcellcontaining("*",W5:W38))</f>
        <v>#N/A</v>
      </c>
      <c r="X48" s="127" t="e">
        <f>INDEX($C$5:$C$38,findcellcontaining("*",X5:X38))</f>
        <v>#N/A</v>
      </c>
      <c r="Y48" s="127" t="e">
        <f>INDEX($C$5:$C$38,findcellcontaining("*",Y5:Y38))</f>
        <v>#N/A</v>
      </c>
      <c r="Z48" s="127" t="e">
        <f>INDEX($C$5:$C$38,findcellcontaining("*",Z5:Z38))</f>
        <v>#N/A</v>
      </c>
      <c r="AA48" s="127" t="e">
        <f>INDEX($C$5:$C$38,findcellcontaining("*",AA5:AA38))</f>
        <v>#N/A</v>
      </c>
      <c r="AB48" s="127" t="e">
        <f>INDEX($C$5:$C$38,findcellcontaining("*",AB5:AB38))</f>
        <v>#N/A</v>
      </c>
      <c r="AC48" s="127" t="e">
        <f>INDEX($C$5:$C$38,findcellcontaining("*",AC5:AC38))</f>
        <v>#N/A</v>
      </c>
      <c r="AD48" s="127" t="e">
        <f>INDEX($C$5:$C$38,findcellcontaining("*",AD5:AD38))</f>
        <v>#N/A</v>
      </c>
      <c r="AE48" s="127" t="e">
        <f>INDEX($C$5:$C$38,findcellcontaining("*",AE5:AE38))</f>
        <v>#N/A</v>
      </c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L48" s="128"/>
    </row>
    <row r="49" spans="2:93" s="126" customFormat="1">
      <c r="C49" s="130"/>
      <c r="CL49" s="128"/>
      <c r="CO49" s="129"/>
    </row>
    <row r="50" spans="2:93" s="126" customFormat="1">
      <c r="B50" s="126">
        <f>MAX(D50:AE50)</f>
        <v>3</v>
      </c>
      <c r="C50" s="126" t="s">
        <v>23</v>
      </c>
      <c r="D50" s="126">
        <f>BatSplit(D5:D38,Sixes)</f>
        <v>0</v>
      </c>
      <c r="E50" s="126">
        <f t="shared" ref="E50:AE50" si="130">BatSplit(E5:E38,Sixes)</f>
        <v>0</v>
      </c>
      <c r="F50" s="126">
        <f t="shared" si="130"/>
        <v>1</v>
      </c>
      <c r="G50" s="126">
        <f t="shared" si="130"/>
        <v>3</v>
      </c>
      <c r="H50" s="126">
        <f t="shared" si="130"/>
        <v>0</v>
      </c>
      <c r="I50" s="126">
        <f t="shared" si="130"/>
        <v>0</v>
      </c>
      <c r="J50" s="126">
        <f t="shared" si="130"/>
        <v>0</v>
      </c>
      <c r="K50" s="126">
        <f t="shared" si="130"/>
        <v>1</v>
      </c>
      <c r="L50" s="126">
        <f t="shared" si="130"/>
        <v>0</v>
      </c>
      <c r="M50" s="126">
        <f t="shared" si="130"/>
        <v>0</v>
      </c>
      <c r="N50" s="126">
        <f t="shared" si="130"/>
        <v>1</v>
      </c>
      <c r="O50" s="126">
        <f t="shared" si="130"/>
        <v>0</v>
      </c>
      <c r="P50" s="126">
        <f t="shared" si="130"/>
        <v>1</v>
      </c>
      <c r="Q50" s="126">
        <f t="shared" si="130"/>
        <v>0</v>
      </c>
      <c r="R50" s="126">
        <f t="shared" si="130"/>
        <v>0</v>
      </c>
      <c r="S50" s="126">
        <f t="shared" si="130"/>
        <v>2</v>
      </c>
      <c r="T50" s="126">
        <f t="shared" si="130"/>
        <v>0</v>
      </c>
      <c r="U50" s="126">
        <f t="shared" si="130"/>
        <v>2</v>
      </c>
      <c r="V50" s="126">
        <f t="shared" si="130"/>
        <v>0</v>
      </c>
      <c r="W50" s="126">
        <f t="shared" si="130"/>
        <v>0</v>
      </c>
      <c r="X50" s="126">
        <f t="shared" si="130"/>
        <v>0</v>
      </c>
      <c r="Y50" s="126">
        <f t="shared" si="130"/>
        <v>0</v>
      </c>
      <c r="Z50" s="126">
        <f t="shared" si="130"/>
        <v>0</v>
      </c>
      <c r="AA50" s="126">
        <f t="shared" si="130"/>
        <v>0</v>
      </c>
      <c r="AB50" s="126">
        <f t="shared" si="130"/>
        <v>0</v>
      </c>
      <c r="AC50" s="126">
        <f t="shared" si="130"/>
        <v>0</v>
      </c>
      <c r="AD50" s="126">
        <f t="shared" si="130"/>
        <v>0</v>
      </c>
      <c r="AE50" s="126">
        <f t="shared" si="130"/>
        <v>0</v>
      </c>
      <c r="CL50" s="128"/>
    </row>
    <row r="51" spans="2:93" s="126" customFormat="1">
      <c r="B51" s="126">
        <f>MAX(D51:AE51)</f>
        <v>19</v>
      </c>
      <c r="C51" s="126" t="s">
        <v>22</v>
      </c>
      <c r="D51" s="126">
        <f>BatSplit(D5:D38,Fours)</f>
        <v>3</v>
      </c>
      <c r="E51" s="126">
        <f t="shared" ref="E51:AE51" si="131">BatSplit(E5:E38,Fours)</f>
        <v>10</v>
      </c>
      <c r="F51" s="126">
        <f t="shared" si="131"/>
        <v>5</v>
      </c>
      <c r="G51" s="126">
        <f t="shared" si="131"/>
        <v>12</v>
      </c>
      <c r="H51" s="126">
        <f t="shared" si="131"/>
        <v>4</v>
      </c>
      <c r="I51" s="126">
        <f t="shared" si="131"/>
        <v>13</v>
      </c>
      <c r="J51" s="126">
        <f t="shared" si="131"/>
        <v>9</v>
      </c>
      <c r="K51" s="126">
        <f t="shared" si="131"/>
        <v>12</v>
      </c>
      <c r="L51" s="126">
        <f t="shared" si="131"/>
        <v>9</v>
      </c>
      <c r="M51" s="126">
        <f t="shared" si="131"/>
        <v>5</v>
      </c>
      <c r="N51" s="126">
        <f t="shared" si="131"/>
        <v>1</v>
      </c>
      <c r="O51" s="126">
        <f t="shared" si="131"/>
        <v>7</v>
      </c>
      <c r="P51" s="126">
        <f t="shared" si="131"/>
        <v>13</v>
      </c>
      <c r="Q51" s="126">
        <f t="shared" si="131"/>
        <v>8</v>
      </c>
      <c r="R51" s="126">
        <f t="shared" si="131"/>
        <v>3</v>
      </c>
      <c r="S51" s="126">
        <f t="shared" si="131"/>
        <v>7</v>
      </c>
      <c r="T51" s="126">
        <f t="shared" si="131"/>
        <v>7</v>
      </c>
      <c r="U51" s="126">
        <f t="shared" si="131"/>
        <v>5</v>
      </c>
      <c r="V51" s="126">
        <f t="shared" si="131"/>
        <v>19</v>
      </c>
      <c r="W51" s="126">
        <f t="shared" si="131"/>
        <v>0</v>
      </c>
      <c r="X51" s="126">
        <f t="shared" si="131"/>
        <v>0</v>
      </c>
      <c r="Y51" s="126">
        <f t="shared" si="131"/>
        <v>0</v>
      </c>
      <c r="Z51" s="126">
        <f t="shared" si="131"/>
        <v>0</v>
      </c>
      <c r="AA51" s="126">
        <f t="shared" si="131"/>
        <v>0</v>
      </c>
      <c r="AB51" s="126">
        <f t="shared" si="131"/>
        <v>0</v>
      </c>
      <c r="AC51" s="126">
        <f t="shared" si="131"/>
        <v>0</v>
      </c>
      <c r="AD51" s="126">
        <f t="shared" si="131"/>
        <v>0</v>
      </c>
      <c r="AE51" s="126">
        <f t="shared" si="131"/>
        <v>0</v>
      </c>
      <c r="CL51" s="128"/>
    </row>
    <row r="52" spans="2:93" s="126" customFormat="1">
      <c r="CL52" s="128"/>
    </row>
    <row r="53" spans="2:93" s="126" customFormat="1">
      <c r="D53" s="126">
        <f t="shared" ref="D53:V53" si="132">MAX(BatSplit(D5:D38,HighestScore))</f>
        <v>-23</v>
      </c>
      <c r="E53" s="126">
        <f t="shared" si="132"/>
        <v>57</v>
      </c>
      <c r="F53" s="126">
        <f t="shared" si="132"/>
        <v>15</v>
      </c>
      <c r="G53" s="126">
        <f t="shared" si="132"/>
        <v>48</v>
      </c>
      <c r="H53" s="126">
        <f t="shared" si="132"/>
        <v>25</v>
      </c>
      <c r="I53" s="126">
        <f t="shared" si="132"/>
        <v>20</v>
      </c>
      <c r="J53" s="126">
        <f t="shared" si="132"/>
        <v>39</v>
      </c>
      <c r="K53" s="126">
        <f t="shared" si="132"/>
        <v>31</v>
      </c>
      <c r="L53" s="126">
        <f t="shared" si="132"/>
        <v>22</v>
      </c>
      <c r="M53" s="126">
        <f t="shared" si="132"/>
        <v>-29</v>
      </c>
      <c r="N53" s="126">
        <f t="shared" si="132"/>
        <v>-15</v>
      </c>
      <c r="O53" s="126">
        <f t="shared" si="132"/>
        <v>15</v>
      </c>
      <c r="P53" s="126">
        <f t="shared" si="132"/>
        <v>35</v>
      </c>
      <c r="Q53" s="126">
        <f t="shared" si="132"/>
        <v>25</v>
      </c>
      <c r="R53" s="126">
        <f t="shared" si="132"/>
        <v>-9</v>
      </c>
      <c r="S53" s="126">
        <f t="shared" si="132"/>
        <v>-38</v>
      </c>
      <c r="T53" s="126">
        <f t="shared" si="132"/>
        <v>43</v>
      </c>
      <c r="U53" s="126">
        <f t="shared" si="132"/>
        <v>-63</v>
      </c>
      <c r="V53" s="126">
        <f t="shared" si="132"/>
        <v>78</v>
      </c>
      <c r="CL53" s="128"/>
    </row>
    <row r="54" spans="2:93" s="126" customFormat="1">
      <c r="CL54" s="128"/>
    </row>
    <row r="55" spans="2:93" s="126" customFormat="1">
      <c r="CL55" s="128"/>
    </row>
    <row r="56" spans="2:93" s="126" customFormat="1">
      <c r="CL56" s="128"/>
    </row>
    <row r="57" spans="2:93" s="126" customFormat="1">
      <c r="CL57" s="128"/>
    </row>
    <row r="58" spans="2:93" s="126" customFormat="1">
      <c r="CL58" s="128"/>
    </row>
    <row r="59" spans="2:93" s="126" customFormat="1">
      <c r="CL59" s="128"/>
    </row>
    <row r="60" spans="2:93" customFormat="1"/>
    <row r="61" spans="2:93" customFormat="1"/>
    <row r="62" spans="2:93" customFormat="1"/>
    <row r="63" spans="2:93" customFormat="1"/>
    <row r="64" spans="2:93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</sheetData>
  <phoneticPr fontId="0" type="noConversion"/>
  <conditionalFormatting sqref="CE50:CE59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T81"/>
  <sheetViews>
    <sheetView zoomScaleNormal="100" workbookViewId="0">
      <pane xSplit="2" ySplit="4" topLeftCell="CE5" activePane="bottomRight" state="frozenSplit"/>
      <selection pane="topRight" activeCell="B1" sqref="B1"/>
      <selection pane="bottomLeft" activeCell="A5" sqref="A5"/>
      <selection pane="bottomRight" activeCell="CK9" sqref="CK9"/>
    </sheetView>
  </sheetViews>
  <sheetFormatPr defaultRowHeight="10.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>
      <c r="B1" s="3" t="str">
        <f t="array" ref="B1:CC4">TRANSPOSE(Matches!B4:E82)</f>
        <v>Date</v>
      </c>
      <c r="C1" s="4">
        <v>39565</v>
      </c>
      <c r="D1" s="4">
        <v>39579</v>
      </c>
      <c r="E1" s="4">
        <v>39592</v>
      </c>
      <c r="F1" s="4">
        <v>39600</v>
      </c>
      <c r="G1" s="4">
        <v>39607</v>
      </c>
      <c r="H1" s="4">
        <v>39614</v>
      </c>
      <c r="I1" s="4">
        <v>39620</v>
      </c>
      <c r="J1" s="4">
        <v>39627</v>
      </c>
      <c r="K1" s="4">
        <v>39635</v>
      </c>
      <c r="L1" s="4">
        <v>39642</v>
      </c>
      <c r="M1" s="4">
        <v>39642</v>
      </c>
      <c r="N1" s="4">
        <v>39648</v>
      </c>
      <c r="O1" s="4">
        <v>39656</v>
      </c>
      <c r="P1" s="4">
        <v>39663</v>
      </c>
      <c r="Q1" s="4">
        <v>39670</v>
      </c>
      <c r="R1" s="4">
        <v>39676</v>
      </c>
      <c r="S1" s="4">
        <v>39684</v>
      </c>
      <c r="T1" s="4">
        <v>39691</v>
      </c>
      <c r="U1" s="4">
        <v>39712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>
      <c r="B2" s="2" t="str">
        <v>Opp</v>
      </c>
      <c r="C2" s="1" t="str">
        <v>John Fisher Lamgas</v>
      </c>
      <c r="D2" s="1" t="str">
        <v>Robinson Lakeside</v>
      </c>
      <c r="E2" s="1" t="str">
        <v>Churchleigh</v>
      </c>
      <c r="F2" s="1" t="str">
        <v>Beddington</v>
      </c>
      <c r="G2" s="1" t="str">
        <v>Vishwa</v>
      </c>
      <c r="H2" s="1" t="str">
        <v>Sanderstead</v>
      </c>
      <c r="I2" s="1" t="str">
        <v>Morden Corinthians</v>
      </c>
      <c r="J2" s="1" t="str">
        <v>Orpington</v>
      </c>
      <c r="K2" s="1" t="str">
        <v>Norwood Exiles</v>
      </c>
      <c r="L2" s="1" t="str">
        <v>Statics</v>
      </c>
      <c r="M2" s="1" t="str">
        <v>Old Josephians</v>
      </c>
      <c r="N2" s="1" t="str">
        <v>LESSA Wanderers</v>
      </c>
      <c r="O2" s="1" t="str">
        <v>Norwood</v>
      </c>
      <c r="P2" s="1" t="str">
        <v>Morden Corinthians</v>
      </c>
      <c r="Q2" s="1" t="str">
        <v>John Fisher Lamgas</v>
      </c>
      <c r="R2" s="1" t="str">
        <v>Kingstonian</v>
      </c>
      <c r="S2" s="1" t="str">
        <v>Norwood Exiles</v>
      </c>
      <c r="T2" s="1" t="str">
        <v>LESSA Wanderers</v>
      </c>
      <c r="U2" s="1" t="str">
        <v>Sanderstead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A</v>
      </c>
      <c r="G3" s="1" t="str">
        <v>H</v>
      </c>
      <c r="H3" s="1" t="str">
        <v>A</v>
      </c>
      <c r="I3" s="1" t="str">
        <v>A</v>
      </c>
      <c r="J3" s="1" t="str">
        <v>H</v>
      </c>
      <c r="K3" s="1" t="str">
        <v>A</v>
      </c>
      <c r="L3" s="1" t="str">
        <v>H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H</v>
      </c>
      <c r="R3" s="1" t="str">
        <v>A</v>
      </c>
      <c r="S3" s="1" t="str">
        <v>H</v>
      </c>
      <c r="T3" s="1" t="str">
        <v>H</v>
      </c>
      <c r="U3" s="1" t="str">
        <v>A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SUM(CP5:CP38)</f>
        <v>0</v>
      </c>
      <c r="CQ3" s="55">
        <f>SUM(CQ5:CQ38)</f>
        <v>0</v>
      </c>
    </row>
    <row r="4" spans="1:98" ht="11.25" customHeight="1">
      <c r="B4" s="2" t="str">
        <v>Result</v>
      </c>
      <c r="C4" s="1" t="str">
        <v>ND</v>
      </c>
      <c r="D4" s="1" t="str">
        <v>L</v>
      </c>
      <c r="E4" s="1" t="str">
        <v>L</v>
      </c>
      <c r="F4" s="1" t="str">
        <v>L</v>
      </c>
      <c r="G4" s="1" t="str">
        <v>D</v>
      </c>
      <c r="H4" s="1" t="str">
        <v>L</v>
      </c>
      <c r="I4" s="1" t="str">
        <v>L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L</v>
      </c>
      <c r="O4" s="1" t="str">
        <v>D</v>
      </c>
      <c r="P4" s="1" t="str">
        <v>D</v>
      </c>
      <c r="Q4" s="1" t="str">
        <v>D</v>
      </c>
      <c r="R4" s="1" t="str">
        <v>W</v>
      </c>
      <c r="S4" s="1" t="str">
        <v>L</v>
      </c>
      <c r="T4" s="1" t="str">
        <v>W</v>
      </c>
      <c r="U4" s="1" t="str">
        <v>L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34</v>
      </c>
      <c r="CG4" s="50" t="s">
        <v>35</v>
      </c>
      <c r="CH4" s="50" t="s">
        <v>36</v>
      </c>
      <c r="CI4" s="50" t="s">
        <v>9</v>
      </c>
      <c r="CJ4" s="50" t="s">
        <v>37</v>
      </c>
      <c r="CK4" s="47" t="s">
        <v>38</v>
      </c>
      <c r="CL4" s="50" t="s">
        <v>39</v>
      </c>
      <c r="CM4" s="50" t="s">
        <v>40</v>
      </c>
      <c r="CN4" s="49" t="s">
        <v>98</v>
      </c>
      <c r="CO4" s="55" t="s">
        <v>41</v>
      </c>
      <c r="CP4" s="55" t="s">
        <v>117</v>
      </c>
      <c r="CQ4" s="55" t="s">
        <v>118</v>
      </c>
      <c r="CR4" s="76" t="s">
        <v>144</v>
      </c>
      <c r="CS4" s="2" t="s">
        <v>139</v>
      </c>
      <c r="CT4" s="2" t="s">
        <v>212</v>
      </c>
    </row>
    <row r="5" spans="1:98" ht="11.25" customHeight="1">
      <c r="A5" s="2" t="s">
        <v>61</v>
      </c>
      <c r="B5" s="2" t="s">
        <v>147</v>
      </c>
      <c r="U5" s="2" t="s">
        <v>576</v>
      </c>
      <c r="CE5" s="55">
        <f t="shared" ref="CE5:CE11" si="0">BowlSplit(C5:BC5,InnsBowledIn)</f>
        <v>1</v>
      </c>
      <c r="CF5" s="55">
        <f t="shared" ref="CF5:CF11" si="1">BowlSplit(C5:CC5,BallsBowled)</f>
        <v>18</v>
      </c>
      <c r="CG5" s="57">
        <f t="shared" ref="CG5:CG11" si="2">BowlSplit(C5:CC5,OversBowled)</f>
        <v>3</v>
      </c>
      <c r="CH5" s="55">
        <f t="shared" ref="CH5:CH11" si="3">BowlSplit(C5:CC5,Maidens)</f>
        <v>0</v>
      </c>
      <c r="CI5" s="55">
        <f t="shared" ref="CI5:CI11" si="4">BowlSplit(C5:CC5,RunsConceded)</f>
        <v>26</v>
      </c>
      <c r="CJ5" s="55">
        <f t="shared" ref="CJ5:CJ11" si="5">BowlSplit(C5:CC5,WicketsTaken)</f>
        <v>0</v>
      </c>
      <c r="CK5" s="58" t="str">
        <f>IF(CJ5&gt;0,ROUND(CI5/CJ5,2),"")</f>
        <v/>
      </c>
      <c r="CL5" s="59" t="str">
        <f t="shared" ref="CL5:CL11" si="6">IF(CJ5&gt;0,CF5/CJ5,"")</f>
        <v/>
      </c>
      <c r="CM5" s="59">
        <f t="shared" ref="CM5:CM11" si="7">IF(CF5&gt;0,6*CI5/CF5,"")</f>
        <v>8.6666666666666661</v>
      </c>
      <c r="CN5" s="49" t="str">
        <f t="shared" ref="CN5:CN11" si="8">BowlSplit(C5:CC5,BestBowling)</f>
        <v>0-26</v>
      </c>
      <c r="CO5" s="55">
        <f t="shared" ref="CO5:CO11" si="9">BowlSplit(C5:CC5,BowlPts)</f>
        <v>-5</v>
      </c>
      <c r="CP5" s="55">
        <f t="shared" ref="CP5:CP11" si="10">BowlSplit(C5:CC5,Wides)</f>
        <v>0</v>
      </c>
      <c r="CQ5" s="55">
        <f t="shared" ref="CQ5:CQ11" si="11">BowlSplit(C5:CC5,NoBalls)</f>
        <v>0</v>
      </c>
      <c r="CR5" s="60">
        <f t="shared" ref="CR5:CR11" si="12">IF(CJ5&gt;0,CK5,IF(CF5&gt;0,CF5+1000,99999))+ROW(CQ5)/10000</f>
        <v>1018.0005</v>
      </c>
      <c r="CS5" s="2">
        <f t="shared" ref="CS5:CS14" si="13">RANK(CR5,$CR$5:$CR$32,1)</f>
        <v>23</v>
      </c>
      <c r="CT5" s="109" t="str">
        <f t="shared" ref="CT5:CT11" si="14">IF(CF5&gt;=120,CH5/CF5*6,"")</f>
        <v/>
      </c>
    </row>
    <row r="6" spans="1:98" ht="11.25" customHeight="1">
      <c r="B6" s="2" t="s">
        <v>239</v>
      </c>
      <c r="D6" s="2" t="s">
        <v>319</v>
      </c>
      <c r="E6" s="2" t="s">
        <v>357</v>
      </c>
      <c r="F6" s="2" t="s">
        <v>362</v>
      </c>
      <c r="G6" s="2" t="s">
        <v>374</v>
      </c>
      <c r="H6" s="2" t="s">
        <v>380</v>
      </c>
      <c r="I6" s="2" t="s">
        <v>397</v>
      </c>
      <c r="M6" s="60"/>
      <c r="CE6" s="55">
        <f t="shared" si="0"/>
        <v>6</v>
      </c>
      <c r="CF6" s="55">
        <f t="shared" si="1"/>
        <v>162</v>
      </c>
      <c r="CG6" s="57">
        <f t="shared" si="2"/>
        <v>27</v>
      </c>
      <c r="CH6" s="55">
        <f t="shared" si="3"/>
        <v>1</v>
      </c>
      <c r="CI6" s="55">
        <f t="shared" si="4"/>
        <v>161</v>
      </c>
      <c r="CJ6" s="55">
        <f t="shared" si="5"/>
        <v>3</v>
      </c>
      <c r="CK6" s="58">
        <f t="shared" ref="CK6:CK32" si="15">IF(CJ6&gt;0,ROUND(CI6/CJ6,2),"")</f>
        <v>53.67</v>
      </c>
      <c r="CL6" s="59">
        <f t="shared" si="6"/>
        <v>54</v>
      </c>
      <c r="CM6" s="59">
        <f t="shared" si="7"/>
        <v>5.9629629629629628</v>
      </c>
      <c r="CN6" s="49" t="str">
        <f t="shared" si="8"/>
        <v>2-30</v>
      </c>
      <c r="CO6" s="55">
        <f t="shared" si="9"/>
        <v>11</v>
      </c>
      <c r="CP6" s="55">
        <f t="shared" si="10"/>
        <v>0</v>
      </c>
      <c r="CQ6" s="55">
        <f t="shared" si="11"/>
        <v>0</v>
      </c>
      <c r="CR6" s="60">
        <f t="shared" si="12"/>
        <v>53.6706</v>
      </c>
      <c r="CS6" s="2">
        <f t="shared" si="13"/>
        <v>18</v>
      </c>
      <c r="CT6" s="109">
        <f t="shared" si="14"/>
        <v>3.7037037037037035E-2</v>
      </c>
    </row>
    <row r="7" spans="1:98" ht="11.25" customHeight="1">
      <c r="B7" s="2" t="s">
        <v>382</v>
      </c>
      <c r="H7" s="2" t="s">
        <v>272</v>
      </c>
      <c r="M7" s="60"/>
      <c r="CE7" s="55">
        <f t="shared" ref="CE7" si="16">BowlSplit(C7:BC7,InnsBowledIn)</f>
        <v>1</v>
      </c>
      <c r="CF7" s="55">
        <f t="shared" ref="CF7" si="17">BowlSplit(C7:CC7,BallsBowled)</f>
        <v>24</v>
      </c>
      <c r="CG7" s="57">
        <f t="shared" ref="CG7" si="18">BowlSplit(C7:CC7,OversBowled)</f>
        <v>4</v>
      </c>
      <c r="CH7" s="55">
        <f t="shared" ref="CH7" si="19">BowlSplit(C7:CC7,Maidens)</f>
        <v>0</v>
      </c>
      <c r="CI7" s="55">
        <f t="shared" ref="CI7" si="20">BowlSplit(C7:CC7,RunsConceded)</f>
        <v>38</v>
      </c>
      <c r="CJ7" s="55">
        <f t="shared" ref="CJ7" si="21">BowlSplit(C7:CC7,WicketsTaken)</f>
        <v>1</v>
      </c>
      <c r="CK7" s="58">
        <f t="shared" si="15"/>
        <v>38</v>
      </c>
      <c r="CL7" s="59">
        <f t="shared" ref="CL7" si="22">IF(CJ7&gt;0,CF7/CJ7,"")</f>
        <v>24</v>
      </c>
      <c r="CM7" s="59">
        <f t="shared" ref="CM7" si="23">IF(CF7&gt;0,6*CI7/CF7,"")</f>
        <v>9.5</v>
      </c>
      <c r="CN7" s="49" t="str">
        <f t="shared" ref="CN7" si="24">BowlSplit(C7:CC7,BestBowling)</f>
        <v>1-38</v>
      </c>
      <c r="CO7" s="55">
        <f t="shared" ref="CO7" si="25">BowlSplit(C7:CC7,BowlPts)</f>
        <v>5</v>
      </c>
      <c r="CP7" s="55">
        <f t="shared" ref="CP7" si="26">BowlSplit(C7:CC7,Wides)</f>
        <v>0</v>
      </c>
      <c r="CQ7" s="55">
        <f t="shared" ref="CQ7" si="27">BowlSplit(C7:CC7,NoBalls)</f>
        <v>0</v>
      </c>
      <c r="CR7" s="60">
        <f t="shared" ref="CR7" si="28">IF(CJ7&gt;0,CK7,IF(CF7&gt;0,CF7+1000,99999))+ROW(CQ7)/10000</f>
        <v>38.000700000000002</v>
      </c>
      <c r="CS7" s="2">
        <f t="shared" si="13"/>
        <v>16</v>
      </c>
      <c r="CT7" s="109" t="str">
        <f t="shared" ref="CT7" si="29">IF(CF7&gt;=120,CH7/CF7*6,"")</f>
        <v/>
      </c>
    </row>
    <row r="8" spans="1:98" ht="11.25" customHeight="1">
      <c r="A8" s="2" t="s">
        <v>99</v>
      </c>
      <c r="B8" s="2" t="s">
        <v>148</v>
      </c>
      <c r="D8" s="134" t="s">
        <v>261</v>
      </c>
      <c r="G8" s="2" t="s">
        <v>373</v>
      </c>
      <c r="H8" s="2" t="s">
        <v>378</v>
      </c>
      <c r="L8" s="2" t="s">
        <v>445</v>
      </c>
      <c r="M8" s="60"/>
      <c r="N8" s="2" t="s">
        <v>463</v>
      </c>
      <c r="O8" s="2" t="s">
        <v>484</v>
      </c>
      <c r="P8" s="2" t="s">
        <v>496</v>
      </c>
      <c r="Q8" s="2" t="s">
        <v>511</v>
      </c>
      <c r="R8" s="2" t="s">
        <v>525</v>
      </c>
      <c r="T8" s="2" t="s">
        <v>555</v>
      </c>
      <c r="U8" s="2" t="s">
        <v>319</v>
      </c>
      <c r="CE8" s="55">
        <f t="shared" si="0"/>
        <v>11</v>
      </c>
      <c r="CF8" s="55">
        <f t="shared" si="1"/>
        <v>360</v>
      </c>
      <c r="CG8" s="57">
        <f t="shared" si="2"/>
        <v>60</v>
      </c>
      <c r="CH8" s="55">
        <f t="shared" si="3"/>
        <v>9</v>
      </c>
      <c r="CI8" s="55">
        <f t="shared" si="4"/>
        <v>215</v>
      </c>
      <c r="CJ8" s="55">
        <f t="shared" si="5"/>
        <v>7</v>
      </c>
      <c r="CK8" s="58">
        <f t="shared" si="15"/>
        <v>30.71</v>
      </c>
      <c r="CL8" s="59">
        <f t="shared" si="6"/>
        <v>51.428571428571431</v>
      </c>
      <c r="CM8" s="59">
        <f t="shared" si="7"/>
        <v>3.5833333333333335</v>
      </c>
      <c r="CN8" s="49" t="str">
        <f t="shared" si="8"/>
        <v>4-28</v>
      </c>
      <c r="CO8" s="55">
        <f t="shared" si="9"/>
        <v>109</v>
      </c>
      <c r="CP8" s="55">
        <f t="shared" si="10"/>
        <v>0</v>
      </c>
      <c r="CQ8" s="55">
        <f t="shared" si="11"/>
        <v>0</v>
      </c>
      <c r="CR8" s="60">
        <f t="shared" si="12"/>
        <v>30.710800000000003</v>
      </c>
      <c r="CS8" s="2">
        <f t="shared" si="13"/>
        <v>13</v>
      </c>
      <c r="CT8" s="109">
        <f t="shared" si="14"/>
        <v>0.15000000000000002</v>
      </c>
    </row>
    <row r="9" spans="1:98" ht="11.25" customHeight="1">
      <c r="B9" s="2" t="s">
        <v>418</v>
      </c>
      <c r="D9" s="134"/>
      <c r="J9" s="2" t="s">
        <v>425</v>
      </c>
      <c r="M9" s="60"/>
      <c r="N9" s="2" t="s">
        <v>466</v>
      </c>
      <c r="O9" s="2" t="s">
        <v>481</v>
      </c>
      <c r="P9" s="2" t="s">
        <v>495</v>
      </c>
      <c r="Q9" s="2" t="s">
        <v>512</v>
      </c>
      <c r="T9" s="2" t="s">
        <v>551</v>
      </c>
      <c r="CE9" s="55">
        <f t="shared" ref="CE9" si="30">BowlSplit(C9:BC9,InnsBowledIn)</f>
        <v>6</v>
      </c>
      <c r="CF9" s="55">
        <f t="shared" ref="CF9" si="31">BowlSplit(C9:CC9,BallsBowled)</f>
        <v>224</v>
      </c>
      <c r="CG9" s="57">
        <f t="shared" ref="CG9" si="32">BowlSplit(C9:CC9,OversBowled)</f>
        <v>37.200000000000003</v>
      </c>
      <c r="CH9" s="55">
        <f t="shared" ref="CH9" si="33">BowlSplit(C9:CC9,Maidens)</f>
        <v>5</v>
      </c>
      <c r="CI9" s="55">
        <f t="shared" ref="CI9" si="34">BowlSplit(C9:CC9,RunsConceded)</f>
        <v>162</v>
      </c>
      <c r="CJ9" s="55">
        <f t="shared" ref="CJ9" si="35">BowlSplit(C9:CC9,WicketsTaken)</f>
        <v>8</v>
      </c>
      <c r="CK9" s="58">
        <f t="shared" si="15"/>
        <v>20.25</v>
      </c>
      <c r="CL9" s="59">
        <f t="shared" ref="CL9" si="36">IF(CJ9&gt;0,CF9/CJ9,"")</f>
        <v>28</v>
      </c>
      <c r="CM9" s="59">
        <f t="shared" ref="CM9" si="37">IF(CF9&gt;0,6*CI9/CF9,"")</f>
        <v>4.3392857142857144</v>
      </c>
      <c r="CN9" s="49" t="str">
        <f t="shared" ref="CN9" si="38">BowlSplit(C9:CC9,BestBowling)</f>
        <v>2-26</v>
      </c>
      <c r="CO9" s="55">
        <f t="shared" ref="CO9" si="39">BowlSplit(C9:CC9,BowlPts)</f>
        <v>90</v>
      </c>
      <c r="CP9" s="55">
        <f t="shared" ref="CP9" si="40">BowlSplit(C9:CC9,Wides)</f>
        <v>0</v>
      </c>
      <c r="CQ9" s="55">
        <f t="shared" ref="CQ9" si="41">BowlSplit(C9:CC9,NoBalls)</f>
        <v>0</v>
      </c>
      <c r="CR9" s="60">
        <f t="shared" ref="CR9" si="42">IF(CJ9&gt;0,CK9,IF(CF9&gt;0,CF9+1000,99999))+ROW(CQ9)/10000</f>
        <v>20.250900000000001</v>
      </c>
      <c r="CS9" s="2">
        <f t="shared" si="13"/>
        <v>9</v>
      </c>
      <c r="CT9" s="109">
        <f t="shared" ref="CT9" si="43">IF(CF9&gt;=120,CH9/CF9*6,"")</f>
        <v>0.13392857142857142</v>
      </c>
    </row>
    <row r="10" spans="1:98" ht="11.25" customHeight="1">
      <c r="A10" s="2" t="s">
        <v>131</v>
      </c>
      <c r="B10" s="2" t="s">
        <v>149</v>
      </c>
      <c r="CE10" s="55">
        <f t="shared" si="0"/>
        <v>0</v>
      </c>
      <c r="CF10" s="55">
        <f t="shared" si="1"/>
        <v>0</v>
      </c>
      <c r="CG10" s="57">
        <f t="shared" si="2"/>
        <v>0</v>
      </c>
      <c r="CH10" s="55">
        <f t="shared" si="3"/>
        <v>0</v>
      </c>
      <c r="CI10" s="55">
        <f t="shared" si="4"/>
        <v>0</v>
      </c>
      <c r="CJ10" s="55">
        <f t="shared" si="5"/>
        <v>0</v>
      </c>
      <c r="CK10" s="58" t="str">
        <f t="shared" si="15"/>
        <v/>
      </c>
      <c r="CL10" s="59" t="str">
        <f t="shared" si="6"/>
        <v/>
      </c>
      <c r="CM10" s="59" t="str">
        <f t="shared" si="7"/>
        <v/>
      </c>
      <c r="CN10" s="49" t="str">
        <f t="shared" si="8"/>
        <v/>
      </c>
      <c r="CO10" s="55">
        <f t="shared" si="9"/>
        <v>0</v>
      </c>
      <c r="CP10" s="55">
        <f t="shared" si="10"/>
        <v>0</v>
      </c>
      <c r="CQ10" s="55">
        <f t="shared" si="11"/>
        <v>0</v>
      </c>
      <c r="CR10" s="60">
        <f t="shared" si="12"/>
        <v>99999.001000000004</v>
      </c>
      <c r="CS10" s="2">
        <f t="shared" si="13"/>
        <v>24</v>
      </c>
      <c r="CT10" s="109" t="str">
        <f t="shared" si="14"/>
        <v/>
      </c>
    </row>
    <row r="11" spans="1:98" ht="11.25" customHeight="1">
      <c r="A11" s="2" t="s">
        <v>43</v>
      </c>
      <c r="B11" s="2" t="s">
        <v>44</v>
      </c>
      <c r="D11" s="2" t="s">
        <v>318</v>
      </c>
      <c r="E11" s="2" t="s">
        <v>356</v>
      </c>
      <c r="F11" s="2" t="s">
        <v>361</v>
      </c>
      <c r="G11" s="2" t="s">
        <v>376</v>
      </c>
      <c r="H11" s="2" t="s">
        <v>379</v>
      </c>
      <c r="I11" s="2" t="s">
        <v>395</v>
      </c>
      <c r="J11" s="2" t="s">
        <v>424</v>
      </c>
      <c r="K11" s="2" t="s">
        <v>437</v>
      </c>
      <c r="L11" s="2" t="s">
        <v>446</v>
      </c>
      <c r="M11" s="60" t="s">
        <v>457</v>
      </c>
      <c r="N11" s="2" t="s">
        <v>465</v>
      </c>
      <c r="O11" s="2" t="s">
        <v>482</v>
      </c>
      <c r="P11" s="2" t="s">
        <v>497</v>
      </c>
      <c r="Q11" s="2" t="s">
        <v>513</v>
      </c>
      <c r="R11" s="2" t="s">
        <v>527</v>
      </c>
      <c r="CE11" s="55">
        <f t="shared" si="0"/>
        <v>15</v>
      </c>
      <c r="CF11" s="55">
        <f t="shared" si="1"/>
        <v>658</v>
      </c>
      <c r="CG11" s="57">
        <f t="shared" si="2"/>
        <v>109.4</v>
      </c>
      <c r="CH11" s="55">
        <f t="shared" si="3"/>
        <v>10</v>
      </c>
      <c r="CI11" s="55">
        <f t="shared" si="4"/>
        <v>389</v>
      </c>
      <c r="CJ11" s="55">
        <f t="shared" si="5"/>
        <v>18</v>
      </c>
      <c r="CK11" s="58">
        <f t="shared" si="15"/>
        <v>21.61</v>
      </c>
      <c r="CL11" s="59">
        <f t="shared" si="6"/>
        <v>36.555555555555557</v>
      </c>
      <c r="CM11" s="59">
        <f t="shared" si="7"/>
        <v>3.547112462006079</v>
      </c>
      <c r="CN11" s="49" t="str">
        <f t="shared" si="8"/>
        <v>4-12</v>
      </c>
      <c r="CO11" s="55">
        <f t="shared" si="9"/>
        <v>255</v>
      </c>
      <c r="CP11" s="55">
        <f t="shared" si="10"/>
        <v>0</v>
      </c>
      <c r="CQ11" s="55">
        <f t="shared" si="11"/>
        <v>0</v>
      </c>
      <c r="CR11" s="60">
        <f t="shared" si="12"/>
        <v>21.6111</v>
      </c>
      <c r="CS11" s="2">
        <f t="shared" si="13"/>
        <v>10</v>
      </c>
      <c r="CT11" s="109">
        <f t="shared" si="14"/>
        <v>9.1185410334346503E-2</v>
      </c>
    </row>
    <row r="12" spans="1:98" ht="11.25" customHeight="1">
      <c r="B12" s="2" t="s">
        <v>232</v>
      </c>
      <c r="J12" s="2" t="s">
        <v>427</v>
      </c>
      <c r="K12" s="2" t="s">
        <v>440</v>
      </c>
      <c r="M12" s="60"/>
      <c r="N12" s="2" t="s">
        <v>263</v>
      </c>
      <c r="Q12" s="2" t="s">
        <v>514</v>
      </c>
      <c r="S12" s="2" t="s">
        <v>544</v>
      </c>
      <c r="T12" s="2" t="s">
        <v>554</v>
      </c>
      <c r="U12" s="2" t="s">
        <v>573</v>
      </c>
      <c r="CE12" s="55">
        <f t="shared" ref="CE12:CE14" si="44">BowlSplit(C12:BC12,InnsBowledIn)</f>
        <v>7</v>
      </c>
      <c r="CF12" s="55">
        <f t="shared" ref="CF12:CF14" si="45">BowlSplit(C12:CC12,BallsBowled)</f>
        <v>154</v>
      </c>
      <c r="CG12" s="57">
        <f t="shared" ref="CG12:CG14" si="46">BowlSplit(C12:CC12,OversBowled)</f>
        <v>25.4</v>
      </c>
      <c r="CH12" s="55">
        <f t="shared" ref="CH12:CH14" si="47">BowlSplit(C12:CC12,Maidens)</f>
        <v>3</v>
      </c>
      <c r="CI12" s="55">
        <f t="shared" ref="CI12:CI14" si="48">BowlSplit(C12:CC12,RunsConceded)</f>
        <v>117</v>
      </c>
      <c r="CJ12" s="55">
        <f t="shared" ref="CJ12:CJ14" si="49">BowlSplit(C12:CC12,WicketsTaken)</f>
        <v>4</v>
      </c>
      <c r="CK12" s="58">
        <f t="shared" si="15"/>
        <v>29.25</v>
      </c>
      <c r="CL12" s="59">
        <f t="shared" ref="CL12:CL14" si="50">IF(CJ12&gt;0,CF12/CJ12,"")</f>
        <v>38.5</v>
      </c>
      <c r="CM12" s="59">
        <f t="shared" ref="CM12:CM14" si="51">IF(CF12&gt;0,6*CI12/CF12,"")</f>
        <v>4.5584415584415581</v>
      </c>
      <c r="CN12" s="49" t="str">
        <f t="shared" ref="CN12:CN14" si="52">BowlSplit(C12:CC12,BestBowling)</f>
        <v>1-8</v>
      </c>
      <c r="CO12" s="55">
        <f t="shared" ref="CO12:CO14" si="53">BowlSplit(C12:CC12,BowlPts)</f>
        <v>58</v>
      </c>
      <c r="CP12" s="55">
        <f t="shared" ref="CP12:CP14" si="54">BowlSplit(C12:CC12,Wides)</f>
        <v>0</v>
      </c>
      <c r="CQ12" s="55">
        <f t="shared" ref="CQ12:CQ14" si="55">BowlSplit(C12:CC12,NoBalls)</f>
        <v>0</v>
      </c>
      <c r="CR12" s="60">
        <f t="shared" ref="CR12:CR14" si="56">IF(CJ12&gt;0,CK12,IF(CF12&gt;0,CF12+1000,99999))+ROW(CQ12)/10000</f>
        <v>29.251200000000001</v>
      </c>
      <c r="CS12" s="2">
        <f t="shared" si="13"/>
        <v>12</v>
      </c>
      <c r="CT12" s="109">
        <f t="shared" ref="CT12:CT14" si="57">IF(CF12&gt;=120,CH12/CF12*6,"")</f>
        <v>0.11688311688311688</v>
      </c>
    </row>
    <row r="13" spans="1:98" ht="11.25" customHeight="1">
      <c r="B13" s="2" t="s">
        <v>182</v>
      </c>
      <c r="M13" s="60" t="s">
        <v>460</v>
      </c>
      <c r="CE13" s="55">
        <f t="shared" ref="CE13" si="58">BowlSplit(C13:BC13,InnsBowledIn)</f>
        <v>1</v>
      </c>
      <c r="CF13" s="55">
        <f t="shared" ref="CF13" si="59">BowlSplit(C13:CC13,BallsBowled)</f>
        <v>12</v>
      </c>
      <c r="CG13" s="57">
        <f t="shared" ref="CG13" si="60">BowlSplit(C13:CC13,OversBowled)</f>
        <v>2</v>
      </c>
      <c r="CH13" s="55">
        <f t="shared" ref="CH13" si="61">BowlSplit(C13:CC13,Maidens)</f>
        <v>1</v>
      </c>
      <c r="CI13" s="55">
        <f t="shared" ref="CI13" si="62">BowlSplit(C13:CC13,RunsConceded)</f>
        <v>10</v>
      </c>
      <c r="CJ13" s="55">
        <f t="shared" ref="CJ13" si="63">BowlSplit(C13:CC13,WicketsTaken)</f>
        <v>1</v>
      </c>
      <c r="CK13" s="58">
        <f t="shared" si="15"/>
        <v>10</v>
      </c>
      <c r="CL13" s="59">
        <f t="shared" ref="CL13" si="64">IF(CJ13&gt;0,CF13/CJ13,"")</f>
        <v>12</v>
      </c>
      <c r="CM13" s="59">
        <f t="shared" ref="CM13" si="65">IF(CF13&gt;0,6*CI13/CF13,"")</f>
        <v>5</v>
      </c>
      <c r="CN13" s="49" t="str">
        <f t="shared" ref="CN13" si="66">BowlSplit(C13:CC13,BestBowling)</f>
        <v>1-10</v>
      </c>
      <c r="CO13" s="55">
        <f t="shared" ref="CO13" si="67">BowlSplit(C13:CC13,BowlPts)</f>
        <v>11</v>
      </c>
      <c r="CP13" s="55">
        <f t="shared" ref="CP13" si="68">BowlSplit(C13:CC13,Wides)</f>
        <v>0</v>
      </c>
      <c r="CQ13" s="55">
        <f t="shared" ref="CQ13" si="69">BowlSplit(C13:CC13,NoBalls)</f>
        <v>0</v>
      </c>
      <c r="CR13" s="60">
        <f t="shared" ref="CR13" si="70">IF(CJ13&gt;0,CK13,IF(CF13&gt;0,CF13+1000,99999))+ROW(CQ13)/10000</f>
        <v>10.001300000000001</v>
      </c>
      <c r="CS13" s="2">
        <f t="shared" si="13"/>
        <v>1</v>
      </c>
      <c r="CT13" s="109" t="str">
        <f t="shared" ref="CT13" si="71">IF(CF13&gt;=120,CH13/CF13*6,"")</f>
        <v/>
      </c>
    </row>
    <row r="14" spans="1:98" ht="11.25" customHeight="1">
      <c r="B14" s="2" t="s">
        <v>231</v>
      </c>
      <c r="I14" s="2" t="s">
        <v>398</v>
      </c>
      <c r="J14" s="2" t="s">
        <v>423</v>
      </c>
      <c r="M14" s="60"/>
      <c r="N14" s="2" t="s">
        <v>464</v>
      </c>
      <c r="O14" s="2" t="s">
        <v>485</v>
      </c>
      <c r="CE14" s="55">
        <f t="shared" si="44"/>
        <v>4</v>
      </c>
      <c r="CF14" s="55">
        <f t="shared" si="45"/>
        <v>84</v>
      </c>
      <c r="CG14" s="57">
        <f t="shared" si="46"/>
        <v>14</v>
      </c>
      <c r="CH14" s="55">
        <f t="shared" si="47"/>
        <v>3</v>
      </c>
      <c r="CI14" s="55">
        <f t="shared" si="48"/>
        <v>72</v>
      </c>
      <c r="CJ14" s="55">
        <f t="shared" si="49"/>
        <v>2</v>
      </c>
      <c r="CK14" s="58">
        <f t="shared" si="15"/>
        <v>36</v>
      </c>
      <c r="CL14" s="59">
        <f t="shared" si="50"/>
        <v>42</v>
      </c>
      <c r="CM14" s="59">
        <f t="shared" si="51"/>
        <v>5.1428571428571432</v>
      </c>
      <c r="CN14" s="49" t="str">
        <f t="shared" si="52"/>
        <v>2-23</v>
      </c>
      <c r="CO14" s="55">
        <f t="shared" si="53"/>
        <v>13</v>
      </c>
      <c r="CP14" s="55">
        <f t="shared" si="54"/>
        <v>0</v>
      </c>
      <c r="CQ14" s="55">
        <f t="shared" si="55"/>
        <v>0</v>
      </c>
      <c r="CR14" s="60">
        <f t="shared" si="56"/>
        <v>36.001399999999997</v>
      </c>
      <c r="CS14" s="2">
        <f t="shared" si="13"/>
        <v>15</v>
      </c>
      <c r="CT14" s="109" t="str">
        <f t="shared" si="57"/>
        <v/>
      </c>
    </row>
    <row r="15" spans="1:98" ht="11.25" customHeight="1">
      <c r="B15" s="2" t="s">
        <v>570</v>
      </c>
      <c r="U15" s="2" t="s">
        <v>575</v>
      </c>
      <c r="CE15" s="55">
        <f t="shared" ref="CE15:CE32" si="72">BowlSplit(C15:BC15,InnsBowledIn)</f>
        <v>1</v>
      </c>
      <c r="CF15" s="55">
        <f t="shared" ref="CF15:CF32" si="73">BowlSplit(C15:CC15,BallsBowled)</f>
        <v>36</v>
      </c>
      <c r="CG15" s="57">
        <f t="shared" ref="CG15:CG32" si="74">BowlSplit(C15:CC15,OversBowled)</f>
        <v>6</v>
      </c>
      <c r="CH15" s="55">
        <f t="shared" ref="CH15:CH32" si="75">BowlSplit(C15:CC15,Maidens)</f>
        <v>0</v>
      </c>
      <c r="CI15" s="55">
        <f t="shared" ref="CI15:CI32" si="76">BowlSplit(C15:CC15,RunsConceded)</f>
        <v>32</v>
      </c>
      <c r="CJ15" s="55">
        <f t="shared" ref="CJ15:CJ32" si="77">BowlSplit(C15:CC15,WicketsTaken)</f>
        <v>1</v>
      </c>
      <c r="CK15" s="58">
        <f t="shared" si="15"/>
        <v>32</v>
      </c>
      <c r="CL15" s="59">
        <f t="shared" ref="CL15:CL32" si="78">IF(CJ15&gt;0,CF15/CJ15,"")</f>
        <v>36</v>
      </c>
      <c r="CM15" s="59">
        <f t="shared" ref="CM15:CM32" si="79">IF(CF15&gt;0,6*CI15/CF15,"")</f>
        <v>5.333333333333333</v>
      </c>
      <c r="CN15" s="49" t="str">
        <f t="shared" ref="CN15:CN32" si="80">BowlSplit(C15:CC15,BestBowling)</f>
        <v>1-32</v>
      </c>
      <c r="CO15" s="55">
        <f t="shared" ref="CO15:CO32" si="81">BowlSplit(C15:CC15,BowlPts)</f>
        <v>5</v>
      </c>
      <c r="CP15" s="55">
        <f t="shared" ref="CP15:CP32" si="82">BowlSplit(C15:CC15,Wides)</f>
        <v>0</v>
      </c>
      <c r="CQ15" s="55">
        <f t="shared" ref="CQ15:CQ32" si="83">BowlSplit(C15:CC15,NoBalls)</f>
        <v>0</v>
      </c>
      <c r="CR15" s="60">
        <f t="shared" ref="CR15:CR32" si="84">IF(CJ15&gt;0,CK15,IF(CF15&gt;0,CF15+1000,99999))+ROW(CQ15)/10000</f>
        <v>32.0015</v>
      </c>
      <c r="CS15" s="2">
        <f t="shared" ref="CS15:CS32" si="85">RANK(CR15,$CR$5:$CR$32,1)</f>
        <v>14</v>
      </c>
      <c r="CT15" s="109" t="str">
        <f t="shared" ref="CT15:CT32" si="86">IF(CF15&gt;=120,CH15/CF15*6,"")</f>
        <v/>
      </c>
    </row>
    <row r="16" spans="1:98" ht="11.25" customHeight="1">
      <c r="B16" s="2" t="s">
        <v>563</v>
      </c>
      <c r="U16" s="2" t="s">
        <v>438</v>
      </c>
      <c r="CE16" s="55">
        <f t="shared" si="72"/>
        <v>1</v>
      </c>
      <c r="CF16" s="55">
        <f t="shared" si="73"/>
        <v>24</v>
      </c>
      <c r="CG16" s="57">
        <f t="shared" si="74"/>
        <v>4</v>
      </c>
      <c r="CH16" s="55">
        <f t="shared" si="75"/>
        <v>0</v>
      </c>
      <c r="CI16" s="55">
        <f t="shared" si="76"/>
        <v>18</v>
      </c>
      <c r="CJ16" s="55">
        <f t="shared" si="77"/>
        <v>1</v>
      </c>
      <c r="CK16" s="58">
        <f t="shared" si="15"/>
        <v>18</v>
      </c>
      <c r="CL16" s="59">
        <f t="shared" si="78"/>
        <v>24</v>
      </c>
      <c r="CM16" s="59">
        <f t="shared" si="79"/>
        <v>4.5</v>
      </c>
      <c r="CN16" s="49" t="str">
        <f t="shared" si="80"/>
        <v>1-18</v>
      </c>
      <c r="CO16" s="55">
        <f t="shared" si="81"/>
        <v>10</v>
      </c>
      <c r="CP16" s="55">
        <f t="shared" si="82"/>
        <v>0</v>
      </c>
      <c r="CQ16" s="55">
        <f t="shared" si="83"/>
        <v>0</v>
      </c>
      <c r="CR16" s="60">
        <f t="shared" si="84"/>
        <v>18.0016</v>
      </c>
      <c r="CS16" s="2">
        <f t="shared" si="85"/>
        <v>8</v>
      </c>
      <c r="CT16" s="109" t="str">
        <f t="shared" si="86"/>
        <v/>
      </c>
    </row>
    <row r="17" spans="1:98" ht="11.25" customHeight="1">
      <c r="B17" s="2" t="s">
        <v>205</v>
      </c>
      <c r="G17" s="2" t="s">
        <v>259</v>
      </c>
      <c r="H17" s="2" t="s">
        <v>270</v>
      </c>
      <c r="I17" s="2" t="s">
        <v>394</v>
      </c>
      <c r="K17" s="2" t="s">
        <v>438</v>
      </c>
      <c r="M17" s="2" t="s">
        <v>458</v>
      </c>
      <c r="S17" s="2" t="s">
        <v>547</v>
      </c>
      <c r="CE17" s="55">
        <f t="shared" si="72"/>
        <v>6</v>
      </c>
      <c r="CF17" s="55">
        <f t="shared" si="73"/>
        <v>174</v>
      </c>
      <c r="CG17" s="57">
        <f t="shared" si="74"/>
        <v>29</v>
      </c>
      <c r="CH17" s="55">
        <f t="shared" si="75"/>
        <v>1</v>
      </c>
      <c r="CI17" s="55">
        <f t="shared" si="76"/>
        <v>120</v>
      </c>
      <c r="CJ17" s="55">
        <f t="shared" si="77"/>
        <v>3</v>
      </c>
      <c r="CK17" s="58">
        <f t="shared" si="15"/>
        <v>40</v>
      </c>
      <c r="CL17" s="59">
        <f t="shared" si="78"/>
        <v>58</v>
      </c>
      <c r="CM17" s="59">
        <f t="shared" si="79"/>
        <v>4.1379310344827589</v>
      </c>
      <c r="CN17" s="49" t="str">
        <f t="shared" si="80"/>
        <v>1-12</v>
      </c>
      <c r="CO17" s="55">
        <f t="shared" si="81"/>
        <v>41</v>
      </c>
      <c r="CP17" s="55">
        <f t="shared" si="82"/>
        <v>0</v>
      </c>
      <c r="CQ17" s="55">
        <f t="shared" si="83"/>
        <v>0</v>
      </c>
      <c r="CR17" s="60">
        <f t="shared" si="84"/>
        <v>40.0017</v>
      </c>
      <c r="CS17" s="2">
        <f t="shared" si="85"/>
        <v>17</v>
      </c>
      <c r="CT17" s="109">
        <f t="shared" si="86"/>
        <v>3.4482758620689655E-2</v>
      </c>
    </row>
    <row r="18" spans="1:98" ht="11.25" customHeight="1">
      <c r="B18" s="2" t="s">
        <v>229</v>
      </c>
      <c r="H18" s="2" t="s">
        <v>381</v>
      </c>
      <c r="M18" s="60"/>
      <c r="P18" s="2" t="s">
        <v>500</v>
      </c>
      <c r="CE18" s="55">
        <f t="shared" si="72"/>
        <v>2</v>
      </c>
      <c r="CF18" s="55">
        <f t="shared" si="73"/>
        <v>60</v>
      </c>
      <c r="CG18" s="57">
        <f t="shared" si="74"/>
        <v>10</v>
      </c>
      <c r="CH18" s="55">
        <f t="shared" si="75"/>
        <v>0</v>
      </c>
      <c r="CI18" s="55">
        <f t="shared" si="76"/>
        <v>69</v>
      </c>
      <c r="CJ18" s="55">
        <f t="shared" si="77"/>
        <v>1</v>
      </c>
      <c r="CK18" s="58">
        <f t="shared" si="15"/>
        <v>69</v>
      </c>
      <c r="CL18" s="59">
        <f t="shared" si="78"/>
        <v>60</v>
      </c>
      <c r="CM18" s="59">
        <f t="shared" si="79"/>
        <v>6.9</v>
      </c>
      <c r="CN18" s="49" t="str">
        <f t="shared" si="80"/>
        <v>1-33</v>
      </c>
      <c r="CO18" s="55">
        <f t="shared" si="81"/>
        <v>0</v>
      </c>
      <c r="CP18" s="55">
        <f t="shared" si="82"/>
        <v>0</v>
      </c>
      <c r="CQ18" s="55">
        <f t="shared" si="83"/>
        <v>0</v>
      </c>
      <c r="CR18" s="60">
        <f t="shared" si="84"/>
        <v>69.001800000000003</v>
      </c>
      <c r="CS18" s="2">
        <f t="shared" si="85"/>
        <v>19</v>
      </c>
      <c r="CT18" s="109" t="str">
        <f t="shared" si="86"/>
        <v/>
      </c>
    </row>
    <row r="19" spans="1:98" ht="11.25" customHeight="1">
      <c r="A19" s="2" t="s">
        <v>47</v>
      </c>
      <c r="B19" s="2" t="s">
        <v>48</v>
      </c>
      <c r="CE19" s="55">
        <f t="shared" si="72"/>
        <v>0</v>
      </c>
      <c r="CF19" s="55">
        <f t="shared" si="73"/>
        <v>0</v>
      </c>
      <c r="CG19" s="57">
        <f t="shared" si="74"/>
        <v>0</v>
      </c>
      <c r="CH19" s="55">
        <f t="shared" si="75"/>
        <v>0</v>
      </c>
      <c r="CI19" s="55">
        <f t="shared" si="76"/>
        <v>0</v>
      </c>
      <c r="CJ19" s="55">
        <f t="shared" si="77"/>
        <v>0</v>
      </c>
      <c r="CK19" s="58" t="str">
        <f t="shared" si="15"/>
        <v/>
      </c>
      <c r="CL19" s="59" t="str">
        <f t="shared" si="78"/>
        <v/>
      </c>
      <c r="CM19" s="59" t="str">
        <f t="shared" si="79"/>
        <v/>
      </c>
      <c r="CN19" s="49" t="str">
        <f t="shared" si="80"/>
        <v/>
      </c>
      <c r="CO19" s="55">
        <f t="shared" si="81"/>
        <v>0</v>
      </c>
      <c r="CP19" s="55">
        <f t="shared" si="82"/>
        <v>0</v>
      </c>
      <c r="CQ19" s="55">
        <f t="shared" si="83"/>
        <v>0</v>
      </c>
      <c r="CR19" s="60">
        <f t="shared" si="84"/>
        <v>99999.001900000003</v>
      </c>
      <c r="CS19" s="2">
        <f t="shared" si="85"/>
        <v>25</v>
      </c>
      <c r="CT19" s="109" t="str">
        <f t="shared" si="86"/>
        <v/>
      </c>
    </row>
    <row r="20" spans="1:98" ht="11.25" customHeight="1">
      <c r="A20" s="2" t="s">
        <v>189</v>
      </c>
      <c r="B20" s="2" t="s">
        <v>184</v>
      </c>
      <c r="D20" s="2" t="s">
        <v>314</v>
      </c>
      <c r="F20" s="2" t="s">
        <v>363</v>
      </c>
      <c r="K20" s="2" t="s">
        <v>436</v>
      </c>
      <c r="Q20" s="2" t="s">
        <v>510</v>
      </c>
      <c r="S20" s="2" t="s">
        <v>543</v>
      </c>
      <c r="T20" s="2" t="s">
        <v>550</v>
      </c>
      <c r="U20" s="2" t="s">
        <v>577</v>
      </c>
      <c r="CE20" s="55">
        <f t="shared" si="72"/>
        <v>7</v>
      </c>
      <c r="CF20" s="55">
        <f t="shared" si="73"/>
        <v>227</v>
      </c>
      <c r="CG20" s="57">
        <f t="shared" si="74"/>
        <v>37.5</v>
      </c>
      <c r="CH20" s="55">
        <f t="shared" si="75"/>
        <v>3</v>
      </c>
      <c r="CI20" s="55">
        <f t="shared" si="76"/>
        <v>183</v>
      </c>
      <c r="CJ20" s="55">
        <f t="shared" si="77"/>
        <v>1</v>
      </c>
      <c r="CK20" s="58">
        <f t="shared" si="15"/>
        <v>183</v>
      </c>
      <c r="CL20" s="59">
        <f t="shared" si="78"/>
        <v>227</v>
      </c>
      <c r="CM20" s="59">
        <f t="shared" si="79"/>
        <v>4.8370044052863435</v>
      </c>
      <c r="CN20" s="49" t="str">
        <f t="shared" si="80"/>
        <v>1-35</v>
      </c>
      <c r="CO20" s="55">
        <f t="shared" si="81"/>
        <v>13</v>
      </c>
      <c r="CP20" s="55">
        <f t="shared" si="82"/>
        <v>0</v>
      </c>
      <c r="CQ20" s="55">
        <f t="shared" si="83"/>
        <v>0</v>
      </c>
      <c r="CR20" s="60">
        <f t="shared" si="84"/>
        <v>183.00200000000001</v>
      </c>
      <c r="CS20" s="2">
        <f t="shared" si="85"/>
        <v>20</v>
      </c>
      <c r="CT20" s="109">
        <f t="shared" si="86"/>
        <v>7.9295154185022032E-2</v>
      </c>
    </row>
    <row r="21" spans="1:98" ht="11.25" customHeight="1">
      <c r="A21" s="2" t="s">
        <v>137</v>
      </c>
      <c r="B21" s="2" t="s">
        <v>150</v>
      </c>
      <c r="CE21" s="55">
        <f t="shared" si="72"/>
        <v>0</v>
      </c>
      <c r="CF21" s="55">
        <f t="shared" si="73"/>
        <v>0</v>
      </c>
      <c r="CG21" s="57">
        <f t="shared" si="74"/>
        <v>0</v>
      </c>
      <c r="CH21" s="55">
        <f t="shared" si="75"/>
        <v>0</v>
      </c>
      <c r="CI21" s="55">
        <f t="shared" si="76"/>
        <v>0</v>
      </c>
      <c r="CJ21" s="55">
        <f t="shared" si="77"/>
        <v>0</v>
      </c>
      <c r="CK21" s="58" t="str">
        <f t="shared" si="15"/>
        <v/>
      </c>
      <c r="CL21" s="59" t="str">
        <f t="shared" si="78"/>
        <v/>
      </c>
      <c r="CM21" s="59" t="str">
        <f t="shared" si="79"/>
        <v/>
      </c>
      <c r="CN21" s="49" t="str">
        <f t="shared" si="80"/>
        <v/>
      </c>
      <c r="CO21" s="55">
        <f t="shared" si="81"/>
        <v>0</v>
      </c>
      <c r="CP21" s="55">
        <f t="shared" si="82"/>
        <v>0</v>
      </c>
      <c r="CQ21" s="55">
        <f t="shared" si="83"/>
        <v>0</v>
      </c>
      <c r="CR21" s="60">
        <f t="shared" si="84"/>
        <v>99999.002099999998</v>
      </c>
      <c r="CS21" s="2">
        <f t="shared" si="85"/>
        <v>26</v>
      </c>
      <c r="CT21" s="109" t="str">
        <f t="shared" si="86"/>
        <v/>
      </c>
    </row>
    <row r="22" spans="1:98" ht="11.25" customHeight="1">
      <c r="B22" s="2" t="s">
        <v>490</v>
      </c>
      <c r="S22" s="2" t="s">
        <v>546</v>
      </c>
      <c r="T22" s="2" t="s">
        <v>552</v>
      </c>
      <c r="CE22" s="55">
        <f t="shared" si="72"/>
        <v>2</v>
      </c>
      <c r="CF22" s="55">
        <f t="shared" si="73"/>
        <v>36</v>
      </c>
      <c r="CG22" s="57">
        <f t="shared" si="74"/>
        <v>6</v>
      </c>
      <c r="CH22" s="55">
        <f t="shared" si="75"/>
        <v>0</v>
      </c>
      <c r="CI22" s="55">
        <f t="shared" si="76"/>
        <v>26</v>
      </c>
      <c r="CJ22" s="55">
        <f t="shared" si="77"/>
        <v>1</v>
      </c>
      <c r="CK22" s="58">
        <f t="shared" si="15"/>
        <v>26</v>
      </c>
      <c r="CL22" s="59">
        <f t="shared" si="78"/>
        <v>36</v>
      </c>
      <c r="CM22" s="59">
        <f t="shared" si="79"/>
        <v>4.333333333333333</v>
      </c>
      <c r="CN22" s="49" t="str">
        <f t="shared" si="80"/>
        <v>1-15</v>
      </c>
      <c r="CO22" s="55">
        <f t="shared" si="81"/>
        <v>10</v>
      </c>
      <c r="CP22" s="55">
        <f t="shared" si="82"/>
        <v>0</v>
      </c>
      <c r="CQ22" s="55">
        <f t="shared" si="83"/>
        <v>0</v>
      </c>
      <c r="CR22" s="60">
        <f t="shared" si="84"/>
        <v>26.002199999999998</v>
      </c>
      <c r="CS22" s="2">
        <f t="shared" si="85"/>
        <v>11</v>
      </c>
      <c r="CT22" s="109" t="str">
        <f t="shared" si="86"/>
        <v/>
      </c>
    </row>
    <row r="23" spans="1:98" ht="11.25" customHeight="1">
      <c r="B23" s="2" t="s">
        <v>269</v>
      </c>
      <c r="D23" s="2" t="s">
        <v>317</v>
      </c>
      <c r="E23" s="2" t="s">
        <v>355</v>
      </c>
      <c r="F23" s="2" t="s">
        <v>359</v>
      </c>
      <c r="G23" s="2" t="s">
        <v>375</v>
      </c>
      <c r="I23" s="2" t="s">
        <v>393</v>
      </c>
      <c r="J23" s="2" t="s">
        <v>422</v>
      </c>
      <c r="M23" s="60"/>
      <c r="R23" s="2" t="s">
        <v>524</v>
      </c>
      <c r="CE23" s="55">
        <f t="shared" si="72"/>
        <v>7</v>
      </c>
      <c r="CF23" s="55">
        <f t="shared" si="73"/>
        <v>342</v>
      </c>
      <c r="CG23" s="57">
        <f t="shared" si="74"/>
        <v>57</v>
      </c>
      <c r="CH23" s="55">
        <f t="shared" si="75"/>
        <v>13</v>
      </c>
      <c r="CI23" s="55">
        <f t="shared" si="76"/>
        <v>198</v>
      </c>
      <c r="CJ23" s="55">
        <f t="shared" si="77"/>
        <v>16</v>
      </c>
      <c r="CK23" s="58">
        <f t="shared" si="15"/>
        <v>12.38</v>
      </c>
      <c r="CL23" s="59">
        <f t="shared" si="78"/>
        <v>21.375</v>
      </c>
      <c r="CM23" s="59">
        <f t="shared" si="79"/>
        <v>3.4736842105263159</v>
      </c>
      <c r="CN23" s="49" t="str">
        <f t="shared" si="80"/>
        <v>5-30</v>
      </c>
      <c r="CO23" s="55">
        <f t="shared" si="81"/>
        <v>208</v>
      </c>
      <c r="CP23" s="55">
        <f t="shared" si="82"/>
        <v>0</v>
      </c>
      <c r="CQ23" s="55">
        <f t="shared" si="83"/>
        <v>0</v>
      </c>
      <c r="CR23" s="60">
        <f t="shared" si="84"/>
        <v>12.382300000000001</v>
      </c>
      <c r="CS23" s="2">
        <f t="shared" si="85"/>
        <v>3</v>
      </c>
      <c r="CT23" s="109">
        <f t="shared" si="86"/>
        <v>0.22807017543859648</v>
      </c>
    </row>
    <row r="24" spans="1:98" ht="11.25" customHeight="1">
      <c r="B24" s="2" t="s">
        <v>535</v>
      </c>
      <c r="M24" s="60"/>
      <c r="S24" s="2" t="s">
        <v>545</v>
      </c>
      <c r="CE24" s="55">
        <f t="shared" si="72"/>
        <v>1</v>
      </c>
      <c r="CF24" s="55">
        <f t="shared" si="73"/>
        <v>54</v>
      </c>
      <c r="CG24" s="57">
        <f t="shared" si="74"/>
        <v>9</v>
      </c>
      <c r="CH24" s="55">
        <f t="shared" si="75"/>
        <v>2</v>
      </c>
      <c r="CI24" s="55">
        <f t="shared" si="76"/>
        <v>20</v>
      </c>
      <c r="CJ24" s="55">
        <f t="shared" si="77"/>
        <v>2</v>
      </c>
      <c r="CK24" s="58">
        <f t="shared" si="15"/>
        <v>10</v>
      </c>
      <c r="CL24" s="59">
        <f t="shared" si="78"/>
        <v>27</v>
      </c>
      <c r="CM24" s="59">
        <f t="shared" si="79"/>
        <v>2.2222222222222223</v>
      </c>
      <c r="CN24" s="49" t="str">
        <f t="shared" si="80"/>
        <v>2-20</v>
      </c>
      <c r="CO24" s="55">
        <f t="shared" si="81"/>
        <v>32</v>
      </c>
      <c r="CP24" s="55">
        <f t="shared" si="82"/>
        <v>0</v>
      </c>
      <c r="CQ24" s="55">
        <f t="shared" si="83"/>
        <v>0</v>
      </c>
      <c r="CR24" s="60">
        <f t="shared" si="84"/>
        <v>10.0024</v>
      </c>
      <c r="CS24" s="2">
        <f t="shared" si="85"/>
        <v>2</v>
      </c>
      <c r="CT24" s="109" t="str">
        <f t="shared" si="86"/>
        <v/>
      </c>
    </row>
    <row r="25" spans="1:98" ht="11.25" customHeight="1">
      <c r="B25" s="2" t="s">
        <v>234</v>
      </c>
      <c r="E25" s="2" t="s">
        <v>358</v>
      </c>
      <c r="G25" s="2" t="s">
        <v>377</v>
      </c>
      <c r="H25" s="2" t="s">
        <v>383</v>
      </c>
      <c r="I25" s="2" t="s">
        <v>399</v>
      </c>
      <c r="J25" s="2" t="s">
        <v>426</v>
      </c>
      <c r="K25" s="2" t="s">
        <v>439</v>
      </c>
      <c r="L25" s="2" t="s">
        <v>444</v>
      </c>
      <c r="M25" s="60" t="s">
        <v>461</v>
      </c>
      <c r="N25" s="2" t="s">
        <v>467</v>
      </c>
      <c r="O25" s="2" t="s">
        <v>483</v>
      </c>
      <c r="P25" s="2" t="s">
        <v>499</v>
      </c>
      <c r="R25" s="2" t="s">
        <v>526</v>
      </c>
      <c r="S25" s="2" t="s">
        <v>548</v>
      </c>
      <c r="T25" s="2" t="s">
        <v>553</v>
      </c>
      <c r="CE25" s="55">
        <f t="shared" si="72"/>
        <v>14</v>
      </c>
      <c r="CF25" s="55">
        <f t="shared" si="73"/>
        <v>406</v>
      </c>
      <c r="CG25" s="57">
        <f t="shared" si="74"/>
        <v>67.400000000000006</v>
      </c>
      <c r="CH25" s="55">
        <f t="shared" si="75"/>
        <v>4</v>
      </c>
      <c r="CI25" s="55">
        <f t="shared" si="76"/>
        <v>280</v>
      </c>
      <c r="CJ25" s="55">
        <f t="shared" si="77"/>
        <v>16</v>
      </c>
      <c r="CK25" s="58">
        <f t="shared" si="15"/>
        <v>17.5</v>
      </c>
      <c r="CL25" s="59">
        <f t="shared" si="78"/>
        <v>25.375</v>
      </c>
      <c r="CM25" s="59">
        <f t="shared" si="79"/>
        <v>4.1379310344827589</v>
      </c>
      <c r="CN25" s="49" t="str">
        <f t="shared" si="80"/>
        <v>5-45</v>
      </c>
      <c r="CO25" s="55">
        <f t="shared" si="81"/>
        <v>204</v>
      </c>
      <c r="CP25" s="55">
        <f t="shared" si="82"/>
        <v>0</v>
      </c>
      <c r="CQ25" s="55">
        <f t="shared" si="83"/>
        <v>0</v>
      </c>
      <c r="CR25" s="60">
        <f t="shared" si="84"/>
        <v>17.502500000000001</v>
      </c>
      <c r="CS25" s="2">
        <f t="shared" si="85"/>
        <v>6</v>
      </c>
      <c r="CT25" s="109">
        <f t="shared" si="86"/>
        <v>5.9113300492610835E-2</v>
      </c>
    </row>
    <row r="26" spans="1:98" ht="11.25" customHeight="1">
      <c r="A26" s="2" t="s">
        <v>53</v>
      </c>
      <c r="B26" s="2" t="s">
        <v>151</v>
      </c>
      <c r="I26" s="2" t="s">
        <v>396</v>
      </c>
      <c r="K26" s="2" t="s">
        <v>435</v>
      </c>
      <c r="L26" s="2" t="s">
        <v>441</v>
      </c>
      <c r="R26" s="2" t="s">
        <v>528</v>
      </c>
      <c r="T26" s="2" t="s">
        <v>549</v>
      </c>
      <c r="CE26" s="55">
        <f t="shared" si="72"/>
        <v>5</v>
      </c>
      <c r="CF26" s="55">
        <f t="shared" si="73"/>
        <v>139</v>
      </c>
      <c r="CG26" s="57">
        <f t="shared" si="74"/>
        <v>23.1</v>
      </c>
      <c r="CH26" s="55">
        <f t="shared" si="75"/>
        <v>5</v>
      </c>
      <c r="CI26" s="55">
        <f t="shared" si="76"/>
        <v>75</v>
      </c>
      <c r="CJ26" s="55">
        <f t="shared" si="77"/>
        <v>6</v>
      </c>
      <c r="CK26" s="58">
        <f t="shared" si="15"/>
        <v>12.5</v>
      </c>
      <c r="CL26" s="59">
        <f t="shared" si="78"/>
        <v>23.166666666666668</v>
      </c>
      <c r="CM26" s="59">
        <f t="shared" si="79"/>
        <v>3.2374100719424459</v>
      </c>
      <c r="CN26" s="49" t="str">
        <f t="shared" si="80"/>
        <v>2-8</v>
      </c>
      <c r="CO26" s="55">
        <f t="shared" si="81"/>
        <v>90</v>
      </c>
      <c r="CP26" s="55">
        <f t="shared" si="82"/>
        <v>0</v>
      </c>
      <c r="CQ26" s="55">
        <f t="shared" si="83"/>
        <v>0</v>
      </c>
      <c r="CR26" s="60">
        <f t="shared" si="84"/>
        <v>12.502599999999999</v>
      </c>
      <c r="CS26" s="2">
        <f t="shared" si="85"/>
        <v>4</v>
      </c>
      <c r="CT26" s="109">
        <f t="shared" si="86"/>
        <v>0.21582733812949639</v>
      </c>
    </row>
    <row r="27" spans="1:98" ht="11.25" customHeight="1">
      <c r="B27" s="2" t="s">
        <v>315</v>
      </c>
      <c r="D27" s="2" t="s">
        <v>316</v>
      </c>
      <c r="F27" s="2" t="s">
        <v>360</v>
      </c>
      <c r="L27" s="2" t="s">
        <v>266</v>
      </c>
      <c r="M27" s="2" t="s">
        <v>462</v>
      </c>
      <c r="O27" s="2" t="s">
        <v>480</v>
      </c>
      <c r="U27" s="2" t="s">
        <v>574</v>
      </c>
      <c r="CE27" s="55">
        <f t="shared" si="72"/>
        <v>6</v>
      </c>
      <c r="CF27" s="55">
        <f t="shared" si="73"/>
        <v>252</v>
      </c>
      <c r="CG27" s="57">
        <f t="shared" si="74"/>
        <v>42</v>
      </c>
      <c r="CH27" s="55">
        <f t="shared" si="75"/>
        <v>7</v>
      </c>
      <c r="CI27" s="55">
        <f t="shared" si="76"/>
        <v>159</v>
      </c>
      <c r="CJ27" s="55">
        <f t="shared" si="77"/>
        <v>12</v>
      </c>
      <c r="CK27" s="58">
        <f t="shared" si="15"/>
        <v>13.25</v>
      </c>
      <c r="CL27" s="59">
        <f t="shared" si="78"/>
        <v>21</v>
      </c>
      <c r="CM27" s="59">
        <f t="shared" si="79"/>
        <v>3.7857142857142856</v>
      </c>
      <c r="CN27" s="49" t="str">
        <f t="shared" si="80"/>
        <v>4-34</v>
      </c>
      <c r="CO27" s="55">
        <f t="shared" si="81"/>
        <v>152</v>
      </c>
      <c r="CP27" s="55">
        <f t="shared" si="82"/>
        <v>0</v>
      </c>
      <c r="CQ27" s="55">
        <f t="shared" si="83"/>
        <v>0</v>
      </c>
      <c r="CR27" s="60">
        <f t="shared" si="84"/>
        <v>13.252700000000001</v>
      </c>
      <c r="CS27" s="2">
        <f t="shared" si="85"/>
        <v>5</v>
      </c>
      <c r="CT27" s="109">
        <f t="shared" si="86"/>
        <v>0.16666666666666666</v>
      </c>
    </row>
    <row r="28" spans="1:98" ht="11.25" customHeight="1">
      <c r="B28" s="2" t="s">
        <v>220</v>
      </c>
      <c r="M28" s="60"/>
      <c r="U28" s="2" t="s">
        <v>578</v>
      </c>
      <c r="CE28" s="55">
        <f t="shared" si="72"/>
        <v>1</v>
      </c>
      <c r="CF28" s="55">
        <f t="shared" si="73"/>
        <v>1</v>
      </c>
      <c r="CG28" s="57">
        <f t="shared" si="74"/>
        <v>0.1</v>
      </c>
      <c r="CH28" s="55">
        <f t="shared" si="75"/>
        <v>0</v>
      </c>
      <c r="CI28" s="55">
        <f t="shared" si="76"/>
        <v>5</v>
      </c>
      <c r="CJ28" s="55">
        <f t="shared" si="77"/>
        <v>0</v>
      </c>
      <c r="CK28" s="58" t="str">
        <f t="shared" si="15"/>
        <v/>
      </c>
      <c r="CL28" s="59" t="str">
        <f t="shared" si="78"/>
        <v/>
      </c>
      <c r="CM28" s="59">
        <f t="shared" si="79"/>
        <v>30</v>
      </c>
      <c r="CN28" s="49" t="str">
        <f t="shared" si="80"/>
        <v>0-5</v>
      </c>
      <c r="CO28" s="55">
        <f t="shared" si="81"/>
        <v>-5</v>
      </c>
      <c r="CP28" s="55">
        <f t="shared" si="82"/>
        <v>0</v>
      </c>
      <c r="CQ28" s="55">
        <f t="shared" si="83"/>
        <v>0</v>
      </c>
      <c r="CR28" s="60">
        <f t="shared" si="84"/>
        <v>1001.0028</v>
      </c>
      <c r="CS28" s="2">
        <f t="shared" si="85"/>
        <v>21</v>
      </c>
      <c r="CT28" s="109" t="str">
        <f t="shared" si="86"/>
        <v/>
      </c>
    </row>
    <row r="29" spans="1:98" ht="11.25" customHeight="1">
      <c r="A29" s="2" t="s">
        <v>56</v>
      </c>
      <c r="B29" s="2" t="s">
        <v>152</v>
      </c>
      <c r="CE29" s="55">
        <f t="shared" si="72"/>
        <v>0</v>
      </c>
      <c r="CF29" s="55">
        <f t="shared" si="73"/>
        <v>0</v>
      </c>
      <c r="CG29" s="57">
        <f t="shared" si="74"/>
        <v>0</v>
      </c>
      <c r="CH29" s="55">
        <f t="shared" si="75"/>
        <v>0</v>
      </c>
      <c r="CI29" s="55">
        <f t="shared" si="76"/>
        <v>0</v>
      </c>
      <c r="CJ29" s="55">
        <f t="shared" si="77"/>
        <v>0</v>
      </c>
      <c r="CK29" s="58" t="str">
        <f t="shared" si="15"/>
        <v/>
      </c>
      <c r="CL29" s="59" t="str">
        <f t="shared" si="78"/>
        <v/>
      </c>
      <c r="CM29" s="59" t="str">
        <f t="shared" si="79"/>
        <v/>
      </c>
      <c r="CN29" s="49" t="str">
        <f t="shared" si="80"/>
        <v/>
      </c>
      <c r="CO29" s="55">
        <f t="shared" si="81"/>
        <v>0</v>
      </c>
      <c r="CP29" s="55">
        <f t="shared" si="82"/>
        <v>0</v>
      </c>
      <c r="CQ29" s="55">
        <f t="shared" si="83"/>
        <v>0</v>
      </c>
      <c r="CR29" s="60">
        <f t="shared" si="84"/>
        <v>99999.002900000007</v>
      </c>
      <c r="CS29" s="2">
        <f t="shared" si="85"/>
        <v>27</v>
      </c>
      <c r="CT29" s="109" t="str">
        <f t="shared" si="86"/>
        <v/>
      </c>
    </row>
    <row r="30" spans="1:98" ht="11.25" customHeight="1">
      <c r="B30" s="2" t="s">
        <v>214</v>
      </c>
      <c r="N30" s="2" t="s">
        <v>468</v>
      </c>
      <c r="CE30" s="55">
        <f t="shared" si="72"/>
        <v>1</v>
      </c>
      <c r="CF30" s="55">
        <f t="shared" si="73"/>
        <v>12</v>
      </c>
      <c r="CG30" s="57">
        <f t="shared" si="74"/>
        <v>2</v>
      </c>
      <c r="CH30" s="55">
        <f t="shared" si="75"/>
        <v>1</v>
      </c>
      <c r="CI30" s="55">
        <f t="shared" si="76"/>
        <v>7</v>
      </c>
      <c r="CJ30" s="55">
        <f t="shared" si="77"/>
        <v>0</v>
      </c>
      <c r="CK30" s="58" t="str">
        <f t="shared" si="15"/>
        <v/>
      </c>
      <c r="CL30" s="59" t="str">
        <f t="shared" si="78"/>
        <v/>
      </c>
      <c r="CM30" s="59">
        <f t="shared" si="79"/>
        <v>3.5</v>
      </c>
      <c r="CN30" s="49" t="str">
        <f t="shared" si="80"/>
        <v>0-7</v>
      </c>
      <c r="CO30" s="55">
        <f t="shared" si="81"/>
        <v>6</v>
      </c>
      <c r="CP30" s="55">
        <f t="shared" si="82"/>
        <v>0</v>
      </c>
      <c r="CQ30" s="55">
        <f t="shared" si="83"/>
        <v>0</v>
      </c>
      <c r="CR30" s="60">
        <f t="shared" si="84"/>
        <v>1012.003</v>
      </c>
      <c r="CS30" s="2">
        <f t="shared" si="85"/>
        <v>22</v>
      </c>
      <c r="CT30" s="109" t="str">
        <f t="shared" si="86"/>
        <v/>
      </c>
    </row>
    <row r="31" spans="1:98" ht="11.25" customHeight="1">
      <c r="A31" s="2" t="s">
        <v>60</v>
      </c>
      <c r="B31" s="2" t="s">
        <v>153</v>
      </c>
      <c r="CE31" s="55">
        <f t="shared" si="72"/>
        <v>0</v>
      </c>
      <c r="CF31" s="55">
        <f t="shared" si="73"/>
        <v>0</v>
      </c>
      <c r="CG31" s="57">
        <f t="shared" si="74"/>
        <v>0</v>
      </c>
      <c r="CH31" s="55">
        <f t="shared" si="75"/>
        <v>0</v>
      </c>
      <c r="CI31" s="55">
        <f t="shared" si="76"/>
        <v>0</v>
      </c>
      <c r="CJ31" s="55">
        <f t="shared" si="77"/>
        <v>0</v>
      </c>
      <c r="CK31" s="58" t="str">
        <f t="shared" si="15"/>
        <v/>
      </c>
      <c r="CL31" s="59" t="str">
        <f t="shared" si="78"/>
        <v/>
      </c>
      <c r="CM31" s="59" t="str">
        <f t="shared" si="79"/>
        <v/>
      </c>
      <c r="CN31" s="49" t="str">
        <f t="shared" si="80"/>
        <v/>
      </c>
      <c r="CO31" s="55">
        <f t="shared" si="81"/>
        <v>0</v>
      </c>
      <c r="CP31" s="55">
        <f t="shared" si="82"/>
        <v>0</v>
      </c>
      <c r="CQ31" s="55">
        <f t="shared" si="83"/>
        <v>0</v>
      </c>
      <c r="CR31" s="60">
        <f t="shared" si="84"/>
        <v>99999.003100000002</v>
      </c>
      <c r="CS31" s="2">
        <f t="shared" si="85"/>
        <v>28</v>
      </c>
      <c r="CT31" s="109" t="str">
        <f t="shared" si="86"/>
        <v/>
      </c>
    </row>
    <row r="32" spans="1:98" ht="11.25" customHeight="1">
      <c r="B32" s="2" t="s">
        <v>442</v>
      </c>
      <c r="L32" s="2" t="s">
        <v>443</v>
      </c>
      <c r="M32" s="2" t="s">
        <v>459</v>
      </c>
      <c r="P32" s="2" t="s">
        <v>498</v>
      </c>
      <c r="Q32" s="2" t="s">
        <v>515</v>
      </c>
      <c r="CE32" s="55">
        <f t="shared" si="72"/>
        <v>4</v>
      </c>
      <c r="CF32" s="55">
        <f t="shared" si="73"/>
        <v>120</v>
      </c>
      <c r="CG32" s="57">
        <f t="shared" si="74"/>
        <v>20</v>
      </c>
      <c r="CH32" s="55">
        <f t="shared" si="75"/>
        <v>0</v>
      </c>
      <c r="CI32" s="55">
        <f t="shared" si="76"/>
        <v>106</v>
      </c>
      <c r="CJ32" s="55">
        <f t="shared" si="77"/>
        <v>6</v>
      </c>
      <c r="CK32" s="58">
        <f t="shared" si="15"/>
        <v>17.670000000000002</v>
      </c>
      <c r="CL32" s="59">
        <f t="shared" si="78"/>
        <v>20</v>
      </c>
      <c r="CM32" s="59">
        <f t="shared" si="79"/>
        <v>5.3</v>
      </c>
      <c r="CN32" s="49" t="str">
        <f t="shared" si="80"/>
        <v>4-41</v>
      </c>
      <c r="CO32" s="55">
        <f t="shared" si="81"/>
        <v>60</v>
      </c>
      <c r="CP32" s="55">
        <f t="shared" si="82"/>
        <v>0</v>
      </c>
      <c r="CQ32" s="55">
        <f t="shared" si="83"/>
        <v>0</v>
      </c>
      <c r="CR32" s="60">
        <f t="shared" si="84"/>
        <v>17.673200000000001</v>
      </c>
      <c r="CS32" s="2">
        <f t="shared" si="85"/>
        <v>7</v>
      </c>
      <c r="CT32" s="109">
        <f t="shared" si="86"/>
        <v>0</v>
      </c>
    </row>
    <row r="34" spans="2:92">
      <c r="B34" s="2" t="s">
        <v>123</v>
      </c>
      <c r="C34" s="2">
        <f t="shared" ref="C34:AH34" si="87">BowlSplit(C5:C32,RunsConceded)</f>
        <v>0</v>
      </c>
      <c r="D34" s="2">
        <f t="shared" si="87"/>
        <v>178</v>
      </c>
      <c r="E34" s="2">
        <f t="shared" si="87"/>
        <v>96</v>
      </c>
      <c r="F34" s="2">
        <f t="shared" si="87"/>
        <v>153</v>
      </c>
      <c r="G34" s="2">
        <f t="shared" si="87"/>
        <v>175</v>
      </c>
      <c r="H34" s="2">
        <f t="shared" si="87"/>
        <v>222</v>
      </c>
      <c r="I34" s="2">
        <f t="shared" si="87"/>
        <v>137</v>
      </c>
      <c r="J34" s="2">
        <f t="shared" si="87"/>
        <v>73</v>
      </c>
      <c r="K34" s="2">
        <f t="shared" si="87"/>
        <v>124</v>
      </c>
      <c r="L34" s="2">
        <f t="shared" si="87"/>
        <v>67</v>
      </c>
      <c r="M34" s="2">
        <f t="shared" si="87"/>
        <v>28</v>
      </c>
      <c r="N34" s="2">
        <f t="shared" si="87"/>
        <v>209</v>
      </c>
      <c r="O34" s="2">
        <f t="shared" si="87"/>
        <v>175</v>
      </c>
      <c r="P34" s="2">
        <f t="shared" si="87"/>
        <v>209</v>
      </c>
      <c r="Q34" s="2">
        <f>BowlSplit(Q5:Q32,RunsConceded)</f>
        <v>156</v>
      </c>
      <c r="R34" s="2">
        <f>BowlSplit(R5:R32,RunsConceded)</f>
        <v>93</v>
      </c>
      <c r="S34" s="2">
        <f t="shared" si="87"/>
        <v>124</v>
      </c>
      <c r="T34" s="2">
        <f t="shared" si="87"/>
        <v>86</v>
      </c>
      <c r="U34" s="2">
        <f t="shared" si="87"/>
        <v>183</v>
      </c>
      <c r="V34" s="2">
        <f t="shared" si="87"/>
        <v>0</v>
      </c>
      <c r="W34" s="2">
        <f t="shared" si="87"/>
        <v>0</v>
      </c>
      <c r="X34" s="2">
        <f t="shared" si="87"/>
        <v>0</v>
      </c>
      <c r="Y34" s="2">
        <f t="shared" si="87"/>
        <v>0</v>
      </c>
      <c r="Z34" s="2">
        <f t="shared" si="87"/>
        <v>0</v>
      </c>
      <c r="AA34" s="2">
        <f t="shared" si="87"/>
        <v>0</v>
      </c>
      <c r="AB34" s="2">
        <f t="shared" si="87"/>
        <v>0</v>
      </c>
      <c r="AC34" s="2">
        <f t="shared" si="87"/>
        <v>0</v>
      </c>
      <c r="AD34" s="2">
        <f t="shared" si="87"/>
        <v>0</v>
      </c>
      <c r="AE34" s="2">
        <f t="shared" si="87"/>
        <v>0</v>
      </c>
      <c r="AF34" s="2">
        <f t="shared" si="87"/>
        <v>0</v>
      </c>
      <c r="AG34" s="2">
        <f t="shared" si="87"/>
        <v>0</v>
      </c>
      <c r="AH34" s="2">
        <f t="shared" si="87"/>
        <v>0</v>
      </c>
      <c r="AI34" s="2">
        <f t="shared" ref="AI34:BF34" si="88">BowlSplit(AI5:AI32,RunsConceded)</f>
        <v>0</v>
      </c>
      <c r="AJ34" s="2">
        <f t="shared" si="88"/>
        <v>0</v>
      </c>
      <c r="AK34" s="2">
        <f t="shared" si="88"/>
        <v>0</v>
      </c>
      <c r="AL34" s="2">
        <f t="shared" si="88"/>
        <v>0</v>
      </c>
      <c r="AM34" s="2">
        <f t="shared" si="88"/>
        <v>0</v>
      </c>
      <c r="AN34" s="2">
        <f t="shared" si="88"/>
        <v>0</v>
      </c>
      <c r="AO34" s="2">
        <f t="shared" si="88"/>
        <v>0</v>
      </c>
      <c r="AP34" s="2">
        <f t="shared" si="88"/>
        <v>0</v>
      </c>
      <c r="AQ34" s="2">
        <f t="shared" si="88"/>
        <v>0</v>
      </c>
      <c r="AR34" s="2">
        <f t="shared" si="88"/>
        <v>0</v>
      </c>
      <c r="AS34" s="2">
        <f t="shared" si="88"/>
        <v>0</v>
      </c>
      <c r="AT34" s="2">
        <f t="shared" si="88"/>
        <v>0</v>
      </c>
      <c r="AU34" s="2">
        <f t="shared" si="88"/>
        <v>0</v>
      </c>
      <c r="AV34" s="2">
        <f t="shared" si="88"/>
        <v>0</v>
      </c>
      <c r="AW34" s="2">
        <f t="shared" si="88"/>
        <v>0</v>
      </c>
      <c r="AX34" s="2">
        <f t="shared" si="88"/>
        <v>0</v>
      </c>
      <c r="AY34" s="2">
        <f t="shared" si="88"/>
        <v>0</v>
      </c>
      <c r="AZ34" s="2">
        <f t="shared" si="88"/>
        <v>0</v>
      </c>
      <c r="BA34" s="2">
        <f t="shared" si="88"/>
        <v>0</v>
      </c>
      <c r="BB34" s="2">
        <f t="shared" si="88"/>
        <v>0</v>
      </c>
      <c r="BC34" s="2">
        <f t="shared" si="88"/>
        <v>0</v>
      </c>
      <c r="BD34" s="2">
        <f t="shared" si="88"/>
        <v>0</v>
      </c>
      <c r="BE34" s="2">
        <f t="shared" si="88"/>
        <v>0</v>
      </c>
      <c r="BF34" s="2">
        <f t="shared" si="88"/>
        <v>0</v>
      </c>
      <c r="CE34" s="55">
        <f>SUM(C34:BF34)</f>
        <v>2488</v>
      </c>
      <c r="CF34" s="55">
        <f>SUM(CF5:CF32)</f>
        <v>3579</v>
      </c>
      <c r="CJ34" s="55">
        <f>SUM(CJ5:CJ32)</f>
        <v>110</v>
      </c>
    </row>
    <row r="35" spans="2:92">
      <c r="B35" s="2" t="s">
        <v>124</v>
      </c>
      <c r="C35" s="2">
        <f t="array" ref="C35:BE36">TRANSPOSE(Matches!S5:T59)</f>
        <v>0</v>
      </c>
      <c r="D35" s="2">
        <v>2</v>
      </c>
      <c r="E35" s="2">
        <v>0</v>
      </c>
      <c r="F35" s="2">
        <v>7</v>
      </c>
      <c r="G35" s="2">
        <v>1</v>
      </c>
      <c r="H35" s="2">
        <v>5</v>
      </c>
      <c r="I35" s="2">
        <v>10</v>
      </c>
      <c r="J35" s="2">
        <v>8</v>
      </c>
      <c r="K35" s="2">
        <v>14</v>
      </c>
      <c r="L35" s="2">
        <v>5</v>
      </c>
      <c r="M35" s="2">
        <v>2</v>
      </c>
      <c r="N35" s="2">
        <v>3</v>
      </c>
      <c r="O35" s="2">
        <v>4</v>
      </c>
      <c r="P35" s="2">
        <v>5</v>
      </c>
      <c r="Q35" s="2">
        <v>2</v>
      </c>
      <c r="R35" s="2">
        <v>6</v>
      </c>
      <c r="S35" s="2">
        <v>4</v>
      </c>
      <c r="T35" s="2">
        <v>2</v>
      </c>
      <c r="U35" s="2">
        <v>8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CE35" s="55">
        <f>SUM(C35:BF35)</f>
        <v>88</v>
      </c>
    </row>
    <row r="36" spans="2:92">
      <c r="B36" s="2" t="s">
        <v>125</v>
      </c>
      <c r="C36" s="2">
        <v>0</v>
      </c>
      <c r="D36" s="2">
        <v>1</v>
      </c>
      <c r="E36" s="2">
        <v>0</v>
      </c>
      <c r="F36" s="2">
        <v>2</v>
      </c>
      <c r="G36" s="2">
        <v>3</v>
      </c>
      <c r="H36" s="2">
        <v>2</v>
      </c>
      <c r="I36" s="2">
        <v>5</v>
      </c>
      <c r="J36" s="2">
        <v>1</v>
      </c>
      <c r="K36" s="2">
        <v>1</v>
      </c>
      <c r="L36" s="2">
        <v>2</v>
      </c>
      <c r="M36" s="2">
        <v>2</v>
      </c>
      <c r="N36" s="2">
        <v>2</v>
      </c>
      <c r="O36" s="2">
        <v>7</v>
      </c>
      <c r="P36" s="2">
        <v>3</v>
      </c>
      <c r="Q36" s="2">
        <v>1</v>
      </c>
      <c r="R36" s="2">
        <v>2</v>
      </c>
      <c r="S36" s="2">
        <v>0</v>
      </c>
      <c r="T36" s="2">
        <v>3</v>
      </c>
      <c r="U36" s="2">
        <v>3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CE36" s="55">
        <f>SUM(C36:BF36)</f>
        <v>40</v>
      </c>
      <c r="CG36" s="55" t="s">
        <v>164</v>
      </c>
      <c r="CH36" s="55" t="s">
        <v>165</v>
      </c>
    </row>
    <row r="37" spans="2:92" s="56" customFormat="1">
      <c r="B37" s="56" t="s">
        <v>122</v>
      </c>
      <c r="C37" s="56">
        <f>SUM(C34:C36)</f>
        <v>0</v>
      </c>
      <c r="D37" s="56">
        <f t="shared" ref="D37:BE37" si="89">SUM(D34:D36)</f>
        <v>181</v>
      </c>
      <c r="E37" s="56">
        <f t="shared" si="89"/>
        <v>96</v>
      </c>
      <c r="F37" s="56">
        <f t="shared" si="89"/>
        <v>162</v>
      </c>
      <c r="G37" s="56">
        <f t="shared" si="89"/>
        <v>179</v>
      </c>
      <c r="H37" s="56">
        <f t="shared" si="89"/>
        <v>229</v>
      </c>
      <c r="I37" s="56">
        <f t="shared" si="89"/>
        <v>152</v>
      </c>
      <c r="J37" s="56">
        <f t="shared" si="89"/>
        <v>82</v>
      </c>
      <c r="K37" s="56">
        <f t="shared" si="89"/>
        <v>139</v>
      </c>
      <c r="L37" s="56">
        <f t="shared" si="89"/>
        <v>74</v>
      </c>
      <c r="M37" s="56">
        <f t="shared" si="89"/>
        <v>32</v>
      </c>
      <c r="N37" s="56">
        <f t="shared" si="89"/>
        <v>214</v>
      </c>
      <c r="O37" s="56">
        <f t="shared" si="89"/>
        <v>186</v>
      </c>
      <c r="P37" s="56">
        <f t="shared" si="89"/>
        <v>217</v>
      </c>
      <c r="Q37" s="56">
        <f t="shared" si="89"/>
        <v>159</v>
      </c>
      <c r="R37" s="56">
        <f t="shared" si="89"/>
        <v>101</v>
      </c>
      <c r="S37" s="56">
        <f t="shared" si="89"/>
        <v>128</v>
      </c>
      <c r="T37" s="56">
        <f t="shared" si="89"/>
        <v>91</v>
      </c>
      <c r="U37" s="56">
        <f t="shared" si="89"/>
        <v>194</v>
      </c>
      <c r="V37" s="56">
        <f t="shared" si="89"/>
        <v>0</v>
      </c>
      <c r="W37" s="56">
        <f t="shared" si="89"/>
        <v>0</v>
      </c>
      <c r="X37" s="56">
        <f t="shared" si="89"/>
        <v>0</v>
      </c>
      <c r="Y37" s="56">
        <f t="shared" si="89"/>
        <v>0</v>
      </c>
      <c r="Z37" s="56">
        <f t="shared" si="89"/>
        <v>0</v>
      </c>
      <c r="AA37" s="56">
        <f t="shared" si="89"/>
        <v>0</v>
      </c>
      <c r="AB37" s="56">
        <f t="shared" si="89"/>
        <v>0</v>
      </c>
      <c r="AC37" s="56">
        <f t="shared" si="89"/>
        <v>0</v>
      </c>
      <c r="AD37" s="56">
        <f t="shared" si="89"/>
        <v>0</v>
      </c>
      <c r="AE37" s="56">
        <f t="shared" si="89"/>
        <v>0</v>
      </c>
      <c r="AF37" s="56">
        <f t="shared" si="89"/>
        <v>0</v>
      </c>
      <c r="AG37" s="56">
        <f t="shared" si="89"/>
        <v>0</v>
      </c>
      <c r="AH37" s="56">
        <f t="shared" si="89"/>
        <v>0</v>
      </c>
      <c r="AI37" s="56">
        <f t="shared" si="89"/>
        <v>0</v>
      </c>
      <c r="AJ37" s="56">
        <f t="shared" si="89"/>
        <v>0</v>
      </c>
      <c r="AK37" s="56">
        <f t="shared" si="89"/>
        <v>0</v>
      </c>
      <c r="AL37" s="56">
        <f t="shared" si="89"/>
        <v>0</v>
      </c>
      <c r="AM37" s="56">
        <f t="shared" si="89"/>
        <v>0</v>
      </c>
      <c r="AN37" s="56">
        <f t="shared" si="89"/>
        <v>0</v>
      </c>
      <c r="AO37" s="56">
        <f t="shared" si="89"/>
        <v>0</v>
      </c>
      <c r="AP37" s="56">
        <f t="shared" si="89"/>
        <v>0</v>
      </c>
      <c r="AQ37" s="56">
        <f t="shared" si="89"/>
        <v>0</v>
      </c>
      <c r="AR37" s="56">
        <f t="shared" si="89"/>
        <v>0</v>
      </c>
      <c r="AS37" s="56">
        <f t="shared" si="89"/>
        <v>0</v>
      </c>
      <c r="AT37" s="56">
        <f t="shared" si="89"/>
        <v>0</v>
      </c>
      <c r="AU37" s="56">
        <f t="shared" si="89"/>
        <v>0</v>
      </c>
      <c r="AV37" s="56">
        <f t="shared" si="89"/>
        <v>0</v>
      </c>
      <c r="AW37" s="56">
        <f t="shared" si="89"/>
        <v>0</v>
      </c>
      <c r="AX37" s="56">
        <f t="shared" si="89"/>
        <v>0</v>
      </c>
      <c r="AY37" s="56">
        <f t="shared" si="89"/>
        <v>0</v>
      </c>
      <c r="AZ37" s="56">
        <f t="shared" si="89"/>
        <v>0</v>
      </c>
      <c r="BA37" s="56">
        <f t="shared" si="89"/>
        <v>0</v>
      </c>
      <c r="BB37" s="56">
        <f t="shared" si="89"/>
        <v>0</v>
      </c>
      <c r="BC37" s="56">
        <f t="shared" si="89"/>
        <v>0</v>
      </c>
      <c r="BD37" s="56">
        <f t="shared" si="89"/>
        <v>0</v>
      </c>
      <c r="BE37" s="56">
        <f t="shared" si="89"/>
        <v>0</v>
      </c>
      <c r="CE37" s="56">
        <f>SUM(C37:BF37)</f>
        <v>2616</v>
      </c>
      <c r="CG37" s="56">
        <f>MAX(C37:CB37)</f>
        <v>229</v>
      </c>
      <c r="CH37" s="56">
        <f t="array" ref="CH37">MIN(IF(C37:CB37&gt;0,C37:CB37,9999))</f>
        <v>32</v>
      </c>
      <c r="CN37" s="61"/>
    </row>
    <row r="38" spans="2:92">
      <c r="B38" s="2" t="s">
        <v>35</v>
      </c>
      <c r="C38" s="2">
        <f t="shared" ref="C38:AH38" si="90">BowlSplit(C5:C32,OversBowled)</f>
        <v>0</v>
      </c>
      <c r="D38" s="2">
        <f t="shared" si="90"/>
        <v>37</v>
      </c>
      <c r="E38" s="2">
        <f t="shared" si="90"/>
        <v>16.100000000000001</v>
      </c>
      <c r="F38" s="2">
        <f t="shared" si="90"/>
        <v>32.5</v>
      </c>
      <c r="G38" s="2">
        <f t="shared" si="90"/>
        <v>46</v>
      </c>
      <c r="H38" s="2">
        <f t="shared" si="90"/>
        <v>40</v>
      </c>
      <c r="I38" s="2">
        <f t="shared" si="90"/>
        <v>40</v>
      </c>
      <c r="J38" s="2">
        <f t="shared" si="90"/>
        <v>26.5</v>
      </c>
      <c r="K38" s="2">
        <f t="shared" si="90"/>
        <v>28.5</v>
      </c>
      <c r="L38" s="2">
        <f t="shared" si="90"/>
        <v>15</v>
      </c>
      <c r="M38" s="2">
        <f t="shared" si="90"/>
        <v>10</v>
      </c>
      <c r="N38" s="2">
        <f t="shared" si="90"/>
        <v>40</v>
      </c>
      <c r="O38" s="2">
        <f t="shared" si="90"/>
        <v>44</v>
      </c>
      <c r="P38" s="2">
        <f t="shared" si="90"/>
        <v>35</v>
      </c>
      <c r="Q38" s="2">
        <f>BowlSplit(Q5:Q32,OversBowled)</f>
        <v>47.2</v>
      </c>
      <c r="R38" s="2">
        <f>BowlSplit(R5:R32,OversBowled)</f>
        <v>31.4</v>
      </c>
      <c r="S38" s="2">
        <f t="shared" si="90"/>
        <v>40.299999999999997</v>
      </c>
      <c r="T38" s="2">
        <f t="shared" si="90"/>
        <v>29.1</v>
      </c>
      <c r="U38" s="2">
        <f t="shared" si="90"/>
        <v>36.1</v>
      </c>
      <c r="V38" s="2">
        <f t="shared" si="90"/>
        <v>0</v>
      </c>
      <c r="W38" s="2">
        <f t="shared" si="90"/>
        <v>0</v>
      </c>
      <c r="X38" s="2">
        <f t="shared" si="90"/>
        <v>0</v>
      </c>
      <c r="Y38" s="2">
        <f t="shared" si="90"/>
        <v>0</v>
      </c>
      <c r="Z38" s="2">
        <f t="shared" si="90"/>
        <v>0</v>
      </c>
      <c r="AA38" s="2">
        <f t="shared" si="90"/>
        <v>0</v>
      </c>
      <c r="AB38" s="2">
        <f t="shared" si="90"/>
        <v>0</v>
      </c>
      <c r="AC38" s="2">
        <f t="shared" si="90"/>
        <v>0</v>
      </c>
      <c r="AD38" s="2">
        <f t="shared" si="90"/>
        <v>0</v>
      </c>
      <c r="AE38" s="2">
        <f t="shared" si="90"/>
        <v>0</v>
      </c>
      <c r="AF38" s="2">
        <f t="shared" si="90"/>
        <v>0</v>
      </c>
      <c r="AG38" s="2">
        <f t="shared" si="90"/>
        <v>0</v>
      </c>
      <c r="AH38" s="2">
        <f t="shared" si="90"/>
        <v>0</v>
      </c>
      <c r="AI38" s="2">
        <f t="shared" ref="AI38:BF38" si="91">BowlSplit(AI5:AI32,OversBowled)</f>
        <v>0</v>
      </c>
      <c r="AJ38" s="2">
        <f t="shared" si="91"/>
        <v>0</v>
      </c>
      <c r="AK38" s="2">
        <f t="shared" si="91"/>
        <v>0</v>
      </c>
      <c r="AL38" s="2">
        <f t="shared" si="91"/>
        <v>0</v>
      </c>
      <c r="AM38" s="2">
        <f t="shared" si="91"/>
        <v>0</v>
      </c>
      <c r="AN38" s="2">
        <f t="shared" si="91"/>
        <v>0</v>
      </c>
      <c r="AO38" s="2">
        <f t="shared" si="91"/>
        <v>0</v>
      </c>
      <c r="AP38" s="2">
        <f t="shared" si="91"/>
        <v>0</v>
      </c>
      <c r="AQ38" s="2">
        <f t="shared" si="91"/>
        <v>0</v>
      </c>
      <c r="AR38" s="2">
        <f t="shared" si="91"/>
        <v>0</v>
      </c>
      <c r="AS38" s="2">
        <f t="shared" si="91"/>
        <v>0</v>
      </c>
      <c r="AT38" s="2">
        <f t="shared" si="91"/>
        <v>0</v>
      </c>
      <c r="AU38" s="2">
        <f t="shared" si="91"/>
        <v>0</v>
      </c>
      <c r="AV38" s="2">
        <f t="shared" si="91"/>
        <v>0</v>
      </c>
      <c r="AW38" s="2">
        <f t="shared" si="91"/>
        <v>0</v>
      </c>
      <c r="AX38" s="2">
        <f t="shared" si="91"/>
        <v>0</v>
      </c>
      <c r="AY38" s="2">
        <f t="shared" si="91"/>
        <v>0</v>
      </c>
      <c r="AZ38" s="2">
        <f t="shared" si="91"/>
        <v>0</v>
      </c>
      <c r="BA38" s="2">
        <f t="shared" si="91"/>
        <v>0</v>
      </c>
      <c r="BB38" s="2">
        <f t="shared" si="91"/>
        <v>0</v>
      </c>
      <c r="BC38" s="2">
        <f t="shared" si="91"/>
        <v>0</v>
      </c>
      <c r="BD38" s="2">
        <f t="shared" si="91"/>
        <v>0</v>
      </c>
      <c r="BE38" s="2">
        <f t="shared" si="91"/>
        <v>0</v>
      </c>
      <c r="BF38" s="2">
        <f t="shared" si="91"/>
        <v>0</v>
      </c>
      <c r="CE38" s="55">
        <f>MAX(C38:CC38)</f>
        <v>47.2</v>
      </c>
    </row>
    <row r="39" spans="2:92">
      <c r="B39" s="2" t="s">
        <v>34</v>
      </c>
      <c r="C39" s="2">
        <f t="shared" ref="C39:N39" si="92">BowlSplit(C5:C32,BallsBowled)</f>
        <v>0</v>
      </c>
      <c r="D39" s="2">
        <f t="shared" si="92"/>
        <v>222</v>
      </c>
      <c r="E39" s="2">
        <f t="shared" si="92"/>
        <v>97</v>
      </c>
      <c r="F39" s="2">
        <f t="shared" si="92"/>
        <v>197</v>
      </c>
      <c r="G39" s="2">
        <f t="shared" si="92"/>
        <v>276</v>
      </c>
      <c r="H39" s="2">
        <f t="shared" si="92"/>
        <v>240</v>
      </c>
      <c r="I39" s="2">
        <f t="shared" si="92"/>
        <v>240</v>
      </c>
      <c r="J39" s="2">
        <f t="shared" si="92"/>
        <v>161</v>
      </c>
      <c r="K39" s="2">
        <f t="shared" si="92"/>
        <v>173</v>
      </c>
      <c r="L39" s="2">
        <f t="shared" si="92"/>
        <v>90</v>
      </c>
      <c r="M39" s="2">
        <f t="shared" si="92"/>
        <v>60</v>
      </c>
      <c r="N39" s="2">
        <f t="shared" si="92"/>
        <v>240</v>
      </c>
      <c r="O39" s="2">
        <f>BowlSplit(T5:T32,BallsBowled)</f>
        <v>175</v>
      </c>
      <c r="P39" s="2">
        <f t="shared" ref="P39:BF39" si="93">BowlSplit(P5:P32,BallsBowled)</f>
        <v>210</v>
      </c>
      <c r="Q39" s="2">
        <f>BowlSplit(Q5:Q32,BallsBowled)</f>
        <v>284</v>
      </c>
      <c r="R39" s="2">
        <f>BowlSplit(R5:R32,BallsBowled)</f>
        <v>190</v>
      </c>
      <c r="S39" s="2">
        <f t="shared" si="93"/>
        <v>243</v>
      </c>
      <c r="T39" s="2">
        <f t="shared" si="93"/>
        <v>175</v>
      </c>
      <c r="U39" s="2">
        <f t="shared" si="93"/>
        <v>217</v>
      </c>
      <c r="V39" s="2">
        <f t="shared" si="93"/>
        <v>0</v>
      </c>
      <c r="W39" s="2">
        <f t="shared" si="93"/>
        <v>0</v>
      </c>
      <c r="X39" s="2">
        <f t="shared" si="93"/>
        <v>0</v>
      </c>
      <c r="Y39" s="2">
        <f t="shared" si="93"/>
        <v>0</v>
      </c>
      <c r="Z39" s="2">
        <f t="shared" si="93"/>
        <v>0</v>
      </c>
      <c r="AA39" s="2">
        <f t="shared" si="93"/>
        <v>0</v>
      </c>
      <c r="AB39" s="2">
        <f t="shared" si="93"/>
        <v>0</v>
      </c>
      <c r="AC39" s="2">
        <f t="shared" si="93"/>
        <v>0</v>
      </c>
      <c r="AD39" s="2">
        <f t="shared" si="93"/>
        <v>0</v>
      </c>
      <c r="AE39" s="2">
        <f t="shared" si="93"/>
        <v>0</v>
      </c>
      <c r="AF39" s="2">
        <f t="shared" si="93"/>
        <v>0</v>
      </c>
      <c r="AG39" s="2">
        <f t="shared" si="93"/>
        <v>0</v>
      </c>
      <c r="AH39" s="2">
        <f t="shared" si="93"/>
        <v>0</v>
      </c>
      <c r="AI39" s="2">
        <f t="shared" si="93"/>
        <v>0</v>
      </c>
      <c r="AJ39" s="2">
        <f t="shared" si="93"/>
        <v>0</v>
      </c>
      <c r="AK39" s="2">
        <f t="shared" si="93"/>
        <v>0</v>
      </c>
      <c r="AL39" s="2">
        <f t="shared" si="93"/>
        <v>0</v>
      </c>
      <c r="AM39" s="2">
        <f t="shared" si="93"/>
        <v>0</v>
      </c>
      <c r="AN39" s="2">
        <f t="shared" si="93"/>
        <v>0</v>
      </c>
      <c r="AO39" s="2">
        <f t="shared" si="93"/>
        <v>0</v>
      </c>
      <c r="AP39" s="2">
        <f t="shared" si="93"/>
        <v>0</v>
      </c>
      <c r="AQ39" s="2">
        <f t="shared" si="93"/>
        <v>0</v>
      </c>
      <c r="AR39" s="2">
        <f t="shared" si="93"/>
        <v>0</v>
      </c>
      <c r="AS39" s="2">
        <f t="shared" si="93"/>
        <v>0</v>
      </c>
      <c r="AT39" s="2">
        <f t="shared" si="93"/>
        <v>0</v>
      </c>
      <c r="AU39" s="2">
        <f t="shared" si="93"/>
        <v>0</v>
      </c>
      <c r="AV39" s="2">
        <f t="shared" si="93"/>
        <v>0</v>
      </c>
      <c r="AW39" s="2">
        <f t="shared" si="93"/>
        <v>0</v>
      </c>
      <c r="AX39" s="2">
        <f t="shared" si="93"/>
        <v>0</v>
      </c>
      <c r="AY39" s="2">
        <f t="shared" si="93"/>
        <v>0</v>
      </c>
      <c r="AZ39" s="2">
        <f t="shared" si="93"/>
        <v>0</v>
      </c>
      <c r="BA39" s="2">
        <f t="shared" si="93"/>
        <v>0</v>
      </c>
      <c r="BB39" s="2">
        <f t="shared" si="93"/>
        <v>0</v>
      </c>
      <c r="BC39" s="2">
        <f t="shared" si="93"/>
        <v>0</v>
      </c>
      <c r="BD39" s="2">
        <f t="shared" si="93"/>
        <v>0</v>
      </c>
      <c r="BE39" s="2">
        <f t="shared" si="93"/>
        <v>0</v>
      </c>
      <c r="BF39" s="2">
        <f t="shared" si="93"/>
        <v>0</v>
      </c>
      <c r="CE39" s="55">
        <f>SUM(C39:BF39)</f>
        <v>3490</v>
      </c>
      <c r="CF39" s="55">
        <f>INT(CE39/6)</f>
        <v>581</v>
      </c>
      <c r="CG39" s="55">
        <f>CE39-CF39*6</f>
        <v>4</v>
      </c>
      <c r="CH39" s="55">
        <f>CF39+CG39/10</f>
        <v>581.4</v>
      </c>
    </row>
    <row r="40" spans="2:92">
      <c r="B40" s="2" t="s">
        <v>172</v>
      </c>
      <c r="C40" s="2">
        <f t="array" ref="C40:CC40">TRANSPOSE(Matches!P5:P59)</f>
        <v>0</v>
      </c>
      <c r="D40" s="2">
        <v>37</v>
      </c>
      <c r="E40" s="2">
        <v>16.100000000000001</v>
      </c>
      <c r="F40" s="2">
        <v>32.5</v>
      </c>
      <c r="G40" s="2">
        <v>46</v>
      </c>
      <c r="H40" s="2">
        <v>40</v>
      </c>
      <c r="I40" s="2">
        <v>40</v>
      </c>
      <c r="J40" s="2">
        <v>26.5</v>
      </c>
      <c r="K40" s="2">
        <v>28.5</v>
      </c>
      <c r="L40" s="2">
        <v>15</v>
      </c>
      <c r="M40" s="2">
        <v>10</v>
      </c>
      <c r="N40" s="2">
        <v>40</v>
      </c>
      <c r="O40" s="2">
        <v>44</v>
      </c>
      <c r="P40" s="2">
        <v>35</v>
      </c>
      <c r="Q40" s="2">
        <v>47.2</v>
      </c>
      <c r="R40" s="2">
        <v>31.4</v>
      </c>
      <c r="S40" s="2">
        <v>40.299999999999997</v>
      </c>
      <c r="T40" s="2">
        <v>29.1</v>
      </c>
      <c r="U40" s="2">
        <v>36.1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 t="e">
        <v>#N/A</v>
      </c>
      <c r="BG40" s="2" t="e">
        <v>#N/A</v>
      </c>
      <c r="BH40" s="2" t="e">
        <v>#N/A</v>
      </c>
      <c r="BI40" s="2" t="e">
        <v>#N/A</v>
      </c>
      <c r="BJ40" s="2" t="e">
        <v>#N/A</v>
      </c>
      <c r="BK40" s="2" t="e">
        <v>#N/A</v>
      </c>
      <c r="BL40" s="2" t="e">
        <v>#N/A</v>
      </c>
      <c r="BM40" s="2" t="e">
        <v>#N/A</v>
      </c>
      <c r="BN40" s="2" t="e">
        <v>#N/A</v>
      </c>
      <c r="BO40" s="2" t="e">
        <v>#N/A</v>
      </c>
      <c r="BP40" s="2" t="e">
        <v>#N/A</v>
      </c>
      <c r="BQ40" s="2" t="e">
        <v>#N/A</v>
      </c>
      <c r="BR40" s="2" t="e">
        <v>#N/A</v>
      </c>
      <c r="BS40" s="2" t="e">
        <v>#N/A</v>
      </c>
      <c r="BT40" s="2" t="e">
        <v>#N/A</v>
      </c>
      <c r="BU40" s="2" t="e">
        <v>#N/A</v>
      </c>
      <c r="BV40" s="2" t="e">
        <v>#N/A</v>
      </c>
      <c r="BW40" s="2" t="e">
        <v>#N/A</v>
      </c>
      <c r="BX40" s="2" t="e">
        <v>#N/A</v>
      </c>
      <c r="BY40" s="2" t="e">
        <v>#N/A</v>
      </c>
      <c r="BZ40" s="2" t="e">
        <v>#N/A</v>
      </c>
      <c r="CA40" s="2" t="e">
        <v>#N/A</v>
      </c>
      <c r="CB40" s="2" t="e">
        <v>#N/A</v>
      </c>
      <c r="CC40" s="2" t="e">
        <v>#N/A</v>
      </c>
    </row>
    <row r="41" spans="2:92">
      <c r="B41" s="2">
        <f>WicketsTaken</f>
        <v>4</v>
      </c>
      <c r="C41" s="2">
        <f>WicketsTaken</f>
        <v>4</v>
      </c>
    </row>
    <row r="42" spans="2:92">
      <c r="B42" s="2">
        <v>5</v>
      </c>
      <c r="C42" s="2">
        <f t="shared" ref="C42" si="94">BowlSplit(C5,$C$41)</f>
        <v>0</v>
      </c>
      <c r="D42" s="2">
        <f t="shared" ref="D42:AR42" si="95">BowlSplit(D5,$C$41)</f>
        <v>0</v>
      </c>
      <c r="E42" s="2">
        <f t="shared" si="95"/>
        <v>0</v>
      </c>
      <c r="F42" s="2">
        <f t="shared" si="95"/>
        <v>0</v>
      </c>
      <c r="G42" s="2">
        <f t="shared" si="95"/>
        <v>0</v>
      </c>
      <c r="H42" s="2">
        <f t="shared" si="95"/>
        <v>0</v>
      </c>
      <c r="I42" s="2">
        <f t="shared" si="95"/>
        <v>0</v>
      </c>
      <c r="J42" s="2">
        <f t="shared" si="95"/>
        <v>0</v>
      </c>
      <c r="K42" s="2">
        <f t="shared" si="95"/>
        <v>0</v>
      </c>
      <c r="L42" s="2">
        <f t="shared" si="95"/>
        <v>0</v>
      </c>
      <c r="M42" s="2">
        <f t="shared" si="95"/>
        <v>0</v>
      </c>
      <c r="N42" s="2">
        <f t="shared" si="95"/>
        <v>0</v>
      </c>
      <c r="O42" s="2">
        <f t="shared" si="95"/>
        <v>0</v>
      </c>
      <c r="P42" s="2">
        <f t="shared" si="95"/>
        <v>0</v>
      </c>
      <c r="Q42" s="2">
        <f t="shared" si="95"/>
        <v>0</v>
      </c>
      <c r="R42" s="2">
        <f t="shared" si="95"/>
        <v>0</v>
      </c>
      <c r="S42" s="2">
        <f t="shared" si="95"/>
        <v>0</v>
      </c>
      <c r="T42" s="2">
        <f t="shared" si="95"/>
        <v>0</v>
      </c>
      <c r="U42" s="2">
        <f t="shared" si="95"/>
        <v>0</v>
      </c>
      <c r="V42" s="2">
        <f t="shared" si="95"/>
        <v>0</v>
      </c>
      <c r="W42" s="2">
        <f t="shared" si="95"/>
        <v>0</v>
      </c>
      <c r="X42" s="2">
        <f t="shared" si="95"/>
        <v>0</v>
      </c>
      <c r="Y42" s="2">
        <f t="shared" si="95"/>
        <v>0</v>
      </c>
      <c r="Z42" s="2">
        <f t="shared" si="95"/>
        <v>0</v>
      </c>
      <c r="AA42" s="2">
        <f t="shared" si="95"/>
        <v>0</v>
      </c>
      <c r="AB42" s="2">
        <f t="shared" si="95"/>
        <v>0</v>
      </c>
      <c r="AC42" s="2">
        <f t="shared" si="95"/>
        <v>0</v>
      </c>
      <c r="AD42" s="2">
        <f t="shared" si="95"/>
        <v>0</v>
      </c>
      <c r="AE42" s="2">
        <f t="shared" si="95"/>
        <v>0</v>
      </c>
      <c r="AF42" s="2">
        <f t="shared" si="95"/>
        <v>0</v>
      </c>
      <c r="AG42" s="2">
        <f t="shared" si="95"/>
        <v>0</v>
      </c>
      <c r="AH42" s="2">
        <f t="shared" si="95"/>
        <v>0</v>
      </c>
      <c r="AI42" s="2">
        <f t="shared" si="95"/>
        <v>0</v>
      </c>
      <c r="AJ42" s="2">
        <f t="shared" si="95"/>
        <v>0</v>
      </c>
      <c r="AK42" s="2">
        <f t="shared" si="95"/>
        <v>0</v>
      </c>
      <c r="AL42" s="2">
        <f t="shared" si="95"/>
        <v>0</v>
      </c>
      <c r="AM42" s="2">
        <f t="shared" si="95"/>
        <v>0</v>
      </c>
      <c r="AN42" s="2">
        <f t="shared" si="95"/>
        <v>0</v>
      </c>
      <c r="AO42" s="2">
        <f t="shared" si="95"/>
        <v>0</v>
      </c>
      <c r="AP42" s="2">
        <f t="shared" si="95"/>
        <v>0</v>
      </c>
      <c r="AQ42" s="2">
        <f t="shared" si="95"/>
        <v>0</v>
      </c>
      <c r="AR42" s="2">
        <f t="shared" si="95"/>
        <v>0</v>
      </c>
    </row>
    <row r="43" spans="2:92">
      <c r="C43" s="2">
        <f t="shared" ref="C43:AR43" si="96">BowlSplit(C6,$C$41)</f>
        <v>0</v>
      </c>
      <c r="D43" s="2">
        <f t="shared" si="96"/>
        <v>0</v>
      </c>
      <c r="E43" s="2">
        <f t="shared" si="96"/>
        <v>0</v>
      </c>
      <c r="F43" s="2">
        <f t="shared" si="96"/>
        <v>2</v>
      </c>
      <c r="G43" s="2">
        <f t="shared" si="96"/>
        <v>0</v>
      </c>
      <c r="H43" s="2">
        <f t="shared" si="96"/>
        <v>1</v>
      </c>
      <c r="I43" s="2">
        <f t="shared" si="96"/>
        <v>0</v>
      </c>
      <c r="J43" s="2">
        <f t="shared" si="96"/>
        <v>0</v>
      </c>
      <c r="K43" s="2">
        <f t="shared" si="96"/>
        <v>0</v>
      </c>
      <c r="L43" s="2">
        <f t="shared" si="96"/>
        <v>0</v>
      </c>
      <c r="M43" s="2">
        <f t="shared" si="96"/>
        <v>0</v>
      </c>
      <c r="N43" s="2">
        <f t="shared" si="96"/>
        <v>0</v>
      </c>
      <c r="O43" s="2">
        <f t="shared" si="96"/>
        <v>0</v>
      </c>
      <c r="P43" s="2">
        <f t="shared" si="96"/>
        <v>0</v>
      </c>
      <c r="Q43" s="2">
        <f t="shared" si="96"/>
        <v>0</v>
      </c>
      <c r="R43" s="2">
        <f t="shared" si="96"/>
        <v>0</v>
      </c>
      <c r="S43" s="2">
        <f t="shared" si="96"/>
        <v>0</v>
      </c>
      <c r="T43" s="2">
        <f t="shared" si="96"/>
        <v>0</v>
      </c>
      <c r="U43" s="2">
        <f t="shared" si="96"/>
        <v>0</v>
      </c>
      <c r="V43" s="2">
        <f t="shared" si="96"/>
        <v>0</v>
      </c>
      <c r="W43" s="2">
        <f t="shared" si="96"/>
        <v>0</v>
      </c>
      <c r="X43" s="2">
        <f t="shared" si="96"/>
        <v>0</v>
      </c>
      <c r="Y43" s="2">
        <f t="shared" si="96"/>
        <v>0</v>
      </c>
      <c r="Z43" s="2">
        <f t="shared" si="96"/>
        <v>0</v>
      </c>
      <c r="AA43" s="2">
        <f t="shared" si="96"/>
        <v>0</v>
      </c>
      <c r="AB43" s="2">
        <f t="shared" si="96"/>
        <v>0</v>
      </c>
      <c r="AC43" s="2">
        <f t="shared" si="96"/>
        <v>0</v>
      </c>
      <c r="AD43" s="2">
        <f t="shared" si="96"/>
        <v>0</v>
      </c>
      <c r="AE43" s="2">
        <f t="shared" si="96"/>
        <v>0</v>
      </c>
      <c r="AF43" s="2">
        <f t="shared" si="96"/>
        <v>0</v>
      </c>
      <c r="AG43" s="2">
        <f t="shared" si="96"/>
        <v>0</v>
      </c>
      <c r="AH43" s="2">
        <f t="shared" si="96"/>
        <v>0</v>
      </c>
      <c r="AI43" s="2">
        <f t="shared" si="96"/>
        <v>0</v>
      </c>
      <c r="AJ43" s="2">
        <f t="shared" si="96"/>
        <v>0</v>
      </c>
      <c r="AK43" s="2">
        <f t="shared" si="96"/>
        <v>0</v>
      </c>
      <c r="AL43" s="2">
        <f t="shared" si="96"/>
        <v>0</v>
      </c>
      <c r="AM43" s="2">
        <f t="shared" si="96"/>
        <v>0</v>
      </c>
      <c r="AN43" s="2">
        <f t="shared" si="96"/>
        <v>0</v>
      </c>
      <c r="AO43" s="2">
        <f t="shared" si="96"/>
        <v>0</v>
      </c>
      <c r="AP43" s="2">
        <f t="shared" si="96"/>
        <v>0</v>
      </c>
      <c r="AQ43" s="2">
        <f t="shared" si="96"/>
        <v>0</v>
      </c>
      <c r="AR43" s="2">
        <f t="shared" si="96"/>
        <v>0</v>
      </c>
    </row>
    <row r="44" spans="2:92">
      <c r="C44" s="2">
        <f t="shared" ref="C44:AR44" si="97">BowlSplit(C7,$C$41)</f>
        <v>0</v>
      </c>
      <c r="D44" s="2">
        <f t="shared" si="97"/>
        <v>0</v>
      </c>
      <c r="E44" s="2">
        <f t="shared" si="97"/>
        <v>0</v>
      </c>
      <c r="F44" s="2">
        <f t="shared" si="97"/>
        <v>0</v>
      </c>
      <c r="G44" s="2">
        <f t="shared" si="97"/>
        <v>0</v>
      </c>
      <c r="H44" s="2">
        <f t="shared" si="97"/>
        <v>1</v>
      </c>
      <c r="I44" s="2">
        <f t="shared" si="97"/>
        <v>0</v>
      </c>
      <c r="J44" s="2">
        <f t="shared" si="97"/>
        <v>0</v>
      </c>
      <c r="K44" s="2">
        <f t="shared" si="97"/>
        <v>0</v>
      </c>
      <c r="L44" s="2">
        <f t="shared" si="97"/>
        <v>0</v>
      </c>
      <c r="M44" s="2">
        <f t="shared" si="97"/>
        <v>0</v>
      </c>
      <c r="N44" s="2">
        <f t="shared" si="97"/>
        <v>0</v>
      </c>
      <c r="O44" s="2">
        <f t="shared" si="97"/>
        <v>0</v>
      </c>
      <c r="P44" s="2">
        <f t="shared" si="97"/>
        <v>0</v>
      </c>
      <c r="Q44" s="2">
        <f t="shared" si="97"/>
        <v>0</v>
      </c>
      <c r="R44" s="2">
        <f t="shared" si="97"/>
        <v>0</v>
      </c>
      <c r="S44" s="2">
        <f t="shared" si="97"/>
        <v>0</v>
      </c>
      <c r="T44" s="2">
        <f t="shared" si="97"/>
        <v>0</v>
      </c>
      <c r="U44" s="2">
        <f t="shared" si="97"/>
        <v>0</v>
      </c>
      <c r="V44" s="2">
        <f t="shared" si="97"/>
        <v>0</v>
      </c>
      <c r="W44" s="2">
        <f t="shared" si="97"/>
        <v>0</v>
      </c>
      <c r="X44" s="2">
        <f t="shared" si="97"/>
        <v>0</v>
      </c>
      <c r="Y44" s="2">
        <f t="shared" si="97"/>
        <v>0</v>
      </c>
      <c r="Z44" s="2">
        <f t="shared" si="97"/>
        <v>0</v>
      </c>
      <c r="AA44" s="2">
        <f t="shared" si="97"/>
        <v>0</v>
      </c>
      <c r="AB44" s="2">
        <f t="shared" si="97"/>
        <v>0</v>
      </c>
      <c r="AC44" s="2">
        <f t="shared" si="97"/>
        <v>0</v>
      </c>
      <c r="AD44" s="2">
        <f t="shared" si="97"/>
        <v>0</v>
      </c>
      <c r="AE44" s="2">
        <f t="shared" si="97"/>
        <v>0</v>
      </c>
      <c r="AF44" s="2">
        <f t="shared" si="97"/>
        <v>0</v>
      </c>
      <c r="AG44" s="2">
        <f t="shared" si="97"/>
        <v>0</v>
      </c>
      <c r="AH44" s="2">
        <f t="shared" si="97"/>
        <v>0</v>
      </c>
      <c r="AI44" s="2">
        <f t="shared" si="97"/>
        <v>0</v>
      </c>
      <c r="AJ44" s="2">
        <f t="shared" si="97"/>
        <v>0</v>
      </c>
      <c r="AK44" s="2">
        <f t="shared" si="97"/>
        <v>0</v>
      </c>
      <c r="AL44" s="2">
        <f t="shared" si="97"/>
        <v>0</v>
      </c>
      <c r="AM44" s="2">
        <f t="shared" si="97"/>
        <v>0</v>
      </c>
      <c r="AN44" s="2">
        <f t="shared" si="97"/>
        <v>0</v>
      </c>
      <c r="AO44" s="2">
        <f t="shared" si="97"/>
        <v>0</v>
      </c>
      <c r="AP44" s="2">
        <f t="shared" si="97"/>
        <v>0</v>
      </c>
      <c r="AQ44" s="2">
        <f t="shared" si="97"/>
        <v>0</v>
      </c>
      <c r="AR44" s="2">
        <f t="shared" si="97"/>
        <v>0</v>
      </c>
    </row>
    <row r="45" spans="2:92">
      <c r="C45" s="2">
        <f t="shared" ref="C45:AR45" si="98">BowlSplit(C8,$C$41)</f>
        <v>0</v>
      </c>
      <c r="D45" s="2">
        <f t="shared" si="98"/>
        <v>0</v>
      </c>
      <c r="E45" s="2">
        <f t="shared" si="98"/>
        <v>0</v>
      </c>
      <c r="F45" s="2">
        <f t="shared" si="98"/>
        <v>0</v>
      </c>
      <c r="G45" s="2">
        <f t="shared" si="98"/>
        <v>0</v>
      </c>
      <c r="H45" s="2">
        <f t="shared" si="98"/>
        <v>0</v>
      </c>
      <c r="I45" s="2">
        <f t="shared" si="98"/>
        <v>0</v>
      </c>
      <c r="J45" s="2">
        <f t="shared" si="98"/>
        <v>0</v>
      </c>
      <c r="K45" s="2">
        <f t="shared" si="98"/>
        <v>0</v>
      </c>
      <c r="L45" s="2">
        <f t="shared" si="98"/>
        <v>1</v>
      </c>
      <c r="M45" s="2">
        <f t="shared" si="98"/>
        <v>0</v>
      </c>
      <c r="N45" s="2">
        <f t="shared" si="98"/>
        <v>0</v>
      </c>
      <c r="O45" s="2">
        <f t="shared" si="98"/>
        <v>1</v>
      </c>
      <c r="P45" s="2">
        <f t="shared" si="98"/>
        <v>0</v>
      </c>
      <c r="Q45" s="2">
        <f t="shared" si="98"/>
        <v>0</v>
      </c>
      <c r="R45" s="2">
        <f t="shared" si="98"/>
        <v>4</v>
      </c>
      <c r="S45" s="2">
        <f t="shared" si="98"/>
        <v>0</v>
      </c>
      <c r="T45" s="2">
        <f t="shared" si="98"/>
        <v>1</v>
      </c>
      <c r="U45" s="2">
        <f t="shared" si="98"/>
        <v>0</v>
      </c>
      <c r="V45" s="2">
        <f t="shared" si="98"/>
        <v>0</v>
      </c>
      <c r="W45" s="2">
        <f t="shared" si="98"/>
        <v>0</v>
      </c>
      <c r="X45" s="2">
        <f t="shared" si="98"/>
        <v>0</v>
      </c>
      <c r="Y45" s="2">
        <f t="shared" si="98"/>
        <v>0</v>
      </c>
      <c r="Z45" s="2">
        <f t="shared" si="98"/>
        <v>0</v>
      </c>
      <c r="AA45" s="2">
        <f t="shared" si="98"/>
        <v>0</v>
      </c>
      <c r="AB45" s="2">
        <f t="shared" si="98"/>
        <v>0</v>
      </c>
      <c r="AC45" s="2">
        <f t="shared" si="98"/>
        <v>0</v>
      </c>
      <c r="AD45" s="2">
        <f t="shared" si="98"/>
        <v>0</v>
      </c>
      <c r="AE45" s="2">
        <f t="shared" si="98"/>
        <v>0</v>
      </c>
      <c r="AF45" s="2">
        <f t="shared" si="98"/>
        <v>0</v>
      </c>
      <c r="AG45" s="2">
        <f t="shared" si="98"/>
        <v>0</v>
      </c>
      <c r="AH45" s="2">
        <f t="shared" si="98"/>
        <v>0</v>
      </c>
      <c r="AI45" s="2">
        <f t="shared" si="98"/>
        <v>0</v>
      </c>
      <c r="AJ45" s="2">
        <f t="shared" si="98"/>
        <v>0</v>
      </c>
      <c r="AK45" s="2">
        <f t="shared" si="98"/>
        <v>0</v>
      </c>
      <c r="AL45" s="2">
        <f t="shared" si="98"/>
        <v>0</v>
      </c>
      <c r="AM45" s="2">
        <f t="shared" si="98"/>
        <v>0</v>
      </c>
      <c r="AN45" s="2">
        <f t="shared" si="98"/>
        <v>0</v>
      </c>
      <c r="AO45" s="2">
        <f t="shared" si="98"/>
        <v>0</v>
      </c>
      <c r="AP45" s="2">
        <f t="shared" si="98"/>
        <v>0</v>
      </c>
      <c r="AQ45" s="2">
        <f t="shared" si="98"/>
        <v>0</v>
      </c>
      <c r="AR45" s="2">
        <f t="shared" si="98"/>
        <v>0</v>
      </c>
    </row>
    <row r="46" spans="2:92">
      <c r="C46" s="2">
        <f t="shared" ref="C46:AR46" si="99">BowlSplit(C9,$C$41)</f>
        <v>0</v>
      </c>
      <c r="D46" s="2">
        <f t="shared" si="99"/>
        <v>0</v>
      </c>
      <c r="E46" s="2">
        <f t="shared" si="99"/>
        <v>0</v>
      </c>
      <c r="F46" s="2">
        <f t="shared" si="99"/>
        <v>0</v>
      </c>
      <c r="G46" s="2">
        <f t="shared" si="99"/>
        <v>0</v>
      </c>
      <c r="H46" s="2">
        <f t="shared" si="99"/>
        <v>0</v>
      </c>
      <c r="I46" s="2">
        <f t="shared" si="99"/>
        <v>0</v>
      </c>
      <c r="J46" s="2">
        <f t="shared" si="99"/>
        <v>1</v>
      </c>
      <c r="K46" s="2">
        <f t="shared" si="99"/>
        <v>0</v>
      </c>
      <c r="L46" s="2">
        <f t="shared" si="99"/>
        <v>0</v>
      </c>
      <c r="M46" s="2">
        <f t="shared" si="99"/>
        <v>0</v>
      </c>
      <c r="N46" s="2">
        <f t="shared" si="99"/>
        <v>2</v>
      </c>
      <c r="O46" s="2">
        <f t="shared" si="99"/>
        <v>1</v>
      </c>
      <c r="P46" s="2">
        <f t="shared" si="99"/>
        <v>1</v>
      </c>
      <c r="Q46" s="2">
        <f t="shared" si="99"/>
        <v>2</v>
      </c>
      <c r="R46" s="2">
        <f t="shared" si="99"/>
        <v>0</v>
      </c>
      <c r="S46" s="2">
        <f t="shared" si="99"/>
        <v>0</v>
      </c>
      <c r="T46" s="2">
        <f t="shared" si="99"/>
        <v>1</v>
      </c>
      <c r="U46" s="2">
        <f t="shared" si="99"/>
        <v>0</v>
      </c>
      <c r="V46" s="2">
        <f t="shared" si="99"/>
        <v>0</v>
      </c>
      <c r="W46" s="2">
        <f t="shared" si="99"/>
        <v>0</v>
      </c>
      <c r="X46" s="2">
        <f t="shared" si="99"/>
        <v>0</v>
      </c>
      <c r="Y46" s="2">
        <f t="shared" si="99"/>
        <v>0</v>
      </c>
      <c r="Z46" s="2">
        <f t="shared" si="99"/>
        <v>0</v>
      </c>
      <c r="AA46" s="2">
        <f t="shared" si="99"/>
        <v>0</v>
      </c>
      <c r="AB46" s="2">
        <f t="shared" si="99"/>
        <v>0</v>
      </c>
      <c r="AC46" s="2">
        <f t="shared" si="99"/>
        <v>0</v>
      </c>
      <c r="AD46" s="2">
        <f t="shared" si="99"/>
        <v>0</v>
      </c>
      <c r="AE46" s="2">
        <f t="shared" si="99"/>
        <v>0</v>
      </c>
      <c r="AF46" s="2">
        <f t="shared" si="99"/>
        <v>0</v>
      </c>
      <c r="AG46" s="2">
        <f t="shared" si="99"/>
        <v>0</v>
      </c>
      <c r="AH46" s="2">
        <f t="shared" si="99"/>
        <v>0</v>
      </c>
      <c r="AI46" s="2">
        <f t="shared" si="99"/>
        <v>0</v>
      </c>
      <c r="AJ46" s="2">
        <f t="shared" si="99"/>
        <v>0</v>
      </c>
      <c r="AK46" s="2">
        <f t="shared" si="99"/>
        <v>0</v>
      </c>
      <c r="AL46" s="2">
        <f t="shared" si="99"/>
        <v>0</v>
      </c>
      <c r="AM46" s="2">
        <f t="shared" si="99"/>
        <v>0</v>
      </c>
      <c r="AN46" s="2">
        <f t="shared" si="99"/>
        <v>0</v>
      </c>
      <c r="AO46" s="2">
        <f t="shared" si="99"/>
        <v>0</v>
      </c>
      <c r="AP46" s="2">
        <f t="shared" si="99"/>
        <v>0</v>
      </c>
      <c r="AQ46" s="2">
        <f t="shared" si="99"/>
        <v>0</v>
      </c>
      <c r="AR46" s="2">
        <f t="shared" si="99"/>
        <v>0</v>
      </c>
    </row>
    <row r="47" spans="2:92">
      <c r="C47" s="2">
        <f t="shared" ref="C47:AR47" si="100">BowlSplit(C10,$C$41)</f>
        <v>0</v>
      </c>
      <c r="D47" s="2">
        <f t="shared" si="100"/>
        <v>0</v>
      </c>
      <c r="E47" s="2">
        <f t="shared" si="100"/>
        <v>0</v>
      </c>
      <c r="F47" s="2">
        <f t="shared" si="100"/>
        <v>0</v>
      </c>
      <c r="G47" s="2">
        <f t="shared" si="100"/>
        <v>0</v>
      </c>
      <c r="H47" s="2">
        <f t="shared" si="100"/>
        <v>0</v>
      </c>
      <c r="I47" s="2">
        <f t="shared" si="100"/>
        <v>0</v>
      </c>
      <c r="J47" s="2">
        <f t="shared" si="100"/>
        <v>0</v>
      </c>
      <c r="K47" s="2">
        <f t="shared" si="100"/>
        <v>0</v>
      </c>
      <c r="L47" s="2">
        <f t="shared" si="100"/>
        <v>0</v>
      </c>
      <c r="M47" s="2">
        <f t="shared" si="100"/>
        <v>0</v>
      </c>
      <c r="N47" s="2">
        <f t="shared" si="100"/>
        <v>0</v>
      </c>
      <c r="O47" s="2">
        <f t="shared" si="100"/>
        <v>0</v>
      </c>
      <c r="P47" s="2">
        <f t="shared" si="100"/>
        <v>0</v>
      </c>
      <c r="Q47" s="2">
        <f t="shared" si="100"/>
        <v>0</v>
      </c>
      <c r="R47" s="2">
        <f t="shared" si="100"/>
        <v>0</v>
      </c>
      <c r="S47" s="2">
        <f t="shared" si="100"/>
        <v>0</v>
      </c>
      <c r="T47" s="2">
        <f t="shared" si="100"/>
        <v>0</v>
      </c>
      <c r="U47" s="2">
        <f t="shared" si="100"/>
        <v>0</v>
      </c>
      <c r="V47" s="2">
        <f t="shared" si="100"/>
        <v>0</v>
      </c>
      <c r="W47" s="2">
        <f t="shared" si="100"/>
        <v>0</v>
      </c>
      <c r="X47" s="2">
        <f t="shared" si="100"/>
        <v>0</v>
      </c>
      <c r="Y47" s="2">
        <f t="shared" si="100"/>
        <v>0</v>
      </c>
      <c r="Z47" s="2">
        <f t="shared" si="100"/>
        <v>0</v>
      </c>
      <c r="AA47" s="2">
        <f t="shared" si="100"/>
        <v>0</v>
      </c>
      <c r="AB47" s="2">
        <f t="shared" si="100"/>
        <v>0</v>
      </c>
      <c r="AC47" s="2">
        <f t="shared" si="100"/>
        <v>0</v>
      </c>
      <c r="AD47" s="2">
        <f t="shared" si="100"/>
        <v>0</v>
      </c>
      <c r="AE47" s="2">
        <f t="shared" si="100"/>
        <v>0</v>
      </c>
      <c r="AF47" s="2">
        <f t="shared" si="100"/>
        <v>0</v>
      </c>
      <c r="AG47" s="2">
        <f t="shared" si="100"/>
        <v>0</v>
      </c>
      <c r="AH47" s="2">
        <f t="shared" si="100"/>
        <v>0</v>
      </c>
      <c r="AI47" s="2">
        <f t="shared" si="100"/>
        <v>0</v>
      </c>
      <c r="AJ47" s="2">
        <f t="shared" si="100"/>
        <v>0</v>
      </c>
      <c r="AK47" s="2">
        <f t="shared" si="100"/>
        <v>0</v>
      </c>
      <c r="AL47" s="2">
        <f t="shared" si="100"/>
        <v>0</v>
      </c>
      <c r="AM47" s="2">
        <f t="shared" si="100"/>
        <v>0</v>
      </c>
      <c r="AN47" s="2">
        <f t="shared" si="100"/>
        <v>0</v>
      </c>
      <c r="AO47" s="2">
        <f t="shared" si="100"/>
        <v>0</v>
      </c>
      <c r="AP47" s="2">
        <f t="shared" si="100"/>
        <v>0</v>
      </c>
      <c r="AQ47" s="2">
        <f t="shared" si="100"/>
        <v>0</v>
      </c>
      <c r="AR47" s="2">
        <f t="shared" si="100"/>
        <v>0</v>
      </c>
      <c r="CE47" s="59"/>
    </row>
    <row r="48" spans="2:92">
      <c r="C48" s="2">
        <f t="shared" ref="C48:AR48" si="101">BowlSplit(C11,$C$41)</f>
        <v>0</v>
      </c>
      <c r="D48" s="2">
        <f t="shared" si="101"/>
        <v>1</v>
      </c>
      <c r="E48" s="2">
        <f t="shared" si="101"/>
        <v>1</v>
      </c>
      <c r="F48" s="2">
        <f t="shared" si="101"/>
        <v>1</v>
      </c>
      <c r="G48" s="2">
        <f t="shared" si="101"/>
        <v>0</v>
      </c>
      <c r="H48" s="2">
        <f t="shared" si="101"/>
        <v>0</v>
      </c>
      <c r="I48" s="2">
        <f t="shared" si="101"/>
        <v>2</v>
      </c>
      <c r="J48" s="2">
        <f t="shared" si="101"/>
        <v>4</v>
      </c>
      <c r="K48" s="2">
        <f t="shared" si="101"/>
        <v>1</v>
      </c>
      <c r="L48" s="2">
        <f t="shared" si="101"/>
        <v>1</v>
      </c>
      <c r="M48" s="2">
        <f t="shared" si="101"/>
        <v>1</v>
      </c>
      <c r="N48" s="2">
        <f t="shared" si="101"/>
        <v>1</v>
      </c>
      <c r="O48" s="2">
        <f t="shared" si="101"/>
        <v>1</v>
      </c>
      <c r="P48" s="2">
        <f t="shared" si="101"/>
        <v>0</v>
      </c>
      <c r="Q48" s="2">
        <f t="shared" si="101"/>
        <v>2</v>
      </c>
      <c r="R48" s="2">
        <f t="shared" si="101"/>
        <v>2</v>
      </c>
      <c r="S48" s="2">
        <f t="shared" si="101"/>
        <v>0</v>
      </c>
      <c r="T48" s="2">
        <f t="shared" si="101"/>
        <v>0</v>
      </c>
      <c r="U48" s="2">
        <f t="shared" si="101"/>
        <v>0</v>
      </c>
      <c r="V48" s="2">
        <f t="shared" si="101"/>
        <v>0</v>
      </c>
      <c r="W48" s="2">
        <f t="shared" si="101"/>
        <v>0</v>
      </c>
      <c r="X48" s="2">
        <f t="shared" si="101"/>
        <v>0</v>
      </c>
      <c r="Y48" s="2">
        <f t="shared" si="101"/>
        <v>0</v>
      </c>
      <c r="Z48" s="2">
        <f t="shared" si="101"/>
        <v>0</v>
      </c>
      <c r="AA48" s="2">
        <f t="shared" si="101"/>
        <v>0</v>
      </c>
      <c r="AB48" s="2">
        <f t="shared" si="101"/>
        <v>0</v>
      </c>
      <c r="AC48" s="2">
        <f t="shared" si="101"/>
        <v>0</v>
      </c>
      <c r="AD48" s="2">
        <f t="shared" si="101"/>
        <v>0</v>
      </c>
      <c r="AE48" s="2">
        <f t="shared" si="101"/>
        <v>0</v>
      </c>
      <c r="AF48" s="2">
        <f t="shared" si="101"/>
        <v>0</v>
      </c>
      <c r="AG48" s="2">
        <f t="shared" si="101"/>
        <v>0</v>
      </c>
      <c r="AH48" s="2">
        <f t="shared" si="101"/>
        <v>0</v>
      </c>
      <c r="AI48" s="2">
        <f t="shared" si="101"/>
        <v>0</v>
      </c>
      <c r="AJ48" s="2">
        <f t="shared" si="101"/>
        <v>0</v>
      </c>
      <c r="AK48" s="2">
        <f t="shared" si="101"/>
        <v>0</v>
      </c>
      <c r="AL48" s="2">
        <f t="shared" si="101"/>
        <v>0</v>
      </c>
      <c r="AM48" s="2">
        <f t="shared" si="101"/>
        <v>0</v>
      </c>
      <c r="AN48" s="2">
        <f t="shared" si="101"/>
        <v>0</v>
      </c>
      <c r="AO48" s="2">
        <f t="shared" si="101"/>
        <v>0</v>
      </c>
      <c r="AP48" s="2">
        <f t="shared" si="101"/>
        <v>0</v>
      </c>
      <c r="AQ48" s="2">
        <f t="shared" si="101"/>
        <v>0</v>
      </c>
      <c r="AR48" s="2">
        <f t="shared" si="101"/>
        <v>0</v>
      </c>
    </row>
    <row r="49" spans="3:44">
      <c r="C49" s="2">
        <f t="shared" ref="C49:AR49" si="102">BowlSplit(C12,$C$41)</f>
        <v>0</v>
      </c>
      <c r="D49" s="2">
        <f t="shared" si="102"/>
        <v>0</v>
      </c>
      <c r="E49" s="2">
        <f t="shared" si="102"/>
        <v>0</v>
      </c>
      <c r="F49" s="2">
        <f t="shared" si="102"/>
        <v>0</v>
      </c>
      <c r="G49" s="2">
        <f t="shared" si="102"/>
        <v>0</v>
      </c>
      <c r="H49" s="2">
        <f t="shared" si="102"/>
        <v>0</v>
      </c>
      <c r="I49" s="2">
        <f t="shared" si="102"/>
        <v>0</v>
      </c>
      <c r="J49" s="2">
        <f t="shared" si="102"/>
        <v>1</v>
      </c>
      <c r="K49" s="2">
        <f t="shared" si="102"/>
        <v>0</v>
      </c>
      <c r="L49" s="2">
        <f t="shared" si="102"/>
        <v>0</v>
      </c>
      <c r="M49" s="2">
        <f t="shared" si="102"/>
        <v>0</v>
      </c>
      <c r="N49" s="2">
        <f t="shared" si="102"/>
        <v>0</v>
      </c>
      <c r="O49" s="2">
        <f t="shared" si="102"/>
        <v>0</v>
      </c>
      <c r="P49" s="2">
        <f t="shared" si="102"/>
        <v>0</v>
      </c>
      <c r="Q49" s="2">
        <f t="shared" si="102"/>
        <v>1</v>
      </c>
      <c r="R49" s="2">
        <f t="shared" si="102"/>
        <v>0</v>
      </c>
      <c r="S49" s="2">
        <f t="shared" si="102"/>
        <v>1</v>
      </c>
      <c r="T49" s="2">
        <f t="shared" si="102"/>
        <v>0</v>
      </c>
      <c r="U49" s="2">
        <f t="shared" si="102"/>
        <v>1</v>
      </c>
      <c r="V49" s="2">
        <f t="shared" si="102"/>
        <v>0</v>
      </c>
      <c r="W49" s="2">
        <f t="shared" si="102"/>
        <v>0</v>
      </c>
      <c r="X49" s="2">
        <f t="shared" si="102"/>
        <v>0</v>
      </c>
      <c r="Y49" s="2">
        <f t="shared" si="102"/>
        <v>0</v>
      </c>
      <c r="Z49" s="2">
        <f t="shared" si="102"/>
        <v>0</v>
      </c>
      <c r="AA49" s="2">
        <f t="shared" si="102"/>
        <v>0</v>
      </c>
      <c r="AB49" s="2">
        <f t="shared" si="102"/>
        <v>0</v>
      </c>
      <c r="AC49" s="2">
        <f t="shared" si="102"/>
        <v>0</v>
      </c>
      <c r="AD49" s="2">
        <f t="shared" si="102"/>
        <v>0</v>
      </c>
      <c r="AE49" s="2">
        <f t="shared" si="102"/>
        <v>0</v>
      </c>
      <c r="AF49" s="2">
        <f t="shared" si="102"/>
        <v>0</v>
      </c>
      <c r="AG49" s="2">
        <f t="shared" si="102"/>
        <v>0</v>
      </c>
      <c r="AH49" s="2">
        <f t="shared" si="102"/>
        <v>0</v>
      </c>
      <c r="AI49" s="2">
        <f t="shared" si="102"/>
        <v>0</v>
      </c>
      <c r="AJ49" s="2">
        <f t="shared" si="102"/>
        <v>0</v>
      </c>
      <c r="AK49" s="2">
        <f t="shared" si="102"/>
        <v>0</v>
      </c>
      <c r="AL49" s="2">
        <f t="shared" si="102"/>
        <v>0</v>
      </c>
      <c r="AM49" s="2">
        <f t="shared" si="102"/>
        <v>0</v>
      </c>
      <c r="AN49" s="2">
        <f t="shared" si="102"/>
        <v>0</v>
      </c>
      <c r="AO49" s="2">
        <f t="shared" si="102"/>
        <v>0</v>
      </c>
      <c r="AP49" s="2">
        <f t="shared" si="102"/>
        <v>0</v>
      </c>
      <c r="AQ49" s="2">
        <f t="shared" si="102"/>
        <v>0</v>
      </c>
      <c r="AR49" s="2">
        <f t="shared" si="102"/>
        <v>0</v>
      </c>
    </row>
    <row r="50" spans="3:44">
      <c r="C50" s="2">
        <f t="shared" ref="C50:AR50" si="103">BowlSplit(C13,$C$41)</f>
        <v>0</v>
      </c>
      <c r="D50" s="2">
        <f t="shared" si="103"/>
        <v>0</v>
      </c>
      <c r="E50" s="2">
        <f t="shared" si="103"/>
        <v>0</v>
      </c>
      <c r="F50" s="2">
        <f t="shared" si="103"/>
        <v>0</v>
      </c>
      <c r="G50" s="2">
        <f t="shared" si="103"/>
        <v>0</v>
      </c>
      <c r="H50" s="2">
        <f t="shared" si="103"/>
        <v>0</v>
      </c>
      <c r="I50" s="2">
        <f t="shared" si="103"/>
        <v>0</v>
      </c>
      <c r="J50" s="2">
        <f t="shared" si="103"/>
        <v>0</v>
      </c>
      <c r="K50" s="2">
        <f t="shared" si="103"/>
        <v>0</v>
      </c>
      <c r="L50" s="2">
        <f t="shared" si="103"/>
        <v>0</v>
      </c>
      <c r="M50" s="2">
        <f t="shared" si="103"/>
        <v>1</v>
      </c>
      <c r="N50" s="2">
        <f t="shared" si="103"/>
        <v>0</v>
      </c>
      <c r="O50" s="2">
        <f t="shared" si="103"/>
        <v>0</v>
      </c>
      <c r="P50" s="2">
        <f t="shared" si="103"/>
        <v>0</v>
      </c>
      <c r="Q50" s="2">
        <f t="shared" si="103"/>
        <v>0</v>
      </c>
      <c r="R50" s="2">
        <f t="shared" si="103"/>
        <v>0</v>
      </c>
      <c r="S50" s="2">
        <f t="shared" si="103"/>
        <v>0</v>
      </c>
      <c r="T50" s="2">
        <f t="shared" si="103"/>
        <v>0</v>
      </c>
      <c r="U50" s="2">
        <f t="shared" si="103"/>
        <v>0</v>
      </c>
      <c r="V50" s="2">
        <f t="shared" si="103"/>
        <v>0</v>
      </c>
      <c r="W50" s="2">
        <f t="shared" si="103"/>
        <v>0</v>
      </c>
      <c r="X50" s="2">
        <f t="shared" si="103"/>
        <v>0</v>
      </c>
      <c r="Y50" s="2">
        <f t="shared" si="103"/>
        <v>0</v>
      </c>
      <c r="Z50" s="2">
        <f t="shared" si="103"/>
        <v>0</v>
      </c>
      <c r="AA50" s="2">
        <f t="shared" si="103"/>
        <v>0</v>
      </c>
      <c r="AB50" s="2">
        <f t="shared" si="103"/>
        <v>0</v>
      </c>
      <c r="AC50" s="2">
        <f t="shared" si="103"/>
        <v>0</v>
      </c>
      <c r="AD50" s="2">
        <f t="shared" si="103"/>
        <v>0</v>
      </c>
      <c r="AE50" s="2">
        <f t="shared" si="103"/>
        <v>0</v>
      </c>
      <c r="AF50" s="2">
        <f t="shared" si="103"/>
        <v>0</v>
      </c>
      <c r="AG50" s="2">
        <f t="shared" si="103"/>
        <v>0</v>
      </c>
      <c r="AH50" s="2">
        <f t="shared" si="103"/>
        <v>0</v>
      </c>
      <c r="AI50" s="2">
        <f t="shared" si="103"/>
        <v>0</v>
      </c>
      <c r="AJ50" s="2">
        <f t="shared" si="103"/>
        <v>0</v>
      </c>
      <c r="AK50" s="2">
        <f t="shared" si="103"/>
        <v>0</v>
      </c>
      <c r="AL50" s="2">
        <f t="shared" si="103"/>
        <v>0</v>
      </c>
      <c r="AM50" s="2">
        <f t="shared" si="103"/>
        <v>0</v>
      </c>
      <c r="AN50" s="2">
        <f t="shared" si="103"/>
        <v>0</v>
      </c>
      <c r="AO50" s="2">
        <f t="shared" si="103"/>
        <v>0</v>
      </c>
      <c r="AP50" s="2">
        <f t="shared" si="103"/>
        <v>0</v>
      </c>
      <c r="AQ50" s="2">
        <f t="shared" si="103"/>
        <v>0</v>
      </c>
      <c r="AR50" s="2">
        <f t="shared" si="103"/>
        <v>0</v>
      </c>
    </row>
    <row r="51" spans="3:44">
      <c r="C51" s="2">
        <f t="shared" ref="C51:AR51" si="104">BowlSplit(C14,$C$41)</f>
        <v>0</v>
      </c>
      <c r="D51" s="2">
        <f t="shared" si="104"/>
        <v>0</v>
      </c>
      <c r="E51" s="2">
        <f t="shared" si="104"/>
        <v>0</v>
      </c>
      <c r="F51" s="2">
        <f t="shared" si="104"/>
        <v>0</v>
      </c>
      <c r="G51" s="2">
        <f t="shared" si="104"/>
        <v>0</v>
      </c>
      <c r="H51" s="2">
        <f t="shared" si="104"/>
        <v>0</v>
      </c>
      <c r="I51" s="2">
        <f t="shared" si="104"/>
        <v>0</v>
      </c>
      <c r="J51" s="2">
        <f t="shared" si="104"/>
        <v>2</v>
      </c>
      <c r="K51" s="2">
        <f t="shared" si="104"/>
        <v>0</v>
      </c>
      <c r="L51" s="2">
        <f t="shared" si="104"/>
        <v>0</v>
      </c>
      <c r="M51" s="2">
        <f t="shared" si="104"/>
        <v>0</v>
      </c>
      <c r="N51" s="2">
        <f t="shared" si="104"/>
        <v>0</v>
      </c>
      <c r="O51" s="2">
        <f t="shared" si="104"/>
        <v>0</v>
      </c>
      <c r="P51" s="2">
        <f t="shared" si="104"/>
        <v>0</v>
      </c>
      <c r="Q51" s="2">
        <f t="shared" si="104"/>
        <v>0</v>
      </c>
      <c r="R51" s="2">
        <f t="shared" si="104"/>
        <v>0</v>
      </c>
      <c r="S51" s="2">
        <f t="shared" si="104"/>
        <v>0</v>
      </c>
      <c r="T51" s="2">
        <f t="shared" si="104"/>
        <v>0</v>
      </c>
      <c r="U51" s="2">
        <f t="shared" si="104"/>
        <v>0</v>
      </c>
      <c r="V51" s="2">
        <f t="shared" si="104"/>
        <v>0</v>
      </c>
      <c r="W51" s="2">
        <f t="shared" si="104"/>
        <v>0</v>
      </c>
      <c r="X51" s="2">
        <f t="shared" si="104"/>
        <v>0</v>
      </c>
      <c r="Y51" s="2">
        <f t="shared" si="104"/>
        <v>0</v>
      </c>
      <c r="Z51" s="2">
        <f t="shared" si="104"/>
        <v>0</v>
      </c>
      <c r="AA51" s="2">
        <f t="shared" si="104"/>
        <v>0</v>
      </c>
      <c r="AB51" s="2">
        <f t="shared" si="104"/>
        <v>0</v>
      </c>
      <c r="AC51" s="2">
        <f t="shared" si="104"/>
        <v>0</v>
      </c>
      <c r="AD51" s="2">
        <f t="shared" si="104"/>
        <v>0</v>
      </c>
      <c r="AE51" s="2">
        <f t="shared" si="104"/>
        <v>0</v>
      </c>
      <c r="AF51" s="2">
        <f t="shared" si="104"/>
        <v>0</v>
      </c>
      <c r="AG51" s="2">
        <f t="shared" si="104"/>
        <v>0</v>
      </c>
      <c r="AH51" s="2">
        <f t="shared" si="104"/>
        <v>0</v>
      </c>
      <c r="AI51" s="2">
        <f t="shared" si="104"/>
        <v>0</v>
      </c>
      <c r="AJ51" s="2">
        <f t="shared" si="104"/>
        <v>0</v>
      </c>
      <c r="AK51" s="2">
        <f t="shared" si="104"/>
        <v>0</v>
      </c>
      <c r="AL51" s="2">
        <f t="shared" si="104"/>
        <v>0</v>
      </c>
      <c r="AM51" s="2">
        <f t="shared" si="104"/>
        <v>0</v>
      </c>
      <c r="AN51" s="2">
        <f t="shared" si="104"/>
        <v>0</v>
      </c>
      <c r="AO51" s="2">
        <f t="shared" si="104"/>
        <v>0</v>
      </c>
      <c r="AP51" s="2">
        <f t="shared" si="104"/>
        <v>0</v>
      </c>
      <c r="AQ51" s="2">
        <f t="shared" si="104"/>
        <v>0</v>
      </c>
      <c r="AR51" s="2">
        <f t="shared" si="104"/>
        <v>0</v>
      </c>
    </row>
    <row r="52" spans="3:44">
      <c r="C52" s="2">
        <f t="shared" ref="C52:AR52" si="105">BowlSplit(C15,$C$41)</f>
        <v>0</v>
      </c>
      <c r="D52" s="2">
        <f t="shared" si="105"/>
        <v>0</v>
      </c>
      <c r="E52" s="2">
        <f t="shared" si="105"/>
        <v>0</v>
      </c>
      <c r="F52" s="2">
        <f t="shared" si="105"/>
        <v>0</v>
      </c>
      <c r="G52" s="2">
        <f t="shared" si="105"/>
        <v>0</v>
      </c>
      <c r="H52" s="2">
        <f t="shared" si="105"/>
        <v>0</v>
      </c>
      <c r="I52" s="2">
        <f t="shared" si="105"/>
        <v>0</v>
      </c>
      <c r="J52" s="2">
        <f t="shared" si="105"/>
        <v>0</v>
      </c>
      <c r="K52" s="2">
        <f t="shared" si="105"/>
        <v>0</v>
      </c>
      <c r="L52" s="2">
        <f t="shared" si="105"/>
        <v>0</v>
      </c>
      <c r="M52" s="2">
        <f t="shared" si="105"/>
        <v>0</v>
      </c>
      <c r="N52" s="2">
        <f t="shared" si="105"/>
        <v>0</v>
      </c>
      <c r="O52" s="2">
        <f t="shared" si="105"/>
        <v>0</v>
      </c>
      <c r="P52" s="2">
        <f t="shared" si="105"/>
        <v>0</v>
      </c>
      <c r="Q52" s="2">
        <f t="shared" si="105"/>
        <v>0</v>
      </c>
      <c r="R52" s="2">
        <f t="shared" si="105"/>
        <v>0</v>
      </c>
      <c r="S52" s="2">
        <f t="shared" si="105"/>
        <v>0</v>
      </c>
      <c r="T52" s="2">
        <f t="shared" si="105"/>
        <v>0</v>
      </c>
      <c r="U52" s="2">
        <f t="shared" si="105"/>
        <v>1</v>
      </c>
      <c r="V52" s="2">
        <f t="shared" si="105"/>
        <v>0</v>
      </c>
      <c r="W52" s="2">
        <f t="shared" si="105"/>
        <v>0</v>
      </c>
      <c r="X52" s="2">
        <f t="shared" si="105"/>
        <v>0</v>
      </c>
      <c r="Y52" s="2">
        <f t="shared" si="105"/>
        <v>0</v>
      </c>
      <c r="Z52" s="2">
        <f t="shared" si="105"/>
        <v>0</v>
      </c>
      <c r="AA52" s="2">
        <f t="shared" si="105"/>
        <v>0</v>
      </c>
      <c r="AB52" s="2">
        <f t="shared" si="105"/>
        <v>0</v>
      </c>
      <c r="AC52" s="2">
        <f t="shared" si="105"/>
        <v>0</v>
      </c>
      <c r="AD52" s="2">
        <f t="shared" si="105"/>
        <v>0</v>
      </c>
      <c r="AE52" s="2">
        <f t="shared" si="105"/>
        <v>0</v>
      </c>
      <c r="AF52" s="2">
        <f t="shared" si="105"/>
        <v>0</v>
      </c>
      <c r="AG52" s="2">
        <f t="shared" si="105"/>
        <v>0</v>
      </c>
      <c r="AH52" s="2">
        <f t="shared" si="105"/>
        <v>0</v>
      </c>
      <c r="AI52" s="2">
        <f t="shared" si="105"/>
        <v>0</v>
      </c>
      <c r="AJ52" s="2">
        <f t="shared" si="105"/>
        <v>0</v>
      </c>
      <c r="AK52" s="2">
        <f t="shared" si="105"/>
        <v>0</v>
      </c>
      <c r="AL52" s="2">
        <f t="shared" si="105"/>
        <v>0</v>
      </c>
      <c r="AM52" s="2">
        <f t="shared" si="105"/>
        <v>0</v>
      </c>
      <c r="AN52" s="2">
        <f t="shared" si="105"/>
        <v>0</v>
      </c>
      <c r="AO52" s="2">
        <f t="shared" si="105"/>
        <v>0</v>
      </c>
      <c r="AP52" s="2">
        <f t="shared" si="105"/>
        <v>0</v>
      </c>
      <c r="AQ52" s="2">
        <f t="shared" si="105"/>
        <v>0</v>
      </c>
      <c r="AR52" s="2">
        <f t="shared" si="105"/>
        <v>0</v>
      </c>
    </row>
    <row r="53" spans="3:44">
      <c r="C53" s="2">
        <f t="shared" ref="C53:AR53" si="106">BowlSplit(C16,$C$41)</f>
        <v>0</v>
      </c>
      <c r="D53" s="2">
        <f t="shared" si="106"/>
        <v>0</v>
      </c>
      <c r="E53" s="2">
        <f t="shared" si="106"/>
        <v>0</v>
      </c>
      <c r="F53" s="2">
        <f t="shared" si="106"/>
        <v>0</v>
      </c>
      <c r="G53" s="2">
        <f t="shared" si="106"/>
        <v>0</v>
      </c>
      <c r="H53" s="2">
        <f t="shared" si="106"/>
        <v>0</v>
      </c>
      <c r="I53" s="2">
        <f t="shared" si="106"/>
        <v>0</v>
      </c>
      <c r="J53" s="2">
        <f t="shared" si="106"/>
        <v>0</v>
      </c>
      <c r="K53" s="2">
        <f t="shared" si="106"/>
        <v>0</v>
      </c>
      <c r="L53" s="2">
        <f t="shared" si="106"/>
        <v>0</v>
      </c>
      <c r="M53" s="2">
        <f t="shared" si="106"/>
        <v>0</v>
      </c>
      <c r="N53" s="2">
        <f t="shared" si="106"/>
        <v>0</v>
      </c>
      <c r="O53" s="2">
        <f t="shared" si="106"/>
        <v>0</v>
      </c>
      <c r="P53" s="2">
        <f t="shared" si="106"/>
        <v>0</v>
      </c>
      <c r="Q53" s="2">
        <f t="shared" si="106"/>
        <v>0</v>
      </c>
      <c r="R53" s="2">
        <f t="shared" si="106"/>
        <v>0</v>
      </c>
      <c r="S53" s="2">
        <f t="shared" si="106"/>
        <v>0</v>
      </c>
      <c r="T53" s="2">
        <f t="shared" si="106"/>
        <v>0</v>
      </c>
      <c r="U53" s="2">
        <f t="shared" si="106"/>
        <v>1</v>
      </c>
      <c r="V53" s="2">
        <f t="shared" si="106"/>
        <v>0</v>
      </c>
      <c r="W53" s="2">
        <f t="shared" si="106"/>
        <v>0</v>
      </c>
      <c r="X53" s="2">
        <f t="shared" si="106"/>
        <v>0</v>
      </c>
      <c r="Y53" s="2">
        <f t="shared" si="106"/>
        <v>0</v>
      </c>
      <c r="Z53" s="2">
        <f t="shared" si="106"/>
        <v>0</v>
      </c>
      <c r="AA53" s="2">
        <f t="shared" si="106"/>
        <v>0</v>
      </c>
      <c r="AB53" s="2">
        <f t="shared" si="106"/>
        <v>0</v>
      </c>
      <c r="AC53" s="2">
        <f t="shared" si="106"/>
        <v>0</v>
      </c>
      <c r="AD53" s="2">
        <f t="shared" si="106"/>
        <v>0</v>
      </c>
      <c r="AE53" s="2">
        <f t="shared" si="106"/>
        <v>0</v>
      </c>
      <c r="AF53" s="2">
        <f t="shared" si="106"/>
        <v>0</v>
      </c>
      <c r="AG53" s="2">
        <f t="shared" si="106"/>
        <v>0</v>
      </c>
      <c r="AH53" s="2">
        <f t="shared" si="106"/>
        <v>0</v>
      </c>
      <c r="AI53" s="2">
        <f t="shared" si="106"/>
        <v>0</v>
      </c>
      <c r="AJ53" s="2">
        <f t="shared" si="106"/>
        <v>0</v>
      </c>
      <c r="AK53" s="2">
        <f t="shared" si="106"/>
        <v>0</v>
      </c>
      <c r="AL53" s="2">
        <f t="shared" si="106"/>
        <v>0</v>
      </c>
      <c r="AM53" s="2">
        <f t="shared" si="106"/>
        <v>0</v>
      </c>
      <c r="AN53" s="2">
        <f t="shared" si="106"/>
        <v>0</v>
      </c>
      <c r="AO53" s="2">
        <f t="shared" si="106"/>
        <v>0</v>
      </c>
      <c r="AP53" s="2">
        <f t="shared" si="106"/>
        <v>0</v>
      </c>
      <c r="AQ53" s="2">
        <f t="shared" si="106"/>
        <v>0</v>
      </c>
      <c r="AR53" s="2">
        <f t="shared" si="106"/>
        <v>0</v>
      </c>
    </row>
    <row r="54" spans="3:44">
      <c r="C54" s="2">
        <f t="shared" ref="C54:AR54" si="107">BowlSplit(C17,$C$41)</f>
        <v>0</v>
      </c>
      <c r="D54" s="2">
        <f t="shared" si="107"/>
        <v>0</v>
      </c>
      <c r="E54" s="2">
        <f t="shared" si="107"/>
        <v>0</v>
      </c>
      <c r="F54" s="2">
        <f t="shared" si="107"/>
        <v>0</v>
      </c>
      <c r="G54" s="2">
        <f t="shared" si="107"/>
        <v>0</v>
      </c>
      <c r="H54" s="2">
        <f t="shared" si="107"/>
        <v>1</v>
      </c>
      <c r="I54" s="2">
        <f t="shared" si="107"/>
        <v>1</v>
      </c>
      <c r="J54" s="2">
        <f t="shared" si="107"/>
        <v>0</v>
      </c>
      <c r="K54" s="2">
        <f t="shared" si="107"/>
        <v>1</v>
      </c>
      <c r="L54" s="2">
        <f t="shared" si="107"/>
        <v>0</v>
      </c>
      <c r="M54" s="2">
        <f t="shared" si="107"/>
        <v>0</v>
      </c>
      <c r="N54" s="2">
        <f t="shared" si="107"/>
        <v>0</v>
      </c>
      <c r="O54" s="2">
        <f t="shared" si="107"/>
        <v>0</v>
      </c>
      <c r="P54" s="2">
        <f t="shared" si="107"/>
        <v>0</v>
      </c>
      <c r="Q54" s="2">
        <f t="shared" si="107"/>
        <v>0</v>
      </c>
      <c r="R54" s="2">
        <f t="shared" si="107"/>
        <v>0</v>
      </c>
      <c r="S54" s="2">
        <f t="shared" si="107"/>
        <v>0</v>
      </c>
      <c r="T54" s="2">
        <f t="shared" si="107"/>
        <v>0</v>
      </c>
      <c r="U54" s="2">
        <f t="shared" si="107"/>
        <v>0</v>
      </c>
      <c r="V54" s="2">
        <f t="shared" si="107"/>
        <v>0</v>
      </c>
      <c r="W54" s="2">
        <f t="shared" si="107"/>
        <v>0</v>
      </c>
      <c r="X54" s="2">
        <f t="shared" si="107"/>
        <v>0</v>
      </c>
      <c r="Y54" s="2">
        <f t="shared" si="107"/>
        <v>0</v>
      </c>
      <c r="Z54" s="2">
        <f t="shared" si="107"/>
        <v>0</v>
      </c>
      <c r="AA54" s="2">
        <f t="shared" si="107"/>
        <v>0</v>
      </c>
      <c r="AB54" s="2">
        <f t="shared" si="107"/>
        <v>0</v>
      </c>
      <c r="AC54" s="2">
        <f t="shared" si="107"/>
        <v>0</v>
      </c>
      <c r="AD54" s="2">
        <f t="shared" si="107"/>
        <v>0</v>
      </c>
      <c r="AE54" s="2">
        <f t="shared" si="107"/>
        <v>0</v>
      </c>
      <c r="AF54" s="2">
        <f t="shared" si="107"/>
        <v>0</v>
      </c>
      <c r="AG54" s="2">
        <f t="shared" si="107"/>
        <v>0</v>
      </c>
      <c r="AH54" s="2">
        <f t="shared" si="107"/>
        <v>0</v>
      </c>
      <c r="AI54" s="2">
        <f t="shared" si="107"/>
        <v>0</v>
      </c>
      <c r="AJ54" s="2">
        <f t="shared" si="107"/>
        <v>0</v>
      </c>
      <c r="AK54" s="2">
        <f t="shared" si="107"/>
        <v>0</v>
      </c>
      <c r="AL54" s="2">
        <f t="shared" si="107"/>
        <v>0</v>
      </c>
      <c r="AM54" s="2">
        <f t="shared" si="107"/>
        <v>0</v>
      </c>
      <c r="AN54" s="2">
        <f t="shared" si="107"/>
        <v>0</v>
      </c>
      <c r="AO54" s="2">
        <f t="shared" si="107"/>
        <v>0</v>
      </c>
      <c r="AP54" s="2">
        <f t="shared" si="107"/>
        <v>0</v>
      </c>
      <c r="AQ54" s="2">
        <f t="shared" si="107"/>
        <v>0</v>
      </c>
      <c r="AR54" s="2">
        <f t="shared" si="107"/>
        <v>0</v>
      </c>
    </row>
    <row r="55" spans="3:44">
      <c r="C55" s="2">
        <f t="shared" ref="C55:AR55" si="108">BowlSplit(C18,$C$41)</f>
        <v>0</v>
      </c>
      <c r="D55" s="2">
        <f t="shared" si="108"/>
        <v>0</v>
      </c>
      <c r="E55" s="2">
        <f t="shared" si="108"/>
        <v>0</v>
      </c>
      <c r="F55" s="2">
        <f t="shared" si="108"/>
        <v>0</v>
      </c>
      <c r="G55" s="2">
        <f t="shared" si="108"/>
        <v>0</v>
      </c>
      <c r="H55" s="2">
        <f t="shared" si="108"/>
        <v>0</v>
      </c>
      <c r="I55" s="2">
        <f t="shared" si="108"/>
        <v>0</v>
      </c>
      <c r="J55" s="2">
        <f t="shared" si="108"/>
        <v>0</v>
      </c>
      <c r="K55" s="2">
        <f t="shared" si="108"/>
        <v>0</v>
      </c>
      <c r="L55" s="2">
        <f t="shared" si="108"/>
        <v>0</v>
      </c>
      <c r="M55" s="2">
        <f t="shared" si="108"/>
        <v>0</v>
      </c>
      <c r="N55" s="2">
        <f t="shared" si="108"/>
        <v>0</v>
      </c>
      <c r="O55" s="2">
        <f t="shared" si="108"/>
        <v>0</v>
      </c>
      <c r="P55" s="2">
        <f t="shared" si="108"/>
        <v>1</v>
      </c>
      <c r="Q55" s="2">
        <f t="shared" si="108"/>
        <v>0</v>
      </c>
      <c r="R55" s="2">
        <f t="shared" si="108"/>
        <v>0</v>
      </c>
      <c r="S55" s="2">
        <f t="shared" si="108"/>
        <v>0</v>
      </c>
      <c r="T55" s="2">
        <f t="shared" si="108"/>
        <v>0</v>
      </c>
      <c r="U55" s="2">
        <f t="shared" si="108"/>
        <v>0</v>
      </c>
      <c r="V55" s="2">
        <f t="shared" si="108"/>
        <v>0</v>
      </c>
      <c r="W55" s="2">
        <f t="shared" si="108"/>
        <v>0</v>
      </c>
      <c r="X55" s="2">
        <f t="shared" si="108"/>
        <v>0</v>
      </c>
      <c r="Y55" s="2">
        <f t="shared" si="108"/>
        <v>0</v>
      </c>
      <c r="Z55" s="2">
        <f t="shared" si="108"/>
        <v>0</v>
      </c>
      <c r="AA55" s="2">
        <f t="shared" si="108"/>
        <v>0</v>
      </c>
      <c r="AB55" s="2">
        <f t="shared" si="108"/>
        <v>0</v>
      </c>
      <c r="AC55" s="2">
        <f t="shared" si="108"/>
        <v>0</v>
      </c>
      <c r="AD55" s="2">
        <f t="shared" si="108"/>
        <v>0</v>
      </c>
      <c r="AE55" s="2">
        <f t="shared" si="108"/>
        <v>0</v>
      </c>
      <c r="AF55" s="2">
        <f t="shared" si="108"/>
        <v>0</v>
      </c>
      <c r="AG55" s="2">
        <f t="shared" si="108"/>
        <v>0</v>
      </c>
      <c r="AH55" s="2">
        <f t="shared" si="108"/>
        <v>0</v>
      </c>
      <c r="AI55" s="2">
        <f t="shared" si="108"/>
        <v>0</v>
      </c>
      <c r="AJ55" s="2">
        <f t="shared" si="108"/>
        <v>0</v>
      </c>
      <c r="AK55" s="2">
        <f t="shared" si="108"/>
        <v>0</v>
      </c>
      <c r="AL55" s="2">
        <f t="shared" si="108"/>
        <v>0</v>
      </c>
      <c r="AM55" s="2">
        <f t="shared" si="108"/>
        <v>0</v>
      </c>
      <c r="AN55" s="2">
        <f t="shared" si="108"/>
        <v>0</v>
      </c>
      <c r="AO55" s="2">
        <f t="shared" si="108"/>
        <v>0</v>
      </c>
      <c r="AP55" s="2">
        <f t="shared" si="108"/>
        <v>0</v>
      </c>
      <c r="AQ55" s="2">
        <f t="shared" si="108"/>
        <v>0</v>
      </c>
      <c r="AR55" s="2">
        <f t="shared" si="108"/>
        <v>0</v>
      </c>
    </row>
    <row r="56" spans="3:44">
      <c r="C56" s="2">
        <f t="shared" ref="C56:AR56" si="109">BowlSplit(C19,$C$41)</f>
        <v>0</v>
      </c>
      <c r="D56" s="2">
        <f t="shared" si="109"/>
        <v>0</v>
      </c>
      <c r="E56" s="2">
        <f t="shared" si="109"/>
        <v>0</v>
      </c>
      <c r="F56" s="2">
        <f t="shared" si="109"/>
        <v>0</v>
      </c>
      <c r="G56" s="2">
        <f t="shared" si="109"/>
        <v>0</v>
      </c>
      <c r="H56" s="2">
        <f t="shared" si="109"/>
        <v>0</v>
      </c>
      <c r="I56" s="2">
        <f t="shared" si="109"/>
        <v>0</v>
      </c>
      <c r="J56" s="2">
        <f t="shared" si="109"/>
        <v>0</v>
      </c>
      <c r="K56" s="2">
        <f t="shared" si="109"/>
        <v>0</v>
      </c>
      <c r="L56" s="2">
        <f t="shared" si="109"/>
        <v>0</v>
      </c>
      <c r="M56" s="2">
        <f t="shared" si="109"/>
        <v>0</v>
      </c>
      <c r="N56" s="2">
        <f t="shared" si="109"/>
        <v>0</v>
      </c>
      <c r="O56" s="2">
        <f t="shared" si="109"/>
        <v>0</v>
      </c>
      <c r="P56" s="2">
        <f t="shared" si="109"/>
        <v>0</v>
      </c>
      <c r="Q56" s="2">
        <f t="shared" si="109"/>
        <v>0</v>
      </c>
      <c r="R56" s="2">
        <f t="shared" si="109"/>
        <v>0</v>
      </c>
      <c r="S56" s="2">
        <f t="shared" si="109"/>
        <v>0</v>
      </c>
      <c r="T56" s="2">
        <f t="shared" si="109"/>
        <v>0</v>
      </c>
      <c r="U56" s="2">
        <f t="shared" si="109"/>
        <v>0</v>
      </c>
      <c r="V56" s="2">
        <f t="shared" si="109"/>
        <v>0</v>
      </c>
      <c r="W56" s="2">
        <f t="shared" si="109"/>
        <v>0</v>
      </c>
      <c r="X56" s="2">
        <f t="shared" si="109"/>
        <v>0</v>
      </c>
      <c r="Y56" s="2">
        <f t="shared" si="109"/>
        <v>0</v>
      </c>
      <c r="Z56" s="2">
        <f t="shared" si="109"/>
        <v>0</v>
      </c>
      <c r="AA56" s="2">
        <f t="shared" si="109"/>
        <v>0</v>
      </c>
      <c r="AB56" s="2">
        <f t="shared" si="109"/>
        <v>0</v>
      </c>
      <c r="AC56" s="2">
        <f t="shared" si="109"/>
        <v>0</v>
      </c>
      <c r="AD56" s="2">
        <f t="shared" si="109"/>
        <v>0</v>
      </c>
      <c r="AE56" s="2">
        <f t="shared" si="109"/>
        <v>0</v>
      </c>
      <c r="AF56" s="2">
        <f t="shared" si="109"/>
        <v>0</v>
      </c>
      <c r="AG56" s="2">
        <f t="shared" si="109"/>
        <v>0</v>
      </c>
      <c r="AH56" s="2">
        <f t="shared" si="109"/>
        <v>0</v>
      </c>
      <c r="AI56" s="2">
        <f t="shared" si="109"/>
        <v>0</v>
      </c>
      <c r="AJ56" s="2">
        <f t="shared" si="109"/>
        <v>0</v>
      </c>
      <c r="AK56" s="2">
        <f t="shared" si="109"/>
        <v>0</v>
      </c>
      <c r="AL56" s="2">
        <f t="shared" si="109"/>
        <v>0</v>
      </c>
      <c r="AM56" s="2">
        <f t="shared" si="109"/>
        <v>0</v>
      </c>
      <c r="AN56" s="2">
        <f t="shared" si="109"/>
        <v>0</v>
      </c>
      <c r="AO56" s="2">
        <f t="shared" si="109"/>
        <v>0</v>
      </c>
      <c r="AP56" s="2">
        <f t="shared" si="109"/>
        <v>0</v>
      </c>
      <c r="AQ56" s="2">
        <f t="shared" si="109"/>
        <v>0</v>
      </c>
      <c r="AR56" s="2">
        <f t="shared" si="109"/>
        <v>0</v>
      </c>
    </row>
    <row r="57" spans="3:44">
      <c r="C57" s="2">
        <f t="shared" ref="C57:AR57" si="110">BowlSplit(C20,$C$41)</f>
        <v>0</v>
      </c>
      <c r="D57" s="2">
        <f t="shared" si="110"/>
        <v>0</v>
      </c>
      <c r="E57" s="2">
        <f t="shared" si="110"/>
        <v>0</v>
      </c>
      <c r="F57" s="2">
        <f t="shared" si="110"/>
        <v>0</v>
      </c>
      <c r="G57" s="2">
        <f t="shared" si="110"/>
        <v>0</v>
      </c>
      <c r="H57" s="2">
        <f t="shared" si="110"/>
        <v>0</v>
      </c>
      <c r="I57" s="2">
        <f t="shared" si="110"/>
        <v>0</v>
      </c>
      <c r="J57" s="2">
        <f t="shared" si="110"/>
        <v>0</v>
      </c>
      <c r="K57" s="2">
        <f t="shared" si="110"/>
        <v>0</v>
      </c>
      <c r="L57" s="2">
        <f t="shared" si="110"/>
        <v>0</v>
      </c>
      <c r="M57" s="2">
        <f t="shared" si="110"/>
        <v>0</v>
      </c>
      <c r="N57" s="2">
        <f t="shared" si="110"/>
        <v>0</v>
      </c>
      <c r="O57" s="2">
        <f t="shared" si="110"/>
        <v>0</v>
      </c>
      <c r="P57" s="2">
        <f t="shared" si="110"/>
        <v>0</v>
      </c>
      <c r="Q57" s="2">
        <f t="shared" si="110"/>
        <v>0</v>
      </c>
      <c r="R57" s="2">
        <f t="shared" si="110"/>
        <v>0</v>
      </c>
      <c r="S57" s="2">
        <f t="shared" si="110"/>
        <v>1</v>
      </c>
      <c r="T57" s="2">
        <f t="shared" si="110"/>
        <v>0</v>
      </c>
      <c r="U57" s="2">
        <f t="shared" si="110"/>
        <v>0</v>
      </c>
      <c r="V57" s="2">
        <f t="shared" si="110"/>
        <v>0</v>
      </c>
      <c r="W57" s="2">
        <f t="shared" si="110"/>
        <v>0</v>
      </c>
      <c r="X57" s="2">
        <f t="shared" si="110"/>
        <v>0</v>
      </c>
      <c r="Y57" s="2">
        <f t="shared" si="110"/>
        <v>0</v>
      </c>
      <c r="Z57" s="2">
        <f t="shared" si="110"/>
        <v>0</v>
      </c>
      <c r="AA57" s="2">
        <f t="shared" si="110"/>
        <v>0</v>
      </c>
      <c r="AB57" s="2">
        <f t="shared" si="110"/>
        <v>0</v>
      </c>
      <c r="AC57" s="2">
        <f t="shared" si="110"/>
        <v>0</v>
      </c>
      <c r="AD57" s="2">
        <f t="shared" si="110"/>
        <v>0</v>
      </c>
      <c r="AE57" s="2">
        <f t="shared" si="110"/>
        <v>0</v>
      </c>
      <c r="AF57" s="2">
        <f t="shared" si="110"/>
        <v>0</v>
      </c>
      <c r="AG57" s="2">
        <f t="shared" si="110"/>
        <v>0</v>
      </c>
      <c r="AH57" s="2">
        <f t="shared" si="110"/>
        <v>0</v>
      </c>
      <c r="AI57" s="2">
        <f t="shared" si="110"/>
        <v>0</v>
      </c>
      <c r="AJ57" s="2">
        <f t="shared" si="110"/>
        <v>0</v>
      </c>
      <c r="AK57" s="2">
        <f t="shared" si="110"/>
        <v>0</v>
      </c>
      <c r="AL57" s="2">
        <f t="shared" si="110"/>
        <v>0</v>
      </c>
      <c r="AM57" s="2">
        <f t="shared" si="110"/>
        <v>0</v>
      </c>
      <c r="AN57" s="2">
        <f t="shared" si="110"/>
        <v>0</v>
      </c>
      <c r="AO57" s="2">
        <f t="shared" si="110"/>
        <v>0</v>
      </c>
      <c r="AP57" s="2">
        <f t="shared" si="110"/>
        <v>0</v>
      </c>
      <c r="AQ57" s="2">
        <f t="shared" si="110"/>
        <v>0</v>
      </c>
      <c r="AR57" s="2">
        <f t="shared" si="110"/>
        <v>0</v>
      </c>
    </row>
    <row r="58" spans="3:44">
      <c r="C58" s="2">
        <f t="shared" ref="C58:AR58" si="111">BowlSplit(C21,$C$41)</f>
        <v>0</v>
      </c>
      <c r="D58" s="2">
        <f t="shared" si="111"/>
        <v>0</v>
      </c>
      <c r="E58" s="2">
        <f t="shared" si="111"/>
        <v>0</v>
      </c>
      <c r="F58" s="2">
        <f t="shared" si="111"/>
        <v>0</v>
      </c>
      <c r="G58" s="2">
        <f t="shared" si="111"/>
        <v>0</v>
      </c>
      <c r="H58" s="2">
        <f t="shared" si="111"/>
        <v>0</v>
      </c>
      <c r="I58" s="2">
        <f t="shared" si="111"/>
        <v>0</v>
      </c>
      <c r="J58" s="2">
        <f t="shared" si="111"/>
        <v>0</v>
      </c>
      <c r="K58" s="2">
        <f t="shared" si="111"/>
        <v>0</v>
      </c>
      <c r="L58" s="2">
        <f t="shared" si="111"/>
        <v>0</v>
      </c>
      <c r="M58" s="2">
        <f t="shared" si="111"/>
        <v>0</v>
      </c>
      <c r="N58" s="2">
        <f t="shared" si="111"/>
        <v>0</v>
      </c>
      <c r="O58" s="2">
        <f t="shared" si="111"/>
        <v>0</v>
      </c>
      <c r="P58" s="2">
        <f t="shared" si="111"/>
        <v>0</v>
      </c>
      <c r="Q58" s="2">
        <f t="shared" si="111"/>
        <v>0</v>
      </c>
      <c r="R58" s="2">
        <f t="shared" si="111"/>
        <v>0</v>
      </c>
      <c r="S58" s="2">
        <f t="shared" si="111"/>
        <v>0</v>
      </c>
      <c r="T58" s="2">
        <f t="shared" si="111"/>
        <v>0</v>
      </c>
      <c r="U58" s="2">
        <f t="shared" si="111"/>
        <v>0</v>
      </c>
      <c r="V58" s="2">
        <f t="shared" si="111"/>
        <v>0</v>
      </c>
      <c r="W58" s="2">
        <f t="shared" si="111"/>
        <v>0</v>
      </c>
      <c r="X58" s="2">
        <f t="shared" si="111"/>
        <v>0</v>
      </c>
      <c r="Y58" s="2">
        <f t="shared" si="111"/>
        <v>0</v>
      </c>
      <c r="Z58" s="2">
        <f t="shared" si="111"/>
        <v>0</v>
      </c>
      <c r="AA58" s="2">
        <f t="shared" si="111"/>
        <v>0</v>
      </c>
      <c r="AB58" s="2">
        <f t="shared" si="111"/>
        <v>0</v>
      </c>
      <c r="AC58" s="2">
        <f t="shared" si="111"/>
        <v>0</v>
      </c>
      <c r="AD58" s="2">
        <f t="shared" si="111"/>
        <v>0</v>
      </c>
      <c r="AE58" s="2">
        <f t="shared" si="111"/>
        <v>0</v>
      </c>
      <c r="AF58" s="2">
        <f t="shared" si="111"/>
        <v>0</v>
      </c>
      <c r="AG58" s="2">
        <f t="shared" si="111"/>
        <v>0</v>
      </c>
      <c r="AH58" s="2">
        <f t="shared" si="111"/>
        <v>0</v>
      </c>
      <c r="AI58" s="2">
        <f t="shared" si="111"/>
        <v>0</v>
      </c>
      <c r="AJ58" s="2">
        <f t="shared" si="111"/>
        <v>0</v>
      </c>
      <c r="AK58" s="2">
        <f t="shared" si="111"/>
        <v>0</v>
      </c>
      <c r="AL58" s="2">
        <f t="shared" si="111"/>
        <v>0</v>
      </c>
      <c r="AM58" s="2">
        <f t="shared" si="111"/>
        <v>0</v>
      </c>
      <c r="AN58" s="2">
        <f t="shared" si="111"/>
        <v>0</v>
      </c>
      <c r="AO58" s="2">
        <f t="shared" si="111"/>
        <v>0</v>
      </c>
      <c r="AP58" s="2">
        <f t="shared" si="111"/>
        <v>0</v>
      </c>
      <c r="AQ58" s="2">
        <f t="shared" si="111"/>
        <v>0</v>
      </c>
      <c r="AR58" s="2">
        <f t="shared" si="111"/>
        <v>0</v>
      </c>
    </row>
    <row r="59" spans="3:44">
      <c r="C59" s="2">
        <f t="shared" ref="C59:AR59" si="112">BowlSplit(C22,$C$41)</f>
        <v>0</v>
      </c>
      <c r="D59" s="2">
        <f t="shared" si="112"/>
        <v>0</v>
      </c>
      <c r="E59" s="2">
        <f t="shared" si="112"/>
        <v>0</v>
      </c>
      <c r="F59" s="2">
        <f t="shared" si="112"/>
        <v>0</v>
      </c>
      <c r="G59" s="2">
        <f t="shared" si="112"/>
        <v>0</v>
      </c>
      <c r="H59" s="2">
        <f t="shared" si="112"/>
        <v>0</v>
      </c>
      <c r="I59" s="2">
        <f t="shared" si="112"/>
        <v>0</v>
      </c>
      <c r="J59" s="2">
        <f t="shared" si="112"/>
        <v>0</v>
      </c>
      <c r="K59" s="2">
        <f t="shared" si="112"/>
        <v>0</v>
      </c>
      <c r="L59" s="2">
        <f t="shared" si="112"/>
        <v>0</v>
      </c>
      <c r="M59" s="2">
        <f t="shared" si="112"/>
        <v>0</v>
      </c>
      <c r="N59" s="2">
        <f t="shared" si="112"/>
        <v>0</v>
      </c>
      <c r="O59" s="2">
        <f t="shared" si="112"/>
        <v>0</v>
      </c>
      <c r="P59" s="2">
        <f t="shared" si="112"/>
        <v>0</v>
      </c>
      <c r="Q59" s="2">
        <f t="shared" si="112"/>
        <v>0</v>
      </c>
      <c r="R59" s="2">
        <f t="shared" si="112"/>
        <v>0</v>
      </c>
      <c r="S59" s="2">
        <f t="shared" si="112"/>
        <v>0</v>
      </c>
      <c r="T59" s="2">
        <f t="shared" si="112"/>
        <v>1</v>
      </c>
      <c r="U59" s="2">
        <f t="shared" si="112"/>
        <v>0</v>
      </c>
      <c r="V59" s="2">
        <f t="shared" si="112"/>
        <v>0</v>
      </c>
      <c r="W59" s="2">
        <f t="shared" si="112"/>
        <v>0</v>
      </c>
      <c r="X59" s="2">
        <f t="shared" si="112"/>
        <v>0</v>
      </c>
      <c r="Y59" s="2">
        <f t="shared" si="112"/>
        <v>0</v>
      </c>
      <c r="Z59" s="2">
        <f t="shared" si="112"/>
        <v>0</v>
      </c>
      <c r="AA59" s="2">
        <f t="shared" si="112"/>
        <v>0</v>
      </c>
      <c r="AB59" s="2">
        <f t="shared" si="112"/>
        <v>0</v>
      </c>
      <c r="AC59" s="2">
        <f t="shared" si="112"/>
        <v>0</v>
      </c>
      <c r="AD59" s="2">
        <f t="shared" si="112"/>
        <v>0</v>
      </c>
      <c r="AE59" s="2">
        <f t="shared" si="112"/>
        <v>0</v>
      </c>
      <c r="AF59" s="2">
        <f t="shared" si="112"/>
        <v>0</v>
      </c>
      <c r="AG59" s="2">
        <f t="shared" si="112"/>
        <v>0</v>
      </c>
      <c r="AH59" s="2">
        <f t="shared" si="112"/>
        <v>0</v>
      </c>
      <c r="AI59" s="2">
        <f t="shared" si="112"/>
        <v>0</v>
      </c>
      <c r="AJ59" s="2">
        <f t="shared" si="112"/>
        <v>0</v>
      </c>
      <c r="AK59" s="2">
        <f t="shared" si="112"/>
        <v>0</v>
      </c>
      <c r="AL59" s="2">
        <f t="shared" si="112"/>
        <v>0</v>
      </c>
      <c r="AM59" s="2">
        <f t="shared" si="112"/>
        <v>0</v>
      </c>
      <c r="AN59" s="2">
        <f t="shared" si="112"/>
        <v>0</v>
      </c>
      <c r="AO59" s="2">
        <f t="shared" si="112"/>
        <v>0</v>
      </c>
      <c r="AP59" s="2">
        <f t="shared" si="112"/>
        <v>0</v>
      </c>
      <c r="AQ59" s="2">
        <f t="shared" si="112"/>
        <v>0</v>
      </c>
      <c r="AR59" s="2">
        <f t="shared" si="112"/>
        <v>0</v>
      </c>
    </row>
    <row r="60" spans="3:44">
      <c r="C60" s="2">
        <f t="shared" ref="C60:AR60" si="113">BowlSplit(C23,$C$41)</f>
        <v>0</v>
      </c>
      <c r="D60" s="2">
        <f t="shared" si="113"/>
        <v>5</v>
      </c>
      <c r="E60" s="2">
        <f t="shared" si="113"/>
        <v>2</v>
      </c>
      <c r="F60" s="2">
        <f t="shared" si="113"/>
        <v>1</v>
      </c>
      <c r="G60" s="2">
        <f t="shared" si="113"/>
        <v>5</v>
      </c>
      <c r="H60" s="2">
        <f t="shared" si="113"/>
        <v>0</v>
      </c>
      <c r="I60" s="2">
        <f t="shared" si="113"/>
        <v>2</v>
      </c>
      <c r="J60" s="2">
        <f t="shared" si="113"/>
        <v>0</v>
      </c>
      <c r="K60" s="2">
        <f t="shared" si="113"/>
        <v>0</v>
      </c>
      <c r="L60" s="2">
        <f t="shared" si="113"/>
        <v>0</v>
      </c>
      <c r="M60" s="2">
        <f t="shared" si="113"/>
        <v>0</v>
      </c>
      <c r="N60" s="2">
        <f t="shared" si="113"/>
        <v>0</v>
      </c>
      <c r="O60" s="2">
        <f t="shared" si="113"/>
        <v>0</v>
      </c>
      <c r="P60" s="2">
        <f t="shared" si="113"/>
        <v>0</v>
      </c>
      <c r="Q60" s="2">
        <f t="shared" si="113"/>
        <v>0</v>
      </c>
      <c r="R60" s="2">
        <f t="shared" si="113"/>
        <v>1</v>
      </c>
      <c r="S60" s="2">
        <f t="shared" si="113"/>
        <v>0</v>
      </c>
      <c r="T60" s="2">
        <f t="shared" si="113"/>
        <v>0</v>
      </c>
      <c r="U60" s="2">
        <f t="shared" si="113"/>
        <v>0</v>
      </c>
      <c r="V60" s="2">
        <f t="shared" si="113"/>
        <v>0</v>
      </c>
      <c r="W60" s="2">
        <f t="shared" si="113"/>
        <v>0</v>
      </c>
      <c r="X60" s="2">
        <f t="shared" si="113"/>
        <v>0</v>
      </c>
      <c r="Y60" s="2">
        <f t="shared" si="113"/>
        <v>0</v>
      </c>
      <c r="Z60" s="2">
        <f t="shared" si="113"/>
        <v>0</v>
      </c>
      <c r="AA60" s="2">
        <f t="shared" si="113"/>
        <v>0</v>
      </c>
      <c r="AB60" s="2">
        <f t="shared" si="113"/>
        <v>0</v>
      </c>
      <c r="AC60" s="2">
        <f t="shared" si="113"/>
        <v>0</v>
      </c>
      <c r="AD60" s="2">
        <f t="shared" si="113"/>
        <v>0</v>
      </c>
      <c r="AE60" s="2">
        <f t="shared" si="113"/>
        <v>0</v>
      </c>
      <c r="AF60" s="2">
        <f t="shared" si="113"/>
        <v>0</v>
      </c>
      <c r="AG60" s="2">
        <f t="shared" si="113"/>
        <v>0</v>
      </c>
      <c r="AH60" s="2">
        <f t="shared" si="113"/>
        <v>0</v>
      </c>
      <c r="AI60" s="2">
        <f t="shared" si="113"/>
        <v>0</v>
      </c>
      <c r="AJ60" s="2">
        <f t="shared" si="113"/>
        <v>0</v>
      </c>
      <c r="AK60" s="2">
        <f t="shared" si="113"/>
        <v>0</v>
      </c>
      <c r="AL60" s="2">
        <f t="shared" si="113"/>
        <v>0</v>
      </c>
      <c r="AM60" s="2">
        <f t="shared" si="113"/>
        <v>0</v>
      </c>
      <c r="AN60" s="2">
        <f t="shared" si="113"/>
        <v>0</v>
      </c>
      <c r="AO60" s="2">
        <f t="shared" si="113"/>
        <v>0</v>
      </c>
      <c r="AP60" s="2">
        <f t="shared" si="113"/>
        <v>0</v>
      </c>
      <c r="AQ60" s="2">
        <f t="shared" si="113"/>
        <v>0</v>
      </c>
      <c r="AR60" s="2">
        <f t="shared" si="113"/>
        <v>0</v>
      </c>
    </row>
    <row r="61" spans="3:44">
      <c r="C61" s="2">
        <f t="shared" ref="C61:AR61" si="114">BowlSplit(C24,$C$41)</f>
        <v>0</v>
      </c>
      <c r="D61" s="2">
        <f t="shared" si="114"/>
        <v>0</v>
      </c>
      <c r="E61" s="2">
        <f t="shared" si="114"/>
        <v>0</v>
      </c>
      <c r="F61" s="2">
        <f t="shared" si="114"/>
        <v>0</v>
      </c>
      <c r="G61" s="2">
        <f t="shared" si="114"/>
        <v>0</v>
      </c>
      <c r="H61" s="2">
        <f t="shared" si="114"/>
        <v>0</v>
      </c>
      <c r="I61" s="2">
        <f t="shared" si="114"/>
        <v>0</v>
      </c>
      <c r="J61" s="2">
        <f t="shared" si="114"/>
        <v>0</v>
      </c>
      <c r="K61" s="2">
        <f t="shared" si="114"/>
        <v>0</v>
      </c>
      <c r="L61" s="2">
        <f t="shared" si="114"/>
        <v>0</v>
      </c>
      <c r="M61" s="2">
        <f t="shared" si="114"/>
        <v>0</v>
      </c>
      <c r="N61" s="2">
        <f t="shared" si="114"/>
        <v>0</v>
      </c>
      <c r="O61" s="2">
        <f t="shared" si="114"/>
        <v>0</v>
      </c>
      <c r="P61" s="2">
        <f t="shared" si="114"/>
        <v>0</v>
      </c>
      <c r="Q61" s="2">
        <f t="shared" si="114"/>
        <v>0</v>
      </c>
      <c r="R61" s="2">
        <f t="shared" si="114"/>
        <v>0</v>
      </c>
      <c r="S61" s="2">
        <f t="shared" si="114"/>
        <v>2</v>
      </c>
      <c r="T61" s="2">
        <f t="shared" si="114"/>
        <v>0</v>
      </c>
      <c r="U61" s="2">
        <f t="shared" si="114"/>
        <v>0</v>
      </c>
      <c r="V61" s="2">
        <f t="shared" si="114"/>
        <v>0</v>
      </c>
      <c r="W61" s="2">
        <f t="shared" si="114"/>
        <v>0</v>
      </c>
      <c r="X61" s="2">
        <f t="shared" si="114"/>
        <v>0</v>
      </c>
      <c r="Y61" s="2">
        <f t="shared" si="114"/>
        <v>0</v>
      </c>
      <c r="Z61" s="2">
        <f t="shared" si="114"/>
        <v>0</v>
      </c>
      <c r="AA61" s="2">
        <f t="shared" si="114"/>
        <v>0</v>
      </c>
      <c r="AB61" s="2">
        <f t="shared" si="114"/>
        <v>0</v>
      </c>
      <c r="AC61" s="2">
        <f t="shared" si="114"/>
        <v>0</v>
      </c>
      <c r="AD61" s="2">
        <f t="shared" si="114"/>
        <v>0</v>
      </c>
      <c r="AE61" s="2">
        <f t="shared" si="114"/>
        <v>0</v>
      </c>
      <c r="AF61" s="2">
        <f t="shared" si="114"/>
        <v>0</v>
      </c>
      <c r="AG61" s="2">
        <f t="shared" si="114"/>
        <v>0</v>
      </c>
      <c r="AH61" s="2">
        <f t="shared" si="114"/>
        <v>0</v>
      </c>
      <c r="AI61" s="2">
        <f t="shared" si="114"/>
        <v>0</v>
      </c>
      <c r="AJ61" s="2">
        <f t="shared" si="114"/>
        <v>0</v>
      </c>
      <c r="AK61" s="2">
        <f t="shared" si="114"/>
        <v>0</v>
      </c>
      <c r="AL61" s="2">
        <f t="shared" si="114"/>
        <v>0</v>
      </c>
      <c r="AM61" s="2">
        <f t="shared" si="114"/>
        <v>0</v>
      </c>
      <c r="AN61" s="2">
        <f t="shared" si="114"/>
        <v>0</v>
      </c>
      <c r="AO61" s="2">
        <f t="shared" si="114"/>
        <v>0</v>
      </c>
      <c r="AP61" s="2">
        <f t="shared" si="114"/>
        <v>0</v>
      </c>
      <c r="AQ61" s="2">
        <f t="shared" si="114"/>
        <v>0</v>
      </c>
      <c r="AR61" s="2">
        <f t="shared" si="114"/>
        <v>0</v>
      </c>
    </row>
    <row r="62" spans="3:44">
      <c r="C62" s="2">
        <f t="shared" ref="C62:AR62" si="115">BowlSplit(C25,$C$41)</f>
        <v>0</v>
      </c>
      <c r="D62" s="2">
        <f t="shared" si="115"/>
        <v>0</v>
      </c>
      <c r="E62" s="2">
        <f t="shared" si="115"/>
        <v>0</v>
      </c>
      <c r="F62" s="2">
        <f t="shared" si="115"/>
        <v>0</v>
      </c>
      <c r="G62" s="2">
        <f t="shared" si="115"/>
        <v>1</v>
      </c>
      <c r="H62" s="2">
        <f t="shared" si="115"/>
        <v>2</v>
      </c>
      <c r="I62" s="2">
        <f t="shared" si="115"/>
        <v>0</v>
      </c>
      <c r="J62" s="2">
        <f t="shared" si="115"/>
        <v>2</v>
      </c>
      <c r="K62" s="2">
        <f t="shared" si="115"/>
        <v>0</v>
      </c>
      <c r="L62" s="2">
        <f t="shared" si="115"/>
        <v>0</v>
      </c>
      <c r="M62" s="2">
        <f t="shared" si="115"/>
        <v>1</v>
      </c>
      <c r="N62" s="2">
        <f t="shared" si="115"/>
        <v>5</v>
      </c>
      <c r="O62" s="2">
        <f t="shared" si="115"/>
        <v>0</v>
      </c>
      <c r="P62" s="2">
        <f t="shared" si="115"/>
        <v>1</v>
      </c>
      <c r="Q62" s="2">
        <f t="shared" si="115"/>
        <v>0</v>
      </c>
      <c r="R62" s="2">
        <f t="shared" si="115"/>
        <v>0</v>
      </c>
      <c r="S62" s="2">
        <f t="shared" si="115"/>
        <v>1</v>
      </c>
      <c r="T62" s="2">
        <f t="shared" si="115"/>
        <v>3</v>
      </c>
      <c r="U62" s="2">
        <f t="shared" si="115"/>
        <v>0</v>
      </c>
      <c r="V62" s="2">
        <f t="shared" si="115"/>
        <v>0</v>
      </c>
      <c r="W62" s="2">
        <f t="shared" si="115"/>
        <v>0</v>
      </c>
      <c r="X62" s="2">
        <f t="shared" si="115"/>
        <v>0</v>
      </c>
      <c r="Y62" s="2">
        <f t="shared" si="115"/>
        <v>0</v>
      </c>
      <c r="Z62" s="2">
        <f t="shared" si="115"/>
        <v>0</v>
      </c>
      <c r="AA62" s="2">
        <f t="shared" si="115"/>
        <v>0</v>
      </c>
      <c r="AB62" s="2">
        <f t="shared" si="115"/>
        <v>0</v>
      </c>
      <c r="AC62" s="2">
        <f t="shared" si="115"/>
        <v>0</v>
      </c>
      <c r="AD62" s="2">
        <f t="shared" si="115"/>
        <v>0</v>
      </c>
      <c r="AE62" s="2">
        <f t="shared" si="115"/>
        <v>0</v>
      </c>
      <c r="AF62" s="2">
        <f t="shared" si="115"/>
        <v>0</v>
      </c>
      <c r="AG62" s="2">
        <f t="shared" si="115"/>
        <v>0</v>
      </c>
      <c r="AH62" s="2">
        <f t="shared" si="115"/>
        <v>0</v>
      </c>
      <c r="AI62" s="2">
        <f t="shared" si="115"/>
        <v>0</v>
      </c>
      <c r="AJ62" s="2">
        <f t="shared" si="115"/>
        <v>0</v>
      </c>
      <c r="AK62" s="2">
        <f t="shared" si="115"/>
        <v>0</v>
      </c>
      <c r="AL62" s="2">
        <f t="shared" si="115"/>
        <v>0</v>
      </c>
      <c r="AM62" s="2">
        <f t="shared" si="115"/>
        <v>0</v>
      </c>
      <c r="AN62" s="2">
        <f t="shared" si="115"/>
        <v>0</v>
      </c>
      <c r="AO62" s="2">
        <f t="shared" si="115"/>
        <v>0</v>
      </c>
      <c r="AP62" s="2">
        <f t="shared" si="115"/>
        <v>0</v>
      </c>
      <c r="AQ62" s="2">
        <f t="shared" si="115"/>
        <v>0</v>
      </c>
      <c r="AR62" s="2">
        <f t="shared" si="115"/>
        <v>0</v>
      </c>
    </row>
    <row r="63" spans="3:44">
      <c r="C63" s="2">
        <f t="shared" ref="C63:AR63" si="116">BowlSplit(C26,$C$41)</f>
        <v>0</v>
      </c>
      <c r="D63" s="2">
        <f t="shared" si="116"/>
        <v>0</v>
      </c>
      <c r="E63" s="2">
        <f t="shared" si="116"/>
        <v>0</v>
      </c>
      <c r="F63" s="2">
        <f t="shared" si="116"/>
        <v>0</v>
      </c>
      <c r="G63" s="2">
        <f t="shared" si="116"/>
        <v>0</v>
      </c>
      <c r="H63" s="2">
        <f t="shared" si="116"/>
        <v>0</v>
      </c>
      <c r="I63" s="2">
        <f t="shared" si="116"/>
        <v>1</v>
      </c>
      <c r="J63" s="2">
        <f t="shared" si="116"/>
        <v>0</v>
      </c>
      <c r="K63" s="2">
        <f t="shared" si="116"/>
        <v>0</v>
      </c>
      <c r="L63" s="2">
        <f t="shared" si="116"/>
        <v>2</v>
      </c>
      <c r="M63" s="2">
        <f t="shared" si="116"/>
        <v>0</v>
      </c>
      <c r="N63" s="2">
        <f t="shared" si="116"/>
        <v>0</v>
      </c>
      <c r="O63" s="2">
        <f t="shared" si="116"/>
        <v>0</v>
      </c>
      <c r="P63" s="2">
        <f t="shared" si="116"/>
        <v>0</v>
      </c>
      <c r="Q63" s="2">
        <f t="shared" si="116"/>
        <v>0</v>
      </c>
      <c r="R63" s="2">
        <f t="shared" si="116"/>
        <v>1</v>
      </c>
      <c r="S63" s="2">
        <f t="shared" si="116"/>
        <v>0</v>
      </c>
      <c r="T63" s="2">
        <f t="shared" si="116"/>
        <v>2</v>
      </c>
      <c r="U63" s="2">
        <f t="shared" si="116"/>
        <v>0</v>
      </c>
      <c r="V63" s="2">
        <f t="shared" si="116"/>
        <v>0</v>
      </c>
      <c r="W63" s="2">
        <f t="shared" si="116"/>
        <v>0</v>
      </c>
      <c r="X63" s="2">
        <f t="shared" si="116"/>
        <v>0</v>
      </c>
      <c r="Y63" s="2">
        <f t="shared" si="116"/>
        <v>0</v>
      </c>
      <c r="Z63" s="2">
        <f t="shared" si="116"/>
        <v>0</v>
      </c>
      <c r="AA63" s="2">
        <f t="shared" si="116"/>
        <v>0</v>
      </c>
      <c r="AB63" s="2">
        <f t="shared" si="116"/>
        <v>0</v>
      </c>
      <c r="AC63" s="2">
        <f t="shared" si="116"/>
        <v>0</v>
      </c>
      <c r="AD63" s="2">
        <f t="shared" si="116"/>
        <v>0</v>
      </c>
      <c r="AE63" s="2">
        <f t="shared" si="116"/>
        <v>0</v>
      </c>
      <c r="AF63" s="2">
        <f t="shared" si="116"/>
        <v>0</v>
      </c>
      <c r="AG63" s="2">
        <f t="shared" si="116"/>
        <v>0</v>
      </c>
      <c r="AH63" s="2">
        <f t="shared" si="116"/>
        <v>0</v>
      </c>
      <c r="AI63" s="2">
        <f t="shared" si="116"/>
        <v>0</v>
      </c>
      <c r="AJ63" s="2">
        <f t="shared" si="116"/>
        <v>0</v>
      </c>
      <c r="AK63" s="2">
        <f t="shared" si="116"/>
        <v>0</v>
      </c>
      <c r="AL63" s="2">
        <f t="shared" si="116"/>
        <v>0</v>
      </c>
      <c r="AM63" s="2">
        <f t="shared" si="116"/>
        <v>0</v>
      </c>
      <c r="AN63" s="2">
        <f t="shared" si="116"/>
        <v>0</v>
      </c>
      <c r="AO63" s="2">
        <f t="shared" si="116"/>
        <v>0</v>
      </c>
      <c r="AP63" s="2">
        <f t="shared" si="116"/>
        <v>0</v>
      </c>
      <c r="AQ63" s="2">
        <f t="shared" si="116"/>
        <v>0</v>
      </c>
      <c r="AR63" s="2">
        <f t="shared" si="116"/>
        <v>0</v>
      </c>
    </row>
    <row r="64" spans="3:44">
      <c r="C64" s="2">
        <f t="shared" ref="C64:AR64" si="117">BowlSplit(C27,$C$41)</f>
        <v>0</v>
      </c>
      <c r="D64" s="2">
        <f t="shared" si="117"/>
        <v>1</v>
      </c>
      <c r="E64" s="2">
        <f t="shared" si="117"/>
        <v>0</v>
      </c>
      <c r="F64" s="2">
        <f t="shared" si="117"/>
        <v>4</v>
      </c>
      <c r="G64" s="2">
        <f t="shared" si="117"/>
        <v>0</v>
      </c>
      <c r="H64" s="2">
        <f t="shared" si="117"/>
        <v>0</v>
      </c>
      <c r="I64" s="2">
        <f t="shared" si="117"/>
        <v>0</v>
      </c>
      <c r="J64" s="2">
        <f t="shared" si="117"/>
        <v>0</v>
      </c>
      <c r="K64" s="2">
        <f t="shared" si="117"/>
        <v>0</v>
      </c>
      <c r="L64" s="2">
        <f t="shared" si="117"/>
        <v>1</v>
      </c>
      <c r="M64" s="2">
        <f t="shared" si="117"/>
        <v>2</v>
      </c>
      <c r="N64" s="2">
        <f t="shared" si="117"/>
        <v>0</v>
      </c>
      <c r="O64" s="2">
        <f t="shared" si="117"/>
        <v>1</v>
      </c>
      <c r="P64" s="2">
        <f t="shared" si="117"/>
        <v>0</v>
      </c>
      <c r="Q64" s="2">
        <f t="shared" si="117"/>
        <v>0</v>
      </c>
      <c r="R64" s="2">
        <f t="shared" si="117"/>
        <v>0</v>
      </c>
      <c r="S64" s="2">
        <f t="shared" si="117"/>
        <v>0</v>
      </c>
      <c r="T64" s="2">
        <f t="shared" si="117"/>
        <v>0</v>
      </c>
      <c r="U64" s="2">
        <f t="shared" si="117"/>
        <v>3</v>
      </c>
      <c r="V64" s="2">
        <f t="shared" si="117"/>
        <v>0</v>
      </c>
      <c r="W64" s="2">
        <f t="shared" si="117"/>
        <v>0</v>
      </c>
      <c r="X64" s="2">
        <f t="shared" si="117"/>
        <v>0</v>
      </c>
      <c r="Y64" s="2">
        <f t="shared" si="117"/>
        <v>0</v>
      </c>
      <c r="Z64" s="2">
        <f t="shared" si="117"/>
        <v>0</v>
      </c>
      <c r="AA64" s="2">
        <f t="shared" si="117"/>
        <v>0</v>
      </c>
      <c r="AB64" s="2">
        <f t="shared" si="117"/>
        <v>0</v>
      </c>
      <c r="AC64" s="2">
        <f t="shared" si="117"/>
        <v>0</v>
      </c>
      <c r="AD64" s="2">
        <f t="shared" si="117"/>
        <v>0</v>
      </c>
      <c r="AE64" s="2">
        <f t="shared" si="117"/>
        <v>0</v>
      </c>
      <c r="AF64" s="2">
        <f t="shared" si="117"/>
        <v>0</v>
      </c>
      <c r="AG64" s="2">
        <f t="shared" si="117"/>
        <v>0</v>
      </c>
      <c r="AH64" s="2">
        <f t="shared" si="117"/>
        <v>0</v>
      </c>
      <c r="AI64" s="2">
        <f t="shared" si="117"/>
        <v>0</v>
      </c>
      <c r="AJ64" s="2">
        <f t="shared" si="117"/>
        <v>0</v>
      </c>
      <c r="AK64" s="2">
        <f t="shared" si="117"/>
        <v>0</v>
      </c>
      <c r="AL64" s="2">
        <f t="shared" si="117"/>
        <v>0</v>
      </c>
      <c r="AM64" s="2">
        <f t="shared" si="117"/>
        <v>0</v>
      </c>
      <c r="AN64" s="2">
        <f t="shared" si="117"/>
        <v>0</v>
      </c>
      <c r="AO64" s="2">
        <f t="shared" si="117"/>
        <v>0</v>
      </c>
      <c r="AP64" s="2">
        <f t="shared" si="117"/>
        <v>0</v>
      </c>
      <c r="AQ64" s="2">
        <f t="shared" si="117"/>
        <v>0</v>
      </c>
      <c r="AR64" s="2">
        <f t="shared" si="117"/>
        <v>0</v>
      </c>
    </row>
    <row r="65" spans="3:44">
      <c r="C65" s="2">
        <f t="shared" ref="C65:AR65" si="118">BowlSplit(C28,$C$41)</f>
        <v>0</v>
      </c>
      <c r="D65" s="2">
        <f t="shared" si="118"/>
        <v>0</v>
      </c>
      <c r="E65" s="2">
        <f t="shared" si="118"/>
        <v>0</v>
      </c>
      <c r="F65" s="2">
        <f t="shared" si="118"/>
        <v>0</v>
      </c>
      <c r="G65" s="2">
        <f t="shared" si="118"/>
        <v>0</v>
      </c>
      <c r="H65" s="2">
        <f t="shared" si="118"/>
        <v>0</v>
      </c>
      <c r="I65" s="2">
        <f t="shared" si="118"/>
        <v>0</v>
      </c>
      <c r="J65" s="2">
        <f t="shared" si="118"/>
        <v>0</v>
      </c>
      <c r="K65" s="2">
        <f t="shared" si="118"/>
        <v>0</v>
      </c>
      <c r="L65" s="2">
        <f t="shared" si="118"/>
        <v>0</v>
      </c>
      <c r="M65" s="2">
        <f t="shared" si="118"/>
        <v>0</v>
      </c>
      <c r="N65" s="2">
        <f t="shared" si="118"/>
        <v>0</v>
      </c>
      <c r="O65" s="2">
        <f t="shared" si="118"/>
        <v>0</v>
      </c>
      <c r="P65" s="2">
        <f t="shared" si="118"/>
        <v>0</v>
      </c>
      <c r="Q65" s="2">
        <f t="shared" si="118"/>
        <v>0</v>
      </c>
      <c r="R65" s="2">
        <f t="shared" si="118"/>
        <v>0</v>
      </c>
      <c r="S65" s="2">
        <f t="shared" si="118"/>
        <v>0</v>
      </c>
      <c r="T65" s="2">
        <f t="shared" si="118"/>
        <v>0</v>
      </c>
      <c r="U65" s="2">
        <f t="shared" si="118"/>
        <v>0</v>
      </c>
      <c r="V65" s="2">
        <f t="shared" si="118"/>
        <v>0</v>
      </c>
      <c r="W65" s="2">
        <f t="shared" si="118"/>
        <v>0</v>
      </c>
      <c r="X65" s="2">
        <f t="shared" si="118"/>
        <v>0</v>
      </c>
      <c r="Y65" s="2">
        <f t="shared" si="118"/>
        <v>0</v>
      </c>
      <c r="Z65" s="2">
        <f t="shared" si="118"/>
        <v>0</v>
      </c>
      <c r="AA65" s="2">
        <f t="shared" si="118"/>
        <v>0</v>
      </c>
      <c r="AB65" s="2">
        <f t="shared" si="118"/>
        <v>0</v>
      </c>
      <c r="AC65" s="2">
        <f t="shared" si="118"/>
        <v>0</v>
      </c>
      <c r="AD65" s="2">
        <f t="shared" si="118"/>
        <v>0</v>
      </c>
      <c r="AE65" s="2">
        <f t="shared" si="118"/>
        <v>0</v>
      </c>
      <c r="AF65" s="2">
        <f t="shared" si="118"/>
        <v>0</v>
      </c>
      <c r="AG65" s="2">
        <f t="shared" si="118"/>
        <v>0</v>
      </c>
      <c r="AH65" s="2">
        <f t="shared" si="118"/>
        <v>0</v>
      </c>
      <c r="AI65" s="2">
        <f t="shared" si="118"/>
        <v>0</v>
      </c>
      <c r="AJ65" s="2">
        <f t="shared" si="118"/>
        <v>0</v>
      </c>
      <c r="AK65" s="2">
        <f t="shared" si="118"/>
        <v>0</v>
      </c>
      <c r="AL65" s="2">
        <f t="shared" si="118"/>
        <v>0</v>
      </c>
      <c r="AM65" s="2">
        <f t="shared" si="118"/>
        <v>0</v>
      </c>
      <c r="AN65" s="2">
        <f t="shared" si="118"/>
        <v>0</v>
      </c>
      <c r="AO65" s="2">
        <f t="shared" si="118"/>
        <v>0</v>
      </c>
      <c r="AP65" s="2">
        <f t="shared" si="118"/>
        <v>0</v>
      </c>
      <c r="AQ65" s="2">
        <f t="shared" si="118"/>
        <v>0</v>
      </c>
      <c r="AR65" s="2">
        <f t="shared" si="118"/>
        <v>0</v>
      </c>
    </row>
    <row r="66" spans="3:44">
      <c r="C66" s="2">
        <f t="shared" ref="C66:AR66" si="119">BowlSplit(C29,$C$41)</f>
        <v>0</v>
      </c>
      <c r="D66" s="2">
        <f t="shared" si="119"/>
        <v>0</v>
      </c>
      <c r="E66" s="2">
        <f t="shared" si="119"/>
        <v>0</v>
      </c>
      <c r="F66" s="2">
        <f t="shared" si="119"/>
        <v>0</v>
      </c>
      <c r="G66" s="2">
        <f t="shared" si="119"/>
        <v>0</v>
      </c>
      <c r="H66" s="2">
        <f t="shared" si="119"/>
        <v>0</v>
      </c>
      <c r="I66" s="2">
        <f t="shared" si="119"/>
        <v>0</v>
      </c>
      <c r="J66" s="2">
        <f t="shared" si="119"/>
        <v>0</v>
      </c>
      <c r="K66" s="2">
        <f t="shared" si="119"/>
        <v>0</v>
      </c>
      <c r="L66" s="2">
        <f t="shared" si="119"/>
        <v>0</v>
      </c>
      <c r="M66" s="2">
        <f t="shared" si="119"/>
        <v>0</v>
      </c>
      <c r="N66" s="2">
        <f t="shared" si="119"/>
        <v>0</v>
      </c>
      <c r="O66" s="2">
        <f t="shared" si="119"/>
        <v>0</v>
      </c>
      <c r="P66" s="2">
        <f t="shared" si="119"/>
        <v>0</v>
      </c>
      <c r="Q66" s="2">
        <f t="shared" si="119"/>
        <v>0</v>
      </c>
      <c r="R66" s="2">
        <f t="shared" si="119"/>
        <v>0</v>
      </c>
      <c r="S66" s="2">
        <f t="shared" si="119"/>
        <v>0</v>
      </c>
      <c r="T66" s="2">
        <f t="shared" si="119"/>
        <v>0</v>
      </c>
      <c r="U66" s="2">
        <f t="shared" si="119"/>
        <v>0</v>
      </c>
      <c r="V66" s="2">
        <f t="shared" si="119"/>
        <v>0</v>
      </c>
      <c r="W66" s="2">
        <f t="shared" si="119"/>
        <v>0</v>
      </c>
      <c r="X66" s="2">
        <f t="shared" si="119"/>
        <v>0</v>
      </c>
      <c r="Y66" s="2">
        <f t="shared" si="119"/>
        <v>0</v>
      </c>
      <c r="Z66" s="2">
        <f t="shared" si="119"/>
        <v>0</v>
      </c>
      <c r="AA66" s="2">
        <f t="shared" si="119"/>
        <v>0</v>
      </c>
      <c r="AB66" s="2">
        <f t="shared" si="119"/>
        <v>0</v>
      </c>
      <c r="AC66" s="2">
        <f t="shared" si="119"/>
        <v>0</v>
      </c>
      <c r="AD66" s="2">
        <f t="shared" si="119"/>
        <v>0</v>
      </c>
      <c r="AE66" s="2">
        <f t="shared" si="119"/>
        <v>0</v>
      </c>
      <c r="AF66" s="2">
        <f t="shared" si="119"/>
        <v>0</v>
      </c>
      <c r="AG66" s="2">
        <f t="shared" si="119"/>
        <v>0</v>
      </c>
      <c r="AH66" s="2">
        <f t="shared" si="119"/>
        <v>0</v>
      </c>
      <c r="AI66" s="2">
        <f t="shared" si="119"/>
        <v>0</v>
      </c>
      <c r="AJ66" s="2">
        <f t="shared" si="119"/>
        <v>0</v>
      </c>
      <c r="AK66" s="2">
        <f t="shared" si="119"/>
        <v>0</v>
      </c>
      <c r="AL66" s="2">
        <f t="shared" si="119"/>
        <v>0</v>
      </c>
      <c r="AM66" s="2">
        <f t="shared" si="119"/>
        <v>0</v>
      </c>
      <c r="AN66" s="2">
        <f t="shared" si="119"/>
        <v>0</v>
      </c>
      <c r="AO66" s="2">
        <f t="shared" si="119"/>
        <v>0</v>
      </c>
      <c r="AP66" s="2">
        <f t="shared" si="119"/>
        <v>0</v>
      </c>
      <c r="AQ66" s="2">
        <f t="shared" si="119"/>
        <v>0</v>
      </c>
      <c r="AR66" s="2">
        <f t="shared" si="119"/>
        <v>0</v>
      </c>
    </row>
    <row r="67" spans="3:44">
      <c r="C67" s="2">
        <f t="shared" ref="C67:AR67" si="120">BowlSplit(C30,$C$41)</f>
        <v>0</v>
      </c>
      <c r="D67" s="2">
        <f t="shared" si="120"/>
        <v>0</v>
      </c>
      <c r="E67" s="2">
        <f t="shared" si="120"/>
        <v>0</v>
      </c>
      <c r="F67" s="2">
        <f t="shared" si="120"/>
        <v>0</v>
      </c>
      <c r="G67" s="2">
        <f t="shared" si="120"/>
        <v>0</v>
      </c>
      <c r="H67" s="2">
        <f t="shared" si="120"/>
        <v>0</v>
      </c>
      <c r="I67" s="2">
        <f t="shared" si="120"/>
        <v>0</v>
      </c>
      <c r="J67" s="2">
        <f t="shared" si="120"/>
        <v>0</v>
      </c>
      <c r="K67" s="2">
        <f t="shared" si="120"/>
        <v>0</v>
      </c>
      <c r="L67" s="2">
        <f t="shared" si="120"/>
        <v>0</v>
      </c>
      <c r="M67" s="2">
        <f t="shared" si="120"/>
        <v>0</v>
      </c>
      <c r="N67" s="2">
        <f t="shared" si="120"/>
        <v>0</v>
      </c>
      <c r="O67" s="2">
        <f t="shared" si="120"/>
        <v>0</v>
      </c>
      <c r="P67" s="2">
        <f t="shared" si="120"/>
        <v>0</v>
      </c>
      <c r="Q67" s="2">
        <f t="shared" si="120"/>
        <v>0</v>
      </c>
      <c r="R67" s="2">
        <f t="shared" si="120"/>
        <v>0</v>
      </c>
      <c r="S67" s="2">
        <f t="shared" si="120"/>
        <v>0</v>
      </c>
      <c r="T67" s="2">
        <f t="shared" si="120"/>
        <v>0</v>
      </c>
      <c r="U67" s="2">
        <f t="shared" si="120"/>
        <v>0</v>
      </c>
      <c r="V67" s="2">
        <f t="shared" si="120"/>
        <v>0</v>
      </c>
      <c r="W67" s="2">
        <f t="shared" si="120"/>
        <v>0</v>
      </c>
      <c r="X67" s="2">
        <f t="shared" si="120"/>
        <v>0</v>
      </c>
      <c r="Y67" s="2">
        <f t="shared" si="120"/>
        <v>0</v>
      </c>
      <c r="Z67" s="2">
        <f t="shared" si="120"/>
        <v>0</v>
      </c>
      <c r="AA67" s="2">
        <f t="shared" si="120"/>
        <v>0</v>
      </c>
      <c r="AB67" s="2">
        <f t="shared" si="120"/>
        <v>0</v>
      </c>
      <c r="AC67" s="2">
        <f t="shared" si="120"/>
        <v>0</v>
      </c>
      <c r="AD67" s="2">
        <f t="shared" si="120"/>
        <v>0</v>
      </c>
      <c r="AE67" s="2">
        <f t="shared" si="120"/>
        <v>0</v>
      </c>
      <c r="AF67" s="2">
        <f t="shared" si="120"/>
        <v>0</v>
      </c>
      <c r="AG67" s="2">
        <f t="shared" si="120"/>
        <v>0</v>
      </c>
      <c r="AH67" s="2">
        <f t="shared" si="120"/>
        <v>0</v>
      </c>
      <c r="AI67" s="2">
        <f t="shared" si="120"/>
        <v>0</v>
      </c>
      <c r="AJ67" s="2">
        <f t="shared" si="120"/>
        <v>0</v>
      </c>
      <c r="AK67" s="2">
        <f t="shared" si="120"/>
        <v>0</v>
      </c>
      <c r="AL67" s="2">
        <f t="shared" si="120"/>
        <v>0</v>
      </c>
      <c r="AM67" s="2">
        <f t="shared" si="120"/>
        <v>0</v>
      </c>
      <c r="AN67" s="2">
        <f t="shared" si="120"/>
        <v>0</v>
      </c>
      <c r="AO67" s="2">
        <f t="shared" si="120"/>
        <v>0</v>
      </c>
      <c r="AP67" s="2">
        <f t="shared" si="120"/>
        <v>0</v>
      </c>
      <c r="AQ67" s="2">
        <f t="shared" si="120"/>
        <v>0</v>
      </c>
      <c r="AR67" s="2">
        <f t="shared" si="120"/>
        <v>0</v>
      </c>
    </row>
    <row r="68" spans="3:44">
      <c r="C68" s="2">
        <f t="shared" ref="C68:AR68" si="121">BowlSplit(C31,$C$41)</f>
        <v>0</v>
      </c>
      <c r="D68" s="2">
        <f t="shared" si="121"/>
        <v>0</v>
      </c>
      <c r="E68" s="2">
        <f t="shared" si="121"/>
        <v>0</v>
      </c>
      <c r="F68" s="2">
        <f t="shared" si="121"/>
        <v>0</v>
      </c>
      <c r="G68" s="2">
        <f t="shared" si="121"/>
        <v>0</v>
      </c>
      <c r="H68" s="2">
        <f t="shared" si="121"/>
        <v>0</v>
      </c>
      <c r="I68" s="2">
        <f t="shared" si="121"/>
        <v>0</v>
      </c>
      <c r="J68" s="2">
        <f t="shared" si="121"/>
        <v>0</v>
      </c>
      <c r="K68" s="2">
        <f t="shared" si="121"/>
        <v>0</v>
      </c>
      <c r="L68" s="2">
        <f t="shared" si="121"/>
        <v>0</v>
      </c>
      <c r="M68" s="2">
        <f t="shared" si="121"/>
        <v>0</v>
      </c>
      <c r="N68" s="2">
        <f t="shared" si="121"/>
        <v>0</v>
      </c>
      <c r="O68" s="2">
        <f t="shared" si="121"/>
        <v>0</v>
      </c>
      <c r="P68" s="2">
        <f t="shared" si="121"/>
        <v>0</v>
      </c>
      <c r="Q68" s="2">
        <f t="shared" si="121"/>
        <v>0</v>
      </c>
      <c r="R68" s="2">
        <f t="shared" si="121"/>
        <v>0</v>
      </c>
      <c r="S68" s="2">
        <f t="shared" si="121"/>
        <v>0</v>
      </c>
      <c r="T68" s="2">
        <f t="shared" si="121"/>
        <v>0</v>
      </c>
      <c r="U68" s="2">
        <f t="shared" si="121"/>
        <v>0</v>
      </c>
      <c r="V68" s="2">
        <f t="shared" si="121"/>
        <v>0</v>
      </c>
      <c r="W68" s="2">
        <f t="shared" si="121"/>
        <v>0</v>
      </c>
      <c r="X68" s="2">
        <f t="shared" si="121"/>
        <v>0</v>
      </c>
      <c r="Y68" s="2">
        <f t="shared" si="121"/>
        <v>0</v>
      </c>
      <c r="Z68" s="2">
        <f t="shared" si="121"/>
        <v>0</v>
      </c>
      <c r="AA68" s="2">
        <f t="shared" si="121"/>
        <v>0</v>
      </c>
      <c r="AB68" s="2">
        <f t="shared" si="121"/>
        <v>0</v>
      </c>
      <c r="AC68" s="2">
        <f t="shared" si="121"/>
        <v>0</v>
      </c>
      <c r="AD68" s="2">
        <f t="shared" si="121"/>
        <v>0</v>
      </c>
      <c r="AE68" s="2">
        <f t="shared" si="121"/>
        <v>0</v>
      </c>
      <c r="AF68" s="2">
        <f t="shared" si="121"/>
        <v>0</v>
      </c>
      <c r="AG68" s="2">
        <f t="shared" si="121"/>
        <v>0</v>
      </c>
      <c r="AH68" s="2">
        <f t="shared" si="121"/>
        <v>0</v>
      </c>
      <c r="AI68" s="2">
        <f t="shared" si="121"/>
        <v>0</v>
      </c>
      <c r="AJ68" s="2">
        <f t="shared" si="121"/>
        <v>0</v>
      </c>
      <c r="AK68" s="2">
        <f t="shared" si="121"/>
        <v>0</v>
      </c>
      <c r="AL68" s="2">
        <f t="shared" si="121"/>
        <v>0</v>
      </c>
      <c r="AM68" s="2">
        <f t="shared" si="121"/>
        <v>0</v>
      </c>
      <c r="AN68" s="2">
        <f t="shared" si="121"/>
        <v>0</v>
      </c>
      <c r="AO68" s="2">
        <f t="shared" si="121"/>
        <v>0</v>
      </c>
      <c r="AP68" s="2">
        <f t="shared" si="121"/>
        <v>0</v>
      </c>
      <c r="AQ68" s="2">
        <f t="shared" si="121"/>
        <v>0</v>
      </c>
      <c r="AR68" s="2">
        <f t="shared" si="121"/>
        <v>0</v>
      </c>
    </row>
    <row r="69" spans="3:44">
      <c r="C69" s="2">
        <f t="shared" ref="C69:AR69" si="122">BowlSplit(C32,$C$41)</f>
        <v>0</v>
      </c>
      <c r="D69" s="2">
        <f t="shared" si="122"/>
        <v>0</v>
      </c>
      <c r="E69" s="2">
        <f t="shared" si="122"/>
        <v>0</v>
      </c>
      <c r="F69" s="2">
        <f t="shared" si="122"/>
        <v>0</v>
      </c>
      <c r="G69" s="2">
        <f t="shared" si="122"/>
        <v>0</v>
      </c>
      <c r="H69" s="2">
        <f t="shared" si="122"/>
        <v>0</v>
      </c>
      <c r="I69" s="2">
        <f t="shared" si="122"/>
        <v>0</v>
      </c>
      <c r="J69" s="2">
        <f t="shared" si="122"/>
        <v>0</v>
      </c>
      <c r="K69" s="2">
        <f t="shared" si="122"/>
        <v>0</v>
      </c>
      <c r="L69" s="2">
        <f t="shared" si="122"/>
        <v>0</v>
      </c>
      <c r="M69" s="2">
        <f t="shared" si="122"/>
        <v>1</v>
      </c>
      <c r="N69" s="2">
        <f t="shared" si="122"/>
        <v>0</v>
      </c>
      <c r="O69" s="2">
        <f t="shared" si="122"/>
        <v>0</v>
      </c>
      <c r="P69" s="2">
        <f t="shared" si="122"/>
        <v>1</v>
      </c>
      <c r="Q69" s="2">
        <f t="shared" si="122"/>
        <v>4</v>
      </c>
      <c r="R69" s="2">
        <f t="shared" si="122"/>
        <v>0</v>
      </c>
      <c r="S69" s="2">
        <f t="shared" si="122"/>
        <v>0</v>
      </c>
      <c r="T69" s="2">
        <f t="shared" si="122"/>
        <v>0</v>
      </c>
      <c r="U69" s="2">
        <f t="shared" si="122"/>
        <v>0</v>
      </c>
      <c r="V69" s="2">
        <f t="shared" si="122"/>
        <v>0</v>
      </c>
      <c r="W69" s="2">
        <f t="shared" si="122"/>
        <v>0</v>
      </c>
      <c r="X69" s="2">
        <f t="shared" si="122"/>
        <v>0</v>
      </c>
      <c r="Y69" s="2">
        <f t="shared" si="122"/>
        <v>0</v>
      </c>
      <c r="Z69" s="2">
        <f t="shared" si="122"/>
        <v>0</v>
      </c>
      <c r="AA69" s="2">
        <f t="shared" si="122"/>
        <v>0</v>
      </c>
      <c r="AB69" s="2">
        <f t="shared" si="122"/>
        <v>0</v>
      </c>
      <c r="AC69" s="2">
        <f t="shared" si="122"/>
        <v>0</v>
      </c>
      <c r="AD69" s="2">
        <f t="shared" si="122"/>
        <v>0</v>
      </c>
      <c r="AE69" s="2">
        <f t="shared" si="122"/>
        <v>0</v>
      </c>
      <c r="AF69" s="2">
        <f t="shared" si="122"/>
        <v>0</v>
      </c>
      <c r="AG69" s="2">
        <f t="shared" si="122"/>
        <v>0</v>
      </c>
      <c r="AH69" s="2">
        <f t="shared" si="122"/>
        <v>0</v>
      </c>
      <c r="AI69" s="2">
        <f t="shared" si="122"/>
        <v>0</v>
      </c>
      <c r="AJ69" s="2">
        <f t="shared" si="122"/>
        <v>0</v>
      </c>
      <c r="AK69" s="2">
        <f t="shared" si="122"/>
        <v>0</v>
      </c>
      <c r="AL69" s="2">
        <f t="shared" si="122"/>
        <v>0</v>
      </c>
      <c r="AM69" s="2">
        <f t="shared" si="122"/>
        <v>0</v>
      </c>
      <c r="AN69" s="2">
        <f t="shared" si="122"/>
        <v>0</v>
      </c>
      <c r="AO69" s="2">
        <f t="shared" si="122"/>
        <v>0</v>
      </c>
      <c r="AP69" s="2">
        <f t="shared" si="122"/>
        <v>0</v>
      </c>
      <c r="AQ69" s="2">
        <f t="shared" si="122"/>
        <v>0</v>
      </c>
      <c r="AR69" s="2">
        <f t="shared" si="122"/>
        <v>0</v>
      </c>
    </row>
    <row r="70" spans="3:44">
      <c r="C70" s="2">
        <f t="shared" ref="C70:AR70" si="123">BowlSplit(C33,$C$41)</f>
        <v>0</v>
      </c>
      <c r="D70" s="2">
        <f t="shared" si="123"/>
        <v>0</v>
      </c>
      <c r="E70" s="2">
        <f t="shared" si="123"/>
        <v>0</v>
      </c>
      <c r="F70" s="2">
        <f t="shared" si="123"/>
        <v>0</v>
      </c>
      <c r="G70" s="2">
        <f t="shared" si="123"/>
        <v>0</v>
      </c>
      <c r="H70" s="2">
        <f t="shared" si="123"/>
        <v>0</v>
      </c>
      <c r="I70" s="2">
        <f t="shared" si="123"/>
        <v>0</v>
      </c>
      <c r="J70" s="2">
        <f t="shared" si="123"/>
        <v>0</v>
      </c>
      <c r="K70" s="2">
        <f t="shared" si="123"/>
        <v>0</v>
      </c>
      <c r="L70" s="2">
        <f t="shared" si="123"/>
        <v>0</v>
      </c>
      <c r="M70" s="2">
        <f t="shared" si="123"/>
        <v>0</v>
      </c>
      <c r="N70" s="2">
        <f t="shared" si="123"/>
        <v>0</v>
      </c>
      <c r="O70" s="2">
        <f t="shared" si="123"/>
        <v>0</v>
      </c>
      <c r="P70" s="2">
        <f t="shared" si="123"/>
        <v>0</v>
      </c>
      <c r="Q70" s="2">
        <f t="shared" si="123"/>
        <v>0</v>
      </c>
      <c r="R70" s="2">
        <f t="shared" si="123"/>
        <v>0</v>
      </c>
      <c r="S70" s="2">
        <f t="shared" si="123"/>
        <v>0</v>
      </c>
      <c r="T70" s="2">
        <f t="shared" si="123"/>
        <v>0</v>
      </c>
      <c r="U70" s="2">
        <f t="shared" si="123"/>
        <v>0</v>
      </c>
      <c r="V70" s="2">
        <f t="shared" si="123"/>
        <v>0</v>
      </c>
      <c r="W70" s="2">
        <f t="shared" si="123"/>
        <v>0</v>
      </c>
      <c r="X70" s="2">
        <f t="shared" si="123"/>
        <v>0</v>
      </c>
      <c r="Y70" s="2">
        <f t="shared" si="123"/>
        <v>0</v>
      </c>
      <c r="Z70" s="2">
        <f t="shared" si="123"/>
        <v>0</v>
      </c>
      <c r="AA70" s="2">
        <f t="shared" si="123"/>
        <v>0</v>
      </c>
      <c r="AB70" s="2">
        <f t="shared" si="123"/>
        <v>0</v>
      </c>
      <c r="AC70" s="2">
        <f t="shared" si="123"/>
        <v>0</v>
      </c>
      <c r="AD70" s="2">
        <f t="shared" si="123"/>
        <v>0</v>
      </c>
      <c r="AE70" s="2">
        <f t="shared" si="123"/>
        <v>0</v>
      </c>
      <c r="AF70" s="2">
        <f t="shared" si="123"/>
        <v>0</v>
      </c>
      <c r="AG70" s="2">
        <f t="shared" si="123"/>
        <v>0</v>
      </c>
      <c r="AH70" s="2">
        <f t="shared" si="123"/>
        <v>0</v>
      </c>
      <c r="AI70" s="2">
        <f t="shared" si="123"/>
        <v>0</v>
      </c>
      <c r="AJ70" s="2">
        <f t="shared" si="123"/>
        <v>0</v>
      </c>
      <c r="AK70" s="2">
        <f t="shared" si="123"/>
        <v>0</v>
      </c>
      <c r="AL70" s="2">
        <f t="shared" si="123"/>
        <v>0</v>
      </c>
      <c r="AM70" s="2">
        <f t="shared" si="123"/>
        <v>0</v>
      </c>
      <c r="AN70" s="2">
        <f t="shared" si="123"/>
        <v>0</v>
      </c>
      <c r="AO70" s="2">
        <f t="shared" si="123"/>
        <v>0</v>
      </c>
      <c r="AP70" s="2">
        <f t="shared" si="123"/>
        <v>0</v>
      </c>
      <c r="AQ70" s="2">
        <f t="shared" si="123"/>
        <v>0</v>
      </c>
      <c r="AR70" s="2">
        <f t="shared" si="123"/>
        <v>0</v>
      </c>
    </row>
    <row r="71" spans="3:44">
      <c r="C71" s="2" t="e">
        <f t="shared" ref="C71:AR71" si="124">BowlSplit(C34,$C$41)</f>
        <v>#VALUE!</v>
      </c>
      <c r="D71" s="2" t="e">
        <f t="shared" si="124"/>
        <v>#VALUE!</v>
      </c>
      <c r="E71" s="2" t="e">
        <f t="shared" si="124"/>
        <v>#VALUE!</v>
      </c>
      <c r="F71" s="2" t="e">
        <f t="shared" si="124"/>
        <v>#VALUE!</v>
      </c>
      <c r="G71" s="2" t="e">
        <f t="shared" si="124"/>
        <v>#VALUE!</v>
      </c>
      <c r="H71" s="2" t="e">
        <f t="shared" si="124"/>
        <v>#VALUE!</v>
      </c>
      <c r="I71" s="2" t="e">
        <f t="shared" si="124"/>
        <v>#VALUE!</v>
      </c>
      <c r="J71" s="2" t="e">
        <f t="shared" si="124"/>
        <v>#VALUE!</v>
      </c>
      <c r="K71" s="2" t="e">
        <f t="shared" si="124"/>
        <v>#VALUE!</v>
      </c>
      <c r="L71" s="2" t="e">
        <f t="shared" si="124"/>
        <v>#VALUE!</v>
      </c>
      <c r="M71" s="2" t="e">
        <f t="shared" si="124"/>
        <v>#VALUE!</v>
      </c>
      <c r="N71" s="2" t="e">
        <f t="shared" si="124"/>
        <v>#VALUE!</v>
      </c>
      <c r="O71" s="2" t="e">
        <f t="shared" si="124"/>
        <v>#VALUE!</v>
      </c>
      <c r="P71" s="2" t="e">
        <f t="shared" si="124"/>
        <v>#VALUE!</v>
      </c>
      <c r="Q71" s="2" t="e">
        <f t="shared" si="124"/>
        <v>#VALUE!</v>
      </c>
      <c r="R71" s="2" t="e">
        <f t="shared" si="124"/>
        <v>#VALUE!</v>
      </c>
      <c r="S71" s="2" t="e">
        <f t="shared" si="124"/>
        <v>#VALUE!</v>
      </c>
      <c r="T71" s="2" t="e">
        <f t="shared" si="124"/>
        <v>#VALUE!</v>
      </c>
      <c r="U71" s="2" t="e">
        <f t="shared" si="124"/>
        <v>#VALUE!</v>
      </c>
      <c r="V71" s="2" t="e">
        <f t="shared" si="124"/>
        <v>#VALUE!</v>
      </c>
      <c r="W71" s="2" t="e">
        <f t="shared" si="124"/>
        <v>#VALUE!</v>
      </c>
      <c r="X71" s="2" t="e">
        <f t="shared" si="124"/>
        <v>#VALUE!</v>
      </c>
      <c r="Y71" s="2" t="e">
        <f t="shared" si="124"/>
        <v>#VALUE!</v>
      </c>
      <c r="Z71" s="2" t="e">
        <f t="shared" si="124"/>
        <v>#VALUE!</v>
      </c>
      <c r="AA71" s="2" t="e">
        <f t="shared" si="124"/>
        <v>#VALUE!</v>
      </c>
      <c r="AB71" s="2" t="e">
        <f t="shared" si="124"/>
        <v>#VALUE!</v>
      </c>
      <c r="AC71" s="2" t="e">
        <f t="shared" si="124"/>
        <v>#VALUE!</v>
      </c>
      <c r="AD71" s="2" t="e">
        <f t="shared" si="124"/>
        <v>#VALUE!</v>
      </c>
      <c r="AE71" s="2" t="e">
        <f t="shared" si="124"/>
        <v>#VALUE!</v>
      </c>
      <c r="AF71" s="2" t="e">
        <f t="shared" si="124"/>
        <v>#VALUE!</v>
      </c>
      <c r="AG71" s="2" t="e">
        <f t="shared" si="124"/>
        <v>#VALUE!</v>
      </c>
      <c r="AH71" s="2" t="e">
        <f t="shared" si="124"/>
        <v>#VALUE!</v>
      </c>
      <c r="AI71" s="2" t="e">
        <f t="shared" si="124"/>
        <v>#VALUE!</v>
      </c>
      <c r="AJ71" s="2" t="e">
        <f t="shared" si="124"/>
        <v>#VALUE!</v>
      </c>
      <c r="AK71" s="2" t="e">
        <f t="shared" si="124"/>
        <v>#VALUE!</v>
      </c>
      <c r="AL71" s="2" t="e">
        <f t="shared" si="124"/>
        <v>#VALUE!</v>
      </c>
      <c r="AM71" s="2" t="e">
        <f t="shared" si="124"/>
        <v>#VALUE!</v>
      </c>
      <c r="AN71" s="2" t="e">
        <f t="shared" si="124"/>
        <v>#VALUE!</v>
      </c>
      <c r="AO71" s="2" t="e">
        <f t="shared" si="124"/>
        <v>#VALUE!</v>
      </c>
      <c r="AP71" s="2" t="e">
        <f t="shared" si="124"/>
        <v>#VALUE!</v>
      </c>
      <c r="AQ71" s="2" t="e">
        <f t="shared" si="124"/>
        <v>#VALUE!</v>
      </c>
      <c r="AR71" s="2" t="e">
        <f t="shared" si="124"/>
        <v>#VALUE!</v>
      </c>
    </row>
    <row r="72" spans="3:44">
      <c r="C72" s="2" t="e">
        <f t="shared" ref="C72:AR72" si="125">BowlSplit(C35,$C$41)</f>
        <v>#VALUE!</v>
      </c>
      <c r="D72" s="2" t="e">
        <f t="shared" si="125"/>
        <v>#VALUE!</v>
      </c>
      <c r="E72" s="2" t="e">
        <f t="shared" si="125"/>
        <v>#VALUE!</v>
      </c>
      <c r="F72" s="2" t="e">
        <f t="shared" si="125"/>
        <v>#VALUE!</v>
      </c>
      <c r="G72" s="2" t="e">
        <f t="shared" si="125"/>
        <v>#VALUE!</v>
      </c>
      <c r="H72" s="2" t="e">
        <f t="shared" si="125"/>
        <v>#VALUE!</v>
      </c>
      <c r="I72" s="2" t="e">
        <f t="shared" si="125"/>
        <v>#VALUE!</v>
      </c>
      <c r="J72" s="2" t="e">
        <f t="shared" si="125"/>
        <v>#VALUE!</v>
      </c>
      <c r="K72" s="2" t="e">
        <f t="shared" si="125"/>
        <v>#VALUE!</v>
      </c>
      <c r="L72" s="2" t="e">
        <f t="shared" si="125"/>
        <v>#VALUE!</v>
      </c>
      <c r="M72" s="2" t="e">
        <f t="shared" si="125"/>
        <v>#VALUE!</v>
      </c>
      <c r="N72" s="2" t="e">
        <f t="shared" si="125"/>
        <v>#VALUE!</v>
      </c>
      <c r="O72" s="2" t="e">
        <f t="shared" si="125"/>
        <v>#VALUE!</v>
      </c>
      <c r="P72" s="2" t="e">
        <f t="shared" si="125"/>
        <v>#VALUE!</v>
      </c>
      <c r="Q72" s="2" t="e">
        <f t="shared" si="125"/>
        <v>#VALUE!</v>
      </c>
      <c r="R72" s="2" t="e">
        <f t="shared" si="125"/>
        <v>#VALUE!</v>
      </c>
      <c r="S72" s="2" t="e">
        <f t="shared" si="125"/>
        <v>#VALUE!</v>
      </c>
      <c r="T72" s="2" t="e">
        <f t="shared" si="125"/>
        <v>#VALUE!</v>
      </c>
      <c r="U72" s="2" t="e">
        <f t="shared" si="125"/>
        <v>#VALUE!</v>
      </c>
      <c r="V72" s="2" t="e">
        <f t="shared" si="125"/>
        <v>#VALUE!</v>
      </c>
      <c r="W72" s="2" t="e">
        <f t="shared" si="125"/>
        <v>#VALUE!</v>
      </c>
      <c r="X72" s="2" t="e">
        <f t="shared" si="125"/>
        <v>#VALUE!</v>
      </c>
      <c r="Y72" s="2" t="e">
        <f t="shared" si="125"/>
        <v>#VALUE!</v>
      </c>
      <c r="Z72" s="2" t="e">
        <f t="shared" si="125"/>
        <v>#VALUE!</v>
      </c>
      <c r="AA72" s="2" t="e">
        <f t="shared" si="125"/>
        <v>#VALUE!</v>
      </c>
      <c r="AB72" s="2" t="e">
        <f t="shared" si="125"/>
        <v>#VALUE!</v>
      </c>
      <c r="AC72" s="2" t="e">
        <f t="shared" si="125"/>
        <v>#VALUE!</v>
      </c>
      <c r="AD72" s="2" t="e">
        <f t="shared" si="125"/>
        <v>#VALUE!</v>
      </c>
      <c r="AE72" s="2" t="e">
        <f t="shared" si="125"/>
        <v>#VALUE!</v>
      </c>
      <c r="AF72" s="2" t="e">
        <f t="shared" si="125"/>
        <v>#VALUE!</v>
      </c>
      <c r="AG72" s="2" t="e">
        <f t="shared" si="125"/>
        <v>#VALUE!</v>
      </c>
      <c r="AH72" s="2" t="e">
        <f t="shared" si="125"/>
        <v>#VALUE!</v>
      </c>
      <c r="AI72" s="2" t="e">
        <f t="shared" si="125"/>
        <v>#VALUE!</v>
      </c>
      <c r="AJ72" s="2" t="e">
        <f t="shared" si="125"/>
        <v>#VALUE!</v>
      </c>
      <c r="AK72" s="2" t="e">
        <f t="shared" si="125"/>
        <v>#VALUE!</v>
      </c>
      <c r="AL72" s="2" t="e">
        <f t="shared" si="125"/>
        <v>#VALUE!</v>
      </c>
      <c r="AM72" s="2" t="e">
        <f t="shared" si="125"/>
        <v>#VALUE!</v>
      </c>
      <c r="AN72" s="2" t="e">
        <f t="shared" si="125"/>
        <v>#VALUE!</v>
      </c>
      <c r="AO72" s="2" t="e">
        <f t="shared" si="125"/>
        <v>#VALUE!</v>
      </c>
      <c r="AP72" s="2" t="e">
        <f t="shared" si="125"/>
        <v>#VALUE!</v>
      </c>
      <c r="AQ72" s="2" t="e">
        <f t="shared" si="125"/>
        <v>#VALUE!</v>
      </c>
      <c r="AR72" s="2" t="e">
        <f t="shared" si="125"/>
        <v>#VALUE!</v>
      </c>
    </row>
    <row r="73" spans="3:44">
      <c r="C73" s="2" t="e">
        <f t="shared" ref="C73:AR73" si="126">BowlSplit(C36,$C$41)</f>
        <v>#VALUE!</v>
      </c>
      <c r="D73" s="2" t="e">
        <f t="shared" si="126"/>
        <v>#VALUE!</v>
      </c>
      <c r="E73" s="2" t="e">
        <f t="shared" si="126"/>
        <v>#VALUE!</v>
      </c>
      <c r="F73" s="2" t="e">
        <f t="shared" si="126"/>
        <v>#VALUE!</v>
      </c>
      <c r="G73" s="2" t="e">
        <f t="shared" si="126"/>
        <v>#VALUE!</v>
      </c>
      <c r="H73" s="2" t="e">
        <f t="shared" si="126"/>
        <v>#VALUE!</v>
      </c>
      <c r="I73" s="2" t="e">
        <f t="shared" si="126"/>
        <v>#VALUE!</v>
      </c>
      <c r="J73" s="2" t="e">
        <f t="shared" si="126"/>
        <v>#VALUE!</v>
      </c>
      <c r="K73" s="2" t="e">
        <f t="shared" si="126"/>
        <v>#VALUE!</v>
      </c>
      <c r="L73" s="2" t="e">
        <f t="shared" si="126"/>
        <v>#VALUE!</v>
      </c>
      <c r="M73" s="2" t="e">
        <f t="shared" si="126"/>
        <v>#VALUE!</v>
      </c>
      <c r="N73" s="2" t="e">
        <f t="shared" si="126"/>
        <v>#VALUE!</v>
      </c>
      <c r="O73" s="2" t="e">
        <f t="shared" si="126"/>
        <v>#VALUE!</v>
      </c>
      <c r="P73" s="2" t="e">
        <f t="shared" si="126"/>
        <v>#VALUE!</v>
      </c>
      <c r="Q73" s="2" t="e">
        <f t="shared" si="126"/>
        <v>#VALUE!</v>
      </c>
      <c r="R73" s="2" t="e">
        <f t="shared" si="126"/>
        <v>#VALUE!</v>
      </c>
      <c r="S73" s="2" t="e">
        <f t="shared" si="126"/>
        <v>#VALUE!</v>
      </c>
      <c r="T73" s="2" t="e">
        <f t="shared" si="126"/>
        <v>#VALUE!</v>
      </c>
      <c r="U73" s="2" t="e">
        <f t="shared" si="126"/>
        <v>#VALUE!</v>
      </c>
      <c r="V73" s="2" t="e">
        <f t="shared" si="126"/>
        <v>#VALUE!</v>
      </c>
      <c r="W73" s="2" t="e">
        <f t="shared" si="126"/>
        <v>#VALUE!</v>
      </c>
      <c r="X73" s="2" t="e">
        <f t="shared" si="126"/>
        <v>#VALUE!</v>
      </c>
      <c r="Y73" s="2" t="e">
        <f t="shared" si="126"/>
        <v>#VALUE!</v>
      </c>
      <c r="Z73" s="2" t="e">
        <f t="shared" si="126"/>
        <v>#VALUE!</v>
      </c>
      <c r="AA73" s="2" t="e">
        <f t="shared" si="126"/>
        <v>#VALUE!</v>
      </c>
      <c r="AB73" s="2" t="e">
        <f t="shared" si="126"/>
        <v>#VALUE!</v>
      </c>
      <c r="AC73" s="2" t="e">
        <f t="shared" si="126"/>
        <v>#VALUE!</v>
      </c>
      <c r="AD73" s="2" t="e">
        <f t="shared" si="126"/>
        <v>#VALUE!</v>
      </c>
      <c r="AE73" s="2" t="e">
        <f t="shared" si="126"/>
        <v>#VALUE!</v>
      </c>
      <c r="AF73" s="2" t="e">
        <f t="shared" si="126"/>
        <v>#VALUE!</v>
      </c>
      <c r="AG73" s="2" t="e">
        <f t="shared" si="126"/>
        <v>#VALUE!</v>
      </c>
      <c r="AH73" s="2" t="e">
        <f t="shared" si="126"/>
        <v>#VALUE!</v>
      </c>
      <c r="AI73" s="2" t="e">
        <f t="shared" si="126"/>
        <v>#VALUE!</v>
      </c>
      <c r="AJ73" s="2" t="e">
        <f t="shared" si="126"/>
        <v>#VALUE!</v>
      </c>
      <c r="AK73" s="2" t="e">
        <f t="shared" si="126"/>
        <v>#VALUE!</v>
      </c>
      <c r="AL73" s="2" t="e">
        <f t="shared" si="126"/>
        <v>#VALUE!</v>
      </c>
      <c r="AM73" s="2" t="e">
        <f t="shared" si="126"/>
        <v>#VALUE!</v>
      </c>
      <c r="AN73" s="2" t="e">
        <f t="shared" si="126"/>
        <v>#VALUE!</v>
      </c>
      <c r="AO73" s="2" t="e">
        <f t="shared" si="126"/>
        <v>#VALUE!</v>
      </c>
      <c r="AP73" s="2" t="e">
        <f t="shared" si="126"/>
        <v>#VALUE!</v>
      </c>
      <c r="AQ73" s="2" t="e">
        <f t="shared" si="126"/>
        <v>#VALUE!</v>
      </c>
      <c r="AR73" s="2" t="e">
        <f t="shared" si="126"/>
        <v>#VALUE!</v>
      </c>
    </row>
    <row r="74" spans="3:44">
      <c r="C74" s="2" t="e">
        <f t="shared" ref="C74:AR74" si="127">BowlSplit(C37,$C$41)</f>
        <v>#VALUE!</v>
      </c>
      <c r="D74" s="2" t="e">
        <f t="shared" si="127"/>
        <v>#VALUE!</v>
      </c>
      <c r="E74" s="2" t="e">
        <f t="shared" si="127"/>
        <v>#VALUE!</v>
      </c>
      <c r="F74" s="2" t="e">
        <f t="shared" si="127"/>
        <v>#VALUE!</v>
      </c>
      <c r="G74" s="2" t="e">
        <f t="shared" si="127"/>
        <v>#VALUE!</v>
      </c>
      <c r="H74" s="2" t="e">
        <f t="shared" si="127"/>
        <v>#VALUE!</v>
      </c>
      <c r="I74" s="2" t="e">
        <f t="shared" si="127"/>
        <v>#VALUE!</v>
      </c>
      <c r="J74" s="2" t="e">
        <f t="shared" si="127"/>
        <v>#VALUE!</v>
      </c>
      <c r="K74" s="2" t="e">
        <f t="shared" si="127"/>
        <v>#VALUE!</v>
      </c>
      <c r="L74" s="2" t="e">
        <f t="shared" si="127"/>
        <v>#VALUE!</v>
      </c>
      <c r="M74" s="2" t="e">
        <f t="shared" si="127"/>
        <v>#VALUE!</v>
      </c>
      <c r="N74" s="2" t="e">
        <f t="shared" si="127"/>
        <v>#VALUE!</v>
      </c>
      <c r="O74" s="2" t="e">
        <f t="shared" si="127"/>
        <v>#VALUE!</v>
      </c>
      <c r="P74" s="2" t="e">
        <f t="shared" si="127"/>
        <v>#VALUE!</v>
      </c>
      <c r="Q74" s="2" t="e">
        <f t="shared" si="127"/>
        <v>#VALUE!</v>
      </c>
      <c r="R74" s="2" t="e">
        <f t="shared" si="127"/>
        <v>#VALUE!</v>
      </c>
      <c r="S74" s="2" t="e">
        <f t="shared" si="127"/>
        <v>#VALUE!</v>
      </c>
      <c r="T74" s="2" t="e">
        <f t="shared" si="127"/>
        <v>#VALUE!</v>
      </c>
      <c r="U74" s="2" t="e">
        <f t="shared" si="127"/>
        <v>#VALUE!</v>
      </c>
      <c r="V74" s="2" t="e">
        <f t="shared" si="127"/>
        <v>#VALUE!</v>
      </c>
      <c r="W74" s="2" t="e">
        <f t="shared" si="127"/>
        <v>#VALUE!</v>
      </c>
      <c r="X74" s="2" t="e">
        <f t="shared" si="127"/>
        <v>#VALUE!</v>
      </c>
      <c r="Y74" s="2" t="e">
        <f t="shared" si="127"/>
        <v>#VALUE!</v>
      </c>
      <c r="Z74" s="2" t="e">
        <f t="shared" si="127"/>
        <v>#VALUE!</v>
      </c>
      <c r="AA74" s="2" t="e">
        <f t="shared" si="127"/>
        <v>#VALUE!</v>
      </c>
      <c r="AB74" s="2" t="e">
        <f t="shared" si="127"/>
        <v>#VALUE!</v>
      </c>
      <c r="AC74" s="2" t="e">
        <f t="shared" si="127"/>
        <v>#VALUE!</v>
      </c>
      <c r="AD74" s="2" t="e">
        <f t="shared" si="127"/>
        <v>#VALUE!</v>
      </c>
      <c r="AE74" s="2" t="e">
        <f t="shared" si="127"/>
        <v>#VALUE!</v>
      </c>
      <c r="AF74" s="2" t="e">
        <f t="shared" si="127"/>
        <v>#VALUE!</v>
      </c>
      <c r="AG74" s="2" t="e">
        <f t="shared" si="127"/>
        <v>#VALUE!</v>
      </c>
      <c r="AH74" s="2" t="e">
        <f t="shared" si="127"/>
        <v>#VALUE!</v>
      </c>
      <c r="AI74" s="2" t="e">
        <f t="shared" si="127"/>
        <v>#VALUE!</v>
      </c>
      <c r="AJ74" s="2" t="e">
        <f t="shared" si="127"/>
        <v>#VALUE!</v>
      </c>
      <c r="AK74" s="2" t="e">
        <f t="shared" si="127"/>
        <v>#VALUE!</v>
      </c>
      <c r="AL74" s="2" t="e">
        <f t="shared" si="127"/>
        <v>#VALUE!</v>
      </c>
      <c r="AM74" s="2" t="e">
        <f t="shared" si="127"/>
        <v>#VALUE!</v>
      </c>
      <c r="AN74" s="2" t="e">
        <f t="shared" si="127"/>
        <v>#VALUE!</v>
      </c>
      <c r="AO74" s="2" t="e">
        <f t="shared" si="127"/>
        <v>#VALUE!</v>
      </c>
      <c r="AP74" s="2" t="e">
        <f t="shared" si="127"/>
        <v>#VALUE!</v>
      </c>
      <c r="AQ74" s="2" t="e">
        <f t="shared" si="127"/>
        <v>#VALUE!</v>
      </c>
      <c r="AR74" s="2" t="e">
        <f t="shared" si="127"/>
        <v>#VALUE!</v>
      </c>
    </row>
    <row r="75" spans="3:44">
      <c r="C75" s="2" t="e">
        <f t="shared" ref="C75:AR75" si="128">BowlSplit(C38,$C$41)</f>
        <v>#VALUE!</v>
      </c>
      <c r="D75" s="2" t="e">
        <f t="shared" si="128"/>
        <v>#VALUE!</v>
      </c>
      <c r="E75" s="2" t="e">
        <f t="shared" si="128"/>
        <v>#VALUE!</v>
      </c>
      <c r="F75" s="2" t="e">
        <f t="shared" si="128"/>
        <v>#VALUE!</v>
      </c>
      <c r="G75" s="2" t="e">
        <f t="shared" si="128"/>
        <v>#VALUE!</v>
      </c>
      <c r="H75" s="2" t="e">
        <f t="shared" si="128"/>
        <v>#VALUE!</v>
      </c>
      <c r="I75" s="2" t="e">
        <f t="shared" si="128"/>
        <v>#VALUE!</v>
      </c>
      <c r="J75" s="2" t="e">
        <f t="shared" si="128"/>
        <v>#VALUE!</v>
      </c>
      <c r="K75" s="2" t="e">
        <f t="shared" si="128"/>
        <v>#VALUE!</v>
      </c>
      <c r="L75" s="2" t="e">
        <f t="shared" si="128"/>
        <v>#VALUE!</v>
      </c>
      <c r="M75" s="2" t="e">
        <f t="shared" si="128"/>
        <v>#VALUE!</v>
      </c>
      <c r="N75" s="2" t="e">
        <f t="shared" si="128"/>
        <v>#VALUE!</v>
      </c>
      <c r="O75" s="2" t="e">
        <f t="shared" si="128"/>
        <v>#VALUE!</v>
      </c>
      <c r="P75" s="2" t="e">
        <f t="shared" si="128"/>
        <v>#VALUE!</v>
      </c>
      <c r="Q75" s="2" t="e">
        <f t="shared" si="128"/>
        <v>#VALUE!</v>
      </c>
      <c r="R75" s="2" t="e">
        <f t="shared" si="128"/>
        <v>#VALUE!</v>
      </c>
      <c r="S75" s="2" t="e">
        <f t="shared" si="128"/>
        <v>#VALUE!</v>
      </c>
      <c r="T75" s="2" t="e">
        <f t="shared" si="128"/>
        <v>#VALUE!</v>
      </c>
      <c r="U75" s="2" t="e">
        <f t="shared" si="128"/>
        <v>#VALUE!</v>
      </c>
      <c r="V75" s="2" t="e">
        <f t="shared" si="128"/>
        <v>#VALUE!</v>
      </c>
      <c r="W75" s="2" t="e">
        <f t="shared" si="128"/>
        <v>#VALUE!</v>
      </c>
      <c r="X75" s="2" t="e">
        <f t="shared" si="128"/>
        <v>#VALUE!</v>
      </c>
      <c r="Y75" s="2" t="e">
        <f t="shared" si="128"/>
        <v>#VALUE!</v>
      </c>
      <c r="Z75" s="2" t="e">
        <f t="shared" si="128"/>
        <v>#VALUE!</v>
      </c>
      <c r="AA75" s="2" t="e">
        <f t="shared" si="128"/>
        <v>#VALUE!</v>
      </c>
      <c r="AB75" s="2" t="e">
        <f t="shared" si="128"/>
        <v>#VALUE!</v>
      </c>
      <c r="AC75" s="2" t="e">
        <f t="shared" si="128"/>
        <v>#VALUE!</v>
      </c>
      <c r="AD75" s="2" t="e">
        <f t="shared" si="128"/>
        <v>#VALUE!</v>
      </c>
      <c r="AE75" s="2" t="e">
        <f t="shared" si="128"/>
        <v>#VALUE!</v>
      </c>
      <c r="AF75" s="2" t="e">
        <f t="shared" si="128"/>
        <v>#VALUE!</v>
      </c>
      <c r="AG75" s="2" t="e">
        <f t="shared" si="128"/>
        <v>#VALUE!</v>
      </c>
      <c r="AH75" s="2" t="e">
        <f t="shared" si="128"/>
        <v>#VALUE!</v>
      </c>
      <c r="AI75" s="2" t="e">
        <f t="shared" si="128"/>
        <v>#VALUE!</v>
      </c>
      <c r="AJ75" s="2" t="e">
        <f t="shared" si="128"/>
        <v>#VALUE!</v>
      </c>
      <c r="AK75" s="2" t="e">
        <f t="shared" si="128"/>
        <v>#VALUE!</v>
      </c>
      <c r="AL75" s="2" t="e">
        <f t="shared" si="128"/>
        <v>#VALUE!</v>
      </c>
      <c r="AM75" s="2" t="e">
        <f t="shared" si="128"/>
        <v>#VALUE!</v>
      </c>
      <c r="AN75" s="2" t="e">
        <f t="shared" si="128"/>
        <v>#VALUE!</v>
      </c>
      <c r="AO75" s="2" t="e">
        <f t="shared" si="128"/>
        <v>#VALUE!</v>
      </c>
      <c r="AP75" s="2" t="e">
        <f t="shared" si="128"/>
        <v>#VALUE!</v>
      </c>
      <c r="AQ75" s="2" t="e">
        <f t="shared" si="128"/>
        <v>#VALUE!</v>
      </c>
      <c r="AR75" s="2" t="e">
        <f t="shared" si="128"/>
        <v>#VALUE!</v>
      </c>
    </row>
    <row r="76" spans="3:44">
      <c r="C76" s="2" t="e">
        <f t="shared" ref="C76:AR76" si="129">BowlSplit(C39,$C$41)</f>
        <v>#VALUE!</v>
      </c>
      <c r="D76" s="2" t="e">
        <f t="shared" si="129"/>
        <v>#VALUE!</v>
      </c>
      <c r="E76" s="2" t="e">
        <f t="shared" si="129"/>
        <v>#VALUE!</v>
      </c>
      <c r="F76" s="2" t="e">
        <f t="shared" si="129"/>
        <v>#VALUE!</v>
      </c>
      <c r="G76" s="2" t="e">
        <f t="shared" si="129"/>
        <v>#VALUE!</v>
      </c>
      <c r="H76" s="2" t="e">
        <f t="shared" si="129"/>
        <v>#VALUE!</v>
      </c>
      <c r="I76" s="2" t="e">
        <f t="shared" si="129"/>
        <v>#VALUE!</v>
      </c>
      <c r="J76" s="2" t="e">
        <f t="shared" si="129"/>
        <v>#VALUE!</v>
      </c>
      <c r="K76" s="2" t="e">
        <f t="shared" si="129"/>
        <v>#VALUE!</v>
      </c>
      <c r="L76" s="2" t="e">
        <f t="shared" si="129"/>
        <v>#VALUE!</v>
      </c>
      <c r="M76" s="2" t="e">
        <f t="shared" si="129"/>
        <v>#VALUE!</v>
      </c>
      <c r="N76" s="2" t="e">
        <f t="shared" si="129"/>
        <v>#VALUE!</v>
      </c>
      <c r="O76" s="2" t="e">
        <f t="shared" si="129"/>
        <v>#VALUE!</v>
      </c>
      <c r="P76" s="2" t="e">
        <f t="shared" si="129"/>
        <v>#VALUE!</v>
      </c>
      <c r="Q76" s="2" t="e">
        <f t="shared" si="129"/>
        <v>#VALUE!</v>
      </c>
      <c r="R76" s="2" t="e">
        <f t="shared" si="129"/>
        <v>#VALUE!</v>
      </c>
      <c r="S76" s="2" t="e">
        <f t="shared" si="129"/>
        <v>#VALUE!</v>
      </c>
      <c r="T76" s="2" t="e">
        <f t="shared" si="129"/>
        <v>#VALUE!</v>
      </c>
      <c r="U76" s="2" t="e">
        <f t="shared" si="129"/>
        <v>#VALUE!</v>
      </c>
      <c r="V76" s="2" t="e">
        <f t="shared" si="129"/>
        <v>#VALUE!</v>
      </c>
      <c r="W76" s="2" t="e">
        <f t="shared" si="129"/>
        <v>#VALUE!</v>
      </c>
      <c r="X76" s="2" t="e">
        <f t="shared" si="129"/>
        <v>#VALUE!</v>
      </c>
      <c r="Y76" s="2" t="e">
        <f t="shared" si="129"/>
        <v>#VALUE!</v>
      </c>
      <c r="Z76" s="2" t="e">
        <f t="shared" si="129"/>
        <v>#VALUE!</v>
      </c>
      <c r="AA76" s="2" t="e">
        <f t="shared" si="129"/>
        <v>#VALUE!</v>
      </c>
      <c r="AB76" s="2" t="e">
        <f t="shared" si="129"/>
        <v>#VALUE!</v>
      </c>
      <c r="AC76" s="2" t="e">
        <f t="shared" si="129"/>
        <v>#VALUE!</v>
      </c>
      <c r="AD76" s="2" t="e">
        <f t="shared" si="129"/>
        <v>#VALUE!</v>
      </c>
      <c r="AE76" s="2" t="e">
        <f t="shared" si="129"/>
        <v>#VALUE!</v>
      </c>
      <c r="AF76" s="2" t="e">
        <f t="shared" si="129"/>
        <v>#VALUE!</v>
      </c>
      <c r="AG76" s="2" t="e">
        <f t="shared" si="129"/>
        <v>#VALUE!</v>
      </c>
      <c r="AH76" s="2" t="e">
        <f t="shared" si="129"/>
        <v>#VALUE!</v>
      </c>
      <c r="AI76" s="2" t="e">
        <f t="shared" si="129"/>
        <v>#VALUE!</v>
      </c>
      <c r="AJ76" s="2" t="e">
        <f t="shared" si="129"/>
        <v>#VALUE!</v>
      </c>
      <c r="AK76" s="2" t="e">
        <f t="shared" si="129"/>
        <v>#VALUE!</v>
      </c>
      <c r="AL76" s="2" t="e">
        <f t="shared" si="129"/>
        <v>#VALUE!</v>
      </c>
      <c r="AM76" s="2" t="e">
        <f t="shared" si="129"/>
        <v>#VALUE!</v>
      </c>
      <c r="AN76" s="2" t="e">
        <f t="shared" si="129"/>
        <v>#VALUE!</v>
      </c>
      <c r="AO76" s="2" t="e">
        <f t="shared" si="129"/>
        <v>#VALUE!</v>
      </c>
      <c r="AP76" s="2" t="e">
        <f t="shared" si="129"/>
        <v>#VALUE!</v>
      </c>
      <c r="AQ76" s="2" t="e">
        <f t="shared" si="129"/>
        <v>#VALUE!</v>
      </c>
      <c r="AR76" s="2" t="e">
        <f t="shared" si="129"/>
        <v>#VALUE!</v>
      </c>
    </row>
    <row r="77" spans="3:44">
      <c r="C77" s="2" t="e">
        <f t="shared" ref="C77:AR77" si="130">BowlSplit(C40,$C$41)</f>
        <v>#VALUE!</v>
      </c>
      <c r="D77" s="2" t="e">
        <f t="shared" si="130"/>
        <v>#VALUE!</v>
      </c>
      <c r="E77" s="2" t="e">
        <f t="shared" si="130"/>
        <v>#VALUE!</v>
      </c>
      <c r="F77" s="2" t="e">
        <f t="shared" si="130"/>
        <v>#VALUE!</v>
      </c>
      <c r="G77" s="2" t="e">
        <f t="shared" si="130"/>
        <v>#VALUE!</v>
      </c>
      <c r="H77" s="2" t="e">
        <f t="shared" si="130"/>
        <v>#VALUE!</v>
      </c>
      <c r="I77" s="2" t="e">
        <f t="shared" si="130"/>
        <v>#VALUE!</v>
      </c>
      <c r="J77" s="2" t="e">
        <f t="shared" si="130"/>
        <v>#VALUE!</v>
      </c>
      <c r="K77" s="2" t="e">
        <f t="shared" si="130"/>
        <v>#VALUE!</v>
      </c>
      <c r="L77" s="2" t="e">
        <f t="shared" si="130"/>
        <v>#VALUE!</v>
      </c>
      <c r="M77" s="2" t="e">
        <f t="shared" si="130"/>
        <v>#VALUE!</v>
      </c>
      <c r="N77" s="2" t="e">
        <f t="shared" si="130"/>
        <v>#VALUE!</v>
      </c>
      <c r="O77" s="2" t="e">
        <f t="shared" si="130"/>
        <v>#VALUE!</v>
      </c>
      <c r="P77" s="2" t="e">
        <f t="shared" si="130"/>
        <v>#VALUE!</v>
      </c>
      <c r="Q77" s="2" t="e">
        <f t="shared" si="130"/>
        <v>#VALUE!</v>
      </c>
      <c r="R77" s="2" t="e">
        <f t="shared" si="130"/>
        <v>#VALUE!</v>
      </c>
      <c r="S77" s="2" t="e">
        <f t="shared" si="130"/>
        <v>#VALUE!</v>
      </c>
      <c r="T77" s="2" t="e">
        <f t="shared" si="130"/>
        <v>#VALUE!</v>
      </c>
      <c r="U77" s="2" t="e">
        <f t="shared" si="130"/>
        <v>#VALUE!</v>
      </c>
      <c r="V77" s="2" t="e">
        <f t="shared" si="130"/>
        <v>#VALUE!</v>
      </c>
      <c r="W77" s="2" t="e">
        <f t="shared" si="130"/>
        <v>#VALUE!</v>
      </c>
      <c r="X77" s="2" t="e">
        <f t="shared" si="130"/>
        <v>#VALUE!</v>
      </c>
      <c r="Y77" s="2" t="e">
        <f t="shared" si="130"/>
        <v>#VALUE!</v>
      </c>
      <c r="Z77" s="2" t="e">
        <f t="shared" si="130"/>
        <v>#VALUE!</v>
      </c>
      <c r="AA77" s="2" t="e">
        <f t="shared" si="130"/>
        <v>#VALUE!</v>
      </c>
      <c r="AB77" s="2" t="e">
        <f t="shared" si="130"/>
        <v>#VALUE!</v>
      </c>
      <c r="AC77" s="2" t="e">
        <f t="shared" si="130"/>
        <v>#VALUE!</v>
      </c>
      <c r="AD77" s="2" t="e">
        <f t="shared" si="130"/>
        <v>#VALUE!</v>
      </c>
      <c r="AE77" s="2" t="e">
        <f t="shared" si="130"/>
        <v>#VALUE!</v>
      </c>
      <c r="AF77" s="2" t="e">
        <f t="shared" si="130"/>
        <v>#VALUE!</v>
      </c>
      <c r="AG77" s="2" t="e">
        <f t="shared" si="130"/>
        <v>#VALUE!</v>
      </c>
      <c r="AH77" s="2" t="e">
        <f t="shared" si="130"/>
        <v>#VALUE!</v>
      </c>
      <c r="AI77" s="2" t="e">
        <f t="shared" si="130"/>
        <v>#VALUE!</v>
      </c>
      <c r="AJ77" s="2" t="e">
        <f t="shared" si="130"/>
        <v>#VALUE!</v>
      </c>
      <c r="AK77" s="2" t="e">
        <f t="shared" si="130"/>
        <v>#VALUE!</v>
      </c>
      <c r="AL77" s="2" t="e">
        <f t="shared" si="130"/>
        <v>#VALUE!</v>
      </c>
      <c r="AM77" s="2" t="e">
        <f t="shared" si="130"/>
        <v>#VALUE!</v>
      </c>
      <c r="AN77" s="2" t="e">
        <f t="shared" si="130"/>
        <v>#VALUE!</v>
      </c>
      <c r="AO77" s="2" t="e">
        <f t="shared" si="130"/>
        <v>#VALUE!</v>
      </c>
      <c r="AP77" s="2" t="e">
        <f t="shared" si="130"/>
        <v>#VALUE!</v>
      </c>
      <c r="AQ77" s="2" t="e">
        <f t="shared" si="130"/>
        <v>#VALUE!</v>
      </c>
      <c r="AR77" s="2" t="e">
        <f t="shared" si="130"/>
        <v>#VALUE!</v>
      </c>
    </row>
    <row r="78" spans="3:44">
      <c r="C78" s="2" t="e">
        <f t="shared" ref="C78:AR78" si="131">BowlSplit(C41,$C$41)</f>
        <v>#VALUE!</v>
      </c>
      <c r="D78" s="2">
        <f t="shared" si="131"/>
        <v>0</v>
      </c>
      <c r="E78" s="2">
        <f t="shared" si="131"/>
        <v>0</v>
      </c>
      <c r="F78" s="2">
        <f t="shared" si="131"/>
        <v>0</v>
      </c>
      <c r="G78" s="2">
        <f t="shared" si="131"/>
        <v>0</v>
      </c>
      <c r="H78" s="2">
        <f t="shared" si="131"/>
        <v>0</v>
      </c>
      <c r="I78" s="2">
        <f t="shared" si="131"/>
        <v>0</v>
      </c>
      <c r="J78" s="2">
        <f t="shared" si="131"/>
        <v>0</v>
      </c>
      <c r="K78" s="2">
        <f t="shared" si="131"/>
        <v>0</v>
      </c>
      <c r="L78" s="2">
        <f t="shared" si="131"/>
        <v>0</v>
      </c>
      <c r="M78" s="2">
        <f t="shared" si="131"/>
        <v>0</v>
      </c>
      <c r="N78" s="2">
        <f t="shared" si="131"/>
        <v>0</v>
      </c>
      <c r="O78" s="2">
        <f t="shared" si="131"/>
        <v>0</v>
      </c>
      <c r="P78" s="2">
        <f t="shared" si="131"/>
        <v>0</v>
      </c>
      <c r="Q78" s="2">
        <f t="shared" si="131"/>
        <v>0</v>
      </c>
      <c r="R78" s="2">
        <f t="shared" si="131"/>
        <v>0</v>
      </c>
      <c r="S78" s="2">
        <f t="shared" si="131"/>
        <v>0</v>
      </c>
      <c r="T78" s="2">
        <f t="shared" si="131"/>
        <v>0</v>
      </c>
      <c r="U78" s="2">
        <f t="shared" si="131"/>
        <v>0</v>
      </c>
      <c r="V78" s="2">
        <f t="shared" si="131"/>
        <v>0</v>
      </c>
      <c r="W78" s="2">
        <f t="shared" si="131"/>
        <v>0</v>
      </c>
      <c r="X78" s="2">
        <f t="shared" si="131"/>
        <v>0</v>
      </c>
      <c r="Y78" s="2">
        <f t="shared" si="131"/>
        <v>0</v>
      </c>
      <c r="Z78" s="2">
        <f t="shared" si="131"/>
        <v>0</v>
      </c>
      <c r="AA78" s="2">
        <f t="shared" si="131"/>
        <v>0</v>
      </c>
      <c r="AB78" s="2">
        <f t="shared" si="131"/>
        <v>0</v>
      </c>
      <c r="AC78" s="2">
        <f t="shared" si="131"/>
        <v>0</v>
      </c>
      <c r="AD78" s="2">
        <f t="shared" si="131"/>
        <v>0</v>
      </c>
      <c r="AE78" s="2">
        <f t="shared" si="131"/>
        <v>0</v>
      </c>
      <c r="AF78" s="2">
        <f t="shared" si="131"/>
        <v>0</v>
      </c>
      <c r="AG78" s="2">
        <f t="shared" si="131"/>
        <v>0</v>
      </c>
      <c r="AH78" s="2">
        <f t="shared" si="131"/>
        <v>0</v>
      </c>
      <c r="AI78" s="2">
        <f t="shared" si="131"/>
        <v>0</v>
      </c>
      <c r="AJ78" s="2">
        <f t="shared" si="131"/>
        <v>0</v>
      </c>
      <c r="AK78" s="2">
        <f t="shared" si="131"/>
        <v>0</v>
      </c>
      <c r="AL78" s="2">
        <f t="shared" si="131"/>
        <v>0</v>
      </c>
      <c r="AM78" s="2">
        <f t="shared" si="131"/>
        <v>0</v>
      </c>
      <c r="AN78" s="2">
        <f t="shared" si="131"/>
        <v>0</v>
      </c>
      <c r="AO78" s="2">
        <f t="shared" si="131"/>
        <v>0</v>
      </c>
      <c r="AP78" s="2">
        <f t="shared" si="131"/>
        <v>0</v>
      </c>
      <c r="AQ78" s="2">
        <f t="shared" si="131"/>
        <v>0</v>
      </c>
      <c r="AR78" s="2">
        <f t="shared" si="131"/>
        <v>0</v>
      </c>
    </row>
    <row r="79" spans="3:44">
      <c r="C79" s="2" t="e">
        <f t="shared" ref="C79:AR79" si="132">BowlSplit(C42,$C$41)</f>
        <v>#VALUE!</v>
      </c>
      <c r="D79" s="2" t="e">
        <f t="shared" si="132"/>
        <v>#VALUE!</v>
      </c>
      <c r="E79" s="2" t="e">
        <f t="shared" si="132"/>
        <v>#VALUE!</v>
      </c>
      <c r="F79" s="2" t="e">
        <f t="shared" si="132"/>
        <v>#VALUE!</v>
      </c>
      <c r="G79" s="2" t="e">
        <f t="shared" si="132"/>
        <v>#VALUE!</v>
      </c>
      <c r="H79" s="2" t="e">
        <f t="shared" si="132"/>
        <v>#VALUE!</v>
      </c>
      <c r="I79" s="2" t="e">
        <f t="shared" si="132"/>
        <v>#VALUE!</v>
      </c>
      <c r="J79" s="2" t="e">
        <f t="shared" si="132"/>
        <v>#VALUE!</v>
      </c>
      <c r="K79" s="2" t="e">
        <f t="shared" si="132"/>
        <v>#VALUE!</v>
      </c>
      <c r="L79" s="2" t="e">
        <f t="shared" si="132"/>
        <v>#VALUE!</v>
      </c>
      <c r="M79" s="2" t="e">
        <f t="shared" si="132"/>
        <v>#VALUE!</v>
      </c>
      <c r="N79" s="2" t="e">
        <f t="shared" si="132"/>
        <v>#VALUE!</v>
      </c>
      <c r="O79" s="2" t="e">
        <f t="shared" si="132"/>
        <v>#VALUE!</v>
      </c>
      <c r="P79" s="2" t="e">
        <f t="shared" si="132"/>
        <v>#VALUE!</v>
      </c>
      <c r="Q79" s="2" t="e">
        <f t="shared" si="132"/>
        <v>#VALUE!</v>
      </c>
      <c r="R79" s="2" t="e">
        <f t="shared" si="132"/>
        <v>#VALUE!</v>
      </c>
      <c r="S79" s="2" t="e">
        <f t="shared" si="132"/>
        <v>#VALUE!</v>
      </c>
      <c r="T79" s="2" t="e">
        <f t="shared" si="132"/>
        <v>#VALUE!</v>
      </c>
      <c r="U79" s="2" t="e">
        <f t="shared" si="132"/>
        <v>#VALUE!</v>
      </c>
      <c r="V79" s="2" t="e">
        <f t="shared" si="132"/>
        <v>#VALUE!</v>
      </c>
      <c r="W79" s="2" t="e">
        <f t="shared" si="132"/>
        <v>#VALUE!</v>
      </c>
      <c r="X79" s="2" t="e">
        <f t="shared" si="132"/>
        <v>#VALUE!</v>
      </c>
      <c r="Y79" s="2" t="e">
        <f t="shared" si="132"/>
        <v>#VALUE!</v>
      </c>
      <c r="Z79" s="2" t="e">
        <f t="shared" si="132"/>
        <v>#VALUE!</v>
      </c>
      <c r="AA79" s="2" t="e">
        <f t="shared" si="132"/>
        <v>#VALUE!</v>
      </c>
      <c r="AB79" s="2" t="e">
        <f t="shared" si="132"/>
        <v>#VALUE!</v>
      </c>
      <c r="AC79" s="2" t="e">
        <f t="shared" si="132"/>
        <v>#VALUE!</v>
      </c>
      <c r="AD79" s="2" t="e">
        <f t="shared" si="132"/>
        <v>#VALUE!</v>
      </c>
      <c r="AE79" s="2" t="e">
        <f t="shared" si="132"/>
        <v>#VALUE!</v>
      </c>
      <c r="AF79" s="2" t="e">
        <f t="shared" si="132"/>
        <v>#VALUE!</v>
      </c>
      <c r="AG79" s="2" t="e">
        <f t="shared" si="132"/>
        <v>#VALUE!</v>
      </c>
      <c r="AH79" s="2" t="e">
        <f t="shared" si="132"/>
        <v>#VALUE!</v>
      </c>
      <c r="AI79" s="2" t="e">
        <f t="shared" si="132"/>
        <v>#VALUE!</v>
      </c>
      <c r="AJ79" s="2" t="e">
        <f t="shared" si="132"/>
        <v>#VALUE!</v>
      </c>
      <c r="AK79" s="2" t="e">
        <f t="shared" si="132"/>
        <v>#VALUE!</v>
      </c>
      <c r="AL79" s="2" t="e">
        <f t="shared" si="132"/>
        <v>#VALUE!</v>
      </c>
      <c r="AM79" s="2" t="e">
        <f t="shared" si="132"/>
        <v>#VALUE!</v>
      </c>
      <c r="AN79" s="2" t="e">
        <f t="shared" si="132"/>
        <v>#VALUE!</v>
      </c>
      <c r="AO79" s="2" t="e">
        <f t="shared" si="132"/>
        <v>#VALUE!</v>
      </c>
      <c r="AP79" s="2" t="e">
        <f t="shared" si="132"/>
        <v>#VALUE!</v>
      </c>
      <c r="AQ79" s="2" t="e">
        <f t="shared" si="132"/>
        <v>#VALUE!</v>
      </c>
      <c r="AR79" s="2" t="e">
        <f t="shared" si="132"/>
        <v>#VALUE!</v>
      </c>
    </row>
    <row r="80" spans="3:44">
      <c r="C80" s="2" t="e">
        <f t="shared" ref="C80:AR80" si="133">BowlSplit(C43,$C$41)</f>
        <v>#VALUE!</v>
      </c>
      <c r="D80" s="2" t="e">
        <f t="shared" si="133"/>
        <v>#VALUE!</v>
      </c>
      <c r="E80" s="2" t="e">
        <f t="shared" si="133"/>
        <v>#VALUE!</v>
      </c>
      <c r="F80" s="2" t="e">
        <f t="shared" si="133"/>
        <v>#VALUE!</v>
      </c>
      <c r="G80" s="2" t="e">
        <f t="shared" si="133"/>
        <v>#VALUE!</v>
      </c>
      <c r="H80" s="2" t="e">
        <f t="shared" si="133"/>
        <v>#VALUE!</v>
      </c>
      <c r="I80" s="2" t="e">
        <f t="shared" si="133"/>
        <v>#VALUE!</v>
      </c>
      <c r="J80" s="2" t="e">
        <f t="shared" si="133"/>
        <v>#VALUE!</v>
      </c>
      <c r="K80" s="2" t="e">
        <f t="shared" si="133"/>
        <v>#VALUE!</v>
      </c>
      <c r="L80" s="2" t="e">
        <f t="shared" si="133"/>
        <v>#VALUE!</v>
      </c>
      <c r="M80" s="2" t="e">
        <f t="shared" si="133"/>
        <v>#VALUE!</v>
      </c>
      <c r="N80" s="2" t="e">
        <f t="shared" si="133"/>
        <v>#VALUE!</v>
      </c>
      <c r="O80" s="2" t="e">
        <f t="shared" si="133"/>
        <v>#VALUE!</v>
      </c>
      <c r="P80" s="2" t="e">
        <f t="shared" si="133"/>
        <v>#VALUE!</v>
      </c>
      <c r="Q80" s="2" t="e">
        <f t="shared" si="133"/>
        <v>#VALUE!</v>
      </c>
      <c r="R80" s="2" t="e">
        <f t="shared" si="133"/>
        <v>#VALUE!</v>
      </c>
      <c r="S80" s="2" t="e">
        <f t="shared" si="133"/>
        <v>#VALUE!</v>
      </c>
      <c r="T80" s="2" t="e">
        <f t="shared" si="133"/>
        <v>#VALUE!</v>
      </c>
      <c r="U80" s="2" t="e">
        <f t="shared" si="133"/>
        <v>#VALUE!</v>
      </c>
      <c r="V80" s="2" t="e">
        <f t="shared" si="133"/>
        <v>#VALUE!</v>
      </c>
      <c r="W80" s="2" t="e">
        <f t="shared" si="133"/>
        <v>#VALUE!</v>
      </c>
      <c r="X80" s="2" t="e">
        <f t="shared" si="133"/>
        <v>#VALUE!</v>
      </c>
      <c r="Y80" s="2" t="e">
        <f t="shared" si="133"/>
        <v>#VALUE!</v>
      </c>
      <c r="Z80" s="2" t="e">
        <f t="shared" si="133"/>
        <v>#VALUE!</v>
      </c>
      <c r="AA80" s="2" t="e">
        <f t="shared" si="133"/>
        <v>#VALUE!</v>
      </c>
      <c r="AB80" s="2" t="e">
        <f t="shared" si="133"/>
        <v>#VALUE!</v>
      </c>
      <c r="AC80" s="2" t="e">
        <f t="shared" si="133"/>
        <v>#VALUE!</v>
      </c>
      <c r="AD80" s="2" t="e">
        <f t="shared" si="133"/>
        <v>#VALUE!</v>
      </c>
      <c r="AE80" s="2" t="e">
        <f t="shared" si="133"/>
        <v>#VALUE!</v>
      </c>
      <c r="AF80" s="2" t="e">
        <f t="shared" si="133"/>
        <v>#VALUE!</v>
      </c>
      <c r="AG80" s="2" t="e">
        <f t="shared" si="133"/>
        <v>#VALUE!</v>
      </c>
      <c r="AH80" s="2" t="e">
        <f t="shared" si="133"/>
        <v>#VALUE!</v>
      </c>
      <c r="AI80" s="2" t="e">
        <f t="shared" si="133"/>
        <v>#VALUE!</v>
      </c>
      <c r="AJ80" s="2" t="e">
        <f t="shared" si="133"/>
        <v>#VALUE!</v>
      </c>
      <c r="AK80" s="2" t="e">
        <f t="shared" si="133"/>
        <v>#VALUE!</v>
      </c>
      <c r="AL80" s="2" t="e">
        <f t="shared" si="133"/>
        <v>#VALUE!</v>
      </c>
      <c r="AM80" s="2" t="e">
        <f t="shared" si="133"/>
        <v>#VALUE!</v>
      </c>
      <c r="AN80" s="2" t="e">
        <f t="shared" si="133"/>
        <v>#VALUE!</v>
      </c>
      <c r="AO80" s="2" t="e">
        <f t="shared" si="133"/>
        <v>#VALUE!</v>
      </c>
      <c r="AP80" s="2" t="e">
        <f t="shared" si="133"/>
        <v>#VALUE!</v>
      </c>
      <c r="AQ80" s="2" t="e">
        <f t="shared" si="133"/>
        <v>#VALUE!</v>
      </c>
      <c r="AR80" s="2" t="e">
        <f t="shared" si="133"/>
        <v>#VALUE!</v>
      </c>
    </row>
    <row r="81" spans="3:44">
      <c r="C81" s="2" t="e">
        <f t="shared" ref="C81:AR81" si="134">BowlSplit(C44,$C$41)</f>
        <v>#VALUE!</v>
      </c>
      <c r="D81" s="2" t="e">
        <f t="shared" si="134"/>
        <v>#VALUE!</v>
      </c>
      <c r="E81" s="2" t="e">
        <f t="shared" si="134"/>
        <v>#VALUE!</v>
      </c>
      <c r="F81" s="2" t="e">
        <f t="shared" si="134"/>
        <v>#VALUE!</v>
      </c>
      <c r="G81" s="2" t="e">
        <f t="shared" si="134"/>
        <v>#VALUE!</v>
      </c>
      <c r="H81" s="2" t="e">
        <f t="shared" si="134"/>
        <v>#VALUE!</v>
      </c>
      <c r="I81" s="2" t="e">
        <f t="shared" si="134"/>
        <v>#VALUE!</v>
      </c>
      <c r="J81" s="2" t="e">
        <f t="shared" si="134"/>
        <v>#VALUE!</v>
      </c>
      <c r="K81" s="2" t="e">
        <f t="shared" si="134"/>
        <v>#VALUE!</v>
      </c>
      <c r="L81" s="2" t="e">
        <f t="shared" si="134"/>
        <v>#VALUE!</v>
      </c>
      <c r="M81" s="2" t="e">
        <f t="shared" si="134"/>
        <v>#VALUE!</v>
      </c>
      <c r="N81" s="2" t="e">
        <f t="shared" si="134"/>
        <v>#VALUE!</v>
      </c>
      <c r="O81" s="2" t="e">
        <f t="shared" si="134"/>
        <v>#VALUE!</v>
      </c>
      <c r="P81" s="2" t="e">
        <f t="shared" si="134"/>
        <v>#VALUE!</v>
      </c>
      <c r="Q81" s="2" t="e">
        <f t="shared" si="134"/>
        <v>#VALUE!</v>
      </c>
      <c r="R81" s="2" t="e">
        <f t="shared" si="134"/>
        <v>#VALUE!</v>
      </c>
      <c r="S81" s="2" t="e">
        <f t="shared" si="134"/>
        <v>#VALUE!</v>
      </c>
      <c r="T81" s="2" t="e">
        <f t="shared" si="134"/>
        <v>#VALUE!</v>
      </c>
      <c r="U81" s="2" t="e">
        <f t="shared" si="134"/>
        <v>#VALUE!</v>
      </c>
      <c r="V81" s="2" t="e">
        <f t="shared" si="134"/>
        <v>#VALUE!</v>
      </c>
      <c r="W81" s="2" t="e">
        <f t="shared" si="134"/>
        <v>#VALUE!</v>
      </c>
      <c r="X81" s="2" t="e">
        <f t="shared" si="134"/>
        <v>#VALUE!</v>
      </c>
      <c r="Y81" s="2" t="e">
        <f t="shared" si="134"/>
        <v>#VALUE!</v>
      </c>
      <c r="Z81" s="2" t="e">
        <f t="shared" si="134"/>
        <v>#VALUE!</v>
      </c>
      <c r="AA81" s="2" t="e">
        <f t="shared" si="134"/>
        <v>#VALUE!</v>
      </c>
      <c r="AB81" s="2" t="e">
        <f t="shared" si="134"/>
        <v>#VALUE!</v>
      </c>
      <c r="AC81" s="2" t="e">
        <f t="shared" si="134"/>
        <v>#VALUE!</v>
      </c>
      <c r="AD81" s="2" t="e">
        <f t="shared" si="134"/>
        <v>#VALUE!</v>
      </c>
      <c r="AE81" s="2" t="e">
        <f t="shared" si="134"/>
        <v>#VALUE!</v>
      </c>
      <c r="AF81" s="2" t="e">
        <f t="shared" si="134"/>
        <v>#VALUE!</v>
      </c>
      <c r="AG81" s="2" t="e">
        <f t="shared" si="134"/>
        <v>#VALUE!</v>
      </c>
      <c r="AH81" s="2" t="e">
        <f t="shared" si="134"/>
        <v>#VALUE!</v>
      </c>
      <c r="AI81" s="2" t="e">
        <f t="shared" si="134"/>
        <v>#VALUE!</v>
      </c>
      <c r="AJ81" s="2" t="e">
        <f t="shared" si="134"/>
        <v>#VALUE!</v>
      </c>
      <c r="AK81" s="2" t="e">
        <f t="shared" si="134"/>
        <v>#VALUE!</v>
      </c>
      <c r="AL81" s="2" t="e">
        <f t="shared" si="134"/>
        <v>#VALUE!</v>
      </c>
      <c r="AM81" s="2" t="e">
        <f t="shared" si="134"/>
        <v>#VALUE!</v>
      </c>
      <c r="AN81" s="2" t="e">
        <f t="shared" si="134"/>
        <v>#VALUE!</v>
      </c>
      <c r="AO81" s="2" t="e">
        <f t="shared" si="134"/>
        <v>#VALUE!</v>
      </c>
      <c r="AP81" s="2" t="e">
        <f t="shared" si="134"/>
        <v>#VALUE!</v>
      </c>
      <c r="AQ81" s="2" t="e">
        <f t="shared" si="134"/>
        <v>#VALUE!</v>
      </c>
      <c r="AR81" s="2" t="e">
        <f t="shared" si="134"/>
        <v>#VALUE!</v>
      </c>
    </row>
  </sheetData>
  <phoneticPr fontId="0" type="noConversion"/>
  <conditionalFormatting sqref="AG93:AG104 AU42:BB84 AS42:AT92 C73:AR92">
    <cfRule type="cellIs" dxfId="2" priority="3" stopIfTrue="1" operator="greaterThan">
      <formula>5</formula>
    </cfRule>
  </conditionalFormatting>
  <conditionalFormatting sqref="C40:CC40">
    <cfRule type="cellIs" dxfId="1" priority="4" stopIfTrue="1" operator="notEqual">
      <formula>C38</formula>
    </cfRule>
  </conditionalFormatting>
  <conditionalFormatting sqref="C42:AR81">
    <cfRule type="cellIs" dxfId="0" priority="5" stopIfTrue="1" operator="equal">
      <formula>$B$42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W85"/>
  <sheetViews>
    <sheetView workbookViewId="0">
      <selection activeCell="H2" sqref="H2"/>
    </sheetView>
  </sheetViews>
  <sheetFormatPr defaultRowHeight="10.5"/>
  <cols>
    <col min="1" max="1" width="17.28515625" style="70" bestFit="1" customWidth="1"/>
    <col min="2" max="2" width="12.7109375" style="70" bestFit="1" customWidth="1"/>
    <col min="3" max="3" width="7.5703125" style="74" bestFit="1" customWidth="1"/>
    <col min="4" max="4" width="5.28515625" style="74" bestFit="1" customWidth="1"/>
    <col min="5" max="5" width="7.140625" style="74" bestFit="1" customWidth="1"/>
    <col min="6" max="7" width="5.28515625" style="74" bestFit="1" customWidth="1"/>
    <col min="8" max="8" width="8.85546875" style="80" bestFit="1" customWidth="1"/>
    <col min="9" max="9" width="5.28515625" style="70" bestFit="1" customWidth="1"/>
    <col min="10" max="11" width="9.140625" style="70"/>
    <col min="12" max="12" width="21.5703125" style="70" bestFit="1" customWidth="1"/>
    <col min="13" max="13" width="9.140625" style="70"/>
    <col min="14" max="14" width="12.7109375" style="137" bestFit="1" customWidth="1"/>
    <col min="15" max="15" width="13.140625" style="139" bestFit="1" customWidth="1"/>
    <col min="16" max="16" width="4.5703125" style="137" bestFit="1" customWidth="1"/>
    <col min="17" max="17" width="7.140625" style="137" bestFit="1" customWidth="1"/>
    <col min="18" max="18" width="5" style="140" bestFit="1" customWidth="1"/>
    <col min="19" max="19" width="5" style="137" bestFit="1" customWidth="1"/>
    <col min="20" max="20" width="8.85546875" style="138" bestFit="1" customWidth="1"/>
    <col min="21" max="16384" width="9.140625" style="70"/>
  </cols>
  <sheetData>
    <row r="1" spans="1:23" ht="12.75">
      <c r="A1" s="62" t="s">
        <v>141</v>
      </c>
      <c r="C1" s="74" t="s">
        <v>5</v>
      </c>
      <c r="D1" s="74" t="s">
        <v>7</v>
      </c>
      <c r="E1" s="74" t="s">
        <v>8</v>
      </c>
      <c r="F1" s="74" t="s">
        <v>142</v>
      </c>
      <c r="G1" s="74" t="s">
        <v>9</v>
      </c>
      <c r="H1" s="80" t="s">
        <v>10</v>
      </c>
      <c r="J1" s="74"/>
      <c r="L1" s="70" t="s">
        <v>226</v>
      </c>
      <c r="M1" s="70">
        <f t="array" aca="1" ref="M1" ca="1">SUM(IF(NOT(ISNA(B2:B60)),1,0))</f>
        <v>34</v>
      </c>
      <c r="N1" s="141"/>
      <c r="O1" s="144" t="s">
        <v>84</v>
      </c>
      <c r="P1" s="142" t="s">
        <v>7</v>
      </c>
      <c r="Q1" s="142" t="s">
        <v>271</v>
      </c>
      <c r="R1" s="142" t="s">
        <v>142</v>
      </c>
      <c r="S1" s="142" t="s">
        <v>9</v>
      </c>
      <c r="T1" s="142" t="s">
        <v>38</v>
      </c>
    </row>
    <row r="2" spans="1:23" ht="12.75">
      <c r="A2" s="70">
        <v>1</v>
      </c>
      <c r="B2" s="70" t="str">
        <f ca="1">OFFSET(Batting!$C$4,BatAves!$I2,0)</f>
        <v>Gibb A</v>
      </c>
      <c r="C2" s="74">
        <f ca="1">OFFSET(Batting!$CE$4,BatAves!$I2,0)</f>
        <v>1</v>
      </c>
      <c r="D2" s="74">
        <f ca="1">OFFSET(Batting!$CG$4,BatAves!$I2,0)</f>
        <v>1</v>
      </c>
      <c r="E2" s="74">
        <f ca="1">OFFSET(Batting!$CH$4,BatAves!$I2,0)</f>
        <v>0</v>
      </c>
      <c r="F2" s="74">
        <f ca="1">OFFSET(Batting!$CJ$4,BatAves!$I2,0)</f>
        <v>78</v>
      </c>
      <c r="G2" s="74">
        <f ca="1">OFFSET(Batting!$CK$4,BatAves!$I2,0)</f>
        <v>78</v>
      </c>
      <c r="H2" s="79">
        <f ca="1">OFFSET(Batting!$CL$4,BatAves!$I2,0)</f>
        <v>78</v>
      </c>
      <c r="I2" s="70">
        <f>MATCH(A2,Batting!$DF$5:$DF$38,0)</f>
        <v>13</v>
      </c>
      <c r="J2" s="70">
        <f ca="1">IF(D2&gt;=5,A2,1000+A2)</f>
        <v>1001</v>
      </c>
      <c r="K2" s="70">
        <f ca="1">RANK(J2,OFFSET($J$2,0,0,$M$1,1),-1)</f>
        <v>18</v>
      </c>
      <c r="L2" s="70" t="str">
        <f ca="1">IF(D2&lt;5,B2&amp;" "&amp;D2&amp;"-"&amp;E2&amp;"-"&amp;F2&amp;"-"&amp;G2,"")</f>
        <v>Gibb A 1-0-78-78</v>
      </c>
      <c r="M2" s="70">
        <f ca="1">MATCH(N2,OFFSET($K$2,0,0,$M$1,1),0)</f>
        <v>2</v>
      </c>
      <c r="N2" s="141">
        <v>1</v>
      </c>
      <c r="O2" s="141" t="str">
        <f ca="1">OFFSET(B$1,$M2,0)</f>
        <v>Middleton J</v>
      </c>
      <c r="P2" s="141">
        <f ca="1">OFFSET(D$1,$M2,0)</f>
        <v>7</v>
      </c>
      <c r="Q2" s="141">
        <f ca="1">OFFSET(E$1,$M2,0)</f>
        <v>1</v>
      </c>
      <c r="R2" s="141">
        <f ca="1">OFFSET(F$1,$M2,0)</f>
        <v>57</v>
      </c>
      <c r="S2" s="141">
        <f ca="1">OFFSET(G$1,$M2,0)</f>
        <v>198</v>
      </c>
      <c r="T2" s="143">
        <f ca="1">OFFSET(H$1,$M2,0)</f>
        <v>33</v>
      </c>
      <c r="U2" s="74"/>
      <c r="W2" s="70" t="s">
        <v>225</v>
      </c>
    </row>
    <row r="3" spans="1:23" ht="12.75">
      <c r="A3" s="70">
        <v>2</v>
      </c>
      <c r="B3" s="70" t="str">
        <f ca="1">OFFSET(Batting!$C$4,BatAves!$I3,0)</f>
        <v>Middleton J</v>
      </c>
      <c r="C3" s="74">
        <f ca="1">OFFSET(Batting!$CE$4,BatAves!$I3,0)</f>
        <v>7</v>
      </c>
      <c r="D3" s="74">
        <f ca="1">OFFSET(Batting!$CG$4,BatAves!$I3,0)</f>
        <v>7</v>
      </c>
      <c r="E3" s="74">
        <f ca="1">OFFSET(Batting!$CH$4,BatAves!$I3,0)</f>
        <v>1</v>
      </c>
      <c r="F3" s="74">
        <f ca="1">OFFSET(Batting!$CJ$4,BatAves!$I3,0)</f>
        <v>57</v>
      </c>
      <c r="G3" s="74">
        <f ca="1">OFFSET(Batting!$CK$4,BatAves!$I3,0)</f>
        <v>198</v>
      </c>
      <c r="H3" s="79">
        <f ca="1">OFFSET(Batting!$CL$4,BatAves!$I3,0)</f>
        <v>33</v>
      </c>
      <c r="I3" s="70">
        <f>MATCH(A3,Batting!$DF$5:$DF$38,0)</f>
        <v>23</v>
      </c>
      <c r="J3" s="70">
        <f t="shared" ref="J3:J60" ca="1" si="0">IF(D3&gt;=5,A3,1000+A3)</f>
        <v>2</v>
      </c>
      <c r="K3" s="70">
        <f t="shared" ref="K3:K60" ca="1" si="1">RANK(J3,OFFSET($J$2,0,0,$M$1,1),-1)</f>
        <v>1</v>
      </c>
      <c r="L3" s="70" t="str">
        <f t="shared" ref="L3:L60" ca="1" si="2">IF(D3&lt;5,B3&amp;" "&amp;D3&amp;"-"&amp;E3&amp;"-"&amp;F3&amp;"-"&amp;G3,"")</f>
        <v/>
      </c>
      <c r="M3" s="70">
        <f t="shared" ref="M3:M43" ca="1" si="3">MATCH(N3,OFFSET($K$2,0,0,$M$1,1),0)</f>
        <v>4</v>
      </c>
      <c r="N3" s="141">
        <v>2</v>
      </c>
      <c r="O3" s="141" t="str">
        <f t="shared" ref="O3:O43" ca="1" si="4">OFFSET(B$1,$M3,0)</f>
        <v>Greyling R</v>
      </c>
      <c r="P3" s="141">
        <f t="shared" ref="P3:P43" ca="1" si="5">OFFSET(D$1,$M3,0)</f>
        <v>10</v>
      </c>
      <c r="Q3" s="141">
        <f t="shared" ref="Q3:Q43" ca="1" si="6">OFFSET(E$1,$M3,0)</f>
        <v>3</v>
      </c>
      <c r="R3" s="141">
        <f t="shared" ref="R3:R43" ca="1" si="7">OFFSET(F$1,$M3,0)</f>
        <v>43</v>
      </c>
      <c r="S3" s="141">
        <f t="shared" ref="S3:S43" ca="1" si="8">OFFSET(G$1,$M3,0)</f>
        <v>167</v>
      </c>
      <c r="T3" s="143">
        <f t="shared" ref="T3:T43" ca="1" si="9">OFFSET(H$1,$M3,0)</f>
        <v>23.857142857142858</v>
      </c>
      <c r="W3" s="70" t="s">
        <v>225</v>
      </c>
    </row>
    <row r="4" spans="1:23" ht="12.75">
      <c r="A4" s="70">
        <v>3</v>
      </c>
      <c r="B4" s="70" t="str">
        <f ca="1">OFFSET(Batting!$C$4,BatAves!$I4,0)</f>
        <v>Missen</v>
      </c>
      <c r="C4" s="74">
        <f ca="1">OFFSET(Batting!$CE$4,BatAves!$I4,0)</f>
        <v>1</v>
      </c>
      <c r="D4" s="74">
        <f ca="1">OFFSET(Batting!$CG$4,BatAves!$I4,0)</f>
        <v>1</v>
      </c>
      <c r="E4" s="74">
        <f ca="1">OFFSET(Batting!$CH$4,BatAves!$I4,0)</f>
        <v>0</v>
      </c>
      <c r="F4" s="74">
        <f ca="1">OFFSET(Batting!$CJ$4,BatAves!$I4,0)</f>
        <v>30</v>
      </c>
      <c r="G4" s="74">
        <f ca="1">OFFSET(Batting!$CK$4,BatAves!$I4,0)</f>
        <v>30</v>
      </c>
      <c r="H4" s="79">
        <f ca="1">OFFSET(Batting!$CL$4,BatAves!$I4,0)</f>
        <v>30</v>
      </c>
      <c r="I4" s="70">
        <f>MATCH(A4,Batting!$DF$5:$DF$38,0)</f>
        <v>24</v>
      </c>
      <c r="J4" s="70">
        <f t="shared" ca="1" si="0"/>
        <v>1003</v>
      </c>
      <c r="K4" s="70">
        <f t="shared" ca="1" si="1"/>
        <v>19</v>
      </c>
      <c r="L4" s="70" t="str">
        <f t="shared" ca="1" si="2"/>
        <v>Missen 1-0-30-30</v>
      </c>
      <c r="M4" s="70">
        <f t="shared" ca="1" si="3"/>
        <v>7</v>
      </c>
      <c r="N4" s="141">
        <v>3</v>
      </c>
      <c r="O4" s="141" t="str">
        <f t="shared" ca="1" si="4"/>
        <v>Cooper G</v>
      </c>
      <c r="P4" s="141">
        <f t="shared" ca="1" si="5"/>
        <v>11</v>
      </c>
      <c r="Q4" s="141">
        <f t="shared" ca="1" si="6"/>
        <v>6</v>
      </c>
      <c r="R4" s="141">
        <f t="shared" ca="1" si="7"/>
        <v>17</v>
      </c>
      <c r="S4" s="141">
        <f t="shared" ca="1" si="8"/>
        <v>87</v>
      </c>
      <c r="T4" s="143">
        <f t="shared" ca="1" si="9"/>
        <v>17.399999999999999</v>
      </c>
      <c r="W4" s="70" t="s">
        <v>225</v>
      </c>
    </row>
    <row r="5" spans="1:23" ht="12.75">
      <c r="A5" s="70">
        <v>4</v>
      </c>
      <c r="B5" s="70" t="str">
        <f ca="1">OFFSET(Batting!$C$4,BatAves!$I5,0)</f>
        <v>Greyling R</v>
      </c>
      <c r="C5" s="74">
        <f ca="1">OFFSET(Batting!$CE$4,BatAves!$I5,0)</f>
        <v>10</v>
      </c>
      <c r="D5" s="74">
        <f ca="1">OFFSET(Batting!$CG$4,BatAves!$I5,0)</f>
        <v>10</v>
      </c>
      <c r="E5" s="74">
        <f ca="1">OFFSET(Batting!$CH$4,BatAves!$I5,0)</f>
        <v>3</v>
      </c>
      <c r="F5" s="74">
        <f ca="1">OFFSET(Batting!$CJ$4,BatAves!$I5,0)</f>
        <v>43</v>
      </c>
      <c r="G5" s="74">
        <f ca="1">OFFSET(Batting!$CK$4,BatAves!$I5,0)</f>
        <v>167</v>
      </c>
      <c r="H5" s="79">
        <f ca="1">OFFSET(Batting!$CL$4,BatAves!$I5,0)</f>
        <v>23.857142857142858</v>
      </c>
      <c r="I5" s="70">
        <f>MATCH(A5,Batting!$DF$5:$DF$38,0)</f>
        <v>15</v>
      </c>
      <c r="J5" s="70">
        <f t="shared" ca="1" si="0"/>
        <v>4</v>
      </c>
      <c r="K5" s="70">
        <f t="shared" ca="1" si="1"/>
        <v>2</v>
      </c>
      <c r="L5" s="70" t="str">
        <f t="shared" ca="1" si="2"/>
        <v/>
      </c>
      <c r="M5" s="70">
        <f t="shared" ca="1" si="3"/>
        <v>8</v>
      </c>
      <c r="N5" s="141">
        <v>4</v>
      </c>
      <c r="O5" s="141" t="str">
        <f t="shared" ca="1" si="4"/>
        <v>Sharpe D</v>
      </c>
      <c r="P5" s="141">
        <f t="shared" ca="1" si="5"/>
        <v>6</v>
      </c>
      <c r="Q5" s="141">
        <f t="shared" ca="1" si="6"/>
        <v>1</v>
      </c>
      <c r="R5" s="141" t="str">
        <f t="shared" ca="1" si="7"/>
        <v>63*</v>
      </c>
      <c r="S5" s="141">
        <f t="shared" ca="1" si="8"/>
        <v>87</v>
      </c>
      <c r="T5" s="143">
        <f t="shared" ca="1" si="9"/>
        <v>17.399999999999999</v>
      </c>
      <c r="W5" s="70" t="s">
        <v>225</v>
      </c>
    </row>
    <row r="6" spans="1:23" ht="12.75">
      <c r="A6" s="70">
        <v>5</v>
      </c>
      <c r="B6" s="70" t="str">
        <f ca="1">OFFSET(Batting!$C$4,BatAves!$I6,0)</f>
        <v>Wright P</v>
      </c>
      <c r="C6" s="74">
        <f ca="1">OFFSET(Batting!$CE$4,BatAves!$I6,0)</f>
        <v>4</v>
      </c>
      <c r="D6" s="74">
        <f ca="1">OFFSET(Batting!$CG$4,BatAves!$I6,0)</f>
        <v>3</v>
      </c>
      <c r="E6" s="74">
        <f ca="1">OFFSET(Batting!$CH$4,BatAves!$I6,0)</f>
        <v>1</v>
      </c>
      <c r="F6" s="74">
        <f ca="1">OFFSET(Batting!$CJ$4,BatAves!$I6,0)</f>
        <v>25</v>
      </c>
      <c r="G6" s="74">
        <f ca="1">OFFSET(Batting!$CK$4,BatAves!$I6,0)</f>
        <v>45</v>
      </c>
      <c r="H6" s="79">
        <f ca="1">OFFSET(Batting!$CL$4,BatAves!$I6,0)</f>
        <v>22.5</v>
      </c>
      <c r="I6" s="70">
        <f>MATCH(A6,Batting!$DF$5:$DF$38,0)</f>
        <v>34</v>
      </c>
      <c r="J6" s="70">
        <f t="shared" ca="1" si="0"/>
        <v>1005</v>
      </c>
      <c r="K6" s="70">
        <f t="shared" ca="1" si="1"/>
        <v>20</v>
      </c>
      <c r="L6" s="70" t="str">
        <f t="shared" ca="1" si="2"/>
        <v>Wright P 3-1-25-45</v>
      </c>
      <c r="M6" s="70">
        <f t="shared" ca="1" si="3"/>
        <v>9</v>
      </c>
      <c r="N6" s="141">
        <v>5</v>
      </c>
      <c r="O6" s="141" t="str">
        <f t="shared" ca="1" si="4"/>
        <v>Clarkson M</v>
      </c>
      <c r="P6" s="141">
        <f t="shared" ca="1" si="5"/>
        <v>6</v>
      </c>
      <c r="Q6" s="141">
        <f t="shared" ca="1" si="6"/>
        <v>0</v>
      </c>
      <c r="R6" s="141">
        <f t="shared" ca="1" si="7"/>
        <v>35</v>
      </c>
      <c r="S6" s="141">
        <f t="shared" ca="1" si="8"/>
        <v>73</v>
      </c>
      <c r="T6" s="143">
        <f t="shared" ca="1" si="9"/>
        <v>12.166666666666666</v>
      </c>
      <c r="W6" s="70" t="s">
        <v>225</v>
      </c>
    </row>
    <row r="7" spans="1:23" ht="12.75">
      <c r="A7" s="70">
        <v>6</v>
      </c>
      <c r="B7" s="70" t="str">
        <f ca="1">OFFSET(Batting!$C$4,BatAves!$I7,0)</f>
        <v>Martin</v>
      </c>
      <c r="C7" s="74">
        <f ca="1">OFFSET(Batting!$CE$4,BatAves!$I7,0)</f>
        <v>2</v>
      </c>
      <c r="D7" s="74">
        <f ca="1">OFFSET(Batting!$CG$4,BatAves!$I7,0)</f>
        <v>2</v>
      </c>
      <c r="E7" s="74">
        <f ca="1">OFFSET(Batting!$CH$4,BatAves!$I7,0)</f>
        <v>0</v>
      </c>
      <c r="F7" s="74">
        <f ca="1">OFFSET(Batting!$CJ$4,BatAves!$I7,0)</f>
        <v>31</v>
      </c>
      <c r="G7" s="74">
        <f ca="1">OFFSET(Batting!$CK$4,BatAves!$I7,0)</f>
        <v>37</v>
      </c>
      <c r="H7" s="79">
        <f ca="1">OFFSET(Batting!$CL$4,BatAves!$I7,0)</f>
        <v>18.5</v>
      </c>
      <c r="I7" s="70">
        <f>MATCH(A7,Batting!$DF$5:$DF$38,0)</f>
        <v>22</v>
      </c>
      <c r="J7" s="70">
        <f t="shared" ca="1" si="0"/>
        <v>1006</v>
      </c>
      <c r="K7" s="70">
        <f t="shared" ca="1" si="1"/>
        <v>21</v>
      </c>
      <c r="L7" s="70" t="str">
        <f t="shared" ca="1" si="2"/>
        <v>Martin 2-0-31-37</v>
      </c>
      <c r="M7" s="70">
        <f t="shared" ca="1" si="3"/>
        <v>11</v>
      </c>
      <c r="N7" s="141">
        <v>6</v>
      </c>
      <c r="O7" s="141" t="str">
        <f t="shared" ca="1" si="4"/>
        <v>Edghill C</v>
      </c>
      <c r="P7" s="141">
        <f t="shared" ca="1" si="5"/>
        <v>11</v>
      </c>
      <c r="Q7" s="141">
        <f t="shared" ca="1" si="6"/>
        <v>0</v>
      </c>
      <c r="R7" s="141">
        <f t="shared" ca="1" si="7"/>
        <v>22</v>
      </c>
      <c r="S7" s="141">
        <f t="shared" ca="1" si="8"/>
        <v>122</v>
      </c>
      <c r="T7" s="143">
        <f t="shared" ca="1" si="9"/>
        <v>11.090909090909092</v>
      </c>
      <c r="W7" s="70" t="s">
        <v>225</v>
      </c>
    </row>
    <row r="8" spans="1:23" ht="12.75">
      <c r="A8" s="70">
        <v>7</v>
      </c>
      <c r="B8" s="70" t="str">
        <f ca="1">OFFSET(Batting!$C$4,BatAves!$I8,0)</f>
        <v>Cooper G</v>
      </c>
      <c r="C8" s="74">
        <f ca="1">OFFSET(Batting!$CE$4,BatAves!$I8,0)</f>
        <v>17</v>
      </c>
      <c r="D8" s="74">
        <f ca="1">OFFSET(Batting!$CG$4,BatAves!$I8,0)</f>
        <v>11</v>
      </c>
      <c r="E8" s="74">
        <f ca="1">OFFSET(Batting!$CH$4,BatAves!$I8,0)</f>
        <v>6</v>
      </c>
      <c r="F8" s="74">
        <f ca="1">OFFSET(Batting!$CJ$4,BatAves!$I8,0)</f>
        <v>17</v>
      </c>
      <c r="G8" s="74">
        <f ca="1">OFFSET(Batting!$CK$4,BatAves!$I8,0)</f>
        <v>87</v>
      </c>
      <c r="H8" s="79">
        <f ca="1">OFFSET(Batting!$CL$4,BatAves!$I8,0)</f>
        <v>17.399999999999999</v>
      </c>
      <c r="I8" s="70">
        <f>MATCH(A8,Batting!$DF$5:$DF$38,0)</f>
        <v>7</v>
      </c>
      <c r="J8" s="70">
        <f t="shared" ca="1" si="0"/>
        <v>7</v>
      </c>
      <c r="K8" s="70">
        <f t="shared" ca="1" si="1"/>
        <v>3</v>
      </c>
      <c r="L8" s="70" t="str">
        <f t="shared" ca="1" si="2"/>
        <v/>
      </c>
      <c r="M8" s="70">
        <f t="shared" ca="1" si="3"/>
        <v>12</v>
      </c>
      <c r="N8" s="141">
        <v>7</v>
      </c>
      <c r="O8" s="141" t="str">
        <f t="shared" ca="1" si="4"/>
        <v>Johnson A</v>
      </c>
      <c r="P8" s="141">
        <f t="shared" ca="1" si="5"/>
        <v>12</v>
      </c>
      <c r="Q8" s="141">
        <f t="shared" ca="1" si="6"/>
        <v>3</v>
      </c>
      <c r="R8" s="141">
        <f t="shared" ca="1" si="7"/>
        <v>29</v>
      </c>
      <c r="S8" s="141">
        <f t="shared" ca="1" si="8"/>
        <v>97</v>
      </c>
      <c r="T8" s="143">
        <f t="shared" ca="1" si="9"/>
        <v>10.777777777777779</v>
      </c>
      <c r="W8" s="70" t="s">
        <v>225</v>
      </c>
    </row>
    <row r="9" spans="1:23" ht="12.75">
      <c r="A9" s="70">
        <v>8</v>
      </c>
      <c r="B9" s="70" t="str">
        <f ca="1">OFFSET(Batting!$C$4,BatAves!$I9,0)</f>
        <v>Sharpe D</v>
      </c>
      <c r="C9" s="74">
        <f ca="1">OFFSET(Batting!$CE$4,BatAves!$I9,0)</f>
        <v>7</v>
      </c>
      <c r="D9" s="74">
        <f ca="1">OFFSET(Batting!$CG$4,BatAves!$I9,0)</f>
        <v>6</v>
      </c>
      <c r="E9" s="74">
        <f ca="1">OFFSET(Batting!$CH$4,BatAves!$I9,0)</f>
        <v>1</v>
      </c>
      <c r="F9" s="74" t="str">
        <f ca="1">OFFSET(Batting!$CJ$4,BatAves!$I9,0)</f>
        <v>63*</v>
      </c>
      <c r="G9" s="74">
        <f ca="1">OFFSET(Batting!$CK$4,BatAves!$I9,0)</f>
        <v>87</v>
      </c>
      <c r="H9" s="79">
        <f ca="1">OFFSET(Batting!$CL$4,BatAves!$I9,0)</f>
        <v>17.399999999999999</v>
      </c>
      <c r="I9" s="70">
        <f>MATCH(A9,Batting!$DF$5:$DF$38,0)</f>
        <v>27</v>
      </c>
      <c r="J9" s="70">
        <f t="shared" ca="1" si="0"/>
        <v>8</v>
      </c>
      <c r="K9" s="70">
        <f t="shared" ca="1" si="1"/>
        <v>4</v>
      </c>
      <c r="L9" s="70" t="str">
        <f t="shared" ca="1" si="2"/>
        <v/>
      </c>
      <c r="M9" s="70">
        <f t="shared" ca="1" si="3"/>
        <v>13</v>
      </c>
      <c r="N9" s="141">
        <v>8</v>
      </c>
      <c r="O9" s="141" t="str">
        <f t="shared" ca="1" si="4"/>
        <v>de Souza C</v>
      </c>
      <c r="P9" s="141">
        <f t="shared" ca="1" si="5"/>
        <v>5</v>
      </c>
      <c r="Q9" s="141">
        <f t="shared" ca="1" si="6"/>
        <v>2</v>
      </c>
      <c r="R9" s="141">
        <f t="shared" ca="1" si="7"/>
        <v>20</v>
      </c>
      <c r="S9" s="141">
        <f t="shared" ca="1" si="8"/>
        <v>31</v>
      </c>
      <c r="T9" s="143">
        <f t="shared" ca="1" si="9"/>
        <v>10.333333333333334</v>
      </c>
      <c r="W9" s="70" t="s">
        <v>225</v>
      </c>
    </row>
    <row r="10" spans="1:23" ht="12.75">
      <c r="A10" s="70">
        <v>9</v>
      </c>
      <c r="B10" s="70" t="str">
        <f ca="1">OFFSET(Batting!$C$4,BatAves!$I10,0)</f>
        <v>Clarkson M</v>
      </c>
      <c r="C10" s="74">
        <f ca="1">OFFSET(Batting!$CE$4,BatAves!$I10,0)</f>
        <v>7</v>
      </c>
      <c r="D10" s="74">
        <f ca="1">OFFSET(Batting!$CG$4,BatAves!$I10,0)</f>
        <v>6</v>
      </c>
      <c r="E10" s="74">
        <f ca="1">OFFSET(Batting!$CH$4,BatAves!$I10,0)</f>
        <v>0</v>
      </c>
      <c r="F10" s="74">
        <f ca="1">OFFSET(Batting!$CJ$4,BatAves!$I10,0)</f>
        <v>35</v>
      </c>
      <c r="G10" s="74">
        <f ca="1">OFFSET(Batting!$CK$4,BatAves!$I10,0)</f>
        <v>73</v>
      </c>
      <c r="H10" s="79">
        <f ca="1">OFFSET(Batting!$CL$4,BatAves!$I10,0)</f>
        <v>12.166666666666666</v>
      </c>
      <c r="I10" s="70">
        <f>MATCH(A10,Batting!$DF$5:$DF$38,0)</f>
        <v>5</v>
      </c>
      <c r="J10" s="70">
        <f t="shared" ca="1" si="0"/>
        <v>9</v>
      </c>
      <c r="K10" s="70">
        <f t="shared" ca="1" si="1"/>
        <v>5</v>
      </c>
      <c r="L10" s="70" t="str">
        <f t="shared" ca="1" si="2"/>
        <v/>
      </c>
      <c r="M10" s="70">
        <f t="shared" ca="1" si="3"/>
        <v>14</v>
      </c>
      <c r="N10" s="141">
        <v>9</v>
      </c>
      <c r="O10" s="141" t="str">
        <f t="shared" ca="1" si="4"/>
        <v>Singh R</v>
      </c>
      <c r="P10" s="141">
        <f t="shared" ca="1" si="5"/>
        <v>5</v>
      </c>
      <c r="Q10" s="141">
        <f t="shared" ca="1" si="6"/>
        <v>0</v>
      </c>
      <c r="R10" s="141">
        <f t="shared" ca="1" si="7"/>
        <v>25</v>
      </c>
      <c r="S10" s="141">
        <f t="shared" ca="1" si="8"/>
        <v>50</v>
      </c>
      <c r="T10" s="143">
        <f t="shared" ca="1" si="9"/>
        <v>10</v>
      </c>
      <c r="W10" s="70" t="s">
        <v>225</v>
      </c>
    </row>
    <row r="11" spans="1:23" ht="12.75">
      <c r="A11" s="70">
        <v>10</v>
      </c>
      <c r="B11" s="70" t="str">
        <f ca="1">OFFSET(Batting!$C$4,BatAves!$I11,0)</f>
        <v>Singh H</v>
      </c>
      <c r="C11" s="74">
        <f ca="1">OFFSET(Batting!$CE$4,BatAves!$I11,0)</f>
        <v>3</v>
      </c>
      <c r="D11" s="74">
        <f ca="1">OFFSET(Batting!$CG$4,BatAves!$I11,0)</f>
        <v>3</v>
      </c>
      <c r="E11" s="74">
        <f ca="1">OFFSET(Batting!$CH$4,BatAves!$I11,0)</f>
        <v>0</v>
      </c>
      <c r="F11" s="74">
        <f ca="1">OFFSET(Batting!$CJ$4,BatAves!$I11,0)</f>
        <v>15</v>
      </c>
      <c r="G11" s="74">
        <f ca="1">OFFSET(Batting!$CK$4,BatAves!$I11,0)</f>
        <v>35</v>
      </c>
      <c r="H11" s="79">
        <f ca="1">OFFSET(Batting!$CL$4,BatAves!$I11,0)</f>
        <v>11.666666666666666</v>
      </c>
      <c r="I11" s="70">
        <f>MATCH(A11,Batting!$DF$5:$DF$38,0)</f>
        <v>28</v>
      </c>
      <c r="J11" s="70">
        <f t="shared" ca="1" si="0"/>
        <v>1010</v>
      </c>
      <c r="K11" s="70">
        <f t="shared" ca="1" si="1"/>
        <v>22</v>
      </c>
      <c r="L11" s="70" t="str">
        <f t="shared" ca="1" si="2"/>
        <v>Singh H 3-0-15-35</v>
      </c>
      <c r="M11" s="70">
        <f t="shared" ca="1" si="3"/>
        <v>16</v>
      </c>
      <c r="N11" s="141">
        <v>10</v>
      </c>
      <c r="O11" s="141" t="str">
        <f t="shared" ca="1" si="4"/>
        <v>Kiernan M</v>
      </c>
      <c r="P11" s="141">
        <f t="shared" ca="1" si="5"/>
        <v>5</v>
      </c>
      <c r="Q11" s="141">
        <f t="shared" ca="1" si="6"/>
        <v>2</v>
      </c>
      <c r="R11" s="141" t="str">
        <f t="shared" ca="1" si="7"/>
        <v>15*</v>
      </c>
      <c r="S11" s="141">
        <f t="shared" ca="1" si="8"/>
        <v>28</v>
      </c>
      <c r="T11" s="143">
        <f t="shared" ca="1" si="9"/>
        <v>9.3333333333333339</v>
      </c>
      <c r="W11" s="70" t="s">
        <v>225</v>
      </c>
    </row>
    <row r="12" spans="1:23" ht="12.75">
      <c r="A12" s="70">
        <v>11</v>
      </c>
      <c r="B12" s="70" t="str">
        <f ca="1">OFFSET(Batting!$C$4,BatAves!$I12,0)</f>
        <v>Edghill C</v>
      </c>
      <c r="C12" s="74">
        <f ca="1">OFFSET(Batting!$CE$4,BatAves!$I12,0)</f>
        <v>13</v>
      </c>
      <c r="D12" s="74">
        <f ca="1">OFFSET(Batting!$CG$4,BatAves!$I12,0)</f>
        <v>11</v>
      </c>
      <c r="E12" s="74">
        <f ca="1">OFFSET(Batting!$CH$4,BatAves!$I12,0)</f>
        <v>0</v>
      </c>
      <c r="F12" s="74">
        <f ca="1">OFFSET(Batting!$CJ$4,BatAves!$I12,0)</f>
        <v>22</v>
      </c>
      <c r="G12" s="74">
        <f ca="1">OFFSET(Batting!$CK$4,BatAves!$I12,0)</f>
        <v>122</v>
      </c>
      <c r="H12" s="79">
        <f ca="1">OFFSET(Batting!$CL$4,BatAves!$I12,0)</f>
        <v>11.090909090909092</v>
      </c>
      <c r="I12" s="70">
        <f>MATCH(A12,Batting!$DF$5:$DF$38,0)</f>
        <v>10</v>
      </c>
      <c r="J12" s="70">
        <f t="shared" ca="1" si="0"/>
        <v>11</v>
      </c>
      <c r="K12" s="70">
        <f t="shared" ca="1" si="1"/>
        <v>6</v>
      </c>
      <c r="L12" s="70" t="str">
        <f t="shared" ca="1" si="2"/>
        <v/>
      </c>
      <c r="M12" s="70">
        <f t="shared" ca="1" si="3"/>
        <v>18</v>
      </c>
      <c r="N12" s="141">
        <v>11</v>
      </c>
      <c r="O12" s="141" t="str">
        <f t="shared" ca="1" si="4"/>
        <v>Seymour C</v>
      </c>
      <c r="P12" s="141">
        <f t="shared" ca="1" si="5"/>
        <v>10</v>
      </c>
      <c r="Q12" s="141">
        <f t="shared" ca="1" si="6"/>
        <v>3</v>
      </c>
      <c r="R12" s="141" t="str">
        <f t="shared" ca="1" si="7"/>
        <v>22*</v>
      </c>
      <c r="S12" s="141">
        <f t="shared" ca="1" si="8"/>
        <v>57</v>
      </c>
      <c r="T12" s="143">
        <f t="shared" ca="1" si="9"/>
        <v>8.1428571428571423</v>
      </c>
      <c r="W12" s="70" t="s">
        <v>225</v>
      </c>
    </row>
    <row r="13" spans="1:23" ht="12.75">
      <c r="A13" s="70">
        <v>12</v>
      </c>
      <c r="B13" s="70" t="str">
        <f ca="1">OFFSET(Batting!$C$4,BatAves!$I13,0)</f>
        <v>Johnson A</v>
      </c>
      <c r="C13" s="74">
        <f ca="1">OFFSET(Batting!$CE$4,BatAves!$I13,0)</f>
        <v>14</v>
      </c>
      <c r="D13" s="74">
        <f ca="1">OFFSET(Batting!$CG$4,BatAves!$I13,0)</f>
        <v>12</v>
      </c>
      <c r="E13" s="74">
        <f ca="1">OFFSET(Batting!$CH$4,BatAves!$I13,0)</f>
        <v>3</v>
      </c>
      <c r="F13" s="74">
        <f ca="1">OFFSET(Batting!$CJ$4,BatAves!$I13,0)</f>
        <v>29</v>
      </c>
      <c r="G13" s="74">
        <f ca="1">OFFSET(Batting!$CK$4,BatAves!$I13,0)</f>
        <v>97</v>
      </c>
      <c r="H13" s="79">
        <f ca="1">OFFSET(Batting!$CL$4,BatAves!$I13,0)</f>
        <v>10.777777777777779</v>
      </c>
      <c r="I13" s="70">
        <f>MATCH(A13,Batting!$DF$5:$DF$38,0)</f>
        <v>16</v>
      </c>
      <c r="J13" s="70">
        <f t="shared" ca="1" si="0"/>
        <v>12</v>
      </c>
      <c r="K13" s="70">
        <f t="shared" ca="1" si="1"/>
        <v>7</v>
      </c>
      <c r="L13" s="70" t="str">
        <f t="shared" ca="1" si="2"/>
        <v/>
      </c>
      <c r="M13" s="70">
        <f t="shared" ca="1" si="3"/>
        <v>21</v>
      </c>
      <c r="N13" s="141">
        <v>12</v>
      </c>
      <c r="O13" s="141" t="str">
        <f t="shared" ca="1" si="4"/>
        <v>Chaffey P</v>
      </c>
      <c r="P13" s="141">
        <f t="shared" ca="1" si="5"/>
        <v>5</v>
      </c>
      <c r="Q13" s="141">
        <f t="shared" ca="1" si="6"/>
        <v>1</v>
      </c>
      <c r="R13" s="141">
        <f t="shared" ca="1" si="7"/>
        <v>13</v>
      </c>
      <c r="S13" s="141">
        <f t="shared" ca="1" si="8"/>
        <v>30</v>
      </c>
      <c r="T13" s="143">
        <f t="shared" ca="1" si="9"/>
        <v>7.5</v>
      </c>
      <c r="W13" s="70" t="s">
        <v>225</v>
      </c>
    </row>
    <row r="14" spans="1:23" ht="12.75">
      <c r="A14" s="70">
        <v>13</v>
      </c>
      <c r="B14" s="70" t="str">
        <f ca="1">OFFSET(Batting!$C$4,BatAves!$I14,0)</f>
        <v>de Souza C</v>
      </c>
      <c r="C14" s="74">
        <f ca="1">OFFSET(Batting!$CE$4,BatAves!$I14,0)</f>
        <v>7</v>
      </c>
      <c r="D14" s="74">
        <f ca="1">OFFSET(Batting!$CG$4,BatAves!$I14,0)</f>
        <v>5</v>
      </c>
      <c r="E14" s="74">
        <f ca="1">OFFSET(Batting!$CH$4,BatAves!$I14,0)</f>
        <v>2</v>
      </c>
      <c r="F14" s="74">
        <f ca="1">OFFSET(Batting!$CJ$4,BatAves!$I14,0)</f>
        <v>20</v>
      </c>
      <c r="G14" s="74">
        <f ca="1">OFFSET(Batting!$CK$4,BatAves!$I14,0)</f>
        <v>31</v>
      </c>
      <c r="H14" s="79">
        <f ca="1">OFFSET(Batting!$CL$4,BatAves!$I14,0)</f>
        <v>10.333333333333334</v>
      </c>
      <c r="I14" s="70">
        <f>MATCH(A14,Batting!$DF$5:$DF$38,0)</f>
        <v>9</v>
      </c>
      <c r="J14" s="70">
        <f t="shared" ca="1" si="0"/>
        <v>13</v>
      </c>
      <c r="K14" s="70">
        <f t="shared" ca="1" si="1"/>
        <v>8</v>
      </c>
      <c r="L14" s="70" t="str">
        <f t="shared" ca="1" si="2"/>
        <v/>
      </c>
      <c r="M14" s="70">
        <f t="shared" ca="1" si="3"/>
        <v>22</v>
      </c>
      <c r="N14" s="141">
        <v>13</v>
      </c>
      <c r="O14" s="141" t="str">
        <f t="shared" ca="1" si="4"/>
        <v>Lestrelle A</v>
      </c>
      <c r="P14" s="141">
        <f t="shared" ca="1" si="5"/>
        <v>8</v>
      </c>
      <c r="Q14" s="141">
        <f t="shared" ca="1" si="6"/>
        <v>0</v>
      </c>
      <c r="R14" s="141">
        <f t="shared" ca="1" si="7"/>
        <v>15</v>
      </c>
      <c r="S14" s="141">
        <f t="shared" ca="1" si="8"/>
        <v>53</v>
      </c>
      <c r="T14" s="143">
        <f t="shared" ca="1" si="9"/>
        <v>6.625</v>
      </c>
      <c r="W14" s="70" t="s">
        <v>225</v>
      </c>
    </row>
    <row r="15" spans="1:23" ht="12.75">
      <c r="A15" s="70">
        <v>14</v>
      </c>
      <c r="B15" s="70" t="str">
        <f ca="1">OFFSET(Batting!$C$4,BatAves!$I15,0)</f>
        <v>Singh R</v>
      </c>
      <c r="C15" s="74">
        <f ca="1">OFFSET(Batting!$CE$4,BatAves!$I15,0)</f>
        <v>6</v>
      </c>
      <c r="D15" s="74">
        <f ca="1">OFFSET(Batting!$CG$4,BatAves!$I15,0)</f>
        <v>5</v>
      </c>
      <c r="E15" s="74">
        <f ca="1">OFFSET(Batting!$CH$4,BatAves!$I15,0)</f>
        <v>0</v>
      </c>
      <c r="F15" s="74">
        <f ca="1">OFFSET(Batting!$CJ$4,BatAves!$I15,0)</f>
        <v>25</v>
      </c>
      <c r="G15" s="74">
        <f ca="1">OFFSET(Batting!$CK$4,BatAves!$I15,0)</f>
        <v>50</v>
      </c>
      <c r="H15" s="79">
        <f ca="1">OFFSET(Batting!$CL$4,BatAves!$I15,0)</f>
        <v>10</v>
      </c>
      <c r="I15" s="70">
        <f>MATCH(A15,Batting!$DF$5:$DF$38,0)</f>
        <v>29</v>
      </c>
      <c r="J15" s="70">
        <f t="shared" ca="1" si="0"/>
        <v>14</v>
      </c>
      <c r="K15" s="70">
        <f t="shared" ca="1" si="1"/>
        <v>9</v>
      </c>
      <c r="L15" s="70" t="str">
        <f t="shared" ca="1" si="2"/>
        <v/>
      </c>
      <c r="M15" s="70">
        <f t="shared" ca="1" si="3"/>
        <v>23</v>
      </c>
      <c r="N15" s="141">
        <v>14</v>
      </c>
      <c r="O15" s="141" t="str">
        <f t="shared" ca="1" si="4"/>
        <v>Worthington R</v>
      </c>
      <c r="P15" s="141">
        <f t="shared" ca="1" si="5"/>
        <v>6</v>
      </c>
      <c r="Q15" s="141">
        <f t="shared" ca="1" si="6"/>
        <v>0</v>
      </c>
      <c r="R15" s="141">
        <f t="shared" ca="1" si="7"/>
        <v>15</v>
      </c>
      <c r="S15" s="141">
        <f t="shared" ca="1" si="8"/>
        <v>38</v>
      </c>
      <c r="T15" s="143">
        <f t="shared" ca="1" si="9"/>
        <v>6.333333333333333</v>
      </c>
      <c r="W15" s="70" t="s">
        <v>225</v>
      </c>
    </row>
    <row r="16" spans="1:23" ht="12.75">
      <c r="A16" s="70">
        <v>15</v>
      </c>
      <c r="B16" s="70" t="str">
        <f ca="1">OFFSET(Batting!$C$4,BatAves!$I16,0)</f>
        <v>Rollins R</v>
      </c>
      <c r="C16" s="74">
        <f ca="1">OFFSET(Batting!$CE$4,BatAves!$I16,0)</f>
        <v>3</v>
      </c>
      <c r="D16" s="74">
        <f ca="1">OFFSET(Batting!$CG$4,BatAves!$I16,0)</f>
        <v>3</v>
      </c>
      <c r="E16" s="74">
        <f ca="1">OFFSET(Batting!$CH$4,BatAves!$I16,0)</f>
        <v>0</v>
      </c>
      <c r="F16" s="74">
        <f ca="1">OFFSET(Batting!$CJ$4,BatAves!$I16,0)</f>
        <v>19</v>
      </c>
      <c r="G16" s="74">
        <f ca="1">OFFSET(Batting!$CK$4,BatAves!$I16,0)</f>
        <v>29</v>
      </c>
      <c r="H16" s="79">
        <f ca="1">OFFSET(Batting!$CL$4,BatAves!$I16,0)</f>
        <v>9.6666666666666661</v>
      </c>
      <c r="I16" s="70">
        <f>MATCH(A16,Batting!$DF$5:$DF$38,0)</f>
        <v>25</v>
      </c>
      <c r="J16" s="70">
        <f t="shared" ca="1" si="0"/>
        <v>1015</v>
      </c>
      <c r="K16" s="70">
        <f t="shared" ca="1" si="1"/>
        <v>23</v>
      </c>
      <c r="L16" s="70" t="str">
        <f t="shared" ca="1" si="2"/>
        <v>Rollins R 3-0-19-29</v>
      </c>
      <c r="M16" s="70">
        <f t="shared" ca="1" si="3"/>
        <v>25</v>
      </c>
      <c r="N16" s="141">
        <v>15</v>
      </c>
      <c r="O16" s="141" t="str">
        <f t="shared" ca="1" si="4"/>
        <v>Smith C</v>
      </c>
      <c r="P16" s="141">
        <f t="shared" ca="1" si="5"/>
        <v>14</v>
      </c>
      <c r="Q16" s="141">
        <f t="shared" ca="1" si="6"/>
        <v>0</v>
      </c>
      <c r="R16" s="141">
        <f t="shared" ca="1" si="7"/>
        <v>21</v>
      </c>
      <c r="S16" s="141">
        <f t="shared" ca="1" si="8"/>
        <v>81</v>
      </c>
      <c r="T16" s="143">
        <f t="shared" ca="1" si="9"/>
        <v>5.7857142857142856</v>
      </c>
      <c r="W16" s="70" t="s">
        <v>225</v>
      </c>
    </row>
    <row r="17" spans="1:23" ht="12.75">
      <c r="A17" s="70">
        <v>16</v>
      </c>
      <c r="B17" s="70" t="str">
        <f ca="1">OFFSET(Batting!$C$4,BatAves!$I17,0)</f>
        <v>Kiernan M</v>
      </c>
      <c r="C17" s="74">
        <f ca="1">OFFSET(Batting!$CE$4,BatAves!$I17,0)</f>
        <v>7</v>
      </c>
      <c r="D17" s="74">
        <f ca="1">OFFSET(Batting!$CG$4,BatAves!$I17,0)</f>
        <v>5</v>
      </c>
      <c r="E17" s="74">
        <f ca="1">OFFSET(Batting!$CH$4,BatAves!$I17,0)</f>
        <v>2</v>
      </c>
      <c r="F17" s="74" t="str">
        <f ca="1">OFFSET(Batting!$CJ$4,BatAves!$I17,0)</f>
        <v>15*</v>
      </c>
      <c r="G17" s="74">
        <f ca="1">OFFSET(Batting!$CK$4,BatAves!$I17,0)</f>
        <v>28</v>
      </c>
      <c r="H17" s="79">
        <f ca="1">OFFSET(Batting!$CL$4,BatAves!$I17,0)</f>
        <v>9.3333333333333339</v>
      </c>
      <c r="I17" s="70">
        <f>MATCH(A17,Batting!$DF$5:$DF$38,0)</f>
        <v>17</v>
      </c>
      <c r="J17" s="70">
        <f t="shared" ca="1" si="0"/>
        <v>16</v>
      </c>
      <c r="K17" s="70">
        <f t="shared" ca="1" si="1"/>
        <v>10</v>
      </c>
      <c r="L17" s="70" t="str">
        <f t="shared" ca="1" si="2"/>
        <v/>
      </c>
      <c r="M17" s="70">
        <f t="shared" ca="1" si="3"/>
        <v>26</v>
      </c>
      <c r="N17" s="141">
        <v>16</v>
      </c>
      <c r="O17" s="141" t="str">
        <f t="shared" ca="1" si="4"/>
        <v>Coloe A</v>
      </c>
      <c r="P17" s="141">
        <f t="shared" ca="1" si="5"/>
        <v>7</v>
      </c>
      <c r="Q17" s="141">
        <f t="shared" ca="1" si="6"/>
        <v>1</v>
      </c>
      <c r="R17" s="141">
        <f t="shared" ca="1" si="7"/>
        <v>25</v>
      </c>
      <c r="S17" s="141">
        <f t="shared" ca="1" si="8"/>
        <v>34</v>
      </c>
      <c r="T17" s="143">
        <f t="shared" ca="1" si="9"/>
        <v>5.666666666666667</v>
      </c>
      <c r="W17" s="70" t="s">
        <v>225</v>
      </c>
    </row>
    <row r="18" spans="1:23" ht="12.75">
      <c r="A18" s="70">
        <v>17</v>
      </c>
      <c r="B18" s="70" t="str">
        <f ca="1">OFFSET(Batting!$C$4,BatAves!$I18,0)</f>
        <v>Chitnavis B</v>
      </c>
      <c r="C18" s="74">
        <f ca="1">OFFSET(Batting!$CE$4,BatAves!$I18,0)</f>
        <v>2</v>
      </c>
      <c r="D18" s="74">
        <f ca="1">OFFSET(Batting!$CG$4,BatAves!$I18,0)</f>
        <v>2</v>
      </c>
      <c r="E18" s="74">
        <f ca="1">OFFSET(Batting!$CH$4,BatAves!$I18,0)</f>
        <v>0</v>
      </c>
      <c r="F18" s="74">
        <f ca="1">OFFSET(Batting!$CJ$4,BatAves!$I18,0)</f>
        <v>15</v>
      </c>
      <c r="G18" s="74">
        <f ca="1">OFFSET(Batting!$CK$4,BatAves!$I18,0)</f>
        <v>18</v>
      </c>
      <c r="H18" s="79">
        <f ca="1">OFFSET(Batting!$CL$4,BatAves!$I18,0)</f>
        <v>9</v>
      </c>
      <c r="I18" s="70">
        <f>MATCH(A18,Batting!$DF$5:$DF$38,0)</f>
        <v>3</v>
      </c>
      <c r="J18" s="70">
        <f t="shared" ca="1" si="0"/>
        <v>1017</v>
      </c>
      <c r="K18" s="70">
        <f t="shared" ca="1" si="1"/>
        <v>24</v>
      </c>
      <c r="L18" s="70" t="str">
        <f t="shared" ca="1" si="2"/>
        <v>Chitnavis B 2-0-15-18</v>
      </c>
      <c r="M18" s="70">
        <f t="shared" ca="1" si="3"/>
        <v>27</v>
      </c>
      <c r="N18" s="141">
        <v>17</v>
      </c>
      <c r="O18" s="141" t="str">
        <f t="shared" ca="1" si="4"/>
        <v>Clark C</v>
      </c>
      <c r="P18" s="141">
        <f t="shared" ca="1" si="5"/>
        <v>7</v>
      </c>
      <c r="Q18" s="141">
        <f t="shared" ca="1" si="6"/>
        <v>0</v>
      </c>
      <c r="R18" s="141">
        <f t="shared" ca="1" si="7"/>
        <v>20</v>
      </c>
      <c r="S18" s="141">
        <f t="shared" ca="1" si="8"/>
        <v>39</v>
      </c>
      <c r="T18" s="143">
        <f t="shared" ca="1" si="9"/>
        <v>5.5714285714285712</v>
      </c>
      <c r="W18" s="70" t="s">
        <v>225</v>
      </c>
    </row>
    <row r="19" spans="1:23" ht="12.75">
      <c r="A19" s="70">
        <v>18</v>
      </c>
      <c r="B19" s="70" t="str">
        <f ca="1">OFFSET(Batting!$C$4,BatAves!$I19,0)</f>
        <v>Seymour C</v>
      </c>
      <c r="C19" s="74">
        <f ca="1">OFFSET(Batting!$CE$4,BatAves!$I19,0)</f>
        <v>14</v>
      </c>
      <c r="D19" s="74">
        <f ca="1">OFFSET(Batting!$CG$4,BatAves!$I19,0)</f>
        <v>10</v>
      </c>
      <c r="E19" s="74">
        <f ca="1">OFFSET(Batting!$CH$4,BatAves!$I19,0)</f>
        <v>3</v>
      </c>
      <c r="F19" s="74" t="str">
        <f ca="1">OFFSET(Batting!$CJ$4,BatAves!$I19,0)</f>
        <v>22*</v>
      </c>
      <c r="G19" s="74">
        <f ca="1">OFFSET(Batting!$CK$4,BatAves!$I19,0)</f>
        <v>57</v>
      </c>
      <c r="H19" s="79">
        <f ca="1">OFFSET(Batting!$CL$4,BatAves!$I19,0)</f>
        <v>8.1428571428571423</v>
      </c>
      <c r="I19" s="70">
        <f>MATCH(A19,Batting!$DF$5:$DF$38,0)</f>
        <v>26</v>
      </c>
      <c r="J19" s="70">
        <f t="shared" ca="1" si="0"/>
        <v>18</v>
      </c>
      <c r="K19" s="70">
        <f t="shared" ca="1" si="1"/>
        <v>11</v>
      </c>
      <c r="L19" s="70" t="str">
        <f t="shared" ca="1" si="2"/>
        <v/>
      </c>
      <c r="M19" s="70">
        <f t="shared" ca="1" si="3"/>
        <v>1</v>
      </c>
      <c r="N19" s="141">
        <v>18</v>
      </c>
      <c r="O19" s="141" t="str">
        <f t="shared" ca="1" si="4"/>
        <v>Gibb A</v>
      </c>
      <c r="P19" s="141">
        <f t="shared" ca="1" si="5"/>
        <v>1</v>
      </c>
      <c r="Q19" s="141">
        <f t="shared" ca="1" si="6"/>
        <v>0</v>
      </c>
      <c r="R19" s="141">
        <f t="shared" ca="1" si="7"/>
        <v>78</v>
      </c>
      <c r="S19" s="141">
        <f t="shared" ca="1" si="8"/>
        <v>78</v>
      </c>
      <c r="T19" s="143">
        <f t="shared" ca="1" si="9"/>
        <v>78</v>
      </c>
      <c r="V19" s="70" t="s">
        <v>225</v>
      </c>
      <c r="W19" s="70" t="s">
        <v>225</v>
      </c>
    </row>
    <row r="20" spans="1:23" ht="12.75">
      <c r="A20" s="70">
        <v>19</v>
      </c>
      <c r="B20" s="70" t="str">
        <f ca="1">OFFSET(Batting!$C$4,BatAves!$I20,0)</f>
        <v>Davies R</v>
      </c>
      <c r="C20" s="74">
        <f ca="1">OFFSET(Batting!$CE$4,BatAves!$I20,0)</f>
        <v>1</v>
      </c>
      <c r="D20" s="74">
        <f ca="1">OFFSET(Batting!$CG$4,BatAves!$I20,0)</f>
        <v>1</v>
      </c>
      <c r="E20" s="74">
        <f ca="1">OFFSET(Batting!$CH$4,BatAves!$I20,0)</f>
        <v>0</v>
      </c>
      <c r="F20" s="74">
        <f ca="1">OFFSET(Batting!$CJ$4,BatAves!$I20,0)</f>
        <v>8</v>
      </c>
      <c r="G20" s="74">
        <f ca="1">OFFSET(Batting!$CK$4,BatAves!$I20,0)</f>
        <v>8</v>
      </c>
      <c r="H20" s="79">
        <f ca="1">OFFSET(Batting!$CL$4,BatAves!$I20,0)</f>
        <v>8</v>
      </c>
      <c r="I20" s="70">
        <f>MATCH(A20,Batting!$DF$5:$DF$38,0)</f>
        <v>8</v>
      </c>
      <c r="J20" s="70">
        <f t="shared" ca="1" si="0"/>
        <v>1019</v>
      </c>
      <c r="K20" s="70">
        <f t="shared" ca="1" si="1"/>
        <v>25</v>
      </c>
      <c r="L20" s="70" t="str">
        <f t="shared" ca="1" si="2"/>
        <v>Davies R 1-0-8-8</v>
      </c>
      <c r="M20" s="70">
        <f t="shared" ca="1" si="3"/>
        <v>3</v>
      </c>
      <c r="N20" s="141">
        <v>19</v>
      </c>
      <c r="O20" s="141" t="str">
        <f t="shared" ca="1" si="4"/>
        <v>Missen</v>
      </c>
      <c r="P20" s="141">
        <f t="shared" ca="1" si="5"/>
        <v>1</v>
      </c>
      <c r="Q20" s="141">
        <f t="shared" ca="1" si="6"/>
        <v>0</v>
      </c>
      <c r="R20" s="141">
        <f t="shared" ca="1" si="7"/>
        <v>30</v>
      </c>
      <c r="S20" s="141">
        <f t="shared" ca="1" si="8"/>
        <v>30</v>
      </c>
      <c r="T20" s="143">
        <f t="shared" ca="1" si="9"/>
        <v>30</v>
      </c>
      <c r="V20" s="70" t="s">
        <v>225</v>
      </c>
      <c r="W20" s="70" t="s">
        <v>225</v>
      </c>
    </row>
    <row r="21" spans="1:23" ht="12.75">
      <c r="A21" s="70">
        <v>20</v>
      </c>
      <c r="B21" s="70" t="str">
        <f ca="1">OFFSET(Batting!$C$4,BatAves!$I21,0)</f>
        <v>Lovell</v>
      </c>
      <c r="C21" s="74">
        <f ca="1">OFFSET(Batting!$CE$4,BatAves!$I21,0)</f>
        <v>4</v>
      </c>
      <c r="D21" s="74">
        <f ca="1">OFFSET(Batting!$CG$4,BatAves!$I21,0)</f>
        <v>4</v>
      </c>
      <c r="E21" s="74">
        <f ca="1">OFFSET(Batting!$CH$4,BatAves!$I21,0)</f>
        <v>0</v>
      </c>
      <c r="F21" s="74">
        <f ca="1">OFFSET(Batting!$CJ$4,BatAves!$I21,0)</f>
        <v>15</v>
      </c>
      <c r="G21" s="74">
        <f ca="1">OFFSET(Batting!$CK$4,BatAves!$I21,0)</f>
        <v>31</v>
      </c>
      <c r="H21" s="79">
        <f ca="1">OFFSET(Batting!$CL$4,BatAves!$I21,0)</f>
        <v>7.75</v>
      </c>
      <c r="I21" s="70">
        <f>MATCH(A21,Batting!$DF$5:$DF$38,0)</f>
        <v>21</v>
      </c>
      <c r="J21" s="70">
        <f t="shared" ca="1" si="0"/>
        <v>1020</v>
      </c>
      <c r="K21" s="70">
        <f t="shared" ca="1" si="1"/>
        <v>26</v>
      </c>
      <c r="L21" s="70" t="str">
        <f t="shared" ca="1" si="2"/>
        <v>Lovell 4-0-15-31</v>
      </c>
      <c r="M21" s="70">
        <f t="shared" ca="1" si="3"/>
        <v>5</v>
      </c>
      <c r="N21" s="141">
        <v>20</v>
      </c>
      <c r="O21" s="141" t="str">
        <f t="shared" ca="1" si="4"/>
        <v>Wright P</v>
      </c>
      <c r="P21" s="141">
        <f t="shared" ca="1" si="5"/>
        <v>3</v>
      </c>
      <c r="Q21" s="141">
        <f t="shared" ca="1" si="6"/>
        <v>1</v>
      </c>
      <c r="R21" s="141">
        <f t="shared" ca="1" si="7"/>
        <v>25</v>
      </c>
      <c r="S21" s="141">
        <f t="shared" ca="1" si="8"/>
        <v>45</v>
      </c>
      <c r="T21" s="143">
        <f t="shared" ca="1" si="9"/>
        <v>22.5</v>
      </c>
      <c r="V21" s="70" t="s">
        <v>225</v>
      </c>
      <c r="W21" s="70" t="s">
        <v>225</v>
      </c>
    </row>
    <row r="22" spans="1:23" ht="12.75">
      <c r="A22" s="70">
        <v>21</v>
      </c>
      <c r="B22" s="70" t="str">
        <f ca="1">OFFSET(Batting!$C$4,BatAves!$I22,0)</f>
        <v>Chaffey P</v>
      </c>
      <c r="C22" s="74">
        <f ca="1">OFFSET(Batting!$CE$4,BatAves!$I22,0)</f>
        <v>7</v>
      </c>
      <c r="D22" s="74">
        <f ca="1">OFFSET(Batting!$CG$4,BatAves!$I22,0)</f>
        <v>5</v>
      </c>
      <c r="E22" s="74">
        <f ca="1">OFFSET(Batting!$CH$4,BatAves!$I22,0)</f>
        <v>1</v>
      </c>
      <c r="F22" s="74">
        <f ca="1">OFFSET(Batting!$CJ$4,BatAves!$I22,0)</f>
        <v>13</v>
      </c>
      <c r="G22" s="74">
        <f ca="1">OFFSET(Batting!$CK$4,BatAves!$I22,0)</f>
        <v>30</v>
      </c>
      <c r="H22" s="79">
        <f ca="1">OFFSET(Batting!$CL$4,BatAves!$I22,0)</f>
        <v>7.5</v>
      </c>
      <c r="I22" s="70">
        <f>MATCH(A22,Batting!$DF$5:$DF$38,0)</f>
        <v>2</v>
      </c>
      <c r="J22" s="70">
        <f t="shared" ca="1" si="0"/>
        <v>21</v>
      </c>
      <c r="K22" s="70">
        <f t="shared" ca="1" si="1"/>
        <v>12</v>
      </c>
      <c r="L22" s="70" t="str">
        <f t="shared" ca="1" si="2"/>
        <v/>
      </c>
      <c r="M22" s="70">
        <f t="shared" ca="1" si="3"/>
        <v>6</v>
      </c>
      <c r="N22" s="141">
        <v>21</v>
      </c>
      <c r="O22" s="141" t="str">
        <f t="shared" ca="1" si="4"/>
        <v>Martin</v>
      </c>
      <c r="P22" s="141">
        <f t="shared" ca="1" si="5"/>
        <v>2</v>
      </c>
      <c r="Q22" s="141">
        <f t="shared" ca="1" si="6"/>
        <v>0</v>
      </c>
      <c r="R22" s="141">
        <f t="shared" ca="1" si="7"/>
        <v>31</v>
      </c>
      <c r="S22" s="141">
        <f t="shared" ca="1" si="8"/>
        <v>37</v>
      </c>
      <c r="T22" s="143">
        <f t="shared" ca="1" si="9"/>
        <v>18.5</v>
      </c>
      <c r="V22" s="70" t="s">
        <v>225</v>
      </c>
      <c r="W22" s="70" t="s">
        <v>225</v>
      </c>
    </row>
    <row r="23" spans="1:23" ht="12.75">
      <c r="A23" s="70">
        <v>22</v>
      </c>
      <c r="B23" s="70" t="str">
        <f ca="1">OFFSET(Batting!$C$4,BatAves!$I23,0)</f>
        <v>Lestrelle A</v>
      </c>
      <c r="C23" s="74">
        <f ca="1">OFFSET(Batting!$CE$4,BatAves!$I23,0)</f>
        <v>10</v>
      </c>
      <c r="D23" s="74">
        <f ca="1">OFFSET(Batting!$CG$4,BatAves!$I23,0)</f>
        <v>8</v>
      </c>
      <c r="E23" s="74">
        <f ca="1">OFFSET(Batting!$CH$4,BatAves!$I23,0)</f>
        <v>0</v>
      </c>
      <c r="F23" s="74">
        <f ca="1">OFFSET(Batting!$CJ$4,BatAves!$I23,0)</f>
        <v>15</v>
      </c>
      <c r="G23" s="74">
        <f ca="1">OFFSET(Batting!$CK$4,BatAves!$I23,0)</f>
        <v>53</v>
      </c>
      <c r="H23" s="79">
        <f ca="1">OFFSET(Batting!$CL$4,BatAves!$I23,0)</f>
        <v>6.625</v>
      </c>
      <c r="I23" s="70">
        <f>MATCH(A23,Batting!$DF$5:$DF$38,0)</f>
        <v>19</v>
      </c>
      <c r="J23" s="70">
        <f t="shared" ca="1" si="0"/>
        <v>22</v>
      </c>
      <c r="K23" s="70">
        <f t="shared" ca="1" si="1"/>
        <v>13</v>
      </c>
      <c r="L23" s="70" t="str">
        <f t="shared" ca="1" si="2"/>
        <v/>
      </c>
      <c r="M23" s="70">
        <f t="shared" ca="1" si="3"/>
        <v>10</v>
      </c>
      <c r="N23" s="141">
        <v>22</v>
      </c>
      <c r="O23" s="141" t="str">
        <f t="shared" ca="1" si="4"/>
        <v>Singh H</v>
      </c>
      <c r="P23" s="141">
        <f t="shared" ca="1" si="5"/>
        <v>3</v>
      </c>
      <c r="Q23" s="141">
        <f t="shared" ca="1" si="6"/>
        <v>0</v>
      </c>
      <c r="R23" s="141">
        <f t="shared" ca="1" si="7"/>
        <v>15</v>
      </c>
      <c r="S23" s="141">
        <f t="shared" ca="1" si="8"/>
        <v>35</v>
      </c>
      <c r="T23" s="143">
        <f t="shared" ca="1" si="9"/>
        <v>11.666666666666666</v>
      </c>
      <c r="V23" s="70" t="s">
        <v>225</v>
      </c>
      <c r="W23" s="70" t="s">
        <v>225</v>
      </c>
    </row>
    <row r="24" spans="1:23" ht="12.75">
      <c r="A24" s="70">
        <v>23</v>
      </c>
      <c r="B24" s="70" t="str">
        <f ca="1">OFFSET(Batting!$C$4,BatAves!$I24,0)</f>
        <v>Worthington R</v>
      </c>
      <c r="C24" s="74">
        <f ca="1">OFFSET(Batting!$CE$4,BatAves!$I24,0)</f>
        <v>6</v>
      </c>
      <c r="D24" s="74">
        <f ca="1">OFFSET(Batting!$CG$4,BatAves!$I24,0)</f>
        <v>6</v>
      </c>
      <c r="E24" s="74">
        <f ca="1">OFFSET(Batting!$CH$4,BatAves!$I24,0)</f>
        <v>0</v>
      </c>
      <c r="F24" s="74">
        <f ca="1">OFFSET(Batting!$CJ$4,BatAves!$I24,0)</f>
        <v>15</v>
      </c>
      <c r="G24" s="74">
        <f ca="1">OFFSET(Batting!$CK$4,BatAves!$I24,0)</f>
        <v>38</v>
      </c>
      <c r="H24" s="79">
        <f ca="1">OFFSET(Batting!$CL$4,BatAves!$I24,0)</f>
        <v>6.333333333333333</v>
      </c>
      <c r="I24" s="70">
        <f>MATCH(A24,Batting!$DF$5:$DF$38,0)</f>
        <v>33</v>
      </c>
      <c r="J24" s="70">
        <f t="shared" ca="1" si="0"/>
        <v>23</v>
      </c>
      <c r="K24" s="70">
        <f t="shared" ca="1" si="1"/>
        <v>14</v>
      </c>
      <c r="L24" s="70" t="str">
        <f t="shared" ca="1" si="2"/>
        <v/>
      </c>
      <c r="M24" s="70">
        <f t="shared" ca="1" si="3"/>
        <v>15</v>
      </c>
      <c r="N24" s="141">
        <v>23</v>
      </c>
      <c r="O24" s="141" t="str">
        <f t="shared" ca="1" si="4"/>
        <v>Rollins R</v>
      </c>
      <c r="P24" s="141">
        <f t="shared" ca="1" si="5"/>
        <v>3</v>
      </c>
      <c r="Q24" s="141">
        <f t="shared" ca="1" si="6"/>
        <v>0</v>
      </c>
      <c r="R24" s="141">
        <f t="shared" ca="1" si="7"/>
        <v>19</v>
      </c>
      <c r="S24" s="141">
        <f t="shared" ca="1" si="8"/>
        <v>29</v>
      </c>
      <c r="T24" s="143">
        <f t="shared" ca="1" si="9"/>
        <v>9.6666666666666661</v>
      </c>
      <c r="V24" s="70" t="s">
        <v>225</v>
      </c>
    </row>
    <row r="25" spans="1:23" ht="12.75">
      <c r="A25" s="70">
        <v>24</v>
      </c>
      <c r="B25" s="70" t="str">
        <f ca="1">OFFSET(Batting!$C$4,BatAves!$I25,0)</f>
        <v>Leadley J</v>
      </c>
      <c r="C25" s="74">
        <f ca="1">OFFSET(Batting!$CE$4,BatAves!$I25,0)</f>
        <v>1</v>
      </c>
      <c r="D25" s="74">
        <f ca="1">OFFSET(Batting!$CG$4,BatAves!$I25,0)</f>
        <v>1</v>
      </c>
      <c r="E25" s="74">
        <f ca="1">OFFSET(Batting!$CH$4,BatAves!$I25,0)</f>
        <v>0</v>
      </c>
      <c r="F25" s="74">
        <f ca="1">OFFSET(Batting!$CJ$4,BatAves!$I25,0)</f>
        <v>6</v>
      </c>
      <c r="G25" s="74">
        <f ca="1">OFFSET(Batting!$CK$4,BatAves!$I25,0)</f>
        <v>6</v>
      </c>
      <c r="H25" s="79">
        <f ca="1">OFFSET(Batting!$CL$4,BatAves!$I25,0)</f>
        <v>6</v>
      </c>
      <c r="I25" s="70">
        <f>MATCH(A25,Batting!$DF$5:$DF$38,0)</f>
        <v>18</v>
      </c>
      <c r="J25" s="70">
        <f t="shared" ca="1" si="0"/>
        <v>1024</v>
      </c>
      <c r="K25" s="70">
        <f t="shared" ca="1" si="1"/>
        <v>27</v>
      </c>
      <c r="L25" s="70" t="str">
        <f t="shared" ca="1" si="2"/>
        <v>Leadley J 1-0-6-6</v>
      </c>
      <c r="M25" s="70">
        <f t="shared" ca="1" si="3"/>
        <v>17</v>
      </c>
      <c r="N25" s="141">
        <v>24</v>
      </c>
      <c r="O25" s="141" t="str">
        <f t="shared" ca="1" si="4"/>
        <v>Chitnavis B</v>
      </c>
      <c r="P25" s="141">
        <f t="shared" ca="1" si="5"/>
        <v>2</v>
      </c>
      <c r="Q25" s="141">
        <f t="shared" ca="1" si="6"/>
        <v>0</v>
      </c>
      <c r="R25" s="141">
        <f t="shared" ca="1" si="7"/>
        <v>15</v>
      </c>
      <c r="S25" s="141">
        <f t="shared" ca="1" si="8"/>
        <v>18</v>
      </c>
      <c r="T25" s="143">
        <f t="shared" ca="1" si="9"/>
        <v>9</v>
      </c>
      <c r="V25" s="70" t="s">
        <v>225</v>
      </c>
    </row>
    <row r="26" spans="1:23" ht="12.75">
      <c r="A26" s="70">
        <v>25</v>
      </c>
      <c r="B26" s="70" t="str">
        <f ca="1">OFFSET(Batting!$C$4,BatAves!$I26,0)</f>
        <v>Smith C</v>
      </c>
      <c r="C26" s="74">
        <f ca="1">OFFSET(Batting!$CE$4,BatAves!$I26,0)</f>
        <v>16</v>
      </c>
      <c r="D26" s="74">
        <f ca="1">OFFSET(Batting!$CG$4,BatAves!$I26,0)</f>
        <v>14</v>
      </c>
      <c r="E26" s="74">
        <f ca="1">OFFSET(Batting!$CH$4,BatAves!$I26,0)</f>
        <v>0</v>
      </c>
      <c r="F26" s="74">
        <f ca="1">OFFSET(Batting!$CJ$4,BatAves!$I26,0)</f>
        <v>21</v>
      </c>
      <c r="G26" s="74">
        <f ca="1">OFFSET(Batting!$CK$4,BatAves!$I26,0)</f>
        <v>81</v>
      </c>
      <c r="H26" s="79">
        <f ca="1">OFFSET(Batting!$CL$4,BatAves!$I26,0)</f>
        <v>5.7857142857142856</v>
      </c>
      <c r="I26" s="70">
        <f>MATCH(A26,Batting!$DF$5:$DF$38,0)</f>
        <v>30</v>
      </c>
      <c r="J26" s="70">
        <f t="shared" ca="1" si="0"/>
        <v>25</v>
      </c>
      <c r="K26" s="70">
        <f t="shared" ca="1" si="1"/>
        <v>15</v>
      </c>
      <c r="L26" s="70" t="str">
        <f t="shared" ca="1" si="2"/>
        <v/>
      </c>
      <c r="M26" s="70">
        <f t="shared" ca="1" si="3"/>
        <v>19</v>
      </c>
      <c r="N26" s="141">
        <v>25</v>
      </c>
      <c r="O26" s="141" t="str">
        <f t="shared" ca="1" si="4"/>
        <v>Davies R</v>
      </c>
      <c r="P26" s="141">
        <f t="shared" ca="1" si="5"/>
        <v>1</v>
      </c>
      <c r="Q26" s="141">
        <f t="shared" ca="1" si="6"/>
        <v>0</v>
      </c>
      <c r="R26" s="141">
        <f t="shared" ca="1" si="7"/>
        <v>8</v>
      </c>
      <c r="S26" s="141">
        <f t="shared" ca="1" si="8"/>
        <v>8</v>
      </c>
      <c r="T26" s="143">
        <f t="shared" ca="1" si="9"/>
        <v>8</v>
      </c>
      <c r="V26" s="70" t="s">
        <v>225</v>
      </c>
    </row>
    <row r="27" spans="1:23" ht="12.75">
      <c r="A27" s="70">
        <v>26</v>
      </c>
      <c r="B27" s="70" t="str">
        <f ca="1">OFFSET(Batting!$C$4,BatAves!$I27,0)</f>
        <v>Coloe A</v>
      </c>
      <c r="C27" s="74">
        <f ca="1">OFFSET(Batting!$CE$4,BatAves!$I27,0)</f>
        <v>7</v>
      </c>
      <c r="D27" s="74">
        <f ca="1">OFFSET(Batting!$CG$4,BatAves!$I27,0)</f>
        <v>7</v>
      </c>
      <c r="E27" s="74">
        <f ca="1">OFFSET(Batting!$CH$4,BatAves!$I27,0)</f>
        <v>1</v>
      </c>
      <c r="F27" s="74">
        <f ca="1">OFFSET(Batting!$CJ$4,BatAves!$I27,0)</f>
        <v>25</v>
      </c>
      <c r="G27" s="74">
        <f ca="1">OFFSET(Batting!$CK$4,BatAves!$I27,0)</f>
        <v>34</v>
      </c>
      <c r="H27" s="79">
        <f ca="1">OFFSET(Batting!$CL$4,BatAves!$I27,0)</f>
        <v>5.666666666666667</v>
      </c>
      <c r="I27" s="70">
        <f>MATCH(A27,Batting!$DF$5:$DF$38,0)</f>
        <v>6</v>
      </c>
      <c r="J27" s="70">
        <f t="shared" ca="1" si="0"/>
        <v>26</v>
      </c>
      <c r="K27" s="70">
        <f t="shared" ca="1" si="1"/>
        <v>16</v>
      </c>
      <c r="L27" s="70" t="str">
        <f t="shared" ca="1" si="2"/>
        <v/>
      </c>
      <c r="M27" s="70">
        <f t="shared" ca="1" si="3"/>
        <v>20</v>
      </c>
      <c r="N27" s="141">
        <v>26</v>
      </c>
      <c r="O27" s="141" t="str">
        <f t="shared" ca="1" si="4"/>
        <v>Lovell</v>
      </c>
      <c r="P27" s="141">
        <f t="shared" ca="1" si="5"/>
        <v>4</v>
      </c>
      <c r="Q27" s="141">
        <f t="shared" ca="1" si="6"/>
        <v>0</v>
      </c>
      <c r="R27" s="141">
        <f t="shared" ca="1" si="7"/>
        <v>15</v>
      </c>
      <c r="S27" s="141">
        <f t="shared" ca="1" si="8"/>
        <v>31</v>
      </c>
      <c r="T27" s="143">
        <f t="shared" ca="1" si="9"/>
        <v>7.75</v>
      </c>
      <c r="V27" s="70" t="s">
        <v>225</v>
      </c>
    </row>
    <row r="28" spans="1:23" ht="12.75">
      <c r="A28" s="70">
        <v>27</v>
      </c>
      <c r="B28" s="70" t="str">
        <f ca="1">OFFSET(Batting!$C$4,BatAves!$I28,0)</f>
        <v>Clark C</v>
      </c>
      <c r="C28" s="74">
        <f ca="1">OFFSET(Batting!$CE$4,BatAves!$I28,0)</f>
        <v>16</v>
      </c>
      <c r="D28" s="74">
        <f ca="1">OFFSET(Batting!$CG$4,BatAves!$I28,0)</f>
        <v>7</v>
      </c>
      <c r="E28" s="74">
        <f ca="1">OFFSET(Batting!$CH$4,BatAves!$I28,0)</f>
        <v>0</v>
      </c>
      <c r="F28" s="74">
        <f ca="1">OFFSET(Batting!$CJ$4,BatAves!$I28,0)</f>
        <v>20</v>
      </c>
      <c r="G28" s="74">
        <f ca="1">OFFSET(Batting!$CK$4,BatAves!$I28,0)</f>
        <v>39</v>
      </c>
      <c r="H28" s="79">
        <f ca="1">OFFSET(Batting!$CL$4,BatAves!$I28,0)</f>
        <v>5.5714285714285712</v>
      </c>
      <c r="I28" s="70">
        <f>MATCH(A28,Batting!$DF$5:$DF$38,0)</f>
        <v>4</v>
      </c>
      <c r="J28" s="70">
        <f t="shared" ca="1" si="0"/>
        <v>27</v>
      </c>
      <c r="K28" s="70">
        <f t="shared" ca="1" si="1"/>
        <v>17</v>
      </c>
      <c r="L28" s="70" t="str">
        <f t="shared" ca="1" si="2"/>
        <v/>
      </c>
      <c r="M28" s="70">
        <f t="shared" ca="1" si="3"/>
        <v>24</v>
      </c>
      <c r="N28" s="141">
        <v>27</v>
      </c>
      <c r="O28" s="141" t="str">
        <f t="shared" ca="1" si="4"/>
        <v>Leadley J</v>
      </c>
      <c r="P28" s="141">
        <f t="shared" ca="1" si="5"/>
        <v>1</v>
      </c>
      <c r="Q28" s="141">
        <f t="shared" ca="1" si="6"/>
        <v>0</v>
      </c>
      <c r="R28" s="141">
        <f t="shared" ca="1" si="7"/>
        <v>6</v>
      </c>
      <c r="S28" s="141">
        <f t="shared" ca="1" si="8"/>
        <v>6</v>
      </c>
      <c r="T28" s="143">
        <f t="shared" ca="1" si="9"/>
        <v>6</v>
      </c>
      <c r="V28" s="70" t="s">
        <v>225</v>
      </c>
    </row>
    <row r="29" spans="1:23" ht="12.75">
      <c r="A29" s="70">
        <v>28</v>
      </c>
      <c r="B29" s="70" t="str">
        <f ca="1">OFFSET(Batting!$C$4,BatAves!$I29,0)</f>
        <v>Engel W</v>
      </c>
      <c r="C29" s="74">
        <f ca="1">OFFSET(Batting!$CE$4,BatAves!$I29,0)</f>
        <v>1</v>
      </c>
      <c r="D29" s="74">
        <f ca="1">OFFSET(Batting!$CG$4,BatAves!$I29,0)</f>
        <v>1</v>
      </c>
      <c r="E29" s="74">
        <f ca="1">OFFSET(Batting!$CH$4,BatAves!$I29,0)</f>
        <v>0</v>
      </c>
      <c r="F29" s="74">
        <f ca="1">OFFSET(Batting!$CJ$4,BatAves!$I29,0)</f>
        <v>3</v>
      </c>
      <c r="G29" s="74">
        <f ca="1">OFFSET(Batting!$CK$4,BatAves!$I29,0)</f>
        <v>3</v>
      </c>
      <c r="H29" s="79">
        <f ca="1">OFFSET(Batting!$CL$4,BatAves!$I29,0)</f>
        <v>3</v>
      </c>
      <c r="I29" s="70">
        <f>MATCH(A29,Batting!$DF$5:$DF$38,0)</f>
        <v>12</v>
      </c>
      <c r="J29" s="70">
        <f t="shared" ca="1" si="0"/>
        <v>1028</v>
      </c>
      <c r="K29" s="70">
        <f t="shared" ca="1" si="1"/>
        <v>28</v>
      </c>
      <c r="L29" s="70" t="str">
        <f t="shared" ca="1" si="2"/>
        <v>Engel W 1-0-3-3</v>
      </c>
      <c r="M29" s="70">
        <f t="shared" ca="1" si="3"/>
        <v>28</v>
      </c>
      <c r="N29" s="141">
        <v>28</v>
      </c>
      <c r="O29" s="141" t="str">
        <f t="shared" ca="1" si="4"/>
        <v>Engel W</v>
      </c>
      <c r="P29" s="141">
        <f t="shared" ca="1" si="5"/>
        <v>1</v>
      </c>
      <c r="Q29" s="141">
        <f t="shared" ca="1" si="6"/>
        <v>0</v>
      </c>
      <c r="R29" s="141">
        <f t="shared" ca="1" si="7"/>
        <v>3</v>
      </c>
      <c r="S29" s="141">
        <f t="shared" ca="1" si="8"/>
        <v>3</v>
      </c>
      <c r="T29" s="143">
        <f t="shared" ca="1" si="9"/>
        <v>3</v>
      </c>
      <c r="V29" s="70" t="s">
        <v>225</v>
      </c>
    </row>
    <row r="30" spans="1:23" ht="12.75">
      <c r="A30" s="70">
        <v>29</v>
      </c>
      <c r="B30" s="70" t="str">
        <f ca="1">OFFSET(Batting!$C$4,BatAves!$I30,0)</f>
        <v>Gibb B</v>
      </c>
      <c r="C30" s="74">
        <f ca="1">OFFSET(Batting!$CE$4,BatAves!$I30,0)</f>
        <v>1</v>
      </c>
      <c r="D30" s="74">
        <f ca="1">OFFSET(Batting!$CG$4,BatAves!$I30,0)</f>
        <v>1</v>
      </c>
      <c r="E30" s="74">
        <f ca="1">OFFSET(Batting!$CH$4,BatAves!$I30,0)</f>
        <v>0</v>
      </c>
      <c r="F30" s="74">
        <f ca="1">OFFSET(Batting!$CJ$4,BatAves!$I30,0)</f>
        <v>2</v>
      </c>
      <c r="G30" s="74">
        <f ca="1">OFFSET(Batting!$CK$4,BatAves!$I30,0)</f>
        <v>2</v>
      </c>
      <c r="H30" s="79">
        <f ca="1">OFFSET(Batting!$CL$4,BatAves!$I30,0)</f>
        <v>2</v>
      </c>
      <c r="I30" s="70">
        <f>MATCH(A30,Batting!$DF$5:$DF$38,0)</f>
        <v>14</v>
      </c>
      <c r="J30" s="70">
        <f t="shared" ca="1" si="0"/>
        <v>1029</v>
      </c>
      <c r="K30" s="70">
        <f t="shared" ca="1" si="1"/>
        <v>29</v>
      </c>
      <c r="L30" s="70" t="str">
        <f t="shared" ca="1" si="2"/>
        <v>Gibb B 1-0-2-2</v>
      </c>
      <c r="M30" s="70">
        <f t="shared" ca="1" si="3"/>
        <v>29</v>
      </c>
      <c r="N30" s="141">
        <v>29</v>
      </c>
      <c r="O30" s="141" t="str">
        <f t="shared" ca="1" si="4"/>
        <v>Gibb B</v>
      </c>
      <c r="P30" s="141">
        <f t="shared" ca="1" si="5"/>
        <v>1</v>
      </c>
      <c r="Q30" s="141">
        <f t="shared" ca="1" si="6"/>
        <v>0</v>
      </c>
      <c r="R30" s="141">
        <f t="shared" ca="1" si="7"/>
        <v>2</v>
      </c>
      <c r="S30" s="141">
        <f t="shared" ca="1" si="8"/>
        <v>2</v>
      </c>
      <c r="T30" s="143">
        <f t="shared" ca="1" si="9"/>
        <v>2</v>
      </c>
      <c r="V30" s="70" t="s">
        <v>225</v>
      </c>
    </row>
    <row r="31" spans="1:23" ht="12.75">
      <c r="A31" s="70">
        <v>30</v>
      </c>
      <c r="B31" s="70" t="str">
        <f ca="1">OFFSET(Batting!$C$4,BatAves!$I31,0)</f>
        <v>Edghill D</v>
      </c>
      <c r="C31" s="74">
        <f ca="1">OFFSET(Batting!$CE$4,BatAves!$I31,0)</f>
        <v>4</v>
      </c>
      <c r="D31" s="74">
        <f ca="1">OFFSET(Batting!$CG$4,BatAves!$I31,0)</f>
        <v>4</v>
      </c>
      <c r="E31" s="74">
        <f ca="1">OFFSET(Batting!$CH$4,BatAves!$I31,0)</f>
        <v>1</v>
      </c>
      <c r="F31" s="74">
        <f ca="1">OFFSET(Batting!$CJ$4,BatAves!$I31,0)</f>
        <v>5</v>
      </c>
      <c r="G31" s="74">
        <f ca="1">OFFSET(Batting!$CK$4,BatAves!$I31,0)</f>
        <v>5</v>
      </c>
      <c r="H31" s="79">
        <f ca="1">OFFSET(Batting!$CL$4,BatAves!$I31,0)</f>
        <v>1.6666666666666667</v>
      </c>
      <c r="I31" s="70">
        <f>MATCH(A31,Batting!$DF$5:$DF$38,0)</f>
        <v>11</v>
      </c>
      <c r="J31" s="70">
        <f t="shared" ca="1" si="0"/>
        <v>1030</v>
      </c>
      <c r="K31" s="70">
        <f t="shared" ca="1" si="1"/>
        <v>30</v>
      </c>
      <c r="L31" s="70" t="str">
        <f t="shared" ca="1" si="2"/>
        <v>Edghill D 4-1-5-5</v>
      </c>
      <c r="M31" s="70">
        <f t="shared" ca="1" si="3"/>
        <v>30</v>
      </c>
      <c r="N31" s="141">
        <v>30</v>
      </c>
      <c r="O31" s="141" t="str">
        <f t="shared" ca="1" si="4"/>
        <v>Edghill D</v>
      </c>
      <c r="P31" s="141">
        <f t="shared" ca="1" si="5"/>
        <v>4</v>
      </c>
      <c r="Q31" s="141">
        <f t="shared" ca="1" si="6"/>
        <v>1</v>
      </c>
      <c r="R31" s="141">
        <f t="shared" ca="1" si="7"/>
        <v>5</v>
      </c>
      <c r="S31" s="141">
        <f t="shared" ca="1" si="8"/>
        <v>5</v>
      </c>
      <c r="T31" s="143">
        <f t="shared" ca="1" si="9"/>
        <v>1.6666666666666667</v>
      </c>
      <c r="V31" s="70" t="s">
        <v>225</v>
      </c>
    </row>
    <row r="32" spans="1:23" ht="12.75">
      <c r="A32" s="70">
        <v>31</v>
      </c>
      <c r="B32" s="70" t="str">
        <f ca="1">OFFSET(Batting!$C$4,BatAves!$I32,0)</f>
        <v>Wiseman R</v>
      </c>
      <c r="C32" s="74">
        <f ca="1">OFFSET(Batting!$CE$4,BatAves!$I32,0)</f>
        <v>2</v>
      </c>
      <c r="D32" s="74">
        <f ca="1">OFFSET(Batting!$CG$4,BatAves!$I32,0)</f>
        <v>1</v>
      </c>
      <c r="E32" s="74">
        <f ca="1">OFFSET(Batting!$CH$4,BatAves!$I32,0)</f>
        <v>0</v>
      </c>
      <c r="F32" s="74">
        <f ca="1">OFFSET(Batting!$CJ$4,BatAves!$I32,0)</f>
        <v>0</v>
      </c>
      <c r="G32" s="74">
        <f ca="1">OFFSET(Batting!$CK$4,BatAves!$I32,0)</f>
        <v>0</v>
      </c>
      <c r="H32" s="79">
        <f ca="1">OFFSET(Batting!$CL$4,BatAves!$I32,0)</f>
        <v>0</v>
      </c>
      <c r="I32" s="70">
        <f>MATCH(A32,Batting!$DF$5:$DF$38,0)</f>
        <v>31</v>
      </c>
      <c r="J32" s="70">
        <f t="shared" ca="1" si="0"/>
        <v>1031</v>
      </c>
      <c r="K32" s="70">
        <f t="shared" ca="1" si="1"/>
        <v>31</v>
      </c>
      <c r="L32" s="70" t="str">
        <f t="shared" ca="1" si="2"/>
        <v>Wiseman R 1-0-0-0</v>
      </c>
      <c r="M32" s="70">
        <f t="shared" ca="1" si="3"/>
        <v>31</v>
      </c>
      <c r="N32" s="141">
        <v>31</v>
      </c>
      <c r="O32" s="141" t="str">
        <f t="shared" ca="1" si="4"/>
        <v>Wiseman R</v>
      </c>
      <c r="P32" s="141">
        <f t="shared" ca="1" si="5"/>
        <v>1</v>
      </c>
      <c r="Q32" s="141">
        <f t="shared" ca="1" si="6"/>
        <v>0</v>
      </c>
      <c r="R32" s="141">
        <f t="shared" ca="1" si="7"/>
        <v>0</v>
      </c>
      <c r="S32" s="141">
        <f t="shared" ca="1" si="8"/>
        <v>0</v>
      </c>
      <c r="T32" s="143">
        <f t="shared" ca="1" si="9"/>
        <v>0</v>
      </c>
      <c r="V32" s="70" t="s">
        <v>225</v>
      </c>
    </row>
    <row r="33" spans="1:22" ht="12.75">
      <c r="A33" s="70">
        <v>32</v>
      </c>
      <c r="B33" s="70" t="str">
        <f ca="1">OFFSET(Batting!$C$4,BatAves!$I33,0)</f>
        <v>Lestrelle J</v>
      </c>
      <c r="C33" s="74">
        <f ca="1">OFFSET(Batting!$CE$4,BatAves!$I33,0)</f>
        <v>1</v>
      </c>
      <c r="D33" s="74">
        <f ca="1">OFFSET(Batting!$CG$4,BatAves!$I33,0)</f>
        <v>1</v>
      </c>
      <c r="E33" s="74">
        <f ca="1">OFFSET(Batting!$CH$4,BatAves!$I33,0)</f>
        <v>1</v>
      </c>
      <c r="F33" s="74" t="str">
        <f ca="1">OFFSET(Batting!$CJ$4,BatAves!$I33,0)</f>
        <v>23*</v>
      </c>
      <c r="G33" s="74">
        <f ca="1">OFFSET(Batting!$CK$4,BatAves!$I33,0)</f>
        <v>23</v>
      </c>
      <c r="H33" s="79">
        <f ca="1">OFFSET(Batting!$CL$4,BatAves!$I33,0)</f>
        <v>0</v>
      </c>
      <c r="I33" s="70">
        <f>MATCH(A33,Batting!$DF$5:$DF$38,0)</f>
        <v>20</v>
      </c>
      <c r="J33" s="70">
        <f t="shared" ca="1" si="0"/>
        <v>1032</v>
      </c>
      <c r="K33" s="70">
        <f t="shared" ca="1" si="1"/>
        <v>32</v>
      </c>
      <c r="L33" s="70" t="str">
        <f t="shared" ca="1" si="2"/>
        <v>Lestrelle J 1-1-23*-23</v>
      </c>
      <c r="M33" s="70">
        <f t="shared" ca="1" si="3"/>
        <v>32</v>
      </c>
      <c r="N33" s="141">
        <v>32</v>
      </c>
      <c r="O33" s="141" t="str">
        <f t="shared" ca="1" si="4"/>
        <v>Lestrelle J</v>
      </c>
      <c r="P33" s="141">
        <f t="shared" ca="1" si="5"/>
        <v>1</v>
      </c>
      <c r="Q33" s="141">
        <f t="shared" ca="1" si="6"/>
        <v>1</v>
      </c>
      <c r="R33" s="141" t="str">
        <f t="shared" ca="1" si="7"/>
        <v>23*</v>
      </c>
      <c r="S33" s="141">
        <f t="shared" ca="1" si="8"/>
        <v>23</v>
      </c>
      <c r="T33" s="143">
        <f t="shared" ca="1" si="9"/>
        <v>0</v>
      </c>
      <c r="V33" s="70" t="s">
        <v>225</v>
      </c>
    </row>
    <row r="34" spans="1:22" ht="12.75">
      <c r="A34" s="70">
        <v>33</v>
      </c>
      <c r="B34" s="70" t="str">
        <f ca="1">OFFSET(Batting!$C$4,BatAves!$I34,0)</f>
        <v>Bowers M</v>
      </c>
      <c r="C34" s="74">
        <f ca="1">OFFSET(Batting!$CE$4,BatAves!$I34,0)</f>
        <v>1</v>
      </c>
      <c r="D34" s="74">
        <f ca="1">OFFSET(Batting!$CG$4,BatAves!$I34,0)</f>
        <v>1</v>
      </c>
      <c r="E34" s="74">
        <f ca="1">OFFSET(Batting!$CH$4,BatAves!$I34,0)</f>
        <v>1</v>
      </c>
      <c r="F34" s="74" t="str">
        <f ca="1">OFFSET(Batting!$CJ$4,BatAves!$I34,0)</f>
        <v>1*</v>
      </c>
      <c r="G34" s="74">
        <f ca="1">OFFSET(Batting!$CK$4,BatAves!$I34,0)</f>
        <v>1</v>
      </c>
      <c r="H34" s="79">
        <f ca="1">OFFSET(Batting!$CL$4,BatAves!$I34,0)</f>
        <v>0</v>
      </c>
      <c r="I34" s="70">
        <f>MATCH(A34,Batting!$DF$5:$DF$38,0)</f>
        <v>1</v>
      </c>
      <c r="J34" s="70">
        <f t="shared" ca="1" si="0"/>
        <v>1033</v>
      </c>
      <c r="K34" s="70">
        <f t="shared" ca="1" si="1"/>
        <v>33</v>
      </c>
      <c r="L34" s="70" t="str">
        <f t="shared" ca="1" si="2"/>
        <v>Bowers M 1-1-1*-1</v>
      </c>
      <c r="M34" s="70">
        <f t="shared" ca="1" si="3"/>
        <v>33</v>
      </c>
      <c r="N34" s="141">
        <v>33</v>
      </c>
      <c r="O34" s="141" t="str">
        <f t="shared" ca="1" si="4"/>
        <v>Bowers M</v>
      </c>
      <c r="P34" s="141">
        <f t="shared" ca="1" si="5"/>
        <v>1</v>
      </c>
      <c r="Q34" s="141">
        <f t="shared" ca="1" si="6"/>
        <v>1</v>
      </c>
      <c r="R34" s="141" t="str">
        <f t="shared" ca="1" si="7"/>
        <v>1*</v>
      </c>
      <c r="S34" s="141">
        <f t="shared" ca="1" si="8"/>
        <v>1</v>
      </c>
      <c r="T34" s="143">
        <f t="shared" ca="1" si="9"/>
        <v>0</v>
      </c>
      <c r="V34" s="70" t="s">
        <v>225</v>
      </c>
    </row>
    <row r="35" spans="1:22" ht="12.75">
      <c r="A35" s="70">
        <v>34</v>
      </c>
      <c r="B35" s="70" t="str">
        <f ca="1">OFFSET(Batting!$C$4,BatAves!$I35,0)</f>
        <v>Woodhouse M</v>
      </c>
      <c r="C35" s="74">
        <f ca="1">OFFSET(Batting!$CE$4,BatAves!$I35,0)</f>
        <v>1</v>
      </c>
      <c r="D35" s="74">
        <f ca="1">OFFSET(Batting!$CG$4,BatAves!$I35,0)</f>
        <v>1</v>
      </c>
      <c r="E35" s="74">
        <f ca="1">OFFSET(Batting!$CH$4,BatAves!$I35,0)</f>
        <v>0</v>
      </c>
      <c r="F35" s="74">
        <f ca="1">OFFSET(Batting!$CJ$4,BatAves!$I35,0)</f>
        <v>0</v>
      </c>
      <c r="G35" s="74">
        <f ca="1">OFFSET(Batting!$CK$4,BatAves!$I35,0)</f>
        <v>0</v>
      </c>
      <c r="H35" s="79">
        <f ca="1">OFFSET(Batting!$CL$4,BatAves!$I35,0)</f>
        <v>0</v>
      </c>
      <c r="I35" s="70">
        <f>MATCH(A35,Batting!$DF$5:$DF$38,0)</f>
        <v>32</v>
      </c>
      <c r="J35" s="70">
        <f t="shared" ca="1" si="0"/>
        <v>1034</v>
      </c>
      <c r="K35" s="70">
        <f t="shared" ca="1" si="1"/>
        <v>34</v>
      </c>
      <c r="L35" s="70" t="str">
        <f t="shared" ca="1" si="2"/>
        <v>Woodhouse M 1-0-0-0</v>
      </c>
      <c r="M35" s="70">
        <f t="shared" ca="1" si="3"/>
        <v>34</v>
      </c>
      <c r="N35" s="141">
        <v>34</v>
      </c>
      <c r="O35" s="141" t="str">
        <f t="shared" ca="1" si="4"/>
        <v>Woodhouse M</v>
      </c>
      <c r="P35" s="141">
        <f t="shared" ca="1" si="5"/>
        <v>1</v>
      </c>
      <c r="Q35" s="141">
        <f t="shared" ca="1" si="6"/>
        <v>0</v>
      </c>
      <c r="R35" s="141">
        <f t="shared" ca="1" si="7"/>
        <v>0</v>
      </c>
      <c r="S35" s="141">
        <f t="shared" ca="1" si="8"/>
        <v>0</v>
      </c>
      <c r="T35" s="143">
        <f t="shared" ca="1" si="9"/>
        <v>0</v>
      </c>
      <c r="V35" s="70" t="s">
        <v>225</v>
      </c>
    </row>
    <row r="36" spans="1:22" ht="12.75">
      <c r="A36" s="70">
        <v>35</v>
      </c>
      <c r="B36" s="70" t="e">
        <f ca="1">OFFSET(Batting!$C$4,BatAves!$I36,0)</f>
        <v>#N/A</v>
      </c>
      <c r="C36" s="74" t="e">
        <f ca="1">OFFSET(Batting!$CE$4,BatAves!$I36,0)</f>
        <v>#N/A</v>
      </c>
      <c r="D36" s="74" t="e">
        <f ca="1">OFFSET(Batting!$CG$4,BatAves!$I36,0)</f>
        <v>#N/A</v>
      </c>
      <c r="E36" s="74" t="e">
        <f ca="1">OFFSET(Batting!$CH$4,BatAves!$I36,0)</f>
        <v>#N/A</v>
      </c>
      <c r="F36" s="74" t="e">
        <f ca="1">OFFSET(Batting!$CJ$4,BatAves!$I36,0)</f>
        <v>#N/A</v>
      </c>
      <c r="G36" s="74" t="e">
        <f ca="1">OFFSET(Batting!$CK$4,BatAves!$I36,0)</f>
        <v>#N/A</v>
      </c>
      <c r="H36" s="79" t="e">
        <f ca="1">OFFSET(Batting!$CL$4,BatAves!$I36,0)</f>
        <v>#N/A</v>
      </c>
      <c r="I36" s="70" t="e">
        <f>MATCH(A36,Batting!$DF$5:$DF$38,0)</f>
        <v>#N/A</v>
      </c>
      <c r="J36" s="70" t="e">
        <f t="shared" ca="1" si="0"/>
        <v>#N/A</v>
      </c>
      <c r="K36" s="70" t="e">
        <f t="shared" ca="1" si="1"/>
        <v>#N/A</v>
      </c>
      <c r="L36" s="70" t="e">
        <f t="shared" ca="1" si="2"/>
        <v>#N/A</v>
      </c>
      <c r="M36" s="70" t="e">
        <f t="shared" ca="1" si="3"/>
        <v>#N/A</v>
      </c>
      <c r="N36" s="141">
        <v>35</v>
      </c>
      <c r="O36" s="141" t="e">
        <f t="shared" ca="1" si="4"/>
        <v>#N/A</v>
      </c>
      <c r="P36" s="141" t="e">
        <f t="shared" ca="1" si="5"/>
        <v>#N/A</v>
      </c>
      <c r="Q36" s="141" t="e">
        <f t="shared" ca="1" si="6"/>
        <v>#N/A</v>
      </c>
      <c r="R36" s="141" t="e">
        <f t="shared" ca="1" si="7"/>
        <v>#N/A</v>
      </c>
      <c r="S36" s="141" t="e">
        <f t="shared" ca="1" si="8"/>
        <v>#N/A</v>
      </c>
      <c r="T36" s="143" t="e">
        <f t="shared" ca="1" si="9"/>
        <v>#N/A</v>
      </c>
      <c r="V36" s="70" t="s">
        <v>591</v>
      </c>
    </row>
    <row r="37" spans="1:22" ht="12.75">
      <c r="A37" s="70">
        <v>36</v>
      </c>
      <c r="B37" s="70" t="e">
        <f ca="1">OFFSET(Batting!$C$4,BatAves!$I37,0)</f>
        <v>#N/A</v>
      </c>
      <c r="C37" s="74" t="e">
        <f ca="1">OFFSET(Batting!$CE$4,BatAves!$I37,0)</f>
        <v>#N/A</v>
      </c>
      <c r="D37" s="74" t="e">
        <f ca="1">OFFSET(Batting!$CG$4,BatAves!$I37,0)</f>
        <v>#N/A</v>
      </c>
      <c r="E37" s="74" t="e">
        <f ca="1">OFFSET(Batting!$CH$4,BatAves!$I37,0)</f>
        <v>#N/A</v>
      </c>
      <c r="F37" s="74" t="e">
        <f ca="1">OFFSET(Batting!$CJ$4,BatAves!$I37,0)</f>
        <v>#N/A</v>
      </c>
      <c r="G37" s="74" t="e">
        <f ca="1">OFFSET(Batting!$CK$4,BatAves!$I37,0)</f>
        <v>#N/A</v>
      </c>
      <c r="H37" s="79" t="e">
        <f ca="1">OFFSET(Batting!$CL$4,BatAves!$I37,0)</f>
        <v>#N/A</v>
      </c>
      <c r="I37" s="70" t="e">
        <f>MATCH(A37,Batting!$DF$5:$DF$38,0)</f>
        <v>#N/A</v>
      </c>
      <c r="J37" s="70" t="e">
        <f t="shared" ca="1" si="0"/>
        <v>#N/A</v>
      </c>
      <c r="K37" s="70" t="e">
        <f t="shared" ca="1" si="1"/>
        <v>#N/A</v>
      </c>
      <c r="L37" s="70" t="e">
        <f t="shared" ca="1" si="2"/>
        <v>#N/A</v>
      </c>
      <c r="M37" s="70" t="e">
        <f t="shared" ca="1" si="3"/>
        <v>#N/A</v>
      </c>
      <c r="N37" s="141">
        <v>36</v>
      </c>
      <c r="O37" s="141" t="e">
        <f t="shared" ca="1" si="4"/>
        <v>#N/A</v>
      </c>
      <c r="P37" s="141" t="e">
        <f t="shared" ca="1" si="5"/>
        <v>#N/A</v>
      </c>
      <c r="Q37" s="141" t="e">
        <f t="shared" ca="1" si="6"/>
        <v>#N/A</v>
      </c>
      <c r="R37" s="141" t="e">
        <f t="shared" ca="1" si="7"/>
        <v>#N/A</v>
      </c>
      <c r="S37" s="141" t="e">
        <f t="shared" ca="1" si="8"/>
        <v>#N/A</v>
      </c>
      <c r="T37" s="143" t="e">
        <f t="shared" ca="1" si="9"/>
        <v>#N/A</v>
      </c>
      <c r="V37" s="70" t="s">
        <v>585</v>
      </c>
    </row>
    <row r="38" spans="1:22" ht="12.75">
      <c r="A38" s="70">
        <v>37</v>
      </c>
      <c r="B38" s="70" t="e">
        <f ca="1">OFFSET(Batting!$C$4,BatAves!$I38,0)</f>
        <v>#N/A</v>
      </c>
      <c r="C38" s="74" t="e">
        <f ca="1">OFFSET(Batting!$CE$4,BatAves!$I38,0)</f>
        <v>#N/A</v>
      </c>
      <c r="D38" s="74" t="e">
        <f ca="1">OFFSET(Batting!$CG$4,BatAves!$I38,0)</f>
        <v>#N/A</v>
      </c>
      <c r="E38" s="74" t="e">
        <f ca="1">OFFSET(Batting!$CH$4,BatAves!$I38,0)</f>
        <v>#N/A</v>
      </c>
      <c r="F38" s="74" t="e">
        <f ca="1">OFFSET(Batting!$CJ$4,BatAves!$I38,0)</f>
        <v>#N/A</v>
      </c>
      <c r="G38" s="74" t="e">
        <f ca="1">OFFSET(Batting!$CK$4,BatAves!$I38,0)</f>
        <v>#N/A</v>
      </c>
      <c r="H38" s="79" t="e">
        <f ca="1">OFFSET(Batting!$CL$4,BatAves!$I38,0)</f>
        <v>#N/A</v>
      </c>
      <c r="I38" s="70" t="e">
        <f>MATCH(A38,Batting!$DF$5:$DF$38,0)</f>
        <v>#N/A</v>
      </c>
      <c r="J38" s="70" t="e">
        <f t="shared" ca="1" si="0"/>
        <v>#N/A</v>
      </c>
      <c r="K38" s="70" t="e">
        <f t="shared" ca="1" si="1"/>
        <v>#N/A</v>
      </c>
      <c r="L38" s="70" t="e">
        <f t="shared" ca="1" si="2"/>
        <v>#N/A</v>
      </c>
      <c r="M38" s="70" t="e">
        <f t="shared" ca="1" si="3"/>
        <v>#N/A</v>
      </c>
      <c r="N38" s="141">
        <v>37</v>
      </c>
      <c r="O38" s="141" t="e">
        <f t="shared" ca="1" si="4"/>
        <v>#N/A</v>
      </c>
      <c r="P38" s="141" t="e">
        <f t="shared" ca="1" si="5"/>
        <v>#N/A</v>
      </c>
      <c r="Q38" s="141" t="e">
        <f t="shared" ca="1" si="6"/>
        <v>#N/A</v>
      </c>
      <c r="R38" s="141" t="e">
        <f t="shared" ca="1" si="7"/>
        <v>#N/A</v>
      </c>
      <c r="S38" s="141" t="e">
        <f t="shared" ca="1" si="8"/>
        <v>#N/A</v>
      </c>
      <c r="T38" s="143" t="e">
        <f t="shared" ca="1" si="9"/>
        <v>#N/A</v>
      </c>
      <c r="V38" s="70" t="s">
        <v>586</v>
      </c>
    </row>
    <row r="39" spans="1:22" ht="12.75">
      <c r="A39" s="70">
        <v>38</v>
      </c>
      <c r="B39" s="70" t="e">
        <f ca="1">OFFSET(Batting!$C$4,BatAves!$I39,0)</f>
        <v>#N/A</v>
      </c>
      <c r="C39" s="74" t="e">
        <f ca="1">OFFSET(Batting!$CE$4,BatAves!$I39,0)</f>
        <v>#N/A</v>
      </c>
      <c r="D39" s="74" t="e">
        <f ca="1">OFFSET(Batting!$CG$4,BatAves!$I39,0)</f>
        <v>#N/A</v>
      </c>
      <c r="E39" s="74" t="e">
        <f ca="1">OFFSET(Batting!$CH$4,BatAves!$I39,0)</f>
        <v>#N/A</v>
      </c>
      <c r="F39" s="74" t="e">
        <f ca="1">OFFSET(Batting!$CJ$4,BatAves!$I39,0)</f>
        <v>#N/A</v>
      </c>
      <c r="G39" s="74" t="e">
        <f ca="1">OFFSET(Batting!$CK$4,BatAves!$I39,0)</f>
        <v>#N/A</v>
      </c>
      <c r="H39" s="79" t="e">
        <f ca="1">OFFSET(Batting!$CL$4,BatAves!$I39,0)</f>
        <v>#N/A</v>
      </c>
      <c r="I39" s="70" t="e">
        <f>MATCH(A39,Batting!$DF$5:$DF$38,0)</f>
        <v>#N/A</v>
      </c>
      <c r="J39" s="70" t="e">
        <f t="shared" ca="1" si="0"/>
        <v>#N/A</v>
      </c>
      <c r="K39" s="70" t="e">
        <f t="shared" ca="1" si="1"/>
        <v>#N/A</v>
      </c>
      <c r="L39" s="70" t="e">
        <f t="shared" ca="1" si="2"/>
        <v>#N/A</v>
      </c>
      <c r="M39" s="70" t="e">
        <f t="shared" ca="1" si="3"/>
        <v>#N/A</v>
      </c>
      <c r="N39" s="141">
        <v>38</v>
      </c>
      <c r="O39" s="141" t="e">
        <f t="shared" ca="1" si="4"/>
        <v>#N/A</v>
      </c>
      <c r="P39" s="141" t="e">
        <f t="shared" ca="1" si="5"/>
        <v>#N/A</v>
      </c>
      <c r="Q39" s="141" t="e">
        <f t="shared" ca="1" si="6"/>
        <v>#N/A</v>
      </c>
      <c r="R39" s="141" t="e">
        <f t="shared" ca="1" si="7"/>
        <v>#N/A</v>
      </c>
      <c r="S39" s="141" t="e">
        <f t="shared" ca="1" si="8"/>
        <v>#N/A</v>
      </c>
      <c r="T39" s="143" t="e">
        <f t="shared" ca="1" si="9"/>
        <v>#N/A</v>
      </c>
      <c r="V39" s="70" t="s">
        <v>588</v>
      </c>
    </row>
    <row r="40" spans="1:22" ht="12.75">
      <c r="A40" s="70">
        <v>39</v>
      </c>
      <c r="B40" s="70" t="e">
        <f ca="1">OFFSET(Batting!$C$4,BatAves!$I40,0)</f>
        <v>#N/A</v>
      </c>
      <c r="C40" s="74" t="e">
        <f ca="1">OFFSET(Batting!$CE$4,BatAves!$I40,0)</f>
        <v>#N/A</v>
      </c>
      <c r="D40" s="74" t="e">
        <f ca="1">OFFSET(Batting!$CG$4,BatAves!$I40,0)</f>
        <v>#N/A</v>
      </c>
      <c r="E40" s="74" t="e">
        <f ca="1">OFFSET(Batting!$CH$4,BatAves!$I40,0)</f>
        <v>#N/A</v>
      </c>
      <c r="F40" s="74" t="e">
        <f ca="1">OFFSET(Batting!$CJ$4,BatAves!$I40,0)</f>
        <v>#N/A</v>
      </c>
      <c r="G40" s="74" t="e">
        <f ca="1">OFFSET(Batting!$CK$4,BatAves!$I40,0)</f>
        <v>#N/A</v>
      </c>
      <c r="H40" s="79" t="e">
        <f ca="1">OFFSET(Batting!$CL$4,BatAves!$I40,0)</f>
        <v>#N/A</v>
      </c>
      <c r="I40" s="70" t="e">
        <f>MATCH(A40,Batting!$DF$5:$DF$38,0)</f>
        <v>#N/A</v>
      </c>
      <c r="J40" s="70" t="e">
        <f t="shared" ca="1" si="0"/>
        <v>#N/A</v>
      </c>
      <c r="K40" s="70" t="e">
        <f t="shared" ca="1" si="1"/>
        <v>#N/A</v>
      </c>
      <c r="L40" s="70" t="e">
        <f t="shared" ca="1" si="2"/>
        <v>#N/A</v>
      </c>
      <c r="M40" s="70" t="e">
        <f t="shared" ca="1" si="3"/>
        <v>#N/A</v>
      </c>
      <c r="N40" s="141">
        <v>39</v>
      </c>
      <c r="O40" s="141" t="e">
        <f t="shared" ca="1" si="4"/>
        <v>#N/A</v>
      </c>
      <c r="P40" s="141" t="e">
        <f t="shared" ca="1" si="5"/>
        <v>#N/A</v>
      </c>
      <c r="Q40" s="141" t="e">
        <f t="shared" ca="1" si="6"/>
        <v>#N/A</v>
      </c>
      <c r="R40" s="141" t="e">
        <f t="shared" ca="1" si="7"/>
        <v>#N/A</v>
      </c>
      <c r="S40" s="141" t="e">
        <f t="shared" ca="1" si="8"/>
        <v>#N/A</v>
      </c>
      <c r="T40" s="143" t="e">
        <f t="shared" ca="1" si="9"/>
        <v>#N/A</v>
      </c>
      <c r="V40" s="70" t="s">
        <v>594</v>
      </c>
    </row>
    <row r="41" spans="1:22" ht="12.75">
      <c r="A41" s="70">
        <v>40</v>
      </c>
      <c r="B41" s="70" t="e">
        <f ca="1">OFFSET(Batting!$C$4,BatAves!$I41,0)</f>
        <v>#N/A</v>
      </c>
      <c r="C41" s="74" t="e">
        <f ca="1">OFFSET(Batting!$CE$4,BatAves!$I41,0)</f>
        <v>#N/A</v>
      </c>
      <c r="D41" s="74" t="e">
        <f ca="1">OFFSET(Batting!$CG$4,BatAves!$I41,0)</f>
        <v>#N/A</v>
      </c>
      <c r="E41" s="74" t="e">
        <f ca="1">OFFSET(Batting!$CH$4,BatAves!$I41,0)</f>
        <v>#N/A</v>
      </c>
      <c r="F41" s="74" t="e">
        <f ca="1">OFFSET(Batting!$CJ$4,BatAves!$I41,0)</f>
        <v>#N/A</v>
      </c>
      <c r="G41" s="74" t="e">
        <f ca="1">OFFSET(Batting!$CK$4,BatAves!$I41,0)</f>
        <v>#N/A</v>
      </c>
      <c r="H41" s="79" t="e">
        <f ca="1">OFFSET(Batting!$CL$4,BatAves!$I41,0)</f>
        <v>#N/A</v>
      </c>
      <c r="I41" s="70" t="e">
        <f>MATCH(A41,Batting!$DF$5:$DF$38,0)</f>
        <v>#N/A</v>
      </c>
      <c r="J41" s="70" t="e">
        <f t="shared" ca="1" si="0"/>
        <v>#N/A</v>
      </c>
      <c r="K41" s="70" t="e">
        <f t="shared" ca="1" si="1"/>
        <v>#N/A</v>
      </c>
      <c r="L41" s="70" t="e">
        <f t="shared" ca="1" si="2"/>
        <v>#N/A</v>
      </c>
      <c r="M41" s="70" t="e">
        <f t="shared" ca="1" si="3"/>
        <v>#N/A</v>
      </c>
      <c r="N41" s="141">
        <v>40</v>
      </c>
      <c r="O41" s="141" t="e">
        <f t="shared" ca="1" si="4"/>
        <v>#N/A</v>
      </c>
      <c r="P41" s="141" t="e">
        <f t="shared" ca="1" si="5"/>
        <v>#N/A</v>
      </c>
      <c r="Q41" s="141" t="e">
        <f t="shared" ca="1" si="6"/>
        <v>#N/A</v>
      </c>
      <c r="R41" s="141" t="e">
        <f t="shared" ca="1" si="7"/>
        <v>#N/A</v>
      </c>
      <c r="S41" s="141" t="e">
        <f t="shared" ca="1" si="8"/>
        <v>#N/A</v>
      </c>
      <c r="T41" s="143" t="e">
        <f t="shared" ca="1" si="9"/>
        <v>#N/A</v>
      </c>
      <c r="V41" s="70" t="s">
        <v>579</v>
      </c>
    </row>
    <row r="42" spans="1:22">
      <c r="A42" s="70">
        <v>41</v>
      </c>
      <c r="B42" s="70" t="e">
        <f ca="1">OFFSET(Batting!$C$4,BatAves!$I42,0)</f>
        <v>#N/A</v>
      </c>
      <c r="C42" s="74" t="e">
        <f ca="1">OFFSET(Batting!$CE$4,BatAves!$I42,0)</f>
        <v>#N/A</v>
      </c>
      <c r="D42" s="74" t="e">
        <f ca="1">OFFSET(Batting!$CG$4,BatAves!$I42,0)</f>
        <v>#N/A</v>
      </c>
      <c r="E42" s="74" t="e">
        <f ca="1">OFFSET(Batting!$CH$4,BatAves!$I42,0)</f>
        <v>#N/A</v>
      </c>
      <c r="F42" s="74" t="e">
        <f ca="1">OFFSET(Batting!$CJ$4,BatAves!$I42,0)</f>
        <v>#N/A</v>
      </c>
      <c r="G42" s="74" t="e">
        <f ca="1">OFFSET(Batting!$CK$4,BatAves!$I42,0)</f>
        <v>#N/A</v>
      </c>
      <c r="H42" s="79" t="e">
        <f ca="1">OFFSET(Batting!$CL$4,BatAves!$I42,0)</f>
        <v>#N/A</v>
      </c>
      <c r="I42" s="70" t="e">
        <f>MATCH(A42,Batting!$DF$5:$DF$38,0)</f>
        <v>#N/A</v>
      </c>
      <c r="J42" s="70" t="e">
        <f t="shared" ca="1" si="0"/>
        <v>#N/A</v>
      </c>
      <c r="K42" s="70" t="e">
        <f t="shared" ca="1" si="1"/>
        <v>#N/A</v>
      </c>
      <c r="L42" s="70" t="e">
        <f t="shared" ca="1" si="2"/>
        <v>#N/A</v>
      </c>
      <c r="M42" s="70" t="e">
        <f t="shared" ca="1" si="3"/>
        <v>#N/A</v>
      </c>
      <c r="N42" s="137">
        <v>41</v>
      </c>
      <c r="O42" s="137" t="e">
        <f t="shared" ca="1" si="4"/>
        <v>#N/A</v>
      </c>
      <c r="P42" s="137" t="e">
        <f t="shared" ca="1" si="5"/>
        <v>#N/A</v>
      </c>
      <c r="Q42" s="137" t="e">
        <f t="shared" ca="1" si="6"/>
        <v>#N/A</v>
      </c>
      <c r="R42" s="137" t="e">
        <f t="shared" ca="1" si="7"/>
        <v>#N/A</v>
      </c>
      <c r="S42" s="137" t="e">
        <f t="shared" ca="1" si="8"/>
        <v>#N/A</v>
      </c>
      <c r="T42" s="138" t="e">
        <f t="shared" ca="1" si="9"/>
        <v>#N/A</v>
      </c>
      <c r="V42" s="70" t="s">
        <v>595</v>
      </c>
    </row>
    <row r="43" spans="1:22">
      <c r="A43" s="70">
        <v>42</v>
      </c>
      <c r="B43" s="70" t="e">
        <f ca="1">OFFSET(Batting!$C$4,BatAves!$I43,0)</f>
        <v>#N/A</v>
      </c>
      <c r="C43" s="74" t="e">
        <f ca="1">OFFSET(Batting!$CE$4,BatAves!$I43,0)</f>
        <v>#N/A</v>
      </c>
      <c r="D43" s="74" t="e">
        <f ca="1">OFFSET(Batting!$CG$4,BatAves!$I43,0)</f>
        <v>#N/A</v>
      </c>
      <c r="E43" s="74" t="e">
        <f ca="1">OFFSET(Batting!$CH$4,BatAves!$I43,0)</f>
        <v>#N/A</v>
      </c>
      <c r="F43" s="74" t="e">
        <f ca="1">OFFSET(Batting!$CJ$4,BatAves!$I43,0)</f>
        <v>#N/A</v>
      </c>
      <c r="G43" s="74" t="e">
        <f ca="1">OFFSET(Batting!$CK$4,BatAves!$I43,0)</f>
        <v>#N/A</v>
      </c>
      <c r="H43" s="79" t="e">
        <f ca="1">OFFSET(Batting!$CL$4,BatAves!$I43,0)</f>
        <v>#N/A</v>
      </c>
      <c r="I43" s="70" t="e">
        <f>MATCH(A43,Batting!$DF$5:$DF$38,0)</f>
        <v>#N/A</v>
      </c>
      <c r="J43" s="70" t="e">
        <f t="shared" ca="1" si="0"/>
        <v>#N/A</v>
      </c>
      <c r="K43" s="70" t="e">
        <f t="shared" ca="1" si="1"/>
        <v>#N/A</v>
      </c>
      <c r="L43" s="70" t="e">
        <f t="shared" ca="1" si="2"/>
        <v>#N/A</v>
      </c>
      <c r="M43" s="70" t="e">
        <f t="shared" ca="1" si="3"/>
        <v>#N/A</v>
      </c>
      <c r="N43" s="137">
        <v>42</v>
      </c>
      <c r="O43" s="137" t="e">
        <f t="shared" ca="1" si="4"/>
        <v>#N/A</v>
      </c>
      <c r="P43" s="137" t="e">
        <f t="shared" ca="1" si="5"/>
        <v>#N/A</v>
      </c>
      <c r="Q43" s="137" t="e">
        <f t="shared" ca="1" si="6"/>
        <v>#N/A</v>
      </c>
      <c r="R43" s="137" t="e">
        <f t="shared" ca="1" si="7"/>
        <v>#N/A</v>
      </c>
      <c r="S43" s="137" t="e">
        <f t="shared" ca="1" si="8"/>
        <v>#N/A</v>
      </c>
      <c r="T43" s="138" t="e">
        <f t="shared" ca="1" si="9"/>
        <v>#N/A</v>
      </c>
      <c r="V43" s="70" t="s">
        <v>587</v>
      </c>
    </row>
    <row r="44" spans="1:22">
      <c r="A44" s="70">
        <v>43</v>
      </c>
      <c r="B44" s="70" t="e">
        <f ca="1">OFFSET(Batting!$C$4,BatAves!$I44,0)</f>
        <v>#N/A</v>
      </c>
      <c r="C44" s="74" t="e">
        <f ca="1">OFFSET(Batting!$CE$4,BatAves!$I44,0)</f>
        <v>#N/A</v>
      </c>
      <c r="D44" s="74" t="e">
        <f ca="1">OFFSET(Batting!$CG$4,BatAves!$I44,0)</f>
        <v>#N/A</v>
      </c>
      <c r="E44" s="74" t="e">
        <f ca="1">OFFSET(Batting!$CH$4,BatAves!$I44,0)</f>
        <v>#N/A</v>
      </c>
      <c r="F44" s="74" t="e">
        <f ca="1">OFFSET(Batting!$CJ$4,BatAves!$I44,0)</f>
        <v>#N/A</v>
      </c>
      <c r="G44" s="74" t="e">
        <f ca="1">OFFSET(Batting!$CK$4,BatAves!$I44,0)</f>
        <v>#N/A</v>
      </c>
      <c r="H44" s="79" t="e">
        <f ca="1">OFFSET(Batting!$CL$4,BatAves!$I44,0)</f>
        <v>#N/A</v>
      </c>
      <c r="I44" s="70" t="e">
        <f>MATCH(A44,Batting!$DF$5:$DF$38,0)</f>
        <v>#N/A</v>
      </c>
      <c r="J44" s="70" t="e">
        <f t="shared" ca="1" si="0"/>
        <v>#N/A</v>
      </c>
      <c r="K44" s="70" t="e">
        <f t="shared" ca="1" si="1"/>
        <v>#N/A</v>
      </c>
      <c r="L44" s="70" t="e">
        <f t="shared" ca="1" si="2"/>
        <v>#N/A</v>
      </c>
      <c r="V44" s="70" t="s">
        <v>590</v>
      </c>
    </row>
    <row r="45" spans="1:22">
      <c r="A45" s="70">
        <v>44</v>
      </c>
      <c r="B45" s="70" t="e">
        <f ca="1">OFFSET(Batting!$C$4,BatAves!$I45,0)</f>
        <v>#N/A</v>
      </c>
      <c r="C45" s="74" t="e">
        <f ca="1">OFFSET(Batting!$CE$4,BatAves!$I45,0)</f>
        <v>#N/A</v>
      </c>
      <c r="D45" s="74" t="e">
        <f ca="1">OFFSET(Batting!$CG$4,BatAves!$I45,0)</f>
        <v>#N/A</v>
      </c>
      <c r="E45" s="74" t="e">
        <f ca="1">OFFSET(Batting!$CH$4,BatAves!$I45,0)</f>
        <v>#N/A</v>
      </c>
      <c r="F45" s="74" t="e">
        <f ca="1">OFFSET(Batting!$CJ$4,BatAves!$I45,0)</f>
        <v>#N/A</v>
      </c>
      <c r="G45" s="74" t="e">
        <f ca="1">OFFSET(Batting!$CK$4,BatAves!$I45,0)</f>
        <v>#N/A</v>
      </c>
      <c r="H45" s="79" t="e">
        <f ca="1">OFFSET(Batting!$CL$4,BatAves!$I45,0)</f>
        <v>#N/A</v>
      </c>
      <c r="I45" s="70" t="e">
        <f>MATCH(A45,Batting!$DF$5:$DF$38,0)</f>
        <v>#N/A</v>
      </c>
      <c r="J45" s="70" t="e">
        <f t="shared" ca="1" si="0"/>
        <v>#N/A</v>
      </c>
      <c r="K45" s="70" t="e">
        <f t="shared" ca="1" si="1"/>
        <v>#N/A</v>
      </c>
      <c r="L45" s="70" t="e">
        <f t="shared" ca="1" si="2"/>
        <v>#N/A</v>
      </c>
      <c r="V45" s="70" t="s">
        <v>593</v>
      </c>
    </row>
    <row r="46" spans="1:22">
      <c r="A46" s="70">
        <v>45</v>
      </c>
      <c r="B46" s="70" t="e">
        <f ca="1">OFFSET(Batting!$C$4,BatAves!$I46,0)</f>
        <v>#N/A</v>
      </c>
      <c r="C46" s="74" t="e">
        <f ca="1">OFFSET(Batting!$CE$4,BatAves!$I46,0)</f>
        <v>#N/A</v>
      </c>
      <c r="D46" s="74" t="e">
        <f ca="1">OFFSET(Batting!$CG$4,BatAves!$I46,0)</f>
        <v>#N/A</v>
      </c>
      <c r="E46" s="74" t="e">
        <f ca="1">OFFSET(Batting!$CH$4,BatAves!$I46,0)</f>
        <v>#N/A</v>
      </c>
      <c r="F46" s="74" t="e">
        <f ca="1">OFFSET(Batting!$CJ$4,BatAves!$I46,0)</f>
        <v>#N/A</v>
      </c>
      <c r="G46" s="74" t="e">
        <f ca="1">OFFSET(Batting!$CK$4,BatAves!$I46,0)</f>
        <v>#N/A</v>
      </c>
      <c r="H46" s="79" t="e">
        <f ca="1">OFFSET(Batting!$CL$4,BatAves!$I46,0)</f>
        <v>#N/A</v>
      </c>
      <c r="I46" s="70" t="e">
        <f>MATCH(A46,Batting!$DF$5:$DF$38,0)</f>
        <v>#N/A</v>
      </c>
      <c r="J46" s="70" t="e">
        <f t="shared" ca="1" si="0"/>
        <v>#N/A</v>
      </c>
      <c r="K46" s="70" t="e">
        <f t="shared" ca="1" si="1"/>
        <v>#N/A</v>
      </c>
      <c r="L46" s="70" t="e">
        <f t="shared" ca="1" si="2"/>
        <v>#N/A</v>
      </c>
      <c r="V46" s="70" t="s">
        <v>582</v>
      </c>
    </row>
    <row r="47" spans="1:22">
      <c r="A47" s="70">
        <v>46</v>
      </c>
      <c r="B47" s="70" t="e">
        <f ca="1">OFFSET(Batting!$C$4,BatAves!$I47,0)</f>
        <v>#N/A</v>
      </c>
      <c r="C47" s="74" t="e">
        <f ca="1">OFFSET(Batting!$CE$4,BatAves!$I47,0)</f>
        <v>#N/A</v>
      </c>
      <c r="D47" s="74" t="e">
        <f ca="1">OFFSET(Batting!$CG$4,BatAves!$I47,0)</f>
        <v>#N/A</v>
      </c>
      <c r="E47" s="74" t="e">
        <f ca="1">OFFSET(Batting!$CH$4,BatAves!$I47,0)</f>
        <v>#N/A</v>
      </c>
      <c r="F47" s="74" t="e">
        <f ca="1">OFFSET(Batting!$CJ$4,BatAves!$I47,0)</f>
        <v>#N/A</v>
      </c>
      <c r="G47" s="74" t="e">
        <f ca="1">OFFSET(Batting!$CK$4,BatAves!$I47,0)</f>
        <v>#N/A</v>
      </c>
      <c r="H47" s="79" t="e">
        <f ca="1">OFFSET(Batting!$CL$4,BatAves!$I47,0)</f>
        <v>#N/A</v>
      </c>
      <c r="I47" s="70" t="e">
        <f>MATCH(A47,Batting!$DF$5:$DF$38,0)</f>
        <v>#N/A</v>
      </c>
      <c r="J47" s="70" t="e">
        <f t="shared" ca="1" si="0"/>
        <v>#N/A</v>
      </c>
      <c r="K47" s="70" t="e">
        <f t="shared" ca="1" si="1"/>
        <v>#N/A</v>
      </c>
      <c r="L47" s="70" t="e">
        <f t="shared" ca="1" si="2"/>
        <v>#N/A</v>
      </c>
      <c r="O47" s="139" t="s">
        <v>225</v>
      </c>
      <c r="V47" s="70" t="s">
        <v>580</v>
      </c>
    </row>
    <row r="48" spans="1:22">
      <c r="A48" s="70">
        <v>47</v>
      </c>
      <c r="B48" s="70" t="e">
        <f ca="1">OFFSET(Batting!$C$4,BatAves!$I48,0)</f>
        <v>#N/A</v>
      </c>
      <c r="C48" s="74" t="e">
        <f ca="1">OFFSET(Batting!$CE$4,BatAves!$I48,0)</f>
        <v>#N/A</v>
      </c>
      <c r="D48" s="74" t="e">
        <f ca="1">OFFSET(Batting!$CG$4,BatAves!$I48,0)</f>
        <v>#N/A</v>
      </c>
      <c r="E48" s="74" t="e">
        <f ca="1">OFFSET(Batting!$CH$4,BatAves!$I48,0)</f>
        <v>#N/A</v>
      </c>
      <c r="F48" s="74" t="e">
        <f ca="1">OFFSET(Batting!$CJ$4,BatAves!$I48,0)</f>
        <v>#N/A</v>
      </c>
      <c r="G48" s="74" t="e">
        <f ca="1">OFFSET(Batting!$CK$4,BatAves!$I48,0)</f>
        <v>#N/A</v>
      </c>
      <c r="H48" s="79" t="e">
        <f ca="1">OFFSET(Batting!$CL$4,BatAves!$I48,0)</f>
        <v>#N/A</v>
      </c>
      <c r="I48" s="70" t="e">
        <f>MATCH(A48,Batting!$DF$5:$DF$38,0)</f>
        <v>#N/A</v>
      </c>
      <c r="J48" s="70" t="e">
        <f t="shared" ca="1" si="0"/>
        <v>#N/A</v>
      </c>
      <c r="K48" s="70" t="e">
        <f t="shared" ca="1" si="1"/>
        <v>#N/A</v>
      </c>
      <c r="L48" s="70" t="e">
        <f t="shared" ca="1" si="2"/>
        <v>#N/A</v>
      </c>
      <c r="O48" s="139" t="s">
        <v>225</v>
      </c>
      <c r="V48" s="70" t="s">
        <v>584</v>
      </c>
    </row>
    <row r="49" spans="1:22">
      <c r="A49" s="70">
        <v>48</v>
      </c>
      <c r="B49" s="70" t="e">
        <f ca="1">OFFSET(Batting!$C$4,BatAves!$I49,0)</f>
        <v>#N/A</v>
      </c>
      <c r="C49" s="74" t="e">
        <f ca="1">OFFSET(Batting!$CE$4,BatAves!$I49,0)</f>
        <v>#N/A</v>
      </c>
      <c r="D49" s="74" t="e">
        <f ca="1">OFFSET(Batting!$CG$4,BatAves!$I49,0)</f>
        <v>#N/A</v>
      </c>
      <c r="E49" s="74" t="e">
        <f ca="1">OFFSET(Batting!$CH$4,BatAves!$I49,0)</f>
        <v>#N/A</v>
      </c>
      <c r="F49" s="74" t="e">
        <f ca="1">OFFSET(Batting!$CJ$4,BatAves!$I49,0)</f>
        <v>#N/A</v>
      </c>
      <c r="G49" s="74" t="e">
        <f ca="1">OFFSET(Batting!$CK$4,BatAves!$I49,0)</f>
        <v>#N/A</v>
      </c>
      <c r="H49" s="79" t="e">
        <f ca="1">OFFSET(Batting!$CL$4,BatAves!$I49,0)</f>
        <v>#N/A</v>
      </c>
      <c r="I49" s="70" t="e">
        <f>MATCH(A49,Batting!$DF$5:$DF$38,0)</f>
        <v>#N/A</v>
      </c>
      <c r="J49" s="70" t="e">
        <f t="shared" ca="1" si="0"/>
        <v>#N/A</v>
      </c>
      <c r="K49" s="70" t="e">
        <f t="shared" ca="1" si="1"/>
        <v>#N/A</v>
      </c>
      <c r="L49" s="70" t="e">
        <f t="shared" ca="1" si="2"/>
        <v>#N/A</v>
      </c>
      <c r="O49" s="139" t="s">
        <v>225</v>
      </c>
      <c r="V49" s="70" t="s">
        <v>583</v>
      </c>
    </row>
    <row r="50" spans="1:22">
      <c r="A50" s="70">
        <v>49</v>
      </c>
      <c r="B50" s="70" t="e">
        <f ca="1">OFFSET(Batting!$C$4,BatAves!$I50,0)</f>
        <v>#N/A</v>
      </c>
      <c r="C50" s="74" t="e">
        <f ca="1">OFFSET(Batting!$CE$4,BatAves!$I50,0)</f>
        <v>#N/A</v>
      </c>
      <c r="D50" s="74" t="e">
        <f ca="1">OFFSET(Batting!$CG$4,BatAves!$I50,0)</f>
        <v>#N/A</v>
      </c>
      <c r="E50" s="74" t="e">
        <f ca="1">OFFSET(Batting!$CH$4,BatAves!$I50,0)</f>
        <v>#N/A</v>
      </c>
      <c r="F50" s="74" t="e">
        <f ca="1">OFFSET(Batting!$CJ$4,BatAves!$I50,0)</f>
        <v>#N/A</v>
      </c>
      <c r="G50" s="74" t="e">
        <f ca="1">OFFSET(Batting!$CK$4,BatAves!$I50,0)</f>
        <v>#N/A</v>
      </c>
      <c r="H50" s="79" t="e">
        <f ca="1">OFFSET(Batting!$CL$4,BatAves!$I50,0)</f>
        <v>#N/A</v>
      </c>
      <c r="I50" s="70" t="e">
        <f>MATCH(A50,Batting!$DF$5:$DF$38,0)</f>
        <v>#N/A</v>
      </c>
      <c r="J50" s="70" t="e">
        <f t="shared" ca="1" si="0"/>
        <v>#N/A</v>
      </c>
      <c r="K50" s="70" t="e">
        <f t="shared" ca="1" si="1"/>
        <v>#N/A</v>
      </c>
      <c r="L50" s="70" t="e">
        <f t="shared" ca="1" si="2"/>
        <v>#N/A</v>
      </c>
      <c r="O50" s="139" t="s">
        <v>225</v>
      </c>
      <c r="V50" s="70" t="s">
        <v>589</v>
      </c>
    </row>
    <row r="51" spans="1:22">
      <c r="A51" s="70">
        <v>50</v>
      </c>
      <c r="B51" s="70" t="e">
        <f ca="1">OFFSET(Batting!$C$4,BatAves!$I51,0)</f>
        <v>#N/A</v>
      </c>
      <c r="C51" s="74" t="e">
        <f ca="1">OFFSET(Batting!$CE$4,BatAves!$I51,0)</f>
        <v>#N/A</v>
      </c>
      <c r="D51" s="74" t="e">
        <f ca="1">OFFSET(Batting!$CG$4,BatAves!$I51,0)</f>
        <v>#N/A</v>
      </c>
      <c r="E51" s="74" t="e">
        <f ca="1">OFFSET(Batting!$CH$4,BatAves!$I51,0)</f>
        <v>#N/A</v>
      </c>
      <c r="F51" s="74" t="e">
        <f ca="1">OFFSET(Batting!$CJ$4,BatAves!$I51,0)</f>
        <v>#N/A</v>
      </c>
      <c r="G51" s="74" t="e">
        <f ca="1">OFFSET(Batting!$CK$4,BatAves!$I51,0)</f>
        <v>#N/A</v>
      </c>
      <c r="H51" s="79" t="e">
        <f ca="1">OFFSET(Batting!$CL$4,BatAves!$I51,0)</f>
        <v>#N/A</v>
      </c>
      <c r="I51" s="70" t="e">
        <f>MATCH(A51,Batting!$DF$5:$DF$38,0)</f>
        <v>#N/A</v>
      </c>
      <c r="J51" s="70" t="e">
        <f t="shared" ca="1" si="0"/>
        <v>#N/A</v>
      </c>
      <c r="K51" s="70" t="e">
        <f t="shared" ca="1" si="1"/>
        <v>#N/A</v>
      </c>
      <c r="L51" s="70" t="e">
        <f t="shared" ca="1" si="2"/>
        <v>#N/A</v>
      </c>
      <c r="O51" s="139" t="s">
        <v>225</v>
      </c>
      <c r="V51" s="70" t="s">
        <v>592</v>
      </c>
    </row>
    <row r="52" spans="1:22">
      <c r="A52" s="70">
        <v>51</v>
      </c>
      <c r="B52" s="70" t="e">
        <f ca="1">OFFSET(Batting!$C$4,BatAves!$I52,0)</f>
        <v>#N/A</v>
      </c>
      <c r="C52" s="74" t="e">
        <f ca="1">OFFSET(Batting!$CE$4,BatAves!$I52,0)</f>
        <v>#N/A</v>
      </c>
      <c r="D52" s="74" t="e">
        <f ca="1">OFFSET(Batting!$CG$4,BatAves!$I52,0)</f>
        <v>#N/A</v>
      </c>
      <c r="E52" s="74" t="e">
        <f ca="1">OFFSET(Batting!$CH$4,BatAves!$I52,0)</f>
        <v>#N/A</v>
      </c>
      <c r="F52" s="74" t="e">
        <f ca="1">OFFSET(Batting!$CJ$4,BatAves!$I52,0)</f>
        <v>#N/A</v>
      </c>
      <c r="G52" s="74" t="e">
        <f ca="1">OFFSET(Batting!$CK$4,BatAves!$I52,0)</f>
        <v>#N/A</v>
      </c>
      <c r="H52" s="79" t="e">
        <f ca="1">OFFSET(Batting!$CL$4,BatAves!$I52,0)</f>
        <v>#N/A</v>
      </c>
      <c r="I52" s="70" t="e">
        <f>MATCH(A52,Batting!$DF$5:$DF$38,0)</f>
        <v>#N/A</v>
      </c>
      <c r="J52" s="70" t="e">
        <f t="shared" ca="1" si="0"/>
        <v>#N/A</v>
      </c>
      <c r="K52" s="70" t="e">
        <f t="shared" ca="1" si="1"/>
        <v>#N/A</v>
      </c>
      <c r="L52" s="70" t="e">
        <f t="shared" ca="1" si="2"/>
        <v>#N/A</v>
      </c>
      <c r="O52" s="139" t="s">
        <v>225</v>
      </c>
      <c r="V52" s="70" t="s">
        <v>581</v>
      </c>
    </row>
    <row r="53" spans="1:22">
      <c r="A53" s="70">
        <v>52</v>
      </c>
      <c r="B53" s="70" t="e">
        <f ca="1">OFFSET(Batting!$C$4,BatAves!$I53,0)</f>
        <v>#N/A</v>
      </c>
      <c r="C53" s="74" t="e">
        <f ca="1">OFFSET(Batting!$CE$4,BatAves!$I53,0)</f>
        <v>#N/A</v>
      </c>
      <c r="D53" s="74" t="e">
        <f ca="1">OFFSET(Batting!$CG$4,BatAves!$I53,0)</f>
        <v>#N/A</v>
      </c>
      <c r="E53" s="74" t="e">
        <f ca="1">OFFSET(Batting!$CH$4,BatAves!$I53,0)</f>
        <v>#N/A</v>
      </c>
      <c r="F53" s="74" t="e">
        <f ca="1">OFFSET(Batting!$CJ$4,BatAves!$I53,0)</f>
        <v>#N/A</v>
      </c>
      <c r="G53" s="74" t="e">
        <f ca="1">OFFSET(Batting!$CK$4,BatAves!$I53,0)</f>
        <v>#N/A</v>
      </c>
      <c r="H53" s="79" t="e">
        <f ca="1">OFFSET(Batting!$CL$4,BatAves!$I53,0)</f>
        <v>#N/A</v>
      </c>
      <c r="I53" s="70" t="e">
        <f>MATCH(A53,Batting!$DF$5:$DF$38,0)</f>
        <v>#N/A</v>
      </c>
      <c r="J53" s="70" t="e">
        <f t="shared" ca="1" si="0"/>
        <v>#N/A</v>
      </c>
      <c r="K53" s="70" t="e">
        <f t="shared" ca="1" si="1"/>
        <v>#N/A</v>
      </c>
      <c r="L53" s="70" t="e">
        <f t="shared" ca="1" si="2"/>
        <v>#N/A</v>
      </c>
      <c r="O53" s="139" t="s">
        <v>225</v>
      </c>
    </row>
    <row r="54" spans="1:22">
      <c r="A54" s="70">
        <v>53</v>
      </c>
      <c r="B54" s="70" t="e">
        <f ca="1">OFFSET(Batting!$C$4,BatAves!$I54,0)</f>
        <v>#N/A</v>
      </c>
      <c r="C54" s="74" t="e">
        <f ca="1">OFFSET(Batting!$CE$4,BatAves!$I54,0)</f>
        <v>#N/A</v>
      </c>
      <c r="D54" s="74" t="e">
        <f ca="1">OFFSET(Batting!$CG$4,BatAves!$I54,0)</f>
        <v>#N/A</v>
      </c>
      <c r="E54" s="74" t="e">
        <f ca="1">OFFSET(Batting!$CH$4,BatAves!$I54,0)</f>
        <v>#N/A</v>
      </c>
      <c r="F54" s="74" t="e">
        <f ca="1">OFFSET(Batting!$CJ$4,BatAves!$I54,0)</f>
        <v>#N/A</v>
      </c>
      <c r="G54" s="74" t="e">
        <f ca="1">OFFSET(Batting!$CK$4,BatAves!$I54,0)</f>
        <v>#N/A</v>
      </c>
      <c r="H54" s="79" t="e">
        <f ca="1">OFFSET(Batting!$CL$4,BatAves!$I54,0)</f>
        <v>#N/A</v>
      </c>
      <c r="I54" s="70" t="e">
        <f>MATCH(A54,Batting!$DF$5:$DF$38,0)</f>
        <v>#N/A</v>
      </c>
      <c r="J54" s="70" t="e">
        <f t="shared" ca="1" si="0"/>
        <v>#N/A</v>
      </c>
      <c r="K54" s="70" t="e">
        <f t="shared" ca="1" si="1"/>
        <v>#N/A</v>
      </c>
      <c r="L54" s="70" t="e">
        <f t="shared" ca="1" si="2"/>
        <v>#N/A</v>
      </c>
      <c r="O54" s="139" t="s">
        <v>225</v>
      </c>
    </row>
    <row r="55" spans="1:22">
      <c r="A55" s="70">
        <v>54</v>
      </c>
      <c r="B55" s="70" t="e">
        <f ca="1">OFFSET(Batting!$C$4,BatAves!$I55,0)</f>
        <v>#N/A</v>
      </c>
      <c r="C55" s="74" t="e">
        <f ca="1">OFFSET(Batting!$CE$4,BatAves!$I55,0)</f>
        <v>#N/A</v>
      </c>
      <c r="D55" s="74" t="e">
        <f ca="1">OFFSET(Batting!$CG$4,BatAves!$I55,0)</f>
        <v>#N/A</v>
      </c>
      <c r="E55" s="74" t="e">
        <f ca="1">OFFSET(Batting!$CH$4,BatAves!$I55,0)</f>
        <v>#N/A</v>
      </c>
      <c r="F55" s="74" t="e">
        <f ca="1">OFFSET(Batting!$CJ$4,BatAves!$I55,0)</f>
        <v>#N/A</v>
      </c>
      <c r="G55" s="74" t="e">
        <f ca="1">OFFSET(Batting!$CK$4,BatAves!$I55,0)</f>
        <v>#N/A</v>
      </c>
      <c r="H55" s="79" t="e">
        <f ca="1">OFFSET(Batting!$CL$4,BatAves!$I55,0)</f>
        <v>#N/A</v>
      </c>
      <c r="I55" s="70" t="e">
        <f>MATCH(A55,Batting!$DF$5:$DF$38,0)</f>
        <v>#N/A</v>
      </c>
      <c r="J55" s="70" t="e">
        <f t="shared" ca="1" si="0"/>
        <v>#N/A</v>
      </c>
      <c r="K55" s="70" t="e">
        <f t="shared" ca="1" si="1"/>
        <v>#N/A</v>
      </c>
      <c r="L55" s="70" t="e">
        <f t="shared" ca="1" si="2"/>
        <v>#N/A</v>
      </c>
      <c r="O55" s="139" t="s">
        <v>225</v>
      </c>
    </row>
    <row r="56" spans="1:22">
      <c r="A56" s="70">
        <v>55</v>
      </c>
      <c r="B56" s="70" t="e">
        <f ca="1">OFFSET(Batting!$C$4,BatAves!$I56,0)</f>
        <v>#N/A</v>
      </c>
      <c r="C56" s="74" t="e">
        <f ca="1">OFFSET(Batting!$CE$4,BatAves!$I56,0)</f>
        <v>#N/A</v>
      </c>
      <c r="D56" s="74" t="e">
        <f ca="1">OFFSET(Batting!$CG$4,BatAves!$I56,0)</f>
        <v>#N/A</v>
      </c>
      <c r="E56" s="74" t="e">
        <f ca="1">OFFSET(Batting!$CH$4,BatAves!$I56,0)</f>
        <v>#N/A</v>
      </c>
      <c r="F56" s="74" t="e">
        <f ca="1">OFFSET(Batting!$CJ$4,BatAves!$I56,0)</f>
        <v>#N/A</v>
      </c>
      <c r="G56" s="74" t="e">
        <f ca="1">OFFSET(Batting!$CK$4,BatAves!$I56,0)</f>
        <v>#N/A</v>
      </c>
      <c r="H56" s="79" t="e">
        <f ca="1">OFFSET(Batting!$CL$4,BatAves!$I56,0)</f>
        <v>#N/A</v>
      </c>
      <c r="I56" s="70" t="e">
        <f>MATCH(A56,Batting!$DF$5:$DF$38,0)</f>
        <v>#N/A</v>
      </c>
      <c r="J56" s="70" t="e">
        <f t="shared" ca="1" si="0"/>
        <v>#N/A</v>
      </c>
      <c r="K56" s="70" t="e">
        <f t="shared" ca="1" si="1"/>
        <v>#N/A</v>
      </c>
      <c r="L56" s="70" t="e">
        <f t="shared" ca="1" si="2"/>
        <v>#N/A</v>
      </c>
      <c r="O56" s="139" t="s">
        <v>225</v>
      </c>
    </row>
    <row r="57" spans="1:22">
      <c r="A57" s="70">
        <v>56</v>
      </c>
      <c r="B57" s="70" t="e">
        <f ca="1">OFFSET(Batting!$C$4,BatAves!$I57,0)</f>
        <v>#N/A</v>
      </c>
      <c r="C57" s="74" t="e">
        <f ca="1">OFFSET(Batting!$CE$4,BatAves!$I57,0)</f>
        <v>#N/A</v>
      </c>
      <c r="D57" s="74" t="e">
        <f ca="1">OFFSET(Batting!$CG$4,BatAves!$I57,0)</f>
        <v>#N/A</v>
      </c>
      <c r="E57" s="74" t="e">
        <f ca="1">OFFSET(Batting!$CH$4,BatAves!$I57,0)</f>
        <v>#N/A</v>
      </c>
      <c r="F57" s="74" t="e">
        <f ca="1">OFFSET(Batting!$CJ$4,BatAves!$I57,0)</f>
        <v>#N/A</v>
      </c>
      <c r="G57" s="74" t="e">
        <f ca="1">OFFSET(Batting!$CK$4,BatAves!$I57,0)</f>
        <v>#N/A</v>
      </c>
      <c r="H57" s="79" t="e">
        <f ca="1">OFFSET(Batting!$CL$4,BatAves!$I57,0)</f>
        <v>#N/A</v>
      </c>
      <c r="I57" s="70" t="e">
        <f>MATCH(A57,Batting!$DF$5:$DF$38,0)</f>
        <v>#N/A</v>
      </c>
      <c r="J57" s="70" t="e">
        <f t="shared" ca="1" si="0"/>
        <v>#N/A</v>
      </c>
      <c r="K57" s="70" t="e">
        <f t="shared" ca="1" si="1"/>
        <v>#N/A</v>
      </c>
      <c r="L57" s="70" t="e">
        <f t="shared" ca="1" si="2"/>
        <v>#N/A</v>
      </c>
      <c r="O57" s="139" t="s">
        <v>225</v>
      </c>
    </row>
    <row r="58" spans="1:22">
      <c r="A58" s="70">
        <v>57</v>
      </c>
      <c r="B58" s="70" t="e">
        <f ca="1">OFFSET(Batting!$C$4,BatAves!$I58,0)</f>
        <v>#N/A</v>
      </c>
      <c r="C58" s="74" t="e">
        <f ca="1">OFFSET(Batting!$CE$4,BatAves!$I58,0)</f>
        <v>#N/A</v>
      </c>
      <c r="D58" s="74" t="e">
        <f ca="1">OFFSET(Batting!$CG$4,BatAves!$I58,0)</f>
        <v>#N/A</v>
      </c>
      <c r="E58" s="74" t="e">
        <f ca="1">OFFSET(Batting!$CH$4,BatAves!$I58,0)</f>
        <v>#N/A</v>
      </c>
      <c r="F58" s="74" t="e">
        <f ca="1">OFFSET(Batting!$CJ$4,BatAves!$I58,0)</f>
        <v>#N/A</v>
      </c>
      <c r="G58" s="74" t="e">
        <f ca="1">OFFSET(Batting!$CK$4,BatAves!$I58,0)</f>
        <v>#N/A</v>
      </c>
      <c r="H58" s="79" t="e">
        <f ca="1">OFFSET(Batting!$CL$4,BatAves!$I58,0)</f>
        <v>#N/A</v>
      </c>
      <c r="I58" s="70" t="e">
        <f>MATCH(A58,Batting!$DF$5:$DF$38,0)</f>
        <v>#N/A</v>
      </c>
      <c r="J58" s="70" t="e">
        <f t="shared" ca="1" si="0"/>
        <v>#N/A</v>
      </c>
      <c r="K58" s="70" t="e">
        <f t="shared" ca="1" si="1"/>
        <v>#N/A</v>
      </c>
      <c r="L58" s="70" t="e">
        <f t="shared" ca="1" si="2"/>
        <v>#N/A</v>
      </c>
      <c r="O58" s="139" t="s">
        <v>225</v>
      </c>
    </row>
    <row r="59" spans="1:22">
      <c r="A59" s="70">
        <v>58</v>
      </c>
      <c r="B59" s="70" t="e">
        <f ca="1">OFFSET(Batting!$C$4,BatAves!$I59,0)</f>
        <v>#N/A</v>
      </c>
      <c r="C59" s="74" t="e">
        <f ca="1">OFFSET(Batting!$CE$4,BatAves!$I59,0)</f>
        <v>#N/A</v>
      </c>
      <c r="D59" s="74" t="e">
        <f ca="1">OFFSET(Batting!$CG$4,BatAves!$I59,0)</f>
        <v>#N/A</v>
      </c>
      <c r="E59" s="74" t="e">
        <f ca="1">OFFSET(Batting!$CH$4,BatAves!$I59,0)</f>
        <v>#N/A</v>
      </c>
      <c r="F59" s="74" t="e">
        <f ca="1">OFFSET(Batting!$CJ$4,BatAves!$I59,0)</f>
        <v>#N/A</v>
      </c>
      <c r="G59" s="74" t="e">
        <f ca="1">OFFSET(Batting!$CK$4,BatAves!$I59,0)</f>
        <v>#N/A</v>
      </c>
      <c r="H59" s="79" t="e">
        <f ca="1">OFFSET(Batting!$CL$4,BatAves!$I59,0)</f>
        <v>#N/A</v>
      </c>
      <c r="I59" s="70" t="e">
        <f>MATCH(A59,Batting!$DF$5:$DF$38,0)</f>
        <v>#N/A</v>
      </c>
      <c r="J59" s="70" t="e">
        <f t="shared" ca="1" si="0"/>
        <v>#N/A</v>
      </c>
      <c r="K59" s="70" t="e">
        <f t="shared" ca="1" si="1"/>
        <v>#N/A</v>
      </c>
      <c r="L59" s="70" t="e">
        <f t="shared" ca="1" si="2"/>
        <v>#N/A</v>
      </c>
      <c r="O59" s="139" t="s">
        <v>225</v>
      </c>
    </row>
    <row r="60" spans="1:22">
      <c r="A60" s="70">
        <v>59</v>
      </c>
      <c r="B60" s="70" t="e">
        <f ca="1">OFFSET(Batting!$C$4,BatAves!$I60,0)</f>
        <v>#N/A</v>
      </c>
      <c r="C60" s="74" t="e">
        <f ca="1">OFFSET(Batting!$CE$4,BatAves!$I60,0)</f>
        <v>#N/A</v>
      </c>
      <c r="D60" s="74" t="e">
        <f ca="1">OFFSET(Batting!$CG$4,BatAves!$I60,0)</f>
        <v>#N/A</v>
      </c>
      <c r="E60" s="74" t="e">
        <f ca="1">OFFSET(Batting!$CH$4,BatAves!$I60,0)</f>
        <v>#N/A</v>
      </c>
      <c r="F60" s="74" t="e">
        <f ca="1">OFFSET(Batting!$CJ$4,BatAves!$I60,0)</f>
        <v>#N/A</v>
      </c>
      <c r="G60" s="74" t="e">
        <f ca="1">OFFSET(Batting!$CK$4,BatAves!$I60,0)</f>
        <v>#N/A</v>
      </c>
      <c r="H60" s="79" t="e">
        <f ca="1">OFFSET(Batting!$CL$4,BatAves!$I60,0)</f>
        <v>#N/A</v>
      </c>
      <c r="I60" s="70" t="e">
        <f>MATCH(A60,Batting!$DF$5:$DF$38,0)</f>
        <v>#N/A</v>
      </c>
      <c r="J60" s="70" t="e">
        <f t="shared" ca="1" si="0"/>
        <v>#N/A</v>
      </c>
      <c r="K60" s="70" t="e">
        <f t="shared" ca="1" si="1"/>
        <v>#N/A</v>
      </c>
      <c r="L60" s="70" t="e">
        <f t="shared" ca="1" si="2"/>
        <v>#N/A</v>
      </c>
      <c r="O60" s="139" t="s">
        <v>225</v>
      </c>
    </row>
    <row r="61" spans="1:22">
      <c r="O61" s="139" t="s">
        <v>225</v>
      </c>
    </row>
    <row r="62" spans="1:22">
      <c r="O62" s="139" t="s">
        <v>225</v>
      </c>
    </row>
    <row r="63" spans="1:22">
      <c r="O63" s="139" t="s">
        <v>225</v>
      </c>
    </row>
    <row r="64" spans="1:22">
      <c r="O64" s="139" t="s">
        <v>225</v>
      </c>
    </row>
    <row r="65" spans="15:15">
      <c r="O65" s="139" t="s">
        <v>225</v>
      </c>
    </row>
    <row r="66" spans="15:15">
      <c r="O66" s="139" t="s">
        <v>225</v>
      </c>
    </row>
    <row r="67" spans="15:15">
      <c r="O67" s="139" t="s">
        <v>225</v>
      </c>
    </row>
    <row r="68" spans="15:15">
      <c r="O68" s="139" t="s">
        <v>225</v>
      </c>
    </row>
    <row r="69" spans="15:15">
      <c r="O69" s="139" t="s">
        <v>225</v>
      </c>
    </row>
    <row r="70" spans="15:15">
      <c r="O70" s="139" t="s">
        <v>225</v>
      </c>
    </row>
    <row r="71" spans="15:15">
      <c r="O71" s="139" t="s">
        <v>225</v>
      </c>
    </row>
    <row r="72" spans="15:15">
      <c r="O72" s="139" t="s">
        <v>225</v>
      </c>
    </row>
    <row r="73" spans="15:15">
      <c r="O73" s="139" t="s">
        <v>225</v>
      </c>
    </row>
    <row r="74" spans="15:15">
      <c r="O74" s="139" t="s">
        <v>225</v>
      </c>
    </row>
    <row r="75" spans="15:15">
      <c r="O75" s="139" t="s">
        <v>225</v>
      </c>
    </row>
    <row r="76" spans="15:15">
      <c r="O76" s="139" t="s">
        <v>225</v>
      </c>
    </row>
    <row r="77" spans="15:15">
      <c r="O77" s="139" t="s">
        <v>225</v>
      </c>
    </row>
    <row r="78" spans="15:15">
      <c r="O78" s="139" t="s">
        <v>225</v>
      </c>
    </row>
    <row r="79" spans="15:15">
      <c r="O79" s="139" t="s">
        <v>225</v>
      </c>
    </row>
    <row r="80" spans="15:15">
      <c r="O80" s="139" t="s">
        <v>225</v>
      </c>
    </row>
    <row r="81" spans="15:15">
      <c r="O81" s="139" t="s">
        <v>225</v>
      </c>
    </row>
    <row r="82" spans="15:15">
      <c r="O82" s="139" t="s">
        <v>225</v>
      </c>
    </row>
    <row r="83" spans="15:15">
      <c r="O83" s="139" t="s">
        <v>225</v>
      </c>
    </row>
    <row r="84" spans="15:15">
      <c r="O84" s="139" t="s">
        <v>225</v>
      </c>
    </row>
    <row r="85" spans="15:15">
      <c r="O85" s="139" t="s">
        <v>225</v>
      </c>
    </row>
  </sheetData>
  <sortState ref="V19:V52">
    <sortCondition ref="V19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Z57"/>
  <sheetViews>
    <sheetView topLeftCell="A19" workbookViewId="0">
      <selection activeCell="R39" sqref="R39:R57"/>
    </sheetView>
  </sheetViews>
  <sheetFormatPr defaultRowHeight="10.5"/>
  <cols>
    <col min="1" max="1" width="4.42578125" style="70" customWidth="1"/>
    <col min="2" max="2" width="3" style="70" hidden="1" customWidth="1"/>
    <col min="3" max="3" width="12.5703125" style="70" bestFit="1" customWidth="1"/>
    <col min="4" max="4" width="5.85546875" style="135" bestFit="1" customWidth="1"/>
    <col min="5" max="5" width="5.140625" style="74" bestFit="1" customWidth="1"/>
    <col min="6" max="6" width="5" style="74" bestFit="1" customWidth="1"/>
    <col min="7" max="7" width="7.28515625" style="74" bestFit="1" customWidth="1"/>
    <col min="8" max="8" width="7.28515625" style="79" bestFit="1" customWidth="1"/>
    <col min="9" max="9" width="6.5703125" style="136" bestFit="1" customWidth="1"/>
    <col min="10" max="10" width="5.5703125" style="136" bestFit="1" customWidth="1"/>
    <col min="11" max="11" width="4.7109375" style="74" bestFit="1" customWidth="1"/>
    <col min="12" max="12" width="5.28515625" style="74" bestFit="1" customWidth="1"/>
    <col min="13" max="13" width="5.85546875" style="74" bestFit="1" customWidth="1"/>
    <col min="14" max="14" width="23.5703125" style="70" bestFit="1" customWidth="1"/>
    <col min="15" max="15" width="9.85546875" style="70" bestFit="1" customWidth="1"/>
    <col min="16" max="16" width="9.140625" style="70"/>
    <col min="17" max="17" width="10.85546875" style="70" bestFit="1" customWidth="1"/>
    <col min="18" max="18" width="13.140625" style="70" bestFit="1" customWidth="1"/>
    <col min="19" max="19" width="9.140625" style="150"/>
    <col min="20" max="21" width="9.140625" style="70"/>
    <col min="22" max="22" width="9.140625" style="62"/>
    <col min="23" max="23" width="9.140625" style="133"/>
    <col min="24" max="16384" width="9.140625" style="70"/>
  </cols>
  <sheetData>
    <row r="1" spans="1:26">
      <c r="A1" s="62" t="s">
        <v>143</v>
      </c>
      <c r="D1" s="135" t="s">
        <v>35</v>
      </c>
      <c r="E1" s="74" t="s">
        <v>36</v>
      </c>
      <c r="F1" s="74" t="s">
        <v>9</v>
      </c>
      <c r="G1" s="74" t="s">
        <v>145</v>
      </c>
      <c r="H1" s="77" t="s">
        <v>38</v>
      </c>
      <c r="I1" s="78" t="s">
        <v>39</v>
      </c>
      <c r="J1" s="78" t="s">
        <v>40</v>
      </c>
      <c r="K1" s="50" t="s">
        <v>98</v>
      </c>
      <c r="L1" s="50"/>
      <c r="M1" s="50"/>
      <c r="O1" s="70" t="s">
        <v>223</v>
      </c>
      <c r="P1" s="70">
        <f t="array" aca="1" ref="P1" ca="1">SUM(IF(NOT(ISNA(C2:C51)),1,0))</f>
        <v>28</v>
      </c>
      <c r="Q1" s="70" t="s">
        <v>224</v>
      </c>
      <c r="R1" s="70">
        <f t="array" aca="1" ref="R1" ca="1">SUM(IF(OFFSET(G2,0,0,P1,1)&gt;=10,1,0))</f>
        <v>4</v>
      </c>
    </row>
    <row r="2" spans="1:26" ht="12.75">
      <c r="A2" s="70">
        <v>1</v>
      </c>
      <c r="B2" s="70">
        <f>MATCH(A2,Bowling!$CS$5:$CS$32,0)</f>
        <v>9</v>
      </c>
      <c r="C2" s="70" t="str">
        <f ca="1">OFFSET(Bowling!$B$4,BowlAves!B2,0)</f>
        <v>Edghill C</v>
      </c>
      <c r="D2" s="135">
        <f t="array" aca="1" ref="D2:K2" ca="1">OFFSET(Bowling!$CG$4,BowlAves!B2,0,1,8)</f>
        <v>2</v>
      </c>
      <c r="E2" s="74">
        <f ca="1"/>
        <v>1</v>
      </c>
      <c r="F2" s="74">
        <f ca="1"/>
        <v>10</v>
      </c>
      <c r="G2" s="74">
        <f ca="1"/>
        <v>1</v>
      </c>
      <c r="H2" s="79">
        <f ca="1"/>
        <v>10</v>
      </c>
      <c r="I2" s="136">
        <f ca="1"/>
        <v>12</v>
      </c>
      <c r="J2" s="136">
        <f ca="1"/>
        <v>5</v>
      </c>
      <c r="K2" s="137" t="str">
        <f ca="1"/>
        <v>1-10</v>
      </c>
      <c r="L2" s="137">
        <f ca="1">IF(G2&gt;=10,A2,1000+A2)</f>
        <v>1001</v>
      </c>
      <c r="M2" s="137">
        <f ca="1">RANK(L2,OFFSET($L$2,0,0,$P$1,1),-1)</f>
        <v>5</v>
      </c>
      <c r="N2" s="70" t="str">
        <f ca="1">IF(G2&gt;=10,"",C2&amp;" "&amp;D2&amp;"-"&amp;E2&amp;"-"&amp;F2&amp;"-"&amp;G2&amp;",")</f>
        <v>Edghill C 2-1-10-1,</v>
      </c>
      <c r="Q2" s="149" t="s">
        <v>84</v>
      </c>
      <c r="R2" s="149" t="s">
        <v>35</v>
      </c>
      <c r="S2" s="151" t="s">
        <v>36</v>
      </c>
      <c r="T2" s="149" t="s">
        <v>9</v>
      </c>
      <c r="U2" s="149" t="s">
        <v>145</v>
      </c>
      <c r="V2" s="149" t="s">
        <v>38</v>
      </c>
      <c r="W2" s="149" t="s">
        <v>39</v>
      </c>
      <c r="X2" s="149" t="s">
        <v>40</v>
      </c>
      <c r="Y2" s="149" t="s">
        <v>98</v>
      </c>
    </row>
    <row r="3" spans="1:26" ht="12.75">
      <c r="A3" s="70">
        <v>2</v>
      </c>
      <c r="B3" s="70">
        <f>MATCH(A3,Bowling!$CS$5:$CS$32,0)</f>
        <v>20</v>
      </c>
      <c r="C3" s="70" t="str">
        <f ca="1">OFFSET(Bowling!$B$4,BowlAves!B3,0)</f>
        <v>Missen</v>
      </c>
      <c r="D3" s="135">
        <f t="array" aca="1" ref="D3:K3" ca="1">OFFSET(Bowling!$CG$4,BowlAves!B3,0,1,8)</f>
        <v>9</v>
      </c>
      <c r="E3" s="74">
        <f ca="1"/>
        <v>2</v>
      </c>
      <c r="F3" s="74">
        <f ca="1"/>
        <v>20</v>
      </c>
      <c r="G3" s="74">
        <f ca="1"/>
        <v>2</v>
      </c>
      <c r="H3" s="79">
        <f ca="1"/>
        <v>10</v>
      </c>
      <c r="I3" s="136">
        <f ca="1"/>
        <v>27</v>
      </c>
      <c r="J3" s="136">
        <f ca="1"/>
        <v>2.2222222222222223</v>
      </c>
      <c r="K3" s="137" t="str">
        <f ca="1"/>
        <v>2-20</v>
      </c>
      <c r="L3" s="137">
        <f t="shared" ref="L3:L51" ca="1" si="0">IF(G3&gt;=10,A3,1000+A3)</f>
        <v>1002</v>
      </c>
      <c r="M3" s="137">
        <f t="shared" ref="M3:M51" ca="1" si="1">RANK(L3,OFFSET($L$2,0,0,$P$1,1),-1)</f>
        <v>6</v>
      </c>
      <c r="N3" s="70" t="str">
        <f t="shared" ref="N3:N51" ca="1" si="2">IF(G3&gt;=10,"",C3&amp;" "&amp;D3&amp;"-"&amp;E3&amp;"-"&amp;F3&amp;"-"&amp;G3&amp;",")</f>
        <v>Missen 9-2-20-2,</v>
      </c>
      <c r="P3" s="106">
        <v>1</v>
      </c>
      <c r="Q3" s="141" t="str">
        <f t="array" aca="1" ref="Q3:Y3" ca="1">OFFSET($C$2,MATCH(P3,$M$2:$M$51,0)-1,0,1,9)</f>
        <v>Middleton J</v>
      </c>
      <c r="R3" s="141">
        <f ca="1"/>
        <v>57</v>
      </c>
      <c r="S3" s="152">
        <f ca="1"/>
        <v>13</v>
      </c>
      <c r="T3" s="141">
        <f ca="1"/>
        <v>198</v>
      </c>
      <c r="U3" s="141">
        <f ca="1"/>
        <v>16</v>
      </c>
      <c r="V3" s="142">
        <f ca="1"/>
        <v>12.38</v>
      </c>
      <c r="W3" s="146">
        <f ca="1"/>
        <v>21.375</v>
      </c>
      <c r="X3" s="146">
        <f ca="1"/>
        <v>3.4736842105263159</v>
      </c>
      <c r="Y3" s="146" t="str">
        <f ca="1"/>
        <v>5-30</v>
      </c>
      <c r="Z3" s="49"/>
    </row>
    <row r="4" spans="1:26" ht="12.75">
      <c r="A4" s="70">
        <v>3</v>
      </c>
      <c r="B4" s="70">
        <f>MATCH(A4,Bowling!$CS$5:$CS$32,0)</f>
        <v>19</v>
      </c>
      <c r="C4" s="70" t="str">
        <f ca="1">OFFSET(Bowling!$B$4,BowlAves!B4,0)</f>
        <v>Middleton J</v>
      </c>
      <c r="D4" s="135">
        <f t="array" aca="1" ref="D4:K4" ca="1">OFFSET(Bowling!$CG$4,BowlAves!B4,0,1,8)</f>
        <v>57</v>
      </c>
      <c r="E4" s="74">
        <f ca="1"/>
        <v>13</v>
      </c>
      <c r="F4" s="74">
        <f ca="1"/>
        <v>198</v>
      </c>
      <c r="G4" s="74">
        <f ca="1"/>
        <v>16</v>
      </c>
      <c r="H4" s="79">
        <f ca="1"/>
        <v>12.38</v>
      </c>
      <c r="I4" s="136">
        <f ca="1"/>
        <v>21.375</v>
      </c>
      <c r="J4" s="136">
        <f ca="1"/>
        <v>3.4736842105263159</v>
      </c>
      <c r="K4" s="137" t="str">
        <f ca="1"/>
        <v>5-30</v>
      </c>
      <c r="L4" s="137">
        <f t="shared" ca="1" si="0"/>
        <v>3</v>
      </c>
      <c r="M4" s="137">
        <f t="shared" ca="1" si="1"/>
        <v>1</v>
      </c>
      <c r="N4" s="70" t="str">
        <f t="shared" ca="1" si="2"/>
        <v/>
      </c>
      <c r="P4" s="106">
        <v>2</v>
      </c>
      <c r="Q4" s="141" t="str">
        <f t="array" aca="1" ref="Q4:Y4" ca="1">OFFSET($C$2,MATCH(P4,$M$2:$M$51,0)-1,0,1,9)</f>
        <v>Singh R</v>
      </c>
      <c r="R4" s="141">
        <f ca="1"/>
        <v>42</v>
      </c>
      <c r="S4" s="152">
        <f ca="1"/>
        <v>7</v>
      </c>
      <c r="T4" s="141">
        <f ca="1"/>
        <v>159</v>
      </c>
      <c r="U4" s="141">
        <f ca="1"/>
        <v>12</v>
      </c>
      <c r="V4" s="142">
        <f ca="1"/>
        <v>13.25</v>
      </c>
      <c r="W4" s="146">
        <f ca="1"/>
        <v>21</v>
      </c>
      <c r="X4" s="146">
        <f ca="1"/>
        <v>3.7857142857142856</v>
      </c>
      <c r="Y4" s="146" t="str">
        <f ca="1"/>
        <v>4-34</v>
      </c>
      <c r="Z4" s="137"/>
    </row>
    <row r="5" spans="1:26" ht="12.75">
      <c r="A5" s="70">
        <v>4</v>
      </c>
      <c r="B5" s="70">
        <f>MATCH(A5,Bowling!$CS$5:$CS$32,0)</f>
        <v>22</v>
      </c>
      <c r="C5" s="70" t="str">
        <f ca="1">OFFSET(Bowling!$B$4,BowlAves!B5,0)</f>
        <v>Sharpe D</v>
      </c>
      <c r="D5" s="135">
        <f t="array" aca="1" ref="D5:K5" ca="1">OFFSET(Bowling!$CG$4,BowlAves!B5,0,1,8)</f>
        <v>23.1</v>
      </c>
      <c r="E5" s="74">
        <f ca="1"/>
        <v>5</v>
      </c>
      <c r="F5" s="74">
        <f ca="1"/>
        <v>75</v>
      </c>
      <c r="G5" s="74">
        <f ca="1"/>
        <v>6</v>
      </c>
      <c r="H5" s="79">
        <f ca="1"/>
        <v>12.5</v>
      </c>
      <c r="I5" s="136">
        <f ca="1"/>
        <v>23.166666666666668</v>
      </c>
      <c r="J5" s="136">
        <f ca="1"/>
        <v>3.2374100719424459</v>
      </c>
      <c r="K5" s="137" t="str">
        <f ca="1"/>
        <v>2-8</v>
      </c>
      <c r="L5" s="137">
        <f t="shared" ca="1" si="0"/>
        <v>1004</v>
      </c>
      <c r="M5" s="137">
        <f t="shared" ca="1" si="1"/>
        <v>7</v>
      </c>
      <c r="N5" s="70" t="str">
        <f t="shared" ca="1" si="2"/>
        <v>Sharpe D 23.1-5-75-6,</v>
      </c>
      <c r="P5" s="106">
        <v>3</v>
      </c>
      <c r="Q5" s="141" t="str">
        <f t="array" aca="1" ref="Q5:Y5" ca="1">OFFSET($C$2,MATCH(P5,$M$2:$M$51,0)-1,0,1,9)</f>
        <v>Seymour C</v>
      </c>
      <c r="R5" s="141">
        <f ca="1"/>
        <v>67.400000000000006</v>
      </c>
      <c r="S5" s="152">
        <f ca="1"/>
        <v>4</v>
      </c>
      <c r="T5" s="141">
        <f ca="1"/>
        <v>280</v>
      </c>
      <c r="U5" s="141">
        <f ca="1"/>
        <v>16</v>
      </c>
      <c r="V5" s="142">
        <f ca="1"/>
        <v>17.5</v>
      </c>
      <c r="W5" s="146">
        <f ca="1"/>
        <v>25.375</v>
      </c>
      <c r="X5" s="146">
        <f ca="1"/>
        <v>4.1379310344827589</v>
      </c>
      <c r="Y5" s="146" t="str">
        <f ca="1"/>
        <v>5-45</v>
      </c>
      <c r="Z5" s="137"/>
    </row>
    <row r="6" spans="1:26" ht="12.75">
      <c r="A6" s="70">
        <v>5</v>
      </c>
      <c r="B6" s="70">
        <f>MATCH(A6,Bowling!$CS$5:$CS$32,0)</f>
        <v>23</v>
      </c>
      <c r="C6" s="70" t="str">
        <f ca="1">OFFSET(Bowling!$B$4,BowlAves!B6,0)</f>
        <v>Singh R</v>
      </c>
      <c r="D6" s="135">
        <f t="array" aca="1" ref="D6:K6" ca="1">OFFSET(Bowling!$CG$4,BowlAves!B6,0,1,8)</f>
        <v>42</v>
      </c>
      <c r="E6" s="74">
        <f ca="1"/>
        <v>7</v>
      </c>
      <c r="F6" s="74">
        <f ca="1"/>
        <v>159</v>
      </c>
      <c r="G6" s="74">
        <f ca="1"/>
        <v>12</v>
      </c>
      <c r="H6" s="79">
        <f ca="1"/>
        <v>13.25</v>
      </c>
      <c r="I6" s="136">
        <f ca="1"/>
        <v>21</v>
      </c>
      <c r="J6" s="136">
        <f ca="1"/>
        <v>3.7857142857142856</v>
      </c>
      <c r="K6" s="137" t="str">
        <f ca="1"/>
        <v>4-34</v>
      </c>
      <c r="L6" s="137">
        <f t="shared" ca="1" si="0"/>
        <v>5</v>
      </c>
      <c r="M6" s="137">
        <f t="shared" ca="1" si="1"/>
        <v>2</v>
      </c>
      <c r="N6" s="70" t="str">
        <f t="shared" ca="1" si="2"/>
        <v/>
      </c>
      <c r="P6" s="106">
        <v>4</v>
      </c>
      <c r="Q6" s="141" t="str">
        <f t="array" aca="1" ref="Q6:Y6" ca="1">OFFSET($C$2,MATCH(P6,$M$2:$M$51,0)-1,0,1,9)</f>
        <v>Cooper G</v>
      </c>
      <c r="R6" s="141">
        <f ca="1"/>
        <v>109.4</v>
      </c>
      <c r="S6" s="152">
        <f ca="1"/>
        <v>10</v>
      </c>
      <c r="T6" s="141">
        <f ca="1"/>
        <v>389</v>
      </c>
      <c r="U6" s="141">
        <f ca="1"/>
        <v>18</v>
      </c>
      <c r="V6" s="142">
        <f ca="1"/>
        <v>21.61</v>
      </c>
      <c r="W6" s="146">
        <f ca="1"/>
        <v>36.555555555555557</v>
      </c>
      <c r="X6" s="146">
        <f ca="1"/>
        <v>3.547112462006079</v>
      </c>
      <c r="Y6" s="146" t="str">
        <f ca="1"/>
        <v>4-12</v>
      </c>
      <c r="Z6" s="137"/>
    </row>
    <row r="7" spans="1:26" ht="12.75">
      <c r="A7" s="70">
        <v>6</v>
      </c>
      <c r="B7" s="70">
        <f>MATCH(A7,Bowling!$CS$5:$CS$32,0)</f>
        <v>21</v>
      </c>
      <c r="C7" s="70" t="str">
        <f ca="1">OFFSET(Bowling!$B$4,BowlAves!B7,0)</f>
        <v>Seymour C</v>
      </c>
      <c r="D7" s="135">
        <f t="array" aca="1" ref="D7:K7" ca="1">OFFSET(Bowling!$CG$4,BowlAves!B7,0,1,8)</f>
        <v>67.400000000000006</v>
      </c>
      <c r="E7" s="74">
        <f ca="1"/>
        <v>4</v>
      </c>
      <c r="F7" s="74">
        <f ca="1"/>
        <v>280</v>
      </c>
      <c r="G7" s="74">
        <f ca="1"/>
        <v>16</v>
      </c>
      <c r="H7" s="79">
        <f ca="1"/>
        <v>17.5</v>
      </c>
      <c r="I7" s="136">
        <f ca="1"/>
        <v>25.375</v>
      </c>
      <c r="J7" s="136">
        <f ca="1"/>
        <v>4.1379310344827589</v>
      </c>
      <c r="K7" s="137" t="str">
        <f ca="1"/>
        <v>5-45</v>
      </c>
      <c r="L7" s="137">
        <f t="shared" ca="1" si="0"/>
        <v>6</v>
      </c>
      <c r="M7" s="137">
        <f t="shared" ca="1" si="1"/>
        <v>3</v>
      </c>
      <c r="N7" s="70" t="str">
        <f t="shared" ca="1" si="2"/>
        <v/>
      </c>
      <c r="P7" s="106">
        <v>5</v>
      </c>
      <c r="Q7" s="141" t="str">
        <f t="array" aca="1" ref="Q7:Y7" ca="1">OFFSET($C$2,MATCH(P7,$M$2:$M$51,0)-1,0,1,9)</f>
        <v>Edghill C</v>
      </c>
      <c r="R7" s="141">
        <f ca="1"/>
        <v>2</v>
      </c>
      <c r="S7" s="152">
        <f ca="1"/>
        <v>1</v>
      </c>
      <c r="T7" s="141">
        <f ca="1"/>
        <v>10</v>
      </c>
      <c r="U7" s="141">
        <f ca="1"/>
        <v>1</v>
      </c>
      <c r="V7" s="142">
        <f ca="1"/>
        <v>10</v>
      </c>
      <c r="W7" s="146">
        <f ca="1"/>
        <v>12</v>
      </c>
      <c r="X7" s="146">
        <f ca="1"/>
        <v>5</v>
      </c>
      <c r="Y7" s="146" t="str">
        <f ca="1"/>
        <v>1-10</v>
      </c>
      <c r="Z7" s="137"/>
    </row>
    <row r="8" spans="1:26" ht="12.75">
      <c r="A8" s="70">
        <v>7</v>
      </c>
      <c r="B8" s="70">
        <f>MATCH(A8,Bowling!$CS$5:$CS$32,0)</f>
        <v>28</v>
      </c>
      <c r="C8" s="70" t="str">
        <f ca="1">OFFSET(Bowling!$B$4,BowlAves!B8,0)</f>
        <v>Wright P</v>
      </c>
      <c r="D8" s="135">
        <f t="array" aca="1" ref="D8:K8" ca="1">OFFSET(Bowling!$CG$4,BowlAves!B8,0,1,8)</f>
        <v>20</v>
      </c>
      <c r="E8" s="74">
        <f ca="1"/>
        <v>0</v>
      </c>
      <c r="F8" s="74">
        <f ca="1"/>
        <v>106</v>
      </c>
      <c r="G8" s="74">
        <f ca="1"/>
        <v>6</v>
      </c>
      <c r="H8" s="79">
        <f ca="1"/>
        <v>17.670000000000002</v>
      </c>
      <c r="I8" s="136">
        <f ca="1"/>
        <v>20</v>
      </c>
      <c r="J8" s="136">
        <f ca="1"/>
        <v>5.3</v>
      </c>
      <c r="K8" s="137" t="str">
        <f ca="1"/>
        <v>4-41</v>
      </c>
      <c r="L8" s="137">
        <f t="shared" ca="1" si="0"/>
        <v>1007</v>
      </c>
      <c r="M8" s="137">
        <f t="shared" ca="1" si="1"/>
        <v>8</v>
      </c>
      <c r="N8" s="70" t="str">
        <f t="shared" ca="1" si="2"/>
        <v>Wright P 20-0-106-6,</v>
      </c>
      <c r="P8" s="106">
        <v>6</v>
      </c>
      <c r="Q8" s="141" t="str">
        <f t="array" aca="1" ref="Q8:Y8" ca="1">OFFSET($C$2,MATCH(P8,$M$2:$M$51,0)-1,0,1,9)</f>
        <v>Missen</v>
      </c>
      <c r="R8" s="141">
        <f ca="1"/>
        <v>9</v>
      </c>
      <c r="S8" s="152">
        <f ca="1"/>
        <v>2</v>
      </c>
      <c r="T8" s="141">
        <f ca="1"/>
        <v>20</v>
      </c>
      <c r="U8" s="141">
        <f ca="1"/>
        <v>2</v>
      </c>
      <c r="V8" s="142">
        <f ca="1"/>
        <v>10</v>
      </c>
      <c r="W8" s="146">
        <f ca="1"/>
        <v>27</v>
      </c>
      <c r="X8" s="146">
        <f ca="1"/>
        <v>2.2222222222222223</v>
      </c>
      <c r="Y8" s="146" t="str">
        <f ca="1"/>
        <v>2-20</v>
      </c>
      <c r="Z8" s="137"/>
    </row>
    <row r="9" spans="1:26" ht="12.75">
      <c r="A9" s="70">
        <v>8</v>
      </c>
      <c r="B9" s="70">
        <f>MATCH(A9,Bowling!$CS$5:$CS$32,0)</f>
        <v>12</v>
      </c>
      <c r="C9" s="70" t="str">
        <f ca="1">OFFSET(Bowling!$B$4,BowlAves!B9,0)</f>
        <v>Gibb B</v>
      </c>
      <c r="D9" s="135">
        <f t="array" aca="1" ref="D9:K9" ca="1">OFFSET(Bowling!$CG$4,BowlAves!B9,0,1,8)</f>
        <v>4</v>
      </c>
      <c r="E9" s="74">
        <f ca="1"/>
        <v>0</v>
      </c>
      <c r="F9" s="74">
        <f ca="1"/>
        <v>18</v>
      </c>
      <c r="G9" s="74">
        <f ca="1"/>
        <v>1</v>
      </c>
      <c r="H9" s="79">
        <f ca="1"/>
        <v>18</v>
      </c>
      <c r="I9" s="136">
        <f ca="1"/>
        <v>24</v>
      </c>
      <c r="J9" s="136">
        <f ca="1"/>
        <v>4.5</v>
      </c>
      <c r="K9" s="137" t="str">
        <f ca="1"/>
        <v>1-18</v>
      </c>
      <c r="L9" s="137">
        <f t="shared" ca="1" si="0"/>
        <v>1008</v>
      </c>
      <c r="M9" s="137">
        <f t="shared" ca="1" si="1"/>
        <v>9</v>
      </c>
      <c r="N9" s="70" t="str">
        <f t="shared" ca="1" si="2"/>
        <v>Gibb B 4-0-18-1,</v>
      </c>
      <c r="P9" s="106">
        <v>7</v>
      </c>
      <c r="Q9" s="141" t="str">
        <f t="array" aca="1" ref="Q9:Y9" ca="1">OFFSET($C$2,MATCH(P9,$M$2:$M$51,0)-1,0,1,9)</f>
        <v>Sharpe D</v>
      </c>
      <c r="R9" s="141">
        <f ca="1"/>
        <v>23.1</v>
      </c>
      <c r="S9" s="152">
        <f ca="1"/>
        <v>5</v>
      </c>
      <c r="T9" s="141">
        <f ca="1"/>
        <v>75</v>
      </c>
      <c r="U9" s="141">
        <f ca="1"/>
        <v>6</v>
      </c>
      <c r="V9" s="142">
        <f ca="1"/>
        <v>12.5</v>
      </c>
      <c r="W9" s="146">
        <f ca="1"/>
        <v>23.166666666666668</v>
      </c>
      <c r="X9" s="146">
        <f ca="1"/>
        <v>3.2374100719424459</v>
      </c>
      <c r="Y9" s="146" t="str">
        <f ca="1"/>
        <v>2-8</v>
      </c>
      <c r="Z9" s="137"/>
    </row>
    <row r="10" spans="1:26" ht="12.75">
      <c r="A10" s="70">
        <v>9</v>
      </c>
      <c r="B10" s="70">
        <f>MATCH(A10,Bowling!$CS$5:$CS$32,0)</f>
        <v>5</v>
      </c>
      <c r="C10" s="70" t="str">
        <f ca="1">OFFSET(Bowling!$B$4,BowlAves!B10,0)</f>
        <v>Clarkson M</v>
      </c>
      <c r="D10" s="135">
        <f t="array" aca="1" ref="D10:K10" ca="1">OFFSET(Bowling!$CG$4,BowlAves!B10,0,1,8)</f>
        <v>37.200000000000003</v>
      </c>
      <c r="E10" s="74">
        <f ca="1"/>
        <v>5</v>
      </c>
      <c r="F10" s="74">
        <f ca="1"/>
        <v>162</v>
      </c>
      <c r="G10" s="74">
        <f ca="1"/>
        <v>8</v>
      </c>
      <c r="H10" s="79">
        <f ca="1"/>
        <v>20.25</v>
      </c>
      <c r="I10" s="136">
        <f ca="1"/>
        <v>28</v>
      </c>
      <c r="J10" s="136">
        <f ca="1"/>
        <v>4.3392857142857144</v>
      </c>
      <c r="K10" s="137" t="str">
        <f ca="1"/>
        <v>2-26</v>
      </c>
      <c r="L10" s="137">
        <f t="shared" ca="1" si="0"/>
        <v>1009</v>
      </c>
      <c r="M10" s="137">
        <f t="shared" ca="1" si="1"/>
        <v>10</v>
      </c>
      <c r="N10" s="70" t="str">
        <f t="shared" ca="1" si="2"/>
        <v>Clarkson M 37.2-5-162-8,</v>
      </c>
      <c r="P10" s="106">
        <v>8</v>
      </c>
      <c r="Q10" s="141" t="str">
        <f t="array" aca="1" ref="Q10:Y10" ca="1">OFFSET($C$2,MATCH(P10,$M$2:$M$51,0)-1,0,1,9)</f>
        <v>Wright P</v>
      </c>
      <c r="R10" s="141">
        <f ca="1"/>
        <v>20</v>
      </c>
      <c r="S10" s="152">
        <f ca="1"/>
        <v>0</v>
      </c>
      <c r="T10" s="141">
        <f ca="1"/>
        <v>106</v>
      </c>
      <c r="U10" s="141">
        <f ca="1"/>
        <v>6</v>
      </c>
      <c r="V10" s="142">
        <f ca="1"/>
        <v>17.670000000000002</v>
      </c>
      <c r="W10" s="146">
        <f ca="1"/>
        <v>20</v>
      </c>
      <c r="X10" s="146">
        <f ca="1"/>
        <v>5.3</v>
      </c>
      <c r="Y10" s="146" t="str">
        <f ca="1"/>
        <v>4-41</v>
      </c>
      <c r="Z10" s="137"/>
    </row>
    <row r="11" spans="1:26" ht="12.75">
      <c r="A11" s="70">
        <v>10</v>
      </c>
      <c r="B11" s="70">
        <f>MATCH(A11,Bowling!$CS$5:$CS$32,0)</f>
        <v>7</v>
      </c>
      <c r="C11" s="70" t="str">
        <f ca="1">OFFSET(Bowling!$B$4,BowlAves!B11,0)</f>
        <v>Cooper G</v>
      </c>
      <c r="D11" s="135">
        <f t="array" aca="1" ref="D11:K11" ca="1">OFFSET(Bowling!$CG$4,BowlAves!B11,0,1,8)</f>
        <v>109.4</v>
      </c>
      <c r="E11" s="74">
        <f ca="1"/>
        <v>10</v>
      </c>
      <c r="F11" s="74">
        <f ca="1"/>
        <v>389</v>
      </c>
      <c r="G11" s="74">
        <f ca="1"/>
        <v>18</v>
      </c>
      <c r="H11" s="79">
        <f ca="1"/>
        <v>21.61</v>
      </c>
      <c r="I11" s="136">
        <f ca="1"/>
        <v>36.555555555555557</v>
      </c>
      <c r="J11" s="136">
        <f ca="1"/>
        <v>3.547112462006079</v>
      </c>
      <c r="K11" s="137" t="str">
        <f ca="1"/>
        <v>4-12</v>
      </c>
      <c r="L11" s="137">
        <f t="shared" ca="1" si="0"/>
        <v>10</v>
      </c>
      <c r="M11" s="137">
        <f t="shared" ca="1" si="1"/>
        <v>4</v>
      </c>
      <c r="N11" s="70" t="str">
        <f t="shared" ca="1" si="2"/>
        <v/>
      </c>
      <c r="P11" s="106">
        <v>9</v>
      </c>
      <c r="Q11" s="141" t="str">
        <f t="array" aca="1" ref="Q11:Y11" ca="1">OFFSET($C$2,MATCH(P11,$M$2:$M$51,0)-1,0,1,9)</f>
        <v>Gibb B</v>
      </c>
      <c r="R11" s="141">
        <f ca="1"/>
        <v>4</v>
      </c>
      <c r="S11" s="152">
        <f ca="1"/>
        <v>0</v>
      </c>
      <c r="T11" s="141">
        <f ca="1"/>
        <v>18</v>
      </c>
      <c r="U11" s="141">
        <f ca="1"/>
        <v>1</v>
      </c>
      <c r="V11" s="142">
        <f ca="1"/>
        <v>18</v>
      </c>
      <c r="W11" s="146">
        <f ca="1"/>
        <v>24</v>
      </c>
      <c r="X11" s="146">
        <f ca="1"/>
        <v>4.5</v>
      </c>
      <c r="Y11" s="146" t="str">
        <f ca="1"/>
        <v>1-18</v>
      </c>
      <c r="Z11" s="137"/>
    </row>
    <row r="12" spans="1:26" ht="12.75">
      <c r="A12" s="70">
        <v>11</v>
      </c>
      <c r="B12" s="70">
        <f>MATCH(A12,Bowling!$CS$5:$CS$32,0)</f>
        <v>18</v>
      </c>
      <c r="C12" s="70" t="str">
        <f ca="1">OFFSET(Bowling!$B$4,BowlAves!B12,0)</f>
        <v>Lovell</v>
      </c>
      <c r="D12" s="135">
        <f t="array" aca="1" ref="D12:K12" ca="1">OFFSET(Bowling!$CG$4,BowlAves!B12,0,1,8)</f>
        <v>6</v>
      </c>
      <c r="E12" s="74">
        <f ca="1"/>
        <v>0</v>
      </c>
      <c r="F12" s="74">
        <f ca="1"/>
        <v>26</v>
      </c>
      <c r="G12" s="74">
        <f ca="1"/>
        <v>1</v>
      </c>
      <c r="H12" s="79">
        <f ca="1"/>
        <v>26</v>
      </c>
      <c r="I12" s="136">
        <f ca="1"/>
        <v>36</v>
      </c>
      <c r="J12" s="136">
        <f ca="1"/>
        <v>4.333333333333333</v>
      </c>
      <c r="K12" s="137" t="str">
        <f ca="1"/>
        <v>1-15</v>
      </c>
      <c r="L12" s="137">
        <f t="shared" ca="1" si="0"/>
        <v>1011</v>
      </c>
      <c r="M12" s="137">
        <f t="shared" ca="1" si="1"/>
        <v>11</v>
      </c>
      <c r="N12" s="70" t="str">
        <f t="shared" ca="1" si="2"/>
        <v>Lovell 6-0-26-1,</v>
      </c>
      <c r="P12" s="106">
        <v>10</v>
      </c>
      <c r="Q12" s="141" t="str">
        <f t="array" aca="1" ref="Q12:Y12" ca="1">OFFSET($C$2,MATCH(P12,$M$2:$M$51,0)-1,0,1,9)</f>
        <v>Clarkson M</v>
      </c>
      <c r="R12" s="141">
        <f ca="1"/>
        <v>37.200000000000003</v>
      </c>
      <c r="S12" s="152">
        <f ca="1"/>
        <v>5</v>
      </c>
      <c r="T12" s="141">
        <f ca="1"/>
        <v>162</v>
      </c>
      <c r="U12" s="141">
        <f ca="1"/>
        <v>8</v>
      </c>
      <c r="V12" s="142">
        <f ca="1"/>
        <v>20.25</v>
      </c>
      <c r="W12" s="146">
        <f ca="1"/>
        <v>28</v>
      </c>
      <c r="X12" s="146">
        <f ca="1"/>
        <v>4.3392857142857144</v>
      </c>
      <c r="Y12" s="146" t="str">
        <f ca="1"/>
        <v>2-26</v>
      </c>
      <c r="Z12" s="137"/>
    </row>
    <row r="13" spans="1:26" ht="12.75">
      <c r="A13" s="70">
        <v>12</v>
      </c>
      <c r="B13" s="70">
        <f>MATCH(A13,Bowling!$CS$5:$CS$32,0)</f>
        <v>8</v>
      </c>
      <c r="C13" s="70" t="str">
        <f ca="1">OFFSET(Bowling!$B$4,BowlAves!B13,0)</f>
        <v>de Souza C</v>
      </c>
      <c r="D13" s="135">
        <f t="array" aca="1" ref="D13:K13" ca="1">OFFSET(Bowling!$CG$4,BowlAves!B13,0,1,8)</f>
        <v>25.4</v>
      </c>
      <c r="E13" s="74">
        <f ca="1"/>
        <v>3</v>
      </c>
      <c r="F13" s="74">
        <f ca="1"/>
        <v>117</v>
      </c>
      <c r="G13" s="74">
        <f ca="1"/>
        <v>4</v>
      </c>
      <c r="H13" s="79">
        <f ca="1"/>
        <v>29.25</v>
      </c>
      <c r="I13" s="136">
        <f ca="1"/>
        <v>38.5</v>
      </c>
      <c r="J13" s="136">
        <f ca="1"/>
        <v>4.5584415584415581</v>
      </c>
      <c r="K13" s="137" t="str">
        <f ca="1"/>
        <v>1-8</v>
      </c>
      <c r="L13" s="137">
        <f t="shared" ca="1" si="0"/>
        <v>1012</v>
      </c>
      <c r="M13" s="137">
        <f t="shared" ca="1" si="1"/>
        <v>12</v>
      </c>
      <c r="N13" s="70" t="str">
        <f t="shared" ca="1" si="2"/>
        <v>de Souza C 25.4-3-117-4,</v>
      </c>
      <c r="P13" s="106">
        <v>11</v>
      </c>
      <c r="Q13" s="141" t="str">
        <f t="array" aca="1" ref="Q13:Y13" ca="1">OFFSET($C$2,MATCH(P13,$M$2:$M$51,0)-1,0,1,9)</f>
        <v>Lovell</v>
      </c>
      <c r="R13" s="141">
        <f ca="1"/>
        <v>6</v>
      </c>
      <c r="S13" s="152">
        <f ca="1"/>
        <v>0</v>
      </c>
      <c r="T13" s="141">
        <f ca="1"/>
        <v>26</v>
      </c>
      <c r="U13" s="141">
        <f ca="1"/>
        <v>1</v>
      </c>
      <c r="V13" s="142">
        <f ca="1"/>
        <v>26</v>
      </c>
      <c r="W13" s="146">
        <f ca="1"/>
        <v>36</v>
      </c>
      <c r="X13" s="146">
        <f ca="1"/>
        <v>4.333333333333333</v>
      </c>
      <c r="Y13" s="146" t="str">
        <f ca="1"/>
        <v>1-15</v>
      </c>
      <c r="Z13" s="137"/>
    </row>
    <row r="14" spans="1:26" ht="12.75">
      <c r="A14" s="70">
        <v>13</v>
      </c>
      <c r="B14" s="70">
        <f>MATCH(A14,Bowling!$CS$5:$CS$32,0)</f>
        <v>4</v>
      </c>
      <c r="C14" s="70" t="str">
        <f ca="1">OFFSET(Bowling!$B$4,BowlAves!B14,0)</f>
        <v>Clark C</v>
      </c>
      <c r="D14" s="135">
        <f t="array" aca="1" ref="D14:K14" ca="1">OFFSET(Bowling!$CG$4,BowlAves!B14,0,1,8)</f>
        <v>60</v>
      </c>
      <c r="E14" s="74">
        <f ca="1"/>
        <v>9</v>
      </c>
      <c r="F14" s="74">
        <f ca="1"/>
        <v>215</v>
      </c>
      <c r="G14" s="74">
        <f ca="1"/>
        <v>7</v>
      </c>
      <c r="H14" s="79">
        <f ca="1"/>
        <v>30.71</v>
      </c>
      <c r="I14" s="136">
        <f ca="1"/>
        <v>51.428571428571431</v>
      </c>
      <c r="J14" s="136">
        <f ca="1"/>
        <v>3.5833333333333335</v>
      </c>
      <c r="K14" s="137" t="str">
        <f ca="1"/>
        <v>4-28</v>
      </c>
      <c r="L14" s="137">
        <f t="shared" ca="1" si="0"/>
        <v>1013</v>
      </c>
      <c r="M14" s="137">
        <f t="shared" ca="1" si="1"/>
        <v>13</v>
      </c>
      <c r="N14" s="70" t="str">
        <f t="shared" ca="1" si="2"/>
        <v>Clark C 60-9-215-7,</v>
      </c>
      <c r="P14" s="106">
        <v>12</v>
      </c>
      <c r="Q14" s="141" t="str">
        <f t="array" aca="1" ref="Q14:Y14" ca="1">OFFSET($C$2,MATCH(P14,$M$2:$M$51,0)-1,0,1,9)</f>
        <v>de Souza C</v>
      </c>
      <c r="R14" s="141">
        <f ca="1"/>
        <v>25.4</v>
      </c>
      <c r="S14" s="152">
        <f ca="1"/>
        <v>3</v>
      </c>
      <c r="T14" s="141">
        <f ca="1"/>
        <v>117</v>
      </c>
      <c r="U14" s="141">
        <f ca="1"/>
        <v>4</v>
      </c>
      <c r="V14" s="142">
        <f ca="1"/>
        <v>29.25</v>
      </c>
      <c r="W14" s="146">
        <f ca="1"/>
        <v>38.5</v>
      </c>
      <c r="X14" s="146">
        <f ca="1"/>
        <v>4.5584415584415581</v>
      </c>
      <c r="Y14" s="146" t="str">
        <f ca="1"/>
        <v>1-8</v>
      </c>
      <c r="Z14" s="137"/>
    </row>
    <row r="15" spans="1:26" ht="12.75">
      <c r="A15" s="70">
        <v>14</v>
      </c>
      <c r="B15" s="70">
        <f>MATCH(A15,Bowling!$CS$5:$CS$32,0)</f>
        <v>11</v>
      </c>
      <c r="C15" s="70" t="str">
        <f ca="1">OFFSET(Bowling!$B$4,BowlAves!B15,0)</f>
        <v>Engel W</v>
      </c>
      <c r="D15" s="135">
        <f t="array" aca="1" ref="D15:K15" ca="1">OFFSET(Bowling!$CG$4,BowlAves!B15,0,1,8)</f>
        <v>6</v>
      </c>
      <c r="E15" s="74">
        <f ca="1"/>
        <v>0</v>
      </c>
      <c r="F15" s="74">
        <f ca="1"/>
        <v>32</v>
      </c>
      <c r="G15" s="74">
        <f ca="1"/>
        <v>1</v>
      </c>
      <c r="H15" s="79">
        <f ca="1"/>
        <v>32</v>
      </c>
      <c r="I15" s="136">
        <f ca="1"/>
        <v>36</v>
      </c>
      <c r="J15" s="136">
        <f ca="1"/>
        <v>5.333333333333333</v>
      </c>
      <c r="K15" s="137" t="str">
        <f ca="1"/>
        <v>1-32</v>
      </c>
      <c r="L15" s="137">
        <f t="shared" ca="1" si="0"/>
        <v>1014</v>
      </c>
      <c r="M15" s="137">
        <f t="shared" ca="1" si="1"/>
        <v>14</v>
      </c>
      <c r="N15" s="70" t="str">
        <f t="shared" ca="1" si="2"/>
        <v>Engel W 6-0-32-1,</v>
      </c>
      <c r="P15" s="106">
        <v>13</v>
      </c>
      <c r="Q15" s="141" t="str">
        <f t="array" aca="1" ref="Q15:Y15" ca="1">OFFSET($C$2,MATCH(P15,$M$2:$M$51,0)-1,0,1,9)</f>
        <v>Clark C</v>
      </c>
      <c r="R15" s="141">
        <f ca="1"/>
        <v>60</v>
      </c>
      <c r="S15" s="152">
        <f ca="1"/>
        <v>9</v>
      </c>
      <c r="T15" s="141">
        <f ca="1"/>
        <v>215</v>
      </c>
      <c r="U15" s="141">
        <f ca="1"/>
        <v>7</v>
      </c>
      <c r="V15" s="142">
        <f ca="1"/>
        <v>30.71</v>
      </c>
      <c r="W15" s="146">
        <f ca="1"/>
        <v>51.428571428571431</v>
      </c>
      <c r="X15" s="146">
        <f ca="1"/>
        <v>3.5833333333333335</v>
      </c>
      <c r="Y15" s="146" t="str">
        <f ca="1"/>
        <v>4-28</v>
      </c>
      <c r="Z15" s="137"/>
    </row>
    <row r="16" spans="1:26" ht="12.75">
      <c r="A16" s="70">
        <v>15</v>
      </c>
      <c r="B16" s="70">
        <f>MATCH(A16,Bowling!$CS$5:$CS$32,0)</f>
        <v>10</v>
      </c>
      <c r="C16" s="70" t="str">
        <f ca="1">OFFSET(Bowling!$B$4,BowlAves!B16,0)</f>
        <v>Edghill D</v>
      </c>
      <c r="D16" s="135">
        <f t="array" aca="1" ref="D16:K16" ca="1">OFFSET(Bowling!$CG$4,BowlAves!B16,0,1,8)</f>
        <v>14</v>
      </c>
      <c r="E16" s="74">
        <f ca="1"/>
        <v>3</v>
      </c>
      <c r="F16" s="74">
        <f ca="1"/>
        <v>72</v>
      </c>
      <c r="G16" s="74">
        <f ca="1"/>
        <v>2</v>
      </c>
      <c r="H16" s="79">
        <f ca="1"/>
        <v>36</v>
      </c>
      <c r="I16" s="136">
        <f ca="1"/>
        <v>42</v>
      </c>
      <c r="J16" s="136">
        <f ca="1"/>
        <v>5.1428571428571432</v>
      </c>
      <c r="K16" s="137" t="str">
        <f ca="1"/>
        <v>2-23</v>
      </c>
      <c r="L16" s="137">
        <f t="shared" ca="1" si="0"/>
        <v>1015</v>
      </c>
      <c r="M16" s="137">
        <f t="shared" ca="1" si="1"/>
        <v>15</v>
      </c>
      <c r="N16" s="70" t="str">
        <f t="shared" ca="1" si="2"/>
        <v>Edghill D 14-3-72-2,</v>
      </c>
      <c r="P16" s="106">
        <v>14</v>
      </c>
      <c r="Q16" s="141" t="str">
        <f t="array" aca="1" ref="Q16:Y16" ca="1">OFFSET($C$2,MATCH(P16,$M$2:$M$51,0)-1,0,1,9)</f>
        <v>Engel W</v>
      </c>
      <c r="R16" s="141">
        <f ca="1"/>
        <v>6</v>
      </c>
      <c r="S16" s="152">
        <f ca="1"/>
        <v>0</v>
      </c>
      <c r="T16" s="141">
        <f ca="1"/>
        <v>32</v>
      </c>
      <c r="U16" s="141">
        <f ca="1"/>
        <v>1</v>
      </c>
      <c r="V16" s="142">
        <f ca="1"/>
        <v>32</v>
      </c>
      <c r="W16" s="146">
        <f ca="1"/>
        <v>36</v>
      </c>
      <c r="X16" s="146">
        <f ca="1"/>
        <v>5.333333333333333</v>
      </c>
      <c r="Y16" s="146" t="str">
        <f ca="1"/>
        <v>1-32</v>
      </c>
      <c r="Z16" s="137"/>
    </row>
    <row r="17" spans="1:26" ht="12.75">
      <c r="A17" s="70">
        <v>16</v>
      </c>
      <c r="B17" s="70">
        <f>MATCH(A17,Bowling!$CS$5:$CS$32,0)</f>
        <v>3</v>
      </c>
      <c r="C17" s="70" t="str">
        <f ca="1">OFFSET(Bowling!$B$4,BowlAves!B17,0)</f>
        <v>Chitnavis B</v>
      </c>
      <c r="D17" s="135">
        <f t="array" aca="1" ref="D17:K17" ca="1">OFFSET(Bowling!$CG$4,BowlAves!B17,0,1,8)</f>
        <v>4</v>
      </c>
      <c r="E17" s="74">
        <f ca="1"/>
        <v>0</v>
      </c>
      <c r="F17" s="74">
        <f ca="1"/>
        <v>38</v>
      </c>
      <c r="G17" s="74">
        <f ca="1"/>
        <v>1</v>
      </c>
      <c r="H17" s="79">
        <f ca="1"/>
        <v>38</v>
      </c>
      <c r="I17" s="136">
        <f ca="1"/>
        <v>24</v>
      </c>
      <c r="J17" s="136">
        <f ca="1"/>
        <v>9.5</v>
      </c>
      <c r="K17" s="137" t="str">
        <f ca="1"/>
        <v>1-38</v>
      </c>
      <c r="L17" s="137">
        <f t="shared" ca="1" si="0"/>
        <v>1016</v>
      </c>
      <c r="M17" s="137">
        <f t="shared" ca="1" si="1"/>
        <v>16</v>
      </c>
      <c r="N17" s="70" t="str">
        <f t="shared" ca="1" si="2"/>
        <v>Chitnavis B 4-0-38-1,</v>
      </c>
      <c r="P17" s="106">
        <v>15</v>
      </c>
      <c r="Q17" s="141" t="str">
        <f t="array" aca="1" ref="Q17:Y17" ca="1">OFFSET($C$2,MATCH(P17,$M$2:$M$51,0)-1,0,1,9)</f>
        <v>Edghill D</v>
      </c>
      <c r="R17" s="141">
        <f ca="1"/>
        <v>14</v>
      </c>
      <c r="S17" s="152">
        <f ca="1"/>
        <v>3</v>
      </c>
      <c r="T17" s="141">
        <f ca="1"/>
        <v>72</v>
      </c>
      <c r="U17" s="141">
        <f ca="1"/>
        <v>2</v>
      </c>
      <c r="V17" s="142">
        <f ca="1"/>
        <v>36</v>
      </c>
      <c r="W17" s="146">
        <f ca="1"/>
        <v>42</v>
      </c>
      <c r="X17" s="146">
        <f ca="1"/>
        <v>5.1428571428571432</v>
      </c>
      <c r="Y17" s="146" t="str">
        <f ca="1"/>
        <v>2-23</v>
      </c>
      <c r="Z17" s="137"/>
    </row>
    <row r="18" spans="1:26" ht="12.75">
      <c r="A18" s="70">
        <v>17</v>
      </c>
      <c r="B18" s="70">
        <f>MATCH(A18,Bowling!$CS$5:$CS$32,0)</f>
        <v>13</v>
      </c>
      <c r="C18" s="70" t="str">
        <f ca="1">OFFSET(Bowling!$B$4,BowlAves!B18,0)</f>
        <v>Greyling R</v>
      </c>
      <c r="D18" s="135">
        <f t="array" aca="1" ref="D18:K18" ca="1">OFFSET(Bowling!$CG$4,BowlAves!B18,0,1,8)</f>
        <v>29</v>
      </c>
      <c r="E18" s="74">
        <f ca="1"/>
        <v>1</v>
      </c>
      <c r="F18" s="74">
        <f ca="1"/>
        <v>120</v>
      </c>
      <c r="G18" s="74">
        <f ca="1"/>
        <v>3</v>
      </c>
      <c r="H18" s="79">
        <f ca="1"/>
        <v>40</v>
      </c>
      <c r="I18" s="136">
        <f ca="1"/>
        <v>58</v>
      </c>
      <c r="J18" s="136">
        <f ca="1"/>
        <v>4.1379310344827589</v>
      </c>
      <c r="K18" s="137" t="str">
        <f ca="1"/>
        <v>1-12</v>
      </c>
      <c r="L18" s="137">
        <f t="shared" ca="1" si="0"/>
        <v>1017</v>
      </c>
      <c r="M18" s="137">
        <f t="shared" ca="1" si="1"/>
        <v>17</v>
      </c>
      <c r="N18" s="70" t="str">
        <f t="shared" ca="1" si="2"/>
        <v>Greyling R 29-1-120-3,</v>
      </c>
      <c r="P18" s="106">
        <v>16</v>
      </c>
      <c r="Q18" s="141" t="str">
        <f t="array" aca="1" ref="Q18:Y18" ca="1">OFFSET($C$2,MATCH(P18,$M$2:$M$51,0)-1,0,1,9)</f>
        <v>Chitnavis B</v>
      </c>
      <c r="R18" s="141">
        <f ca="1"/>
        <v>4</v>
      </c>
      <c r="S18" s="152">
        <f ca="1"/>
        <v>0</v>
      </c>
      <c r="T18" s="141">
        <f ca="1"/>
        <v>38</v>
      </c>
      <c r="U18" s="141">
        <f ca="1"/>
        <v>1</v>
      </c>
      <c r="V18" s="142">
        <f ca="1"/>
        <v>38</v>
      </c>
      <c r="W18" s="146">
        <f ca="1"/>
        <v>24</v>
      </c>
      <c r="X18" s="146">
        <f ca="1"/>
        <v>9.5</v>
      </c>
      <c r="Y18" s="146" t="str">
        <f ca="1"/>
        <v>1-38</v>
      </c>
      <c r="Z18" s="137"/>
    </row>
    <row r="19" spans="1:26" ht="12.75">
      <c r="A19" s="70">
        <v>18</v>
      </c>
      <c r="B19" s="70">
        <f>MATCH(A19,Bowling!$CS$5:$CS$32,0)</f>
        <v>2</v>
      </c>
      <c r="C19" s="70" t="str">
        <f ca="1">OFFSET(Bowling!$B$4,BowlAves!B19,0)</f>
        <v>Chaffey P</v>
      </c>
      <c r="D19" s="135">
        <f t="array" aca="1" ref="D19:K19" ca="1">OFFSET(Bowling!$CG$4,BowlAves!B19,0,1,8)</f>
        <v>27</v>
      </c>
      <c r="E19" s="74">
        <f ca="1"/>
        <v>1</v>
      </c>
      <c r="F19" s="74">
        <f ca="1"/>
        <v>161</v>
      </c>
      <c r="G19" s="74">
        <f ca="1"/>
        <v>3</v>
      </c>
      <c r="H19" s="79">
        <f ca="1"/>
        <v>53.67</v>
      </c>
      <c r="I19" s="136">
        <f ca="1"/>
        <v>54</v>
      </c>
      <c r="J19" s="136">
        <f ca="1"/>
        <v>5.9629629629629628</v>
      </c>
      <c r="K19" s="137" t="str">
        <f ca="1"/>
        <v>2-30</v>
      </c>
      <c r="L19" s="137">
        <f t="shared" ca="1" si="0"/>
        <v>1018</v>
      </c>
      <c r="M19" s="137">
        <f t="shared" ca="1" si="1"/>
        <v>18</v>
      </c>
      <c r="N19" s="70" t="str">
        <f t="shared" ca="1" si="2"/>
        <v>Chaffey P 27-1-161-3,</v>
      </c>
      <c r="P19" s="106">
        <v>17</v>
      </c>
      <c r="Q19" s="141" t="str">
        <f t="array" aca="1" ref="Q19:Y19" ca="1">OFFSET($C$2,MATCH(P19,$M$2:$M$51,0)-1,0,1,9)</f>
        <v>Greyling R</v>
      </c>
      <c r="R19" s="141">
        <f ca="1"/>
        <v>29</v>
      </c>
      <c r="S19" s="152">
        <f ca="1"/>
        <v>1</v>
      </c>
      <c r="T19" s="141">
        <f ca="1"/>
        <v>120</v>
      </c>
      <c r="U19" s="141">
        <f ca="1"/>
        <v>3</v>
      </c>
      <c r="V19" s="142">
        <f ca="1"/>
        <v>40</v>
      </c>
      <c r="W19" s="146">
        <f ca="1"/>
        <v>58</v>
      </c>
      <c r="X19" s="146">
        <f ca="1"/>
        <v>4.1379310344827589</v>
      </c>
      <c r="Y19" s="146" t="str">
        <f ca="1"/>
        <v>1-12</v>
      </c>
      <c r="Z19" s="137"/>
    </row>
    <row r="20" spans="1:26" ht="12.75">
      <c r="A20" s="70">
        <v>19</v>
      </c>
      <c r="B20" s="70">
        <f>MATCH(A20,Bowling!$CS$5:$CS$32,0)</f>
        <v>14</v>
      </c>
      <c r="C20" s="70" t="str">
        <f ca="1">OFFSET(Bowling!$B$4,BowlAves!B20,0)</f>
        <v>Johnson A</v>
      </c>
      <c r="D20" s="135">
        <f t="array" aca="1" ref="D20:K20" ca="1">OFFSET(Bowling!$CG$4,BowlAves!B20,0,1,8)</f>
        <v>10</v>
      </c>
      <c r="E20" s="74">
        <f ca="1"/>
        <v>0</v>
      </c>
      <c r="F20" s="74">
        <f ca="1"/>
        <v>69</v>
      </c>
      <c r="G20" s="74">
        <f ca="1"/>
        <v>1</v>
      </c>
      <c r="H20" s="79">
        <f ca="1"/>
        <v>69</v>
      </c>
      <c r="I20" s="136">
        <f ca="1"/>
        <v>60</v>
      </c>
      <c r="J20" s="136">
        <f ca="1"/>
        <v>6.9</v>
      </c>
      <c r="K20" s="137" t="str">
        <f ca="1"/>
        <v>1-33</v>
      </c>
      <c r="L20" s="137">
        <f t="shared" ca="1" si="0"/>
        <v>1019</v>
      </c>
      <c r="M20" s="137">
        <f t="shared" ca="1" si="1"/>
        <v>19</v>
      </c>
      <c r="N20" s="70" t="str">
        <f t="shared" ca="1" si="2"/>
        <v>Johnson A 10-0-69-1,</v>
      </c>
      <c r="P20" s="106">
        <v>18</v>
      </c>
      <c r="Q20" s="141" t="str">
        <f t="array" aca="1" ref="Q20:Y20" ca="1">OFFSET($C$2,MATCH(P20,$M$2:$M$51,0)-1,0,1,9)</f>
        <v>Chaffey P</v>
      </c>
      <c r="R20" s="141">
        <f ca="1"/>
        <v>27</v>
      </c>
      <c r="S20" s="152">
        <f ca="1"/>
        <v>1</v>
      </c>
      <c r="T20" s="141">
        <f ca="1"/>
        <v>161</v>
      </c>
      <c r="U20" s="141">
        <f ca="1"/>
        <v>3</v>
      </c>
      <c r="V20" s="142">
        <f ca="1"/>
        <v>53.67</v>
      </c>
      <c r="W20" s="146">
        <f ca="1"/>
        <v>54</v>
      </c>
      <c r="X20" s="146">
        <f ca="1"/>
        <v>5.9629629629629628</v>
      </c>
      <c r="Y20" s="146" t="str">
        <f ca="1"/>
        <v>2-30</v>
      </c>
      <c r="Z20" s="137"/>
    </row>
    <row r="21" spans="1:26" ht="12.75">
      <c r="A21" s="70">
        <v>20</v>
      </c>
      <c r="B21" s="70">
        <f>MATCH(A21,Bowling!$CS$5:$CS$32,0)</f>
        <v>16</v>
      </c>
      <c r="C21" s="70" t="str">
        <f ca="1">OFFSET(Bowling!$B$4,BowlAves!B21,0)</f>
        <v>Lestrelle A</v>
      </c>
      <c r="D21" s="135">
        <f t="array" aca="1" ref="D21:K21" ca="1">OFFSET(Bowling!$CG$4,BowlAves!B21,0,1,8)</f>
        <v>37.5</v>
      </c>
      <c r="E21" s="74">
        <f ca="1"/>
        <v>3</v>
      </c>
      <c r="F21" s="74">
        <f ca="1"/>
        <v>183</v>
      </c>
      <c r="G21" s="74">
        <f ca="1"/>
        <v>1</v>
      </c>
      <c r="H21" s="79">
        <f ca="1"/>
        <v>183</v>
      </c>
      <c r="I21" s="136">
        <f ca="1"/>
        <v>227</v>
      </c>
      <c r="J21" s="136">
        <f ca="1"/>
        <v>4.8370044052863435</v>
      </c>
      <c r="K21" s="137" t="str">
        <f ca="1"/>
        <v>1-35</v>
      </c>
      <c r="L21" s="137">
        <f t="shared" ca="1" si="0"/>
        <v>1020</v>
      </c>
      <c r="M21" s="137">
        <f t="shared" ca="1" si="1"/>
        <v>20</v>
      </c>
      <c r="N21" s="70" t="str">
        <f t="shared" ca="1" si="2"/>
        <v>Lestrelle A 37.5-3-183-1,</v>
      </c>
      <c r="P21" s="106">
        <v>19</v>
      </c>
      <c r="Q21" s="141" t="str">
        <f t="array" aca="1" ref="Q21:Y21" ca="1">OFFSET($C$2,MATCH(P21,$M$2:$M$51,0)-1,0,1,9)</f>
        <v>Johnson A</v>
      </c>
      <c r="R21" s="141">
        <f ca="1"/>
        <v>10</v>
      </c>
      <c r="S21" s="152">
        <f ca="1"/>
        <v>0</v>
      </c>
      <c r="T21" s="141">
        <f ca="1"/>
        <v>69</v>
      </c>
      <c r="U21" s="141">
        <f ca="1"/>
        <v>1</v>
      </c>
      <c r="V21" s="142">
        <f ca="1"/>
        <v>69</v>
      </c>
      <c r="W21" s="146">
        <f ca="1"/>
        <v>60</v>
      </c>
      <c r="X21" s="146">
        <f ca="1"/>
        <v>6.9</v>
      </c>
      <c r="Y21" s="146" t="str">
        <f ca="1"/>
        <v>1-33</v>
      </c>
      <c r="Z21" s="137"/>
    </row>
    <row r="22" spans="1:26" ht="12.75">
      <c r="A22" s="70">
        <v>21</v>
      </c>
      <c r="B22" s="70">
        <f>MATCH(A22,Bowling!$CS$5:$CS$32,0)</f>
        <v>24</v>
      </c>
      <c r="C22" s="70" t="str">
        <f ca="1">OFFSET(Bowling!$B$4,BowlAves!B22,0)</f>
        <v>Smith C</v>
      </c>
      <c r="D22" s="135">
        <f t="array" aca="1" ref="D22:K22" ca="1">OFFSET(Bowling!$CG$4,BowlAves!B22,0,1,8)</f>
        <v>0.1</v>
      </c>
      <c r="E22" s="74">
        <f ca="1"/>
        <v>0</v>
      </c>
      <c r="F22" s="74">
        <f ca="1"/>
        <v>5</v>
      </c>
      <c r="G22" s="74">
        <f ca="1"/>
        <v>0</v>
      </c>
      <c r="H22" s="79" t="str">
        <f ca="1"/>
        <v/>
      </c>
      <c r="I22" s="136" t="str">
        <f ca="1"/>
        <v/>
      </c>
      <c r="J22" s="136">
        <f ca="1"/>
        <v>30</v>
      </c>
      <c r="K22" s="137" t="str">
        <f ca="1"/>
        <v>0-5</v>
      </c>
      <c r="L22" s="137">
        <f t="shared" ca="1" si="0"/>
        <v>1021</v>
      </c>
      <c r="M22" s="137">
        <f t="shared" ca="1" si="1"/>
        <v>21</v>
      </c>
      <c r="N22" s="70" t="str">
        <f t="shared" ca="1" si="2"/>
        <v>Smith C 0.1-0-5-0,</v>
      </c>
      <c r="P22" s="106">
        <v>20</v>
      </c>
      <c r="Q22" s="141" t="str">
        <f t="array" aca="1" ref="Q22:Y22" ca="1">OFFSET($C$2,MATCH(P22,$M$2:$M$51,0)-1,0,1,9)</f>
        <v>Lestrelle A</v>
      </c>
      <c r="R22" s="141">
        <f ca="1"/>
        <v>37.5</v>
      </c>
      <c r="S22" s="152">
        <f ca="1"/>
        <v>3</v>
      </c>
      <c r="T22" s="141">
        <f ca="1"/>
        <v>183</v>
      </c>
      <c r="U22" s="141">
        <f ca="1"/>
        <v>1</v>
      </c>
      <c r="V22" s="142">
        <f ca="1"/>
        <v>183</v>
      </c>
      <c r="W22" s="146">
        <f ca="1"/>
        <v>227</v>
      </c>
      <c r="X22" s="146">
        <f ca="1"/>
        <v>4.8370044052863435</v>
      </c>
      <c r="Y22" s="146" t="str">
        <f ca="1"/>
        <v>1-35</v>
      </c>
      <c r="Z22" s="137"/>
    </row>
    <row r="23" spans="1:26" ht="12.75">
      <c r="A23" s="70">
        <v>22</v>
      </c>
      <c r="B23" s="70">
        <f>MATCH(A23,Bowling!$CS$5:$CS$32,0)</f>
        <v>26</v>
      </c>
      <c r="C23" s="70" t="str">
        <f ca="1">OFFSET(Bowling!$B$4,BowlAves!B23,0)</f>
        <v>Wiseman R</v>
      </c>
      <c r="D23" s="135">
        <f t="array" aca="1" ref="D23:K23" ca="1">OFFSET(Bowling!$CG$4,BowlAves!B23,0,1,8)</f>
        <v>2</v>
      </c>
      <c r="E23" s="74">
        <f ca="1"/>
        <v>1</v>
      </c>
      <c r="F23" s="74">
        <f ca="1"/>
        <v>7</v>
      </c>
      <c r="G23" s="74">
        <f ca="1"/>
        <v>0</v>
      </c>
      <c r="H23" s="79" t="str">
        <f ca="1"/>
        <v/>
      </c>
      <c r="I23" s="136" t="str">
        <f ca="1"/>
        <v/>
      </c>
      <c r="J23" s="136">
        <f ca="1"/>
        <v>3.5</v>
      </c>
      <c r="K23" s="137" t="str">
        <f ca="1"/>
        <v>0-7</v>
      </c>
      <c r="L23" s="137">
        <f t="shared" ca="1" si="0"/>
        <v>1022</v>
      </c>
      <c r="M23" s="137">
        <f t="shared" ca="1" si="1"/>
        <v>22</v>
      </c>
      <c r="N23" s="70" t="str">
        <f t="shared" ca="1" si="2"/>
        <v>Wiseman R 2-1-7-0,</v>
      </c>
      <c r="P23" s="106">
        <v>21</v>
      </c>
      <c r="Q23" s="141" t="str">
        <f t="array" aca="1" ref="Q23:Y23" ca="1">OFFSET($C$2,MATCH(P23,$M$2:$M$51,0)-1,0,1,9)</f>
        <v>Smith C</v>
      </c>
      <c r="R23" s="141">
        <f ca="1"/>
        <v>0.1</v>
      </c>
      <c r="S23" s="152">
        <f ca="1"/>
        <v>0</v>
      </c>
      <c r="T23" s="141">
        <f ca="1"/>
        <v>5</v>
      </c>
      <c r="U23" s="141">
        <f ca="1"/>
        <v>0</v>
      </c>
      <c r="V23" s="142" t="str">
        <f ca="1"/>
        <v/>
      </c>
      <c r="W23" s="146" t="str">
        <f ca="1"/>
        <v/>
      </c>
      <c r="X23" s="146">
        <f ca="1"/>
        <v>30</v>
      </c>
      <c r="Y23" s="146" t="str">
        <f ca="1"/>
        <v>0-5</v>
      </c>
      <c r="Z23" s="137"/>
    </row>
    <row r="24" spans="1:26" ht="12.75">
      <c r="A24" s="70">
        <v>23</v>
      </c>
      <c r="B24" s="70">
        <f>MATCH(A24,Bowling!$CS$5:$CS$32,0)</f>
        <v>1</v>
      </c>
      <c r="C24" s="70" t="str">
        <f ca="1">OFFSET(Bowling!$B$4,BowlAves!B24,0)</f>
        <v>Bowers M</v>
      </c>
      <c r="D24" s="135">
        <f t="array" aca="1" ref="D24:K24" ca="1">OFFSET(Bowling!$CG$4,BowlAves!B24,0,1,8)</f>
        <v>3</v>
      </c>
      <c r="E24" s="74">
        <f ca="1"/>
        <v>0</v>
      </c>
      <c r="F24" s="74">
        <f ca="1"/>
        <v>26</v>
      </c>
      <c r="G24" s="74">
        <f ca="1"/>
        <v>0</v>
      </c>
      <c r="H24" s="79" t="str">
        <f ca="1"/>
        <v/>
      </c>
      <c r="I24" s="136" t="str">
        <f ca="1"/>
        <v/>
      </c>
      <c r="J24" s="136">
        <f ca="1"/>
        <v>8.6666666666666661</v>
      </c>
      <c r="K24" s="137" t="str">
        <f ca="1"/>
        <v>0-26</v>
      </c>
      <c r="L24" s="137">
        <f t="shared" ca="1" si="0"/>
        <v>1023</v>
      </c>
      <c r="M24" s="137">
        <f t="shared" ca="1" si="1"/>
        <v>23</v>
      </c>
      <c r="N24" s="70" t="str">
        <f t="shared" ca="1" si="2"/>
        <v>Bowers M 3-0-26-0,</v>
      </c>
      <c r="P24" s="106">
        <v>22</v>
      </c>
      <c r="Q24" s="141" t="str">
        <f t="array" aca="1" ref="Q24:Y24" ca="1">OFFSET($C$2,MATCH(P24,$M$2:$M$51,0)-1,0,1,9)</f>
        <v>Wiseman R</v>
      </c>
      <c r="R24" s="141">
        <f ca="1"/>
        <v>2</v>
      </c>
      <c r="S24" s="152">
        <f ca="1"/>
        <v>1</v>
      </c>
      <c r="T24" s="141">
        <f ca="1"/>
        <v>7</v>
      </c>
      <c r="U24" s="141">
        <f ca="1"/>
        <v>0</v>
      </c>
      <c r="V24" s="142" t="str">
        <f ca="1"/>
        <v/>
      </c>
      <c r="W24" s="146" t="str">
        <f ca="1"/>
        <v/>
      </c>
      <c r="X24" s="146">
        <f ca="1"/>
        <v>3.5</v>
      </c>
      <c r="Y24" s="146" t="str">
        <f ca="1"/>
        <v>0-7</v>
      </c>
      <c r="Z24" s="137"/>
    </row>
    <row r="25" spans="1:26" ht="12.75">
      <c r="A25" s="70">
        <v>24</v>
      </c>
      <c r="B25" s="70">
        <f>MATCH(A25,Bowling!$CS$5:$CS$32,0)</f>
        <v>6</v>
      </c>
      <c r="C25" s="70" t="str">
        <f ca="1">OFFSET(Bowling!$B$4,BowlAves!B25,0)</f>
        <v>Coloe A</v>
      </c>
      <c r="D25" s="135">
        <f t="array" aca="1" ref="D25:K25" ca="1">OFFSET(Bowling!$CG$4,BowlAves!B25,0,1,8)</f>
        <v>0</v>
      </c>
      <c r="E25" s="74">
        <f ca="1"/>
        <v>0</v>
      </c>
      <c r="F25" s="74">
        <f ca="1"/>
        <v>0</v>
      </c>
      <c r="G25" s="74">
        <f ca="1"/>
        <v>0</v>
      </c>
      <c r="H25" s="79" t="str">
        <f ca="1"/>
        <v/>
      </c>
      <c r="I25" s="136" t="str">
        <f ca="1"/>
        <v/>
      </c>
      <c r="J25" s="136" t="str">
        <f ca="1"/>
        <v/>
      </c>
      <c r="K25" s="137" t="str">
        <f ca="1"/>
        <v/>
      </c>
      <c r="L25" s="137">
        <f t="shared" ca="1" si="0"/>
        <v>1024</v>
      </c>
      <c r="M25" s="137">
        <f t="shared" ca="1" si="1"/>
        <v>24</v>
      </c>
      <c r="N25" s="70" t="str">
        <f t="shared" ca="1" si="2"/>
        <v>Coloe A 0-0-0-0,</v>
      </c>
      <c r="P25" s="106">
        <v>23</v>
      </c>
      <c r="Q25" s="141" t="str">
        <f t="array" aca="1" ref="Q25:Y25" ca="1">OFFSET($C$2,MATCH(P25,$M$2:$M$51,0)-1,0,1,9)</f>
        <v>Bowers M</v>
      </c>
      <c r="R25" s="141">
        <f ca="1"/>
        <v>3</v>
      </c>
      <c r="S25" s="152">
        <f ca="1"/>
        <v>0</v>
      </c>
      <c r="T25" s="141">
        <f ca="1"/>
        <v>26</v>
      </c>
      <c r="U25" s="141">
        <f ca="1"/>
        <v>0</v>
      </c>
      <c r="V25" s="142" t="str">
        <f ca="1"/>
        <v/>
      </c>
      <c r="W25" s="146" t="str">
        <f ca="1"/>
        <v/>
      </c>
      <c r="X25" s="146">
        <f ca="1"/>
        <v>8.6666666666666661</v>
      </c>
      <c r="Y25" s="146" t="str">
        <f ca="1"/>
        <v>0-26</v>
      </c>
      <c r="Z25" s="137"/>
    </row>
    <row r="26" spans="1:26">
      <c r="A26" s="70">
        <v>25</v>
      </c>
      <c r="B26" s="70">
        <f>MATCH(A26,Bowling!$CS$5:$CS$32,0)</f>
        <v>15</v>
      </c>
      <c r="C26" s="70" t="str">
        <f ca="1">OFFSET(Bowling!$B$4,BowlAves!B26,0)</f>
        <v>Leadley J</v>
      </c>
      <c r="D26" s="135">
        <f t="array" aca="1" ref="D26:K26" ca="1">OFFSET(Bowling!$CG$4,BowlAves!B26,0,1,8)</f>
        <v>0</v>
      </c>
      <c r="E26" s="74">
        <f ca="1"/>
        <v>0</v>
      </c>
      <c r="F26" s="74">
        <f ca="1"/>
        <v>0</v>
      </c>
      <c r="G26" s="74">
        <f ca="1"/>
        <v>0</v>
      </c>
      <c r="H26" s="79" t="str">
        <f ca="1"/>
        <v/>
      </c>
      <c r="I26" s="136" t="str">
        <f ca="1"/>
        <v/>
      </c>
      <c r="J26" s="136" t="str">
        <f ca="1"/>
        <v/>
      </c>
      <c r="K26" s="137" t="str">
        <f ca="1"/>
        <v/>
      </c>
      <c r="L26" s="137">
        <f t="shared" ca="1" si="0"/>
        <v>1025</v>
      </c>
      <c r="M26" s="137">
        <f t="shared" ca="1" si="1"/>
        <v>25</v>
      </c>
      <c r="N26" s="70" t="str">
        <f t="shared" ca="1" si="2"/>
        <v>Leadley J 0-0-0-0,</v>
      </c>
      <c r="Q26" s="137"/>
      <c r="R26" s="137"/>
      <c r="S26" s="153"/>
      <c r="T26" s="137"/>
      <c r="U26" s="137"/>
      <c r="V26" s="148"/>
      <c r="W26" s="147"/>
      <c r="X26" s="138"/>
      <c r="Y26" s="138"/>
      <c r="Z26" s="137"/>
    </row>
    <row r="27" spans="1:26">
      <c r="A27" s="70">
        <v>26</v>
      </c>
      <c r="B27" s="70">
        <f>MATCH(A27,Bowling!$CS$5:$CS$32,0)</f>
        <v>17</v>
      </c>
      <c r="C27" s="70" t="str">
        <f ca="1">OFFSET(Bowling!$B$4,BowlAves!B27,0)</f>
        <v>Lestrelle J</v>
      </c>
      <c r="D27" s="135">
        <f t="array" aca="1" ref="D27:K27" ca="1">OFFSET(Bowling!$CG$4,BowlAves!B27,0,1,8)</f>
        <v>0</v>
      </c>
      <c r="E27" s="74">
        <f ca="1"/>
        <v>0</v>
      </c>
      <c r="F27" s="74">
        <f ca="1"/>
        <v>0</v>
      </c>
      <c r="G27" s="74">
        <f ca="1"/>
        <v>0</v>
      </c>
      <c r="H27" s="79" t="str">
        <f ca="1"/>
        <v/>
      </c>
      <c r="I27" s="136" t="str">
        <f ca="1"/>
        <v/>
      </c>
      <c r="J27" s="136" t="str">
        <f ca="1"/>
        <v/>
      </c>
      <c r="K27" s="137" t="str">
        <f ca="1"/>
        <v/>
      </c>
      <c r="L27" s="137">
        <f t="shared" ca="1" si="0"/>
        <v>1026</v>
      </c>
      <c r="M27" s="137">
        <f t="shared" ca="1" si="1"/>
        <v>26</v>
      </c>
      <c r="N27" s="70" t="str">
        <f t="shared" ca="1" si="2"/>
        <v>Lestrelle J 0-0-0-0,</v>
      </c>
      <c r="Q27" s="137"/>
      <c r="R27" s="137"/>
      <c r="S27" s="153"/>
      <c r="T27" s="137"/>
      <c r="U27" s="137"/>
      <c r="V27" s="148"/>
      <c r="W27" s="147"/>
      <c r="X27" s="138"/>
      <c r="Y27" s="138"/>
      <c r="Z27" s="137"/>
    </row>
    <row r="28" spans="1:26">
      <c r="A28" s="70">
        <v>27</v>
      </c>
      <c r="B28" s="70">
        <f>MATCH(A28,Bowling!$CS$5:$CS$32,0)</f>
        <v>25</v>
      </c>
      <c r="C28" s="70" t="str">
        <f ca="1">OFFSET(Bowling!$B$4,BowlAves!B28,0)</f>
        <v>Springer T</v>
      </c>
      <c r="D28" s="135">
        <f t="array" aca="1" ref="D28:K28" ca="1">OFFSET(Bowling!$CG$4,BowlAves!B28,0,1,8)</f>
        <v>0</v>
      </c>
      <c r="E28" s="74">
        <f ca="1"/>
        <v>0</v>
      </c>
      <c r="F28" s="74">
        <f ca="1"/>
        <v>0</v>
      </c>
      <c r="G28" s="74">
        <f ca="1"/>
        <v>0</v>
      </c>
      <c r="H28" s="79" t="str">
        <f ca="1"/>
        <v/>
      </c>
      <c r="I28" s="136" t="str">
        <f ca="1"/>
        <v/>
      </c>
      <c r="J28" s="136" t="str">
        <f ca="1"/>
        <v/>
      </c>
      <c r="K28" s="137" t="str">
        <f ca="1"/>
        <v/>
      </c>
      <c r="L28" s="137">
        <f t="shared" ca="1" si="0"/>
        <v>1027</v>
      </c>
      <c r="M28" s="137">
        <f t="shared" ca="1" si="1"/>
        <v>27</v>
      </c>
      <c r="N28" s="70" t="str">
        <f t="shared" ca="1" si="2"/>
        <v>Springer T 0-0-0-0,</v>
      </c>
      <c r="Q28" s="137"/>
      <c r="R28" s="137"/>
      <c r="S28" s="153"/>
      <c r="T28" s="137"/>
      <c r="U28" s="137"/>
      <c r="V28" s="148"/>
      <c r="W28" s="147"/>
      <c r="X28" s="138"/>
      <c r="Y28" s="138"/>
      <c r="Z28" s="137"/>
    </row>
    <row r="29" spans="1:26">
      <c r="A29" s="70">
        <v>28</v>
      </c>
      <c r="B29" s="70">
        <f>MATCH(A29,Bowling!$CS$5:$CS$32,0)</f>
        <v>27</v>
      </c>
      <c r="C29" s="70" t="str">
        <f ca="1">OFFSET(Bowling!$B$4,BowlAves!B29,0)</f>
        <v>Woodhouse M</v>
      </c>
      <c r="D29" s="135">
        <f t="array" aca="1" ref="D29:K29" ca="1">OFFSET(Bowling!$CG$4,BowlAves!B29,0,1,8)</f>
        <v>0</v>
      </c>
      <c r="E29" s="74">
        <f ca="1"/>
        <v>0</v>
      </c>
      <c r="F29" s="74">
        <f ca="1"/>
        <v>0</v>
      </c>
      <c r="G29" s="74">
        <f ca="1"/>
        <v>0</v>
      </c>
      <c r="H29" s="79" t="str">
        <f ca="1"/>
        <v/>
      </c>
      <c r="I29" s="136" t="str">
        <f ca="1"/>
        <v/>
      </c>
      <c r="J29" s="136" t="str">
        <f ca="1"/>
        <v/>
      </c>
      <c r="K29" s="137" t="str">
        <f ca="1"/>
        <v/>
      </c>
      <c r="L29" s="137">
        <f t="shared" ca="1" si="0"/>
        <v>1028</v>
      </c>
      <c r="M29" s="137">
        <f t="shared" ca="1" si="1"/>
        <v>28</v>
      </c>
      <c r="N29" s="70" t="str">
        <f t="shared" ca="1" si="2"/>
        <v>Woodhouse M 0-0-0-0,</v>
      </c>
      <c r="Q29" s="137"/>
      <c r="R29" s="137"/>
      <c r="S29" s="153"/>
      <c r="T29" s="137"/>
      <c r="U29" s="137"/>
      <c r="V29" s="148"/>
      <c r="W29" s="147"/>
      <c r="X29" s="138"/>
      <c r="Y29" s="138"/>
      <c r="Z29" s="137"/>
    </row>
    <row r="30" spans="1:26">
      <c r="A30" s="70">
        <v>29</v>
      </c>
      <c r="B30" s="70" t="e">
        <f>MATCH(A30,Bowling!$CS$5:$CS$32,0)</f>
        <v>#N/A</v>
      </c>
      <c r="C30" s="70" t="e">
        <f ca="1">OFFSET(Bowling!$B$4,BowlAves!B30,0)</f>
        <v>#N/A</v>
      </c>
      <c r="D30" s="135" t="e">
        <f t="array" aca="1" ref="D30:K30" ca="1">OFFSET(Bowling!$CG$4,BowlAves!B30,0,1,8)</f>
        <v>#N/A</v>
      </c>
      <c r="E30" s="74" t="e">
        <f ca="1"/>
        <v>#N/A</v>
      </c>
      <c r="F30" s="74" t="e">
        <f ca="1"/>
        <v>#N/A</v>
      </c>
      <c r="G30" s="74" t="e">
        <f ca="1"/>
        <v>#N/A</v>
      </c>
      <c r="H30" s="79" t="e">
        <f ca="1"/>
        <v>#N/A</v>
      </c>
      <c r="I30" s="136" t="e">
        <f ca="1"/>
        <v>#N/A</v>
      </c>
      <c r="J30" s="136" t="e">
        <f ca="1"/>
        <v>#N/A</v>
      </c>
      <c r="K30" s="137" t="e">
        <f ca="1"/>
        <v>#N/A</v>
      </c>
      <c r="L30" s="137" t="e">
        <f t="shared" ca="1" si="0"/>
        <v>#N/A</v>
      </c>
      <c r="M30" s="137" t="e">
        <f t="shared" ca="1" si="1"/>
        <v>#N/A</v>
      </c>
      <c r="N30" s="70" t="e">
        <f t="shared" ca="1" si="2"/>
        <v>#N/A</v>
      </c>
    </row>
    <row r="31" spans="1:26">
      <c r="A31" s="70">
        <v>30</v>
      </c>
      <c r="B31" s="70" t="e">
        <f>MATCH(A31,Bowling!$CS$5:$CS$32,0)</f>
        <v>#N/A</v>
      </c>
      <c r="C31" s="70" t="e">
        <f ca="1">OFFSET(Bowling!$B$4,BowlAves!B31,0)</f>
        <v>#N/A</v>
      </c>
      <c r="D31" s="135" t="e">
        <f t="array" aca="1" ref="D31:K31" ca="1">OFFSET(Bowling!$CG$4,BowlAves!B31,0,1,8)</f>
        <v>#N/A</v>
      </c>
      <c r="E31" s="74" t="e">
        <f ca="1"/>
        <v>#N/A</v>
      </c>
      <c r="F31" s="74" t="e">
        <f ca="1"/>
        <v>#N/A</v>
      </c>
      <c r="G31" s="74" t="e">
        <f ca="1"/>
        <v>#N/A</v>
      </c>
      <c r="H31" s="79" t="e">
        <f ca="1"/>
        <v>#N/A</v>
      </c>
      <c r="I31" s="136" t="e">
        <f ca="1"/>
        <v>#N/A</v>
      </c>
      <c r="J31" s="136" t="e">
        <f ca="1"/>
        <v>#N/A</v>
      </c>
      <c r="K31" s="137" t="e">
        <f ca="1"/>
        <v>#N/A</v>
      </c>
      <c r="L31" s="137" t="e">
        <f t="shared" ca="1" si="0"/>
        <v>#N/A</v>
      </c>
      <c r="M31" s="137" t="e">
        <f t="shared" ca="1" si="1"/>
        <v>#N/A</v>
      </c>
      <c r="N31" s="70" t="e">
        <f t="shared" ca="1" si="2"/>
        <v>#N/A</v>
      </c>
    </row>
    <row r="32" spans="1:26">
      <c r="A32" s="70">
        <v>31</v>
      </c>
      <c r="B32" s="70" t="e">
        <f>MATCH(A32,Bowling!$CS$5:$CS$32,0)</f>
        <v>#N/A</v>
      </c>
      <c r="C32" s="70" t="e">
        <f ca="1">OFFSET(Bowling!$B$4,BowlAves!B32,0)</f>
        <v>#N/A</v>
      </c>
      <c r="D32" s="135" t="e">
        <f t="array" aca="1" ref="D32:K32" ca="1">OFFSET(Bowling!$CG$4,BowlAves!B32,0,1,8)</f>
        <v>#N/A</v>
      </c>
      <c r="E32" s="74" t="e">
        <f ca="1"/>
        <v>#N/A</v>
      </c>
      <c r="F32" s="74" t="e">
        <f ca="1"/>
        <v>#N/A</v>
      </c>
      <c r="G32" s="74" t="e">
        <f ca="1"/>
        <v>#N/A</v>
      </c>
      <c r="H32" s="79" t="e">
        <f ca="1"/>
        <v>#N/A</v>
      </c>
      <c r="I32" s="136" t="e">
        <f ca="1"/>
        <v>#N/A</v>
      </c>
      <c r="J32" s="136" t="e">
        <f ca="1"/>
        <v>#N/A</v>
      </c>
      <c r="K32" s="137" t="e">
        <f ca="1"/>
        <v>#N/A</v>
      </c>
      <c r="L32" s="137" t="e">
        <f t="shared" ca="1" si="0"/>
        <v>#N/A</v>
      </c>
      <c r="M32" s="137" t="e">
        <f t="shared" ca="1" si="1"/>
        <v>#N/A</v>
      </c>
      <c r="N32" s="70" t="e">
        <f t="shared" ca="1" si="2"/>
        <v>#N/A</v>
      </c>
    </row>
    <row r="33" spans="1:18">
      <c r="A33" s="70">
        <v>32</v>
      </c>
      <c r="B33" s="70" t="e">
        <f>MATCH(A33,Bowling!$CS$5:$CS$32,0)</f>
        <v>#N/A</v>
      </c>
      <c r="C33" s="70" t="e">
        <f ca="1">OFFSET(Bowling!$B$4,BowlAves!B33,0)</f>
        <v>#N/A</v>
      </c>
      <c r="D33" s="135" t="e">
        <f t="array" aca="1" ref="D33:K33" ca="1">OFFSET(Bowling!$CG$4,BowlAves!B33,0,1,8)</f>
        <v>#N/A</v>
      </c>
      <c r="E33" s="74" t="e">
        <f ca="1"/>
        <v>#N/A</v>
      </c>
      <c r="F33" s="74" t="e">
        <f ca="1"/>
        <v>#N/A</v>
      </c>
      <c r="G33" s="74" t="e">
        <f ca="1"/>
        <v>#N/A</v>
      </c>
      <c r="H33" s="79" t="e">
        <f ca="1"/>
        <v>#N/A</v>
      </c>
      <c r="I33" s="136" t="e">
        <f ca="1"/>
        <v>#N/A</v>
      </c>
      <c r="J33" s="136" t="e">
        <f ca="1"/>
        <v>#N/A</v>
      </c>
      <c r="K33" s="137" t="e">
        <f ca="1"/>
        <v>#N/A</v>
      </c>
      <c r="L33" s="137" t="e">
        <f t="shared" ca="1" si="0"/>
        <v>#N/A</v>
      </c>
      <c r="M33" s="137" t="e">
        <f t="shared" ca="1" si="1"/>
        <v>#N/A</v>
      </c>
      <c r="N33" s="70" t="e">
        <f t="shared" ca="1" si="2"/>
        <v>#N/A</v>
      </c>
    </row>
    <row r="34" spans="1:18">
      <c r="A34" s="70">
        <v>33</v>
      </c>
      <c r="B34" s="70" t="e">
        <f>MATCH(A34,Bowling!$CS$5:$CS$32,0)</f>
        <v>#N/A</v>
      </c>
      <c r="C34" s="70" t="e">
        <f ca="1">OFFSET(Bowling!$B$4,BowlAves!B34,0)</f>
        <v>#N/A</v>
      </c>
      <c r="D34" s="135" t="e">
        <f t="array" aca="1" ref="D34:K34" ca="1">OFFSET(Bowling!$CG$4,BowlAves!B34,0,1,8)</f>
        <v>#N/A</v>
      </c>
      <c r="E34" s="74" t="e">
        <f ca="1"/>
        <v>#N/A</v>
      </c>
      <c r="F34" s="74" t="e">
        <f ca="1"/>
        <v>#N/A</v>
      </c>
      <c r="G34" s="74" t="e">
        <f ca="1"/>
        <v>#N/A</v>
      </c>
      <c r="H34" s="79" t="e">
        <f ca="1"/>
        <v>#N/A</v>
      </c>
      <c r="I34" s="136" t="e">
        <f ca="1"/>
        <v>#N/A</v>
      </c>
      <c r="J34" s="136" t="e">
        <f ca="1"/>
        <v>#N/A</v>
      </c>
      <c r="K34" s="137" t="e">
        <f ca="1"/>
        <v>#N/A</v>
      </c>
      <c r="L34" s="137" t="e">
        <f t="shared" ca="1" si="0"/>
        <v>#N/A</v>
      </c>
      <c r="M34" s="137" t="e">
        <f t="shared" ca="1" si="1"/>
        <v>#N/A</v>
      </c>
      <c r="N34" s="70" t="e">
        <f t="shared" ca="1" si="2"/>
        <v>#N/A</v>
      </c>
    </row>
    <row r="35" spans="1:18">
      <c r="A35" s="70">
        <v>34</v>
      </c>
      <c r="B35" s="70" t="e">
        <f>MATCH(A35,Bowling!$CS$5:$CS$32,0)</f>
        <v>#N/A</v>
      </c>
      <c r="C35" s="70" t="e">
        <f ca="1">OFFSET(Bowling!$B$4,BowlAves!B35,0)</f>
        <v>#N/A</v>
      </c>
      <c r="D35" s="135" t="e">
        <f t="array" aca="1" ref="D35:K35" ca="1">OFFSET(Bowling!$CG$4,BowlAves!B35,0,1,8)</f>
        <v>#N/A</v>
      </c>
      <c r="E35" s="74" t="e">
        <f ca="1"/>
        <v>#N/A</v>
      </c>
      <c r="F35" s="74" t="e">
        <f ca="1"/>
        <v>#N/A</v>
      </c>
      <c r="G35" s="74" t="e">
        <f ca="1"/>
        <v>#N/A</v>
      </c>
      <c r="H35" s="79" t="e">
        <f ca="1"/>
        <v>#N/A</v>
      </c>
      <c r="I35" s="136" t="e">
        <f ca="1"/>
        <v>#N/A</v>
      </c>
      <c r="J35" s="136" t="e">
        <f ca="1"/>
        <v>#N/A</v>
      </c>
      <c r="K35" s="137" t="e">
        <f ca="1"/>
        <v>#N/A</v>
      </c>
      <c r="L35" s="137" t="e">
        <f t="shared" ca="1" si="0"/>
        <v>#N/A</v>
      </c>
      <c r="M35" s="137" t="e">
        <f t="shared" ca="1" si="1"/>
        <v>#N/A</v>
      </c>
      <c r="N35" s="70" t="e">
        <f t="shared" ca="1" si="2"/>
        <v>#N/A</v>
      </c>
      <c r="R35" s="70" t="s">
        <v>225</v>
      </c>
    </row>
    <row r="36" spans="1:18">
      <c r="A36" s="70">
        <v>35</v>
      </c>
      <c r="B36" s="70" t="e">
        <f>MATCH(A36,Bowling!$CS$5:$CS$32,0)</f>
        <v>#N/A</v>
      </c>
      <c r="C36" s="70" t="e">
        <f ca="1">OFFSET(Bowling!$B$4,BowlAves!B36,0)</f>
        <v>#N/A</v>
      </c>
      <c r="D36" s="135" t="e">
        <f t="array" aca="1" ref="D36:K36" ca="1">OFFSET(Bowling!$CG$4,BowlAves!B36,0,1,8)</f>
        <v>#N/A</v>
      </c>
      <c r="E36" s="74" t="e">
        <f ca="1"/>
        <v>#N/A</v>
      </c>
      <c r="F36" s="74" t="e">
        <f ca="1"/>
        <v>#N/A</v>
      </c>
      <c r="G36" s="74" t="e">
        <f ca="1"/>
        <v>#N/A</v>
      </c>
      <c r="H36" s="79" t="e">
        <f ca="1"/>
        <v>#N/A</v>
      </c>
      <c r="I36" s="136" t="e">
        <f ca="1"/>
        <v>#N/A</v>
      </c>
      <c r="J36" s="136" t="e">
        <f ca="1"/>
        <v>#N/A</v>
      </c>
      <c r="K36" s="137" t="e">
        <f ca="1"/>
        <v>#N/A</v>
      </c>
      <c r="L36" s="137" t="e">
        <f t="shared" ca="1" si="0"/>
        <v>#N/A</v>
      </c>
      <c r="M36" s="137" t="e">
        <f t="shared" ca="1" si="1"/>
        <v>#N/A</v>
      </c>
      <c r="N36" s="70" t="e">
        <f t="shared" ca="1" si="2"/>
        <v>#N/A</v>
      </c>
      <c r="R36" s="70" t="s">
        <v>225</v>
      </c>
    </row>
    <row r="37" spans="1:18">
      <c r="A37" s="70">
        <v>36</v>
      </c>
      <c r="B37" s="70" t="e">
        <f>MATCH(A37,Bowling!$CS$5:$CS$32,0)</f>
        <v>#N/A</v>
      </c>
      <c r="C37" s="70" t="e">
        <f ca="1">OFFSET(Bowling!$B$4,BowlAves!B37,0)</f>
        <v>#N/A</v>
      </c>
      <c r="D37" s="135" t="e">
        <f t="array" aca="1" ref="D37:K37" ca="1">OFFSET(Bowling!$CG$4,BowlAves!B37,0,1,8)</f>
        <v>#N/A</v>
      </c>
      <c r="E37" s="74" t="e">
        <f ca="1"/>
        <v>#N/A</v>
      </c>
      <c r="F37" s="74" t="e">
        <f ca="1"/>
        <v>#N/A</v>
      </c>
      <c r="G37" s="74" t="e">
        <f ca="1"/>
        <v>#N/A</v>
      </c>
      <c r="H37" s="79" t="e">
        <f ca="1"/>
        <v>#N/A</v>
      </c>
      <c r="I37" s="136" t="e">
        <f ca="1"/>
        <v>#N/A</v>
      </c>
      <c r="J37" s="136" t="e">
        <f ca="1"/>
        <v>#N/A</v>
      </c>
      <c r="K37" s="137" t="e">
        <f ca="1"/>
        <v>#N/A</v>
      </c>
      <c r="L37" s="137" t="e">
        <f t="shared" ca="1" si="0"/>
        <v>#N/A</v>
      </c>
      <c r="M37" s="137" t="e">
        <f t="shared" ca="1" si="1"/>
        <v>#N/A</v>
      </c>
      <c r="N37" s="70" t="e">
        <f t="shared" ca="1" si="2"/>
        <v>#N/A</v>
      </c>
      <c r="R37" s="70" t="s">
        <v>225</v>
      </c>
    </row>
    <row r="38" spans="1:18">
      <c r="A38" s="70">
        <v>37</v>
      </c>
      <c r="B38" s="70" t="e">
        <f>MATCH(A38,Bowling!$CS$5:$CS$32,0)</f>
        <v>#N/A</v>
      </c>
      <c r="C38" s="70" t="e">
        <f ca="1">OFFSET(Bowling!$B$4,BowlAves!B38,0)</f>
        <v>#N/A</v>
      </c>
      <c r="D38" s="135" t="e">
        <f t="array" aca="1" ref="D38:K38" ca="1">OFFSET(Bowling!$CG$4,BowlAves!B38,0,1,8)</f>
        <v>#N/A</v>
      </c>
      <c r="E38" s="74" t="e">
        <f ca="1"/>
        <v>#N/A</v>
      </c>
      <c r="F38" s="74" t="e">
        <f ca="1"/>
        <v>#N/A</v>
      </c>
      <c r="G38" s="74" t="e">
        <f ca="1"/>
        <v>#N/A</v>
      </c>
      <c r="H38" s="79" t="e">
        <f ca="1"/>
        <v>#N/A</v>
      </c>
      <c r="I38" s="136" t="e">
        <f ca="1"/>
        <v>#N/A</v>
      </c>
      <c r="J38" s="136" t="e">
        <f ca="1"/>
        <v>#N/A</v>
      </c>
      <c r="K38" s="137" t="e">
        <f ca="1"/>
        <v>#N/A</v>
      </c>
      <c r="L38" s="137" t="e">
        <f t="shared" ca="1" si="0"/>
        <v>#N/A</v>
      </c>
      <c r="M38" s="137" t="e">
        <f t="shared" ca="1" si="1"/>
        <v>#N/A</v>
      </c>
      <c r="N38" s="70" t="e">
        <f t="shared" ca="1" si="2"/>
        <v>#N/A</v>
      </c>
      <c r="R38" s="70" t="s">
        <v>225</v>
      </c>
    </row>
    <row r="39" spans="1:18">
      <c r="A39" s="70">
        <v>38</v>
      </c>
      <c r="B39" s="70" t="e">
        <f>MATCH(A39,Bowling!$CS$5:$CS$32,0)</f>
        <v>#N/A</v>
      </c>
      <c r="C39" s="70" t="e">
        <f ca="1">OFFSET(Bowling!$B$4,BowlAves!B39,0)</f>
        <v>#N/A</v>
      </c>
      <c r="D39" s="135" t="e">
        <f t="array" aca="1" ref="D39:K39" ca="1">OFFSET(Bowling!$CG$4,BowlAves!B39,0,1,8)</f>
        <v>#N/A</v>
      </c>
      <c r="E39" s="74" t="e">
        <f ca="1"/>
        <v>#N/A</v>
      </c>
      <c r="F39" s="74" t="e">
        <f ca="1"/>
        <v>#N/A</v>
      </c>
      <c r="G39" s="74" t="e">
        <f ca="1"/>
        <v>#N/A</v>
      </c>
      <c r="H39" s="79" t="e">
        <f ca="1"/>
        <v>#N/A</v>
      </c>
      <c r="I39" s="136" t="e">
        <f ca="1"/>
        <v>#N/A</v>
      </c>
      <c r="J39" s="136" t="e">
        <f ca="1"/>
        <v>#N/A</v>
      </c>
      <c r="K39" s="137" t="e">
        <f ca="1"/>
        <v>#N/A</v>
      </c>
      <c r="L39" s="137" t="e">
        <f t="shared" ca="1" si="0"/>
        <v>#N/A</v>
      </c>
      <c r="M39" s="137" t="e">
        <f t="shared" ca="1" si="1"/>
        <v>#N/A</v>
      </c>
      <c r="N39" s="70" t="e">
        <f t="shared" ca="1" si="2"/>
        <v>#N/A</v>
      </c>
      <c r="R39" s="70" t="s">
        <v>614</v>
      </c>
    </row>
    <row r="40" spans="1:18">
      <c r="A40" s="70">
        <v>39</v>
      </c>
      <c r="B40" s="70" t="e">
        <f>MATCH(A40,Bowling!$CS$5:$CS$32,0)</f>
        <v>#N/A</v>
      </c>
      <c r="C40" s="70" t="e">
        <f ca="1">OFFSET(Bowling!$B$4,BowlAves!B40,0)</f>
        <v>#N/A</v>
      </c>
      <c r="D40" s="135" t="e">
        <f t="array" aca="1" ref="D40:K40" ca="1">OFFSET(Bowling!$CG$4,BowlAves!B40,0,1,8)</f>
        <v>#N/A</v>
      </c>
      <c r="E40" s="74" t="e">
        <f ca="1"/>
        <v>#N/A</v>
      </c>
      <c r="F40" s="74" t="e">
        <f ca="1"/>
        <v>#N/A</v>
      </c>
      <c r="G40" s="74" t="e">
        <f ca="1"/>
        <v>#N/A</v>
      </c>
      <c r="H40" s="79" t="e">
        <f ca="1"/>
        <v>#N/A</v>
      </c>
      <c r="I40" s="136" t="e">
        <f ca="1"/>
        <v>#N/A</v>
      </c>
      <c r="J40" s="136" t="e">
        <f ca="1"/>
        <v>#N/A</v>
      </c>
      <c r="K40" s="137" t="e">
        <f ca="1"/>
        <v>#N/A</v>
      </c>
      <c r="L40" s="137" t="e">
        <f t="shared" ca="1" si="0"/>
        <v>#N/A</v>
      </c>
      <c r="M40" s="137" t="e">
        <f t="shared" ca="1" si="1"/>
        <v>#N/A</v>
      </c>
      <c r="N40" s="70" t="e">
        <f t="shared" ca="1" si="2"/>
        <v>#N/A</v>
      </c>
      <c r="R40" s="70" t="s">
        <v>609</v>
      </c>
    </row>
    <row r="41" spans="1:18">
      <c r="A41" s="70">
        <v>40</v>
      </c>
      <c r="B41" s="70" t="e">
        <f>MATCH(A41,Bowling!$CS$5:$CS$32,0)</f>
        <v>#N/A</v>
      </c>
      <c r="C41" s="70" t="e">
        <f ca="1">OFFSET(Bowling!$B$4,BowlAves!B41,0)</f>
        <v>#N/A</v>
      </c>
      <c r="D41" s="135" t="e">
        <f t="array" aca="1" ref="D41:K41" ca="1">OFFSET(Bowling!$CG$4,BowlAves!B41,0,1,8)</f>
        <v>#N/A</v>
      </c>
      <c r="E41" s="74" t="e">
        <f ca="1"/>
        <v>#N/A</v>
      </c>
      <c r="F41" s="74" t="e">
        <f ca="1"/>
        <v>#N/A</v>
      </c>
      <c r="G41" s="74" t="e">
        <f ca="1"/>
        <v>#N/A</v>
      </c>
      <c r="H41" s="79" t="e">
        <f ca="1"/>
        <v>#N/A</v>
      </c>
      <c r="I41" s="136" t="e">
        <f ca="1"/>
        <v>#N/A</v>
      </c>
      <c r="J41" s="136" t="e">
        <f ca="1"/>
        <v>#N/A</v>
      </c>
      <c r="K41" s="137" t="e">
        <f ca="1"/>
        <v>#N/A</v>
      </c>
      <c r="L41" s="137" t="e">
        <f t="shared" ca="1" si="0"/>
        <v>#N/A</v>
      </c>
      <c r="M41" s="137" t="e">
        <f t="shared" ca="1" si="1"/>
        <v>#N/A</v>
      </c>
      <c r="N41" s="70" t="e">
        <f t="shared" ca="1" si="2"/>
        <v>#N/A</v>
      </c>
      <c r="R41" s="70" t="s">
        <v>607</v>
      </c>
    </row>
    <row r="42" spans="1:18">
      <c r="A42" s="70">
        <v>41</v>
      </c>
      <c r="B42" s="70" t="e">
        <f>MATCH(A42,Bowling!$CS$5:$CS$32,0)</f>
        <v>#N/A</v>
      </c>
      <c r="C42" s="70" t="e">
        <f ca="1">OFFSET(Bowling!$B$4,BowlAves!B42,0)</f>
        <v>#N/A</v>
      </c>
      <c r="D42" s="135" t="e">
        <f t="array" aca="1" ref="D42:K42" ca="1">OFFSET(Bowling!$CG$4,BowlAves!B42,0,1,8)</f>
        <v>#N/A</v>
      </c>
      <c r="E42" s="74" t="e">
        <f ca="1"/>
        <v>#N/A</v>
      </c>
      <c r="F42" s="74" t="e">
        <f ca="1"/>
        <v>#N/A</v>
      </c>
      <c r="G42" s="74" t="e">
        <f ca="1"/>
        <v>#N/A</v>
      </c>
      <c r="H42" s="79" t="e">
        <f ca="1"/>
        <v>#N/A</v>
      </c>
      <c r="I42" s="136" t="e">
        <f ca="1"/>
        <v>#N/A</v>
      </c>
      <c r="J42" s="136" t="e">
        <f ca="1"/>
        <v>#N/A</v>
      </c>
      <c r="K42" s="137" t="e">
        <f ca="1"/>
        <v>#N/A</v>
      </c>
      <c r="L42" s="137" t="e">
        <f t="shared" ca="1" si="0"/>
        <v>#N/A</v>
      </c>
      <c r="M42" s="137" t="e">
        <f t="shared" ca="1" si="1"/>
        <v>#N/A</v>
      </c>
      <c r="N42" s="70" t="e">
        <f t="shared" ca="1" si="2"/>
        <v>#N/A</v>
      </c>
      <c r="R42" s="70" t="s">
        <v>604</v>
      </c>
    </row>
    <row r="43" spans="1:18">
      <c r="A43" s="70">
        <v>42</v>
      </c>
      <c r="B43" s="70" t="e">
        <f>MATCH(A43,Bowling!$CS$5:$CS$32,0)</f>
        <v>#N/A</v>
      </c>
      <c r="C43" s="70" t="e">
        <f ca="1">OFFSET(Bowling!$B$4,BowlAves!B43,0)</f>
        <v>#N/A</v>
      </c>
      <c r="D43" s="135" t="e">
        <f t="array" aca="1" ref="D43:K43" ca="1">OFFSET(Bowling!$CG$4,BowlAves!B43,0,1,8)</f>
        <v>#N/A</v>
      </c>
      <c r="E43" s="74" t="e">
        <f ca="1"/>
        <v>#N/A</v>
      </c>
      <c r="F43" s="74" t="e">
        <f ca="1"/>
        <v>#N/A</v>
      </c>
      <c r="G43" s="74" t="e">
        <f ca="1"/>
        <v>#N/A</v>
      </c>
      <c r="H43" s="79" t="e">
        <f ca="1"/>
        <v>#N/A</v>
      </c>
      <c r="I43" s="136" t="e">
        <f ca="1"/>
        <v>#N/A</v>
      </c>
      <c r="J43" s="136" t="e">
        <f ca="1"/>
        <v>#N/A</v>
      </c>
      <c r="K43" s="137" t="e">
        <f ca="1"/>
        <v>#N/A</v>
      </c>
      <c r="L43" s="137" t="e">
        <f t="shared" ca="1" si="0"/>
        <v>#N/A</v>
      </c>
      <c r="M43" s="137" t="e">
        <f t="shared" ca="1" si="1"/>
        <v>#N/A</v>
      </c>
      <c r="N43" s="70" t="e">
        <f t="shared" ca="1" si="2"/>
        <v>#N/A</v>
      </c>
      <c r="R43" s="70" t="s">
        <v>601</v>
      </c>
    </row>
    <row r="44" spans="1:18">
      <c r="A44" s="70">
        <v>43</v>
      </c>
      <c r="B44" s="70" t="e">
        <f>MATCH(A44,Bowling!$CS$5:$CS$32,0)</f>
        <v>#N/A</v>
      </c>
      <c r="C44" s="70" t="e">
        <f ca="1">OFFSET(Bowling!$B$4,BowlAves!B44,0)</f>
        <v>#N/A</v>
      </c>
      <c r="D44" s="135" t="e">
        <f t="array" aca="1" ref="D44:K44" ca="1">OFFSET(Bowling!$CG$4,BowlAves!B44,0,1,8)</f>
        <v>#N/A</v>
      </c>
      <c r="E44" s="74" t="e">
        <f ca="1"/>
        <v>#N/A</v>
      </c>
      <c r="F44" s="74" t="e">
        <f ca="1"/>
        <v>#N/A</v>
      </c>
      <c r="G44" s="74" t="e">
        <f ca="1"/>
        <v>#N/A</v>
      </c>
      <c r="H44" s="79" t="e">
        <f ca="1"/>
        <v>#N/A</v>
      </c>
      <c r="I44" s="136" t="e">
        <f ca="1"/>
        <v>#N/A</v>
      </c>
      <c r="J44" s="136" t="e">
        <f ca="1"/>
        <v>#N/A</v>
      </c>
      <c r="K44" s="137" t="e">
        <f ca="1"/>
        <v>#N/A</v>
      </c>
      <c r="L44" s="137" t="e">
        <f t="shared" ca="1" si="0"/>
        <v>#N/A</v>
      </c>
      <c r="M44" s="137" t="e">
        <f t="shared" ca="1" si="1"/>
        <v>#N/A</v>
      </c>
      <c r="N44" s="70" t="e">
        <f t="shared" ca="1" si="2"/>
        <v>#N/A</v>
      </c>
      <c r="R44" s="70" t="s">
        <v>603</v>
      </c>
    </row>
    <row r="45" spans="1:18">
      <c r="A45" s="70">
        <v>44</v>
      </c>
      <c r="B45" s="70" t="e">
        <f>MATCH(A45,Bowling!$CS$5:$CS$32,0)</f>
        <v>#N/A</v>
      </c>
      <c r="C45" s="70" t="e">
        <f ca="1">OFFSET(Bowling!$B$4,BowlAves!B45,0)</f>
        <v>#N/A</v>
      </c>
      <c r="D45" s="135" t="e">
        <f t="array" aca="1" ref="D45:K45" ca="1">OFFSET(Bowling!$CG$4,BowlAves!B45,0,1,8)</f>
        <v>#N/A</v>
      </c>
      <c r="E45" s="74" t="e">
        <f ca="1"/>
        <v>#N/A</v>
      </c>
      <c r="F45" s="74" t="e">
        <f ca="1"/>
        <v>#N/A</v>
      </c>
      <c r="G45" s="74" t="e">
        <f ca="1"/>
        <v>#N/A</v>
      </c>
      <c r="H45" s="79" t="e">
        <f ca="1"/>
        <v>#N/A</v>
      </c>
      <c r="I45" s="136" t="e">
        <f ca="1"/>
        <v>#N/A</v>
      </c>
      <c r="J45" s="136" t="e">
        <f ca="1"/>
        <v>#N/A</v>
      </c>
      <c r="K45" s="137" t="e">
        <f ca="1"/>
        <v>#N/A</v>
      </c>
      <c r="L45" s="137" t="e">
        <f t="shared" ca="1" si="0"/>
        <v>#N/A</v>
      </c>
      <c r="M45" s="137" t="e">
        <f t="shared" ca="1" si="1"/>
        <v>#N/A</v>
      </c>
      <c r="N45" s="70" t="e">
        <f t="shared" ca="1" si="2"/>
        <v>#N/A</v>
      </c>
      <c r="R45" s="70" t="s">
        <v>596</v>
      </c>
    </row>
    <row r="46" spans="1:18">
      <c r="A46" s="70">
        <v>45</v>
      </c>
      <c r="B46" s="70" t="e">
        <f>MATCH(A46,Bowling!$CS$5:$CS$32,0)</f>
        <v>#N/A</v>
      </c>
      <c r="C46" s="70" t="e">
        <f ca="1">OFFSET(Bowling!$B$4,BowlAves!B46,0)</f>
        <v>#N/A</v>
      </c>
      <c r="D46" s="135" t="e">
        <f t="array" aca="1" ref="D46:K46" ca="1">OFFSET(Bowling!$CG$4,BowlAves!B46,0,1,8)</f>
        <v>#N/A</v>
      </c>
      <c r="E46" s="74" t="e">
        <f ca="1"/>
        <v>#N/A</v>
      </c>
      <c r="F46" s="74" t="e">
        <f ca="1"/>
        <v>#N/A</v>
      </c>
      <c r="G46" s="74" t="e">
        <f ca="1"/>
        <v>#N/A</v>
      </c>
      <c r="H46" s="79" t="e">
        <f ca="1"/>
        <v>#N/A</v>
      </c>
      <c r="I46" s="136" t="e">
        <f ca="1"/>
        <v>#N/A</v>
      </c>
      <c r="J46" s="136" t="e">
        <f ca="1"/>
        <v>#N/A</v>
      </c>
      <c r="K46" s="137" t="e">
        <f ca="1"/>
        <v>#N/A</v>
      </c>
      <c r="L46" s="137" t="e">
        <f t="shared" ca="1" si="0"/>
        <v>#N/A</v>
      </c>
      <c r="M46" s="137" t="e">
        <f t="shared" ca="1" si="1"/>
        <v>#N/A</v>
      </c>
      <c r="N46" s="70" t="e">
        <f t="shared" ca="1" si="2"/>
        <v>#N/A</v>
      </c>
      <c r="R46" s="70" t="s">
        <v>606</v>
      </c>
    </row>
    <row r="47" spans="1:18">
      <c r="A47" s="70">
        <v>46</v>
      </c>
      <c r="B47" s="70" t="e">
        <f>MATCH(A47,Bowling!$CS$5:$CS$32,0)</f>
        <v>#N/A</v>
      </c>
      <c r="C47" s="70" t="e">
        <f ca="1">OFFSET(Bowling!$B$4,BowlAves!B47,0)</f>
        <v>#N/A</v>
      </c>
      <c r="D47" s="135" t="e">
        <f t="array" aca="1" ref="D47:K47" ca="1">OFFSET(Bowling!$CG$4,BowlAves!B47,0,1,8)</f>
        <v>#N/A</v>
      </c>
      <c r="E47" s="74" t="e">
        <f ca="1"/>
        <v>#N/A</v>
      </c>
      <c r="F47" s="74" t="e">
        <f ca="1"/>
        <v>#N/A</v>
      </c>
      <c r="G47" s="74" t="e">
        <f ca="1"/>
        <v>#N/A</v>
      </c>
      <c r="H47" s="79" t="e">
        <f ca="1"/>
        <v>#N/A</v>
      </c>
      <c r="I47" s="136" t="e">
        <f ca="1"/>
        <v>#N/A</v>
      </c>
      <c r="J47" s="136" t="e">
        <f ca="1"/>
        <v>#N/A</v>
      </c>
      <c r="K47" s="137" t="e">
        <f ca="1"/>
        <v>#N/A</v>
      </c>
      <c r="L47" s="137" t="e">
        <f t="shared" ca="1" si="0"/>
        <v>#N/A</v>
      </c>
      <c r="M47" s="137" t="e">
        <f t="shared" ca="1" si="1"/>
        <v>#N/A</v>
      </c>
      <c r="N47" s="70" t="e">
        <f t="shared" ca="1" si="2"/>
        <v>#N/A</v>
      </c>
      <c r="R47" s="70" t="s">
        <v>605</v>
      </c>
    </row>
    <row r="48" spans="1:18">
      <c r="A48" s="70">
        <v>47</v>
      </c>
      <c r="B48" s="70" t="e">
        <f>MATCH(A48,Bowling!$CS$5:$CS$32,0)</f>
        <v>#N/A</v>
      </c>
      <c r="C48" s="70" t="e">
        <f ca="1">OFFSET(Bowling!$B$4,BowlAves!B48,0)</f>
        <v>#N/A</v>
      </c>
      <c r="D48" s="135" t="e">
        <f t="array" aca="1" ref="D48:K48" ca="1">OFFSET(Bowling!$CG$4,BowlAves!B48,0,1,8)</f>
        <v>#N/A</v>
      </c>
      <c r="E48" s="74" t="e">
        <f ca="1"/>
        <v>#N/A</v>
      </c>
      <c r="F48" s="74" t="e">
        <f ca="1"/>
        <v>#N/A</v>
      </c>
      <c r="G48" s="74" t="e">
        <f ca="1"/>
        <v>#N/A</v>
      </c>
      <c r="H48" s="79" t="e">
        <f ca="1"/>
        <v>#N/A</v>
      </c>
      <c r="I48" s="136" t="e">
        <f ca="1"/>
        <v>#N/A</v>
      </c>
      <c r="J48" s="136" t="e">
        <f ca="1"/>
        <v>#N/A</v>
      </c>
      <c r="K48" s="137" t="e">
        <f ca="1"/>
        <v>#N/A</v>
      </c>
      <c r="L48" s="137" t="e">
        <f t="shared" ca="1" si="0"/>
        <v>#N/A</v>
      </c>
      <c r="M48" s="137" t="e">
        <f t="shared" ca="1" si="1"/>
        <v>#N/A</v>
      </c>
      <c r="N48" s="70" t="e">
        <f t="shared" ca="1" si="2"/>
        <v>#N/A</v>
      </c>
      <c r="R48" s="70" t="s">
        <v>600</v>
      </c>
    </row>
    <row r="49" spans="1:18">
      <c r="A49" s="70">
        <v>48</v>
      </c>
      <c r="B49" s="70" t="e">
        <f>MATCH(A49,Bowling!$CS$5:$CS$32,0)</f>
        <v>#N/A</v>
      </c>
      <c r="C49" s="70" t="e">
        <f ca="1">OFFSET(Bowling!$B$4,BowlAves!B49,0)</f>
        <v>#N/A</v>
      </c>
      <c r="D49" s="135" t="e">
        <f t="array" aca="1" ref="D49:K49" ca="1">OFFSET(Bowling!$CG$4,BowlAves!B49,0,1,8)</f>
        <v>#N/A</v>
      </c>
      <c r="E49" s="74" t="e">
        <f ca="1"/>
        <v>#N/A</v>
      </c>
      <c r="F49" s="74" t="e">
        <f ca="1"/>
        <v>#N/A</v>
      </c>
      <c r="G49" s="74" t="e">
        <f ca="1"/>
        <v>#N/A</v>
      </c>
      <c r="H49" s="79" t="e">
        <f ca="1"/>
        <v>#N/A</v>
      </c>
      <c r="I49" s="136" t="e">
        <f ca="1"/>
        <v>#N/A</v>
      </c>
      <c r="J49" s="136" t="e">
        <f ca="1"/>
        <v>#N/A</v>
      </c>
      <c r="K49" s="137" t="e">
        <f ca="1"/>
        <v>#N/A</v>
      </c>
      <c r="L49" s="137" t="e">
        <f t="shared" ca="1" si="0"/>
        <v>#N/A</v>
      </c>
      <c r="M49" s="137" t="e">
        <f t="shared" ca="1" si="1"/>
        <v>#N/A</v>
      </c>
      <c r="N49" s="70" t="e">
        <f t="shared" ca="1" si="2"/>
        <v>#N/A</v>
      </c>
      <c r="R49" s="70" t="s">
        <v>608</v>
      </c>
    </row>
    <row r="50" spans="1:18">
      <c r="A50" s="70">
        <v>49</v>
      </c>
      <c r="B50" s="70" t="e">
        <f>MATCH(A50,Bowling!$CS$5:$CS$32,0)</f>
        <v>#N/A</v>
      </c>
      <c r="C50" s="70" t="e">
        <f ca="1">OFFSET(Bowling!$B$4,BowlAves!B50,0)</f>
        <v>#N/A</v>
      </c>
      <c r="D50" s="135" t="e">
        <f t="array" aca="1" ref="D50:K50" ca="1">OFFSET(Bowling!$CG$4,BowlAves!B50,0,1,8)</f>
        <v>#N/A</v>
      </c>
      <c r="E50" s="74" t="e">
        <f ca="1"/>
        <v>#N/A</v>
      </c>
      <c r="F50" s="74" t="e">
        <f ca="1"/>
        <v>#N/A</v>
      </c>
      <c r="G50" s="74" t="e">
        <f ca="1"/>
        <v>#N/A</v>
      </c>
      <c r="H50" s="79" t="e">
        <f ca="1"/>
        <v>#N/A</v>
      </c>
      <c r="I50" s="136" t="e">
        <f ca="1"/>
        <v>#N/A</v>
      </c>
      <c r="J50" s="136" t="e">
        <f ca="1"/>
        <v>#N/A</v>
      </c>
      <c r="K50" s="137" t="e">
        <f ca="1"/>
        <v>#N/A</v>
      </c>
      <c r="L50" s="137" t="e">
        <f t="shared" ca="1" si="0"/>
        <v>#N/A</v>
      </c>
      <c r="M50" s="137" t="e">
        <f t="shared" ca="1" si="1"/>
        <v>#N/A</v>
      </c>
      <c r="N50" s="70" t="e">
        <f t="shared" ca="1" si="2"/>
        <v>#N/A</v>
      </c>
      <c r="R50" s="70" t="s">
        <v>610</v>
      </c>
    </row>
    <row r="51" spans="1:18">
      <c r="A51" s="70">
        <v>50</v>
      </c>
      <c r="B51" s="70" t="e">
        <f>MATCH(A51,Bowling!$CS$5:$CS$32,0)</f>
        <v>#N/A</v>
      </c>
      <c r="C51" s="70" t="e">
        <f ca="1">OFFSET(Bowling!$B$4,BowlAves!B51,0)</f>
        <v>#N/A</v>
      </c>
      <c r="D51" s="135" t="e">
        <f t="array" aca="1" ref="D51:K51" ca="1">OFFSET(Bowling!$CG$4,BowlAves!B51,0,1,8)</f>
        <v>#N/A</v>
      </c>
      <c r="E51" s="74" t="e">
        <f ca="1"/>
        <v>#N/A</v>
      </c>
      <c r="F51" s="74" t="e">
        <f ca="1"/>
        <v>#N/A</v>
      </c>
      <c r="G51" s="74" t="e">
        <f ca="1"/>
        <v>#N/A</v>
      </c>
      <c r="H51" s="79" t="e">
        <f ca="1"/>
        <v>#N/A</v>
      </c>
      <c r="I51" s="136" t="e">
        <f ca="1"/>
        <v>#N/A</v>
      </c>
      <c r="J51" s="136" t="e">
        <f ca="1"/>
        <v>#N/A</v>
      </c>
      <c r="K51" s="137" t="e">
        <f ca="1"/>
        <v>#N/A</v>
      </c>
      <c r="L51" s="137" t="e">
        <f t="shared" ca="1" si="0"/>
        <v>#N/A</v>
      </c>
      <c r="M51" s="137" t="e">
        <f t="shared" ca="1" si="1"/>
        <v>#N/A</v>
      </c>
      <c r="N51" s="70" t="e">
        <f t="shared" ca="1" si="2"/>
        <v>#N/A</v>
      </c>
      <c r="R51" s="70" t="s">
        <v>611</v>
      </c>
    </row>
    <row r="52" spans="1:18">
      <c r="R52" s="70" t="s">
        <v>602</v>
      </c>
    </row>
    <row r="53" spans="1:18">
      <c r="R53" s="70" t="s">
        <v>597</v>
      </c>
    </row>
    <row r="54" spans="1:18">
      <c r="R54" s="70" t="s">
        <v>598</v>
      </c>
    </row>
    <row r="55" spans="1:18">
      <c r="R55" s="70" t="s">
        <v>612</v>
      </c>
    </row>
    <row r="56" spans="1:18">
      <c r="R56" s="70" t="s">
        <v>613</v>
      </c>
    </row>
    <row r="57" spans="1:18">
      <c r="R57" s="70" t="s">
        <v>599</v>
      </c>
    </row>
  </sheetData>
  <sortState ref="R35:R57">
    <sortCondition ref="R35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O93"/>
  <sheetViews>
    <sheetView workbookViewId="0"/>
  </sheetViews>
  <sheetFormatPr defaultColWidth="11.5703125" defaultRowHeight="10.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5" customFormat="1"/>
    <row r="2" spans="1:41" s="86" customFormat="1"/>
    <row r="13" spans="1:41" s="6" customFormat="1"/>
    <row r="14" spans="1:41" s="101" customFormat="1">
      <c r="K14" s="105"/>
    </row>
    <row r="15" spans="1:41">
      <c r="A15" s="84">
        <f t="array" ref="A15">SUM(IF(ISNA(A16:A26),0,A16:A26))</f>
        <v>0</v>
      </c>
      <c r="B15" s="84" t="e">
        <f t="shared" ref="B15:O15" si="0">SUM(B16:B26)</f>
        <v>#N/A</v>
      </c>
      <c r="C15" s="84" t="e">
        <f t="shared" si="0"/>
        <v>#N/A</v>
      </c>
      <c r="D15" s="84" t="e">
        <f t="shared" si="0"/>
        <v>#N/A</v>
      </c>
      <c r="E15" s="84" t="e">
        <f t="shared" si="0"/>
        <v>#N/A</v>
      </c>
      <c r="F15" s="84" t="e">
        <f t="shared" si="0"/>
        <v>#N/A</v>
      </c>
      <c r="G15" s="84" t="e">
        <f t="shared" si="0"/>
        <v>#N/A</v>
      </c>
      <c r="H15" s="84" t="e">
        <f t="shared" si="0"/>
        <v>#N/A</v>
      </c>
      <c r="I15" s="84" t="e">
        <f t="shared" si="0"/>
        <v>#N/A</v>
      </c>
      <c r="J15" s="84" t="e">
        <f t="shared" si="0"/>
        <v>#N/A</v>
      </c>
      <c r="K15" s="84" t="e">
        <f t="shared" si="0"/>
        <v>#N/A</v>
      </c>
      <c r="L15" s="84" t="e">
        <f t="shared" si="0"/>
        <v>#N/A</v>
      </c>
      <c r="M15" s="84" t="e">
        <f t="shared" si="0"/>
        <v>#N/A</v>
      </c>
      <c r="N15" s="84" t="e">
        <f t="shared" si="0"/>
        <v>#N/A</v>
      </c>
      <c r="O15" s="84" t="e">
        <f t="shared" si="0"/>
        <v>#N/A</v>
      </c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 t="e">
        <f t="shared" ref="Z15:AG15" si="1">SUM(Z16:Z26)</f>
        <v>#N/A</v>
      </c>
      <c r="AA15" s="84" t="e">
        <f t="shared" si="1"/>
        <v>#N/A</v>
      </c>
      <c r="AB15" s="84" t="e">
        <f t="shared" si="1"/>
        <v>#N/A</v>
      </c>
      <c r="AC15" s="84" t="e">
        <f t="shared" si="1"/>
        <v>#N/A</v>
      </c>
      <c r="AD15" s="84" t="e">
        <f t="shared" si="1"/>
        <v>#N/A</v>
      </c>
      <c r="AE15" s="84" t="e">
        <f t="shared" si="1"/>
        <v>#N/A</v>
      </c>
      <c r="AF15" s="84" t="e">
        <f t="shared" si="1"/>
        <v>#N/A</v>
      </c>
      <c r="AG15" s="84" t="e">
        <f t="shared" si="1"/>
        <v>#N/A</v>
      </c>
      <c r="AH15" s="84" t="e">
        <f t="shared" ref="AH15:AO15" si="2">SUM(AH16:AH26)</f>
        <v>#N/A</v>
      </c>
      <c r="AI15" s="84" t="e">
        <f t="shared" si="2"/>
        <v>#N/A</v>
      </c>
      <c r="AJ15" s="84" t="e">
        <f t="shared" si="2"/>
        <v>#N/A</v>
      </c>
      <c r="AK15" s="84" t="e">
        <f t="shared" si="2"/>
        <v>#N/A</v>
      </c>
      <c r="AL15" s="84" t="e">
        <f t="shared" si="2"/>
        <v>#N/A</v>
      </c>
      <c r="AM15" s="84" t="e">
        <f t="shared" si="2"/>
        <v>#N/A</v>
      </c>
      <c r="AN15" s="84" t="e">
        <f t="shared" si="2"/>
        <v>#N/A</v>
      </c>
      <c r="AO15" s="84" t="e">
        <f t="shared" si="2"/>
        <v>#N/A</v>
      </c>
    </row>
    <row r="16" spans="1:41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7" customFormat="1">
      <c r="A28" s="88">
        <f>83-166</f>
        <v>-83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>
        <v>-51</v>
      </c>
      <c r="AG28" s="88"/>
      <c r="AH28" s="88"/>
      <c r="AI28" s="88"/>
      <c r="AJ28" s="88"/>
      <c r="AK28" s="88"/>
      <c r="AL28" s="88"/>
      <c r="AM28" s="88"/>
      <c r="AN28" s="88"/>
      <c r="AO28" s="88"/>
    </row>
    <row r="29" spans="1:41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>
      <c r="C44" s="91" t="s">
        <v>78</v>
      </c>
      <c r="D44" s="91" t="s">
        <v>159</v>
      </c>
      <c r="E44" s="91" t="s">
        <v>79</v>
      </c>
      <c r="F44" s="91" t="s">
        <v>80</v>
      </c>
      <c r="G44" s="89" t="s">
        <v>81</v>
      </c>
      <c r="H44" s="90">
        <f>COUNTA(1:1)</f>
        <v>0</v>
      </c>
    </row>
    <row r="45" spans="1:41">
      <c r="A45" s="70" t="s">
        <v>188</v>
      </c>
      <c r="B45" t="s">
        <v>191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>
      <c r="A46" s="70" t="s">
        <v>189</v>
      </c>
      <c r="B46" t="s">
        <v>197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106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>
      <c r="A47" s="70" t="s">
        <v>131</v>
      </c>
      <c r="B47" t="s">
        <v>180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74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>
      <c r="A48" s="70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>
      <c r="A49" s="70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>
      <c r="A50" s="70" t="s">
        <v>99</v>
      </c>
      <c r="B50" t="s">
        <v>162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253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>
      <c r="A51" s="70" t="s">
        <v>187</v>
      </c>
      <c r="B51" t="s">
        <v>192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177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>
      <c r="A52" s="70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>
      <c r="A53" s="70" t="s">
        <v>157</v>
      </c>
      <c r="B53" t="s">
        <v>174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>
      <c r="A54" s="70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>
      <c r="A55" s="70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>
      <c r="A56" s="70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232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>
      <c r="A57" s="70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>
      <c r="A58" s="70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>
      <c r="A59" s="70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437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>
      <c r="A60" s="70" t="s">
        <v>173</v>
      </c>
      <c r="B60" t="s">
        <v>193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>
      <c r="A61" s="70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>
      <c r="A62" s="70" t="s">
        <v>170</v>
      </c>
      <c r="B62" t="s">
        <v>169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>
      <c r="A63" s="70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28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>
      <c r="A64" s="70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>
      <c r="A65" s="70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11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>
      <c r="A66" s="70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>
      <c r="A67" s="70" t="s">
        <v>190</v>
      </c>
      <c r="B67" t="s">
        <v>194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>
      <c r="A68" s="70" t="s">
        <v>167</v>
      </c>
      <c r="B68" t="s">
        <v>168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>
      <c r="A69" s="70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>
      <c r="A70" s="70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>
      <c r="A71" s="70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5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>
      <c r="A72" s="70" t="s">
        <v>76</v>
      </c>
      <c r="B72" t="s">
        <v>175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>
      <c r="A73" s="70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>
      <c r="A74" s="70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68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>
      <c r="A75" s="70" t="s">
        <v>178</v>
      </c>
      <c r="B75" t="s">
        <v>195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>
      <c r="A76" s="70" t="s">
        <v>166</v>
      </c>
      <c r="B76" t="s">
        <v>176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>
      <c r="A77" s="70" t="s">
        <v>177</v>
      </c>
      <c r="B77" t="s">
        <v>196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>
      <c r="A78" s="70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>
      <c r="A79" s="70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>
      <c r="A80" s="70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>
      <c r="G89" t="s">
        <v>136</v>
      </c>
      <c r="H89">
        <f t="array" ref="H89">SUM(IF($G$45:$G$87=G89,1,0))</f>
        <v>6</v>
      </c>
    </row>
    <row r="90" spans="1:15">
      <c r="G90" t="s">
        <v>134</v>
      </c>
      <c r="H90">
        <f t="array" ref="H90">SUM(IF($G$45:$G$87=G90,1,0))</f>
        <v>14</v>
      </c>
    </row>
    <row r="91" spans="1:15">
      <c r="G91" t="s">
        <v>135</v>
      </c>
      <c r="H91">
        <f t="array" ref="H91">SUM(IF($G$45:$G$87=G91,1,0))</f>
        <v>11</v>
      </c>
    </row>
    <row r="92" spans="1:15">
      <c r="G92" t="s">
        <v>14</v>
      </c>
      <c r="H92">
        <f t="array" ref="H92">SUM(IF($G$45:$G$87=G92,1,0))</f>
        <v>5</v>
      </c>
    </row>
    <row r="93" spans="1:15">
      <c r="G93" t="s">
        <v>158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T52"/>
  <sheetViews>
    <sheetView topLeftCell="A3" workbookViewId="0"/>
  </sheetViews>
  <sheetFormatPr defaultRowHeight="11.25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>
      <c r="A1" s="5" t="s">
        <v>82</v>
      </c>
      <c r="C1" s="9">
        <v>89</v>
      </c>
    </row>
    <row r="2" spans="1:20">
      <c r="A2" s="5" t="s">
        <v>83</v>
      </c>
      <c r="C2" s="9">
        <v>91</v>
      </c>
    </row>
    <row r="4" spans="1:20" ht="22.5">
      <c r="A4" s="8"/>
      <c r="B4" s="8" t="s">
        <v>84</v>
      </c>
      <c r="C4" s="8" t="s">
        <v>85</v>
      </c>
      <c r="D4" s="8" t="s">
        <v>171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211</v>
      </c>
      <c r="M4" s="8" t="s">
        <v>91</v>
      </c>
    </row>
    <row r="5" spans="1:20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MATCH(A5,Batting!$A$5:$A$50,0)</f>
        <v>#N/A</v>
      </c>
      <c r="F5" s="9">
        <f ca="1">IF(NOT(ISNA(E5)),OFFSET(Batting!$B$4,E5,$C$1,1,1),0)</f>
        <v>0</v>
      </c>
      <c r="G5" s="9" t="e">
        <f ca="1">MATCH(A5,Bowling!$A$5:$A$36,0)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7</v>
      </c>
      <c r="O5" s="5">
        <v>1</v>
      </c>
      <c r="P5" s="5" t="str">
        <f t="shared" ref="P5:P31" ca="1" si="1">OFFSET($B$4,N5,0)</f>
        <v>Clive Edghill</v>
      </c>
      <c r="Q5" s="7">
        <f t="shared" ref="Q5:Q31" ca="1" si="2">OFFSET($K$4,N5,0)</f>
        <v>88.5</v>
      </c>
      <c r="R5" s="5">
        <f t="shared" ref="R5:R46" ca="1" si="3">OFFSET($J$4,N5,0)</f>
        <v>2</v>
      </c>
    </row>
    <row r="6" spans="1:20">
      <c r="A6" s="70" t="str">
        <f ca="1"/>
        <v>ADLE</v>
      </c>
      <c r="B6" t="str">
        <f ca="1"/>
        <v>Adam Lestrelle</v>
      </c>
      <c r="C6" s="9">
        <f t="shared" ca="1" si="0"/>
        <v>106</v>
      </c>
      <c r="D6" s="9">
        <f ca="1">IF(NOT(ISNA(E6)),5*OFFSET(Batting!$CE$4,E6,0,1,1),0)</f>
        <v>50</v>
      </c>
      <c r="E6" s="9">
        <f ca="1">MATCH(A6,Batting!$A$5:$A$50,0)</f>
        <v>19</v>
      </c>
      <c r="F6" s="9">
        <f ca="1">IF(NOT(ISNA(E6)),OFFSET(Batting!$B$4,E6,$C$1,1,1),0)</f>
        <v>43</v>
      </c>
      <c r="G6" s="9">
        <f ca="1">MATCH(A6,Bowling!$A$5:$A$36,0)</f>
        <v>16</v>
      </c>
      <c r="H6" s="9">
        <f ca="1">IF(NOT(ISNA(G6)),OFFSET(Bowling!$CO$4,G6,0,1,1),0)</f>
        <v>13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53</v>
      </c>
      <c r="L6" s="5">
        <f t="shared" ref="L6:L46" ca="1" si="5">K6+ROW(K6)/100000</f>
        <v>53.000059999999998</v>
      </c>
      <c r="M6" s="5">
        <f t="shared" ref="M6:M46" ca="1" si="6">RANK(L6,$L$5:$L$40)</f>
        <v>4</v>
      </c>
      <c r="N6" s="5">
        <f t="shared" ref="N6:N46" ca="1" si="7">MATCH(O6,$M$5:$M$55,0)</f>
        <v>12</v>
      </c>
      <c r="O6" s="5">
        <f>O5+1</f>
        <v>2</v>
      </c>
      <c r="P6" s="5" t="str">
        <f t="shared" ca="1" si="1"/>
        <v>David Sharpe</v>
      </c>
      <c r="Q6" s="7">
        <f t="shared" ca="1" si="2"/>
        <v>77.332999999999998</v>
      </c>
      <c r="R6" s="5">
        <f t="shared" ca="1" si="3"/>
        <v>3</v>
      </c>
    </row>
    <row r="7" spans="1:20">
      <c r="A7" s="70" t="str">
        <f ca="1"/>
        <v>AICO</v>
      </c>
      <c r="B7" t="str">
        <f ca="1"/>
        <v>Aiden Coloe</v>
      </c>
      <c r="C7" s="9">
        <f t="shared" ca="1" si="0"/>
        <v>74</v>
      </c>
      <c r="D7" s="9">
        <f ca="1">IF(NOT(ISNA(E7)),5*OFFSET(Batting!$CE$4,E7,0,1,1),0)</f>
        <v>35</v>
      </c>
      <c r="E7" s="9">
        <f ca="1">MATCH(A7,Batting!$A$5:$A$50,0)</f>
        <v>6</v>
      </c>
      <c r="F7" s="9">
        <f ca="1">IF(NOT(ISNA(E7)),OFFSET(Batting!$B$4,E7,$C$1,1,1),0)</f>
        <v>29</v>
      </c>
      <c r="G7" s="9">
        <f ca="1">MATCH(A7,Bowling!$A$5:$A$36,0)</f>
        <v>6</v>
      </c>
      <c r="H7" s="9">
        <f ca="1">IF(NOT(ISNA(G7)),OFFSET(Bowling!$CO$4,G7,0,1,1),0)</f>
        <v>0</v>
      </c>
      <c r="I7" s="9">
        <f ca="1">IF(NOT(ISNA(E7)),OFFSET(Batting!$B$4,E7,$C$1+1,1,1),0)</f>
        <v>10</v>
      </c>
      <c r="J7" s="9">
        <f ca="1">VLOOKUP(A7,'Fantasy Teams'!$A$45:$C$87,3,FALSE)</f>
        <v>3</v>
      </c>
      <c r="K7" s="10">
        <f t="shared" ca="1" si="4"/>
        <v>24.666</v>
      </c>
      <c r="L7" s="5">
        <f t="shared" ca="1" si="5"/>
        <v>24.666070000000001</v>
      </c>
      <c r="M7" s="5">
        <f t="shared" ca="1" si="6"/>
        <v>6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72.832999999999998</v>
      </c>
      <c r="R7" s="5">
        <f t="shared" ca="1" si="3"/>
        <v>6</v>
      </c>
    </row>
    <row r="8" spans="1:20">
      <c r="A8" s="70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MATCH(A8,Batting!$A$5:$A$50,0)</f>
        <v>#N/A</v>
      </c>
      <c r="F8" s="9">
        <f ca="1">IF(NOT(ISNA(E8)),OFFSET(Batting!$B$4,E8,$C$1,1,1),0)</f>
        <v>0</v>
      </c>
      <c r="G8" s="9" t="e">
        <f ca="1">MATCH(A8,Bowling!$A$5:$A$36,0)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35</v>
      </c>
      <c r="N8" s="5">
        <f t="shared" ca="1" si="7"/>
        <v>2</v>
      </c>
      <c r="O8" s="5">
        <f t="shared" si="8"/>
        <v>4</v>
      </c>
      <c r="P8" s="5" t="str">
        <f t="shared" ca="1" si="1"/>
        <v>Adam Lestrelle</v>
      </c>
      <c r="Q8" s="7">
        <f t="shared" ca="1" si="2"/>
        <v>53</v>
      </c>
      <c r="R8" s="5">
        <f t="shared" ca="1" si="3"/>
        <v>2</v>
      </c>
    </row>
    <row r="9" spans="1:20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MATCH(A9,Batting!$A$5:$A$50,0)</f>
        <v>#N/A</v>
      </c>
      <c r="F9" s="9">
        <f ca="1">IF(NOT(ISNA(E9)),OFFSET(Batting!$B$4,E9,$C$1,1,1),0)</f>
        <v>0</v>
      </c>
      <c r="G9" s="9" t="e">
        <f ca="1">MATCH(A9,Bowling!$A$5:$A$36,0)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34</v>
      </c>
      <c r="N9" s="5">
        <f t="shared" ca="1" si="7"/>
        <v>6</v>
      </c>
      <c r="O9" s="5">
        <f t="shared" si="8"/>
        <v>5</v>
      </c>
      <c r="P9" s="5" t="str">
        <f t="shared" ca="1" si="1"/>
        <v>Chris Clark</v>
      </c>
      <c r="Q9" s="7">
        <f t="shared" ca="1" si="2"/>
        <v>42.165999999999997</v>
      </c>
      <c r="R9" s="5">
        <f t="shared" ca="1" si="3"/>
        <v>6</v>
      </c>
    </row>
    <row r="10" spans="1:20">
      <c r="A10" s="70" t="str">
        <f ca="1"/>
        <v>CHCL</v>
      </c>
      <c r="B10" t="str">
        <f ca="1"/>
        <v>Chris Clark</v>
      </c>
      <c r="C10" s="9">
        <f t="shared" ca="1" si="0"/>
        <v>253</v>
      </c>
      <c r="D10" s="9">
        <f ca="1">IF(NOT(ISNA(E10)),5*OFFSET(Batting!$CE$4,E10,0,1,1),0)</f>
        <v>80</v>
      </c>
      <c r="E10" s="9">
        <f ca="1">MATCH(A10,Batting!$A$5:$A$50,0)</f>
        <v>4</v>
      </c>
      <c r="F10" s="9">
        <f ca="1">IF(NOT(ISNA(E10)),OFFSET(Batting!$B$4,E10,$C$1,1,1),0)</f>
        <v>39</v>
      </c>
      <c r="G10" s="9">
        <f ca="1">MATCH(A10,Bowling!$A$5:$A$36,0)</f>
        <v>4</v>
      </c>
      <c r="H10" s="9">
        <f ca="1">IF(NOT(ISNA(G10)),OFFSET(Bowling!$CO$4,G10,0,1,1),0)</f>
        <v>109</v>
      </c>
      <c r="I10" s="9">
        <f ca="1">IF(NOT(ISNA(E10)),OFFSET(Batting!$B$4,E10,$C$1+1,1,1),0)</f>
        <v>25</v>
      </c>
      <c r="J10" s="9">
        <f ca="1">VLOOKUP(A10,'Fantasy Teams'!$A$45:$C$87,3,FALSE)</f>
        <v>6</v>
      </c>
      <c r="K10" s="10">
        <f t="shared" ca="1" si="4"/>
        <v>42.165999999999997</v>
      </c>
      <c r="L10" s="5">
        <f t="shared" ca="1" si="5"/>
        <v>42.1661</v>
      </c>
      <c r="M10" s="5">
        <f t="shared" ca="1" si="6"/>
        <v>5</v>
      </c>
      <c r="N10" s="5">
        <f t="shared" ca="1" si="7"/>
        <v>3</v>
      </c>
      <c r="O10" s="5">
        <f t="shared" si="8"/>
        <v>6</v>
      </c>
      <c r="P10" s="5" t="str">
        <f t="shared" ca="1" si="1"/>
        <v>Aiden Coloe</v>
      </c>
      <c r="Q10" s="7">
        <f t="shared" ca="1" si="2"/>
        <v>24.666</v>
      </c>
      <c r="R10" s="5">
        <f t="shared" ca="1" si="3"/>
        <v>3</v>
      </c>
    </row>
    <row r="11" spans="1:20">
      <c r="A11" s="70" t="str">
        <f ca="1"/>
        <v>CLED</v>
      </c>
      <c r="B11" t="str">
        <f ca="1"/>
        <v>Clive Edghill</v>
      </c>
      <c r="C11" s="9">
        <f t="shared" ca="1" si="0"/>
        <v>177</v>
      </c>
      <c r="D11" s="9">
        <f ca="1">IF(NOT(ISNA(E11)),5*OFFSET(Batting!$CE$4,E11,0,1,1),0)</f>
        <v>65</v>
      </c>
      <c r="E11" s="9">
        <f ca="1">MATCH(A11,Batting!$A$5:$A$50,0)</f>
        <v>10</v>
      </c>
      <c r="F11" s="9">
        <f ca="1">IF(NOT(ISNA(E11)),OFFSET(Batting!$B$4,E11,$C$1,1,1),0)</f>
        <v>102</v>
      </c>
      <c r="G11" s="9" t="e">
        <f ca="1">MATCH(A11,Bowling!$A$5:$A$36,0)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10</v>
      </c>
      <c r="J11" s="9">
        <f ca="1">VLOOKUP(A11,'Fantasy Teams'!$A$45:$C$87,3,FALSE)</f>
        <v>2</v>
      </c>
      <c r="K11" s="10">
        <f t="shared" ca="1" si="4"/>
        <v>88.5</v>
      </c>
      <c r="L11" s="5">
        <f t="shared" ca="1" si="5"/>
        <v>88.500110000000006</v>
      </c>
      <c r="M11" s="5">
        <f t="shared" ca="1" si="6"/>
        <v>1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17</v>
      </c>
      <c r="R11" s="5">
        <f t="shared" ca="1" si="3"/>
        <v>4</v>
      </c>
    </row>
    <row r="12" spans="1:20">
      <c r="A12" s="70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MATCH(A12,Batting!$A$5:$A$50,0)</f>
        <v>#N/A</v>
      </c>
      <c r="F12" s="9">
        <f ca="1">IF(NOT(ISNA(E12)),OFFSET(Batting!$B$4,E12,$C$1,1,1),0)</f>
        <v>0</v>
      </c>
      <c r="G12" s="9" t="e">
        <f ca="1">MATCH(A12,Bowling!$A$5:$A$36,0)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33</v>
      </c>
      <c r="N12" s="5">
        <f t="shared" ca="1" si="7"/>
        <v>19</v>
      </c>
      <c r="O12" s="5">
        <f t="shared" si="8"/>
        <v>8</v>
      </c>
      <c r="P12" s="5" t="str">
        <f t="shared" ca="1" si="1"/>
        <v>Jeff Lestrelle</v>
      </c>
      <c r="Q12" s="7">
        <f t="shared" ca="1" si="2"/>
        <v>7</v>
      </c>
      <c r="R12" s="5">
        <f t="shared" ca="1" si="3"/>
        <v>4</v>
      </c>
    </row>
    <row r="13" spans="1:20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MATCH(A13,Batting!$A$5:$A$50,0)</f>
        <v>#N/A</v>
      </c>
      <c r="F13" s="9">
        <f ca="1">IF(NOT(ISNA(E13)),OFFSET(Batting!$B$4,E13,$C$1,1,1),0)</f>
        <v>0</v>
      </c>
      <c r="G13" s="9" t="e">
        <f ca="1">MATCH(A13,Bowling!$A$5:$A$36,0)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32</v>
      </c>
      <c r="N13" s="5">
        <f t="shared" ca="1" si="7"/>
        <v>27</v>
      </c>
      <c r="O13" s="5">
        <f t="shared" si="8"/>
        <v>9</v>
      </c>
      <c r="P13" s="5" t="str">
        <f t="shared" ca="1" si="1"/>
        <v>Mike Woodhouse</v>
      </c>
      <c r="Q13" s="7">
        <f t="shared" ca="1" si="2"/>
        <v>1</v>
      </c>
      <c r="R13" s="5">
        <f t="shared" ca="1" si="3"/>
        <v>5</v>
      </c>
    </row>
    <row r="14" spans="1:20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MATCH(A14,Batting!$A$5:$A$50,0)</f>
        <v>#N/A</v>
      </c>
      <c r="F14" s="9">
        <f ca="1">IF(NOT(ISNA(E14)),OFFSET(Batting!$B$4,E14,$C$1,1,1),0)</f>
        <v>0</v>
      </c>
      <c r="G14" s="9" t="e">
        <f ca="1">MATCH(A14,Bowling!$A$5:$A$36,0)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31</v>
      </c>
      <c r="N14" s="5">
        <f t="shared" ca="1" si="7"/>
        <v>21</v>
      </c>
      <c r="O14" s="5">
        <f t="shared" si="8"/>
        <v>10</v>
      </c>
      <c r="P14" s="5" t="str">
        <f t="shared" ca="1" si="1"/>
        <v>John Leadley</v>
      </c>
      <c r="Q14" s="7">
        <f t="shared" ca="1" si="2"/>
        <v>1</v>
      </c>
      <c r="R14" s="5">
        <f t="shared" ca="1" si="3"/>
        <v>11</v>
      </c>
    </row>
    <row r="15" spans="1:20">
      <c r="A15" s="70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MATCH(A15,Batting!$A$5:$A$50,0)</f>
        <v>#N/A</v>
      </c>
      <c r="F15" s="9">
        <f ca="1">IF(NOT(ISNA(E15)),OFFSET(Batting!$B$4,E15,$C$1,1,1),0)</f>
        <v>0</v>
      </c>
      <c r="G15" s="9" t="e">
        <f ca="1">MATCH(A15,Bowling!$A$5:$A$36,0)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30</v>
      </c>
      <c r="N15" s="5">
        <f t="shared" ca="1" si="7"/>
        <v>25</v>
      </c>
      <c r="O15" s="5">
        <f t="shared" si="8"/>
        <v>11</v>
      </c>
      <c r="P15" s="5" t="str">
        <f t="shared" ca="1" si="1"/>
        <v>Mike Bowers</v>
      </c>
      <c r="Q15" s="7">
        <f t="shared" ca="1" si="2"/>
        <v>0.33300000000000002</v>
      </c>
      <c r="R15" s="5">
        <f t="shared" ca="1" si="3"/>
        <v>3</v>
      </c>
      <c r="S15" s="5">
        <f ca="1">SUM(R5:R15)</f>
        <v>49</v>
      </c>
      <c r="T15" s="107">
        <f t="array" aca="1" ref="T15" ca="1">SUM(Q5:Q15*R5:R15)</f>
        <v>1391.99</v>
      </c>
    </row>
    <row r="16" spans="1:20">
      <c r="A16" s="70" t="str">
        <f ca="1"/>
        <v>DASH</v>
      </c>
      <c r="B16" t="str">
        <f ca="1"/>
        <v>David Sharpe</v>
      </c>
      <c r="C16" s="9">
        <f t="shared" ca="1" si="0"/>
        <v>232</v>
      </c>
      <c r="D16" s="9">
        <f ca="1">IF(NOT(ISNA(E16)),5*OFFSET(Batting!$CE$4,E16,0,1,1),0)</f>
        <v>35</v>
      </c>
      <c r="E16" s="9">
        <f ca="1">MATCH(A16,Batting!$A$5:$A$50,0)</f>
        <v>27</v>
      </c>
      <c r="F16" s="9">
        <f ca="1">IF(NOT(ISNA(E16)),OFFSET(Batting!$B$4,E16,$C$1,1,1),0)</f>
        <v>87</v>
      </c>
      <c r="G16" s="9">
        <f ca="1">MATCH(A16,Bowling!$A$5:$A$36,0)</f>
        <v>22</v>
      </c>
      <c r="H16" s="9">
        <f ca="1">IF(NOT(ISNA(G16)),OFFSET(Bowling!$CO$4,G16,0,1,1),0)</f>
        <v>90</v>
      </c>
      <c r="I16" s="9">
        <f ca="1">IF(NOT(ISNA(E16)),OFFSET(Batting!$B$4,E16,$C$1+1,1,1),0)</f>
        <v>20</v>
      </c>
      <c r="J16" s="9">
        <f ca="1">VLOOKUP(A16,'Fantasy Teams'!$A$45:$C$87,3,FALSE)</f>
        <v>3</v>
      </c>
      <c r="K16" s="10">
        <f t="shared" ca="1" si="4"/>
        <v>77.332999999999998</v>
      </c>
      <c r="L16" s="5">
        <f t="shared" ca="1" si="5"/>
        <v>77.333159999999992</v>
      </c>
      <c r="M16" s="5">
        <f t="shared" ca="1" si="6"/>
        <v>2</v>
      </c>
      <c r="N16" s="5">
        <f t="shared" ca="1" si="7"/>
        <v>36</v>
      </c>
      <c r="O16" s="5">
        <f t="shared" si="8"/>
        <v>12</v>
      </c>
      <c r="P16" s="5" t="str">
        <f t="shared" ca="1" si="1"/>
        <v>Vince Reid</v>
      </c>
      <c r="Q16" s="7">
        <f t="shared" ca="1" si="2"/>
        <v>0</v>
      </c>
      <c r="R16" s="5">
        <f t="shared" ca="1" si="3"/>
        <v>4</v>
      </c>
    </row>
    <row r="17" spans="1:18">
      <c r="A17" s="70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MATCH(A17,Batting!$A$5:$A$50,0)</f>
        <v>#N/A</v>
      </c>
      <c r="F17" s="9">
        <f ca="1">IF(NOT(ISNA(E17)),OFFSET(Batting!$B$4,E17,$C$1,1,1),0)</f>
        <v>0</v>
      </c>
      <c r="G17" s="9" t="e">
        <f ca="1">MATCH(A17,Bowling!$A$5:$A$36,0)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29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0</v>
      </c>
      <c r="R17" s="5">
        <f t="shared" ca="1" si="3"/>
        <v>13</v>
      </c>
    </row>
    <row r="18" spans="1:18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MATCH(A18,Batting!$A$5:$A$50,0)</f>
        <v>#N/A</v>
      </c>
      <c r="F18" s="9">
        <f ca="1">IF(NOT(ISNA(E18)),OFFSET(Batting!$B$4,E18,$C$1,1,1),0)</f>
        <v>0</v>
      </c>
      <c r="G18" s="9" t="e">
        <f ca="1">MATCH(A18,Bowling!$A$5:$A$36,0)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28</v>
      </c>
      <c r="N18" s="5">
        <f t="shared" ca="1" si="7"/>
        <v>34</v>
      </c>
      <c r="O18" s="5">
        <f t="shared" si="8"/>
        <v>14</v>
      </c>
      <c r="P18" s="5" t="str">
        <f t="shared" ca="1" si="1"/>
        <v>Ted Dugdale</v>
      </c>
      <c r="Q18" s="7">
        <f t="shared" ca="1" si="2"/>
        <v>0</v>
      </c>
      <c r="R18" s="5">
        <f t="shared" ca="1" si="3"/>
        <v>3</v>
      </c>
    </row>
    <row r="19" spans="1:18">
      <c r="A19" s="70" t="str">
        <f ca="1"/>
        <v>GECO</v>
      </c>
      <c r="B19" t="str">
        <f ca="1"/>
        <v>Geoff Cooper</v>
      </c>
      <c r="C19" s="9">
        <f t="shared" ca="1" si="9"/>
        <v>437</v>
      </c>
      <c r="D19" s="9">
        <f ca="1">IF(NOT(ISNA(E19)),5*OFFSET(Batting!$CE$4,E19,0,1,1),0)</f>
        <v>85</v>
      </c>
      <c r="E19" s="9">
        <f ca="1">MATCH(A19,Batting!$A$5:$A$50,0)</f>
        <v>7</v>
      </c>
      <c r="F19" s="9">
        <f ca="1">IF(NOT(ISNA(E19)),OFFSET(Batting!$B$4,E19,$C$1,1,1),0)</f>
        <v>82</v>
      </c>
      <c r="G19" s="9">
        <f ca="1">MATCH(A19,Bowling!$A$5:$A$36,0)</f>
        <v>7</v>
      </c>
      <c r="H19" s="9">
        <f ca="1">IF(NOT(ISNA(G19)),OFFSET(Bowling!$CO$4,G19,0,1,1),0)</f>
        <v>255</v>
      </c>
      <c r="I19" s="9">
        <f ca="1">IF(NOT(ISNA(E19)),OFFSET(Batting!$B$4,E19,$C$1+1,1,1),0)</f>
        <v>15</v>
      </c>
      <c r="J19" s="9">
        <f ca="1">VLOOKUP(A19,'Fantasy Teams'!$A$45:$C$87,3,FALSE)</f>
        <v>6</v>
      </c>
      <c r="K19" s="10">
        <f t="shared" ca="1" si="4"/>
        <v>72.832999999999998</v>
      </c>
      <c r="L19" s="5">
        <f t="shared" ca="1" si="5"/>
        <v>72.833190000000002</v>
      </c>
      <c r="M19" s="5">
        <f t="shared" ca="1" si="6"/>
        <v>3</v>
      </c>
      <c r="N19" s="5">
        <f t="shared" ca="1" si="7"/>
        <v>33</v>
      </c>
      <c r="O19" s="5">
        <f t="shared" si="8"/>
        <v>15</v>
      </c>
      <c r="P19" s="5" t="str">
        <f t="shared" ca="1" si="1"/>
        <v>Steve Barry</v>
      </c>
      <c r="Q19" s="7">
        <f t="shared" ca="1" si="2"/>
        <v>0</v>
      </c>
      <c r="R19" s="5">
        <f t="shared" ca="1" si="3"/>
        <v>2</v>
      </c>
    </row>
    <row r="20" spans="1:18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MATCH(A20,Batting!$A$5:$A$50,0)</f>
        <v>#N/A</v>
      </c>
      <c r="F20" s="9">
        <f ca="1">IF(NOT(ISNA(E20)),OFFSET(Batting!$B$4,E20,$C$1,1,1),0)</f>
        <v>0</v>
      </c>
      <c r="G20" s="9" t="e">
        <f ca="1">MATCH(A20,Bowling!$A$5:$A$36,0)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27</v>
      </c>
      <c r="N20" s="5">
        <f t="shared" ca="1" si="7"/>
        <v>32</v>
      </c>
      <c r="O20" s="5">
        <f t="shared" si="8"/>
        <v>16</v>
      </c>
      <c r="P20" s="5" t="str">
        <f t="shared" ca="1" si="1"/>
        <v>Roy Odeneal</v>
      </c>
      <c r="Q20" s="7">
        <f t="shared" ca="1" si="2"/>
        <v>0</v>
      </c>
      <c r="R20" s="5">
        <f t="shared" ca="1" si="3"/>
        <v>2</v>
      </c>
    </row>
    <row r="21" spans="1:18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MATCH(A21,Batting!$A$5:$A$50,0)</f>
        <v>#N/A</v>
      </c>
      <c r="F21" s="9">
        <f ca="1">IF(NOT(ISNA(E21)),OFFSET(Batting!$B$4,E21,$C$1,1,1),0)</f>
        <v>0</v>
      </c>
      <c r="G21" s="9" t="e">
        <f ca="1">MATCH(A21,Bowling!$A$5:$A$36,0)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26</v>
      </c>
      <c r="N21" s="5">
        <f t="shared" ca="1" si="7"/>
        <v>31</v>
      </c>
      <c r="O21" s="5">
        <f t="shared" si="8"/>
        <v>17</v>
      </c>
      <c r="P21" s="5" t="str">
        <f t="shared" ca="1" si="1"/>
        <v>Ron Morris</v>
      </c>
      <c r="Q21" s="7">
        <f t="shared" ca="1" si="2"/>
        <v>0</v>
      </c>
      <c r="R21" s="5">
        <f t="shared" ca="1" si="3"/>
        <v>2</v>
      </c>
    </row>
    <row r="22" spans="1:18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MATCH(A22,Batting!$A$5:$A$50,0)</f>
        <v>#N/A</v>
      </c>
      <c r="F22" s="9">
        <f ca="1">IF(NOT(ISNA(E22)),OFFSET(Batting!$B$4,E22,$C$1,1,1),0)</f>
        <v>0</v>
      </c>
      <c r="G22" s="9" t="e">
        <f ca="1">MATCH(A22,Bowling!$A$5:$A$36,0)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25</v>
      </c>
      <c r="N22" s="5">
        <f t="shared" ca="1" si="7"/>
        <v>29</v>
      </c>
      <c r="O22" s="5">
        <f t="shared" si="8"/>
        <v>18</v>
      </c>
      <c r="P22" s="5" t="str">
        <f t="shared" ca="1" si="1"/>
        <v>Neil Mander</v>
      </c>
      <c r="Q22" s="7">
        <f t="shared" ca="1" si="2"/>
        <v>0</v>
      </c>
      <c r="R22" s="5">
        <f t="shared" ca="1" si="3"/>
        <v>9</v>
      </c>
    </row>
    <row r="23" spans="1:18">
      <c r="A23" s="70" t="str">
        <f ca="1"/>
        <v>JELE</v>
      </c>
      <c r="B23" t="str">
        <f ca="1"/>
        <v>Jeff Lestrelle</v>
      </c>
      <c r="C23" s="9">
        <f t="shared" ca="1" si="9"/>
        <v>28</v>
      </c>
      <c r="D23" s="9">
        <f ca="1">IF(NOT(ISNA(E23)),5*OFFSET(Batting!$CE$4,E23,0,1,1),0)</f>
        <v>5</v>
      </c>
      <c r="E23" s="9">
        <f ca="1">MATCH(A23,Batting!$A$5:$A$50,0)</f>
        <v>20</v>
      </c>
      <c r="F23" s="9">
        <f ca="1">IF(NOT(ISNA(E23)),OFFSET(Batting!$B$4,E23,$C$1,1,1),0)</f>
        <v>23</v>
      </c>
      <c r="G23" s="9">
        <f ca="1">MATCH(A23,Bowling!$A$5:$A$36,0)</f>
        <v>17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7</v>
      </c>
      <c r="L23" s="5">
        <f t="shared" ca="1" si="5"/>
        <v>7.0002300000000002</v>
      </c>
      <c r="M23" s="5">
        <f t="shared" ca="1" si="6"/>
        <v>8</v>
      </c>
      <c r="N23" s="5">
        <f t="shared" ca="1" si="7"/>
        <v>28</v>
      </c>
      <c r="O23" s="5">
        <f t="shared" si="8"/>
        <v>19</v>
      </c>
      <c r="P23" s="5" t="str">
        <f t="shared" ca="1" si="1"/>
        <v>Naimish Patel</v>
      </c>
      <c r="Q23" s="7">
        <f t="shared" ca="1" si="2"/>
        <v>0</v>
      </c>
      <c r="R23" s="5">
        <f t="shared" ca="1" si="3"/>
        <v>3</v>
      </c>
    </row>
    <row r="24" spans="1:18">
      <c r="A24" s="70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MATCH(A24,Batting!$A$5:$A$50,0)</f>
        <v>#N/A</v>
      </c>
      <c r="F24" s="9">
        <f ca="1">IF(NOT(ISNA(E24)),OFFSET(Batting!$B$4,E24,$C$1,1,1),0)</f>
        <v>0</v>
      </c>
      <c r="G24" s="9" t="e">
        <f ca="1">MATCH(A24,Bowling!$A$5:$A$36,0)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24</v>
      </c>
      <c r="N24" s="5">
        <f t="shared" ca="1" si="7"/>
        <v>26</v>
      </c>
      <c r="O24" s="5">
        <f t="shared" si="8"/>
        <v>20</v>
      </c>
      <c r="P24" s="5" t="str">
        <f t="shared" ca="1" si="1"/>
        <v>Mike Hosking</v>
      </c>
      <c r="Q24" s="7">
        <f t="shared" ca="1" si="2"/>
        <v>0</v>
      </c>
      <c r="R24" s="5">
        <f t="shared" ca="1" si="3"/>
        <v>3</v>
      </c>
    </row>
    <row r="25" spans="1:18">
      <c r="A25" s="70" t="str">
        <f ca="1"/>
        <v>JOLE</v>
      </c>
      <c r="B25" t="str">
        <f ca="1"/>
        <v>John Leadley</v>
      </c>
      <c r="C25" s="9">
        <f t="shared" ca="1" si="9"/>
        <v>11</v>
      </c>
      <c r="D25" s="9">
        <f ca="1">IF(NOT(ISNA(E25)),5*OFFSET(Batting!$CE$4,E25,0,1,1),0)</f>
        <v>5</v>
      </c>
      <c r="E25" s="9">
        <f ca="1">MATCH(A25,Batting!$A$5:$A$50,0)</f>
        <v>18</v>
      </c>
      <c r="F25" s="9">
        <f ca="1">IF(NOT(ISNA(E25)),OFFSET(Batting!$B$4,E25,$C$1,1,1),0)</f>
        <v>6</v>
      </c>
      <c r="G25" s="9">
        <f ca="1">MATCH(A25,Bowling!$A$5:$A$36,0)</f>
        <v>15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1</v>
      </c>
      <c r="L25" s="5">
        <f t="shared" ca="1" si="5"/>
        <v>1.0002500000000001</v>
      </c>
      <c r="M25" s="5">
        <f t="shared" ca="1" si="6"/>
        <v>10</v>
      </c>
      <c r="N25" s="5">
        <f t="shared" ca="1" si="7"/>
        <v>24</v>
      </c>
      <c r="O25" s="5">
        <f t="shared" si="8"/>
        <v>21</v>
      </c>
      <c r="P25" s="5" t="str">
        <f t="shared" ca="1" si="1"/>
        <v>Mick Clark</v>
      </c>
      <c r="Q25" s="7">
        <f t="shared" ca="1" si="2"/>
        <v>0</v>
      </c>
      <c r="R25" s="5">
        <f t="shared" ca="1" si="3"/>
        <v>2</v>
      </c>
    </row>
    <row r="26" spans="1:18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MATCH(A26,Batting!$A$5:$A$50,0)</f>
        <v>#N/A</v>
      </c>
      <c r="F26" s="9">
        <f ca="1">IF(NOT(ISNA(E26)),OFFSET(Batting!$B$4,E26,$C$1,1,1),0)</f>
        <v>0</v>
      </c>
      <c r="G26" s="9" t="e">
        <f ca="1">MATCH(A26,Bowling!$A$5:$A$36,0)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23</v>
      </c>
      <c r="N26" s="5">
        <f t="shared" ca="1" si="7"/>
        <v>23</v>
      </c>
      <c r="O26" s="5">
        <f t="shared" si="8"/>
        <v>22</v>
      </c>
      <c r="P26" s="5" t="str">
        <f t="shared" ca="1" si="1"/>
        <v>Kieran Moore</v>
      </c>
      <c r="Q26" s="7">
        <f t="shared" ca="1" si="2"/>
        <v>0</v>
      </c>
      <c r="R26" s="5">
        <f t="shared" ca="1" si="3"/>
        <v>2</v>
      </c>
    </row>
    <row r="27" spans="1:18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MATCH(A27,Batting!$A$5:$A$50,0)</f>
        <v>#N/A</v>
      </c>
      <c r="F27" s="9">
        <f ca="1">IF(NOT(ISNA(E27)),OFFSET(Batting!$B$4,E27,$C$1,1,1),0)</f>
        <v>0</v>
      </c>
      <c r="G27" s="9" t="e">
        <f ca="1">MATCH(A27,Bowling!$A$5:$A$36,0)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22</v>
      </c>
      <c r="N27" s="5">
        <f t="shared" ca="1" si="7"/>
        <v>22</v>
      </c>
      <c r="O27" s="5">
        <f t="shared" si="8"/>
        <v>23</v>
      </c>
      <c r="P27" s="5" t="str">
        <f t="shared" ca="1" si="1"/>
        <v>Jon Worthy</v>
      </c>
      <c r="Q27" s="7">
        <f t="shared" ca="1" si="2"/>
        <v>0</v>
      </c>
      <c r="R27" s="5">
        <f t="shared" ca="1" si="3"/>
        <v>5</v>
      </c>
    </row>
    <row r="28" spans="1:18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MATCH(A28,Batting!$A$5:$A$50,0)</f>
        <v>#N/A</v>
      </c>
      <c r="F28" s="9">
        <f ca="1">IF(NOT(ISNA(E28)),OFFSET(Batting!$B$4,E28,$C$1,1,1),0)</f>
        <v>0</v>
      </c>
      <c r="G28" s="9" t="e">
        <f ca="1">MATCH(A28,Bowling!$A$5:$A$36,0)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21</v>
      </c>
      <c r="N28" s="5">
        <f t="shared" ca="1" si="7"/>
        <v>20</v>
      </c>
      <c r="O28" s="5">
        <f t="shared" si="8"/>
        <v>24</v>
      </c>
      <c r="P28" s="5" t="str">
        <f t="shared" ca="1" si="1"/>
        <v>John Elliston</v>
      </c>
      <c r="Q28" s="7">
        <f t="shared" ca="1" si="2"/>
        <v>0</v>
      </c>
      <c r="R28" s="5">
        <f t="shared" ca="1" si="3"/>
        <v>5</v>
      </c>
    </row>
    <row r="29" spans="1:18">
      <c r="A29" s="70" t="str">
        <f ca="1"/>
        <v>MIBO</v>
      </c>
      <c r="B29" t="str">
        <f ca="1"/>
        <v>Mike Bowers</v>
      </c>
      <c r="C29" s="9">
        <f t="shared" ca="1" si="9"/>
        <v>1</v>
      </c>
      <c r="D29" s="9">
        <f ca="1">IF(NOT(ISNA(E29)),5*OFFSET(Batting!$CE$4,E29,0,1,1),0)</f>
        <v>5</v>
      </c>
      <c r="E29" s="9">
        <f ca="1">MATCH(A29,Batting!$A$5:$A$50,0)</f>
        <v>1</v>
      </c>
      <c r="F29" s="9">
        <f ca="1">IF(NOT(ISNA(E29)),OFFSET(Batting!$B$4,E29,$C$1,1,1),0)</f>
        <v>1</v>
      </c>
      <c r="G29" s="9">
        <f ca="1">MATCH(A29,Bowling!$A$5:$A$36,0)</f>
        <v>1</v>
      </c>
      <c r="H29" s="9">
        <f ca="1">IF(NOT(ISNA(G29)),OFFSET(Bowling!$CO$4,G29,0,1,1),0)</f>
        <v>-5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0.33300000000000002</v>
      </c>
      <c r="L29" s="5">
        <f t="shared" ca="1" si="5"/>
        <v>0.33329000000000003</v>
      </c>
      <c r="M29" s="5">
        <f t="shared" ca="1" si="6"/>
        <v>11</v>
      </c>
      <c r="N29" s="5">
        <f t="shared" ca="1" si="7"/>
        <v>18</v>
      </c>
      <c r="O29" s="5">
        <f t="shared" si="8"/>
        <v>25</v>
      </c>
      <c r="P29" s="5" t="str">
        <f t="shared" ca="1" si="1"/>
        <v>Jason Crisford</v>
      </c>
      <c r="Q29" s="7">
        <f t="shared" ca="1" si="2"/>
        <v>0</v>
      </c>
      <c r="R29" s="5">
        <f t="shared" ca="1" si="3"/>
        <v>2</v>
      </c>
    </row>
    <row r="30" spans="1:18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MATCH(A30,Batting!$A$5:$A$50,0)</f>
        <v>#N/A</v>
      </c>
      <c r="F30" s="9">
        <f ca="1">IF(NOT(ISNA(E30)),OFFSET(Batting!$B$4,E30,$C$1,1,1),0)</f>
        <v>0</v>
      </c>
      <c r="G30" s="9" t="e">
        <f ca="1">MATCH(A30,Bowling!$A$5:$A$36,0)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20</v>
      </c>
      <c r="N30" s="5">
        <f t="shared" ca="1" si="7"/>
        <v>17</v>
      </c>
      <c r="O30" s="5">
        <f t="shared" si="8"/>
        <v>26</v>
      </c>
      <c r="P30" s="5" t="str">
        <f t="shared" ca="1" si="1"/>
        <v>Glyn Angell</v>
      </c>
      <c r="Q30" s="7">
        <f t="shared" ca="1" si="2"/>
        <v>0</v>
      </c>
      <c r="R30" s="5">
        <f t="shared" ca="1" si="3"/>
        <v>1</v>
      </c>
    </row>
    <row r="31" spans="1:18">
      <c r="A31" s="70" t="str">
        <f ca="1"/>
        <v>MIWO</v>
      </c>
      <c r="B31" t="str">
        <f ca="1"/>
        <v>Mike Woodhouse</v>
      </c>
      <c r="C31" s="9">
        <f t="shared" ca="1" si="9"/>
        <v>5</v>
      </c>
      <c r="D31" s="9">
        <f ca="1">IF(NOT(ISNA(E31)),5*OFFSET(Batting!$CE$4,E31,0,1,1),0)</f>
        <v>5</v>
      </c>
      <c r="E31" s="9">
        <f ca="1">MATCH(A31,Batting!$A$5:$A$50,0)</f>
        <v>32</v>
      </c>
      <c r="F31" s="9">
        <f ca="1">IF(NOT(ISNA(E31)),OFFSET(Batting!$B$4,E31,$C$1,1,1),0)</f>
        <v>-5</v>
      </c>
      <c r="G31" s="9">
        <f ca="1">MATCH(A31,Bowling!$A$5:$A$36,0)</f>
        <v>27</v>
      </c>
      <c r="H31" s="9">
        <f ca="1">IF(NOT(ISNA(G31)),OFFSET(Bowling!$CO$4,G31,0,1,1),0)</f>
        <v>0</v>
      </c>
      <c r="I31" s="9">
        <f ca="1">IF(NOT(ISNA(E31)),OFFSET(Batting!$B$4,E31,$C$1+1,1,1),0)</f>
        <v>5</v>
      </c>
      <c r="J31" s="9">
        <f ca="1">VLOOKUP(A31,'Fantasy Teams'!$A$45:$C$87,3,FALSE)</f>
        <v>5</v>
      </c>
      <c r="K31" s="10">
        <f t="shared" ca="1" si="4"/>
        <v>1</v>
      </c>
      <c r="L31" s="5">
        <f t="shared" ca="1" si="5"/>
        <v>1.00031</v>
      </c>
      <c r="M31" s="5">
        <f t="shared" ca="1" si="6"/>
        <v>9</v>
      </c>
      <c r="N31" s="5">
        <f t="shared" ca="1" si="7"/>
        <v>16</v>
      </c>
      <c r="O31" s="5">
        <f t="shared" si="8"/>
        <v>27</v>
      </c>
      <c r="P31" s="5" t="str">
        <f t="shared" ca="1" si="1"/>
        <v>Glen Lilley</v>
      </c>
      <c r="Q31" s="7">
        <f t="shared" ca="1" si="2"/>
        <v>0</v>
      </c>
      <c r="R31" s="5">
        <f t="shared" ca="1" si="3"/>
        <v>2</v>
      </c>
    </row>
    <row r="32" spans="1:18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MATCH(A32,Batting!$A$5:$A$50,0)</f>
        <v>#N/A</v>
      </c>
      <c r="F32" s="9">
        <f ca="1">IF(NOT(ISNA(E32)),OFFSET(Batting!$B$4,E32,$C$1,1,1),0)</f>
        <v>0</v>
      </c>
      <c r="G32" s="9" t="e">
        <f ca="1">MATCH(A32,Bowling!$A$5:$A$36,0)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19</v>
      </c>
      <c r="N32" s="5">
        <f t="shared" ca="1" si="7"/>
        <v>14</v>
      </c>
      <c r="O32" s="5">
        <f t="shared" si="8"/>
        <v>28</v>
      </c>
      <c r="P32" s="5" t="str">
        <f t="shared" ref="P32:P46" ca="1" si="10">OFFSET($B$4,N32,0)</f>
        <v>Del Shewan</v>
      </c>
      <c r="Q32" s="7">
        <f t="shared" ref="Q32:Q46" ca="1" si="11">OFFSET($K$4,N32,0)</f>
        <v>0</v>
      </c>
      <c r="R32" s="5">
        <f t="shared" ca="1" si="3"/>
        <v>3</v>
      </c>
    </row>
    <row r="33" spans="1:18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MATCH(A33,Batting!$A$5:$A$50,0)</f>
        <v>#N/A</v>
      </c>
      <c r="F33" s="9">
        <f ca="1">IF(NOT(ISNA(E33)),OFFSET(Batting!$B$4,E33,$C$1,1,1),0)</f>
        <v>0</v>
      </c>
      <c r="G33" s="9" t="e">
        <f ca="1">MATCH(A33,Bowling!$A$5:$A$36,0)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18</v>
      </c>
      <c r="N33" s="5">
        <f t="shared" ca="1" si="7"/>
        <v>13</v>
      </c>
      <c r="O33" s="5">
        <f t="shared" si="8"/>
        <v>29</v>
      </c>
      <c r="P33" s="5" t="str">
        <f t="shared" ca="1" si="10"/>
        <v>David Snow</v>
      </c>
      <c r="Q33" s="7">
        <f t="shared" ca="1" si="11"/>
        <v>0</v>
      </c>
      <c r="R33" s="5">
        <f t="shared" ca="1" si="3"/>
        <v>3</v>
      </c>
    </row>
    <row r="34" spans="1:18">
      <c r="A34" s="70" t="str">
        <f ca="1"/>
        <v>RIWO</v>
      </c>
      <c r="B34" t="str">
        <f ca="1"/>
        <v>Rick Worthington</v>
      </c>
      <c r="C34" s="9">
        <f t="shared" ca="1" si="12"/>
        <v>68</v>
      </c>
      <c r="D34" s="9">
        <f ca="1">IF(NOT(ISNA(E34)),5*OFFSET(Batting!$CE$4,E34,0,1,1),0)</f>
        <v>30</v>
      </c>
      <c r="E34" s="9">
        <f ca="1">MATCH(A34,Batting!$A$5:$A$50,0)</f>
        <v>33</v>
      </c>
      <c r="F34" s="9">
        <f ca="1">IF(NOT(ISNA(E34)),OFFSET(Batting!$B$4,E34,$C$1,1,1),0)</f>
        <v>38</v>
      </c>
      <c r="G34" s="9" t="e">
        <f ca="1">MATCH(A34,Bowling!$A$5:$A$36,0)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17</v>
      </c>
      <c r="L34" s="5">
        <f t="shared" ca="1" si="5"/>
        <v>17.000340000000001</v>
      </c>
      <c r="M34" s="5">
        <f t="shared" ca="1" si="6"/>
        <v>7</v>
      </c>
      <c r="N34" s="5">
        <f t="shared" ca="1" si="7"/>
        <v>11</v>
      </c>
      <c r="O34" s="5">
        <f t="shared" si="8"/>
        <v>30</v>
      </c>
      <c r="P34" s="5" t="str">
        <f t="shared" ca="1" si="10"/>
        <v>David Brocks</v>
      </c>
      <c r="Q34" s="7">
        <f t="shared" ca="1" si="11"/>
        <v>0</v>
      </c>
      <c r="R34" s="5">
        <f t="shared" ca="1" si="3"/>
        <v>4</v>
      </c>
    </row>
    <row r="35" spans="1:18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MATCH(A35,Batting!$A$5:$A$50,0)</f>
        <v>#N/A</v>
      </c>
      <c r="F35" s="9">
        <f ca="1">IF(NOT(ISNA(E35)),OFFSET(Batting!$B$4,E35,$C$1,1,1),0)</f>
        <v>0</v>
      </c>
      <c r="G35" s="9" t="e">
        <f ca="1">MATCH(A35,Bowling!$A$5:$A$36,0)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17</v>
      </c>
      <c r="N35" s="5">
        <f t="shared" ca="1" si="7"/>
        <v>10</v>
      </c>
      <c r="O35" s="5">
        <f t="shared" si="8"/>
        <v>31</v>
      </c>
      <c r="P35" s="5" t="str">
        <f t="shared" ca="1" si="10"/>
        <v>Dave Morris</v>
      </c>
      <c r="Q35" s="7">
        <f t="shared" ca="1" si="11"/>
        <v>0</v>
      </c>
      <c r="R35" s="5">
        <f t="shared" ca="1" si="3"/>
        <v>5</v>
      </c>
    </row>
    <row r="36" spans="1:18">
      <c r="A36" s="70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MATCH(A36,Batting!$A$5:$A$50,0)</f>
        <v>#N/A</v>
      </c>
      <c r="F36" s="9">
        <f ca="1">IF(NOT(ISNA(E36)),OFFSET(Batting!$B$4,E36,$C$1,1,1),0)</f>
        <v>0</v>
      </c>
      <c r="G36" s="9" t="e">
        <f ca="1">MATCH(A36,Bowling!$A$5:$A$36,0)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16</v>
      </c>
      <c r="N36" s="5">
        <f t="shared" ca="1" si="7"/>
        <v>9</v>
      </c>
      <c r="O36" s="5">
        <f t="shared" si="8"/>
        <v>32</v>
      </c>
      <c r="P36" s="5" t="str">
        <f t="shared" ca="1" si="10"/>
        <v>Daragh Corrigan</v>
      </c>
      <c r="Q36" s="7">
        <f t="shared" ca="1" si="11"/>
        <v>0</v>
      </c>
      <c r="R36" s="5">
        <f t="shared" ca="1" si="3"/>
        <v>2</v>
      </c>
    </row>
    <row r="37" spans="1:18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MATCH(A37,Batting!$A$5:$A$50,0)</f>
        <v>#N/A</v>
      </c>
      <c r="F37" s="9">
        <f ca="1">IF(NOT(ISNA(E37)),OFFSET(Batting!$B$4,E37,$C$1,1,1),0)</f>
        <v>0</v>
      </c>
      <c r="G37" s="9" t="e">
        <f ca="1">MATCH(A37,Bowling!$A$5:$A$36,0)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15</v>
      </c>
      <c r="N37" s="5">
        <f t="shared" ca="1" si="7"/>
        <v>8</v>
      </c>
      <c r="O37" s="5">
        <f t="shared" si="8"/>
        <v>33</v>
      </c>
      <c r="P37" s="5" t="str">
        <f t="shared" ca="1" si="10"/>
        <v>Colin Mander</v>
      </c>
      <c r="Q37" s="7">
        <f t="shared" ca="1" si="11"/>
        <v>0</v>
      </c>
      <c r="R37" s="5">
        <f t="shared" ca="1" si="3"/>
        <v>9</v>
      </c>
    </row>
    <row r="38" spans="1:18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MATCH(A38,Batting!$A$5:$A$50,0)</f>
        <v>#N/A</v>
      </c>
      <c r="F38" s="9">
        <f ca="1">IF(NOT(ISNA(E38)),OFFSET(Batting!$B$4,E38,$C$1,1,1),0)</f>
        <v>0</v>
      </c>
      <c r="G38" s="9" t="e">
        <f ca="1">MATCH(A38,Bowling!$A$5:$A$36,0)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14</v>
      </c>
      <c r="N38" s="5">
        <f t="shared" ca="1" si="7"/>
        <v>5</v>
      </c>
      <c r="O38" s="5">
        <f t="shared" si="8"/>
        <v>34</v>
      </c>
      <c r="P38" s="5" t="str">
        <f t="shared" ca="1" si="10"/>
        <v>Bob Young</v>
      </c>
      <c r="Q38" s="7">
        <f t="shared" ca="1" si="11"/>
        <v>0</v>
      </c>
      <c r="R38" s="5">
        <f t="shared" ca="1" si="3"/>
        <v>4</v>
      </c>
    </row>
    <row r="39" spans="1:18">
      <c r="A39" s="70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MATCH(A39,Batting!$A$5:$A$50,0)</f>
        <v>#N/A</v>
      </c>
      <c r="F39" s="9">
        <f ca="1">IF(NOT(ISNA(E39)),OFFSET(Batting!$B$4,E39,$C$1,1,1),0)</f>
        <v>0</v>
      </c>
      <c r="G39" s="9">
        <f ca="1">MATCH(A39,Bowling!$A$5:$A$36,0)</f>
        <v>25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13</v>
      </c>
      <c r="N39" s="5">
        <f t="shared" ca="1" si="7"/>
        <v>4</v>
      </c>
      <c r="O39" s="5">
        <f t="shared" si="8"/>
        <v>35</v>
      </c>
      <c r="P39" s="5" t="str">
        <f t="shared" ca="1" si="10"/>
        <v>Andy Mander</v>
      </c>
      <c r="Q39" s="7">
        <f t="shared" ca="1" si="11"/>
        <v>0</v>
      </c>
      <c r="R39" s="5">
        <f t="shared" ca="1" si="3"/>
        <v>6</v>
      </c>
    </row>
    <row r="40" spans="1:18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MATCH(A40,Batting!$A$5:$A$50,0)</f>
        <v>#N/A</v>
      </c>
      <c r="F40" s="9">
        <f ca="1">IF(NOT(ISNA(E40)),OFFSET(Batting!$B$4,E40,$C$1,1,1),0)</f>
        <v>0</v>
      </c>
      <c r="G40" s="9" t="e">
        <f ca="1">MATCH(A40,Bowling!$A$5:$A$36,0)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12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MATCH(A41,Batting!$A$5:$A$50,0)</f>
        <v>#N/A</v>
      </c>
      <c r="F41" s="9">
        <f ca="1">IF(NOT(ISNA(E41)),OFFSET(Batting!$B$4,E41,$C$1,1,1),0)</f>
        <v>0</v>
      </c>
      <c r="G41" s="9" t="e">
        <f ca="1">MATCH(A41,Bowling!$A$5:$A$36,0)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MATCH(A42,Batting!$A$5:$A$50,0)</f>
        <v>#N/A</v>
      </c>
      <c r="F42" s="9">
        <f ca="1">IF(NOT(ISNA(E42)),OFFSET(Batting!$B$4,E42,$C$1,1,1),0)</f>
        <v>0</v>
      </c>
      <c r="G42" s="9" t="e">
        <f ca="1">MATCH(A42,Bowling!$A$5:$A$36,0)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MATCH(A43,Batting!$A$5:$A$50,0)</f>
        <v>#N/A</v>
      </c>
      <c r="F43" s="9">
        <f ca="1">IF(NOT(ISNA(E43)),OFFSET(Batting!$B$4,E43,$C$1,1,1),0)</f>
        <v>0</v>
      </c>
      <c r="G43" s="9" t="e">
        <f ca="1">MATCH(A43,Bowling!$A$5:$A$36,0)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MATCH(A44,Batting!$A$5:$A$50,0)</f>
        <v>#N/A</v>
      </c>
      <c r="F44" s="9">
        <f ca="1">IF(NOT(ISNA(E44)),OFFSET(Batting!$B$4,E44,$C$1,1,1),0)</f>
        <v>0</v>
      </c>
      <c r="G44" s="9" t="e">
        <f ca="1">MATCH(A44,Bowling!$A$5:$A$36,0)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MATCH(A45,Batting!$A$5:$A$50,0)</f>
        <v>#N/A</v>
      </c>
      <c r="F45" s="9">
        <f ca="1">IF(NOT(ISNA(E45)),OFFSET(Batting!$B$4,E45,$C$1,1,1),0)</f>
        <v>0</v>
      </c>
      <c r="G45" s="9" t="e">
        <f ca="1">MATCH(A45,Bowling!$A$5:$A$36,0)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MATCH(A46,Batting!$A$5:$A$50,0)</f>
        <v>#N/A</v>
      </c>
      <c r="F46" s="9">
        <f ca="1">IF(NOT(ISNA(E46)),OFFSET(Batting!$B$4,E46,$C$1,1,1),0)</f>
        <v>0</v>
      </c>
      <c r="G46" s="9" t="e">
        <f ca="1">MATCH(A46,Bowling!$A$5:$A$36,0)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J88"/>
  <sheetViews>
    <sheetView workbookViewId="0"/>
  </sheetViews>
  <sheetFormatPr defaultRowHeight="12.75" customHeight="1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4"/>
    <col min="11" max="16384" width="9.140625" style="16"/>
  </cols>
  <sheetData>
    <row r="1" spans="1:10" ht="12.75" customHeight="1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8">
        <f ca="1">I2-G2</f>
        <v>-3</v>
      </c>
    </row>
    <row r="3" spans="1:10" ht="12.75" customHeight="1">
      <c r="A3" s="17" t="str">
        <f ca="1">FantasyPts!B6</f>
        <v>Adam Lestrelle</v>
      </c>
      <c r="B3" s="18">
        <f ca="1">FantasyPts!C6</f>
        <v>106</v>
      </c>
      <c r="C3" s="18">
        <f ca="1">FantasyPts!D6</f>
        <v>50</v>
      </c>
      <c r="D3" s="18">
        <f ca="1">FantasyPts!F6</f>
        <v>43</v>
      </c>
      <c r="E3" s="18">
        <f ca="1">FantasyPts!H6</f>
        <v>13</v>
      </c>
      <c r="F3" s="18">
        <f ca="1">FantasyPts!I6</f>
        <v>0</v>
      </c>
      <c r="G3" s="18">
        <f ca="1">FantasyPts!J6</f>
        <v>2</v>
      </c>
      <c r="H3" s="19">
        <f ca="1">FantasyPts!K6</f>
        <v>53</v>
      </c>
      <c r="I3" s="16">
        <f t="shared" ref="I3:I38" ca="1" si="0">INT(B3/100+0.5)</f>
        <v>1</v>
      </c>
      <c r="J3" s="108">
        <f t="shared" ref="J3:J42" ca="1" si="1">I3-G3</f>
        <v>-1</v>
      </c>
    </row>
    <row r="4" spans="1:10" ht="12.75" customHeight="1">
      <c r="A4" s="17" t="str">
        <f ca="1">FantasyPts!B7</f>
        <v>Aiden Coloe</v>
      </c>
      <c r="B4" s="18">
        <f ca="1">FantasyPts!C7</f>
        <v>74</v>
      </c>
      <c r="C4" s="18">
        <f ca="1">FantasyPts!D7</f>
        <v>35</v>
      </c>
      <c r="D4" s="18">
        <f ca="1">FantasyPts!F7</f>
        <v>29</v>
      </c>
      <c r="E4" s="18">
        <f ca="1">FantasyPts!H7</f>
        <v>0</v>
      </c>
      <c r="F4" s="18">
        <f ca="1">FantasyPts!I7</f>
        <v>10</v>
      </c>
      <c r="G4" s="18">
        <f ca="1">FantasyPts!J7</f>
        <v>3</v>
      </c>
      <c r="H4" s="19">
        <f ca="1">FantasyPts!K7</f>
        <v>24.666</v>
      </c>
      <c r="I4" s="16">
        <f t="shared" ca="1" si="0"/>
        <v>1</v>
      </c>
      <c r="J4" s="108">
        <f t="shared" ca="1" si="1"/>
        <v>-2</v>
      </c>
    </row>
    <row r="5" spans="1:10" ht="12.75" customHeight="1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8">
        <f t="shared" ca="1" si="1"/>
        <v>-6</v>
      </c>
    </row>
    <row r="6" spans="1:10" ht="12.75" customHeight="1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8">
        <f t="shared" ca="1" si="1"/>
        <v>-4</v>
      </c>
    </row>
    <row r="7" spans="1:10" ht="12.75" customHeight="1">
      <c r="A7" s="17" t="str">
        <f ca="1">FantasyPts!B10</f>
        <v>Chris Clark</v>
      </c>
      <c r="B7" s="18">
        <f ca="1">FantasyPts!C10</f>
        <v>253</v>
      </c>
      <c r="C7" s="18">
        <f ca="1">FantasyPts!D10</f>
        <v>80</v>
      </c>
      <c r="D7" s="18">
        <f ca="1">FantasyPts!F10</f>
        <v>39</v>
      </c>
      <c r="E7" s="18">
        <f ca="1">FantasyPts!H10</f>
        <v>109</v>
      </c>
      <c r="F7" s="18">
        <f ca="1">FantasyPts!I10</f>
        <v>25</v>
      </c>
      <c r="G7" s="18">
        <f ca="1">FantasyPts!J10</f>
        <v>6</v>
      </c>
      <c r="H7" s="19">
        <f ca="1">FantasyPts!K10</f>
        <v>42.165999999999997</v>
      </c>
      <c r="I7" s="16">
        <f t="shared" ca="1" si="0"/>
        <v>3</v>
      </c>
      <c r="J7" s="108">
        <f t="shared" ca="1" si="1"/>
        <v>-3</v>
      </c>
    </row>
    <row r="8" spans="1:10" ht="12.75" customHeight="1">
      <c r="A8" s="17" t="str">
        <f ca="1">FantasyPts!B11</f>
        <v>Clive Edghill</v>
      </c>
      <c r="B8" s="18">
        <f ca="1">FantasyPts!C11</f>
        <v>177</v>
      </c>
      <c r="C8" s="18">
        <f ca="1">FantasyPts!D11</f>
        <v>65</v>
      </c>
      <c r="D8" s="18">
        <f ca="1">FantasyPts!F11</f>
        <v>102</v>
      </c>
      <c r="E8" s="18">
        <f ca="1">FantasyPts!H11</f>
        <v>0</v>
      </c>
      <c r="F8" s="18">
        <f ca="1">FantasyPts!I11</f>
        <v>10</v>
      </c>
      <c r="G8" s="18">
        <f ca="1">FantasyPts!J11</f>
        <v>2</v>
      </c>
      <c r="H8" s="19">
        <f ca="1">FantasyPts!K11</f>
        <v>88.5</v>
      </c>
      <c r="I8" s="16">
        <f t="shared" ca="1" si="0"/>
        <v>2</v>
      </c>
      <c r="J8" s="108">
        <f t="shared" ca="1" si="1"/>
        <v>0</v>
      </c>
    </row>
    <row r="9" spans="1:10" ht="12.75" customHeight="1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8">
        <f t="shared" ca="1" si="1"/>
        <v>-9</v>
      </c>
    </row>
    <row r="10" spans="1:10" ht="12.75" customHeight="1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8">
        <f t="shared" ca="1" si="1"/>
        <v>-2</v>
      </c>
    </row>
    <row r="11" spans="1:10" ht="12.75" customHeight="1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8">
        <f t="shared" ca="1" si="1"/>
        <v>-5</v>
      </c>
    </row>
    <row r="12" spans="1:10" ht="12.75" customHeight="1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8">
        <f t="shared" ca="1" si="1"/>
        <v>-4</v>
      </c>
    </row>
    <row r="13" spans="1:10" ht="12.75" customHeight="1">
      <c r="A13" s="17" t="str">
        <f ca="1">FantasyPts!B16</f>
        <v>David Sharpe</v>
      </c>
      <c r="B13" s="18">
        <f ca="1">FantasyPts!C16</f>
        <v>232</v>
      </c>
      <c r="C13" s="18">
        <f ca="1">FantasyPts!D16</f>
        <v>35</v>
      </c>
      <c r="D13" s="18">
        <f ca="1">FantasyPts!F16</f>
        <v>87</v>
      </c>
      <c r="E13" s="18">
        <f ca="1">FantasyPts!H16</f>
        <v>90</v>
      </c>
      <c r="F13" s="18">
        <f ca="1">FantasyPts!I16</f>
        <v>20</v>
      </c>
      <c r="G13" s="18">
        <f ca="1">FantasyPts!J16</f>
        <v>3</v>
      </c>
      <c r="H13" s="19">
        <f ca="1">FantasyPts!K16</f>
        <v>77.332999999999998</v>
      </c>
      <c r="I13" s="16">
        <f t="shared" ca="1" si="0"/>
        <v>2</v>
      </c>
      <c r="J13" s="108">
        <f t="shared" ca="1" si="1"/>
        <v>-1</v>
      </c>
    </row>
    <row r="14" spans="1:10" ht="12.75" customHeight="1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8">
        <f t="shared" ca="1" si="1"/>
        <v>-3</v>
      </c>
    </row>
    <row r="15" spans="1:10" ht="12.75" customHeight="1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8">
        <f t="shared" ca="1" si="1"/>
        <v>-3</v>
      </c>
    </row>
    <row r="16" spans="1:10" ht="12.75" customHeight="1">
      <c r="A16" s="17" t="str">
        <f ca="1">FantasyPts!B19</f>
        <v>Geoff Cooper</v>
      </c>
      <c r="B16" s="18">
        <f ca="1">FantasyPts!C19</f>
        <v>437</v>
      </c>
      <c r="C16" s="18">
        <f ca="1">FantasyPts!D19</f>
        <v>85</v>
      </c>
      <c r="D16" s="18">
        <f ca="1">FantasyPts!F19</f>
        <v>82</v>
      </c>
      <c r="E16" s="18">
        <f ca="1">FantasyPts!H19</f>
        <v>255</v>
      </c>
      <c r="F16" s="18">
        <f ca="1">FantasyPts!I19</f>
        <v>15</v>
      </c>
      <c r="G16" s="18">
        <f ca="1">FantasyPts!J19</f>
        <v>6</v>
      </c>
      <c r="H16" s="19">
        <f ca="1">FantasyPts!K19</f>
        <v>72.832999999999998</v>
      </c>
      <c r="I16" s="16">
        <f t="shared" ca="1" si="0"/>
        <v>4</v>
      </c>
      <c r="J16" s="108">
        <f t="shared" ca="1" si="1"/>
        <v>-2</v>
      </c>
    </row>
    <row r="17" spans="1:10" ht="12.75" customHeight="1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8">
        <f t="shared" ca="1" si="1"/>
        <v>-2</v>
      </c>
    </row>
    <row r="18" spans="1:10" ht="12.75" customHeight="1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8">
        <f t="shared" ca="1" si="1"/>
        <v>-1</v>
      </c>
    </row>
    <row r="19" spans="1:10" ht="12.75" customHeight="1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8">
        <f t="shared" ca="1" si="1"/>
        <v>-2</v>
      </c>
    </row>
    <row r="20" spans="1:10" ht="12.75" customHeight="1">
      <c r="A20" s="17" t="str">
        <f ca="1">FantasyPts!B23</f>
        <v>Jeff Lestrelle</v>
      </c>
      <c r="B20" s="18">
        <f ca="1">FantasyPts!C23</f>
        <v>28</v>
      </c>
      <c r="C20" s="18">
        <f ca="1">FantasyPts!D23</f>
        <v>5</v>
      </c>
      <c r="D20" s="18">
        <f ca="1">FantasyPts!F23</f>
        <v>23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7</v>
      </c>
      <c r="I20" s="16">
        <f t="shared" ca="1" si="0"/>
        <v>0</v>
      </c>
      <c r="J20" s="108">
        <f t="shared" ca="1" si="1"/>
        <v>-4</v>
      </c>
    </row>
    <row r="21" spans="1:10" ht="12.75" customHeight="1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8">
        <f t="shared" ca="1" si="1"/>
        <v>-5</v>
      </c>
    </row>
    <row r="22" spans="1:10" ht="12.75" customHeight="1">
      <c r="A22" s="17" t="str">
        <f ca="1">FantasyPts!B25</f>
        <v>John Leadley</v>
      </c>
      <c r="B22" s="18">
        <f ca="1">FantasyPts!C25</f>
        <v>11</v>
      </c>
      <c r="C22" s="18">
        <f ca="1">FantasyPts!D25</f>
        <v>5</v>
      </c>
      <c r="D22" s="18">
        <f ca="1">FantasyPts!F25</f>
        <v>6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1</v>
      </c>
      <c r="I22" s="16">
        <f t="shared" ca="1" si="0"/>
        <v>0</v>
      </c>
      <c r="J22" s="108">
        <f t="shared" ca="1" si="1"/>
        <v>-11</v>
      </c>
    </row>
    <row r="23" spans="1:10" ht="12.75" customHeight="1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8">
        <f t="shared" ca="1" si="1"/>
        <v>-5</v>
      </c>
    </row>
    <row r="24" spans="1:10" ht="12.75" customHeight="1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8">
        <f t="shared" ca="1" si="1"/>
        <v>-2</v>
      </c>
    </row>
    <row r="25" spans="1:10" ht="12.75" customHeight="1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8">
        <f t="shared" ca="1" si="1"/>
        <v>-2</v>
      </c>
    </row>
    <row r="26" spans="1:10" ht="12.75" customHeight="1">
      <c r="A26" s="17" t="str">
        <f ca="1">FantasyPts!B29</f>
        <v>Mike Bowers</v>
      </c>
      <c r="B26" s="18">
        <f ca="1">FantasyPts!C29</f>
        <v>1</v>
      </c>
      <c r="C26" s="18">
        <f ca="1">FantasyPts!D29</f>
        <v>5</v>
      </c>
      <c r="D26" s="18">
        <f ca="1">FantasyPts!F29</f>
        <v>1</v>
      </c>
      <c r="E26" s="18">
        <f ca="1">FantasyPts!H29</f>
        <v>-5</v>
      </c>
      <c r="F26" s="18">
        <f ca="1">FantasyPts!I29</f>
        <v>0</v>
      </c>
      <c r="G26" s="18">
        <f ca="1">FantasyPts!J29</f>
        <v>3</v>
      </c>
      <c r="H26" s="19">
        <f ca="1">FantasyPts!K29</f>
        <v>0.33300000000000002</v>
      </c>
      <c r="I26" s="16">
        <f t="shared" ca="1" si="0"/>
        <v>0</v>
      </c>
      <c r="J26" s="108">
        <f t="shared" ca="1" si="1"/>
        <v>-3</v>
      </c>
    </row>
    <row r="27" spans="1:10" ht="12.75" customHeight="1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8">
        <f t="shared" ca="1" si="1"/>
        <v>-3</v>
      </c>
    </row>
    <row r="28" spans="1:10" ht="12.75" customHeight="1">
      <c r="A28" s="17" t="str">
        <f ca="1">FantasyPts!B31</f>
        <v>Mike Woodhouse</v>
      </c>
      <c r="B28" s="18">
        <f ca="1">FantasyPts!C31</f>
        <v>5</v>
      </c>
      <c r="C28" s="18">
        <f ca="1">FantasyPts!D31</f>
        <v>5</v>
      </c>
      <c r="D28" s="18">
        <f ca="1">FantasyPts!F31</f>
        <v>-5</v>
      </c>
      <c r="E28" s="18">
        <f ca="1">FantasyPts!H31</f>
        <v>0</v>
      </c>
      <c r="F28" s="18">
        <f ca="1">FantasyPts!I31</f>
        <v>5</v>
      </c>
      <c r="G28" s="18">
        <f ca="1">FantasyPts!J31</f>
        <v>5</v>
      </c>
      <c r="H28" s="19">
        <f ca="1">FantasyPts!K31</f>
        <v>1</v>
      </c>
      <c r="I28" s="16">
        <f t="shared" ca="1" si="0"/>
        <v>0</v>
      </c>
      <c r="J28" s="108">
        <f t="shared" ca="1" si="1"/>
        <v>-5</v>
      </c>
    </row>
    <row r="29" spans="1:10" ht="12.75" customHeight="1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8">
        <f t="shared" ca="1" si="1"/>
        <v>-3</v>
      </c>
    </row>
    <row r="30" spans="1:10" ht="12.75" customHeight="1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8">
        <f t="shared" ca="1" si="1"/>
        <v>-9</v>
      </c>
    </row>
    <row r="31" spans="1:10" ht="12.75" customHeight="1">
      <c r="A31" s="17" t="str">
        <f ca="1">FantasyPts!B34</f>
        <v>Rick Worthington</v>
      </c>
      <c r="B31" s="18">
        <f ca="1">FantasyPts!C34</f>
        <v>68</v>
      </c>
      <c r="C31" s="18">
        <f ca="1">FantasyPts!D34</f>
        <v>30</v>
      </c>
      <c r="D31" s="18">
        <f ca="1">FantasyPts!F34</f>
        <v>38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17</v>
      </c>
      <c r="I31" s="16">
        <f t="shared" ca="1" si="0"/>
        <v>1</v>
      </c>
      <c r="J31" s="108">
        <f t="shared" ca="1" si="1"/>
        <v>-3</v>
      </c>
    </row>
    <row r="32" spans="1:10" ht="12.75" customHeight="1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8">
        <f t="shared" ca="1" si="1"/>
        <v>-2</v>
      </c>
    </row>
    <row r="33" spans="1:10" ht="12.75" customHeight="1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8">
        <f t="shared" ca="1" si="1"/>
        <v>-2</v>
      </c>
    </row>
    <row r="34" spans="1:10" ht="12.75" customHeight="1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8">
        <f t="shared" ca="1" si="1"/>
        <v>-2</v>
      </c>
    </row>
    <row r="35" spans="1:10" ht="12.75" customHeight="1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8">
        <f t="shared" ca="1" si="1"/>
        <v>-3</v>
      </c>
    </row>
    <row r="36" spans="1:10" ht="12.75" customHeight="1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8">
        <f t="shared" ca="1" si="1"/>
        <v>-13</v>
      </c>
    </row>
    <row r="37" spans="1:10" ht="12.75" customHeight="1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8">
        <f t="shared" ca="1" si="1"/>
        <v>-4</v>
      </c>
    </row>
    <row r="38" spans="1:10" ht="12.75" customHeight="1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8" t="e">
        <f t="shared" ca="1" si="1"/>
        <v>#N/A</v>
      </c>
    </row>
    <row r="39" spans="1:10" ht="12.75" customHeight="1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8" t="e">
        <f t="shared" ca="1" si="1"/>
        <v>#N/A</v>
      </c>
    </row>
    <row r="40" spans="1:10" ht="12.75" customHeight="1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8" t="e">
        <f t="shared" ca="1" si="1"/>
        <v>#N/A</v>
      </c>
    </row>
    <row r="41" spans="1:10" ht="12.75" customHeight="1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8" t="e">
        <f t="shared" ca="1" si="1"/>
        <v>#N/A</v>
      </c>
    </row>
    <row r="42" spans="1:10" ht="12.75" customHeight="1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8" t="e">
        <f t="shared" ca="1" si="1"/>
        <v>#N/A</v>
      </c>
    </row>
    <row r="43" spans="1:10" ht="12.75" customHeight="1">
      <c r="A43" s="17"/>
      <c r="B43" s="18"/>
      <c r="C43" s="18"/>
      <c r="D43" s="18"/>
      <c r="E43" s="18"/>
      <c r="F43" s="18"/>
      <c r="G43" s="18"/>
      <c r="H43" s="19"/>
    </row>
    <row r="44" spans="1:10" ht="12.75" customHeight="1">
      <c r="A44" s="17"/>
      <c r="B44" s="18"/>
      <c r="C44" s="18"/>
      <c r="D44" s="18"/>
      <c r="E44" s="18"/>
      <c r="F44" s="18"/>
      <c r="G44" s="18"/>
      <c r="H44" s="19"/>
    </row>
    <row r="45" spans="1:10" ht="12.75" customHeight="1">
      <c r="A45" s="17"/>
      <c r="B45" s="18"/>
      <c r="C45" s="18"/>
      <c r="D45" s="18"/>
      <c r="E45" s="18"/>
      <c r="F45" s="18"/>
      <c r="G45" s="18"/>
      <c r="H45" s="19"/>
    </row>
    <row r="46" spans="1:10" ht="12.75" customHeight="1">
      <c r="A46" s="17"/>
      <c r="B46" s="18"/>
      <c r="C46" s="18"/>
      <c r="D46" s="18"/>
      <c r="E46" s="18"/>
      <c r="F46" s="18"/>
      <c r="G46" s="18"/>
      <c r="H46" s="19"/>
    </row>
    <row r="47" spans="1:10" ht="12.75" customHeight="1">
      <c r="A47" s="17"/>
      <c r="B47" s="18"/>
      <c r="C47" s="18"/>
      <c r="D47" s="18"/>
      <c r="E47" s="18"/>
      <c r="F47" s="18"/>
      <c r="G47" s="18"/>
      <c r="H47" s="19"/>
    </row>
    <row r="48" spans="1:10" ht="12.75" customHeight="1">
      <c r="A48" s="17"/>
      <c r="B48" s="18"/>
      <c r="C48" s="18"/>
      <c r="D48" s="18"/>
      <c r="E48" s="18"/>
      <c r="F48" s="18"/>
      <c r="G48" s="18"/>
      <c r="H48" s="19"/>
    </row>
    <row r="49" spans="1:8" ht="12.75" customHeight="1">
      <c r="A49" s="17"/>
      <c r="B49" s="18"/>
      <c r="C49" s="18"/>
      <c r="D49" s="18"/>
      <c r="E49" s="18"/>
      <c r="F49" s="18"/>
      <c r="G49" s="18"/>
      <c r="H49" s="19"/>
    </row>
    <row r="50" spans="1:8" ht="12.75" customHeight="1">
      <c r="A50" s="17"/>
      <c r="B50" s="18"/>
      <c r="C50" s="18"/>
      <c r="D50" s="18"/>
      <c r="E50" s="18"/>
      <c r="F50" s="18"/>
      <c r="G50" s="18"/>
      <c r="H50" s="19"/>
    </row>
    <row r="51" spans="1:8" ht="12.75" customHeight="1">
      <c r="A51" s="17"/>
      <c r="B51" s="18"/>
      <c r="C51" s="18"/>
      <c r="D51" s="18"/>
      <c r="E51" s="18"/>
      <c r="F51" s="18"/>
      <c r="G51" s="18"/>
      <c r="H51" s="19"/>
    </row>
    <row r="52" spans="1:8" ht="12.75" customHeight="1">
      <c r="A52" s="17"/>
      <c r="B52" s="18"/>
      <c r="C52" s="18"/>
      <c r="D52" s="18"/>
      <c r="E52" s="18"/>
      <c r="F52" s="18"/>
      <c r="G52" s="18"/>
      <c r="H52" s="19"/>
    </row>
    <row r="53" spans="1:8" ht="12.75" customHeight="1">
      <c r="A53" s="17"/>
      <c r="B53" s="18"/>
      <c r="C53" s="18"/>
      <c r="D53" s="18"/>
      <c r="E53" s="18"/>
      <c r="F53" s="18"/>
      <c r="G53" s="18"/>
      <c r="H53" s="19"/>
    </row>
    <row r="54" spans="1:8" ht="12.75" customHeight="1">
      <c r="A54" s="17"/>
      <c r="B54" s="18"/>
      <c r="C54" s="18"/>
      <c r="D54" s="18"/>
      <c r="E54" s="18"/>
      <c r="F54" s="18"/>
      <c r="G54" s="18"/>
      <c r="H54" s="19"/>
    </row>
    <row r="55" spans="1:8" ht="12.75" customHeight="1">
      <c r="A55" s="17"/>
      <c r="B55" s="18"/>
      <c r="C55" s="18"/>
      <c r="D55" s="18"/>
      <c r="E55" s="18"/>
      <c r="F55" s="18"/>
      <c r="G55" s="18"/>
      <c r="H55" s="19"/>
    </row>
    <row r="56" spans="1:8" ht="12.75" customHeight="1">
      <c r="A56" s="17"/>
      <c r="B56" s="18"/>
      <c r="C56" s="18"/>
      <c r="D56" s="18"/>
      <c r="E56" s="18"/>
      <c r="F56" s="18"/>
      <c r="G56" s="18"/>
      <c r="H56" s="19"/>
    </row>
    <row r="57" spans="1:8" ht="12.75" customHeight="1">
      <c r="A57" s="17"/>
      <c r="B57" s="18"/>
      <c r="C57" s="18"/>
      <c r="D57" s="18"/>
      <c r="E57" s="18"/>
      <c r="F57" s="18"/>
      <c r="G57" s="18"/>
      <c r="H57" s="19"/>
    </row>
    <row r="58" spans="1:8" ht="12.75" customHeight="1">
      <c r="A58" s="17"/>
      <c r="B58" s="18"/>
      <c r="C58" s="18"/>
      <c r="D58" s="18"/>
      <c r="E58" s="18"/>
      <c r="F58" s="18"/>
      <c r="G58" s="18"/>
      <c r="H58" s="19"/>
    </row>
    <row r="59" spans="1:8" ht="12.75" customHeight="1">
      <c r="A59" s="17"/>
      <c r="B59" s="18"/>
      <c r="C59" s="18"/>
      <c r="D59" s="18"/>
      <c r="E59" s="18"/>
      <c r="F59" s="18"/>
      <c r="G59" s="18"/>
      <c r="H59" s="19"/>
    </row>
    <row r="60" spans="1:8" ht="12.75" customHeight="1">
      <c r="A60" s="17"/>
      <c r="B60" s="18"/>
      <c r="C60" s="18"/>
      <c r="D60" s="18"/>
      <c r="E60" s="18"/>
      <c r="F60" s="18"/>
      <c r="G60" s="18"/>
      <c r="H60" s="19"/>
    </row>
    <row r="61" spans="1:8" ht="12.75" customHeight="1">
      <c r="A61" s="17"/>
      <c r="B61" s="18"/>
      <c r="C61" s="18"/>
      <c r="D61" s="18"/>
      <c r="E61" s="18"/>
      <c r="F61" s="18"/>
      <c r="G61" s="18"/>
      <c r="H61" s="19"/>
    </row>
    <row r="62" spans="1:8" ht="12.75" customHeight="1">
      <c r="A62" s="17"/>
      <c r="B62" s="18"/>
      <c r="C62" s="18"/>
      <c r="D62" s="18"/>
      <c r="E62" s="18"/>
      <c r="F62" s="18"/>
      <c r="G62" s="18"/>
      <c r="H62" s="19"/>
    </row>
    <row r="63" spans="1:8" ht="12.75" customHeight="1">
      <c r="A63" s="17"/>
      <c r="B63" s="18"/>
      <c r="C63" s="18"/>
      <c r="D63" s="18"/>
      <c r="E63" s="18"/>
      <c r="F63" s="18"/>
      <c r="G63" s="18"/>
      <c r="H63" s="19"/>
    </row>
    <row r="64" spans="1:8" ht="12.75" customHeight="1">
      <c r="A64" s="17"/>
      <c r="B64" s="18"/>
      <c r="C64" s="18"/>
      <c r="D64" s="18"/>
      <c r="E64" s="18"/>
      <c r="F64" s="18"/>
      <c r="G64" s="18"/>
      <c r="H64" s="19"/>
    </row>
    <row r="65" spans="1:8" ht="12.75" customHeight="1">
      <c r="A65" s="17"/>
      <c r="B65" s="18"/>
      <c r="C65" s="18"/>
      <c r="D65" s="18"/>
      <c r="E65" s="18"/>
      <c r="F65" s="18"/>
      <c r="G65" s="18"/>
      <c r="H65" s="19"/>
    </row>
    <row r="66" spans="1:8" ht="12.75" customHeight="1">
      <c r="A66" s="17"/>
      <c r="B66" s="18"/>
      <c r="C66" s="18"/>
      <c r="D66" s="18"/>
      <c r="E66" s="18"/>
      <c r="F66" s="18"/>
      <c r="G66" s="18"/>
      <c r="H66" s="19"/>
    </row>
    <row r="67" spans="1:8" ht="12.75" customHeight="1">
      <c r="A67" s="17"/>
      <c r="B67" s="18"/>
      <c r="C67" s="18"/>
      <c r="D67" s="18"/>
      <c r="E67" s="18"/>
      <c r="F67" s="18"/>
      <c r="G67" s="18"/>
      <c r="H67" s="19"/>
    </row>
    <row r="68" spans="1:8" ht="12.75" customHeight="1">
      <c r="A68" s="17"/>
      <c r="B68" s="18"/>
      <c r="C68" s="18"/>
      <c r="D68" s="18"/>
      <c r="E68" s="18"/>
      <c r="F68" s="18"/>
      <c r="G68" s="18"/>
      <c r="H68" s="19"/>
    </row>
    <row r="69" spans="1:8" ht="12.75" customHeight="1">
      <c r="A69" s="17"/>
      <c r="B69" s="18"/>
      <c r="C69" s="18"/>
      <c r="D69" s="18"/>
      <c r="E69" s="18"/>
      <c r="F69" s="18"/>
      <c r="G69" s="18"/>
      <c r="H69" s="19"/>
    </row>
    <row r="70" spans="1:8" ht="12.75" customHeight="1">
      <c r="A70" s="17"/>
      <c r="B70" s="18"/>
      <c r="C70" s="18"/>
      <c r="D70" s="18"/>
      <c r="E70" s="18"/>
      <c r="F70" s="18"/>
      <c r="G70" s="18"/>
      <c r="H70" s="19"/>
    </row>
    <row r="71" spans="1:8" ht="12.75" customHeight="1">
      <c r="A71" s="17"/>
      <c r="B71" s="18"/>
      <c r="C71" s="18"/>
      <c r="D71" s="18"/>
      <c r="E71" s="18"/>
      <c r="F71" s="18"/>
      <c r="G71" s="18"/>
      <c r="H71" s="19"/>
    </row>
    <row r="72" spans="1:8" ht="12.75" customHeight="1">
      <c r="A72" s="17"/>
      <c r="B72" s="18"/>
      <c r="C72" s="18"/>
      <c r="D72" s="18"/>
      <c r="E72" s="18"/>
      <c r="F72" s="18"/>
      <c r="G72" s="18"/>
      <c r="H72" s="19"/>
    </row>
    <row r="73" spans="1:8" ht="12.75" customHeight="1">
      <c r="A73" s="17"/>
      <c r="B73" s="18"/>
      <c r="C73" s="18"/>
      <c r="D73" s="18"/>
      <c r="E73" s="18"/>
      <c r="F73" s="18"/>
      <c r="G73" s="18"/>
      <c r="H73" s="19"/>
    </row>
    <row r="74" spans="1:8" ht="12.75" customHeight="1">
      <c r="A74" s="17"/>
      <c r="B74" s="18"/>
      <c r="C74" s="18"/>
      <c r="D74" s="18"/>
      <c r="E74" s="18"/>
      <c r="F74" s="18"/>
      <c r="G74" s="18"/>
      <c r="H74" s="19"/>
    </row>
    <row r="75" spans="1:8" ht="12.75" customHeight="1">
      <c r="A75" s="17"/>
      <c r="B75" s="18"/>
      <c r="C75" s="18"/>
      <c r="D75" s="18"/>
      <c r="E75" s="18"/>
      <c r="F75" s="18"/>
      <c r="G75" s="18"/>
      <c r="H75" s="19"/>
    </row>
    <row r="76" spans="1:8" ht="12.75" customHeight="1">
      <c r="A76" s="17"/>
      <c r="B76" s="18"/>
      <c r="C76" s="18"/>
      <c r="D76" s="18"/>
      <c r="E76" s="18"/>
      <c r="F76" s="18"/>
      <c r="G76" s="18"/>
      <c r="H76" s="19"/>
    </row>
    <row r="77" spans="1:8" ht="12.75" customHeight="1">
      <c r="A77" s="17"/>
      <c r="B77" s="18"/>
      <c r="C77" s="18"/>
      <c r="D77" s="18"/>
      <c r="E77" s="18"/>
      <c r="F77" s="18"/>
      <c r="G77" s="18"/>
      <c r="H77" s="19"/>
    </row>
    <row r="78" spans="1:8" ht="12.75" customHeight="1">
      <c r="A78" s="17"/>
      <c r="B78" s="18"/>
      <c r="C78" s="18"/>
      <c r="D78" s="18"/>
      <c r="E78" s="18"/>
      <c r="F78" s="18"/>
      <c r="G78" s="18"/>
      <c r="H78" s="19"/>
    </row>
    <row r="79" spans="1:8" ht="12.75" customHeight="1">
      <c r="A79" s="17"/>
      <c r="B79" s="18"/>
      <c r="C79" s="18"/>
      <c r="D79" s="18"/>
      <c r="E79" s="18"/>
      <c r="F79" s="18"/>
      <c r="G79" s="18"/>
      <c r="H79" s="19"/>
    </row>
    <row r="80" spans="1:8" ht="12.75" customHeight="1">
      <c r="A80" s="17"/>
      <c r="B80" s="18"/>
      <c r="C80" s="18"/>
      <c r="D80" s="18"/>
      <c r="E80" s="18"/>
      <c r="F80" s="18"/>
      <c r="G80" s="18"/>
      <c r="H80" s="19"/>
    </row>
    <row r="81" spans="1:8" ht="12.75" customHeight="1">
      <c r="A81" s="17"/>
      <c r="B81" s="18"/>
      <c r="C81" s="18"/>
      <c r="D81" s="18"/>
      <c r="E81" s="18"/>
      <c r="F81" s="18"/>
      <c r="G81" s="18"/>
      <c r="H81" s="19"/>
    </row>
    <row r="82" spans="1:8" ht="12.75" customHeight="1">
      <c r="A82" s="17"/>
      <c r="B82" s="18"/>
      <c r="C82" s="18"/>
      <c r="D82" s="18"/>
      <c r="E82" s="18"/>
      <c r="F82" s="18"/>
      <c r="G82" s="18"/>
      <c r="H82" s="19"/>
    </row>
    <row r="83" spans="1:8" ht="12.75" customHeight="1">
      <c r="A83" s="17"/>
      <c r="B83" s="18"/>
      <c r="C83" s="18"/>
      <c r="D83" s="18"/>
      <c r="E83" s="18"/>
      <c r="F83" s="18"/>
      <c r="G83" s="18"/>
      <c r="H83" s="19"/>
    </row>
    <row r="84" spans="1:8" ht="12.75" customHeight="1">
      <c r="A84" s="17"/>
      <c r="B84" s="18"/>
      <c r="C84" s="18"/>
      <c r="D84" s="18"/>
      <c r="E84" s="18"/>
      <c r="F84" s="18"/>
      <c r="G84" s="18"/>
      <c r="H84" s="19"/>
    </row>
    <row r="85" spans="1:8" ht="12.75" customHeight="1">
      <c r="A85" s="17"/>
      <c r="B85" s="18"/>
      <c r="C85" s="18"/>
      <c r="D85" s="18"/>
      <c r="E85" s="18"/>
      <c r="F85" s="18"/>
      <c r="G85" s="18"/>
      <c r="H85" s="19"/>
    </row>
    <row r="86" spans="1:8" ht="12.75" customHeight="1">
      <c r="A86" s="17"/>
      <c r="B86" s="18"/>
      <c r="C86" s="18"/>
      <c r="D86" s="18"/>
      <c r="E86" s="18"/>
      <c r="F86" s="18"/>
      <c r="G86" s="18"/>
      <c r="H86" s="19"/>
    </row>
    <row r="87" spans="1:8" ht="12.75" customHeight="1">
      <c r="A87" s="17"/>
      <c r="B87" s="18"/>
      <c r="C87" s="18"/>
      <c r="D87" s="18"/>
      <c r="E87" s="18"/>
      <c r="F87" s="18"/>
      <c r="G87" s="18"/>
      <c r="H87" s="19"/>
    </row>
    <row r="88" spans="1:8" ht="12.75" customHeight="1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A70"/>
  <sheetViews>
    <sheetView workbookViewId="0"/>
  </sheetViews>
  <sheetFormatPr defaultColWidth="9" defaultRowHeight="12.75"/>
  <cols>
    <col min="1" max="1" width="9.5703125" style="83" customWidth="1"/>
    <col min="2" max="2" width="18" style="82" customWidth="1"/>
    <col min="3" max="3" width="40.5703125" style="82" bestFit="1" customWidth="1"/>
    <col min="4" max="4" width="9.7109375" style="83" customWidth="1"/>
    <col min="5" max="8" width="9" style="82" customWidth="1"/>
    <col min="9" max="9" width="12.28515625" style="82" customWidth="1"/>
    <col min="10" max="10" width="9.140625" customWidth="1"/>
    <col min="11" max="15" width="5.85546875" style="82" customWidth="1"/>
    <col min="16" max="16" width="10.5703125" style="82" customWidth="1"/>
    <col min="17" max="17" width="9" style="82" customWidth="1"/>
    <col min="18" max="18" width="11.5703125" style="82" customWidth="1"/>
    <col min="19" max="16384" width="9" style="82"/>
  </cols>
  <sheetData>
    <row r="1" spans="1:27">
      <c r="A1" s="81" t="s">
        <v>210</v>
      </c>
    </row>
    <row r="2" spans="1:27">
      <c r="A2" s="81"/>
    </row>
    <row r="3" spans="1:27" ht="15">
      <c r="A3" s="11" t="s">
        <v>203</v>
      </c>
      <c r="B3" s="12" t="s">
        <v>95</v>
      </c>
      <c r="C3" s="12" t="s">
        <v>96</v>
      </c>
      <c r="D3" s="11" t="s">
        <v>97</v>
      </c>
    </row>
    <row r="4" spans="1:27" ht="15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</row>
    <row r="8" spans="1:27" ht="15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</row>
    <row r="9" spans="1:27" ht="15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</row>
    <row r="10" spans="1:27" ht="15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>
      <c r="A43" s="82"/>
      <c r="D43" s="82"/>
      <c r="F43"/>
      <c r="G43"/>
      <c r="H43"/>
      <c r="L43"/>
      <c r="M43"/>
      <c r="N43"/>
      <c r="O43"/>
      <c r="R43"/>
    </row>
    <row r="44" spans="1:18">
      <c r="F44"/>
      <c r="G44"/>
      <c r="H44"/>
      <c r="I44"/>
      <c r="L44"/>
      <c r="M44"/>
      <c r="N44"/>
      <c r="O44"/>
      <c r="R44"/>
    </row>
    <row r="45" spans="1:18">
      <c r="F45"/>
      <c r="G45"/>
      <c r="H45"/>
      <c r="I45"/>
      <c r="L45"/>
      <c r="M45"/>
      <c r="N45"/>
      <c r="O45"/>
      <c r="R45"/>
    </row>
    <row r="46" spans="1:18">
      <c r="F46"/>
      <c r="G46"/>
      <c r="H46"/>
      <c r="I46"/>
      <c r="L46"/>
      <c r="M46"/>
      <c r="N46"/>
      <c r="O46"/>
      <c r="R46"/>
    </row>
    <row r="47" spans="1:18">
      <c r="F47"/>
      <c r="G47"/>
      <c r="H47"/>
      <c r="I47"/>
      <c r="L47"/>
      <c r="M47"/>
      <c r="N47"/>
      <c r="O47"/>
      <c r="R47"/>
    </row>
    <row r="48" spans="1:18">
      <c r="F48"/>
      <c r="G48"/>
      <c r="H48"/>
      <c r="I48"/>
      <c r="L48"/>
      <c r="M48"/>
      <c r="N48"/>
      <c r="O48"/>
      <c r="R48"/>
    </row>
    <row r="49" spans="6:18">
      <c r="F49"/>
      <c r="G49"/>
      <c r="H49"/>
      <c r="I49"/>
      <c r="L49"/>
      <c r="M49"/>
      <c r="N49"/>
      <c r="O49"/>
      <c r="R49"/>
    </row>
    <row r="50" spans="6:18">
      <c r="F50"/>
      <c r="G50"/>
      <c r="H50"/>
      <c r="I50"/>
      <c r="L50"/>
      <c r="M50"/>
      <c r="N50"/>
      <c r="O50"/>
      <c r="R50"/>
    </row>
    <row r="51" spans="6:18">
      <c r="F51"/>
      <c r="G51"/>
      <c r="H51"/>
      <c r="I51"/>
      <c r="L51"/>
      <c r="M51"/>
      <c r="N51"/>
      <c r="O51"/>
      <c r="R51"/>
    </row>
    <row r="52" spans="6:18">
      <c r="F52"/>
      <c r="G52"/>
      <c r="H52"/>
      <c r="I52"/>
      <c r="K52"/>
      <c r="L52"/>
      <c r="M52"/>
      <c r="N52"/>
      <c r="O52"/>
      <c r="R52"/>
    </row>
    <row r="53" spans="6:18">
      <c r="F53"/>
      <c r="G53"/>
      <c r="H53"/>
      <c r="I53"/>
      <c r="K53"/>
      <c r="L53"/>
      <c r="M53"/>
      <c r="N53"/>
      <c r="O53"/>
      <c r="R53"/>
    </row>
    <row r="54" spans="6:18">
      <c r="F54"/>
      <c r="G54"/>
      <c r="H54"/>
      <c r="I54"/>
      <c r="K54"/>
      <c r="L54"/>
      <c r="M54"/>
      <c r="N54"/>
      <c r="O54"/>
      <c r="R54"/>
    </row>
    <row r="55" spans="6:18">
      <c r="F55"/>
      <c r="G55"/>
      <c r="H55"/>
      <c r="I55"/>
      <c r="K55"/>
      <c r="L55"/>
      <c r="M55"/>
      <c r="N55"/>
      <c r="O55"/>
      <c r="R55"/>
    </row>
    <row r="56" spans="6:18">
      <c r="F56"/>
      <c r="G56"/>
      <c r="H56"/>
      <c r="I56"/>
      <c r="K56"/>
      <c r="L56"/>
      <c r="M56"/>
      <c r="N56"/>
      <c r="O56"/>
      <c r="R56"/>
    </row>
    <row r="57" spans="6:18">
      <c r="F57"/>
      <c r="G57"/>
      <c r="H57"/>
      <c r="I57"/>
      <c r="K57"/>
      <c r="L57"/>
      <c r="M57"/>
      <c r="N57"/>
      <c r="O57"/>
      <c r="R57"/>
    </row>
    <row r="58" spans="6:18">
      <c r="F58"/>
      <c r="G58"/>
      <c r="H58"/>
      <c r="I58"/>
      <c r="K58"/>
      <c r="L58"/>
      <c r="M58"/>
      <c r="N58"/>
      <c r="O58"/>
      <c r="R58"/>
    </row>
    <row r="59" spans="6:18">
      <c r="F59"/>
      <c r="G59"/>
      <c r="H59"/>
      <c r="I59"/>
      <c r="K59"/>
      <c r="L59"/>
      <c r="M59"/>
      <c r="N59"/>
      <c r="O59"/>
      <c r="R59"/>
    </row>
    <row r="60" spans="6:18">
      <c r="F60"/>
      <c r="G60"/>
      <c r="H60"/>
      <c r="I60"/>
      <c r="K60"/>
      <c r="L60"/>
      <c r="M60"/>
      <c r="N60"/>
      <c r="O60"/>
      <c r="R60"/>
    </row>
    <row r="61" spans="6:18">
      <c r="F61"/>
      <c r="G61"/>
      <c r="H61"/>
      <c r="I61"/>
      <c r="K61"/>
      <c r="L61"/>
      <c r="M61"/>
      <c r="N61"/>
      <c r="O61"/>
      <c r="R61"/>
    </row>
    <row r="62" spans="6:18">
      <c r="F62"/>
      <c r="G62"/>
      <c r="H62"/>
      <c r="I62"/>
      <c r="K62"/>
      <c r="L62"/>
      <c r="M62"/>
      <c r="N62"/>
      <c r="O62"/>
      <c r="R62"/>
    </row>
    <row r="63" spans="6:18">
      <c r="F63"/>
      <c r="G63"/>
      <c r="H63"/>
      <c r="I63"/>
      <c r="K63"/>
      <c r="L63"/>
      <c r="M63"/>
      <c r="N63"/>
      <c r="O63"/>
      <c r="R63"/>
    </row>
    <row r="64" spans="6:18">
      <c r="F64"/>
      <c r="G64"/>
      <c r="H64"/>
      <c r="I64"/>
      <c r="K64"/>
      <c r="L64"/>
      <c r="M64"/>
      <c r="N64"/>
      <c r="O64"/>
      <c r="R64"/>
    </row>
    <row r="65" spans="11:18">
      <c r="K65"/>
      <c r="R65"/>
    </row>
    <row r="66" spans="11:18">
      <c r="K66"/>
      <c r="R66"/>
    </row>
    <row r="67" spans="11:18">
      <c r="K67"/>
      <c r="R67"/>
    </row>
    <row r="68" spans="11:18">
      <c r="K68"/>
      <c r="R68"/>
    </row>
    <row r="69" spans="11:18">
      <c r="K69"/>
      <c r="R69"/>
    </row>
    <row r="70" spans="11:18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B1" sqref="B1"/>
    </sheetView>
  </sheetViews>
  <sheetFormatPr defaultRowHeight="10.5"/>
  <cols>
    <col min="1" max="1" width="12.140625" customWidth="1"/>
  </cols>
  <sheetData>
    <row r="1" spans="1:2">
      <c r="A1" t="s">
        <v>227</v>
      </c>
      <c r="B1" t="s">
        <v>3</v>
      </c>
    </row>
    <row r="2" spans="1:2">
      <c r="A2" t="s">
        <v>184</v>
      </c>
      <c r="B2" t="s">
        <v>248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dimension ref="A3:F9"/>
  <sheetViews>
    <sheetView tabSelected="1" workbookViewId="0">
      <selection activeCell="A3" sqref="A3"/>
    </sheetView>
  </sheetViews>
  <sheetFormatPr defaultRowHeight="10.5"/>
  <cols>
    <col min="1" max="1" width="15.140625" bestFit="1" customWidth="1"/>
    <col min="2" max="2" width="16.7109375" bestFit="1" customWidth="1"/>
    <col min="3" max="3" width="2.140625" customWidth="1"/>
    <col min="4" max="4" width="3.5703125" customWidth="1"/>
    <col min="5" max="5" width="2.7109375" customWidth="1"/>
    <col min="6" max="6" width="11.85546875" bestFit="1" customWidth="1"/>
  </cols>
  <sheetData>
    <row r="3" spans="1:6">
      <c r="A3" s="154" t="s">
        <v>627</v>
      </c>
      <c r="B3" s="154" t="s">
        <v>626</v>
      </c>
    </row>
    <row r="4" spans="1:6">
      <c r="A4" s="154" t="s">
        <v>623</v>
      </c>
      <c r="B4" t="s">
        <v>217</v>
      </c>
      <c r="C4" t="s">
        <v>248</v>
      </c>
      <c r="D4" t="s">
        <v>242</v>
      </c>
      <c r="E4" t="s">
        <v>254</v>
      </c>
      <c r="F4" t="s">
        <v>625</v>
      </c>
    </row>
    <row r="5" spans="1:6">
      <c r="A5" s="155" t="s">
        <v>148</v>
      </c>
      <c r="B5" s="156">
        <v>4</v>
      </c>
      <c r="C5" s="156">
        <v>6</v>
      </c>
      <c r="D5" s="156">
        <v>1</v>
      </c>
      <c r="E5" s="156">
        <v>4</v>
      </c>
      <c r="F5" s="156">
        <v>15</v>
      </c>
    </row>
    <row r="6" spans="1:6">
      <c r="A6" s="155" t="s">
        <v>44</v>
      </c>
      <c r="B6" s="156"/>
      <c r="C6" s="156">
        <v>1</v>
      </c>
      <c r="D6" s="156"/>
      <c r="E6" s="156">
        <v>1</v>
      </c>
      <c r="F6" s="156">
        <v>2</v>
      </c>
    </row>
    <row r="7" spans="1:6">
      <c r="A7" s="155" t="s">
        <v>184</v>
      </c>
      <c r="B7" s="156"/>
      <c r="C7" s="156">
        <v>1</v>
      </c>
      <c r="D7" s="156"/>
      <c r="E7" s="156"/>
      <c r="F7" s="156">
        <v>1</v>
      </c>
    </row>
    <row r="8" spans="1:6">
      <c r="A8" s="155" t="s">
        <v>624</v>
      </c>
      <c r="B8" s="156"/>
      <c r="C8" s="156">
        <v>1</v>
      </c>
      <c r="D8" s="156"/>
      <c r="E8" s="156"/>
      <c r="F8" s="156">
        <v>1</v>
      </c>
    </row>
    <row r="9" spans="1:6">
      <c r="A9" s="155" t="s">
        <v>625</v>
      </c>
      <c r="B9" s="156">
        <v>4</v>
      </c>
      <c r="C9" s="156">
        <v>9</v>
      </c>
      <c r="D9" s="156">
        <v>1</v>
      </c>
      <c r="E9" s="156">
        <v>5</v>
      </c>
      <c r="F9" s="156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V78"/>
  <sheetViews>
    <sheetView topLeftCell="E25" workbookViewId="0">
      <selection activeCell="H59" sqref="H59:I78"/>
    </sheetView>
  </sheetViews>
  <sheetFormatPr defaultRowHeight="10.5"/>
  <sheetData>
    <row r="1" spans="1:22">
      <c r="A1" t="s">
        <v>84</v>
      </c>
      <c r="B1" t="s">
        <v>14</v>
      </c>
      <c r="C1" t="s">
        <v>21</v>
      </c>
      <c r="D1" t="s">
        <v>22</v>
      </c>
      <c r="E1" t="s">
        <v>23</v>
      </c>
      <c r="F1" t="s">
        <v>24</v>
      </c>
      <c r="G1" t="s">
        <v>127</v>
      </c>
      <c r="H1" t="s">
        <v>128</v>
      </c>
    </row>
    <row r="2" spans="1:22">
      <c r="A2" t="s">
        <v>269</v>
      </c>
      <c r="B2">
        <v>0</v>
      </c>
      <c r="C2">
        <v>1</v>
      </c>
      <c r="D2">
        <v>24</v>
      </c>
      <c r="E2">
        <v>3</v>
      </c>
      <c r="F2">
        <v>0</v>
      </c>
      <c r="G2">
        <v>0</v>
      </c>
      <c r="H2">
        <v>4</v>
      </c>
      <c r="J2" t="str">
        <f>C2&amp;IF(G2&gt;0," ("&amp;G2&amp;")","")</f>
        <v>1</v>
      </c>
      <c r="M2" t="s">
        <v>616</v>
      </c>
      <c r="N2" t="s">
        <v>148</v>
      </c>
      <c r="O2">
        <v>5</v>
      </c>
      <c r="Q2" t="s">
        <v>616</v>
      </c>
      <c r="R2" t="s">
        <v>148</v>
      </c>
      <c r="S2" t="s">
        <v>617</v>
      </c>
      <c r="T2" t="s">
        <v>149</v>
      </c>
      <c r="U2" t="s">
        <v>619</v>
      </c>
      <c r="V2" t="s">
        <v>218</v>
      </c>
    </row>
    <row r="3" spans="1:22">
      <c r="A3" t="s">
        <v>205</v>
      </c>
      <c r="B3">
        <v>4</v>
      </c>
      <c r="C3">
        <v>5</v>
      </c>
      <c r="D3">
        <v>21</v>
      </c>
      <c r="E3">
        <v>0</v>
      </c>
      <c r="F3">
        <v>0</v>
      </c>
      <c r="G3">
        <v>4</v>
      </c>
      <c r="H3">
        <v>2</v>
      </c>
      <c r="J3" t="str">
        <f t="shared" ref="J3:J35" si="0">C3&amp;IF(G3&gt;0," ("&amp;G3&amp;")","")</f>
        <v>5 (4)</v>
      </c>
      <c r="M3" t="s">
        <v>620</v>
      </c>
      <c r="N3" t="s">
        <v>205</v>
      </c>
      <c r="O3">
        <v>5</v>
      </c>
      <c r="Q3" t="s">
        <v>620</v>
      </c>
      <c r="R3" t="s">
        <v>205</v>
      </c>
      <c r="S3" t="s">
        <v>617</v>
      </c>
      <c r="T3" t="s">
        <v>182</v>
      </c>
      <c r="U3" t="s">
        <v>619</v>
      </c>
      <c r="V3" t="s">
        <v>490</v>
      </c>
    </row>
    <row r="4" spans="1:22">
      <c r="A4" t="s">
        <v>250</v>
      </c>
      <c r="B4">
        <v>0</v>
      </c>
      <c r="C4">
        <v>1</v>
      </c>
      <c r="D4">
        <v>10</v>
      </c>
      <c r="E4">
        <v>0</v>
      </c>
      <c r="F4">
        <v>0</v>
      </c>
      <c r="G4">
        <v>0</v>
      </c>
      <c r="H4">
        <v>1</v>
      </c>
      <c r="J4" t="str">
        <f t="shared" si="0"/>
        <v>1</v>
      </c>
      <c r="M4" t="s">
        <v>622</v>
      </c>
      <c r="N4" t="s">
        <v>151</v>
      </c>
      <c r="O4">
        <v>4</v>
      </c>
      <c r="Q4" t="s">
        <v>622</v>
      </c>
      <c r="R4" t="s">
        <v>151</v>
      </c>
      <c r="S4" t="s">
        <v>617</v>
      </c>
      <c r="T4" t="s">
        <v>220</v>
      </c>
      <c r="U4" t="s">
        <v>619</v>
      </c>
      <c r="V4" t="s">
        <v>401</v>
      </c>
    </row>
    <row r="5" spans="1:22">
      <c r="A5" t="s">
        <v>418</v>
      </c>
      <c r="B5">
        <v>0</v>
      </c>
      <c r="C5">
        <v>2</v>
      </c>
      <c r="D5">
        <v>8</v>
      </c>
      <c r="E5">
        <v>1</v>
      </c>
      <c r="F5">
        <v>0</v>
      </c>
      <c r="G5">
        <v>0</v>
      </c>
      <c r="H5">
        <v>1</v>
      </c>
      <c r="J5" t="str">
        <f t="shared" si="0"/>
        <v>2</v>
      </c>
      <c r="M5" t="s">
        <v>618</v>
      </c>
      <c r="N5" t="s">
        <v>44</v>
      </c>
      <c r="O5">
        <v>3</v>
      </c>
      <c r="Q5" t="s">
        <v>618</v>
      </c>
      <c r="R5" t="s">
        <v>44</v>
      </c>
      <c r="S5" t="s">
        <v>619</v>
      </c>
      <c r="T5" t="s">
        <v>232</v>
      </c>
      <c r="U5" t="s">
        <v>619</v>
      </c>
      <c r="V5" t="s">
        <v>269</v>
      </c>
    </row>
    <row r="6" spans="1:22">
      <c r="A6" t="s">
        <v>151</v>
      </c>
      <c r="B6">
        <v>1</v>
      </c>
      <c r="C6">
        <v>4</v>
      </c>
      <c r="D6">
        <v>6</v>
      </c>
      <c r="E6">
        <v>3</v>
      </c>
      <c r="F6">
        <v>1</v>
      </c>
      <c r="G6">
        <v>0</v>
      </c>
      <c r="H6">
        <v>1</v>
      </c>
      <c r="J6" t="str">
        <f t="shared" si="0"/>
        <v>4</v>
      </c>
      <c r="M6" t="s">
        <v>618</v>
      </c>
      <c r="N6" t="s">
        <v>234</v>
      </c>
      <c r="O6">
        <v>3</v>
      </c>
      <c r="Q6" t="s">
        <v>618</v>
      </c>
      <c r="R6" t="s">
        <v>234</v>
      </c>
      <c r="S6" t="s">
        <v>619</v>
      </c>
      <c r="T6" t="s">
        <v>231</v>
      </c>
      <c r="U6" t="s">
        <v>619</v>
      </c>
      <c r="V6" t="s">
        <v>349</v>
      </c>
    </row>
    <row r="7" spans="1:22">
      <c r="A7" t="s">
        <v>315</v>
      </c>
      <c r="B7">
        <v>0</v>
      </c>
      <c r="C7">
        <v>0</v>
      </c>
      <c r="D7">
        <v>6</v>
      </c>
      <c r="E7">
        <v>1</v>
      </c>
      <c r="F7">
        <v>0</v>
      </c>
      <c r="G7">
        <v>0</v>
      </c>
      <c r="H7">
        <v>1</v>
      </c>
      <c r="J7" t="str">
        <f t="shared" si="0"/>
        <v>0</v>
      </c>
      <c r="M7" t="s">
        <v>618</v>
      </c>
      <c r="N7" t="s">
        <v>442</v>
      </c>
      <c r="O7">
        <v>3</v>
      </c>
      <c r="Q7" t="s">
        <v>618</v>
      </c>
      <c r="R7" t="s">
        <v>442</v>
      </c>
      <c r="S7" t="s">
        <v>619</v>
      </c>
      <c r="T7" t="s">
        <v>250</v>
      </c>
      <c r="U7" t="s">
        <v>619</v>
      </c>
      <c r="V7" t="s">
        <v>153</v>
      </c>
    </row>
    <row r="8" spans="1:22">
      <c r="A8" t="s">
        <v>229</v>
      </c>
      <c r="B8">
        <v>7</v>
      </c>
      <c r="C8">
        <v>1</v>
      </c>
      <c r="D8">
        <v>5</v>
      </c>
      <c r="E8">
        <v>0</v>
      </c>
      <c r="F8">
        <v>0</v>
      </c>
      <c r="G8">
        <v>1</v>
      </c>
      <c r="H8">
        <v>1</v>
      </c>
      <c r="J8" t="str">
        <f t="shared" si="0"/>
        <v>1 (1)</v>
      </c>
      <c r="M8" t="s">
        <v>617</v>
      </c>
      <c r="N8" t="s">
        <v>418</v>
      </c>
      <c r="O8">
        <v>2</v>
      </c>
      <c r="Q8" t="s">
        <v>617</v>
      </c>
      <c r="R8" t="s">
        <v>418</v>
      </c>
      <c r="S8" t="s">
        <v>621</v>
      </c>
      <c r="T8" t="s">
        <v>229</v>
      </c>
      <c r="U8" t="s">
        <v>621</v>
      </c>
      <c r="V8" t="s">
        <v>154</v>
      </c>
    </row>
    <row r="9" spans="1:22">
      <c r="A9" t="s">
        <v>401</v>
      </c>
      <c r="B9">
        <v>0</v>
      </c>
      <c r="C9">
        <v>1</v>
      </c>
      <c r="D9">
        <v>4</v>
      </c>
      <c r="E9">
        <v>1</v>
      </c>
      <c r="F9">
        <v>0</v>
      </c>
      <c r="G9">
        <v>0</v>
      </c>
      <c r="H9">
        <v>1</v>
      </c>
      <c r="J9" t="str">
        <f t="shared" si="0"/>
        <v>1</v>
      </c>
      <c r="M9" t="s">
        <v>617</v>
      </c>
      <c r="N9" t="s">
        <v>149</v>
      </c>
      <c r="O9">
        <v>2</v>
      </c>
    </row>
    <row r="10" spans="1:22">
      <c r="A10" t="s">
        <v>442</v>
      </c>
      <c r="B10">
        <v>0</v>
      </c>
      <c r="C10">
        <v>3</v>
      </c>
      <c r="D10">
        <v>4</v>
      </c>
      <c r="E10">
        <v>1</v>
      </c>
      <c r="F10">
        <v>0</v>
      </c>
      <c r="G10">
        <v>0</v>
      </c>
      <c r="H10">
        <v>1</v>
      </c>
      <c r="J10" t="str">
        <f t="shared" si="0"/>
        <v>3</v>
      </c>
      <c r="M10" t="s">
        <v>617</v>
      </c>
      <c r="N10" t="s">
        <v>182</v>
      </c>
      <c r="O10">
        <v>2</v>
      </c>
    </row>
    <row r="11" spans="1:22">
      <c r="A11" t="s">
        <v>149</v>
      </c>
      <c r="B11">
        <v>0</v>
      </c>
      <c r="C11">
        <v>2</v>
      </c>
      <c r="D11">
        <v>3</v>
      </c>
      <c r="E11">
        <v>0</v>
      </c>
      <c r="F11">
        <v>0</v>
      </c>
      <c r="G11">
        <v>0</v>
      </c>
      <c r="H11">
        <v>1</v>
      </c>
      <c r="J11" t="str">
        <f t="shared" si="0"/>
        <v>2</v>
      </c>
      <c r="M11" t="s">
        <v>617</v>
      </c>
      <c r="N11" t="s">
        <v>220</v>
      </c>
      <c r="O11">
        <v>2</v>
      </c>
    </row>
    <row r="12" spans="1:22">
      <c r="A12" t="s">
        <v>535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1</v>
      </c>
      <c r="J12" t="str">
        <f t="shared" si="0"/>
        <v>0</v>
      </c>
      <c r="M12" t="s">
        <v>619</v>
      </c>
      <c r="N12" t="s">
        <v>232</v>
      </c>
      <c r="O12">
        <v>1</v>
      </c>
    </row>
    <row r="13" spans="1:22">
      <c r="A13" t="s">
        <v>182</v>
      </c>
      <c r="B13">
        <v>0</v>
      </c>
      <c r="C13">
        <v>2</v>
      </c>
      <c r="D13">
        <v>10</v>
      </c>
      <c r="E13">
        <v>0</v>
      </c>
      <c r="F13">
        <v>0</v>
      </c>
      <c r="G13">
        <v>0</v>
      </c>
      <c r="H13">
        <v>0</v>
      </c>
      <c r="J13" t="str">
        <f t="shared" si="0"/>
        <v>2</v>
      </c>
      <c r="M13" t="s">
        <v>619</v>
      </c>
      <c r="N13" t="s">
        <v>231</v>
      </c>
      <c r="O13">
        <v>1</v>
      </c>
    </row>
    <row r="14" spans="1:22">
      <c r="A14" t="s">
        <v>148</v>
      </c>
      <c r="B14">
        <v>0</v>
      </c>
      <c r="C14">
        <v>5</v>
      </c>
      <c r="D14">
        <v>6</v>
      </c>
      <c r="E14">
        <v>0</v>
      </c>
      <c r="F14">
        <v>0</v>
      </c>
      <c r="G14">
        <v>0</v>
      </c>
      <c r="H14">
        <v>0</v>
      </c>
      <c r="J14" t="str">
        <f t="shared" si="0"/>
        <v>5</v>
      </c>
      <c r="M14" t="s">
        <v>619</v>
      </c>
      <c r="N14" t="s">
        <v>250</v>
      </c>
      <c r="O14">
        <v>1</v>
      </c>
    </row>
    <row r="15" spans="1:22">
      <c r="A15" t="s">
        <v>184</v>
      </c>
      <c r="B15">
        <v>0</v>
      </c>
      <c r="C15">
        <v>0</v>
      </c>
      <c r="D15">
        <v>6</v>
      </c>
      <c r="E15">
        <v>0</v>
      </c>
      <c r="F15">
        <v>0</v>
      </c>
      <c r="G15">
        <v>0</v>
      </c>
      <c r="H15">
        <v>0</v>
      </c>
      <c r="J15" t="str">
        <f t="shared" si="0"/>
        <v>0</v>
      </c>
      <c r="M15" t="s">
        <v>621</v>
      </c>
      <c r="N15" t="s">
        <v>229</v>
      </c>
      <c r="O15">
        <v>1</v>
      </c>
    </row>
    <row r="16" spans="1:22">
      <c r="A16" t="s">
        <v>44</v>
      </c>
      <c r="B16">
        <v>0</v>
      </c>
      <c r="C16">
        <v>3</v>
      </c>
      <c r="D16">
        <v>5</v>
      </c>
      <c r="E16">
        <v>0</v>
      </c>
      <c r="F16">
        <v>0</v>
      </c>
      <c r="G16">
        <v>0</v>
      </c>
      <c r="H16">
        <v>0</v>
      </c>
      <c r="J16" t="str">
        <f t="shared" si="0"/>
        <v>3</v>
      </c>
      <c r="M16" t="s">
        <v>619</v>
      </c>
      <c r="N16" t="s">
        <v>218</v>
      </c>
      <c r="O16">
        <v>1</v>
      </c>
    </row>
    <row r="17" spans="1:15">
      <c r="A17" t="s">
        <v>228</v>
      </c>
      <c r="B17">
        <v>0</v>
      </c>
      <c r="C17">
        <v>0</v>
      </c>
      <c r="D17">
        <v>5</v>
      </c>
      <c r="E17">
        <v>0</v>
      </c>
      <c r="F17">
        <v>0</v>
      </c>
      <c r="G17">
        <v>0</v>
      </c>
      <c r="H17">
        <v>0</v>
      </c>
      <c r="J17" t="str">
        <f t="shared" si="0"/>
        <v>0</v>
      </c>
      <c r="M17" t="s">
        <v>619</v>
      </c>
      <c r="N17" t="s">
        <v>490</v>
      </c>
      <c r="O17">
        <v>1</v>
      </c>
    </row>
    <row r="18" spans="1:15">
      <c r="A18" t="s">
        <v>220</v>
      </c>
      <c r="B18">
        <v>0</v>
      </c>
      <c r="C18">
        <v>2</v>
      </c>
      <c r="D18">
        <v>4</v>
      </c>
      <c r="E18">
        <v>1</v>
      </c>
      <c r="F18">
        <v>0</v>
      </c>
      <c r="G18">
        <v>0</v>
      </c>
      <c r="H18">
        <v>0</v>
      </c>
      <c r="J18" t="str">
        <f t="shared" si="0"/>
        <v>2</v>
      </c>
      <c r="M18" t="s">
        <v>619</v>
      </c>
      <c r="N18" t="s">
        <v>401</v>
      </c>
      <c r="O18">
        <v>1</v>
      </c>
    </row>
    <row r="19" spans="1:15">
      <c r="A19" t="s">
        <v>232</v>
      </c>
      <c r="B19">
        <v>0</v>
      </c>
      <c r="C19">
        <v>1</v>
      </c>
      <c r="D19">
        <v>4</v>
      </c>
      <c r="E19">
        <v>0</v>
      </c>
      <c r="F19">
        <v>0</v>
      </c>
      <c r="G19">
        <v>0</v>
      </c>
      <c r="H19">
        <v>0</v>
      </c>
      <c r="J19" t="str">
        <f t="shared" si="0"/>
        <v>1</v>
      </c>
      <c r="M19" t="s">
        <v>619</v>
      </c>
      <c r="N19" t="s">
        <v>269</v>
      </c>
      <c r="O19">
        <v>1</v>
      </c>
    </row>
    <row r="20" spans="1:15">
      <c r="A20" t="s">
        <v>234</v>
      </c>
      <c r="B20">
        <v>0</v>
      </c>
      <c r="C20">
        <v>3</v>
      </c>
      <c r="D20">
        <v>4</v>
      </c>
      <c r="E20">
        <v>0</v>
      </c>
      <c r="F20">
        <v>0</v>
      </c>
      <c r="G20">
        <v>0</v>
      </c>
      <c r="H20">
        <v>0</v>
      </c>
      <c r="J20" t="str">
        <f t="shared" si="0"/>
        <v>3</v>
      </c>
      <c r="M20" t="s">
        <v>619</v>
      </c>
      <c r="N20" t="s">
        <v>349</v>
      </c>
      <c r="O20">
        <v>1</v>
      </c>
    </row>
    <row r="21" spans="1:15">
      <c r="A21" t="s">
        <v>154</v>
      </c>
      <c r="B21">
        <v>5</v>
      </c>
      <c r="C21">
        <v>1</v>
      </c>
      <c r="D21">
        <v>4</v>
      </c>
      <c r="E21">
        <v>0</v>
      </c>
      <c r="F21">
        <v>0</v>
      </c>
      <c r="G21">
        <v>1</v>
      </c>
      <c r="H21">
        <v>0</v>
      </c>
      <c r="J21" t="str">
        <f t="shared" si="0"/>
        <v>1 (1)</v>
      </c>
      <c r="M21" t="s">
        <v>619</v>
      </c>
      <c r="N21" t="s">
        <v>153</v>
      </c>
      <c r="O21">
        <v>1</v>
      </c>
    </row>
    <row r="22" spans="1:15">
      <c r="A22" t="s">
        <v>349</v>
      </c>
      <c r="B22">
        <v>0</v>
      </c>
      <c r="C22">
        <v>1</v>
      </c>
      <c r="D22">
        <v>3</v>
      </c>
      <c r="E22">
        <v>0</v>
      </c>
      <c r="F22">
        <v>0</v>
      </c>
      <c r="G22">
        <v>0</v>
      </c>
      <c r="H22">
        <v>0</v>
      </c>
      <c r="J22" t="str">
        <f t="shared" si="0"/>
        <v>1</v>
      </c>
      <c r="M22" t="s">
        <v>621</v>
      </c>
      <c r="N22" t="s">
        <v>154</v>
      </c>
      <c r="O22">
        <v>1</v>
      </c>
    </row>
    <row r="23" spans="1:15">
      <c r="A23" t="s">
        <v>239</v>
      </c>
      <c r="B23">
        <v>0</v>
      </c>
      <c r="C23">
        <v>0</v>
      </c>
      <c r="D23">
        <v>2</v>
      </c>
      <c r="E23">
        <v>0</v>
      </c>
      <c r="F23">
        <v>0</v>
      </c>
      <c r="G23">
        <v>0</v>
      </c>
      <c r="H23">
        <v>0</v>
      </c>
      <c r="J23" t="str">
        <f t="shared" si="0"/>
        <v>0</v>
      </c>
      <c r="M23" t="s">
        <v>615</v>
      </c>
      <c r="N23" t="s">
        <v>147</v>
      </c>
      <c r="O23">
        <v>0</v>
      </c>
    </row>
    <row r="24" spans="1:15">
      <c r="A24" t="s">
        <v>382</v>
      </c>
      <c r="B24">
        <v>0</v>
      </c>
      <c r="C24">
        <v>0</v>
      </c>
      <c r="D24">
        <v>2</v>
      </c>
      <c r="E24">
        <v>0</v>
      </c>
      <c r="F24">
        <v>0</v>
      </c>
      <c r="G24">
        <v>0</v>
      </c>
      <c r="H24">
        <v>0</v>
      </c>
      <c r="J24" t="str">
        <f t="shared" si="0"/>
        <v>0</v>
      </c>
      <c r="M24" t="s">
        <v>615</v>
      </c>
      <c r="N24" t="s">
        <v>239</v>
      </c>
      <c r="O24">
        <v>0</v>
      </c>
    </row>
    <row r="25" spans="1:15">
      <c r="A25" t="s">
        <v>218</v>
      </c>
      <c r="B25">
        <v>0</v>
      </c>
      <c r="C25">
        <v>1</v>
      </c>
      <c r="D25">
        <v>2</v>
      </c>
      <c r="E25">
        <v>0</v>
      </c>
      <c r="F25">
        <v>0</v>
      </c>
      <c r="G25">
        <v>0</v>
      </c>
      <c r="H25">
        <v>0</v>
      </c>
      <c r="J25" t="str">
        <f t="shared" si="0"/>
        <v>1</v>
      </c>
      <c r="M25" t="s">
        <v>615</v>
      </c>
      <c r="N25" t="s">
        <v>382</v>
      </c>
      <c r="O25">
        <v>0</v>
      </c>
    </row>
    <row r="26" spans="1:15">
      <c r="A26" t="s">
        <v>150</v>
      </c>
      <c r="B26">
        <v>0</v>
      </c>
      <c r="C26">
        <v>0</v>
      </c>
      <c r="D26">
        <v>2</v>
      </c>
      <c r="E26">
        <v>0</v>
      </c>
      <c r="F26">
        <v>0</v>
      </c>
      <c r="G26">
        <v>0</v>
      </c>
      <c r="H26">
        <v>0</v>
      </c>
      <c r="J26" t="str">
        <f t="shared" si="0"/>
        <v>0</v>
      </c>
      <c r="M26" t="s">
        <v>615</v>
      </c>
      <c r="N26" t="s">
        <v>273</v>
      </c>
      <c r="O26">
        <v>0</v>
      </c>
    </row>
    <row r="27" spans="1:15">
      <c r="A27" t="s">
        <v>273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J27" t="str">
        <f t="shared" si="0"/>
        <v>0</v>
      </c>
      <c r="M27" t="s">
        <v>615</v>
      </c>
      <c r="N27" t="s">
        <v>570</v>
      </c>
      <c r="O27">
        <v>0</v>
      </c>
    </row>
    <row r="28" spans="1:15">
      <c r="A28" t="s">
        <v>48</v>
      </c>
      <c r="B28">
        <v>0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J28" t="str">
        <f t="shared" si="0"/>
        <v>0</v>
      </c>
      <c r="M28" t="s">
        <v>615</v>
      </c>
      <c r="N28" t="s">
        <v>563</v>
      </c>
      <c r="O28">
        <v>0</v>
      </c>
    </row>
    <row r="29" spans="1:15">
      <c r="A29" t="s">
        <v>147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J29" t="str">
        <f t="shared" si="0"/>
        <v>0</v>
      </c>
      <c r="M29" t="s">
        <v>615</v>
      </c>
      <c r="N29" t="s">
        <v>48</v>
      </c>
      <c r="O29">
        <v>0</v>
      </c>
    </row>
    <row r="30" spans="1:15">
      <c r="A30" t="s">
        <v>231</v>
      </c>
      <c r="B30">
        <v>0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J30" t="str">
        <f t="shared" si="0"/>
        <v>1</v>
      </c>
      <c r="M30" t="s">
        <v>615</v>
      </c>
      <c r="N30" t="s">
        <v>184</v>
      </c>
      <c r="O30">
        <v>0</v>
      </c>
    </row>
    <row r="31" spans="1:15">
      <c r="A31" t="s">
        <v>570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 t="str">
        <f t="shared" si="0"/>
        <v>0</v>
      </c>
      <c r="M31" t="s">
        <v>615</v>
      </c>
      <c r="N31" t="s">
        <v>150</v>
      </c>
      <c r="O31">
        <v>0</v>
      </c>
    </row>
    <row r="32" spans="1:15">
      <c r="A32" t="s">
        <v>563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J32" t="str">
        <f t="shared" si="0"/>
        <v>0</v>
      </c>
      <c r="M32" t="s">
        <v>615</v>
      </c>
      <c r="N32" t="s">
        <v>535</v>
      </c>
      <c r="O32">
        <v>0</v>
      </c>
    </row>
    <row r="33" spans="1:15">
      <c r="A33" t="s">
        <v>490</v>
      </c>
      <c r="B33">
        <v>0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J33" t="str">
        <f t="shared" si="0"/>
        <v>1</v>
      </c>
      <c r="M33" t="s">
        <v>615</v>
      </c>
      <c r="N33" t="s">
        <v>228</v>
      </c>
      <c r="O33">
        <v>0</v>
      </c>
    </row>
    <row r="34" spans="1:15">
      <c r="A34" t="s">
        <v>214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J34" t="str">
        <f t="shared" si="0"/>
        <v>0</v>
      </c>
      <c r="M34" t="s">
        <v>615</v>
      </c>
      <c r="N34" t="s">
        <v>315</v>
      </c>
      <c r="O34">
        <v>0</v>
      </c>
    </row>
    <row r="35" spans="1:15">
      <c r="A35" t="s">
        <v>153</v>
      </c>
      <c r="B35">
        <v>0</v>
      </c>
      <c r="C35">
        <v>1</v>
      </c>
      <c r="D35">
        <v>0</v>
      </c>
      <c r="E35">
        <v>0</v>
      </c>
      <c r="F35">
        <v>0</v>
      </c>
      <c r="G35">
        <v>0</v>
      </c>
      <c r="H35">
        <v>0</v>
      </c>
      <c r="J35" t="str">
        <f t="shared" si="0"/>
        <v>1</v>
      </c>
      <c r="M35" t="s">
        <v>615</v>
      </c>
      <c r="N35" t="s">
        <v>214</v>
      </c>
      <c r="O35">
        <v>0</v>
      </c>
    </row>
    <row r="42" spans="1:15">
      <c r="B42" t="s">
        <v>182</v>
      </c>
      <c r="C42">
        <v>4</v>
      </c>
      <c r="F42">
        <v>17</v>
      </c>
      <c r="G42" t="s">
        <v>44</v>
      </c>
      <c r="H42">
        <v>7</v>
      </c>
      <c r="I42" t="s">
        <v>418</v>
      </c>
      <c r="J42">
        <v>4</v>
      </c>
      <c r="K42" t="s">
        <v>490</v>
      </c>
      <c r="L42">
        <v>1</v>
      </c>
      <c r="M42" t="s">
        <v>570</v>
      </c>
    </row>
    <row r="43" spans="1:15">
      <c r="B43" t="s">
        <v>220</v>
      </c>
      <c r="C43">
        <v>3</v>
      </c>
      <c r="F43">
        <v>16</v>
      </c>
      <c r="G43" t="s">
        <v>148</v>
      </c>
      <c r="H43">
        <v>7</v>
      </c>
      <c r="I43" t="s">
        <v>149</v>
      </c>
      <c r="J43">
        <v>4</v>
      </c>
      <c r="K43" t="s">
        <v>442</v>
      </c>
      <c r="L43">
        <v>1</v>
      </c>
      <c r="M43" t="s">
        <v>250</v>
      </c>
    </row>
    <row r="44" spans="1:15">
      <c r="B44" t="s">
        <v>231</v>
      </c>
      <c r="C44">
        <v>2</v>
      </c>
      <c r="F44">
        <v>16</v>
      </c>
      <c r="G44" t="s">
        <v>220</v>
      </c>
      <c r="H44">
        <v>7</v>
      </c>
      <c r="I44" t="s">
        <v>232</v>
      </c>
      <c r="J44">
        <v>3</v>
      </c>
      <c r="K44" t="s">
        <v>228</v>
      </c>
      <c r="L44">
        <v>1</v>
      </c>
      <c r="M44" t="s">
        <v>563</v>
      </c>
    </row>
    <row r="45" spans="1:15">
      <c r="B45" t="s">
        <v>229</v>
      </c>
      <c r="C45">
        <v>2</v>
      </c>
      <c r="F45">
        <v>14</v>
      </c>
      <c r="G45" t="s">
        <v>229</v>
      </c>
      <c r="H45">
        <v>7</v>
      </c>
      <c r="I45" t="s">
        <v>218</v>
      </c>
      <c r="J45">
        <v>3</v>
      </c>
      <c r="K45" t="s">
        <v>349</v>
      </c>
      <c r="L45">
        <v>1</v>
      </c>
      <c r="M45" t="s">
        <v>48</v>
      </c>
    </row>
    <row r="46" spans="1:15">
      <c r="B46" t="s">
        <v>184</v>
      </c>
      <c r="C46">
        <v>2</v>
      </c>
      <c r="F46">
        <v>14</v>
      </c>
      <c r="G46" t="s">
        <v>234</v>
      </c>
      <c r="H46">
        <v>7</v>
      </c>
      <c r="I46" t="s">
        <v>269</v>
      </c>
      <c r="J46">
        <v>2</v>
      </c>
      <c r="K46" t="s">
        <v>382</v>
      </c>
      <c r="L46">
        <v>1</v>
      </c>
      <c r="M46" t="s">
        <v>150</v>
      </c>
    </row>
    <row r="47" spans="1:15">
      <c r="B47" t="s">
        <v>151</v>
      </c>
      <c r="C47">
        <v>2</v>
      </c>
      <c r="F47">
        <v>13</v>
      </c>
      <c r="G47" t="s">
        <v>182</v>
      </c>
      <c r="H47">
        <v>7</v>
      </c>
      <c r="I47" t="s">
        <v>151</v>
      </c>
      <c r="J47">
        <v>2</v>
      </c>
      <c r="K47" t="s">
        <v>401</v>
      </c>
      <c r="L47">
        <v>1</v>
      </c>
      <c r="M47" t="s">
        <v>535</v>
      </c>
    </row>
    <row r="48" spans="1:15">
      <c r="B48" t="s">
        <v>418</v>
      </c>
      <c r="C48">
        <v>1</v>
      </c>
      <c r="F48">
        <v>10</v>
      </c>
      <c r="G48" t="s">
        <v>205</v>
      </c>
      <c r="H48">
        <v>6</v>
      </c>
      <c r="I48" t="s">
        <v>315</v>
      </c>
      <c r="J48">
        <v>2</v>
      </c>
      <c r="K48" t="s">
        <v>214</v>
      </c>
      <c r="L48">
        <v>1</v>
      </c>
      <c r="M48" t="s">
        <v>153</v>
      </c>
    </row>
    <row r="49" spans="2:11">
      <c r="B49" t="s">
        <v>149</v>
      </c>
      <c r="C49">
        <v>1</v>
      </c>
      <c r="F49">
        <v>10</v>
      </c>
      <c r="G49" t="s">
        <v>184</v>
      </c>
      <c r="H49">
        <v>6</v>
      </c>
      <c r="I49" t="s">
        <v>154</v>
      </c>
      <c r="J49">
        <v>1</v>
      </c>
      <c r="K49" t="s">
        <v>147</v>
      </c>
    </row>
    <row r="50" spans="2:11">
      <c r="B50" t="s">
        <v>44</v>
      </c>
      <c r="C50">
        <v>1</v>
      </c>
      <c r="F50">
        <v>7</v>
      </c>
      <c r="G50" t="s">
        <v>239</v>
      </c>
      <c r="H50">
        <v>4</v>
      </c>
      <c r="I50" t="s">
        <v>231</v>
      </c>
      <c r="J50">
        <v>1</v>
      </c>
      <c r="K50" t="s">
        <v>273</v>
      </c>
    </row>
    <row r="51" spans="2:11">
      <c r="B51" t="s">
        <v>232</v>
      </c>
      <c r="C51">
        <v>1</v>
      </c>
    </row>
    <row r="52" spans="2:11">
      <c r="B52" t="s">
        <v>218</v>
      </c>
      <c r="C52">
        <v>1</v>
      </c>
    </row>
    <row r="53" spans="2:11">
      <c r="B53" t="s">
        <v>269</v>
      </c>
      <c r="C53">
        <v>1</v>
      </c>
    </row>
    <row r="54" spans="2:11">
      <c r="B54" t="s">
        <v>214</v>
      </c>
      <c r="C54">
        <v>1</v>
      </c>
    </row>
    <row r="55" spans="2:11">
      <c r="B55" t="s">
        <v>153</v>
      </c>
      <c r="C55">
        <v>1</v>
      </c>
    </row>
    <row r="56" spans="2:11">
      <c r="B56" t="s">
        <v>147</v>
      </c>
      <c r="C56">
        <v>0</v>
      </c>
    </row>
    <row r="57" spans="2:11">
      <c r="B57" t="s">
        <v>239</v>
      </c>
      <c r="C57">
        <v>0</v>
      </c>
    </row>
    <row r="58" spans="2:11">
      <c r="B58" t="s">
        <v>382</v>
      </c>
      <c r="C58">
        <v>0</v>
      </c>
    </row>
    <row r="59" spans="2:11">
      <c r="B59" t="s">
        <v>148</v>
      </c>
      <c r="C59">
        <v>0</v>
      </c>
      <c r="G59" t="s">
        <v>130</v>
      </c>
      <c r="H59" t="s">
        <v>227</v>
      </c>
      <c r="I59" t="s">
        <v>3</v>
      </c>
    </row>
    <row r="60" spans="2:11">
      <c r="B60" t="s">
        <v>273</v>
      </c>
      <c r="C60">
        <v>0</v>
      </c>
      <c r="G60">
        <v>1</v>
      </c>
      <c r="H60" t="s">
        <v>148</v>
      </c>
      <c r="I60" t="s">
        <v>242</v>
      </c>
    </row>
    <row r="61" spans="2:11">
      <c r="B61" t="s">
        <v>570</v>
      </c>
      <c r="C61">
        <v>0</v>
      </c>
      <c r="G61">
        <v>1</v>
      </c>
      <c r="H61" t="s">
        <v>148</v>
      </c>
      <c r="I61" t="s">
        <v>248</v>
      </c>
    </row>
    <row r="62" spans="2:11">
      <c r="B62" t="s">
        <v>250</v>
      </c>
      <c r="C62">
        <v>0</v>
      </c>
      <c r="G62">
        <v>1</v>
      </c>
      <c r="H62" t="s">
        <v>148</v>
      </c>
      <c r="I62" t="s">
        <v>248</v>
      </c>
    </row>
    <row r="63" spans="2:11">
      <c r="B63" t="s">
        <v>563</v>
      </c>
      <c r="C63">
        <v>0</v>
      </c>
      <c r="G63">
        <v>1</v>
      </c>
      <c r="H63" t="s">
        <v>148</v>
      </c>
      <c r="I63" t="s">
        <v>248</v>
      </c>
    </row>
    <row r="64" spans="2:11">
      <c r="B64" t="s">
        <v>205</v>
      </c>
      <c r="C64">
        <v>0</v>
      </c>
      <c r="G64">
        <v>1</v>
      </c>
      <c r="H64" t="s">
        <v>148</v>
      </c>
      <c r="I64" t="s">
        <v>217</v>
      </c>
    </row>
    <row r="65" spans="2:9">
      <c r="B65" t="s">
        <v>48</v>
      </c>
      <c r="C65">
        <v>0</v>
      </c>
      <c r="G65">
        <v>1</v>
      </c>
      <c r="H65" t="s">
        <v>148</v>
      </c>
      <c r="I65" t="s">
        <v>248</v>
      </c>
    </row>
    <row r="66" spans="2:9">
      <c r="B66" t="s">
        <v>150</v>
      </c>
      <c r="C66">
        <v>0</v>
      </c>
      <c r="G66">
        <v>1</v>
      </c>
      <c r="H66" t="s">
        <v>148</v>
      </c>
      <c r="I66" t="s">
        <v>254</v>
      </c>
    </row>
    <row r="67" spans="2:9">
      <c r="B67" t="s">
        <v>490</v>
      </c>
      <c r="C67">
        <v>0</v>
      </c>
      <c r="G67">
        <v>1</v>
      </c>
      <c r="H67" t="s">
        <v>148</v>
      </c>
      <c r="I67" t="s">
        <v>254</v>
      </c>
    </row>
    <row r="68" spans="2:9">
      <c r="B68" t="s">
        <v>401</v>
      </c>
      <c r="C68">
        <v>0</v>
      </c>
      <c r="G68">
        <v>0</v>
      </c>
      <c r="H68" t="s">
        <v>148</v>
      </c>
      <c r="I68" t="s">
        <v>248</v>
      </c>
    </row>
    <row r="69" spans="2:9">
      <c r="B69" t="s">
        <v>535</v>
      </c>
      <c r="C69">
        <v>0</v>
      </c>
      <c r="G69">
        <v>1</v>
      </c>
      <c r="H69" t="s">
        <v>148</v>
      </c>
      <c r="I69" t="s">
        <v>217</v>
      </c>
    </row>
    <row r="70" spans="2:9">
      <c r="B70" t="s">
        <v>228</v>
      </c>
      <c r="C70">
        <v>0</v>
      </c>
      <c r="G70">
        <v>1</v>
      </c>
      <c r="H70" t="s">
        <v>148</v>
      </c>
      <c r="I70" t="s">
        <v>217</v>
      </c>
    </row>
    <row r="71" spans="2:9">
      <c r="B71" t="s">
        <v>234</v>
      </c>
      <c r="C71">
        <v>0</v>
      </c>
      <c r="G71">
        <v>1</v>
      </c>
      <c r="H71" t="s">
        <v>148</v>
      </c>
      <c r="I71" t="s">
        <v>217</v>
      </c>
    </row>
    <row r="72" spans="2:9">
      <c r="B72" t="s">
        <v>349</v>
      </c>
      <c r="C72">
        <v>0</v>
      </c>
      <c r="G72">
        <v>1</v>
      </c>
      <c r="H72" t="s">
        <v>148</v>
      </c>
      <c r="I72" t="s">
        <v>254</v>
      </c>
    </row>
    <row r="73" spans="2:9">
      <c r="B73" t="s">
        <v>315</v>
      </c>
      <c r="C73">
        <v>0</v>
      </c>
      <c r="G73">
        <v>1</v>
      </c>
      <c r="H73" t="s">
        <v>148</v>
      </c>
      <c r="I73" t="s">
        <v>254</v>
      </c>
    </row>
    <row r="74" spans="2:9">
      <c r="B74" t="s">
        <v>154</v>
      </c>
      <c r="C74">
        <v>0</v>
      </c>
      <c r="G74">
        <v>1</v>
      </c>
      <c r="H74" t="s">
        <v>148</v>
      </c>
      <c r="I74" t="s">
        <v>248</v>
      </c>
    </row>
    <row r="75" spans="2:9">
      <c r="B75" t="s">
        <v>442</v>
      </c>
      <c r="C75">
        <v>0</v>
      </c>
      <c r="G75">
        <v>1</v>
      </c>
      <c r="H75" t="s">
        <v>44</v>
      </c>
      <c r="I75" t="s">
        <v>248</v>
      </c>
    </row>
    <row r="76" spans="2:9">
      <c r="G76">
        <v>1</v>
      </c>
      <c r="H76" t="s">
        <v>44</v>
      </c>
      <c r="I76" t="s">
        <v>254</v>
      </c>
    </row>
    <row r="77" spans="2:9">
      <c r="G77">
        <v>1</v>
      </c>
      <c r="H77" t="s">
        <v>184</v>
      </c>
      <c r="I77" t="s">
        <v>248</v>
      </c>
    </row>
    <row r="78" spans="2:9">
      <c r="G78">
        <v>1</v>
      </c>
      <c r="H78" t="e">
        <v>#N/A</v>
      </c>
      <c r="I78" t="s">
        <v>248</v>
      </c>
    </row>
  </sheetData>
  <sortState ref="H60:I78">
    <sortCondition ref="H60:H7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Sheet3</vt:lpstr>
      <vt:lpstr>Sheet2</vt:lpstr>
      <vt:lpstr>Sheet1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cp:lastPrinted>2008-02-21T13:34:41Z</cp:lastPrinted>
  <dcterms:created xsi:type="dcterms:W3CDTF">1995-07-17T18:41:11Z</dcterms:created>
  <dcterms:modified xsi:type="dcterms:W3CDTF">2009-03-09T00:45:41Z</dcterms:modified>
</cp:coreProperties>
</file>
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1760" tabRatio="6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externalReferences>
    <externalReference r:id="rId12"/>
  </externalReferences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Bowling!$A$1:$AR$36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X80" i="3" l="1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CE6" i="2"/>
  <c r="CE7" i="2"/>
  <c r="CE8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5" i="2"/>
  <c r="X78" i="3"/>
  <c r="T78" i="3"/>
  <c r="P78" i="3"/>
  <c r="L78" i="3"/>
  <c r="H78" i="3"/>
  <c r="D78" i="3"/>
  <c r="V77" i="3"/>
  <c r="R77" i="3"/>
  <c r="N77" i="3"/>
  <c r="J77" i="3"/>
  <c r="F77" i="3"/>
  <c r="X76" i="3"/>
  <c r="T76" i="3"/>
  <c r="P76" i="3"/>
  <c r="L76" i="3"/>
  <c r="H76" i="3"/>
  <c r="D76" i="3"/>
  <c r="V75" i="3"/>
  <c r="R75" i="3"/>
  <c r="N75" i="3"/>
  <c r="J75" i="3"/>
  <c r="F75" i="3"/>
  <c r="X74" i="3"/>
  <c r="T74" i="3"/>
  <c r="P74" i="3"/>
  <c r="L74" i="3"/>
  <c r="H74" i="3"/>
  <c r="D74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L58" i="3"/>
  <c r="H58" i="3"/>
  <c r="D58" i="3"/>
  <c r="V57" i="3"/>
  <c r="R57" i="3"/>
  <c r="N57" i="3"/>
  <c r="J57" i="3"/>
  <c r="F57" i="3"/>
  <c r="X56" i="3"/>
  <c r="T56" i="3"/>
  <c r="P56" i="3"/>
  <c r="L56" i="3"/>
  <c r="H56" i="3"/>
  <c r="D56" i="3"/>
  <c r="W78" i="3"/>
  <c r="S78" i="3"/>
  <c r="O78" i="3"/>
  <c r="K78" i="3"/>
  <c r="G78" i="3"/>
  <c r="C78" i="3"/>
  <c r="U77" i="3"/>
  <c r="Q77" i="3"/>
  <c r="M77" i="3"/>
  <c r="I77" i="3"/>
  <c r="E77" i="3"/>
  <c r="W76" i="3"/>
  <c r="S76" i="3"/>
  <c r="O76" i="3"/>
  <c r="K76" i="3"/>
  <c r="G76" i="3"/>
  <c r="C76" i="3"/>
  <c r="U75" i="3"/>
  <c r="Q75" i="3"/>
  <c r="M75" i="3"/>
  <c r="I75" i="3"/>
  <c r="E75" i="3"/>
  <c r="W74" i="3"/>
  <c r="S74" i="3"/>
  <c r="O74" i="3"/>
  <c r="K74" i="3"/>
  <c r="G74" i="3"/>
  <c r="C74" i="3"/>
  <c r="U73" i="3"/>
  <c r="Q73" i="3"/>
  <c r="M73" i="3"/>
  <c r="I73" i="3"/>
  <c r="E73" i="3"/>
  <c r="W72" i="3"/>
  <c r="S72" i="3"/>
  <c r="O72" i="3"/>
  <c r="K72" i="3"/>
  <c r="G72" i="3"/>
  <c r="C72" i="3"/>
  <c r="U71" i="3"/>
  <c r="Q71" i="3"/>
  <c r="M71" i="3"/>
  <c r="I71" i="3"/>
  <c r="E71" i="3"/>
  <c r="W70" i="3"/>
  <c r="S70" i="3"/>
  <c r="O70" i="3"/>
  <c r="K70" i="3"/>
  <c r="G70" i="3"/>
  <c r="C70" i="3"/>
  <c r="U69" i="3"/>
  <c r="Q69" i="3"/>
  <c r="M69" i="3"/>
  <c r="I69" i="3"/>
  <c r="E69" i="3"/>
  <c r="W68" i="3"/>
  <c r="S68" i="3"/>
  <c r="O68" i="3"/>
  <c r="K68" i="3"/>
  <c r="G68" i="3"/>
  <c r="C68" i="3"/>
  <c r="U67" i="3"/>
  <c r="Q67" i="3"/>
  <c r="M67" i="3"/>
  <c r="I67" i="3"/>
  <c r="E67" i="3"/>
  <c r="W66" i="3"/>
  <c r="S66" i="3"/>
  <c r="O66" i="3"/>
  <c r="K66" i="3"/>
  <c r="G66" i="3"/>
  <c r="C66" i="3"/>
  <c r="U65" i="3"/>
  <c r="Q65" i="3"/>
  <c r="M65" i="3"/>
  <c r="I65" i="3"/>
  <c r="E65" i="3"/>
  <c r="W64" i="3"/>
  <c r="S64" i="3"/>
  <c r="O64" i="3"/>
  <c r="K64" i="3"/>
  <c r="G64" i="3"/>
  <c r="C64" i="3"/>
  <c r="U63" i="3"/>
  <c r="Q63" i="3"/>
  <c r="M63" i="3"/>
  <c r="I63" i="3"/>
  <c r="E63" i="3"/>
  <c r="W62" i="3"/>
  <c r="S62" i="3"/>
  <c r="O62" i="3"/>
  <c r="K62" i="3"/>
  <c r="G62" i="3"/>
  <c r="C62" i="3"/>
  <c r="U61" i="3"/>
  <c r="Q61" i="3"/>
  <c r="M61" i="3"/>
  <c r="I61" i="3"/>
  <c r="E61" i="3"/>
  <c r="W60" i="3"/>
  <c r="S60" i="3"/>
  <c r="O60" i="3"/>
  <c r="K60" i="3"/>
  <c r="G60" i="3"/>
  <c r="C60" i="3"/>
  <c r="U59" i="3"/>
  <c r="Q59" i="3"/>
  <c r="M59" i="3"/>
  <c r="I59" i="3"/>
  <c r="E59" i="3"/>
  <c r="W58" i="3"/>
  <c r="S58" i="3"/>
  <c r="O58" i="3"/>
  <c r="K58" i="3"/>
  <c r="G58" i="3"/>
  <c r="C58" i="3"/>
  <c r="U57" i="3"/>
  <c r="Q57" i="3"/>
  <c r="M57" i="3"/>
  <c r="I57" i="3"/>
  <c r="E57" i="3"/>
  <c r="W56" i="3"/>
  <c r="S56" i="3"/>
  <c r="O56" i="3"/>
  <c r="K56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U78" i="3"/>
  <c r="E78" i="3"/>
  <c r="K77" i="3"/>
  <c r="Q76" i="3"/>
  <c r="W75" i="3"/>
  <c r="G75" i="3"/>
  <c r="M74" i="3"/>
  <c r="S73" i="3"/>
  <c r="C73" i="3"/>
  <c r="I72" i="3"/>
  <c r="O71" i="3"/>
  <c r="U70" i="3"/>
  <c r="E70" i="3"/>
  <c r="K69" i="3"/>
  <c r="Q68" i="3"/>
  <c r="W67" i="3"/>
  <c r="G67" i="3"/>
  <c r="M66" i="3"/>
  <c r="S65" i="3"/>
  <c r="C65" i="3"/>
  <c r="I64" i="3"/>
  <c r="O63" i="3"/>
  <c r="U62" i="3"/>
  <c r="E62" i="3"/>
  <c r="K61" i="3"/>
  <c r="Q60" i="3"/>
  <c r="W59" i="3"/>
  <c r="G59" i="3"/>
  <c r="M58" i="3"/>
  <c r="S57" i="3"/>
  <c r="C57" i="3"/>
  <c r="I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U50" i="3"/>
  <c r="Q50" i="3"/>
  <c r="M50" i="3"/>
  <c r="I50" i="3"/>
  <c r="E50" i="3"/>
  <c r="W49" i="3"/>
  <c r="S49" i="3"/>
  <c r="O49" i="3"/>
  <c r="K49" i="3"/>
  <c r="G49" i="3"/>
  <c r="C49" i="3"/>
  <c r="U48" i="3"/>
  <c r="Q48" i="3"/>
  <c r="M48" i="3"/>
  <c r="I48" i="3"/>
  <c r="E48" i="3"/>
  <c r="W47" i="3"/>
  <c r="S47" i="3"/>
  <c r="O47" i="3"/>
  <c r="K47" i="3"/>
  <c r="G47" i="3"/>
  <c r="C47" i="3"/>
  <c r="U46" i="3"/>
  <c r="Q46" i="3"/>
  <c r="M46" i="3"/>
  <c r="I46" i="3"/>
  <c r="E46" i="3"/>
  <c r="O77" i="3"/>
  <c r="E76" i="3"/>
  <c r="W73" i="3"/>
  <c r="S71" i="3"/>
  <c r="O69" i="3"/>
  <c r="K67" i="3"/>
  <c r="G65" i="3"/>
  <c r="C63" i="3"/>
  <c r="U60" i="3"/>
  <c r="K59" i="3"/>
  <c r="G57" i="3"/>
  <c r="T55" i="3"/>
  <c r="H55" i="3"/>
  <c r="R54" i="3"/>
  <c r="F54" i="3"/>
  <c r="T53" i="3"/>
  <c r="H53" i="3"/>
  <c r="V52" i="3"/>
  <c r="J52" i="3"/>
  <c r="X51" i="3"/>
  <c r="L51" i="3"/>
  <c r="V50" i="3"/>
  <c r="J50" i="3"/>
  <c r="T49" i="3"/>
  <c r="H49" i="3"/>
  <c r="R48" i="3"/>
  <c r="F48" i="3"/>
  <c r="P47" i="3"/>
  <c r="V46" i="3"/>
  <c r="N46" i="3"/>
  <c r="Q78" i="3"/>
  <c r="W77" i="3"/>
  <c r="G77" i="3"/>
  <c r="M76" i="3"/>
  <c r="S75" i="3"/>
  <c r="C75" i="3"/>
  <c r="I74" i="3"/>
  <c r="O73" i="3"/>
  <c r="U72" i="3"/>
  <c r="E72" i="3"/>
  <c r="K71" i="3"/>
  <c r="Q70" i="3"/>
  <c r="W69" i="3"/>
  <c r="G69" i="3"/>
  <c r="M68" i="3"/>
  <c r="S67" i="3"/>
  <c r="C67" i="3"/>
  <c r="I66" i="3"/>
  <c r="O65" i="3"/>
  <c r="U64" i="3"/>
  <c r="E64" i="3"/>
  <c r="K63" i="3"/>
  <c r="Q62" i="3"/>
  <c r="W61" i="3"/>
  <c r="G61" i="3"/>
  <c r="M60" i="3"/>
  <c r="S59" i="3"/>
  <c r="C59" i="3"/>
  <c r="I58" i="3"/>
  <c r="O57" i="3"/>
  <c r="U56" i="3"/>
  <c r="G56" i="3"/>
  <c r="V55" i="3"/>
  <c r="R55" i="3"/>
  <c r="N55" i="3"/>
  <c r="J55" i="3"/>
  <c r="F55" i="3"/>
  <c r="X54" i="3"/>
  <c r="T54" i="3"/>
  <c r="P54" i="3"/>
  <c r="L54" i="3"/>
  <c r="H54" i="3"/>
  <c r="D54" i="3"/>
  <c r="V53" i="3"/>
  <c r="R53" i="3"/>
  <c r="N53" i="3"/>
  <c r="J53" i="3"/>
  <c r="F53" i="3"/>
  <c r="X52" i="3"/>
  <c r="T52" i="3"/>
  <c r="P52" i="3"/>
  <c r="L52" i="3"/>
  <c r="H52" i="3"/>
  <c r="D52" i="3"/>
  <c r="V51" i="3"/>
  <c r="R51" i="3"/>
  <c r="N51" i="3"/>
  <c r="J51" i="3"/>
  <c r="F51" i="3"/>
  <c r="X50" i="3"/>
  <c r="T50" i="3"/>
  <c r="P50" i="3"/>
  <c r="L50" i="3"/>
  <c r="H50" i="3"/>
  <c r="D50" i="3"/>
  <c r="V49" i="3"/>
  <c r="R49" i="3"/>
  <c r="N49" i="3"/>
  <c r="J49" i="3"/>
  <c r="F49" i="3"/>
  <c r="X48" i="3"/>
  <c r="T48" i="3"/>
  <c r="P48" i="3"/>
  <c r="L48" i="3"/>
  <c r="H48" i="3"/>
  <c r="D48" i="3"/>
  <c r="V47" i="3"/>
  <c r="R47" i="3"/>
  <c r="N47" i="3"/>
  <c r="J47" i="3"/>
  <c r="F47" i="3"/>
  <c r="X46" i="3"/>
  <c r="T46" i="3"/>
  <c r="P46" i="3"/>
  <c r="L46" i="3"/>
  <c r="H46" i="3"/>
  <c r="D46" i="3"/>
  <c r="U76" i="3"/>
  <c r="Q74" i="3"/>
  <c r="M72" i="3"/>
  <c r="I70" i="3"/>
  <c r="E68" i="3"/>
  <c r="W65" i="3"/>
  <c r="S63" i="3"/>
  <c r="O61" i="3"/>
  <c r="Q58" i="3"/>
  <c r="M56" i="3"/>
  <c r="P55" i="3"/>
  <c r="D55" i="3"/>
  <c r="N54" i="3"/>
  <c r="X53" i="3"/>
  <c r="L53" i="3"/>
  <c r="D53" i="3"/>
  <c r="N52" i="3"/>
  <c r="T51" i="3"/>
  <c r="H51" i="3"/>
  <c r="R50" i="3"/>
  <c r="F50" i="3"/>
  <c r="L49" i="3"/>
  <c r="V48" i="3"/>
  <c r="J48" i="3"/>
  <c r="T47" i="3"/>
  <c r="H47" i="3"/>
  <c r="R46" i="3"/>
  <c r="F46" i="3"/>
  <c r="M78" i="3"/>
  <c r="S77" i="3"/>
  <c r="C77" i="3"/>
  <c r="I76" i="3"/>
  <c r="O75" i="3"/>
  <c r="U74" i="3"/>
  <c r="E74" i="3"/>
  <c r="K73" i="3"/>
  <c r="Q72" i="3"/>
  <c r="W71" i="3"/>
  <c r="G71" i="3"/>
  <c r="M70" i="3"/>
  <c r="S69" i="3"/>
  <c r="C69" i="3"/>
  <c r="I68" i="3"/>
  <c r="O67" i="3"/>
  <c r="U66" i="3"/>
  <c r="E66" i="3"/>
  <c r="K65" i="3"/>
  <c r="Q64" i="3"/>
  <c r="W63" i="3"/>
  <c r="G63" i="3"/>
  <c r="M62" i="3"/>
  <c r="S61" i="3"/>
  <c r="C61" i="3"/>
  <c r="I60" i="3"/>
  <c r="O59" i="3"/>
  <c r="U58" i="3"/>
  <c r="E58" i="3"/>
  <c r="K57" i="3"/>
  <c r="Q56" i="3"/>
  <c r="E56" i="3"/>
  <c r="U55" i="3"/>
  <c r="Q55" i="3"/>
  <c r="M55" i="3"/>
  <c r="I55" i="3"/>
  <c r="E55" i="3"/>
  <c r="W54" i="3"/>
  <c r="S54" i="3"/>
  <c r="O54" i="3"/>
  <c r="K54" i="3"/>
  <c r="G54" i="3"/>
  <c r="C54" i="3"/>
  <c r="U53" i="3"/>
  <c r="Q53" i="3"/>
  <c r="M53" i="3"/>
  <c r="I53" i="3"/>
  <c r="E53" i="3"/>
  <c r="W52" i="3"/>
  <c r="S52" i="3"/>
  <c r="O52" i="3"/>
  <c r="K52" i="3"/>
  <c r="G52" i="3"/>
  <c r="C52" i="3"/>
  <c r="U51" i="3"/>
  <c r="Q51" i="3"/>
  <c r="M51" i="3"/>
  <c r="I51" i="3"/>
  <c r="E51" i="3"/>
  <c r="W50" i="3"/>
  <c r="S50" i="3"/>
  <c r="O50" i="3"/>
  <c r="K50" i="3"/>
  <c r="G50" i="3"/>
  <c r="C50" i="3"/>
  <c r="U49" i="3"/>
  <c r="Q49" i="3"/>
  <c r="M49" i="3"/>
  <c r="I49" i="3"/>
  <c r="E49" i="3"/>
  <c r="W48" i="3"/>
  <c r="S48" i="3"/>
  <c r="O48" i="3"/>
  <c r="K48" i="3"/>
  <c r="G48" i="3"/>
  <c r="C48" i="3"/>
  <c r="U47" i="3"/>
  <c r="Q47" i="3"/>
  <c r="M47" i="3"/>
  <c r="I47" i="3"/>
  <c r="E47" i="3"/>
  <c r="W46" i="3"/>
  <c r="S46" i="3"/>
  <c r="O46" i="3"/>
  <c r="K46" i="3"/>
  <c r="G46" i="3"/>
  <c r="I78" i="3"/>
  <c r="K75" i="3"/>
  <c r="G73" i="3"/>
  <c r="C71" i="3"/>
  <c r="U68" i="3"/>
  <c r="Q66" i="3"/>
  <c r="M64" i="3"/>
  <c r="I62" i="3"/>
  <c r="E60" i="3"/>
  <c r="W57" i="3"/>
  <c r="C56" i="3"/>
  <c r="L55" i="3"/>
  <c r="V54" i="3"/>
  <c r="J54" i="3"/>
  <c r="P53" i="3"/>
  <c r="R52" i="3"/>
  <c r="F52" i="3"/>
  <c r="P51" i="3"/>
  <c r="D51" i="3"/>
  <c r="N50" i="3"/>
  <c r="X49" i="3"/>
  <c r="P49" i="3"/>
  <c r="D49" i="3"/>
  <c r="N48" i="3"/>
  <c r="X47" i="3"/>
  <c r="L47" i="3"/>
  <c r="D47" i="3"/>
  <c r="J46" i="3"/>
  <c r="C46" i="3"/>
  <c r="B46" i="3" l="1"/>
  <c r="R37" i="10"/>
  <c r="CU16" i="3"/>
  <c r="CQ16" i="3"/>
  <c r="CI16" i="3"/>
  <c r="CE16" i="3"/>
  <c r="CN15" i="3"/>
  <c r="CJ15" i="3"/>
  <c r="CF15" i="3"/>
  <c r="CN16" i="3"/>
  <c r="CP16" i="3"/>
  <c r="CH16" i="3"/>
  <c r="CU15" i="3"/>
  <c r="CQ15" i="3"/>
  <c r="CI15" i="3"/>
  <c r="CE15" i="3"/>
  <c r="CJ16" i="3"/>
  <c r="CG15" i="3"/>
  <c r="CO16" i="3"/>
  <c r="CG16" i="3"/>
  <c r="CP15" i="3"/>
  <c r="CH15" i="3"/>
  <c r="CF16" i="3"/>
  <c r="CO15" i="3"/>
  <c r="CU34" i="3"/>
  <c r="CQ34" i="3"/>
  <c r="CI34" i="3"/>
  <c r="CE34" i="3"/>
  <c r="CJ34" i="3"/>
  <c r="CP34" i="3"/>
  <c r="CH34" i="3"/>
  <c r="CN34" i="3"/>
  <c r="CO34" i="3"/>
  <c r="CG34" i="3"/>
  <c r="CF34" i="3"/>
  <c r="Y110" i="2"/>
  <c r="U110" i="2"/>
  <c r="Q110" i="2"/>
  <c r="M110" i="2"/>
  <c r="I110" i="2"/>
  <c r="E110" i="2"/>
  <c r="X109" i="2"/>
  <c r="T109" i="2"/>
  <c r="P109" i="2"/>
  <c r="L109" i="2"/>
  <c r="H109" i="2"/>
  <c r="D109" i="2"/>
  <c r="W108" i="2"/>
  <c r="S108" i="2"/>
  <c r="O108" i="2"/>
  <c r="K108" i="2"/>
  <c r="G108" i="2"/>
  <c r="Z107" i="2"/>
  <c r="V107" i="2"/>
  <c r="R107" i="2"/>
  <c r="N107" i="2"/>
  <c r="J107" i="2"/>
  <c r="F107" i="2"/>
  <c r="Y106" i="2"/>
  <c r="U106" i="2"/>
  <c r="Q106" i="2"/>
  <c r="M106" i="2"/>
  <c r="I106" i="2"/>
  <c r="E106" i="2"/>
  <c r="T105" i="2"/>
  <c r="P105" i="2"/>
  <c r="L105" i="2"/>
  <c r="H105" i="2"/>
  <c r="D105" i="2"/>
  <c r="Z103" i="2"/>
  <c r="V103" i="2"/>
  <c r="R103" i="2"/>
  <c r="N103" i="2"/>
  <c r="J103" i="2"/>
  <c r="F103" i="2"/>
  <c r="Y102" i="2"/>
  <c r="U102" i="2"/>
  <c r="Q102" i="2"/>
  <c r="M102" i="2"/>
  <c r="I102" i="2"/>
  <c r="E102" i="2"/>
  <c r="X101" i="2"/>
  <c r="T101" i="2"/>
  <c r="P101" i="2"/>
  <c r="L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110" i="2"/>
  <c r="T110" i="2"/>
  <c r="P110" i="2"/>
  <c r="L110" i="2"/>
  <c r="H110" i="2"/>
  <c r="D110" i="2"/>
  <c r="W109" i="2"/>
  <c r="S109" i="2"/>
  <c r="O109" i="2"/>
  <c r="K109" i="2"/>
  <c r="G109" i="2"/>
  <c r="Z108" i="2"/>
  <c r="V108" i="2"/>
  <c r="R108" i="2"/>
  <c r="N108" i="2"/>
  <c r="J108" i="2"/>
  <c r="F108" i="2"/>
  <c r="Y107" i="2"/>
  <c r="U107" i="2"/>
  <c r="Q107" i="2"/>
  <c r="M107" i="2"/>
  <c r="I107" i="2"/>
  <c r="E107" i="2"/>
  <c r="X106" i="2"/>
  <c r="T106" i="2"/>
  <c r="P106" i="2"/>
  <c r="L106" i="2"/>
  <c r="H106" i="2"/>
  <c r="D106" i="2"/>
  <c r="W105" i="2"/>
  <c r="S105" i="2"/>
  <c r="O105" i="2"/>
  <c r="K105" i="2"/>
  <c r="G105" i="2"/>
  <c r="Y103" i="2"/>
  <c r="U103" i="2"/>
  <c r="Q103" i="2"/>
  <c r="M103" i="2"/>
  <c r="I103" i="2"/>
  <c r="E103" i="2"/>
  <c r="X102" i="2"/>
  <c r="T102" i="2"/>
  <c r="P102" i="2"/>
  <c r="L102" i="2"/>
  <c r="H102" i="2"/>
  <c r="D102" i="2"/>
  <c r="W101" i="2"/>
  <c r="S101" i="2"/>
  <c r="K101" i="2"/>
  <c r="Z100" i="2"/>
  <c r="V100" i="2"/>
  <c r="R100" i="2"/>
  <c r="N100" i="2"/>
  <c r="J100" i="2"/>
  <c r="F100" i="2"/>
  <c r="Y99" i="2"/>
  <c r="U99" i="2"/>
  <c r="Q99" i="2"/>
  <c r="M99" i="2"/>
  <c r="I99" i="2"/>
  <c r="E99" i="2"/>
  <c r="X98" i="2"/>
  <c r="T98" i="2"/>
  <c r="P98" i="2"/>
  <c r="L98" i="2"/>
  <c r="H98" i="2"/>
  <c r="D98" i="2"/>
  <c r="W110" i="2"/>
  <c r="O110" i="2"/>
  <c r="G110" i="2"/>
  <c r="V109" i="2"/>
  <c r="N109" i="2"/>
  <c r="F109" i="2"/>
  <c r="U108" i="2"/>
  <c r="M108" i="2"/>
  <c r="E108" i="2"/>
  <c r="T107" i="2"/>
  <c r="L107" i="2"/>
  <c r="D107" i="2"/>
  <c r="S106" i="2"/>
  <c r="K106" i="2"/>
  <c r="Z105" i="2"/>
  <c r="R105" i="2"/>
  <c r="J105" i="2"/>
  <c r="X103" i="2"/>
  <c r="P103" i="2"/>
  <c r="H103" i="2"/>
  <c r="W102" i="2"/>
  <c r="O102" i="2"/>
  <c r="G102" i="2"/>
  <c r="V101" i="2"/>
  <c r="N101" i="2"/>
  <c r="F101" i="2"/>
  <c r="U100" i="2"/>
  <c r="M100" i="2"/>
  <c r="E100" i="2"/>
  <c r="T99" i="2"/>
  <c r="L99" i="2"/>
  <c r="D99" i="2"/>
  <c r="S98" i="2"/>
  <c r="K98" i="2"/>
  <c r="Z97" i="2"/>
  <c r="V97" i="2"/>
  <c r="R97" i="2"/>
  <c r="N97" i="2"/>
  <c r="J97" i="2"/>
  <c r="F97" i="2"/>
  <c r="Y96" i="2"/>
  <c r="U96" i="2"/>
  <c r="Q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K82" i="2"/>
  <c r="G82" i="2"/>
  <c r="Z81" i="2"/>
  <c r="V81" i="2"/>
  <c r="R81" i="2"/>
  <c r="N81" i="2"/>
  <c r="J81" i="2"/>
  <c r="F81" i="2"/>
  <c r="Y80" i="2"/>
  <c r="U80" i="2"/>
  <c r="Q80" i="2"/>
  <c r="M80" i="2"/>
  <c r="I80" i="2"/>
  <c r="E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I65" i="2"/>
  <c r="V110" i="2"/>
  <c r="N110" i="2"/>
  <c r="F110" i="2"/>
  <c r="U109" i="2"/>
  <c r="M109" i="2"/>
  <c r="E109" i="2"/>
  <c r="T108" i="2"/>
  <c r="L108" i="2"/>
  <c r="D108" i="2"/>
  <c r="S107" i="2"/>
  <c r="K107" i="2"/>
  <c r="Z106" i="2"/>
  <c r="R106" i="2"/>
  <c r="J106" i="2"/>
  <c r="Y105" i="2"/>
  <c r="Q105" i="2"/>
  <c r="I105" i="2"/>
  <c r="W103" i="2"/>
  <c r="O103" i="2"/>
  <c r="G103" i="2"/>
  <c r="V102" i="2"/>
  <c r="N102" i="2"/>
  <c r="F102" i="2"/>
  <c r="U101" i="2"/>
  <c r="M101" i="2"/>
  <c r="E101" i="2"/>
  <c r="T100" i="2"/>
  <c r="L100" i="2"/>
  <c r="D100" i="2"/>
  <c r="S99" i="2"/>
  <c r="K99" i="2"/>
  <c r="Z98" i="2"/>
  <c r="R98" i="2"/>
  <c r="J98" i="2"/>
  <c r="Y97" i="2"/>
  <c r="U97" i="2"/>
  <c r="Q97" i="2"/>
  <c r="M97" i="2"/>
  <c r="I97" i="2"/>
  <c r="E97" i="2"/>
  <c r="X96" i="2"/>
  <c r="T96" i="2"/>
  <c r="P96" i="2"/>
  <c r="L96" i="2"/>
  <c r="H96" i="2"/>
  <c r="D96" i="2"/>
  <c r="W95" i="2"/>
  <c r="S95" i="2"/>
  <c r="O95" i="2"/>
  <c r="K95" i="2"/>
  <c r="G95" i="2"/>
  <c r="Z94" i="2"/>
  <c r="R94" i="2"/>
  <c r="N94" i="2"/>
  <c r="J94" i="2"/>
  <c r="F94" i="2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N90" i="2"/>
  <c r="J90" i="2"/>
  <c r="F90" i="2"/>
  <c r="Y89" i="2"/>
  <c r="U89" i="2"/>
  <c r="Q89" i="2"/>
  <c r="M89" i="2"/>
  <c r="I89" i="2"/>
  <c r="E89" i="2"/>
  <c r="X88" i="2"/>
  <c r="T88" i="2"/>
  <c r="P88" i="2"/>
  <c r="L88" i="2"/>
  <c r="H88" i="2"/>
  <c r="D88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R82" i="2"/>
  <c r="N82" i="2"/>
  <c r="J82" i="2"/>
  <c r="F82" i="2"/>
  <c r="Y81" i="2"/>
  <c r="U81" i="2"/>
  <c r="Q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W75" i="2"/>
  <c r="S75" i="2"/>
  <c r="O75" i="2"/>
  <c r="K75" i="2"/>
  <c r="G75" i="2"/>
  <c r="Z74" i="2"/>
  <c r="V74" i="2"/>
  <c r="R74" i="2"/>
  <c r="N74" i="2"/>
  <c r="J74" i="2"/>
  <c r="F74" i="2"/>
  <c r="Y73" i="2"/>
  <c r="U73" i="2"/>
  <c r="Q73" i="2"/>
  <c r="M73" i="2"/>
  <c r="I73" i="2"/>
  <c r="E73" i="2"/>
  <c r="X72" i="2"/>
  <c r="T72" i="2"/>
  <c r="P72" i="2"/>
  <c r="L72" i="2"/>
  <c r="H72" i="2"/>
  <c r="D72" i="2"/>
  <c r="W71" i="2"/>
  <c r="S71" i="2"/>
  <c r="O71" i="2"/>
  <c r="K71" i="2"/>
  <c r="G71" i="2"/>
  <c r="Z70" i="2"/>
  <c r="V70" i="2"/>
  <c r="R70" i="2"/>
  <c r="N70" i="2"/>
  <c r="J70" i="2"/>
  <c r="F70" i="2"/>
  <c r="Y69" i="2"/>
  <c r="U69" i="2"/>
  <c r="Q69" i="2"/>
  <c r="M69" i="2"/>
  <c r="I69" i="2"/>
  <c r="E69" i="2"/>
  <c r="X68" i="2"/>
  <c r="T68" i="2"/>
  <c r="P68" i="2"/>
  <c r="L68" i="2"/>
  <c r="H68" i="2"/>
  <c r="D68" i="2"/>
  <c r="W67" i="2"/>
  <c r="S67" i="2"/>
  <c r="O67" i="2"/>
  <c r="K67" i="2"/>
  <c r="G67" i="2"/>
  <c r="Z66" i="2"/>
  <c r="V66" i="2"/>
  <c r="R66" i="2"/>
  <c r="N66" i="2"/>
  <c r="J66" i="2"/>
  <c r="F66" i="2"/>
  <c r="Y65" i="2"/>
  <c r="U65" i="2"/>
  <c r="Q65" i="2"/>
  <c r="M65" i="2"/>
  <c r="E65" i="2"/>
  <c r="U86" i="2"/>
  <c r="S110" i="2"/>
  <c r="K110" i="2"/>
  <c r="Z109" i="2"/>
  <c r="R109" i="2"/>
  <c r="J109" i="2"/>
  <c r="Y108" i="2"/>
  <c r="Q108" i="2"/>
  <c r="I108" i="2"/>
  <c r="X107" i="2"/>
  <c r="P107" i="2"/>
  <c r="H107" i="2"/>
  <c r="W106" i="2"/>
  <c r="O106" i="2"/>
  <c r="G106" i="2"/>
  <c r="N105" i="2"/>
  <c r="F105" i="2"/>
  <c r="T103" i="2"/>
  <c r="L103" i="2"/>
  <c r="D103" i="2"/>
  <c r="S102" i="2"/>
  <c r="K102" i="2"/>
  <c r="Z101" i="2"/>
  <c r="R101" i="2"/>
  <c r="J101" i="2"/>
  <c r="Y100" i="2"/>
  <c r="Q100" i="2"/>
  <c r="I100" i="2"/>
  <c r="X99" i="2"/>
  <c r="P99" i="2"/>
  <c r="H99" i="2"/>
  <c r="W98" i="2"/>
  <c r="O98" i="2"/>
  <c r="G98" i="2"/>
  <c r="X97" i="2"/>
  <c r="T97" i="2"/>
  <c r="P97" i="2"/>
  <c r="L97" i="2"/>
  <c r="H97" i="2"/>
  <c r="D97" i="2"/>
  <c r="W96" i="2"/>
  <c r="O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Y86" i="2"/>
  <c r="Y109" i="2"/>
  <c r="P108" i="2"/>
  <c r="G107" i="2"/>
  <c r="U105" i="2"/>
  <c r="Z102" i="2"/>
  <c r="H100" i="2"/>
  <c r="V98" i="2"/>
  <c r="S97" i="2"/>
  <c r="Z96" i="2"/>
  <c r="J96" i="2"/>
  <c r="Q95" i="2"/>
  <c r="X94" i="2"/>
  <c r="H94" i="2"/>
  <c r="O93" i="2"/>
  <c r="V92" i="2"/>
  <c r="F92" i="2"/>
  <c r="M91" i="2"/>
  <c r="T90" i="2"/>
  <c r="D90" i="2"/>
  <c r="K89" i="2"/>
  <c r="R88" i="2"/>
  <c r="Q86" i="2"/>
  <c r="I86" i="2"/>
  <c r="X85" i="2"/>
  <c r="P85" i="2"/>
  <c r="H85" i="2"/>
  <c r="W84" i="2"/>
  <c r="O84" i="2"/>
  <c r="G84" i="2"/>
  <c r="V83" i="2"/>
  <c r="N83" i="2"/>
  <c r="F83" i="2"/>
  <c r="U82" i="2"/>
  <c r="M82" i="2"/>
  <c r="E82" i="2"/>
  <c r="T81" i="2"/>
  <c r="L81" i="2"/>
  <c r="D81" i="2"/>
  <c r="S80" i="2"/>
  <c r="K80" i="2"/>
  <c r="Z79" i="2"/>
  <c r="R79" i="2"/>
  <c r="J79" i="2"/>
  <c r="Y78" i="2"/>
  <c r="Q78" i="2"/>
  <c r="I78" i="2"/>
  <c r="X77" i="2"/>
  <c r="P77" i="2"/>
  <c r="H77" i="2"/>
  <c r="V75" i="2"/>
  <c r="N75" i="2"/>
  <c r="F75" i="2"/>
  <c r="U74" i="2"/>
  <c r="M74" i="2"/>
  <c r="E74" i="2"/>
  <c r="T73" i="2"/>
  <c r="L73" i="2"/>
  <c r="D73" i="2"/>
  <c r="S72" i="2"/>
  <c r="K72" i="2"/>
  <c r="Z71" i="2"/>
  <c r="R71" i="2"/>
  <c r="J71" i="2"/>
  <c r="Y70" i="2"/>
  <c r="Q70" i="2"/>
  <c r="I70" i="2"/>
  <c r="X69" i="2"/>
  <c r="P69" i="2"/>
  <c r="H69" i="2"/>
  <c r="W68" i="2"/>
  <c r="O68" i="2"/>
  <c r="G68" i="2"/>
  <c r="V67" i="2"/>
  <c r="N67" i="2"/>
  <c r="F67" i="2"/>
  <c r="U66" i="2"/>
  <c r="M66" i="2"/>
  <c r="E66" i="2"/>
  <c r="T65" i="2"/>
  <c r="L65" i="2"/>
  <c r="J110" i="2"/>
  <c r="U95" i="2"/>
  <c r="Z92" i="2"/>
  <c r="O89" i="2"/>
  <c r="S85" i="2"/>
  <c r="R84" i="2"/>
  <c r="Q83" i="2"/>
  <c r="P82" i="2"/>
  <c r="O81" i="2"/>
  <c r="N80" i="2"/>
  <c r="M79" i="2"/>
  <c r="L78" i="2"/>
  <c r="Q75" i="2"/>
  <c r="P74" i="2"/>
  <c r="O73" i="2"/>
  <c r="N72" i="2"/>
  <c r="M71" i="2"/>
  <c r="L70" i="2"/>
  <c r="K69" i="2"/>
  <c r="J68" i="2"/>
  <c r="I67" i="2"/>
  <c r="H66" i="2"/>
  <c r="Z110" i="2"/>
  <c r="Q109" i="2"/>
  <c r="H108" i="2"/>
  <c r="V106" i="2"/>
  <c r="M105" i="2"/>
  <c r="R102" i="2"/>
  <c r="I101" i="2"/>
  <c r="W99" i="2"/>
  <c r="N98" i="2"/>
  <c r="O97" i="2"/>
  <c r="V96" i="2"/>
  <c r="F96" i="2"/>
  <c r="M95" i="2"/>
  <c r="T94" i="2"/>
  <c r="D94" i="2"/>
  <c r="K93" i="2"/>
  <c r="R92" i="2"/>
  <c r="Y91" i="2"/>
  <c r="I91" i="2"/>
  <c r="P90" i="2"/>
  <c r="W89" i="2"/>
  <c r="G89" i="2"/>
  <c r="N88" i="2"/>
  <c r="P86" i="2"/>
  <c r="H86" i="2"/>
  <c r="W85" i="2"/>
  <c r="O85" i="2"/>
  <c r="G85" i="2"/>
  <c r="V84" i="2"/>
  <c r="N84" i="2"/>
  <c r="F84" i="2"/>
  <c r="U83" i="2"/>
  <c r="M83" i="2"/>
  <c r="E83" i="2"/>
  <c r="T82" i="2"/>
  <c r="L82" i="2"/>
  <c r="D82" i="2"/>
  <c r="S81" i="2"/>
  <c r="K81" i="2"/>
  <c r="Z80" i="2"/>
  <c r="R80" i="2"/>
  <c r="J80" i="2"/>
  <c r="Y79" i="2"/>
  <c r="Q79" i="2"/>
  <c r="I79" i="2"/>
  <c r="X78" i="2"/>
  <c r="P78" i="2"/>
  <c r="H78" i="2"/>
  <c r="W77" i="2"/>
  <c r="O77" i="2"/>
  <c r="G77" i="2"/>
  <c r="U75" i="2"/>
  <c r="M75" i="2"/>
  <c r="E75" i="2"/>
  <c r="T74" i="2"/>
  <c r="L74" i="2"/>
  <c r="D74" i="2"/>
  <c r="S73" i="2"/>
  <c r="K73" i="2"/>
  <c r="Z72" i="2"/>
  <c r="R72" i="2"/>
  <c r="J72" i="2"/>
  <c r="Y71" i="2"/>
  <c r="Q71" i="2"/>
  <c r="I71" i="2"/>
  <c r="X70" i="2"/>
  <c r="P70" i="2"/>
  <c r="H70" i="2"/>
  <c r="W69" i="2"/>
  <c r="O69" i="2"/>
  <c r="G69" i="2"/>
  <c r="V68" i="2"/>
  <c r="N68" i="2"/>
  <c r="F68" i="2"/>
  <c r="U67" i="2"/>
  <c r="M67" i="2"/>
  <c r="E67" i="2"/>
  <c r="T66" i="2"/>
  <c r="L66" i="2"/>
  <c r="D66" i="2"/>
  <c r="S65" i="2"/>
  <c r="K65" i="2"/>
  <c r="O107" i="2"/>
  <c r="Y101" i="2"/>
  <c r="G99" i="2"/>
  <c r="G97" i="2"/>
  <c r="E95" i="2"/>
  <c r="S93" i="2"/>
  <c r="Q91" i="2"/>
  <c r="X90" i="2"/>
  <c r="H90" i="2"/>
  <c r="F88" i="2"/>
  <c r="L86" i="2"/>
  <c r="K85" i="2"/>
  <c r="Y83" i="2"/>
  <c r="X82" i="2"/>
  <c r="W81" i="2"/>
  <c r="V80" i="2"/>
  <c r="U79" i="2"/>
  <c r="T78" i="2"/>
  <c r="S77" i="2"/>
  <c r="Y75" i="2"/>
  <c r="X74" i="2"/>
  <c r="H74" i="2"/>
  <c r="V72" i="2"/>
  <c r="U71" i="2"/>
  <c r="T70" i="2"/>
  <c r="S69" i="2"/>
  <c r="R68" i="2"/>
  <c r="Q67" i="2"/>
  <c r="X66" i="2"/>
  <c r="R110" i="2"/>
  <c r="I109" i="2"/>
  <c r="W107" i="2"/>
  <c r="N106" i="2"/>
  <c r="E105" i="2"/>
  <c r="S103" i="2"/>
  <c r="J102" i="2"/>
  <c r="X100" i="2"/>
  <c r="O99" i="2"/>
  <c r="F98" i="2"/>
  <c r="K97" i="2"/>
  <c r="Y95" i="2"/>
  <c r="I95" i="2"/>
  <c r="P94" i="2"/>
  <c r="W93" i="2"/>
  <c r="G93" i="2"/>
  <c r="N92" i="2"/>
  <c r="U91" i="2"/>
  <c r="E91" i="2"/>
  <c r="L90" i="2"/>
  <c r="S89" i="2"/>
  <c r="Z88" i="2"/>
  <c r="J88" i="2"/>
  <c r="X86" i="2"/>
  <c r="M86" i="2"/>
  <c r="T85" i="2"/>
  <c r="L85" i="2"/>
  <c r="D85" i="2"/>
  <c r="S84" i="2"/>
  <c r="K84" i="2"/>
  <c r="Z83" i="2"/>
  <c r="R83" i="2"/>
  <c r="J83" i="2"/>
  <c r="Y82" i="2"/>
  <c r="Q82" i="2"/>
  <c r="I82" i="2"/>
  <c r="X81" i="2"/>
  <c r="P81" i="2"/>
  <c r="H81" i="2"/>
  <c r="W80" i="2"/>
  <c r="O80" i="2"/>
  <c r="G80" i="2"/>
  <c r="V79" i="2"/>
  <c r="N79" i="2"/>
  <c r="F79" i="2"/>
  <c r="U78" i="2"/>
  <c r="M78" i="2"/>
  <c r="E78" i="2"/>
  <c r="T77" i="2"/>
  <c r="L77" i="2"/>
  <c r="D77" i="2"/>
  <c r="Z75" i="2"/>
  <c r="R75" i="2"/>
  <c r="J75" i="2"/>
  <c r="Y74" i="2"/>
  <c r="Q74" i="2"/>
  <c r="I74" i="2"/>
  <c r="X73" i="2"/>
  <c r="P73" i="2"/>
  <c r="H73" i="2"/>
  <c r="W72" i="2"/>
  <c r="O72" i="2"/>
  <c r="G72" i="2"/>
  <c r="V71" i="2"/>
  <c r="N71" i="2"/>
  <c r="F71" i="2"/>
  <c r="U70" i="2"/>
  <c r="M70" i="2"/>
  <c r="E70" i="2"/>
  <c r="T69" i="2"/>
  <c r="L69" i="2"/>
  <c r="D69" i="2"/>
  <c r="S68" i="2"/>
  <c r="K68" i="2"/>
  <c r="Z67" i="2"/>
  <c r="R67" i="2"/>
  <c r="J67" i="2"/>
  <c r="Y66" i="2"/>
  <c r="Q66" i="2"/>
  <c r="I66" i="2"/>
  <c r="X65" i="2"/>
  <c r="P65" i="2"/>
  <c r="H65" i="2"/>
  <c r="X108" i="2"/>
  <c r="F106" i="2"/>
  <c r="K103" i="2"/>
  <c r="P100" i="2"/>
  <c r="W97" i="2"/>
  <c r="N96" i="2"/>
  <c r="L94" i="2"/>
  <c r="J92" i="2"/>
  <c r="V88" i="2"/>
  <c r="T86" i="2"/>
  <c r="D86" i="2"/>
  <c r="Z84" i="2"/>
  <c r="J84" i="2"/>
  <c r="I83" i="2"/>
  <c r="H82" i="2"/>
  <c r="G81" i="2"/>
  <c r="F80" i="2"/>
  <c r="E79" i="2"/>
  <c r="D78" i="2"/>
  <c r="K77" i="2"/>
  <c r="I75" i="2"/>
  <c r="W73" i="2"/>
  <c r="G73" i="2"/>
  <c r="F72" i="2"/>
  <c r="E71" i="2"/>
  <c r="D70" i="2"/>
  <c r="Z68" i="2"/>
  <c r="Y67" i="2"/>
  <c r="P66" i="2"/>
  <c r="W65" i="2"/>
  <c r="O65" i="2"/>
  <c r="G65" i="2"/>
  <c r="D65" i="2"/>
  <c r="P87" i="2"/>
  <c r="O87" i="2"/>
  <c r="N87" i="2"/>
  <c r="Q87" i="2"/>
  <c r="L87" i="2"/>
  <c r="K87" i="2"/>
  <c r="J87" i="2"/>
  <c r="X87" i="2"/>
  <c r="H87" i="2"/>
  <c r="W87" i="2"/>
  <c r="G87" i="2"/>
  <c r="F87" i="2"/>
  <c r="Y87" i="2"/>
  <c r="U87" i="2"/>
  <c r="T87" i="2"/>
  <c r="D87" i="2"/>
  <c r="V87" i="2"/>
  <c r="S87" i="2"/>
  <c r="R87" i="2"/>
  <c r="Z87" i="2"/>
  <c r="I87" i="2"/>
  <c r="M87" i="2"/>
  <c r="E87" i="2"/>
  <c r="M76" i="2"/>
  <c r="T76" i="2"/>
  <c r="D76" i="2"/>
  <c r="W76" i="2"/>
  <c r="V76" i="2"/>
  <c r="U76" i="2"/>
  <c r="F76" i="2"/>
  <c r="R76" i="2"/>
  <c r="Q76" i="2"/>
  <c r="H76" i="2"/>
  <c r="J76" i="2"/>
  <c r="Y76" i="2"/>
  <c r="I76" i="2"/>
  <c r="P76" i="2"/>
  <c r="O76" i="2"/>
  <c r="N76" i="2"/>
  <c r="S76" i="2"/>
  <c r="E76" i="2"/>
  <c r="L76" i="2"/>
  <c r="G76" i="2"/>
  <c r="K76" i="2"/>
  <c r="X76" i="2"/>
  <c r="Z76" i="2"/>
  <c r="K104" i="2"/>
  <c r="N104" i="2"/>
  <c r="H104" i="2"/>
  <c r="U104" i="2"/>
  <c r="W104" i="2"/>
  <c r="G104" i="2"/>
  <c r="Z104" i="2"/>
  <c r="J104" i="2"/>
  <c r="Y104" i="2"/>
  <c r="E104" i="2"/>
  <c r="S104" i="2"/>
  <c r="V104" i="2"/>
  <c r="F104" i="2"/>
  <c r="Q104" i="2"/>
  <c r="X104" i="2"/>
  <c r="T104" i="2"/>
  <c r="O104" i="2"/>
  <c r="R104" i="2"/>
  <c r="I104" i="2"/>
  <c r="P104" i="2"/>
  <c r="L104" i="2"/>
  <c r="D104" i="2"/>
  <c r="CM16" i="3" l="1"/>
  <c r="CT16" i="3"/>
  <c r="CL16" i="3"/>
  <c r="CK16" i="3"/>
  <c r="CR16" i="3"/>
  <c r="CM15" i="3"/>
  <c r="CT15" i="3"/>
  <c r="CR15" i="3"/>
  <c r="CK15" i="3"/>
  <c r="CL15" i="3"/>
  <c r="CM34" i="3"/>
  <c r="CT34" i="3"/>
  <c r="CL34" i="3"/>
  <c r="CK34" i="3"/>
  <c r="CR34" i="3"/>
  <c r="CY46" i="2" l="1" a="1"/>
  <c r="CY46" i="2" s="1"/>
  <c r="CX46" i="2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Q46" i="2" a="1"/>
  <c r="CQ46" i="2" s="1"/>
  <c r="CP46" i="2" a="1"/>
  <c r="CP46" i="2" s="1"/>
  <c r="CY25" i="2" a="1"/>
  <c r="CY25" i="2" s="1"/>
  <c r="CX25" i="2" a="1"/>
  <c r="CX25" i="2" s="1"/>
  <c r="CW25" i="2"/>
  <c r="CW25" i="2" a="1"/>
  <c r="CV25" i="2" a="1"/>
  <c r="CV25" i="2" s="1"/>
  <c r="CU25" i="2" a="1"/>
  <c r="CU25" i="2" s="1"/>
  <c r="CT25" i="2" a="1"/>
  <c r="CT25" i="2" s="1"/>
  <c r="CS25" i="2" a="1"/>
  <c r="CS25" i="2" s="1"/>
  <c r="CQ25" i="2" a="1"/>
  <c r="CQ25" i="2" s="1"/>
  <c r="CP25" i="2" a="1"/>
  <c r="CP25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Y40" i="2" a="1"/>
  <c r="CY40" i="2" s="1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Q40" i="2" a="1"/>
  <c r="CQ40" i="2" s="1"/>
  <c r="CP40" i="2" a="1"/>
  <c r="CP40" i="2" s="1"/>
  <c r="CY39" i="2" a="1"/>
  <c r="CY39" i="2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Q39" i="2" a="1"/>
  <c r="CQ39" i="2" s="1"/>
  <c r="CP39" i="2" a="1"/>
  <c r="CP39" i="2" s="1"/>
  <c r="CY29" i="2"/>
  <c r="CY29" i="2" a="1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Q29" i="2" a="1"/>
  <c r="CQ29" i="2" s="1"/>
  <c r="CP29" i="2" a="1"/>
  <c r="CP29" i="2" s="1"/>
  <c r="CY22" i="2" a="1"/>
  <c r="CY22" i="2" s="1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Q22" i="2" a="1"/>
  <c r="CQ22" i="2" s="1"/>
  <c r="CP22" i="2" a="1"/>
  <c r="CP22" i="2" s="1"/>
  <c r="CY17" i="2" a="1"/>
  <c r="CY17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Q17" i="2" a="1"/>
  <c r="CQ17" i="2" s="1"/>
  <c r="CP17" i="2" a="1"/>
  <c r="CP17" i="2" s="1"/>
  <c r="CY9" i="2" a="1"/>
  <c r="CY9" i="2" s="1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Q9" i="2" a="1"/>
  <c r="CQ9" i="2" s="1"/>
  <c r="CP9" i="2" a="1"/>
  <c r="CP9" i="2" s="1"/>
  <c r="DF46" i="2"/>
  <c r="CN46" i="2"/>
  <c r="DA46" i="2"/>
  <c r="DD46" i="2"/>
  <c r="DB25" i="2"/>
  <c r="DE25" i="2"/>
  <c r="CH25" i="2"/>
  <c r="CL24" i="2"/>
  <c r="CZ24" i="2"/>
  <c r="DD25" i="2"/>
  <c r="CN25" i="2"/>
  <c r="CI24" i="2"/>
  <c r="CN16" i="2"/>
  <c r="DA16" i="2"/>
  <c r="DD16" i="2"/>
  <c r="DF40" i="2"/>
  <c r="DB39" i="2"/>
  <c r="CF39" i="2"/>
  <c r="CL40" i="2"/>
  <c r="CR39" i="2"/>
  <c r="CZ40" i="2"/>
  <c r="CO39" i="2"/>
  <c r="CF40" i="2"/>
  <c r="CI29" i="2"/>
  <c r="CL29" i="2"/>
  <c r="CJ29" i="2"/>
  <c r="CO29" i="2"/>
  <c r="CJ22" i="2"/>
  <c r="CR22" i="2"/>
  <c r="CZ22" i="2"/>
  <c r="DF17" i="2"/>
  <c r="DC17" i="2"/>
  <c r="CL17" i="2"/>
  <c r="CN17" i="2"/>
  <c r="DB9" i="2"/>
  <c r="CL9" i="2"/>
  <c r="DD9" i="2"/>
  <c r="CJ9" i="2"/>
  <c r="DB46" i="2"/>
  <c r="CJ46" i="2"/>
  <c r="CR46" i="2"/>
  <c r="CZ46" i="2"/>
  <c r="CI25" i="2"/>
  <c r="DA25" i="2"/>
  <c r="CH24" i="2"/>
  <c r="CN24" i="2"/>
  <c r="CZ25" i="2"/>
  <c r="CJ25" i="2"/>
  <c r="DF16" i="2"/>
  <c r="CJ16" i="2"/>
  <c r="CZ16" i="2"/>
  <c r="DB40" i="2"/>
  <c r="DE40" i="2"/>
  <c r="CH40" i="2"/>
  <c r="CO40" i="2"/>
  <c r="DC40" i="2"/>
  <c r="DE29" i="2"/>
  <c r="DF22" i="2"/>
  <c r="CL22" i="2"/>
  <c r="CO22" i="2"/>
  <c r="DE17" i="2"/>
  <c r="CJ17" i="2"/>
  <c r="CH9" i="2"/>
  <c r="CZ9" i="2"/>
  <c r="CL25" i="2"/>
  <c r="DD24" i="2"/>
  <c r="DC24" i="2"/>
  <c r="CI16" i="2"/>
  <c r="CH16" i="2"/>
  <c r="DF39" i="2"/>
  <c r="CR40" i="2"/>
  <c r="DD40" i="2"/>
  <c r="CJ40" i="2"/>
  <c r="CR29" i="2"/>
  <c r="CZ29" i="2"/>
  <c r="DD22" i="2"/>
  <c r="CO17" i="2"/>
  <c r="CZ17" i="2"/>
  <c r="CR9" i="2"/>
  <c r="CN9" i="2"/>
  <c r="DE24" i="2"/>
  <c r="CR16" i="2"/>
  <c r="CI39" i="2"/>
  <c r="CL39" i="2"/>
  <c r="DC39" i="2"/>
  <c r="CH29" i="2"/>
  <c r="CF29" i="2"/>
  <c r="CF22" i="2"/>
  <c r="DB17" i="2"/>
  <c r="CH17" i="2"/>
  <c r="DE9" i="2"/>
  <c r="CF9" i="2"/>
  <c r="DA22" i="2"/>
  <c r="CI46" i="2"/>
  <c r="CF46" i="2"/>
  <c r="CL46" i="2"/>
  <c r="DC46" i="2"/>
  <c r="DF24" i="2"/>
  <c r="CR25" i="2"/>
  <c r="DA24" i="2"/>
  <c r="CO25" i="2"/>
  <c r="CJ24" i="2"/>
  <c r="CO24" i="2"/>
  <c r="CF25" i="2"/>
  <c r="DB16" i="2"/>
  <c r="CF16" i="2"/>
  <c r="CL16" i="2"/>
  <c r="CO16" i="2"/>
  <c r="CI40" i="2"/>
  <c r="CN39" i="2"/>
  <c r="DA40" i="2"/>
  <c r="DE39" i="2"/>
  <c r="CH39" i="2"/>
  <c r="DD39" i="2"/>
  <c r="CN40" i="2"/>
  <c r="DF29" i="2"/>
  <c r="DA29" i="2"/>
  <c r="DC29" i="2"/>
  <c r="DD29" i="2"/>
  <c r="DB22" i="2"/>
  <c r="DE22" i="2"/>
  <c r="CH22" i="2"/>
  <c r="DC22" i="2"/>
  <c r="CI17" i="2"/>
  <c r="DA17" i="2"/>
  <c r="DD17" i="2"/>
  <c r="CF17" i="2"/>
  <c r="DA9" i="2"/>
  <c r="CO9" i="2"/>
  <c r="DC9" i="2"/>
  <c r="CO46" i="2"/>
  <c r="DE46" i="2"/>
  <c r="CH46" i="2"/>
  <c r="DF25" i="2"/>
  <c r="DB24" i="2"/>
  <c r="CR24" i="2"/>
  <c r="CF24" i="2"/>
  <c r="DC25" i="2"/>
  <c r="DE16" i="2"/>
  <c r="DC16" i="2"/>
  <c r="CJ39" i="2"/>
  <c r="DA39" i="2"/>
  <c r="CZ39" i="2"/>
  <c r="DB29" i="2"/>
  <c r="CN29" i="2"/>
  <c r="CI22" i="2"/>
  <c r="CN22" i="2"/>
  <c r="CR17" i="2"/>
  <c r="DF9" i="2"/>
  <c r="CI9" i="2"/>
  <c r="CM46" i="2" l="1"/>
  <c r="DG46" i="2" s="1"/>
  <c r="DJ46" i="2"/>
  <c r="DK46" i="2"/>
  <c r="CG46" i="2"/>
  <c r="CK46" i="2"/>
  <c r="CG25" i="2"/>
  <c r="CK25" i="2"/>
  <c r="CG24" i="2"/>
  <c r="CK24" i="2"/>
  <c r="CM24" i="2"/>
  <c r="DG24" i="2" s="1"/>
  <c r="DJ24" i="2"/>
  <c r="DK24" i="2"/>
  <c r="CM25" i="2"/>
  <c r="DG25" i="2" s="1"/>
  <c r="DJ25" i="2"/>
  <c r="DK25" i="2"/>
  <c r="CM16" i="2"/>
  <c r="DG16" i="2" s="1"/>
  <c r="DJ16" i="2"/>
  <c r="DK16" i="2"/>
  <c r="CG16" i="2"/>
  <c r="CK16" i="2"/>
  <c r="CG40" i="2"/>
  <c r="CK40" i="2"/>
  <c r="CM39" i="2"/>
  <c r="DG39" i="2" s="1"/>
  <c r="DJ39" i="2"/>
  <c r="DK39" i="2"/>
  <c r="CM40" i="2"/>
  <c r="DG40" i="2" s="1"/>
  <c r="DJ40" i="2"/>
  <c r="DK40" i="2"/>
  <c r="CG39" i="2"/>
  <c r="CK39" i="2"/>
  <c r="CG29" i="2"/>
  <c r="CK29" i="2"/>
  <c r="CM29" i="2"/>
  <c r="DG29" i="2" s="1"/>
  <c r="DJ29" i="2"/>
  <c r="DK29" i="2"/>
  <c r="CM22" i="2"/>
  <c r="DG22" i="2" s="1"/>
  <c r="DJ22" i="2"/>
  <c r="DK22" i="2"/>
  <c r="CG22" i="2"/>
  <c r="CK22" i="2"/>
  <c r="CG17" i="2"/>
  <c r="CK17" i="2"/>
  <c r="CM17" i="2"/>
  <c r="DG17" i="2" s="1"/>
  <c r="DJ17" i="2"/>
  <c r="DK17" i="2"/>
  <c r="CG9" i="2"/>
  <c r="CK9" i="2"/>
  <c r="CM9" i="2"/>
  <c r="DG9" i="2" s="1"/>
  <c r="DJ9" i="2"/>
  <c r="DK9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CY45" i="2" a="1"/>
  <c r="CY45" i="2" s="1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Q45" i="2" a="1"/>
  <c r="CQ45" i="2" s="1"/>
  <c r="CP45" i="2" a="1"/>
  <c r="CP45" i="2" s="1"/>
  <c r="K10" i="16"/>
  <c r="J10" i="16"/>
  <c r="K9" i="16"/>
  <c r="J9" i="16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K8" i="16"/>
  <c r="J8" i="16"/>
  <c r="K7" i="16"/>
  <c r="J7" i="16"/>
  <c r="CP11" i="3"/>
  <c r="CI11" i="3"/>
  <c r="CQ11" i="3"/>
  <c r="CI35" i="3"/>
  <c r="CO35" i="3"/>
  <c r="CF35" i="3"/>
  <c r="CH29" i="3"/>
  <c r="CE28" i="3"/>
  <c r="CJ28" i="3"/>
  <c r="CH28" i="3"/>
  <c r="CG28" i="3"/>
  <c r="CP33" i="3"/>
  <c r="CH33" i="3"/>
  <c r="CO33" i="3"/>
  <c r="CG12" i="3"/>
  <c r="CH12" i="3"/>
  <c r="CQ12" i="3"/>
  <c r="CH11" i="3"/>
  <c r="CO11" i="3"/>
  <c r="CE11" i="3"/>
  <c r="CE35" i="3"/>
  <c r="CG35" i="3"/>
  <c r="CU29" i="3"/>
  <c r="CU28" i="3"/>
  <c r="CJ29" i="3"/>
  <c r="CO29" i="3"/>
  <c r="CN29" i="3"/>
  <c r="CN28" i="3"/>
  <c r="CN33" i="3"/>
  <c r="CF33" i="3"/>
  <c r="CG33" i="3"/>
  <c r="CO12" i="3"/>
  <c r="CU12" i="3"/>
  <c r="CN11" i="3"/>
  <c r="CG11" i="3"/>
  <c r="CU35" i="3"/>
  <c r="CP35" i="3"/>
  <c r="CN35" i="3"/>
  <c r="CI29" i="3"/>
  <c r="CQ28" i="3"/>
  <c r="CQ29" i="3"/>
  <c r="CG29" i="3"/>
  <c r="CF29" i="3"/>
  <c r="CF28" i="3"/>
  <c r="CU33" i="3"/>
  <c r="CJ33" i="3"/>
  <c r="CI12" i="3"/>
  <c r="CE12" i="3"/>
  <c r="CP12" i="3"/>
  <c r="CU11" i="3"/>
  <c r="CF11" i="3"/>
  <c r="CJ11" i="3"/>
  <c r="CQ35" i="3"/>
  <c r="CH35" i="3"/>
  <c r="CJ35" i="3"/>
  <c r="CP29" i="3"/>
  <c r="CI28" i="3"/>
  <c r="CE29" i="3"/>
  <c r="CP28" i="3"/>
  <c r="CO28" i="3"/>
  <c r="CQ33" i="3"/>
  <c r="CI33" i="3"/>
  <c r="CE33" i="3"/>
  <c r="CN12" i="3"/>
  <c r="CJ12" i="3"/>
  <c r="CF12" i="3"/>
  <c r="CH18" i="2"/>
  <c r="DA18" i="2"/>
  <c r="DC18" i="2"/>
  <c r="CO18" i="2"/>
  <c r="DD45" i="2"/>
  <c r="CZ45" i="2"/>
  <c r="CF45" i="2"/>
  <c r="CH45" i="2"/>
  <c r="DE18" i="2"/>
  <c r="CL18" i="2"/>
  <c r="CF18" i="2"/>
  <c r="CJ18" i="2"/>
  <c r="DA45" i="2"/>
  <c r="CR45" i="2"/>
  <c r="CO45" i="2"/>
  <c r="CI45" i="2"/>
  <c r="DD18" i="2"/>
  <c r="CN18" i="2"/>
  <c r="DF18" i="2"/>
  <c r="DB18" i="2"/>
  <c r="CN45" i="2"/>
  <c r="CJ45" i="2"/>
  <c r="DE45" i="2"/>
  <c r="CI18" i="2"/>
  <c r="CZ18" i="2"/>
  <c r="CR18" i="2"/>
  <c r="DF45" i="2"/>
  <c r="DB45" i="2"/>
  <c r="CL45" i="2"/>
  <c r="DC45" i="2"/>
  <c r="CL11" i="3" l="1"/>
  <c r="CK11" i="3"/>
  <c r="CR11" i="3" s="1"/>
  <c r="CT11" i="3"/>
  <c r="CM11" i="3"/>
  <c r="CM35" i="3"/>
  <c r="CT35" i="3"/>
  <c r="CL35" i="3"/>
  <c r="CK35" i="3"/>
  <c r="CR35" i="3"/>
  <c r="CM28" i="3"/>
  <c r="CT28" i="3"/>
  <c r="CT29" i="3"/>
  <c r="CM29" i="3"/>
  <c r="CK28" i="3"/>
  <c r="CR28" i="3" s="1"/>
  <c r="CL28" i="3"/>
  <c r="CL29" i="3"/>
  <c r="CK29" i="3"/>
  <c r="CR29" i="3"/>
  <c r="CG45" i="2"/>
  <c r="CK45" i="2"/>
  <c r="CM45" i="2"/>
  <c r="DG45" i="2" s="1"/>
  <c r="DJ45" i="2"/>
  <c r="DK45" i="2"/>
  <c r="CM33" i="3"/>
  <c r="CT33" i="3"/>
  <c r="CR33" i="3"/>
  <c r="CL33" i="3"/>
  <c r="CK33" i="3"/>
  <c r="CG18" i="2"/>
  <c r="CK18" i="2"/>
  <c r="CM18" i="2"/>
  <c r="DG18" i="2" s="1"/>
  <c r="DJ18" i="2"/>
  <c r="DK18" i="2"/>
  <c r="CM12" i="3"/>
  <c r="CT12" i="3"/>
  <c r="CL12" i="3"/>
  <c r="CR12" i="3"/>
  <c r="CK12" i="3"/>
  <c r="K6" i="16"/>
  <c r="J6" i="16"/>
  <c r="K5" i="16"/>
  <c r="J5" i="16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Q43" i="2" a="1"/>
  <c r="CQ43" i="2" s="1"/>
  <c r="CP43" i="2" a="1"/>
  <c r="CP43" i="2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Q27" i="3"/>
  <c r="CJ27" i="3"/>
  <c r="CG27" i="3"/>
  <c r="CU27" i="3"/>
  <c r="CF27" i="3"/>
  <c r="CP27" i="3"/>
  <c r="CI27" i="3"/>
  <c r="CE27" i="3"/>
  <c r="CO27" i="3"/>
  <c r="CH27" i="3"/>
  <c r="CN27" i="3"/>
  <c r="CH27" i="2"/>
  <c r="DA27" i="2"/>
  <c r="CO27" i="2"/>
  <c r="DF27" i="2"/>
  <c r="DF43" i="2"/>
  <c r="CL38" i="2"/>
  <c r="DD38" i="2"/>
  <c r="CN38" i="2"/>
  <c r="DE38" i="2"/>
  <c r="CH43" i="2"/>
  <c r="CH38" i="2"/>
  <c r="CN27" i="2"/>
  <c r="DF38" i="2"/>
  <c r="DD43" i="2"/>
  <c r="DB43" i="2"/>
  <c r="CL43" i="2"/>
  <c r="DD27" i="2"/>
  <c r="DE27" i="2"/>
  <c r="CZ38" i="2"/>
  <c r="DC43" i="2"/>
  <c r="CN43" i="2"/>
  <c r="CR38" i="2"/>
  <c r="CR27" i="2"/>
  <c r="CZ27" i="2"/>
  <c r="CL27" i="2"/>
  <c r="DC27" i="2"/>
  <c r="DB38" i="2"/>
  <c r="DA43" i="2"/>
  <c r="CO43" i="2"/>
  <c r="CI43" i="2"/>
  <c r="DA38" i="2"/>
  <c r="CR43" i="2"/>
  <c r="CF43" i="2"/>
  <c r="CF27" i="2"/>
  <c r="CJ27" i="2"/>
  <c r="CJ43" i="2"/>
  <c r="DC38" i="2"/>
  <c r="DE43" i="2"/>
  <c r="CO38" i="2"/>
  <c r="DB27" i="2"/>
  <c r="CI27" i="2"/>
  <c r="CF38" i="2"/>
  <c r="CI38" i="2"/>
  <c r="CJ38" i="2"/>
  <c r="CZ43" i="2"/>
  <c r="CM27" i="3" l="1"/>
  <c r="CT27" i="3"/>
  <c r="CK27" i="3"/>
  <c r="CR27" i="3"/>
  <c r="CL27" i="3"/>
  <c r="CG43" i="2"/>
  <c r="CK43" i="2"/>
  <c r="CM43" i="2"/>
  <c r="DG43" i="2" s="1"/>
  <c r="DJ43" i="2"/>
  <c r="DK43" i="2"/>
  <c r="CM38" i="2"/>
  <c r="DG38" i="2" s="1"/>
  <c r="DJ38" i="2"/>
  <c r="DK38" i="2"/>
  <c r="CG38" i="2"/>
  <c r="CK38" i="2"/>
  <c r="CM27" i="2"/>
  <c r="DG27" i="2" s="1"/>
  <c r="DJ27" i="2"/>
  <c r="DK27" i="2"/>
  <c r="CG27" i="2"/>
  <c r="CK27" i="2"/>
  <c r="K4" i="16"/>
  <c r="J4" i="16"/>
  <c r="CY33" i="2" a="1"/>
  <c r="CY33" i="2" s="1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Q33" i="2" a="1"/>
  <c r="CQ33" i="2" s="1"/>
  <c r="CP33" i="2" a="1"/>
  <c r="CP33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CY44" i="2" a="1"/>
  <c r="CY44" i="2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Q44" i="2" a="1"/>
  <c r="CQ44" i="2" s="1"/>
  <c r="CP44" i="2" a="1"/>
  <c r="CP44" i="2" s="1"/>
  <c r="CY12" i="2" a="1"/>
  <c r="CY12" i="2" s="1"/>
  <c r="CX12" i="2" a="1"/>
  <c r="CX12" i="2" s="1"/>
  <c r="CW12" i="2"/>
  <c r="CW12" i="2" a="1"/>
  <c r="CV12" i="2" a="1"/>
  <c r="CV12" i="2" s="1"/>
  <c r="CU12" i="2" a="1"/>
  <c r="CU12" i="2" s="1"/>
  <c r="CT12" i="2" a="1"/>
  <c r="CT12" i="2" s="1"/>
  <c r="CS12" i="2" a="1"/>
  <c r="CS12" i="2" s="1"/>
  <c r="CQ12" i="2" a="1"/>
  <c r="CQ12" i="2" s="1"/>
  <c r="CP12" i="2" a="1"/>
  <c r="CP12" i="2" s="1"/>
  <c r="CY35" i="2" a="1"/>
  <c r="CY35" i="2" s="1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Q35" i="2" a="1"/>
  <c r="CQ35" i="2" s="1"/>
  <c r="CP35" i="2" a="1"/>
  <c r="CP35" i="2" s="1"/>
  <c r="K3" i="16"/>
  <c r="J3" i="16"/>
  <c r="K2" i="16"/>
  <c r="J2" i="16"/>
  <c r="CY48" i="2" a="1"/>
  <c r="CY48" i="2" s="1"/>
  <c r="CY47" i="2" a="1"/>
  <c r="CY47" i="2" s="1"/>
  <c r="CY42" i="2" a="1"/>
  <c r="CY42" i="2" s="1"/>
  <c r="CY41" i="2" a="1"/>
  <c r="CY41" i="2" s="1"/>
  <c r="CY37" i="2" a="1"/>
  <c r="CY37" i="2" s="1"/>
  <c r="CY36" i="2" a="1"/>
  <c r="CY36" i="2" s="1"/>
  <c r="CY34" i="2" a="1"/>
  <c r="CY34" i="2" s="1"/>
  <c r="CY31" i="2" a="1"/>
  <c r="CY31" i="2" s="1"/>
  <c r="CY30" i="2" a="1"/>
  <c r="CY30" i="2" s="1"/>
  <c r="CY28" i="2" a="1"/>
  <c r="CY28" i="2" s="1"/>
  <c r="CY26" i="2" a="1"/>
  <c r="CY26" i="2" s="1"/>
  <c r="CY23" i="2" a="1"/>
  <c r="CY23" i="2" s="1"/>
  <c r="CY21" i="2" a="1"/>
  <c r="CY21" i="2" s="1"/>
  <c r="CY20" i="2" a="1"/>
  <c r="CY20" i="2" s="1"/>
  <c r="CY19" i="2" a="1"/>
  <c r="CY19" i="2" s="1"/>
  <c r="CY15" i="2" a="1"/>
  <c r="CY15" i="2" s="1"/>
  <c r="CY14" i="2" a="1"/>
  <c r="CY14" i="2" s="1"/>
  <c r="CY13" i="2" a="1"/>
  <c r="CY13" i="2" s="1"/>
  <c r="CY11" i="2" a="1"/>
  <c r="CY11" i="2" s="1"/>
  <c r="CY10" i="2" a="1"/>
  <c r="CY10" i="2" s="1"/>
  <c r="CY8" i="2" a="1"/>
  <c r="CY8" i="2" s="1"/>
  <c r="CY7" i="2" a="1"/>
  <c r="CY7" i="2" s="1"/>
  <c r="CY6" i="2" a="1"/>
  <c r="CY6" i="2" s="1"/>
  <c r="CY5" i="2" a="1"/>
  <c r="CY5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P24" i="3"/>
  <c r="CN24" i="3"/>
  <c r="CU24" i="3"/>
  <c r="CG21" i="3"/>
  <c r="CQ32" i="3"/>
  <c r="CN32" i="3"/>
  <c r="CH32" i="3"/>
  <c r="CN22" i="3"/>
  <c r="CI22" i="3"/>
  <c r="CE22" i="3"/>
  <c r="CE21" i="3"/>
  <c r="CI32" i="3"/>
  <c r="CU32" i="3"/>
  <c r="CP22" i="3"/>
  <c r="CH24" i="3"/>
  <c r="CH21" i="3"/>
  <c r="CO32" i="3"/>
  <c r="CU22" i="3"/>
  <c r="CF24" i="3"/>
  <c r="CJ24" i="3"/>
  <c r="CF21" i="3"/>
  <c r="CP21" i="3"/>
  <c r="CJ32" i="3"/>
  <c r="CF22" i="3"/>
  <c r="CE24" i="3"/>
  <c r="CQ24" i="3"/>
  <c r="CU21" i="3"/>
  <c r="CG32" i="3"/>
  <c r="CO22" i="3"/>
  <c r="CI24" i="3"/>
  <c r="CO24" i="3"/>
  <c r="CG24" i="3"/>
  <c r="CJ21" i="3"/>
  <c r="CO21" i="3"/>
  <c r="CQ21" i="3"/>
  <c r="CI21" i="3"/>
  <c r="CN21" i="3"/>
  <c r="CP32" i="3"/>
  <c r="CE32" i="3"/>
  <c r="CQ22" i="3"/>
  <c r="CG22" i="3"/>
  <c r="CJ22" i="3"/>
  <c r="CF32" i="3"/>
  <c r="CH22" i="3"/>
  <c r="DB12" i="2"/>
  <c r="DF12" i="2"/>
  <c r="CO12" i="2"/>
  <c r="CZ12" i="2"/>
  <c r="DC19" i="2"/>
  <c r="CJ12" i="2"/>
  <c r="DF33" i="2"/>
  <c r="DC33" i="2"/>
  <c r="CN32" i="2"/>
  <c r="CL33" i="2"/>
  <c r="DD33" i="2"/>
  <c r="DB35" i="2"/>
  <c r="DB32" i="2"/>
  <c r="CH33" i="2"/>
  <c r="CH32" i="2"/>
  <c r="CL32" i="2"/>
  <c r="CF32" i="2"/>
  <c r="CN33" i="2"/>
  <c r="CO44" i="2"/>
  <c r="DC44" i="2"/>
  <c r="DA44" i="2"/>
  <c r="DD12" i="2"/>
  <c r="DA12" i="2"/>
  <c r="DC12" i="2"/>
  <c r="CR35" i="2"/>
  <c r="CR33" i="2"/>
  <c r="CJ32" i="2"/>
  <c r="CJ33" i="2"/>
  <c r="CF35" i="2"/>
  <c r="CJ44" i="2"/>
  <c r="CR44" i="2"/>
  <c r="DD32" i="2"/>
  <c r="DB44" i="2"/>
  <c r="CR19" i="2"/>
  <c r="CZ19" i="2"/>
  <c r="CF12" i="2"/>
  <c r="DA19" i="2"/>
  <c r="CI12" i="2"/>
  <c r="CZ33" i="2"/>
  <c r="DC35" i="2"/>
  <c r="DE35" i="2"/>
  <c r="CO35" i="2"/>
  <c r="CI33" i="2"/>
  <c r="CO33" i="2"/>
  <c r="CO32" i="2"/>
  <c r="DC32" i="2"/>
  <c r="CH35" i="2"/>
  <c r="CL35" i="2"/>
  <c r="DB33" i="2"/>
  <c r="DD44" i="2"/>
  <c r="CN44" i="2"/>
  <c r="DF44" i="2"/>
  <c r="DE44" i="2"/>
  <c r="CN12" i="2"/>
  <c r="DD19" i="2"/>
  <c r="DB19" i="2"/>
  <c r="CZ35" i="2"/>
  <c r="CZ32" i="2"/>
  <c r="DD35" i="2"/>
  <c r="CJ35" i="2"/>
  <c r="CI35" i="2"/>
  <c r="DF35" i="2"/>
  <c r="CI44" i="2"/>
  <c r="CH44" i="2"/>
  <c r="CF33" i="2"/>
  <c r="CL44" i="2"/>
  <c r="DE19" i="2"/>
  <c r="CR12" i="2"/>
  <c r="DE12" i="2"/>
  <c r="DF19" i="2"/>
  <c r="CH12" i="2"/>
  <c r="CL12" i="2"/>
  <c r="DE33" i="2"/>
  <c r="DE32" i="2"/>
  <c r="DA35" i="2"/>
  <c r="CI32" i="2"/>
  <c r="CR32" i="2"/>
  <c r="DA33" i="2"/>
  <c r="DA32" i="2"/>
  <c r="DF32" i="2"/>
  <c r="CN35" i="2"/>
  <c r="CZ44" i="2"/>
  <c r="CF44" i="2"/>
  <c r="CM22" i="3" l="1"/>
  <c r="CT22" i="3"/>
  <c r="CT21" i="3"/>
  <c r="CM21" i="3"/>
  <c r="CK21" i="3"/>
  <c r="CR21" i="3" s="1"/>
  <c r="CL21" i="3"/>
  <c r="CL22" i="3"/>
  <c r="CK22" i="3"/>
  <c r="CR22" i="3" s="1"/>
  <c r="CG32" i="2"/>
  <c r="CK32" i="2"/>
  <c r="CG33" i="2"/>
  <c r="CK33" i="2"/>
  <c r="CM32" i="2"/>
  <c r="DG32" i="2" s="1"/>
  <c r="DJ32" i="2"/>
  <c r="DK32" i="2"/>
  <c r="CM33" i="2"/>
  <c r="DG33" i="2" s="1"/>
  <c r="DJ33" i="2"/>
  <c r="DK33" i="2"/>
  <c r="CM32" i="3"/>
  <c r="CT32" i="3"/>
  <c r="CL32" i="3"/>
  <c r="CK32" i="3"/>
  <c r="CR32" i="3" s="1"/>
  <c r="CG44" i="2"/>
  <c r="CK44" i="2"/>
  <c r="CM44" i="2"/>
  <c r="DG44" i="2" s="1"/>
  <c r="DJ44" i="2"/>
  <c r="DK44" i="2"/>
  <c r="CG12" i="2"/>
  <c r="CK12" i="2"/>
  <c r="CM12" i="2"/>
  <c r="DG12" i="2" s="1"/>
  <c r="DJ12" i="2"/>
  <c r="DK12" i="2"/>
  <c r="CG35" i="2"/>
  <c r="CK35" i="2"/>
  <c r="CM35" i="2"/>
  <c r="DG35" i="2" s="1"/>
  <c r="DJ35" i="2"/>
  <c r="DK35" i="2"/>
  <c r="CL24" i="3"/>
  <c r="CK24" i="3"/>
  <c r="CR24" i="3" s="1"/>
  <c r="CM24" i="3"/>
  <c r="CT24" i="3"/>
  <c r="CQ19" i="2" a="1"/>
  <c r="CQ19" i="2" s="1"/>
  <c r="CP19" i="2" a="1"/>
  <c r="CP19" i="2" s="1"/>
  <c r="CL19" i="2"/>
  <c r="CO19" i="2"/>
  <c r="CN19" i="2"/>
  <c r="DJ19" i="2" l="1"/>
  <c r="CJ19" i="2"/>
  <c r="CI19" i="2"/>
  <c r="CH19" i="2"/>
  <c r="DK19" i="2" l="1"/>
  <c r="CM19" i="2"/>
  <c r="CK19" i="2"/>
  <c r="CJ13" i="3"/>
  <c r="CU13" i="3"/>
  <c r="CQ13" i="3"/>
  <c r="CG13" i="3"/>
  <c r="CH13" i="3"/>
  <c r="CN13" i="3"/>
  <c r="CI13" i="3"/>
  <c r="CO13" i="3"/>
  <c r="CF13" i="3"/>
  <c r="CE13" i="3"/>
  <c r="CP13" i="3"/>
  <c r="CF19" i="2"/>
  <c r="CM13" i="3" l="1"/>
  <c r="CT13" i="3"/>
  <c r="CR13" i="3"/>
  <c r="CK13" i="3"/>
  <c r="CL13" i="3"/>
  <c r="CG19" i="2"/>
  <c r="DG19" i="2"/>
  <c r="DE6" i="2"/>
  <c r="DF6" i="2"/>
  <c r="CZ6" i="2"/>
  <c r="DA6" i="2"/>
  <c r="DC6" i="2"/>
  <c r="DD6" i="2"/>
  <c r="DB6" i="2"/>
  <c r="CX6" i="2" l="1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/>
  <c r="CQ6" i="2" l="1" a="1"/>
  <c r="CQ6" i="2" s="1"/>
  <c r="CP6" i="2" a="1"/>
  <c r="CP6" i="2" s="1"/>
  <c r="CL6" i="2"/>
  <c r="CO6" i="2"/>
  <c r="CN6" i="2"/>
  <c r="DJ6" i="2" l="1"/>
  <c r="CJ6" i="2"/>
  <c r="CH6" i="2"/>
  <c r="CI6" i="2"/>
  <c r="DK6" i="2" l="1"/>
  <c r="CM6" i="2"/>
  <c r="CK6" i="2"/>
  <c r="CF6" i="2"/>
  <c r="CG6" i="2" l="1"/>
  <c r="DG6" i="2"/>
  <c r="DB47" i="2"/>
  <c r="DE47" i="2"/>
  <c r="DA47" i="2"/>
  <c r="DC47" i="2"/>
  <c r="DD47" i="2"/>
  <c r="CZ47" i="2"/>
  <c r="DF47" i="2"/>
  <c r="CX47" i="2" l="1" a="1"/>
  <c r="CX47" i="2" s="1"/>
  <c r="CW47" i="2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/>
  <c r="CQ47" i="2" l="1" a="1"/>
  <c r="CQ47" i="2" s="1"/>
  <c r="CP47" i="2" a="1"/>
  <c r="CP47" i="2" s="1"/>
  <c r="CL47" i="2"/>
  <c r="CO47" i="2"/>
  <c r="CN47" i="2"/>
  <c r="DJ47" i="2" l="1"/>
  <c r="CI47" i="2"/>
  <c r="CH47" i="2"/>
  <c r="CJ47" i="2"/>
  <c r="DK47" i="2" l="1"/>
  <c r="CM47" i="2"/>
  <c r="CK47" i="2"/>
  <c r="CF47" i="2"/>
  <c r="CG47" i="2" l="1"/>
  <c r="DG47" i="2"/>
  <c r="DF42" i="2"/>
  <c r="DA42" i="2"/>
  <c r="CZ42" i="2"/>
  <c r="DD42" i="2"/>
  <c r="DC42" i="2"/>
  <c r="DE42" i="2"/>
  <c r="DB42" i="2"/>
  <c r="CX42" i="2" l="1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/>
  <c r="CQ42" i="2" l="1" a="1"/>
  <c r="CQ42" i="2" s="1"/>
  <c r="CP42" i="2" a="1"/>
  <c r="CP42" i="2" s="1"/>
  <c r="CN42" i="2"/>
  <c r="CL42" i="2"/>
  <c r="CO42" i="2"/>
  <c r="DJ42" i="2" l="1"/>
  <c r="CH42" i="2"/>
  <c r="CJ42" i="2"/>
  <c r="CI42" i="2"/>
  <c r="DK42" i="2" l="1"/>
  <c r="CM42" i="2"/>
  <c r="CK42" i="2"/>
  <c r="CF42" i="2"/>
  <c r="CG42" i="2" l="1"/>
  <c r="DG42" i="2"/>
  <c r="DF41" i="2"/>
  <c r="DB41" i="2"/>
  <c r="DC41" i="2"/>
  <c r="DE41" i="2"/>
  <c r="DA41" i="2"/>
  <c r="DD41" i="2"/>
  <c r="CZ41" i="2"/>
  <c r="CX41" i="2" l="1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/>
  <c r="CQ41" i="2" l="1" a="1"/>
  <c r="CQ41" i="2" s="1"/>
  <c r="CP41" i="2" a="1"/>
  <c r="CP41" i="2" s="1"/>
  <c r="CN41" i="2"/>
  <c r="CL41" i="2"/>
  <c r="CO41" i="2"/>
  <c r="DJ41" i="2" l="1"/>
  <c r="CI41" i="2"/>
  <c r="CJ41" i="2"/>
  <c r="CH41" i="2"/>
  <c r="DK41" i="2" l="1"/>
  <c r="CM41" i="2"/>
  <c r="CK41" i="2"/>
  <c r="CF41" i="2"/>
  <c r="CG41" i="2" l="1"/>
  <c r="DG41" i="2"/>
  <c r="DA37" i="2"/>
  <c r="DB37" i="2"/>
  <c r="DE37" i="2"/>
  <c r="DC37" i="2"/>
  <c r="CZ37" i="2"/>
  <c r="DF37" i="2"/>
  <c r="DD37" i="2"/>
  <c r="CX37" i="2" l="1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/>
  <c r="CQ37" i="2" l="1" a="1"/>
  <c r="CQ37" i="2" s="1"/>
  <c r="CP37" i="2" a="1"/>
  <c r="CP37" i="2" s="1"/>
  <c r="CO37" i="2"/>
  <c r="CL37" i="2"/>
  <c r="CN37" i="2"/>
  <c r="DJ37" i="2" l="1"/>
  <c r="CH37" i="2"/>
  <c r="CJ37" i="2"/>
  <c r="CI37" i="2"/>
  <c r="DK37" i="2" l="1"/>
  <c r="CM37" i="2"/>
  <c r="CK37" i="2"/>
  <c r="CF37" i="2"/>
  <c r="CG37" i="2" l="1"/>
  <c r="DG37" i="2"/>
  <c r="DB36" i="2"/>
  <c r="DA36" i="2"/>
  <c r="DD36" i="2"/>
  <c r="DE36" i="2"/>
  <c r="CZ36" i="2"/>
  <c r="DF36" i="2"/>
  <c r="DC36" i="2"/>
  <c r="CX36" i="2" l="1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/>
  <c r="CQ36" i="2" l="1" a="1"/>
  <c r="CQ36" i="2" s="1"/>
  <c r="CP36" i="2" a="1"/>
  <c r="CP36" i="2" s="1"/>
  <c r="CN36" i="2"/>
  <c r="CO36" i="2"/>
  <c r="CL36" i="2"/>
  <c r="DJ36" i="2" l="1"/>
  <c r="CJ36" i="2"/>
  <c r="CI36" i="2"/>
  <c r="CH36" i="2"/>
  <c r="DK36" i="2" l="1"/>
  <c r="CM36" i="2"/>
  <c r="CK36" i="2"/>
  <c r="CF36" i="2"/>
  <c r="CG36" i="2" l="1"/>
  <c r="DG36" i="2"/>
  <c r="DD34" i="2"/>
  <c r="DE34" i="2"/>
  <c r="DC34" i="2"/>
  <c r="DA34" i="2"/>
  <c r="CZ34" i="2"/>
  <c r="DB34" i="2"/>
  <c r="DF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N34" i="2"/>
  <c r="CO34" i="2"/>
  <c r="CL34" i="2"/>
  <c r="DJ34" i="2" l="1"/>
  <c r="CJ34" i="2"/>
  <c r="CI34" i="2"/>
  <c r="CH34" i="2"/>
  <c r="DK34" i="2" l="1"/>
  <c r="CM34" i="2"/>
  <c r="CK34" i="2"/>
  <c r="CF34" i="2"/>
  <c r="CG34" i="2" l="1"/>
  <c r="DG34" i="2"/>
  <c r="CZ31" i="2"/>
  <c r="DE31" i="2"/>
  <c r="DC31" i="2"/>
  <c r="DF31" i="2"/>
  <c r="DA31" i="2"/>
  <c r="DB31" i="2"/>
  <c r="DD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L31" i="2"/>
  <c r="CN31" i="2"/>
  <c r="CO31" i="2"/>
  <c r="DJ31" i="2" l="1"/>
  <c r="CI31" i="2"/>
  <c r="CJ31" i="2"/>
  <c r="CH31" i="2"/>
  <c r="DK31" i="2" l="1"/>
  <c r="CM31" i="2"/>
  <c r="CK31" i="2"/>
  <c r="CF31" i="2"/>
  <c r="CG31" i="2" l="1"/>
  <c r="DG31" i="2"/>
  <c r="DC30" i="2"/>
  <c r="DF30" i="2"/>
  <c r="DD30" i="2"/>
  <c r="DE30" i="2"/>
  <c r="CZ30" i="2"/>
  <c r="DA30" i="2"/>
  <c r="DB30" i="2"/>
  <c r="CX30" i="2" l="1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/>
  <c r="CQ30" i="2" l="1" a="1"/>
  <c r="CQ30" i="2" s="1"/>
  <c r="CP30" i="2" a="1"/>
  <c r="CP30" i="2" s="1"/>
  <c r="CO30" i="2"/>
  <c r="CN30" i="2"/>
  <c r="CL30" i="2"/>
  <c r="DJ30" i="2" l="1"/>
  <c r="CI30" i="2"/>
  <c r="CJ30" i="2"/>
  <c r="CH30" i="2"/>
  <c r="DK30" i="2" l="1"/>
  <c r="CM30" i="2"/>
  <c r="CK30" i="2"/>
  <c r="CF30" i="2"/>
  <c r="CG30" i="2" l="1"/>
  <c r="DG30" i="2"/>
  <c r="DD28" i="2"/>
  <c r="DF28" i="2"/>
  <c r="CZ28" i="2"/>
  <c r="DA28" i="2"/>
  <c r="DC28" i="2"/>
  <c r="DE28" i="2"/>
  <c r="DB28" i="2"/>
  <c r="CX28" i="2" l="1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/>
  <c r="CQ28" i="2" l="1" a="1"/>
  <c r="CQ28" i="2" s="1"/>
  <c r="CP28" i="2" a="1"/>
  <c r="CP28" i="2" s="1"/>
  <c r="CN28" i="2"/>
  <c r="CO28" i="2"/>
  <c r="CL28" i="2"/>
  <c r="DJ28" i="2" l="1"/>
  <c r="CH28" i="2"/>
  <c r="CI28" i="2"/>
  <c r="CJ28" i="2"/>
  <c r="DK28" i="2" l="1"/>
  <c r="CM28" i="2"/>
  <c r="CK28" i="2"/>
  <c r="CF28" i="2"/>
  <c r="CG28" i="2" l="1"/>
  <c r="DG28" i="2"/>
  <c r="DB26" i="2"/>
  <c r="DD26" i="2"/>
  <c r="DE26" i="2"/>
  <c r="DA26" i="2"/>
  <c r="DF26" i="2"/>
  <c r="DC26" i="2"/>
  <c r="CZ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O26" i="2"/>
  <c r="CN26" i="2"/>
  <c r="CL26" i="2"/>
  <c r="DJ26" i="2" l="1"/>
  <c r="CH26" i="2"/>
  <c r="CJ26" i="2"/>
  <c r="CI26" i="2"/>
  <c r="DK26" i="2" l="1"/>
  <c r="CM26" i="2"/>
  <c r="CK26" i="2"/>
  <c r="CF26" i="2"/>
  <c r="CG26" i="2" l="1"/>
  <c r="DG26" i="2"/>
  <c r="DC23" i="2"/>
  <c r="DF23" i="2"/>
  <c r="DE23" i="2"/>
  <c r="DA23" i="2"/>
  <c r="DD23" i="2"/>
  <c r="DB23" i="2"/>
  <c r="CZ23" i="2"/>
  <c r="CX23" i="2" l="1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/>
  <c r="CQ23" i="2" l="1" a="1"/>
  <c r="CQ23" i="2" s="1"/>
  <c r="CP23" i="2" a="1"/>
  <c r="CP23" i="2" s="1"/>
  <c r="CO23" i="2"/>
  <c r="CL23" i="2"/>
  <c r="CN23" i="2"/>
  <c r="DJ23" i="2" l="1"/>
  <c r="CJ23" i="2"/>
  <c r="CI23" i="2"/>
  <c r="CH23" i="2"/>
  <c r="DK23" i="2" l="1"/>
  <c r="CM23" i="2"/>
  <c r="CK23" i="2"/>
  <c r="CF23" i="2"/>
  <c r="CG23" i="2" l="1"/>
  <c r="DG23" i="2"/>
  <c r="DF21" i="2"/>
  <c r="DD21" i="2"/>
  <c r="DE21" i="2"/>
  <c r="DC21" i="2"/>
  <c r="DB21" i="2"/>
  <c r="CZ21" i="2"/>
  <c r="DA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L21" i="2"/>
  <c r="CN21" i="2"/>
  <c r="CO21" i="2"/>
  <c r="DJ21" i="2" l="1"/>
  <c r="CJ21" i="2"/>
  <c r="CH21" i="2"/>
  <c r="CI21" i="2"/>
  <c r="DK21" i="2" l="1"/>
  <c r="CM21" i="2"/>
  <c r="CK21" i="2"/>
  <c r="CF21" i="2"/>
  <c r="CG21" i="2" l="1"/>
  <c r="DG21" i="2"/>
  <c r="DC20" i="2"/>
  <c r="CZ20" i="2"/>
  <c r="DA20" i="2"/>
  <c r="DD20" i="2"/>
  <c r="DF20" i="2"/>
  <c r="DE20" i="2"/>
  <c r="DB20" i="2"/>
  <c r="CX20" i="2" l="1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/>
  <c r="CQ20" i="2" l="1" a="1"/>
  <c r="CQ20" i="2" s="1"/>
  <c r="CP20" i="2" a="1"/>
  <c r="CP20" i="2" s="1"/>
  <c r="CL20" i="2"/>
  <c r="CO20" i="2"/>
  <c r="CN20" i="2"/>
  <c r="DJ20" i="2" l="1"/>
  <c r="CJ20" i="2"/>
  <c r="CI20" i="2"/>
  <c r="CH20" i="2"/>
  <c r="DK20" i="2" l="1"/>
  <c r="CM20" i="2"/>
  <c r="CK20" i="2"/>
  <c r="CF20" i="2"/>
  <c r="CG20" i="2" l="1"/>
  <c r="DG20" i="2"/>
  <c r="DB15" i="2"/>
  <c r="DC15" i="2"/>
  <c r="CZ15" i="2"/>
  <c r="DE15" i="2"/>
  <c r="DF15" i="2"/>
  <c r="DD15" i="2"/>
  <c r="DA15" i="2"/>
  <c r="CX15" i="2" l="1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/>
  <c r="CQ15" i="2" l="1" a="1"/>
  <c r="CQ15" i="2" s="1"/>
  <c r="CP15" i="2" a="1"/>
  <c r="CP15" i="2" s="1"/>
  <c r="CN15" i="2"/>
  <c r="CL15" i="2"/>
  <c r="CO15" i="2"/>
  <c r="DJ15" i="2" l="1"/>
  <c r="CH15" i="2"/>
  <c r="CJ15" i="2"/>
  <c r="CI15" i="2"/>
  <c r="DK15" i="2" l="1"/>
  <c r="CM15" i="2"/>
  <c r="CK15" i="2"/>
  <c r="CF15" i="2"/>
  <c r="CG15" i="2" l="1"/>
  <c r="DG15" i="2"/>
  <c r="DA14" i="2"/>
  <c r="DC14" i="2"/>
  <c r="CZ14" i="2"/>
  <c r="DB14" i="2"/>
  <c r="DD14" i="2"/>
  <c r="DF14" i="2"/>
  <c r="DE14" i="2"/>
  <c r="CX14" i="2" l="1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/>
  <c r="CQ14" i="2" l="1" a="1"/>
  <c r="CQ14" i="2" s="1"/>
  <c r="CP14" i="2" a="1"/>
  <c r="CP14" i="2" s="1"/>
  <c r="CL14" i="2"/>
  <c r="CN14" i="2"/>
  <c r="CO14" i="2"/>
  <c r="DJ14" i="2" l="1"/>
  <c r="CH14" i="2"/>
  <c r="CI14" i="2"/>
  <c r="CJ14" i="2"/>
  <c r="DK14" i="2" l="1"/>
  <c r="CM14" i="2"/>
  <c r="CK14" i="2"/>
  <c r="CF14" i="2"/>
  <c r="CG14" i="2" l="1"/>
  <c r="DG14" i="2"/>
  <c r="DA13" i="2"/>
  <c r="DB13" i="2"/>
  <c r="DF13" i="2"/>
  <c r="DD13" i="2"/>
  <c r="DC13" i="2"/>
  <c r="DE13" i="2"/>
  <c r="CZ13" i="2"/>
  <c r="CX13" i="2" l="1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/>
  <c r="CQ13" i="2" l="1" a="1"/>
  <c r="CQ13" i="2" s="1"/>
  <c r="CP13" i="2" a="1"/>
  <c r="CP13" i="2" s="1"/>
  <c r="CN13" i="2"/>
  <c r="CL13" i="2"/>
  <c r="CO13" i="2"/>
  <c r="DJ13" i="2" l="1"/>
  <c r="CJ13" i="2"/>
  <c r="CI13" i="2"/>
  <c r="CH13" i="2"/>
  <c r="DK13" i="2" l="1"/>
  <c r="CM13" i="2"/>
  <c r="CK13" i="2"/>
  <c r="CF13" i="2"/>
  <c r="CG13" i="2" l="1"/>
  <c r="DG13" i="2"/>
  <c r="DD11" i="2"/>
  <c r="DA11" i="2"/>
  <c r="DE11" i="2"/>
  <c r="DC11" i="2"/>
  <c r="CZ11" i="2"/>
  <c r="DF11" i="2"/>
  <c r="DB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L11" i="2"/>
  <c r="CO11" i="2"/>
  <c r="CN11" i="2"/>
  <c r="DJ11" i="2" l="1"/>
  <c r="CH11" i="2"/>
  <c r="CJ11" i="2"/>
  <c r="CI11" i="2"/>
  <c r="DK11" i="2" l="1"/>
  <c r="CM11" i="2"/>
  <c r="CK11" i="2"/>
  <c r="CF11" i="2"/>
  <c r="CG11" i="2" l="1"/>
  <c r="DG11" i="2"/>
  <c r="DA10" i="2"/>
  <c r="DD10" i="2"/>
  <c r="DF10" i="2"/>
  <c r="DB10" i="2"/>
  <c r="CZ10" i="2"/>
  <c r="DE10" i="2"/>
  <c r="DC10" i="2"/>
  <c r="CX10" i="2" l="1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/>
  <c r="CQ10" i="2" l="1" a="1"/>
  <c r="CQ10" i="2" s="1"/>
  <c r="CP10" i="2" a="1"/>
  <c r="CP10" i="2" s="1"/>
  <c r="CL10" i="2"/>
  <c r="CN10" i="2"/>
  <c r="CO10" i="2"/>
  <c r="DJ10" i="2" l="1"/>
  <c r="CI10" i="2"/>
  <c r="CJ10" i="2"/>
  <c r="CH10" i="2"/>
  <c r="DK10" i="2" l="1"/>
  <c r="CM10" i="2"/>
  <c r="CK10" i="2"/>
  <c r="CF10" i="2"/>
  <c r="CG10" i="2" l="1"/>
  <c r="DG10" i="2"/>
  <c r="DE8" i="2"/>
  <c r="CZ8" i="2"/>
  <c r="DF8" i="2"/>
  <c r="DA8" i="2"/>
  <c r="DB8" i="2"/>
  <c r="DD8" i="2"/>
  <c r="DC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L8" i="2"/>
  <c r="CN8" i="2"/>
  <c r="CO8" i="2"/>
  <c r="DJ8" i="2" l="1"/>
  <c r="CI8" i="2"/>
  <c r="CJ8" i="2"/>
  <c r="CH8" i="2"/>
  <c r="DK8" i="2" l="1"/>
  <c r="CM8" i="2"/>
  <c r="CK8" i="2"/>
  <c r="CF8" i="2"/>
  <c r="CG8" i="2" l="1"/>
  <c r="DG8" i="2"/>
  <c r="DD7" i="2"/>
  <c r="DB7" i="2"/>
  <c r="DE7" i="2"/>
  <c r="DC7" i="2"/>
  <c r="DA7" i="2"/>
  <c r="DF7" i="2"/>
  <c r="CZ7" i="2"/>
  <c r="CX7" i="2" l="1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/>
  <c r="CQ7" i="2" l="1" a="1"/>
  <c r="CQ7" i="2" s="1"/>
  <c r="CP7" i="2" a="1"/>
  <c r="CP7" i="2" s="1"/>
  <c r="CN7" i="2"/>
  <c r="CO7" i="2"/>
  <c r="CL7" i="2"/>
  <c r="DJ7" i="2" l="1"/>
  <c r="CJ7" i="2"/>
  <c r="CI7" i="2"/>
  <c r="CH7" i="2"/>
  <c r="DK7" i="2" l="1"/>
  <c r="CM7" i="2"/>
  <c r="CK7" i="2"/>
  <c r="CF7" i="2"/>
  <c r="CG7" i="2" l="1"/>
  <c r="DG7" i="2"/>
  <c r="DC5" i="2"/>
  <c r="DE5" i="2"/>
  <c r="CZ5" i="2"/>
  <c r="DF5" i="2"/>
  <c r="DB5" i="2"/>
  <c r="DD5" i="2"/>
  <c r="DA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L5" i="2"/>
  <c r="CO5" i="2"/>
  <c r="CN5" i="2"/>
  <c r="DJ5" i="2" l="1"/>
  <c r="CJ5" i="2"/>
  <c r="CI5" i="2"/>
  <c r="CH5" i="2"/>
  <c r="DK5" i="2" l="1"/>
  <c r="CM5" i="2"/>
  <c r="CK5" i="2"/>
  <c r="CF5" i="2"/>
  <c r="CG5" i="2" l="1"/>
  <c r="DG5" i="2"/>
  <c r="CJ9" i="3"/>
  <c r="C38" i="3"/>
  <c r="CH9" i="3"/>
  <c r="CF9" i="3"/>
  <c r="CN9" i="3"/>
  <c r="CG9" i="3"/>
  <c r="CU9" i="3"/>
  <c r="CQ9" i="3"/>
  <c r="CP9" i="3"/>
  <c r="CI9" i="3"/>
  <c r="CO9" i="3"/>
  <c r="CE9" i="3"/>
  <c r="CJ31" i="3"/>
  <c r="CN31" i="3"/>
  <c r="CG31" i="3"/>
  <c r="CF31" i="3"/>
  <c r="CQ31" i="3"/>
  <c r="CO31" i="3"/>
  <c r="CE31" i="3"/>
  <c r="CI31" i="3"/>
  <c r="CU31" i="3"/>
  <c r="CP31" i="3"/>
  <c r="CH31" i="3"/>
  <c r="CO20" i="3"/>
  <c r="CN20" i="3"/>
  <c r="CH20" i="3"/>
  <c r="CI20" i="3"/>
  <c r="CP20" i="3"/>
  <c r="CJ20" i="3"/>
  <c r="CE20" i="3"/>
  <c r="CQ20" i="3"/>
  <c r="CU20" i="3"/>
  <c r="CF20" i="3"/>
  <c r="CG20" i="3"/>
  <c r="CP7" i="3"/>
  <c r="CU7" i="3"/>
  <c r="CN7" i="3"/>
  <c r="CE7" i="3"/>
  <c r="CQ7" i="3"/>
  <c r="CG7" i="3"/>
  <c r="CF7" i="3"/>
  <c r="CI7" i="3"/>
  <c r="CH7" i="3"/>
  <c r="CJ7" i="3"/>
  <c r="CO7" i="3"/>
  <c r="CQ36" i="3"/>
  <c r="CE36" i="3"/>
  <c r="CI36" i="3"/>
  <c r="CG36" i="3"/>
  <c r="CH36" i="3"/>
  <c r="CU36" i="3"/>
  <c r="CP36" i="3"/>
  <c r="CF36" i="3"/>
  <c r="CN36" i="3"/>
  <c r="CO36" i="3"/>
  <c r="CJ36" i="3"/>
  <c r="CU30" i="3"/>
  <c r="CU26" i="3"/>
  <c r="CN30" i="3"/>
  <c r="CH30" i="3"/>
  <c r="CQ30" i="3"/>
  <c r="CG30" i="3"/>
  <c r="CJ30" i="3"/>
  <c r="CE30" i="3"/>
  <c r="CI30" i="3"/>
  <c r="CO30" i="3"/>
  <c r="CF30" i="3"/>
  <c r="CP30" i="3"/>
  <c r="CN26" i="3"/>
  <c r="CU25" i="3"/>
  <c r="CH26" i="3"/>
  <c r="CF26" i="3"/>
  <c r="CO26" i="3"/>
  <c r="CQ26" i="3"/>
  <c r="CG26" i="3"/>
  <c r="CE26" i="3"/>
  <c r="CP26" i="3"/>
  <c r="CJ26" i="3"/>
  <c r="CI26" i="3"/>
  <c r="CH25" i="3"/>
  <c r="CE25" i="3"/>
  <c r="CF25" i="3"/>
  <c r="CO25" i="3"/>
  <c r="CQ25" i="3"/>
  <c r="CI25" i="3"/>
  <c r="CU23" i="3"/>
  <c r="CP25" i="3"/>
  <c r="CJ25" i="3"/>
  <c r="CG25" i="3"/>
  <c r="CN25" i="3"/>
  <c r="CH23" i="3"/>
  <c r="CO23" i="3"/>
  <c r="CJ23" i="3"/>
  <c r="CG23" i="3"/>
  <c r="CI23" i="3"/>
  <c r="CP23" i="3"/>
  <c r="CQ23" i="3"/>
  <c r="CE23" i="3"/>
  <c r="CN23" i="3"/>
  <c r="CF23" i="3"/>
  <c r="CU19" i="3"/>
  <c r="CH19" i="3"/>
  <c r="CF19" i="3"/>
  <c r="CO19" i="3"/>
  <c r="CP19" i="3"/>
  <c r="CJ19" i="3"/>
  <c r="CE19" i="3"/>
  <c r="CQ19" i="3"/>
  <c r="CN19" i="3"/>
  <c r="CU18" i="3"/>
  <c r="CG19" i="3"/>
  <c r="CI19" i="3"/>
  <c r="CE18" i="3"/>
  <c r="CP18" i="3"/>
  <c r="CN18" i="3"/>
  <c r="CH18" i="3"/>
  <c r="CI18" i="3"/>
  <c r="CO18" i="3"/>
  <c r="CU17" i="3"/>
  <c r="CJ18" i="3"/>
  <c r="CQ18" i="3"/>
  <c r="CG18" i="3"/>
  <c r="CF18" i="3"/>
  <c r="CU14" i="3"/>
  <c r="CP17" i="3"/>
  <c r="CI17" i="3"/>
  <c r="CG17" i="3"/>
  <c r="CQ17" i="3"/>
  <c r="CN17" i="3"/>
  <c r="CO17" i="3"/>
  <c r="CJ17" i="3"/>
  <c r="CE17" i="3"/>
  <c r="CH17" i="3"/>
  <c r="CF17" i="3"/>
  <c r="CP14" i="3"/>
  <c r="CF14" i="3"/>
  <c r="CI14" i="3"/>
  <c r="CH14" i="3"/>
  <c r="CG14" i="3"/>
  <c r="CJ14" i="3"/>
  <c r="CE14" i="3"/>
  <c r="CQ14" i="3"/>
  <c r="CN14" i="3"/>
  <c r="CO14" i="3"/>
  <c r="CI10" i="3"/>
  <c r="CG10" i="3"/>
  <c r="CJ10" i="3"/>
  <c r="CH10" i="3"/>
  <c r="CQ10" i="3"/>
  <c r="CO10" i="3"/>
  <c r="CE10" i="3"/>
  <c r="CF10" i="3"/>
  <c r="CU10" i="3"/>
  <c r="CP10" i="3"/>
  <c r="CN10" i="3"/>
  <c r="CQ8" i="3"/>
  <c r="CI8" i="3"/>
  <c r="CP8" i="3"/>
  <c r="CN8" i="3"/>
  <c r="CH8" i="3"/>
  <c r="CU8" i="3"/>
  <c r="CG8" i="3"/>
  <c r="CO8" i="3"/>
  <c r="CF8" i="3"/>
  <c r="CE8" i="3"/>
  <c r="CJ8" i="3"/>
  <c r="CU6" i="3"/>
  <c r="CQ6" i="3"/>
  <c r="CE6" i="3"/>
  <c r="CH6" i="3"/>
  <c r="CN6" i="3"/>
  <c r="CF6" i="3"/>
  <c r="CJ6" i="3"/>
  <c r="CG6" i="3"/>
  <c r="CI6" i="3"/>
  <c r="CO6" i="3"/>
  <c r="CP6" i="3"/>
  <c r="CZ48" i="2"/>
  <c r="DB48" i="2"/>
  <c r="DE48" i="2"/>
  <c r="DC48" i="2"/>
  <c r="DF48" i="2"/>
  <c r="DD48" i="2"/>
  <c r="DA48" i="2"/>
  <c r="CK6" i="3" l="1"/>
  <c r="CR6" i="3" s="1"/>
  <c r="CL6" i="3"/>
  <c r="CM6" i="3"/>
  <c r="CT6" i="3"/>
  <c r="CK8" i="3"/>
  <c r="CR8" i="3" s="1"/>
  <c r="CL8" i="3"/>
  <c r="CT8" i="3"/>
  <c r="CM8" i="3"/>
  <c r="CT10" i="3"/>
  <c r="CM10" i="3"/>
  <c r="CK10" i="3"/>
  <c r="CR10" i="3" s="1"/>
  <c r="CL10" i="3"/>
  <c r="CK14" i="3"/>
  <c r="CR14" i="3" s="1"/>
  <c r="CL14" i="3"/>
  <c r="CM14" i="3"/>
  <c r="CT14" i="3"/>
  <c r="CM17" i="3"/>
  <c r="CT17" i="3"/>
  <c r="CK17" i="3"/>
  <c r="CR17" i="3" s="1"/>
  <c r="CL17" i="3"/>
  <c r="CT18" i="3"/>
  <c r="CM18" i="3"/>
  <c r="CL18" i="3"/>
  <c r="CK18" i="3"/>
  <c r="CR18" i="3" s="1"/>
  <c r="CK19" i="3"/>
  <c r="CR19" i="3" s="1"/>
  <c r="CL19" i="3"/>
  <c r="CT19" i="3"/>
  <c r="CM19" i="3"/>
  <c r="CM23" i="3"/>
  <c r="CT23" i="3"/>
  <c r="CK23" i="3"/>
  <c r="CR23" i="3" s="1"/>
  <c r="CL23" i="3"/>
  <c r="CK25" i="3"/>
  <c r="CR25" i="3" s="1"/>
  <c r="CL25" i="3"/>
  <c r="CT25" i="3"/>
  <c r="CM25" i="3"/>
  <c r="CK26" i="3"/>
  <c r="CR26" i="3" s="1"/>
  <c r="CL26" i="3"/>
  <c r="CT26" i="3"/>
  <c r="CM26" i="3"/>
  <c r="CM30" i="3"/>
  <c r="CT30" i="3"/>
  <c r="CK30" i="3"/>
  <c r="CR30" i="3" s="1"/>
  <c r="CL30" i="3"/>
  <c r="CK36" i="3"/>
  <c r="CR36" i="3" s="1"/>
  <c r="CL36" i="3"/>
  <c r="CT36" i="3"/>
  <c r="CM36" i="3"/>
  <c r="CK7" i="3"/>
  <c r="CR7" i="3" s="1"/>
  <c r="CL7" i="3"/>
  <c r="CT7" i="3"/>
  <c r="CM7" i="3"/>
  <c r="CM20" i="3"/>
  <c r="CT20" i="3"/>
  <c r="CL20" i="3"/>
  <c r="CK20" i="3"/>
  <c r="CR20" i="3" s="1"/>
  <c r="CT31" i="3"/>
  <c r="CM31" i="3"/>
  <c r="CK31" i="3"/>
  <c r="CR31" i="3" s="1"/>
  <c r="CL31" i="3"/>
  <c r="CT9" i="3"/>
  <c r="CM9" i="3"/>
  <c r="CL9" i="3"/>
  <c r="CK9" i="3"/>
  <c r="CR9" i="3" s="1"/>
  <c r="CX48" i="2" a="1"/>
  <c r="CX48" i="2" s="1"/>
  <c r="CW48" i="2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/>
  <c r="CQ48" i="2" l="1" a="1"/>
  <c r="CQ48" i="2" s="1"/>
  <c r="CP48" i="2" a="1"/>
  <c r="CP48" i="2" s="1"/>
  <c r="CN48" i="2"/>
  <c r="CO48" i="2"/>
  <c r="CL48" i="2"/>
  <c r="DJ48" i="2" l="1"/>
  <c r="CJ48" i="2"/>
  <c r="CI48" i="2"/>
  <c r="CH48" i="2"/>
  <c r="DK48" i="2" l="1"/>
  <c r="CM48" i="2"/>
  <c r="CK48" i="2"/>
  <c r="CF48" i="2"/>
  <c r="CG48" i="2" l="1"/>
  <c r="DG48" i="2"/>
  <c r="DH16" i="2" l="1"/>
  <c r="DH46" i="2"/>
  <c r="DH24" i="2"/>
  <c r="DH25" i="2"/>
  <c r="DH22" i="2"/>
  <c r="DH39" i="2"/>
  <c r="DH17" i="2"/>
  <c r="DH40" i="2"/>
  <c r="DH9" i="2"/>
  <c r="DH29" i="2"/>
  <c r="DH18" i="2"/>
  <c r="DH45" i="2"/>
  <c r="A15" i="1"/>
  <c r="D62" i="2"/>
  <c r="G62" i="2"/>
  <c r="N62" i="2"/>
  <c r="X62" i="2"/>
  <c r="T62" i="2"/>
  <c r="P62" i="2"/>
  <c r="J62" i="2"/>
  <c r="U62" i="2"/>
  <c r="O62" i="2"/>
  <c r="H62" i="2"/>
  <c r="M62" i="2"/>
  <c r="E54" i="2"/>
  <c r="W62" i="2"/>
  <c r="S62" i="2"/>
  <c r="K62" i="2"/>
  <c r="Y62" i="2"/>
  <c r="I62" i="2"/>
  <c r="L62" i="2"/>
  <c r="E62" i="2"/>
  <c r="Z62" i="2"/>
  <c r="V62" i="2"/>
  <c r="R62" i="2"/>
  <c r="F62" i="2"/>
  <c r="Q6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50" i="2" l="1"/>
  <c r="DH43" i="2" l="1"/>
  <c r="DH27" i="2"/>
  <c r="DH38" i="2"/>
  <c r="DH32" i="2"/>
  <c r="DH12" i="2"/>
  <c r="DH33" i="2"/>
  <c r="DH35" i="2"/>
  <c r="DH44" i="2"/>
  <c r="DH19" i="2"/>
  <c r="DH6" i="2"/>
  <c r="DH13" i="2"/>
  <c r="DH7" i="2"/>
  <c r="DH34" i="2"/>
  <c r="DH5" i="2"/>
  <c r="DH36" i="2"/>
  <c r="DH14" i="2"/>
  <c r="DH37" i="2"/>
  <c r="DH20" i="2"/>
  <c r="DH10" i="2"/>
  <c r="DH41" i="2"/>
  <c r="DH21" i="2"/>
  <c r="DH11" i="2"/>
  <c r="DH8" i="2"/>
  <c r="DH26" i="2"/>
  <c r="DH15" i="2"/>
  <c r="DH42" i="2"/>
  <c r="DH23" i="2"/>
  <c r="DH30" i="2"/>
  <c r="DH47" i="2"/>
  <c r="DH31" i="2"/>
  <c r="DH28" i="2"/>
  <c r="DH48" i="2"/>
  <c r="CU5" i="3"/>
  <c r="CJ5" i="3"/>
  <c r="CQ5" i="3"/>
  <c r="CH5" i="3"/>
  <c r="CN5" i="3"/>
  <c r="CI5" i="3"/>
  <c r="CG5" i="3"/>
  <c r="CF5" i="3"/>
  <c r="CE5" i="3"/>
  <c r="CP5" i="3"/>
  <c r="CO5" i="3"/>
  <c r="CT5" i="3" l="1"/>
  <c r="CM5" i="3"/>
  <c r="CK5" i="3"/>
  <c r="CR5" i="3" s="1"/>
  <c r="CS33" i="3" s="1"/>
  <c r="CL5" i="3"/>
  <c r="CS11" i="3"/>
  <c r="CS27" i="3"/>
  <c r="CS12" i="3"/>
  <c r="CS22" i="3"/>
  <c r="CS21" i="3"/>
  <c r="CS24" i="3"/>
  <c r="CS32" i="3"/>
  <c r="CS13" i="3"/>
  <c r="CS20" i="3"/>
  <c r="CS9" i="3"/>
  <c r="CS31" i="3"/>
  <c r="CS7" i="3"/>
  <c r="CS25" i="3"/>
  <c r="CS19" i="3"/>
  <c r="CS6" i="3"/>
  <c r="CS36" i="3"/>
  <c r="CS26" i="3"/>
  <c r="CS14" i="3"/>
  <c r="CS8" i="3"/>
  <c r="CS30" i="3"/>
  <c r="CS17" i="3"/>
  <c r="CS10" i="3"/>
  <c r="CS23" i="3"/>
  <c r="CS18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29" i="3" l="1"/>
  <c r="CS35" i="3"/>
  <c r="CS28" i="3"/>
  <c r="CS34" i="3"/>
  <c r="CS15" i="3"/>
  <c r="CS16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3" i="2"/>
  <c r="E63" i="2"/>
  <c r="O63" i="2"/>
  <c r="X63" i="2"/>
  <c r="T63" i="2"/>
  <c r="P63" i="2"/>
  <c r="N63" i="2"/>
  <c r="K63" i="2"/>
  <c r="U63" i="2"/>
  <c r="H63" i="2"/>
  <c r="M63" i="2"/>
  <c r="W63" i="2"/>
  <c r="S63" i="2"/>
  <c r="J63" i="2"/>
  <c r="Q63" i="2"/>
  <c r="I63" i="2"/>
  <c r="G63" i="2"/>
  <c r="L63" i="2"/>
  <c r="Z63" i="2"/>
  <c r="V63" i="2"/>
  <c r="R63" i="2"/>
  <c r="F63" i="2"/>
  <c r="Y6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N51" i="2" a="1"/>
  <c r="N51" i="2" s="1"/>
  <c r="O51" i="2" a="1"/>
  <c r="O51" i="2" s="1"/>
  <c r="P51" i="2" a="1"/>
  <c r="P51" i="2" s="1"/>
  <c r="Q51" i="2" a="1"/>
  <c r="Q51" i="2" s="1"/>
  <c r="R51" i="2" a="1"/>
  <c r="R51" i="2" s="1"/>
  <c r="S51" i="2" a="1"/>
  <c r="S51" i="2" s="1"/>
  <c r="T51" i="2" a="1"/>
  <c r="T51" i="2" s="1"/>
  <c r="U51" i="2" a="1"/>
  <c r="U51" i="2" s="1"/>
  <c r="V51" i="2" a="1"/>
  <c r="V51" i="2" s="1"/>
  <c r="W51" i="2" a="1"/>
  <c r="W51" i="2" s="1"/>
  <c r="X51" i="2" a="1"/>
  <c r="X51" i="2" s="1"/>
  <c r="Y51" i="2" a="1"/>
  <c r="Y51" i="2" s="1"/>
  <c r="Z51" i="2" a="1"/>
  <c r="Z51" i="2" s="1"/>
  <c r="AA51" i="2" a="1"/>
  <c r="AA51" i="2" s="1"/>
  <c r="AB51" i="2" a="1"/>
  <c r="AB51" i="2" s="1"/>
  <c r="AC51" i="2" a="1"/>
  <c r="AC51" i="2" s="1"/>
  <c r="AD51" i="2" a="1"/>
  <c r="AD51" i="2" s="1"/>
  <c r="AE51" i="2" a="1"/>
  <c r="AE51" i="2" s="1"/>
  <c r="AF51" i="2" a="1"/>
  <c r="AF51" i="2" s="1"/>
  <c r="AG51" i="2" a="1"/>
  <c r="AG51" i="2" s="1"/>
  <c r="AH51" i="2" a="1"/>
  <c r="AH51" i="2" s="1"/>
  <c r="AI51" i="2" a="1"/>
  <c r="AI51" i="2" s="1"/>
  <c r="AJ51" i="2" a="1"/>
  <c r="AJ51" i="2" s="1"/>
  <c r="AK51" i="2" a="1"/>
  <c r="AK51" i="2" s="1"/>
  <c r="AL51" i="2" a="1"/>
  <c r="AL51" i="2" s="1"/>
  <c r="AM51" i="2" a="1"/>
  <c r="AM51" i="2" s="1"/>
  <c r="AN51" i="2" a="1"/>
  <c r="AN51" i="2" s="1"/>
  <c r="AO51" i="2" a="1"/>
  <c r="AO51" i="2" s="1"/>
  <c r="AP51" i="2" a="1"/>
  <c r="AP51" i="2" s="1"/>
  <c r="AQ51" i="2" a="1"/>
  <c r="AQ51" i="2" s="1"/>
  <c r="AR51" i="2" a="1"/>
  <c r="AR51" i="2" s="1"/>
  <c r="AS51" i="2" a="1"/>
  <c r="AS51" i="2" s="1"/>
  <c r="AT51" i="2" a="1"/>
  <c r="AT51" i="2" s="1"/>
  <c r="AU51" i="2" a="1"/>
  <c r="AU51" i="2" s="1"/>
  <c r="AV51" i="2" a="1"/>
  <c r="AV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 s="1"/>
  <c r="BB51" i="2" a="1"/>
  <c r="BB51" i="2" s="1"/>
  <c r="BC51" i="2" a="1"/>
  <c r="BC51" i="2" s="1"/>
  <c r="BD51" i="2" a="1"/>
  <c r="BD51" i="2" s="1"/>
  <c r="BE51" i="2" a="1"/>
  <c r="BE51" i="2" s="1"/>
  <c r="BF51" i="2" a="1"/>
  <c r="BF5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B1" i="3" a="1"/>
  <c r="B1" i="3" s="1"/>
  <c r="C39" i="3" a="1"/>
  <c r="C39" i="3" s="1"/>
  <c r="C44" i="3" a="1"/>
  <c r="C44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J43" i="3"/>
  <c r="AQ38" i="3"/>
  <c r="AP38" i="3"/>
  <c r="AU38" i="3"/>
  <c r="J38" i="3"/>
  <c r="AN43" i="3"/>
  <c r="AU43" i="3"/>
  <c r="F38" i="3"/>
  <c r="BE43" i="3"/>
  <c r="BF43" i="3"/>
  <c r="AW43" i="3"/>
  <c r="AP43" i="3"/>
  <c r="M38" i="3"/>
  <c r="BD43" i="3"/>
  <c r="D43" i="3"/>
  <c r="BA38" i="3"/>
  <c r="AH43" i="3"/>
  <c r="AA42" i="3"/>
  <c r="AR43" i="3"/>
  <c r="D42" i="3"/>
  <c r="BB42" i="3"/>
  <c r="AR42" i="3"/>
  <c r="G42" i="3"/>
  <c r="AU42" i="3"/>
  <c r="AY43" i="3"/>
  <c r="K43" i="3"/>
  <c r="E42" i="3"/>
  <c r="AG43" i="3"/>
  <c r="AD43" i="3"/>
  <c r="AN42" i="3"/>
  <c r="AK42" i="3"/>
  <c r="AS38" i="3"/>
  <c r="N43" i="3"/>
  <c r="AV38" i="3"/>
  <c r="X42" i="3"/>
  <c r="W42" i="3"/>
  <c r="U38" i="3"/>
  <c r="T43" i="3"/>
  <c r="S38" i="3"/>
  <c r="O43" i="3"/>
  <c r="P38" i="3"/>
  <c r="O38" i="3"/>
  <c r="L38" i="3"/>
  <c r="AG38" i="3"/>
  <c r="AZ38" i="3"/>
  <c r="I38" i="3"/>
  <c r="AH38" i="3"/>
  <c r="M42" i="3"/>
  <c r="AR38" i="3"/>
  <c r="AX38" i="3"/>
  <c r="BC38" i="3"/>
  <c r="H38" i="3"/>
  <c r="AS42" i="3"/>
  <c r="AS43" i="3"/>
  <c r="AO42" i="3"/>
  <c r="AT38" i="3"/>
  <c r="BC43" i="3"/>
  <c r="BD38" i="3"/>
  <c r="Y38" i="3"/>
  <c r="X38" i="3"/>
  <c r="V43" i="3"/>
  <c r="S43" i="3"/>
  <c r="Q42" i="3"/>
  <c r="AJ42" i="3"/>
  <c r="L43" i="3"/>
  <c r="AO38" i="3"/>
  <c r="AF43" i="3"/>
  <c r="J42" i="3"/>
  <c r="L42" i="3"/>
  <c r="AY38" i="3"/>
  <c r="AE38" i="3"/>
  <c r="AF38" i="3"/>
  <c r="G43" i="3"/>
  <c r="AI38" i="3"/>
  <c r="AM42" i="3"/>
  <c r="AB42" i="3"/>
  <c r="Z43" i="3"/>
  <c r="AO43" i="3"/>
  <c r="AJ38" i="3"/>
  <c r="BA42" i="3"/>
  <c r="AM43" i="3"/>
  <c r="AD38" i="3"/>
  <c r="AG42" i="3"/>
  <c r="AL42" i="3"/>
  <c r="AP42" i="3"/>
  <c r="AY42" i="3"/>
  <c r="N38" i="3"/>
  <c r="G38" i="3"/>
  <c r="BC42" i="3"/>
  <c r="Y42" i="3"/>
  <c r="AL38" i="3"/>
  <c r="I42" i="3"/>
  <c r="N42" i="3"/>
  <c r="AW38" i="3"/>
  <c r="BE42" i="3"/>
  <c r="C42" i="3"/>
  <c r="AK38" i="3"/>
  <c r="X43" i="3"/>
  <c r="V38" i="3"/>
  <c r="U43" i="3"/>
  <c r="T38" i="3"/>
  <c r="R42" i="3"/>
  <c r="Q38" i="3"/>
  <c r="P43" i="3"/>
  <c r="R43" i="3"/>
  <c r="Q43" i="3"/>
  <c r="AE43" i="3"/>
  <c r="AV43" i="3"/>
  <c r="BB43" i="3"/>
  <c r="Y43" i="3"/>
  <c r="J43" i="3"/>
  <c r="BA43" i="3"/>
  <c r="AT42" i="3"/>
  <c r="AD42" i="3"/>
  <c r="C43" i="3"/>
  <c r="AA38" i="3"/>
  <c r="AV42" i="3"/>
  <c r="Z38" i="3"/>
  <c r="AN38" i="3"/>
  <c r="H42" i="3"/>
  <c r="AX42" i="3"/>
  <c r="H43" i="3"/>
  <c r="AE42" i="3"/>
  <c r="BF38" i="3"/>
  <c r="M43" i="3"/>
  <c r="AI43" i="3"/>
  <c r="AZ42" i="3"/>
  <c r="BF42" i="3"/>
  <c r="F43" i="3"/>
  <c r="F42" i="3"/>
  <c r="AH42" i="3"/>
  <c r="AQ43" i="3"/>
  <c r="AW42" i="3"/>
  <c r="BE38" i="3"/>
  <c r="AC43" i="3"/>
  <c r="E38" i="3"/>
  <c r="E43" i="3"/>
  <c r="BD42" i="3"/>
  <c r="AL43" i="3"/>
  <c r="K38" i="3"/>
  <c r="AX43" i="3"/>
  <c r="W38" i="3"/>
  <c r="V42" i="3"/>
  <c r="U42" i="3"/>
  <c r="S42" i="3"/>
  <c r="P42" i="3"/>
  <c r="AC42" i="3"/>
  <c r="AB43" i="3"/>
  <c r="D38" i="3"/>
  <c r="Z42" i="3"/>
  <c r="AC38" i="3"/>
  <c r="K42" i="3"/>
  <c r="AZ43" i="3"/>
  <c r="AI42" i="3"/>
  <c r="AT43" i="3"/>
  <c r="AM38" i="3"/>
  <c r="I43" i="3"/>
  <c r="AA43" i="3"/>
  <c r="AB38" i="3"/>
  <c r="AK43" i="3"/>
  <c r="BB38" i="3"/>
  <c r="AF42" i="3"/>
  <c r="AQ42" i="3"/>
  <c r="W43" i="3"/>
  <c r="T42" i="3"/>
  <c r="R38" i="3"/>
  <c r="O42" i="3"/>
  <c r="AU54" i="2"/>
  <c r="K54" i="2"/>
  <c r="J60" i="2"/>
  <c r="M54" i="2"/>
  <c r="D54" i="2"/>
  <c r="AE54" i="2"/>
  <c r="AD61" i="2"/>
  <c r="AF54" i="2"/>
  <c r="J54" i="2"/>
  <c r="AI54" i="2"/>
  <c r="AX54" i="2"/>
  <c r="AQ54" i="2"/>
  <c r="AA61" i="2"/>
  <c r="L61" i="2"/>
  <c r="AD60" i="2"/>
  <c r="J61" i="2"/>
  <c r="L54" i="2"/>
  <c r="Z61" i="2"/>
  <c r="Y54" i="2"/>
  <c r="X60" i="2"/>
  <c r="W54" i="2"/>
  <c r="U61" i="2"/>
  <c r="T60" i="2"/>
  <c r="S54" i="2"/>
  <c r="Q54" i="2"/>
  <c r="AM54" i="2"/>
  <c r="AB61" i="2"/>
  <c r="F60" i="2"/>
  <c r="AE61" i="2"/>
  <c r="AE60" i="2"/>
  <c r="AS54" i="2"/>
  <c r="O60" i="2"/>
  <c r="AY54" i="2"/>
  <c r="AL54" i="2"/>
  <c r="AW54" i="2"/>
  <c r="BC54" i="2"/>
  <c r="BB54" i="2"/>
  <c r="N60" i="2"/>
  <c r="K61" i="2"/>
  <c r="AN54" i="2"/>
  <c r="AV54" i="2"/>
  <c r="D61" i="2"/>
  <c r="L60" i="2"/>
  <c r="AA54" i="2"/>
  <c r="O54" i="2"/>
  <c r="AZ54" i="2"/>
  <c r="Z54" i="2"/>
  <c r="X61" i="2"/>
  <c r="V60" i="2"/>
  <c r="U54" i="2"/>
  <c r="T61" i="2"/>
  <c r="R54" i="2"/>
  <c r="Q60" i="2"/>
  <c r="P54" i="2"/>
  <c r="I54" i="2"/>
  <c r="AT54" i="2"/>
  <c r="AA60" i="2"/>
  <c r="G61" i="2"/>
  <c r="AJ54" i="2"/>
  <c r="AH54" i="2"/>
  <c r="I61" i="2"/>
  <c r="F61" i="2"/>
  <c r="D60" i="2"/>
  <c r="M61" i="2"/>
  <c r="H60" i="2"/>
  <c r="AP54" i="2"/>
  <c r="BE54" i="2"/>
  <c r="F54" i="2"/>
  <c r="AC61" i="2"/>
  <c r="BA54" i="2"/>
  <c r="AK54" i="2"/>
  <c r="AB54" i="2"/>
  <c r="H61" i="2"/>
  <c r="G60" i="2"/>
  <c r="Z60" i="2"/>
  <c r="Y61" i="2"/>
  <c r="X54" i="2"/>
  <c r="W60" i="2"/>
  <c r="V61" i="2"/>
  <c r="T54" i="2"/>
  <c r="S61" i="2"/>
  <c r="R60" i="2"/>
  <c r="P61" i="2"/>
  <c r="AO54" i="2"/>
  <c r="AR54" i="2"/>
  <c r="N61" i="2"/>
  <c r="AD54" i="2"/>
  <c r="AC54" i="2"/>
  <c r="N54" i="2"/>
  <c r="AG54" i="2"/>
  <c r="G54" i="2"/>
  <c r="E60" i="2"/>
  <c r="K60" i="2"/>
  <c r="BD54" i="2"/>
  <c r="O61" i="2"/>
  <c r="W61" i="2"/>
  <c r="U60" i="2"/>
  <c r="S60" i="2"/>
  <c r="Q61" i="2"/>
  <c r="M60" i="2"/>
  <c r="AC60" i="2"/>
  <c r="H54" i="2"/>
  <c r="AB60" i="2"/>
  <c r="I60" i="2"/>
  <c r="BF54" i="2"/>
  <c r="E61" i="2"/>
  <c r="Y60" i="2"/>
  <c r="V54" i="2"/>
  <c r="R61" i="2"/>
  <c r="P60" i="2"/>
  <c r="AB58" i="2"/>
  <c r="J58" i="2"/>
  <c r="U58" i="2"/>
  <c r="AC58" i="2"/>
  <c r="N58" i="2"/>
  <c r="X58" i="2"/>
  <c r="E58" i="2"/>
  <c r="P58" i="2"/>
  <c r="O58" i="2"/>
  <c r="Q58" i="2"/>
  <c r="G58" i="2"/>
  <c r="V58" i="2"/>
  <c r="W58" i="2"/>
  <c r="L58" i="2"/>
  <c r="R58" i="2"/>
  <c r="Z58" i="2"/>
  <c r="S58" i="2"/>
  <c r="D58" i="2"/>
  <c r="K58" i="2"/>
  <c r="I58" i="2"/>
  <c r="AA58" i="2"/>
  <c r="AE58" i="2"/>
  <c r="Y58" i="2"/>
  <c r="T58" i="2"/>
  <c r="F58" i="2"/>
  <c r="H58" i="2"/>
  <c r="M58" i="2"/>
  <c r="AD58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50" i="2"/>
  <c r="CF52" i="2"/>
  <c r="AB3" i="1" a="1"/>
  <c r="AB3" i="1" s="1"/>
  <c r="AC63" i="1"/>
  <c r="BN44" i="3"/>
  <c r="AH44" i="3"/>
  <c r="AX44" i="3"/>
  <c r="R44" i="3"/>
  <c r="K40" i="3"/>
  <c r="BV44" i="3"/>
  <c r="BF44" i="3"/>
  <c r="AP44" i="3"/>
  <c r="Z44" i="3"/>
  <c r="J44" i="3"/>
  <c r="AQ40" i="3"/>
  <c r="AH39" i="3"/>
  <c r="K46" i="4"/>
  <c r="N46" i="4" s="1"/>
  <c r="C5" i="7" s="1"/>
  <c r="AA40" i="3"/>
  <c r="AX39" i="3"/>
  <c r="R39" i="3"/>
  <c r="BZ44" i="3"/>
  <c r="BR44" i="3"/>
  <c r="BJ44" i="3"/>
  <c r="BB44" i="3"/>
  <c r="AT44" i="3"/>
  <c r="AL44" i="3"/>
  <c r="AD44" i="3"/>
  <c r="V44" i="3"/>
  <c r="N44" i="3"/>
  <c r="F44" i="3"/>
  <c r="AY40" i="3"/>
  <c r="AI40" i="3"/>
  <c r="S40" i="3"/>
  <c r="C40" i="3"/>
  <c r="AP39" i="3"/>
  <c r="Z39" i="3"/>
  <c r="J39" i="3"/>
  <c r="BC40" i="3"/>
  <c r="AU40" i="3"/>
  <c r="AM40" i="3"/>
  <c r="AE40" i="3"/>
  <c r="W40" i="3"/>
  <c r="O40" i="3"/>
  <c r="G40" i="3"/>
  <c r="BB39" i="3"/>
  <c r="AT39" i="3"/>
  <c r="AL39" i="3"/>
  <c r="AD39" i="3"/>
  <c r="V39" i="3"/>
  <c r="N39" i="3"/>
  <c r="F39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E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D40" i="3"/>
  <c r="BB40" i="3"/>
  <c r="AZ40" i="3"/>
  <c r="AX40" i="3"/>
  <c r="AV40" i="3"/>
  <c r="AT40" i="3"/>
  <c r="AR40" i="3"/>
  <c r="AP40" i="3"/>
  <c r="AN40" i="3"/>
  <c r="AL40" i="3"/>
  <c r="AJ40" i="3"/>
  <c r="AH40" i="3"/>
  <c r="AF40" i="3"/>
  <c r="AD40" i="3"/>
  <c r="AB40" i="3"/>
  <c r="Z40" i="3"/>
  <c r="X40" i="3"/>
  <c r="V40" i="3"/>
  <c r="T40" i="3"/>
  <c r="R40" i="3"/>
  <c r="P40" i="3"/>
  <c r="N40" i="3"/>
  <c r="L40" i="3"/>
  <c r="J40" i="3"/>
  <c r="H40" i="3"/>
  <c r="F40" i="3"/>
  <c r="D40" i="3"/>
  <c r="BE39" i="3"/>
  <c r="BC39" i="3"/>
  <c r="BA39" i="3"/>
  <c r="BA41" i="3" s="1"/>
  <c r="AY39" i="3"/>
  <c r="AW39" i="3"/>
  <c r="AU39" i="3"/>
  <c r="AS39" i="3"/>
  <c r="AQ39" i="3"/>
  <c r="AO39" i="3"/>
  <c r="AM39" i="3"/>
  <c r="AK39" i="3"/>
  <c r="AI39" i="3"/>
  <c r="AG39" i="3"/>
  <c r="AE39" i="3"/>
  <c r="AC39" i="3"/>
  <c r="AA39" i="3"/>
  <c r="Y39" i="3"/>
  <c r="W39" i="3"/>
  <c r="U39" i="3"/>
  <c r="S39" i="3"/>
  <c r="Q39" i="3"/>
  <c r="O39" i="3"/>
  <c r="M39" i="3"/>
  <c r="K39" i="3"/>
  <c r="I39" i="3"/>
  <c r="G39" i="3"/>
  <c r="E39" i="3"/>
  <c r="CC44" i="3"/>
  <c r="CA44" i="3"/>
  <c r="BY44" i="3"/>
  <c r="BW44" i="3"/>
  <c r="BU44" i="3"/>
  <c r="BS44" i="3"/>
  <c r="BQ44" i="3"/>
  <c r="BO44" i="3"/>
  <c r="BM44" i="3"/>
  <c r="BK44" i="3"/>
  <c r="BI44" i="3"/>
  <c r="BG44" i="3"/>
  <c r="BE44" i="3"/>
  <c r="BC44" i="3"/>
  <c r="BA44" i="3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50" i="2"/>
  <c r="CT50" i="2"/>
  <c r="CQ50" i="2"/>
  <c r="CF51" i="2"/>
  <c r="CW50" i="2"/>
  <c r="CU50" i="2"/>
  <c r="CP5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50" i="2"/>
  <c r="CE43" i="3"/>
  <c r="CE42" i="3"/>
  <c r="CE38" i="3"/>
  <c r="CF54" i="2"/>
  <c r="CP54" i="2"/>
  <c r="DE50" i="2"/>
  <c r="CJ54" i="2"/>
  <c r="CQ3" i="3"/>
  <c r="DC50" i="2"/>
  <c r="CP3" i="3"/>
  <c r="B61" i="2"/>
  <c r="B60" i="2"/>
  <c r="DF50" i="2"/>
  <c r="DD50" i="2"/>
  <c r="DB50" i="2"/>
  <c r="CR50" i="2"/>
  <c r="CF38" i="3"/>
  <c r="CJ38" i="3"/>
  <c r="CL54" i="2"/>
  <c r="CH54" i="2"/>
  <c r="CI54" i="2"/>
  <c r="O17" i="5"/>
  <c r="Z63" i="1"/>
  <c r="D55" i="2" a="1"/>
  <c r="AA2" i="1"/>
  <c r="AA63" i="1"/>
  <c r="AA3" i="1" a="1"/>
  <c r="AA3" i="1" s="1"/>
  <c r="AD63" i="1"/>
  <c r="AB63" i="1"/>
  <c r="CP52" i="2"/>
  <c r="P65" i="1"/>
  <c r="P66" i="1" s="1"/>
  <c r="H93" i="4"/>
  <c r="A5" i="5" s="1" a="1"/>
  <c r="CP5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V105" i="2"/>
  <c r="V94" i="2"/>
  <c r="D101" i="2"/>
  <c r="S96" i="2"/>
  <c r="K96" i="2"/>
  <c r="X105" i="2"/>
  <c r="E86" i="2"/>
  <c r="E68" i="2"/>
  <c r="Q101" i="2"/>
  <c r="R96" i="2"/>
  <c r="L71" i="2"/>
  <c r="O101" i="2"/>
  <c r="G101" i="2"/>
  <c r="H101" i="2"/>
  <c r="M96" i="2"/>
  <c r="M104" i="2"/>
  <c r="H47" i="4" l="1"/>
  <c r="A6" i="7"/>
  <c r="L48" i="4"/>
  <c r="CS51" i="2"/>
  <c r="CX52" i="2" s="1"/>
  <c r="CS5" i="3"/>
  <c r="AS41" i="3"/>
  <c r="T68" i="1"/>
  <c r="R68" i="1"/>
  <c r="S68" i="1"/>
  <c r="Q68" i="1"/>
  <c r="BC41" i="3"/>
  <c r="G41" i="3"/>
  <c r="W41" i="3"/>
  <c r="AA41" i="3"/>
  <c r="AI41" i="3"/>
  <c r="AM41" i="3"/>
  <c r="E41" i="3"/>
  <c r="M41" i="3"/>
  <c r="U41" i="3"/>
  <c r="AC41" i="3"/>
  <c r="AK41" i="3"/>
  <c r="C41" i="3"/>
  <c r="I41" i="3"/>
  <c r="AB41" i="3"/>
  <c r="L41" i="3"/>
  <c r="AR41" i="3"/>
  <c r="AO41" i="3"/>
  <c r="Y41" i="3"/>
  <c r="BE41" i="3"/>
  <c r="D41" i="3"/>
  <c r="T41" i="3"/>
  <c r="AJ41" i="3"/>
  <c r="AZ41" i="3"/>
  <c r="AY41" i="3"/>
  <c r="S41" i="3"/>
  <c r="H41" i="3"/>
  <c r="P41" i="3"/>
  <c r="X41" i="3"/>
  <c r="AF41" i="3"/>
  <c r="AN41" i="3"/>
  <c r="AV41" i="3"/>
  <c r="BD41" i="3"/>
  <c r="Q41" i="3"/>
  <c r="AG41" i="3"/>
  <c r="AW41" i="3"/>
  <c r="N41" i="3"/>
  <c r="R41" i="3"/>
  <c r="Z41" i="3"/>
  <c r="AD41" i="3"/>
  <c r="AH41" i="3"/>
  <c r="AT41" i="3"/>
  <c r="O41" i="3"/>
  <c r="AE41" i="3"/>
  <c r="AU41" i="3"/>
  <c r="AQ41" i="3"/>
  <c r="K41" i="3"/>
  <c r="F41" i="3"/>
  <c r="V41" i="3"/>
  <c r="AL41" i="3"/>
  <c r="BB41" i="3"/>
  <c r="J41" i="3"/>
  <c r="AP41" i="3"/>
  <c r="AX41" i="3"/>
  <c r="CE39" i="3"/>
  <c r="CE40" i="3"/>
  <c r="AA65" i="1"/>
  <c r="O67" i="1"/>
  <c r="D55" i="2"/>
  <c r="E55" i="2"/>
  <c r="E56" i="2" s="1"/>
  <c r="G55" i="2"/>
  <c r="G56" i="2" s="1"/>
  <c r="I55" i="2"/>
  <c r="I56" i="2" s="1"/>
  <c r="K55" i="2"/>
  <c r="K56" i="2" s="1"/>
  <c r="M55" i="2"/>
  <c r="M56" i="2" s="1"/>
  <c r="O55" i="2"/>
  <c r="O56" i="2" s="1"/>
  <c r="Q55" i="2"/>
  <c r="Q56" i="2" s="1"/>
  <c r="S55" i="2"/>
  <c r="S56" i="2" s="1"/>
  <c r="U55" i="2"/>
  <c r="U56" i="2" s="1"/>
  <c r="W55" i="2"/>
  <c r="W56" i="2" s="1"/>
  <c r="Y55" i="2"/>
  <c r="Y56" i="2" s="1"/>
  <c r="AA55" i="2"/>
  <c r="AA56" i="2" s="1"/>
  <c r="AC55" i="2"/>
  <c r="AC56" i="2" s="1"/>
  <c r="AE55" i="2"/>
  <c r="AE56" i="2" s="1"/>
  <c r="AG55" i="2"/>
  <c r="AG56" i="2" s="1"/>
  <c r="AI55" i="2"/>
  <c r="AI56" i="2" s="1"/>
  <c r="AK55" i="2"/>
  <c r="AK56" i="2" s="1"/>
  <c r="AM55" i="2"/>
  <c r="AM56" i="2" s="1"/>
  <c r="AO55" i="2"/>
  <c r="AO56" i="2" s="1"/>
  <c r="AQ55" i="2"/>
  <c r="AQ56" i="2" s="1"/>
  <c r="AS55" i="2"/>
  <c r="AS56" i="2" s="1"/>
  <c r="AU55" i="2"/>
  <c r="AU56" i="2" s="1"/>
  <c r="AV55" i="2"/>
  <c r="AV56" i="2" s="1"/>
  <c r="AW55" i="2"/>
  <c r="AW56" i="2" s="1"/>
  <c r="AX55" i="2"/>
  <c r="AX56" i="2" s="1"/>
  <c r="AY55" i="2"/>
  <c r="AY56" i="2" s="1"/>
  <c r="AZ55" i="2"/>
  <c r="AZ56" i="2" s="1"/>
  <c r="BA55" i="2"/>
  <c r="BA56" i="2" s="1"/>
  <c r="BB55" i="2"/>
  <c r="BB56" i="2" s="1"/>
  <c r="BC55" i="2"/>
  <c r="BC56" i="2" s="1"/>
  <c r="BD55" i="2"/>
  <c r="BD56" i="2" s="1"/>
  <c r="BE55" i="2"/>
  <c r="BE56" i="2" s="1"/>
  <c r="BF55" i="2"/>
  <c r="BF56" i="2" s="1"/>
  <c r="H55" i="2"/>
  <c r="H56" i="2" s="1"/>
  <c r="L55" i="2"/>
  <c r="L56" i="2" s="1"/>
  <c r="P55" i="2"/>
  <c r="P56" i="2" s="1"/>
  <c r="T55" i="2"/>
  <c r="T56" i="2" s="1"/>
  <c r="X55" i="2"/>
  <c r="X56" i="2" s="1"/>
  <c r="AB55" i="2"/>
  <c r="AB56" i="2" s="1"/>
  <c r="AF55" i="2"/>
  <c r="AF56" i="2" s="1"/>
  <c r="AJ55" i="2"/>
  <c r="AJ56" i="2" s="1"/>
  <c r="AN55" i="2"/>
  <c r="AN56" i="2" s="1"/>
  <c r="AR55" i="2"/>
  <c r="AR56" i="2" s="1"/>
  <c r="F55" i="2"/>
  <c r="F56" i="2" s="1"/>
  <c r="J55" i="2"/>
  <c r="J56" i="2" s="1"/>
  <c r="N55" i="2"/>
  <c r="N56" i="2" s="1"/>
  <c r="R55" i="2"/>
  <c r="R56" i="2" s="1"/>
  <c r="V55" i="2"/>
  <c r="V56" i="2" s="1"/>
  <c r="Z55" i="2"/>
  <c r="Z56" i="2" s="1"/>
  <c r="AD55" i="2"/>
  <c r="AD56" i="2" s="1"/>
  <c r="AH55" i="2"/>
  <c r="AH56" i="2" s="1"/>
  <c r="AL55" i="2"/>
  <c r="AL56" i="2" s="1"/>
  <c r="AP55" i="2"/>
  <c r="AP56" i="2" s="1"/>
  <c r="AT55" i="2"/>
  <c r="AT56" i="2" s="1"/>
  <c r="CF43" i="3"/>
  <c r="CG43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56" i="2"/>
  <c r="H48" i="4" l="1"/>
  <c r="L49" i="4"/>
  <c r="A7" i="7"/>
  <c r="K47" i="4"/>
  <c r="N47" i="4" s="1"/>
  <c r="C6" i="7" s="1"/>
  <c r="O47" i="4"/>
  <c r="D6" i="7" s="1"/>
  <c r="M47" i="4"/>
  <c r="B6" i="7" s="1"/>
  <c r="CS5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1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1" i="3"/>
  <c r="CH41" i="3" a="1"/>
  <c r="CH41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52" i="2"/>
  <c r="CU52" i="2"/>
  <c r="CW52" i="2"/>
  <c r="CV5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55" i="2"/>
  <c r="D56" i="2"/>
  <c r="CF55" i="2"/>
  <c r="CH43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N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N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N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N7" i="10" s="1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N19" i="10" s="1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N35" i="10" s="1"/>
  <c r="I35" i="10"/>
  <c r="K35" i="10"/>
  <c r="F35" i="10"/>
  <c r="J35" i="10"/>
  <c r="D35" i="10"/>
  <c r="H35" i="10"/>
  <c r="E39" i="10"/>
  <c r="G39" i="10"/>
  <c r="N39" i="10" s="1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N36" i="10" s="1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N37" i="10" s="1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56" i="2"/>
  <c r="CF56" i="2"/>
  <c r="CI5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9" i="10" l="1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0" i="10" l="1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AA21" i="10" s="1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AA17" i="10" s="1"/>
  <c r="V14" i="10"/>
  <c r="T13" i="10"/>
  <c r="X25" i="10"/>
  <c r="Q21" i="10"/>
  <c r="U12" i="10"/>
  <c r="T17" i="10"/>
  <c r="X14" i="10"/>
  <c r="V13" i="10"/>
  <c r="Y25" i="10"/>
  <c r="U21" i="10"/>
  <c r="R12" i="10"/>
  <c r="AA12" i="10" s="1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AA14" i="10" s="1"/>
  <c r="W11" i="10"/>
  <c r="R13" i="10"/>
  <c r="AA13" i="10" s="1"/>
  <c r="S13" i="10"/>
  <c r="S19" i="10"/>
  <c r="W25" i="10"/>
  <c r="T16" i="10"/>
  <c r="V10" i="10"/>
  <c r="Q19" i="10"/>
  <c r="X19" i="10"/>
  <c r="X11" i="10"/>
  <c r="R16" i="10"/>
  <c r="T10" i="10"/>
  <c r="R19" i="10"/>
  <c r="AA19" i="10" s="1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AA8" i="10" s="1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AA20" i="10" s="1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AA18" i="10" s="1"/>
  <c r="T5" i="10"/>
  <c r="S5" i="10"/>
  <c r="R15" i="10"/>
  <c r="AA15" i="10" s="1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11" i="10" l="1"/>
  <c r="AA11" i="10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Z14" i="10"/>
  <c r="Z4" i="10"/>
  <c r="AA4" i="10" s="1"/>
  <c r="Z21" i="10"/>
  <c r="Z22" i="10"/>
  <c r="AA22" i="10" s="1"/>
  <c r="Z17" i="10"/>
  <c r="Z6" i="10"/>
  <c r="AA6" i="10" s="1"/>
  <c r="Z9" i="10"/>
  <c r="AA9" i="10" s="1"/>
  <c r="Z13" i="10"/>
  <c r="Z10" i="10"/>
  <c r="AA10" i="10" s="1"/>
  <c r="Z8" i="10"/>
  <c r="Z19" i="10"/>
  <c r="Z12" i="10"/>
  <c r="Z18" i="10"/>
  <c r="Z16" i="10"/>
  <c r="AA16" i="10" s="1"/>
  <c r="Z24" i="10"/>
  <c r="Z15" i="10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<sst xmlns="http://schemas.openxmlformats.org/spreadsheetml/2006/main" count="1230" uniqueCount="710">
  <si>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</si>
  <si>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</si>
  <si>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</si>
  <si>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</si>
  <si>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</si>
  <si>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</si>
  <si>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</si>
  <si>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</si>
  <si>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</si>
  <si>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</si>
  <si>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</si>
  <si>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</si>
  <si>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</si>
  <si>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</si>
  <si>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</si>
  <si>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</si>
  <si>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</si>
  <si>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</si>
  <si>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</si>
  <si>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</si>
  <si>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</si>
  <si>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</si>
  <si>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</si>
  <si>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</si>
  <si>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</si>
  <si>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</si>
  <si>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</si>
  <si>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</si>
  <si>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</si>
  <si>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</si>
  <si>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</si>
  <si>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</si>
  <si>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</si>
  <si>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</si>
  <si>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</si>
  <si>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</si>
  <si>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</si>
  <si>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</si>
  <si>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</si>
  <si>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</si>
  <si>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</si>
  <si>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</si>
  <si>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</si>
  <si>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</si>
  <si>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</si>
  <si>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</si>
  <si>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</si>
  <si>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</si>
  <si>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</si>
  <si>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</si>
  <si>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</si>
  <si>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</si>
  <si>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</si>
  <si>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</si>
  <si>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</si>
  <si>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</si>
  <si>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</si>
  <si>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</si>
  <si>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</si>
  <si>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</si>
  <si>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</si>
  <si>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</si>
  <si>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</si>
  <si>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</si>
  <si>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</si>
  <si>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</si>
  <si>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</si>
  <si>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</si>
  <si>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</si>
  <si>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</si>
  <si>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</si>
  <si>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</si>
  <si>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</si>
  <si>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</si>
  <si>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</si>
  <si>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</si>
  <si>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</si>
  <si>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</si>
  <si>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</si>
  <si>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</si>
  <si>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</si>
  <si>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</si>
  <si>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</si>
  <si>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</si>
  <si>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</si>
  <si>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</si>
  <si>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</si>
  <si>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</si>
  <si>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</si>
  <si>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</si>
  <si>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</si>
  <si>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</si>
  <si>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</si>
  <si>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</si>
  <si>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</si>
  <si>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</si>
  <si>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</si>
  <si>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</si>
  <si>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</si>
  <si>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</si>
  <si>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</si>
  <si>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</si>
  <si>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</si>
  <si>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</si>
  <si>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</si>
  <si>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</si>
  <si>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</si>
  <si>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</si>
  <si>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</si>
  <si>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</si>
  <si>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</si>
  <si>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</si>
  <si>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</si>
  <si>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</si>
  <si>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</si>
  <si>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</si>
  <si>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</si>
  <si>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</si>
  <si>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</si>
  <si>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</si>
  <si>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</si>
  <si>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</si>
  <si>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</si>
  <si>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</si>
  <si>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</si>
  <si>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</si>
  <si>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</si>
  <si>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</si>
  <si>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</si>
  <si>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</si>
  <si>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</si>
  <si>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</si>
  <si>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</si>
  <si>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</si>
  <si>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</si>
  <si>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</si>
  <si>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</si>
  <si>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</si>
  <si>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</si>
  <si>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</si>
  <si>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</si>
  <si>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</si>
  <si>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</si>
  <si>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</si>
  <si>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</si>
  <si>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</si>
  <si>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</si>
  <si>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</si>
  <si>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</si>
  <si>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</si>
  <si>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</si>
  <si>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</si>
  <si>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</si>
  <si>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</si>
  <si>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</si>
  <si>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</si>
  <si>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</si>
  <si>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</si>
  <si>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</si>
  <si>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</si>
  <si>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</si>
  <si>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</si>
  <si>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</si>
  <si>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</si>
  <si>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</si>
  <si>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</si>
  <si>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</si>
  <si>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</si>
  <si>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</si>
  <si>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</si>
  <si>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</si>
  <si>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</si>
  <si>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</si>
  <si>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</si>
  <si>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</si>
  <si>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</si>
  <si>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</si>
  <si>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</si>
  <si>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</si>
  <si>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</si>
  <si>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</si>
  <si>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</si>
  <si>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</si>
  <si>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</si>
  <si>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</si>
  <si>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</si>
  <si>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</si>
  <si>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</si>
  <si>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</si>
  <si>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</si>
  <si>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</si>
  <si>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</si>
  <si>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</si>
  <si>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</si>
  <si>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</si>
  <si>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</si>
  <si>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</si>
  <si>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</si>
  <si>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</si>
  <si>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</si>
  <si>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</si>
  <si>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</si>
  <si>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</si>
  <si>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</si>
  <si>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</si>
  <si>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</si>
  <si>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</si>
  <si>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</si>
  <si>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</si>
  <si>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</si>
  <si>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</si>
  <si>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</si>
  <si>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</si>
  <si>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</si>
  <si>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</si>
  <si>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</si>
  <si>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</si>
  <si>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</si>
  <si>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</si>
  <si>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</si>
  <si>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</si>
  <si>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</si>
  <si>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</si>
  <si>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</si>
  <si>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</si>
  <si>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</si>
  <si>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</si>
  <si>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</si>
  <si>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</si>
  <si>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</si>
  <si>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</si>
  <si>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</si>
  <si>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</si>
  <si>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</si>
  <si>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</si>
  <si>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Steeple Langford</t>
  </si>
  <si>
    <t>8/0/dnb/0/0</t>
  </si>
  <si>
    <t>Woodgreen</t>
  </si>
  <si>
    <t>Edghill R</t>
  </si>
  <si>
    <t>Robert</t>
  </si>
  <si>
    <t>FiveFors</t>
  </si>
  <si>
    <t>Tony</t>
  </si>
  <si>
    <t>Springer T</t>
  </si>
  <si>
    <t>Azfar S</t>
  </si>
  <si>
    <t>*</t>
  </si>
  <si>
    <t>Syed</t>
  </si>
  <si>
    <t>Ottey A</t>
  </si>
  <si>
    <t>Winter T</t>
  </si>
  <si>
    <t>Churchleigh</t>
  </si>
  <si>
    <t>Dave</t>
  </si>
  <si>
    <t>Brocks D</t>
  </si>
  <si>
    <t>11/0/dnb/1/0</t>
  </si>
  <si>
    <t>Stevenson R</t>
  </si>
  <si>
    <t>Driver S</t>
  </si>
  <si>
    <t>6/1/b/0/0</t>
  </si>
  <si>
    <t>Sam</t>
  </si>
  <si>
    <t>9/0/no/0/0</t>
  </si>
  <si>
    <t>3/0/20/0</t>
  </si>
  <si>
    <t>4/0/25/1</t>
  </si>
  <si>
    <t>LESSA</t>
  </si>
  <si>
    <t>10/4/no/0/1.0</t>
  </si>
  <si>
    <t>1/0/7/0</t>
  </si>
  <si>
    <t>Castle I</t>
  </si>
  <si>
    <t>6/0/dnb+/0/0</t>
  </si>
  <si>
    <t>4/0/10/0</t>
  </si>
  <si>
    <t>Giles M</t>
  </si>
  <si>
    <t>4/0/27/0</t>
  </si>
  <si>
    <t>10/0/dnb/1/0</t>
  </si>
  <si>
    <t>/ret</t>
  </si>
  <si>
    <t>Deando Ruxley</t>
  </si>
  <si>
    <t>Springer 73</t>
  </si>
  <si>
    <t>Seymour 3-33</t>
  </si>
  <si>
    <t>1/2/b/1/0</t>
  </si>
  <si>
    <t>2/22/c/0/0</t>
  </si>
  <si>
    <t>4/27/c/0/3.1</t>
  </si>
  <si>
    <t>5/26/no/0/2.0</t>
  </si>
  <si>
    <t>3/73/st*/2/8.2</t>
  </si>
  <si>
    <t>6/24/c/0/5.0</t>
  </si>
  <si>
    <t>Shahid A</t>
  </si>
  <si>
    <t>7/4/c/0/0</t>
  </si>
  <si>
    <t>8/0/dnb+/1.0/0</t>
  </si>
  <si>
    <t>8/1/20/1</t>
  </si>
  <si>
    <t>8/1/33/3</t>
  </si>
  <si>
    <t>5/0/13/2</t>
  </si>
  <si>
    <t>Adil</t>
  </si>
  <si>
    <t>5/1/6/0</t>
  </si>
  <si>
    <t>3/0/23/1</t>
  </si>
  <si>
    <t>5/0/20/1</t>
  </si>
  <si>
    <t>3/0/14/1</t>
  </si>
  <si>
    <t>0.2/0/0/1</t>
  </si>
  <si>
    <t>Match</t>
  </si>
  <si>
    <t>Shahid 3-21</t>
  </si>
  <si>
    <t>Middleton 77*, Brocks 67*</t>
  </si>
  <si>
    <t>1/10/b/0/1.0</t>
  </si>
  <si>
    <t>2/19/b/0/4.0</t>
  </si>
  <si>
    <t>3/0/b*/0/0</t>
  </si>
  <si>
    <t>4/77/no/0/10.2</t>
  </si>
  <si>
    <t>5/67/no/1/4.6</t>
  </si>
  <si>
    <t>6/0/dnb/0/0</t>
  </si>
  <si>
    <t>7/0/dnb/1/0</t>
  </si>
  <si>
    <t>8/0/dnb+/2.0/0</t>
  </si>
  <si>
    <t>7/1/36/0</t>
  </si>
  <si>
    <t>7/1/30/0</t>
  </si>
  <si>
    <t>5.3/0/31/0</t>
  </si>
  <si>
    <t>5/0/21/1</t>
  </si>
  <si>
    <t>3.3/0/21/3</t>
  </si>
  <si>
    <t>Brocks 5-0, Springer 3-18, Brown 51</t>
  </si>
  <si>
    <t>Middketon 39</t>
  </si>
  <si>
    <t>6/0/24/0</t>
  </si>
  <si>
    <t>6/1/22/0</t>
  </si>
  <si>
    <t>8/2/18/3</t>
  </si>
  <si>
    <t>Tapader S</t>
  </si>
  <si>
    <t>8/1/27/0</t>
  </si>
  <si>
    <t>4/1/12/2</t>
  </si>
  <si>
    <t>Wright J</t>
  </si>
  <si>
    <t>2/2/0/5</t>
  </si>
  <si>
    <t>1/4/b/1/1.0</t>
  </si>
  <si>
    <t>2/6/lb/0/1.0</t>
  </si>
  <si>
    <t>3/39/lb/1/6.1</t>
  </si>
  <si>
    <t>4/0/b*/1/0</t>
  </si>
  <si>
    <t>5/12/b/0/2.0</t>
  </si>
  <si>
    <t>6/11/b+/0/2.0</t>
  </si>
  <si>
    <t>7/9/c/0/2.0</t>
  </si>
  <si>
    <t>8/2/b/1/0</t>
  </si>
  <si>
    <t>Dean J</t>
  </si>
  <si>
    <t>9/0/ro/0/0</t>
  </si>
  <si>
    <t>10/7/b/0/1.0</t>
  </si>
  <si>
    <t>11/3/no/0/0</t>
  </si>
  <si>
    <t>Total balls received</t>
  </si>
  <si>
    <t>Total Overs faced</t>
  </si>
  <si>
    <t>Springer 93</t>
  </si>
  <si>
    <t>Springer 5-10</t>
  </si>
  <si>
    <t>1/17/ro/0/2.0</t>
  </si>
  <si>
    <t>1/93/c*/0/15.1</t>
  </si>
  <si>
    <t>3/13/lb/1/2.0</t>
  </si>
  <si>
    <t>4/21/lb/0/4.0</t>
  </si>
  <si>
    <t>5/14/c+/0.1/3.0</t>
  </si>
  <si>
    <t>Nilesh</t>
  </si>
  <si>
    <t>Rathi N</t>
  </si>
  <si>
    <t>6/25/no/1/4.0</t>
  </si>
  <si>
    <t>7/6/c/0/1.0</t>
  </si>
  <si>
    <t>8/0/b/0/0</t>
  </si>
  <si>
    <t>Hardik</t>
  </si>
  <si>
    <t>Patel H</t>
  </si>
  <si>
    <t>8/1/19/0</t>
  </si>
  <si>
    <t>4/0/24/1</t>
  </si>
  <si>
    <t>3/0/29/0</t>
  </si>
  <si>
    <t>7/0/11/2</t>
  </si>
  <si>
    <t>7/2/10/5</t>
  </si>
  <si>
    <t>3/1/10/1</t>
  </si>
  <si>
    <t>2.1/0/14/1</t>
  </si>
  <si>
    <t>Fonthill Park</t>
  </si>
  <si>
    <t>Dean 94, Seymour 3-33</t>
  </si>
  <si>
    <t>Springer 80</t>
  </si>
  <si>
    <t>1/80/st/2/12.3</t>
  </si>
  <si>
    <t>2/2/c*/0/0</t>
  </si>
  <si>
    <t>3/11/c/0/2.0</t>
  </si>
  <si>
    <t>4/0/c/1/0</t>
  </si>
  <si>
    <t>5/2/b/1/0</t>
  </si>
  <si>
    <t>6/4/c/0/1.0</t>
  </si>
  <si>
    <t>*****</t>
  </si>
  <si>
    <t>Street</t>
  </si>
  <si>
    <t>Snell</t>
  </si>
  <si>
    <t>7/33/c/0/4.0</t>
  </si>
  <si>
    <t>8/14/lb/0/2.0</t>
  </si>
  <si>
    <t>7/0/25/0</t>
  </si>
  <si>
    <t>7/1/18/1</t>
  </si>
  <si>
    <t>7/2/27/2</t>
  </si>
  <si>
    <t>7/0/33/3</t>
  </si>
  <si>
    <t>2/0/29/0</t>
  </si>
  <si>
    <t>9/5/b+/1.0/0</t>
  </si>
  <si>
    <t>1/22/c/0/3.0</t>
  </si>
  <si>
    <t>2/10/c/0/2.0</t>
  </si>
  <si>
    <t>3/17/b/1/4.0</t>
  </si>
  <si>
    <t>4/9/c/0/2.0</t>
  </si>
  <si>
    <t>5/5/b+/1.0/0</t>
  </si>
  <si>
    <t>7/15/b/0/3.0</t>
  </si>
  <si>
    <t>8/0/lb*/0/0</t>
  </si>
  <si>
    <t>9/1/b/1/0</t>
  </si>
  <si>
    <t>4/1/11/0</t>
  </si>
  <si>
    <t>7/1/15/0</t>
  </si>
  <si>
    <t>7/0/31/2</t>
  </si>
  <si>
    <t>1/0/9/0</t>
  </si>
  <si>
    <t>7/1/19/2</t>
  </si>
  <si>
    <t>3.1/1/7/2</t>
  </si>
  <si>
    <t>Nair 3-23, Partridge 50</t>
  </si>
  <si>
    <t>Tapader 46*, Middleton 41</t>
  </si>
  <si>
    <t>1/32/ro/0/4.0</t>
  </si>
  <si>
    <t>2/22/b/0/4.0</t>
  </si>
  <si>
    <t>3/41/b/0/6.0</t>
  </si>
  <si>
    <t>4/46/no/0/5.2</t>
  </si>
  <si>
    <t>5/2/no/2/0</t>
  </si>
  <si>
    <t>7/0/dnb*/0/0</t>
  </si>
  <si>
    <t>5/2/14/0</t>
  </si>
  <si>
    <t>7/1/25/1</t>
  </si>
  <si>
    <t>7/1/23/3</t>
  </si>
  <si>
    <t>7/2/32/2</t>
  </si>
  <si>
    <t>6/1/39/0</t>
  </si>
  <si>
    <t>3/0/25/1</t>
  </si>
  <si>
    <t>Norwood Exiles</t>
  </si>
  <si>
    <t>Sharpe 109</t>
  </si>
  <si>
    <t>O'Mahoney 116*</t>
  </si>
  <si>
    <t>1/8/b/0/2.0</t>
  </si>
  <si>
    <t>2/0/c/1/0</t>
  </si>
  <si>
    <t>3/109/no*+/1.0/14.2</t>
  </si>
  <si>
    <t>4/31/b/0/5.0</t>
  </si>
  <si>
    <t>Gardezi S</t>
  </si>
  <si>
    <t>5/4/lb/0/0</t>
  </si>
  <si>
    <t>6/22/no/0/3.0</t>
  </si>
  <si>
    <t>7/0/dnb/0/0</t>
  </si>
  <si>
    <t>5/0/45/1</t>
  </si>
  <si>
    <t>3/0/16/0</t>
  </si>
  <si>
    <t>4.2/0/37/0</t>
  </si>
  <si>
    <t>4/0/28/0</t>
  </si>
  <si>
    <t>6/0/19/1</t>
  </si>
  <si>
    <t>4/0/34/0</t>
  </si>
  <si>
    <t>Richmond Legbreakers</t>
  </si>
  <si>
    <t>Clarkson 71*</t>
  </si>
  <si>
    <t>1/24/c*/0/5.0</t>
  </si>
  <si>
    <t>2/15/c/0/1.0</t>
  </si>
  <si>
    <t>3/36/c/0/4.1</t>
  </si>
  <si>
    <t>4/38/c+/0.1/4.1</t>
  </si>
  <si>
    <t>5/71/no/0/7.3</t>
  </si>
  <si>
    <t>6/0/c/1/0</t>
  </si>
  <si>
    <t>7/10/c/0/1.0</t>
  </si>
  <si>
    <t>8/26/no/0/3.0</t>
  </si>
  <si>
    <t>8/3/16/2</t>
  </si>
  <si>
    <t>5/1/11/1</t>
  </si>
  <si>
    <t>6/0/40/0</t>
  </si>
  <si>
    <t>5/0/36/0</t>
  </si>
  <si>
    <t>6/0/30/1</t>
  </si>
  <si>
    <t>2/0/13/0</t>
  </si>
  <si>
    <t>Norwood</t>
  </si>
  <si>
    <t>Sharpe 65, Tapader 51</t>
  </si>
  <si>
    <t>1/65/b+/1.1/12.1</t>
  </si>
  <si>
    <t>2/18/c*/0/3.0</t>
  </si>
  <si>
    <t>3/51/b/1/8.1</t>
  </si>
  <si>
    <t>4/4/c/0/1.0</t>
  </si>
  <si>
    <t>5/32/no/0/4.0</t>
  </si>
  <si>
    <t>6/1/ro/0/0</t>
  </si>
  <si>
    <t>Raj</t>
  </si>
  <si>
    <t>7/21/ro/0/3.0</t>
  </si>
  <si>
    <t>8/11/no/0/2.0</t>
  </si>
  <si>
    <t>8/0/61/1</t>
  </si>
  <si>
    <t>8/0/66/1</t>
  </si>
  <si>
    <t>8/0/43/0</t>
  </si>
  <si>
    <t>4.5/0/61/0</t>
  </si>
  <si>
    <t>6/0/47/2</t>
  </si>
  <si>
    <t>Woldingham Village</t>
  </si>
  <si>
    <t>8/1/37/2</t>
  </si>
  <si>
    <t>8/0/59/1</t>
  </si>
  <si>
    <t>Viveganandan R</t>
  </si>
  <si>
    <t>8/0/41/0</t>
  </si>
  <si>
    <t>6/1/24/2</t>
  </si>
  <si>
    <t>6/0/26/1</t>
  </si>
  <si>
    <t>4/0/23/1</t>
  </si>
  <si>
    <t>1/1/c/0/0</t>
  </si>
  <si>
    <t>2/13/c/1/3.0</t>
  </si>
  <si>
    <t>3/18/c/0/2.0</t>
  </si>
  <si>
    <t>4/10/c/0/2.0</t>
  </si>
  <si>
    <t>5/49/c+/1.1/10.0</t>
  </si>
  <si>
    <t>7/0/c/0/0</t>
  </si>
  <si>
    <t>9/2/c/0/0</t>
  </si>
  <si>
    <t>10/3/no/0/0</t>
  </si>
  <si>
    <t>6/11/b/1/2.0</t>
  </si>
  <si>
    <t>8/4/c*/0/1.0</t>
  </si>
  <si>
    <t>RACS</t>
  </si>
  <si>
    <t>Webb 129*</t>
  </si>
  <si>
    <t>8/0/29/2</t>
  </si>
  <si>
    <t>8/0/43/1</t>
  </si>
  <si>
    <t>7/0/41/1</t>
  </si>
  <si>
    <t>8/0/29/0</t>
  </si>
  <si>
    <t>5/0/28/0</t>
  </si>
  <si>
    <t>4/0/22/1</t>
  </si>
  <si>
    <t>1/12/c/0/0</t>
  </si>
  <si>
    <t>2/43/c/0/6.1</t>
  </si>
  <si>
    <t>3/80/b*/0/17.0</t>
  </si>
  <si>
    <t>4/15/c/0/2.0</t>
  </si>
  <si>
    <t>5/9/no/0/2.0</t>
  </si>
  <si>
    <t>Bartram</t>
  </si>
  <si>
    <t>6/14/c/1/2.0</t>
  </si>
  <si>
    <t>7/4/no/0/1.0</t>
  </si>
  <si>
    <t>9/0/dnb/1/0</t>
  </si>
  <si>
    <t>8/0/dnb+/0.1/0</t>
  </si>
  <si>
    <t>Southbank</t>
  </si>
  <si>
    <t>1/38/c/0/7.0</t>
  </si>
  <si>
    <t>2/16/c*/3/3.0</t>
  </si>
  <si>
    <t>3/0/c/0/0</t>
  </si>
  <si>
    <t>4/5/c/0/1.0</t>
  </si>
  <si>
    <t>5/4/b/0/1.0</t>
  </si>
  <si>
    <t>6/13/c+/1.0/2.0</t>
  </si>
  <si>
    <t>7/18/c/0/1.1</t>
  </si>
  <si>
    <t>8/3/b/0/0</t>
  </si>
  <si>
    <t>9/24/no/1/4.0</t>
  </si>
  <si>
    <t>10/1/b/1/0</t>
  </si>
  <si>
    <t>11/4/no/1/0</t>
  </si>
  <si>
    <t>8/1/40/1</t>
  </si>
  <si>
    <t>8/1/26/1</t>
  </si>
  <si>
    <t>8/3/19/3</t>
  </si>
  <si>
    <t>8/2/26/2</t>
  </si>
  <si>
    <t>3/1/4/3</t>
  </si>
  <si>
    <t>2/0/5/0</t>
  </si>
  <si>
    <t>Headstone</t>
  </si>
  <si>
    <t>Driver 3-10</t>
  </si>
  <si>
    <t>Springer 52</t>
  </si>
  <si>
    <t>1/44/b/0/5.0</t>
  </si>
  <si>
    <t>2/27/b/0/5.0</t>
  </si>
  <si>
    <t>3/22/ro/1/3.1</t>
  </si>
  <si>
    <t>4/52/c*/0/10.0</t>
  </si>
  <si>
    <t>5/5/no/0/1.0</t>
  </si>
  <si>
    <t>6/0/no/0/0</t>
  </si>
  <si>
    <t>Broody</t>
  </si>
  <si>
    <t>8/2/10/3</t>
  </si>
  <si>
    <t>4/0/23/0</t>
  </si>
  <si>
    <t>8/1/23/1</t>
  </si>
  <si>
    <t>6/0/21/1</t>
  </si>
  <si>
    <t>4/0/18/1</t>
  </si>
  <si>
    <t>6/0/37/0</t>
  </si>
  <si>
    <t>Sharpe 93, Driver 47</t>
  </si>
  <si>
    <t>Springer 3-9</t>
  </si>
  <si>
    <t>2/0/b*/1/0</t>
  </si>
  <si>
    <t>3/11/lb/0/1.1</t>
  </si>
  <si>
    <t>4/24/c/0/5.0</t>
  </si>
  <si>
    <t>5/38/c/0/7.1</t>
  </si>
  <si>
    <t>6/5/lb/0/0</t>
  </si>
  <si>
    <t>7/47/b/0/7.0</t>
  </si>
  <si>
    <t>8/16/b+/0/4.0</t>
  </si>
  <si>
    <t>9/15/no/0/2.0</t>
  </si>
  <si>
    <t>10/1/no/0/0</t>
  </si>
  <si>
    <t>1/93/c/0/11.3</t>
  </si>
  <si>
    <t>Viveganandan M</t>
  </si>
  <si>
    <t>8/2/14/0</t>
  </si>
  <si>
    <t>8/2/35/1</t>
  </si>
  <si>
    <t>4/1/23/1</t>
  </si>
  <si>
    <t>6/0/42/1</t>
  </si>
  <si>
    <t>4/1/18/4</t>
  </si>
  <si>
    <t>3/0/9/3</t>
  </si>
  <si>
    <t>Giltec</t>
  </si>
  <si>
    <t>Tapader 3-22</t>
  </si>
  <si>
    <t>Sharpe 73</t>
  </si>
  <si>
    <t>1/35/c/1/3.0</t>
  </si>
  <si>
    <t>2/73/b/0/10.2</t>
  </si>
  <si>
    <t>5/10/c/0/0</t>
  </si>
  <si>
    <t>6/31/no/0/2.2</t>
  </si>
  <si>
    <t>7/13/no+/1.0/1.0</t>
  </si>
  <si>
    <t>8/0/dnb*/3/0</t>
  </si>
  <si>
    <t>3/9/lb/1/0</t>
  </si>
  <si>
    <t>8/3/19/1</t>
  </si>
  <si>
    <t>3/0/19/0</t>
  </si>
  <si>
    <t>8/2/27/1</t>
  </si>
  <si>
    <t>8/0/46/1</t>
  </si>
  <si>
    <t>5/0/47/2</t>
  </si>
  <si>
    <t>2/0/21/0</t>
  </si>
  <si>
    <t>6/0/22/3</t>
  </si>
  <si>
    <t>1/9/c/0/2.0</t>
  </si>
  <si>
    <t>2/28/c/0/4.0</t>
  </si>
  <si>
    <t>3/4/b/0/1.0</t>
  </si>
  <si>
    <t>Locke K</t>
  </si>
  <si>
    <t>5/4/c/0/0</t>
  </si>
  <si>
    <t>6/1/b/1/0</t>
  </si>
  <si>
    <t>Niran N</t>
  </si>
  <si>
    <t>7/13/c/0/0.1</t>
  </si>
  <si>
    <t>8/21/b+/1.0/4.0</t>
  </si>
  <si>
    <t>9/4/lb/0/1.0</t>
  </si>
  <si>
    <t>10/10/c/0/2.0</t>
  </si>
  <si>
    <t>11/0/no/0/0</t>
  </si>
  <si>
    <t>7/2/15/1</t>
  </si>
  <si>
    <t>8/1/35/2</t>
  </si>
  <si>
    <t>8/4/13/0</t>
  </si>
  <si>
    <t>4/0/31/1</t>
  </si>
  <si>
    <t>2.5/0/20/1</t>
  </si>
  <si>
    <t>6/3/6/1</t>
  </si>
  <si>
    <t>8/3/14/0</t>
  </si>
  <si>
    <t>Foxworthy</t>
  </si>
  <si>
    <t>2/0/17/1</t>
  </si>
  <si>
    <t>8/0/33/0</t>
  </si>
  <si>
    <t>5/0/34/0</t>
  </si>
  <si>
    <t>7/0/35/0</t>
  </si>
  <si>
    <t>4/0/24/2</t>
  </si>
  <si>
    <t>Jon</t>
  </si>
  <si>
    <t>Southey J</t>
  </si>
  <si>
    <t>Southey M</t>
  </si>
  <si>
    <t>1/6/c/0/0</t>
  </si>
  <si>
    <t>2/1/c/0/0</t>
  </si>
  <si>
    <t>3/19/lb/0/3.0</t>
  </si>
  <si>
    <t>4/12/c/0/2.0</t>
  </si>
  <si>
    <t>5/16/c*/1/2.0</t>
  </si>
  <si>
    <t>6/3/c/1/0</t>
  </si>
  <si>
    <t>7/1/b/1/0</t>
  </si>
  <si>
    <t>8/24/no/0/3.0</t>
  </si>
  <si>
    <t>Foxworthy P</t>
  </si>
  <si>
    <t>9/11/b/0/2.0</t>
  </si>
  <si>
    <t>10/0/c/0/0</t>
  </si>
  <si>
    <t>11/0/ro/0/0</t>
  </si>
  <si>
    <t>Viveganandan 56, Seymour 50*</t>
  </si>
  <si>
    <t>7/2/20/0</t>
  </si>
  <si>
    <t>7/4/8/1</t>
  </si>
  <si>
    <t>7/1/20/1</t>
  </si>
  <si>
    <t>7/1/34/2</t>
  </si>
  <si>
    <t>1/0/15/0</t>
  </si>
  <si>
    <t>1/50/no/0/5.0</t>
  </si>
  <si>
    <t>2/11/lb+/3.0/2.0</t>
  </si>
  <si>
    <t>3/56/b/0/6.2</t>
  </si>
  <si>
    <t>Jamie</t>
  </si>
  <si>
    <t>4/13/no/0/2.0</t>
  </si>
  <si>
    <t>5/0/dnb/0/0</t>
  </si>
  <si>
    <t>6/0/dnb*/0/0</t>
  </si>
  <si>
    <t>Sanderstead</t>
  </si>
  <si>
    <t>Mander 4-29</t>
  </si>
  <si>
    <t>2/7/ro+/1.0/0</t>
  </si>
  <si>
    <t>3/12/c/0/1.1</t>
  </si>
  <si>
    <t>5/10/b/0/0</t>
  </si>
  <si>
    <t>6/2/c/0/0</t>
  </si>
  <si>
    <t>7/0/b/0/0</t>
  </si>
  <si>
    <t>4/15/c*/1/3.0</t>
  </si>
  <si>
    <t>1/4/c/1/1.0</t>
  </si>
  <si>
    <t>Wilson A</t>
  </si>
  <si>
    <t>8/9/st/0/1.0</t>
  </si>
  <si>
    <t>9/0/b/0/0</t>
  </si>
  <si>
    <t>10/5/c/0/1.0</t>
  </si>
  <si>
    <t>7/0/16/2</t>
  </si>
  <si>
    <t>3/0/18/0</t>
  </si>
  <si>
    <t>3/0/16/1</t>
  </si>
  <si>
    <t>6/2/29/4</t>
  </si>
  <si>
    <t>3.1/1/18/3</t>
  </si>
  <si>
    <t>Mid-Whitgiftian</t>
  </si>
  <si>
    <t>Viveganandan 66</t>
  </si>
  <si>
    <t>Mander C</t>
  </si>
  <si>
    <t>Mander N</t>
  </si>
  <si>
    <t>1/10/c/0/1.1</t>
  </si>
  <si>
    <t>2/25/c*/0/3.1</t>
  </si>
  <si>
    <t>3/66/b/0/9.2</t>
  </si>
  <si>
    <t>4/42/lb/0/1.3</t>
  </si>
  <si>
    <t>5/19/c/0/3.0</t>
  </si>
  <si>
    <t>Parboo R</t>
  </si>
  <si>
    <t>6/6/b/0/1.0</t>
  </si>
  <si>
    <t>7/6/b/0/1.0</t>
  </si>
  <si>
    <t>8/4/b/0/1.0</t>
  </si>
  <si>
    <t>9/9/b/0/0</t>
  </si>
  <si>
    <t>10/8/no/0/1.0</t>
  </si>
  <si>
    <t>11/0/c/0/0</t>
  </si>
  <si>
    <t>7/2/25/0</t>
  </si>
  <si>
    <t>8/5/12/2</t>
  </si>
  <si>
    <t>5/0/22/0</t>
  </si>
  <si>
    <t>3/0/32/0</t>
  </si>
  <si>
    <t>8/1/28/0</t>
  </si>
  <si>
    <t>2/0/18/0</t>
  </si>
  <si>
    <t>7/0/39/2</t>
  </si>
  <si>
    <t>1/39/b+/0/4.0</t>
  </si>
  <si>
    <t>2/0/c/0/0</t>
  </si>
  <si>
    <t>3/34/c/0/6.0</t>
  </si>
  <si>
    <t>4/8/c*/0/2.0</t>
  </si>
  <si>
    <t>5/5/b/0/1.0</t>
  </si>
  <si>
    <t>7/0/lb/0/0</t>
  </si>
  <si>
    <t>8/11/b/0/0</t>
  </si>
  <si>
    <t>10/3/lb/0/0</t>
  </si>
  <si>
    <t>11/0/no/1/0</t>
  </si>
  <si>
    <t>6/8/b/1/1.0</t>
  </si>
  <si>
    <t>Raynes Park FP</t>
  </si>
  <si>
    <t>Middleton 43*</t>
  </si>
  <si>
    <t>8/1/28/2</t>
  </si>
  <si>
    <t>6/1/23/0</t>
  </si>
  <si>
    <t>7/1/2/2</t>
  </si>
  <si>
    <t>5/0/7/2</t>
  </si>
  <si>
    <t>4/1/6/0</t>
  </si>
  <si>
    <t>0.2/0/3/1</t>
  </si>
  <si>
    <t>1/21/b+/1.0/4.0</t>
  </si>
  <si>
    <t>2/21/b/0/3.0</t>
  </si>
  <si>
    <t>3/5/st/1/0</t>
  </si>
  <si>
    <t>4/43/no/1/7.1</t>
  </si>
  <si>
    <t>5/18/no*/0/0</t>
  </si>
  <si>
    <t>8/0/dnb/1/0</t>
  </si>
  <si>
    <t>Beddington</t>
  </si>
  <si>
    <t>Stevenson R 4-1-12-2</t>
  </si>
  <si>
    <t>Brocks D 13-4-50-6</t>
  </si>
  <si>
    <t>Driver S 20-4-68-8</t>
  </si>
  <si>
    <t>Nair S 20-3-62-7</t>
  </si>
  <si>
    <t>Southey J 4-0-24-2</t>
  </si>
  <si>
    <t>Foxworthy 2-0-17-1</t>
  </si>
  <si>
    <t>Shahid A 11.3-1-56-3</t>
  </si>
  <si>
    <t>Smith C 3-0-23-1</t>
  </si>
  <si>
    <t>Ottey A 4-0-25-1</t>
  </si>
  <si>
    <t>Parboo R 13-1-50-2</t>
  </si>
  <si>
    <t>Patel H 14.1-1-78-3</t>
  </si>
  <si>
    <t>Sharpe D 9-0-78-3</t>
  </si>
  <si>
    <t>Middleton J 48.4-10-200-7</t>
  </si>
  <si>
    <t>Edghill R 11-0-59-2</t>
  </si>
  <si>
    <t>Clarkson M 32-2-128-4</t>
  </si>
  <si>
    <t>Bowers M 71-3-341-7</t>
  </si>
  <si>
    <t>Azfar S 1-0-9-0</t>
  </si>
  <si>
    <t>Snell 1-0-7-0</t>
  </si>
  <si>
    <t>Mander C 3-0-32-0</t>
  </si>
  <si>
    <t>Gardezi S 4-0-28-0</t>
  </si>
  <si>
    <t>Winter T 4-0-34-0</t>
  </si>
  <si>
    <t>Wright J 4-0-10-0</t>
  </si>
  <si>
    <t>Lestrelle A 5-0-28-0</t>
  </si>
  <si>
    <t>Wilson A 5-0-36-0</t>
  </si>
  <si>
    <t>Mander N 8-1-28-0</t>
  </si>
  <si>
    <t>Southey M 8-0-33-0</t>
  </si>
  <si>
    <t>Viveganandan R 12-1-47-0</t>
  </si>
  <si>
    <t>4/21/b*/0/4.0</t>
  </si>
  <si>
    <t>14/0/62/3</t>
  </si>
  <si>
    <t>4/0/20/1</t>
  </si>
  <si>
    <t>9/0/42/1</t>
  </si>
  <si>
    <t>4/0/24/0</t>
  </si>
  <si>
    <t>6/0/34/0</t>
  </si>
  <si>
    <t>3/0/12/2</t>
  </si>
  <si>
    <t>Freira J</t>
  </si>
  <si>
    <t>Murray ?</t>
  </si>
  <si>
    <t>Tapadar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</si>
</sst>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/Documents/GitHub/MyTools/MyExcelTools/MyExcel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 Definitions"/>
      <sheetName val="MyExcelTools"/>
    </sheetNames>
    <definedNames>
      <definedName name="rangejoi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13" sqref="N1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2015</v>
      </c>
      <c r="B1" s="29"/>
      <c r="C1" s="39" t="str">
        <f t="array" ref="C1">"Won:"&amp;SUM(IF($E$5:$E$67="W",1,0))</f>
        <v>Won:14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200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191</v>
      </c>
      <c r="AA2" s="45">
        <f>MAX(AA5:AA59)</f>
        <v>258</v>
      </c>
      <c r="AB2" s="45">
        <f>MAX(AB5:AB59)</f>
        <v>256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201</v>
      </c>
      <c r="O3" s="172">
        <f>MAX(O5:O25)</f>
        <v>40</v>
      </c>
      <c r="P3" s="172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192</v>
      </c>
      <c r="AA3" s="45">
        <f t="array" ref="AA3">MIN(IF(AA5:AA59=0,99999,AA5:AA59))</f>
        <v>88</v>
      </c>
      <c r="AB3" s="45">
        <f t="array" ref="AB3">MIN(IF(AB5:AB59&lt;=0,99999,AB5:AB59))</f>
        <v>103</v>
      </c>
      <c r="AF3" s="45">
        <f>SUM(AF5:AF59)</f>
        <v>9</v>
      </c>
      <c r="AG3" s="45">
        <f>SUM(AG5:AG59)</f>
        <v>13</v>
      </c>
    </row>
    <row r="4" spans="1:33" s="144" customFormat="1" ht="31.5" x14ac:dyDescent="0.15">
      <c r="A4" s="138" t="s">
        <v>124</v>
      </c>
      <c r="B4" s="139" t="s">
        <v>0</v>
      </c>
      <c r="C4" s="140" t="s">
        <v>1</v>
      </c>
      <c r="D4" s="138" t="s">
        <v>2</v>
      </c>
      <c r="E4" s="138" t="s">
        <v>3</v>
      </c>
      <c r="F4" s="138" t="s">
        <v>148</v>
      </c>
      <c r="G4" s="140" t="s">
        <v>9</v>
      </c>
      <c r="H4" s="138" t="s">
        <v>34</v>
      </c>
      <c r="I4" s="138" t="s">
        <v>102</v>
      </c>
      <c r="J4" s="141"/>
      <c r="K4" s="140" t="s">
        <v>9</v>
      </c>
      <c r="L4" s="138" t="s">
        <v>34</v>
      </c>
      <c r="M4" s="138" t="s">
        <v>102</v>
      </c>
      <c r="N4" s="140"/>
      <c r="O4" s="140" t="s">
        <v>172</v>
      </c>
      <c r="P4" s="140" t="s">
        <v>173</v>
      </c>
      <c r="Q4" s="140" t="s">
        <v>104</v>
      </c>
      <c r="R4" s="142" t="s">
        <v>105</v>
      </c>
      <c r="S4" s="142" t="s">
        <v>106</v>
      </c>
      <c r="T4" s="142" t="s">
        <v>107</v>
      </c>
      <c r="U4" s="142" t="s">
        <v>108</v>
      </c>
      <c r="V4" s="142" t="s">
        <v>109</v>
      </c>
      <c r="W4" s="142" t="s">
        <v>110</v>
      </c>
      <c r="X4" s="142" t="s">
        <v>111</v>
      </c>
      <c r="Y4" s="142" t="s">
        <v>114</v>
      </c>
      <c r="Z4" s="142" t="s">
        <v>115</v>
      </c>
      <c r="AA4" s="143" t="s">
        <v>185</v>
      </c>
      <c r="AB4" s="143" t="s">
        <v>186</v>
      </c>
      <c r="AC4" s="143" t="s">
        <v>187</v>
      </c>
      <c r="AD4" s="143" t="s">
        <v>188</v>
      </c>
      <c r="AE4" s="144" t="s">
        <v>209</v>
      </c>
      <c r="AF4" s="144" t="s">
        <v>220</v>
      </c>
      <c r="AG4" s="144" t="s">
        <v>221</v>
      </c>
    </row>
    <row r="5" spans="1:33" s="22" customFormat="1" x14ac:dyDescent="0.15">
      <c r="A5" s="108" t="str">
        <f t="shared" ref="A5:A59" si="0">TEXT(WEEKDAY(B5),"ddd")</f>
        <v>Sun</v>
      </c>
      <c r="B5" s="109">
        <v>42120</v>
      </c>
      <c r="C5" s="110" t="s">
        <v>269</v>
      </c>
      <c r="D5" s="111" t="s">
        <v>233</v>
      </c>
      <c r="E5" s="111" t="s">
        <v>213</v>
      </c>
      <c r="F5" s="111" t="s">
        <v>211</v>
      </c>
      <c r="G5" s="112">
        <v>192</v>
      </c>
      <c r="H5" s="111">
        <v>6</v>
      </c>
      <c r="I5" s="111"/>
      <c r="J5" s="113" t="s">
        <v>270</v>
      </c>
      <c r="K5" s="112">
        <v>129</v>
      </c>
      <c r="L5" s="111">
        <v>10</v>
      </c>
      <c r="M5" s="111"/>
      <c r="N5" s="110" t="s">
        <v>271</v>
      </c>
      <c r="O5" s="114">
        <v>40</v>
      </c>
      <c r="P5" s="114">
        <v>37.200000000000003</v>
      </c>
      <c r="Q5" s="115">
        <v>9</v>
      </c>
      <c r="R5" s="115">
        <v>2</v>
      </c>
      <c r="S5" s="115">
        <v>2</v>
      </c>
      <c r="T5" s="115">
        <v>0</v>
      </c>
      <c r="U5" s="115">
        <v>8</v>
      </c>
      <c r="V5" s="115">
        <v>0</v>
      </c>
      <c r="W5" s="115">
        <v>4</v>
      </c>
      <c r="X5" s="115">
        <v>2</v>
      </c>
      <c r="Y5" s="115">
        <f t="shared" ref="Y5:Y27" si="1">SUM(Q5:T5)</f>
        <v>13</v>
      </c>
      <c r="Z5" s="115">
        <f t="shared" ref="Z5:Z27" si="2">SUM(U5:X5)</f>
        <v>14</v>
      </c>
      <c r="AA5" s="115">
        <f t="shared" ref="AA5:AA20" si="3">IF(F5="TOCC",G5,K5)</f>
        <v>192</v>
      </c>
      <c r="AB5" s="115">
        <f t="shared" ref="AB5:AB20" si="4">IF(F5&lt;&gt;"TOCC",G5,K5)</f>
        <v>129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5"/>
    </row>
    <row r="6" spans="1:33" x14ac:dyDescent="0.15">
      <c r="A6" s="108" t="str">
        <f t="shared" si="0"/>
        <v>Sun</v>
      </c>
      <c r="B6" s="145">
        <v>42127</v>
      </c>
      <c r="C6" s="146" t="s">
        <v>237</v>
      </c>
      <c r="D6" s="147" t="s">
        <v>208</v>
      </c>
      <c r="E6" s="147" t="s">
        <v>213</v>
      </c>
      <c r="F6" s="147" t="s">
        <v>1</v>
      </c>
      <c r="G6" s="148">
        <v>188</v>
      </c>
      <c r="H6" s="147">
        <v>5</v>
      </c>
      <c r="I6" s="147"/>
      <c r="J6" s="149" t="s">
        <v>291</v>
      </c>
      <c r="K6" s="148">
        <v>189</v>
      </c>
      <c r="L6" s="147">
        <v>3</v>
      </c>
      <c r="M6" s="147"/>
      <c r="N6" s="146" t="s">
        <v>292</v>
      </c>
      <c r="O6" s="150">
        <v>27.3</v>
      </c>
      <c r="P6" s="150">
        <v>35</v>
      </c>
      <c r="Q6" s="151">
        <v>4</v>
      </c>
      <c r="R6" s="151">
        <v>2</v>
      </c>
      <c r="S6" s="151">
        <v>2</v>
      </c>
      <c r="T6" s="151">
        <v>2</v>
      </c>
      <c r="U6" s="151">
        <v>2</v>
      </c>
      <c r="V6" s="151">
        <v>0</v>
      </c>
      <c r="W6" s="151">
        <v>7</v>
      </c>
      <c r="X6" s="151">
        <v>7</v>
      </c>
      <c r="Y6" s="115">
        <f t="shared" si="1"/>
        <v>10</v>
      </c>
      <c r="Z6" s="115">
        <f t="shared" si="2"/>
        <v>16</v>
      </c>
      <c r="AA6" s="151">
        <f t="shared" si="3"/>
        <v>189</v>
      </c>
      <c r="AB6" s="151">
        <f t="shared" si="4"/>
        <v>188</v>
      </c>
      <c r="AC6" s="151">
        <f t="shared" si="5"/>
        <v>3</v>
      </c>
      <c r="AD6" s="151">
        <f t="shared" si="6"/>
        <v>5</v>
      </c>
      <c r="AE6" s="175"/>
    </row>
    <row r="7" spans="1:33" x14ac:dyDescent="0.15">
      <c r="A7" s="108" t="str">
        <f t="shared" si="0"/>
        <v>Sun</v>
      </c>
      <c r="B7" s="145">
        <v>42134</v>
      </c>
      <c r="C7" s="146" t="s">
        <v>259</v>
      </c>
      <c r="D7" s="147" t="s">
        <v>233</v>
      </c>
      <c r="E7" s="147" t="s">
        <v>212</v>
      </c>
      <c r="F7" s="147" t="s">
        <v>1</v>
      </c>
      <c r="G7" s="148">
        <v>121</v>
      </c>
      <c r="H7" s="147">
        <v>10</v>
      </c>
      <c r="I7" s="147"/>
      <c r="J7" s="149" t="s">
        <v>306</v>
      </c>
      <c r="K7" s="148">
        <v>102</v>
      </c>
      <c r="L7" s="147">
        <v>10</v>
      </c>
      <c r="M7" s="147"/>
      <c r="N7" s="146" t="s">
        <v>307</v>
      </c>
      <c r="O7" s="150">
        <v>25.2</v>
      </c>
      <c r="P7" s="150">
        <v>39</v>
      </c>
      <c r="Q7" s="151">
        <v>9</v>
      </c>
      <c r="R7" s="151">
        <v>0</v>
      </c>
      <c r="S7" s="151">
        <v>7</v>
      </c>
      <c r="T7" s="151">
        <v>5</v>
      </c>
      <c r="U7" s="151">
        <v>6</v>
      </c>
      <c r="V7" s="151">
        <v>1</v>
      </c>
      <c r="W7" s="151">
        <v>2</v>
      </c>
      <c r="X7" s="151">
        <v>0</v>
      </c>
      <c r="Y7" s="115">
        <f t="shared" si="1"/>
        <v>21</v>
      </c>
      <c r="Z7" s="115">
        <f t="shared" si="2"/>
        <v>9</v>
      </c>
      <c r="AA7" s="151">
        <f t="shared" si="3"/>
        <v>102</v>
      </c>
      <c r="AB7" s="151">
        <f t="shared" si="4"/>
        <v>121</v>
      </c>
      <c r="AC7" s="151">
        <f t="shared" si="5"/>
        <v>10</v>
      </c>
      <c r="AD7" s="151">
        <f t="shared" si="6"/>
        <v>10</v>
      </c>
      <c r="AE7" s="175"/>
      <c r="AF7" s="26">
        <v>1</v>
      </c>
    </row>
    <row r="8" spans="1:33" x14ac:dyDescent="0.15">
      <c r="A8" s="108" t="str">
        <f t="shared" si="0"/>
        <v>Sun</v>
      </c>
      <c r="B8" s="145">
        <v>42141</v>
      </c>
      <c r="C8" s="146" t="s">
        <v>248</v>
      </c>
      <c r="D8" s="147" t="s">
        <v>208</v>
      </c>
      <c r="E8" s="147" t="s">
        <v>213</v>
      </c>
      <c r="F8" s="147" t="s">
        <v>211</v>
      </c>
      <c r="G8" s="148">
        <v>223</v>
      </c>
      <c r="H8" s="147">
        <v>7</v>
      </c>
      <c r="I8" s="147"/>
      <c r="J8" s="152" t="s">
        <v>330</v>
      </c>
      <c r="K8" s="148">
        <v>127</v>
      </c>
      <c r="L8" s="147">
        <v>10</v>
      </c>
      <c r="M8" s="147"/>
      <c r="N8" s="146" t="s">
        <v>331</v>
      </c>
      <c r="O8" s="150">
        <v>40</v>
      </c>
      <c r="P8" s="150">
        <v>34.1</v>
      </c>
      <c r="Q8" s="151">
        <v>7</v>
      </c>
      <c r="R8" s="151">
        <v>5</v>
      </c>
      <c r="S8" s="151">
        <v>10</v>
      </c>
      <c r="T8" s="151">
        <v>0</v>
      </c>
      <c r="U8" s="151">
        <v>17</v>
      </c>
      <c r="V8" s="151">
        <v>12</v>
      </c>
      <c r="W8" s="151">
        <v>6</v>
      </c>
      <c r="X8" s="151">
        <v>0</v>
      </c>
      <c r="Y8" s="115">
        <f t="shared" si="1"/>
        <v>22</v>
      </c>
      <c r="Z8" s="115">
        <f t="shared" si="2"/>
        <v>35</v>
      </c>
      <c r="AA8" s="151">
        <f t="shared" si="3"/>
        <v>223</v>
      </c>
      <c r="AB8" s="151">
        <f t="shared" si="4"/>
        <v>127</v>
      </c>
      <c r="AC8" s="151">
        <f t="shared" si="5"/>
        <v>7</v>
      </c>
      <c r="AD8" s="151">
        <f t="shared" si="6"/>
        <v>10</v>
      </c>
      <c r="AE8" s="175"/>
      <c r="AF8" s="26">
        <v>1</v>
      </c>
    </row>
    <row r="9" spans="1:33" x14ac:dyDescent="0.15">
      <c r="A9" s="108" t="str">
        <f t="shared" si="0"/>
        <v>Sat</v>
      </c>
      <c r="B9" s="145">
        <v>42147</v>
      </c>
      <c r="C9" s="146" t="s">
        <v>351</v>
      </c>
      <c r="D9" s="147" t="s">
        <v>233</v>
      </c>
      <c r="E9" s="147" t="s">
        <v>213</v>
      </c>
      <c r="F9" s="147" t="s">
        <v>1</v>
      </c>
      <c r="G9" s="148">
        <v>171</v>
      </c>
      <c r="H9" s="147">
        <v>7</v>
      </c>
      <c r="I9" s="147"/>
      <c r="J9" s="149" t="s">
        <v>352</v>
      </c>
      <c r="K9" s="148">
        <v>173</v>
      </c>
      <c r="L9" s="147">
        <v>9</v>
      </c>
      <c r="M9" s="147"/>
      <c r="N9" s="146" t="s">
        <v>353</v>
      </c>
      <c r="O9" s="150">
        <v>35</v>
      </c>
      <c r="P9" s="150">
        <v>35</v>
      </c>
      <c r="Q9" s="151">
        <v>6</v>
      </c>
      <c r="R9" s="151">
        <v>0</v>
      </c>
      <c r="S9" s="151">
        <v>3</v>
      </c>
      <c r="T9" s="151">
        <v>0</v>
      </c>
      <c r="U9" s="151">
        <v>7</v>
      </c>
      <c r="V9" s="151">
        <v>1</v>
      </c>
      <c r="W9" s="151">
        <v>5</v>
      </c>
      <c r="X9" s="151">
        <v>3</v>
      </c>
      <c r="Y9" s="115">
        <f t="shared" si="1"/>
        <v>9</v>
      </c>
      <c r="Z9" s="115">
        <f t="shared" si="2"/>
        <v>16</v>
      </c>
      <c r="AA9" s="151">
        <f t="shared" si="3"/>
        <v>173</v>
      </c>
      <c r="AB9" s="151">
        <f t="shared" si="4"/>
        <v>171</v>
      </c>
      <c r="AC9" s="151">
        <f t="shared" si="5"/>
        <v>9</v>
      </c>
      <c r="AD9" s="151">
        <f t="shared" si="6"/>
        <v>7</v>
      </c>
      <c r="AE9" s="175"/>
    </row>
    <row r="10" spans="1:33" x14ac:dyDescent="0.15">
      <c r="A10" s="108" t="str">
        <f t="shared" si="0"/>
        <v>Sun</v>
      </c>
      <c r="B10" s="145">
        <v>42148</v>
      </c>
      <c r="C10" s="146" t="s">
        <v>237</v>
      </c>
      <c r="D10" s="147" t="s">
        <v>233</v>
      </c>
      <c r="E10" s="147" t="s">
        <v>212</v>
      </c>
      <c r="F10" s="147" t="s">
        <v>211</v>
      </c>
      <c r="G10" s="148">
        <v>100</v>
      </c>
      <c r="H10" s="147">
        <v>9</v>
      </c>
      <c r="I10" s="147"/>
      <c r="J10" s="149"/>
      <c r="K10" s="148">
        <v>103</v>
      </c>
      <c r="L10" s="147">
        <v>7</v>
      </c>
      <c r="M10" s="147"/>
      <c r="N10" s="146"/>
      <c r="O10" s="150">
        <v>25</v>
      </c>
      <c r="P10" s="150">
        <v>30.1</v>
      </c>
      <c r="Q10" s="151">
        <v>6</v>
      </c>
      <c r="R10" s="151">
        <v>1</v>
      </c>
      <c r="S10" s="151">
        <v>1</v>
      </c>
      <c r="T10" s="151">
        <v>3</v>
      </c>
      <c r="U10" s="151">
        <v>10</v>
      </c>
      <c r="V10" s="151">
        <v>3</v>
      </c>
      <c r="W10" s="151">
        <v>2</v>
      </c>
      <c r="X10" s="151">
        <v>1</v>
      </c>
      <c r="Y10" s="115">
        <f t="shared" si="1"/>
        <v>11</v>
      </c>
      <c r="Z10" s="115">
        <f t="shared" si="2"/>
        <v>16</v>
      </c>
      <c r="AA10" s="151">
        <f t="shared" si="3"/>
        <v>100</v>
      </c>
      <c r="AB10" s="151">
        <f t="shared" si="4"/>
        <v>103</v>
      </c>
      <c r="AC10" s="151">
        <f t="shared" si="5"/>
        <v>9</v>
      </c>
      <c r="AD10" s="151">
        <f t="shared" si="6"/>
        <v>7</v>
      </c>
      <c r="AE10" s="175"/>
      <c r="AG10" s="26">
        <v>1</v>
      </c>
    </row>
    <row r="11" spans="1:33" x14ac:dyDescent="0.15">
      <c r="A11" s="108" t="str">
        <f t="shared" si="0"/>
        <v>Mon</v>
      </c>
      <c r="B11" s="145">
        <v>42149</v>
      </c>
      <c r="C11" s="146" t="s">
        <v>235</v>
      </c>
      <c r="D11" s="147" t="s">
        <v>233</v>
      </c>
      <c r="E11" s="147" t="s">
        <v>213</v>
      </c>
      <c r="F11" s="147" t="s">
        <v>1</v>
      </c>
      <c r="G11" s="148">
        <v>167</v>
      </c>
      <c r="H11" s="147">
        <v>7</v>
      </c>
      <c r="I11" s="147"/>
      <c r="J11" s="149" t="s">
        <v>385</v>
      </c>
      <c r="K11" s="148">
        <v>168</v>
      </c>
      <c r="L11" s="147">
        <v>3</v>
      </c>
      <c r="M11" s="147"/>
      <c r="N11" s="146" t="s">
        <v>386</v>
      </c>
      <c r="O11" s="150">
        <v>30.3</v>
      </c>
      <c r="P11" s="150">
        <v>35</v>
      </c>
      <c r="Q11" s="151">
        <v>7</v>
      </c>
      <c r="R11" s="151">
        <v>0</v>
      </c>
      <c r="S11" s="151">
        <v>8</v>
      </c>
      <c r="T11" s="151">
        <v>2</v>
      </c>
      <c r="U11" s="151">
        <v>14</v>
      </c>
      <c r="V11" s="151">
        <v>2</v>
      </c>
      <c r="W11" s="151">
        <v>9</v>
      </c>
      <c r="X11" s="151">
        <v>0</v>
      </c>
      <c r="Y11" s="115">
        <f t="shared" si="1"/>
        <v>17</v>
      </c>
      <c r="Z11" s="115">
        <f t="shared" si="2"/>
        <v>25</v>
      </c>
      <c r="AA11" s="151">
        <f t="shared" si="3"/>
        <v>168</v>
      </c>
      <c r="AB11" s="151">
        <f t="shared" si="4"/>
        <v>167</v>
      </c>
      <c r="AC11" s="151">
        <f t="shared" si="5"/>
        <v>3</v>
      </c>
      <c r="AD11" s="151">
        <f t="shared" si="6"/>
        <v>7</v>
      </c>
      <c r="AE11" s="175"/>
      <c r="AF11" s="26">
        <v>1</v>
      </c>
    </row>
    <row r="12" spans="1:33" x14ac:dyDescent="0.15">
      <c r="A12" s="108" t="str">
        <f t="shared" si="0"/>
        <v>Sun</v>
      </c>
      <c r="B12" s="145">
        <v>42155</v>
      </c>
      <c r="C12" s="146" t="s">
        <v>399</v>
      </c>
      <c r="D12" s="147" t="s">
        <v>233</v>
      </c>
      <c r="E12" s="147" t="s">
        <v>212</v>
      </c>
      <c r="F12" s="147" t="s">
        <v>211</v>
      </c>
      <c r="G12" s="148">
        <v>185</v>
      </c>
      <c r="H12" s="147">
        <v>4</v>
      </c>
      <c r="I12" s="147"/>
      <c r="J12" s="149" t="s">
        <v>400</v>
      </c>
      <c r="K12" s="148">
        <v>188</v>
      </c>
      <c r="L12" s="147">
        <v>2</v>
      </c>
      <c r="M12" s="147"/>
      <c r="N12" s="149" t="s">
        <v>401</v>
      </c>
      <c r="O12" s="150">
        <v>30</v>
      </c>
      <c r="P12" s="150">
        <v>26.2</v>
      </c>
      <c r="Q12" s="151">
        <v>15</v>
      </c>
      <c r="R12" s="151">
        <v>2</v>
      </c>
      <c r="S12" s="151">
        <v>5</v>
      </c>
      <c r="T12" s="151">
        <v>4</v>
      </c>
      <c r="U12" s="151">
        <v>7</v>
      </c>
      <c r="V12" s="151">
        <v>1</v>
      </c>
      <c r="W12" s="151">
        <v>2</v>
      </c>
      <c r="X12" s="151">
        <v>0</v>
      </c>
      <c r="Y12" s="115">
        <f t="shared" si="1"/>
        <v>26</v>
      </c>
      <c r="Z12" s="115">
        <f t="shared" si="2"/>
        <v>10</v>
      </c>
      <c r="AA12" s="151">
        <f t="shared" si="3"/>
        <v>185</v>
      </c>
      <c r="AB12" s="151">
        <f t="shared" si="4"/>
        <v>188</v>
      </c>
      <c r="AC12" s="151">
        <f t="shared" si="5"/>
        <v>4</v>
      </c>
      <c r="AD12" s="151">
        <f t="shared" si="6"/>
        <v>2</v>
      </c>
      <c r="AE12" s="175"/>
    </row>
    <row r="13" spans="1:33" x14ac:dyDescent="0.15">
      <c r="A13" s="108" t="str">
        <f t="shared" si="0"/>
        <v>Sun</v>
      </c>
      <c r="B13" s="145">
        <v>42162</v>
      </c>
      <c r="C13" s="146" t="s">
        <v>416</v>
      </c>
      <c r="D13" s="147" t="s">
        <v>208</v>
      </c>
      <c r="E13" s="147" t="s">
        <v>213</v>
      </c>
      <c r="F13" s="147" t="s">
        <v>211</v>
      </c>
      <c r="G13" s="148">
        <v>240</v>
      </c>
      <c r="H13" s="147">
        <v>6</v>
      </c>
      <c r="I13" s="147"/>
      <c r="J13" s="149" t="s">
        <v>417</v>
      </c>
      <c r="K13" s="148">
        <v>170</v>
      </c>
      <c r="L13" s="147">
        <v>7</v>
      </c>
      <c r="M13" s="147"/>
      <c r="N13" s="146"/>
      <c r="O13" s="150">
        <v>40</v>
      </c>
      <c r="P13" s="150">
        <v>40</v>
      </c>
      <c r="Q13" s="151">
        <v>5</v>
      </c>
      <c r="R13" s="151">
        <v>0</v>
      </c>
      <c r="S13" s="151">
        <v>4</v>
      </c>
      <c r="T13" s="151">
        <v>0</v>
      </c>
      <c r="U13" s="151">
        <v>8</v>
      </c>
      <c r="V13" s="151">
        <v>4</v>
      </c>
      <c r="W13" s="151">
        <v>5</v>
      </c>
      <c r="X13" s="151">
        <v>3</v>
      </c>
      <c r="Y13" s="115">
        <f t="shared" si="1"/>
        <v>9</v>
      </c>
      <c r="Z13" s="115">
        <f t="shared" si="2"/>
        <v>20</v>
      </c>
      <c r="AA13" s="151">
        <f t="shared" si="3"/>
        <v>240</v>
      </c>
      <c r="AB13" s="151">
        <f t="shared" si="4"/>
        <v>170</v>
      </c>
      <c r="AC13" s="151">
        <f t="shared" si="5"/>
        <v>6</v>
      </c>
      <c r="AD13" s="151">
        <f t="shared" si="6"/>
        <v>7</v>
      </c>
      <c r="AE13" s="175"/>
      <c r="AG13" s="26">
        <v>2</v>
      </c>
    </row>
    <row r="14" spans="1:33" x14ac:dyDescent="0.15">
      <c r="A14" s="108" t="str">
        <f t="shared" si="0"/>
        <v>Sun</v>
      </c>
      <c r="B14" s="145">
        <v>42169</v>
      </c>
      <c r="C14" s="146" t="s">
        <v>432</v>
      </c>
      <c r="D14" s="147" t="s">
        <v>233</v>
      </c>
      <c r="E14" s="147" t="s">
        <v>212</v>
      </c>
      <c r="F14" s="147" t="s">
        <v>211</v>
      </c>
      <c r="G14" s="148">
        <v>250</v>
      </c>
      <c r="H14" s="147">
        <v>6</v>
      </c>
      <c r="I14" s="147"/>
      <c r="J14" s="149" t="s">
        <v>433</v>
      </c>
      <c r="K14" s="148">
        <v>256</v>
      </c>
      <c r="L14" s="147">
        <v>5</v>
      </c>
      <c r="M14" s="147"/>
      <c r="N14" s="146"/>
      <c r="O14" s="150">
        <v>40</v>
      </c>
      <c r="P14" s="150">
        <v>34.5</v>
      </c>
      <c r="Q14" s="151">
        <v>7</v>
      </c>
      <c r="R14" s="151">
        <v>2</v>
      </c>
      <c r="S14" s="151">
        <v>9</v>
      </c>
      <c r="T14" s="151">
        <v>1</v>
      </c>
      <c r="U14" s="151">
        <v>36</v>
      </c>
      <c r="V14" s="151">
        <v>3</v>
      </c>
      <c r="W14" s="151">
        <v>6</v>
      </c>
      <c r="X14" s="151">
        <v>2</v>
      </c>
      <c r="Y14" s="115">
        <f t="shared" si="1"/>
        <v>19</v>
      </c>
      <c r="Z14" s="115">
        <f t="shared" si="2"/>
        <v>47</v>
      </c>
      <c r="AA14" s="151">
        <f t="shared" si="3"/>
        <v>250</v>
      </c>
      <c r="AB14" s="151">
        <f t="shared" si="4"/>
        <v>256</v>
      </c>
      <c r="AC14" s="151">
        <f t="shared" si="5"/>
        <v>6</v>
      </c>
      <c r="AD14" s="151">
        <f t="shared" si="6"/>
        <v>5</v>
      </c>
      <c r="AE14" s="175"/>
      <c r="AF14" s="26">
        <v>2</v>
      </c>
    </row>
    <row r="15" spans="1:33" x14ac:dyDescent="0.15">
      <c r="A15" s="108" t="str">
        <f t="shared" si="0"/>
        <v>Sun</v>
      </c>
      <c r="B15" s="145">
        <v>42176</v>
      </c>
      <c r="C15" s="146" t="s">
        <v>448</v>
      </c>
      <c r="D15" s="147" t="s">
        <v>208</v>
      </c>
      <c r="E15" s="147" t="s">
        <v>212</v>
      </c>
      <c r="F15" s="147" t="s">
        <v>1</v>
      </c>
      <c r="G15" s="148">
        <v>220</v>
      </c>
      <c r="H15" s="147">
        <v>8</v>
      </c>
      <c r="I15" s="147"/>
      <c r="J15" s="149"/>
      <c r="K15" s="148">
        <v>127</v>
      </c>
      <c r="L15" s="147">
        <v>9</v>
      </c>
      <c r="M15" s="147"/>
      <c r="N15" s="146"/>
      <c r="O15" s="150">
        <v>26</v>
      </c>
      <c r="P15" s="150">
        <v>40</v>
      </c>
      <c r="Q15" s="151">
        <v>7</v>
      </c>
      <c r="R15" s="151">
        <v>0</v>
      </c>
      <c r="S15" s="151">
        <v>10</v>
      </c>
      <c r="T15" s="151">
        <v>2</v>
      </c>
      <c r="U15" s="151">
        <v>8</v>
      </c>
      <c r="V15" s="151">
        <v>1</v>
      </c>
      <c r="W15" s="151">
        <v>7</v>
      </c>
      <c r="X15" s="151">
        <v>0</v>
      </c>
      <c r="Y15" s="115">
        <f t="shared" si="1"/>
        <v>19</v>
      </c>
      <c r="Z15" s="115">
        <f t="shared" si="2"/>
        <v>16</v>
      </c>
      <c r="AA15" s="151">
        <f>IF(F15="TOCC",G15,K15)</f>
        <v>127</v>
      </c>
      <c r="AB15" s="151">
        <f>IF(F15&lt;&gt;"TOCC",G15,K15)</f>
        <v>220</v>
      </c>
      <c r="AC15" s="151">
        <f t="shared" si="5"/>
        <v>9</v>
      </c>
      <c r="AD15" s="151">
        <f t="shared" si="6"/>
        <v>8</v>
      </c>
      <c r="AE15" s="175"/>
      <c r="AG15" s="26">
        <v>1</v>
      </c>
    </row>
    <row r="16" spans="1:33" s="22" customFormat="1" x14ac:dyDescent="0.15">
      <c r="A16" s="108" t="str">
        <f t="shared" si="0"/>
        <v>Sun</v>
      </c>
      <c r="B16" s="109">
        <v>42183</v>
      </c>
      <c r="C16" s="110" t="s">
        <v>466</v>
      </c>
      <c r="D16" s="111" t="s">
        <v>233</v>
      </c>
      <c r="E16" s="111" t="s">
        <v>213</v>
      </c>
      <c r="F16" s="111" t="s">
        <v>1</v>
      </c>
      <c r="G16" s="112">
        <v>192</v>
      </c>
      <c r="H16" s="111">
        <v>6</v>
      </c>
      <c r="I16" s="111"/>
      <c r="J16" s="113" t="s">
        <v>467</v>
      </c>
      <c r="K16" s="112">
        <v>194</v>
      </c>
      <c r="L16" s="111">
        <v>6</v>
      </c>
      <c r="M16" s="111"/>
      <c r="N16" s="110" t="s">
        <v>353</v>
      </c>
      <c r="O16" s="114">
        <v>31.1</v>
      </c>
      <c r="P16" s="114">
        <v>40</v>
      </c>
      <c r="Q16" s="115">
        <v>14</v>
      </c>
      <c r="R16" s="115">
        <v>0</v>
      </c>
      <c r="S16" s="115">
        <v>0</v>
      </c>
      <c r="T16" s="115">
        <v>0</v>
      </c>
      <c r="U16" s="115">
        <v>8</v>
      </c>
      <c r="V16" s="115">
        <v>5</v>
      </c>
      <c r="W16" s="115">
        <v>2</v>
      </c>
      <c r="X16" s="115">
        <v>2</v>
      </c>
      <c r="Y16" s="115">
        <f t="shared" si="1"/>
        <v>14</v>
      </c>
      <c r="Z16" s="115">
        <f t="shared" si="2"/>
        <v>17</v>
      </c>
      <c r="AA16" s="115">
        <f t="shared" si="3"/>
        <v>194</v>
      </c>
      <c r="AB16" s="115">
        <f t="shared" si="4"/>
        <v>192</v>
      </c>
      <c r="AC16" s="115">
        <f t="shared" si="5"/>
        <v>6</v>
      </c>
      <c r="AD16" s="115">
        <f t="shared" si="6"/>
        <v>6</v>
      </c>
      <c r="AE16" s="175"/>
    </row>
    <row r="17" spans="1:33" x14ac:dyDescent="0.15">
      <c r="A17" s="108" t="str">
        <f t="shared" si="0"/>
        <v>Sun</v>
      </c>
      <c r="B17" s="109">
        <v>42190</v>
      </c>
      <c r="C17" s="146" t="s">
        <v>484</v>
      </c>
      <c r="D17" s="111" t="s">
        <v>208</v>
      </c>
      <c r="E17" s="111" t="s">
        <v>213</v>
      </c>
      <c r="F17" s="111" t="s">
        <v>211</v>
      </c>
      <c r="G17" s="112">
        <v>151</v>
      </c>
      <c r="H17" s="111">
        <v>10</v>
      </c>
      <c r="I17" s="111"/>
      <c r="J17" s="113"/>
      <c r="K17" s="112">
        <v>123</v>
      </c>
      <c r="L17" s="111">
        <v>10</v>
      </c>
      <c r="M17" s="111"/>
      <c r="N17" s="110"/>
      <c r="O17" s="114">
        <v>36.4</v>
      </c>
      <c r="P17" s="114">
        <v>37</v>
      </c>
      <c r="Q17" s="115">
        <v>19</v>
      </c>
      <c r="R17" s="115">
        <v>0</v>
      </c>
      <c r="S17" s="115">
        <v>2</v>
      </c>
      <c r="T17" s="115">
        <v>1</v>
      </c>
      <c r="U17" s="115">
        <v>12</v>
      </c>
      <c r="V17" s="115">
        <v>0</v>
      </c>
      <c r="W17" s="115">
        <v>7</v>
      </c>
      <c r="X17" s="115">
        <v>6</v>
      </c>
      <c r="Y17" s="115">
        <f t="shared" si="1"/>
        <v>22</v>
      </c>
      <c r="Z17" s="115">
        <f t="shared" si="2"/>
        <v>25</v>
      </c>
      <c r="AA17" s="115">
        <f t="shared" si="3"/>
        <v>151</v>
      </c>
      <c r="AB17" s="115">
        <f t="shared" si="4"/>
        <v>123</v>
      </c>
      <c r="AC17" s="115">
        <f t="shared" si="5"/>
        <v>10</v>
      </c>
      <c r="AD17" s="115">
        <f t="shared" si="6"/>
        <v>10</v>
      </c>
      <c r="AE17" s="175"/>
      <c r="AF17" s="26">
        <v>1</v>
      </c>
    </row>
    <row r="18" spans="1:33" x14ac:dyDescent="0.15">
      <c r="A18" s="108" t="str">
        <f t="shared" si="0"/>
        <v>Sun</v>
      </c>
      <c r="B18" s="109">
        <v>42197</v>
      </c>
      <c r="C18" s="146" t="s">
        <v>502</v>
      </c>
      <c r="D18" s="111" t="s">
        <v>208</v>
      </c>
      <c r="E18" s="111" t="s">
        <v>213</v>
      </c>
      <c r="F18" s="111" t="s">
        <v>1</v>
      </c>
      <c r="G18" s="112">
        <v>175</v>
      </c>
      <c r="H18" s="111">
        <v>6</v>
      </c>
      <c r="I18" s="111"/>
      <c r="J18" s="113" t="s">
        <v>503</v>
      </c>
      <c r="K18" s="112">
        <v>177</v>
      </c>
      <c r="L18" s="111">
        <v>4</v>
      </c>
      <c r="M18" s="111"/>
      <c r="N18" s="110" t="s">
        <v>504</v>
      </c>
      <c r="O18" s="114">
        <v>29.2</v>
      </c>
      <c r="P18" s="114">
        <v>40</v>
      </c>
      <c r="Q18" s="115">
        <v>12</v>
      </c>
      <c r="R18" s="115">
        <v>2</v>
      </c>
      <c r="S18" s="115">
        <v>8</v>
      </c>
      <c r="T18" s="115">
        <v>1</v>
      </c>
      <c r="U18" s="115">
        <v>16</v>
      </c>
      <c r="V18" s="115">
        <v>1</v>
      </c>
      <c r="W18" s="115">
        <v>10</v>
      </c>
      <c r="X18" s="115">
        <v>0</v>
      </c>
      <c r="Y18" s="115">
        <f t="shared" si="1"/>
        <v>23</v>
      </c>
      <c r="Z18" s="115">
        <f t="shared" si="2"/>
        <v>27</v>
      </c>
      <c r="AA18" s="115">
        <f t="shared" si="3"/>
        <v>177</v>
      </c>
      <c r="AB18" s="115">
        <f t="shared" si="4"/>
        <v>175</v>
      </c>
      <c r="AC18" s="115">
        <f t="shared" si="5"/>
        <v>4</v>
      </c>
      <c r="AD18" s="115">
        <f t="shared" si="6"/>
        <v>6</v>
      </c>
      <c r="AE18" s="175"/>
    </row>
    <row r="19" spans="1:33" x14ac:dyDescent="0.15">
      <c r="A19" s="108" t="str">
        <f t="shared" si="0"/>
        <v>Sun</v>
      </c>
      <c r="B19" s="109">
        <v>42204</v>
      </c>
      <c r="C19" s="110" t="s">
        <v>259</v>
      </c>
      <c r="D19" s="111" t="s">
        <v>208</v>
      </c>
      <c r="E19" s="111" t="s">
        <v>213</v>
      </c>
      <c r="F19" s="111" t="s">
        <v>211</v>
      </c>
      <c r="G19" s="112">
        <v>258</v>
      </c>
      <c r="H19" s="111">
        <v>8</v>
      </c>
      <c r="I19" s="111"/>
      <c r="J19" s="113" t="s">
        <v>518</v>
      </c>
      <c r="K19" s="112">
        <v>192</v>
      </c>
      <c r="L19" s="111">
        <v>10</v>
      </c>
      <c r="M19" s="111"/>
      <c r="N19" s="110" t="s">
        <v>519</v>
      </c>
      <c r="O19" s="114">
        <v>40</v>
      </c>
      <c r="P19" s="114">
        <v>37</v>
      </c>
      <c r="Q19" s="115">
        <v>13</v>
      </c>
      <c r="R19" s="115">
        <v>1</v>
      </c>
      <c r="S19" s="115">
        <v>12</v>
      </c>
      <c r="T19" s="115">
        <v>5</v>
      </c>
      <c r="U19" s="115">
        <v>1</v>
      </c>
      <c r="V19" s="115">
        <v>0</v>
      </c>
      <c r="W19" s="115">
        <v>6</v>
      </c>
      <c r="X19" s="115">
        <v>2</v>
      </c>
      <c r="Y19" s="115">
        <f t="shared" si="1"/>
        <v>31</v>
      </c>
      <c r="Z19" s="115">
        <f t="shared" si="2"/>
        <v>9</v>
      </c>
      <c r="AA19" s="115">
        <f t="shared" si="3"/>
        <v>258</v>
      </c>
      <c r="AB19" s="115">
        <f t="shared" si="4"/>
        <v>192</v>
      </c>
      <c r="AC19" s="115">
        <f t="shared" si="5"/>
        <v>8</v>
      </c>
      <c r="AD19" s="115">
        <f t="shared" si="6"/>
        <v>10</v>
      </c>
      <c r="AE19" s="175"/>
      <c r="AF19" s="26">
        <v>1</v>
      </c>
    </row>
    <row r="20" spans="1:33" x14ac:dyDescent="0.15">
      <c r="A20" s="108" t="str">
        <f t="shared" si="0"/>
        <v>Sun</v>
      </c>
      <c r="B20" s="109">
        <v>42218</v>
      </c>
      <c r="C20" s="110" t="s">
        <v>537</v>
      </c>
      <c r="D20" s="111" t="s">
        <v>233</v>
      </c>
      <c r="E20" s="111" t="s">
        <v>213</v>
      </c>
      <c r="F20" s="111" t="s">
        <v>1</v>
      </c>
      <c r="G20" s="112">
        <v>202</v>
      </c>
      <c r="H20" s="111">
        <v>10</v>
      </c>
      <c r="I20" s="111"/>
      <c r="J20" s="113" t="s">
        <v>538</v>
      </c>
      <c r="K20" s="112">
        <v>203</v>
      </c>
      <c r="L20" s="111">
        <v>5</v>
      </c>
      <c r="M20" s="111"/>
      <c r="N20" s="110" t="s">
        <v>539</v>
      </c>
      <c r="O20" s="114">
        <v>35.4</v>
      </c>
      <c r="P20" s="114">
        <v>40</v>
      </c>
      <c r="Q20" s="115">
        <v>4</v>
      </c>
      <c r="R20" s="115">
        <v>2</v>
      </c>
      <c r="S20" s="115">
        <v>2</v>
      </c>
      <c r="T20" s="115">
        <v>0</v>
      </c>
      <c r="U20" s="115">
        <v>11</v>
      </c>
      <c r="V20" s="115">
        <v>1</v>
      </c>
      <c r="W20" s="115">
        <v>6</v>
      </c>
      <c r="X20" s="115">
        <v>2</v>
      </c>
      <c r="Y20" s="115">
        <f t="shared" si="1"/>
        <v>8</v>
      </c>
      <c r="Z20" s="115">
        <f t="shared" si="2"/>
        <v>20</v>
      </c>
      <c r="AA20" s="115">
        <f t="shared" si="3"/>
        <v>203</v>
      </c>
      <c r="AB20" s="115">
        <f t="shared" si="4"/>
        <v>202</v>
      </c>
      <c r="AC20" s="115">
        <f t="shared" si="5"/>
        <v>5</v>
      </c>
      <c r="AD20" s="115">
        <f t="shared" si="6"/>
        <v>10</v>
      </c>
      <c r="AE20" s="175"/>
      <c r="AG20" s="26">
        <v>1</v>
      </c>
    </row>
    <row r="21" spans="1:33" x14ac:dyDescent="0.15">
      <c r="A21" s="108" t="str">
        <f t="shared" si="0"/>
        <v>Sun</v>
      </c>
      <c r="B21" s="109">
        <v>42225</v>
      </c>
      <c r="C21" s="110" t="s">
        <v>416</v>
      </c>
      <c r="D21" s="111" t="s">
        <v>208</v>
      </c>
      <c r="E21" s="111" t="s">
        <v>212</v>
      </c>
      <c r="F21" s="111" t="s">
        <v>211</v>
      </c>
      <c r="G21" s="112">
        <v>124</v>
      </c>
      <c r="H21" s="111">
        <v>10</v>
      </c>
      <c r="I21" s="111"/>
      <c r="J21" s="113"/>
      <c r="K21" s="112">
        <v>126</v>
      </c>
      <c r="L21" s="111">
        <v>5</v>
      </c>
      <c r="M21" s="111"/>
      <c r="N21" s="110"/>
      <c r="O21" s="114">
        <v>35.4</v>
      </c>
      <c r="P21" s="114">
        <v>29.5</v>
      </c>
      <c r="Q21" s="115">
        <v>2</v>
      </c>
      <c r="R21" s="115">
        <v>2</v>
      </c>
      <c r="S21" s="115">
        <v>11</v>
      </c>
      <c r="T21" s="115">
        <v>1</v>
      </c>
      <c r="U21" s="115">
        <v>3</v>
      </c>
      <c r="V21" s="115">
        <v>0</v>
      </c>
      <c r="W21" s="115">
        <v>6</v>
      </c>
      <c r="X21" s="115">
        <v>0</v>
      </c>
      <c r="Y21" s="115">
        <f t="shared" si="1"/>
        <v>16</v>
      </c>
      <c r="Z21" s="115">
        <f t="shared" si="2"/>
        <v>9</v>
      </c>
      <c r="AA21" s="115">
        <f t="shared" ref="AA21:AA59" si="7">IF(F21="TOCC",G21,K21)</f>
        <v>124</v>
      </c>
      <c r="AB21" s="115">
        <f t="shared" ref="AB21:AB59" si="8">IF(F21&lt;&gt;"TOCC",G21,K21)</f>
        <v>126</v>
      </c>
      <c r="AC21" s="115">
        <f t="shared" ref="AC21:AC59" si="9">IF(F21="TOCC",H21,L21)</f>
        <v>10</v>
      </c>
      <c r="AD21" s="115">
        <f t="shared" ref="AD21:AD59" si="10">IF(F21&lt;&gt;"TOCC",H21,L21)</f>
        <v>5</v>
      </c>
      <c r="AE21" s="175"/>
    </row>
    <row r="22" spans="1:33" x14ac:dyDescent="0.15">
      <c r="A22" s="108" t="str">
        <f t="shared" si="0"/>
        <v>Sun</v>
      </c>
      <c r="B22" s="109">
        <v>42232</v>
      </c>
      <c r="C22" s="110" t="s">
        <v>269</v>
      </c>
      <c r="D22" s="111" t="s">
        <v>233</v>
      </c>
      <c r="E22" s="111" t="s">
        <v>212</v>
      </c>
      <c r="F22" s="111" t="s">
        <v>1</v>
      </c>
      <c r="G22" s="112">
        <v>169</v>
      </c>
      <c r="H22" s="111">
        <v>5</v>
      </c>
      <c r="I22" s="111"/>
      <c r="J22" s="113"/>
      <c r="K22" s="112">
        <v>108</v>
      </c>
      <c r="L22" s="111">
        <v>10</v>
      </c>
      <c r="M22" s="111"/>
      <c r="N22" s="110"/>
      <c r="O22" s="114">
        <v>34.200000000000003</v>
      </c>
      <c r="P22" s="114">
        <v>40</v>
      </c>
      <c r="Q22" s="115">
        <v>3</v>
      </c>
      <c r="R22" s="115">
        <v>1</v>
      </c>
      <c r="S22" s="115">
        <v>5</v>
      </c>
      <c r="T22" s="115">
        <v>1</v>
      </c>
      <c r="U22" s="115">
        <v>14</v>
      </c>
      <c r="V22" s="115">
        <v>1</v>
      </c>
      <c r="W22" s="115">
        <v>0</v>
      </c>
      <c r="X22" s="115">
        <v>0</v>
      </c>
      <c r="Y22" s="115">
        <f t="shared" si="1"/>
        <v>10</v>
      </c>
      <c r="Z22" s="115">
        <f t="shared" si="2"/>
        <v>15</v>
      </c>
      <c r="AA22" s="115">
        <f t="shared" si="7"/>
        <v>108</v>
      </c>
      <c r="AB22" s="115">
        <f t="shared" si="8"/>
        <v>169</v>
      </c>
      <c r="AC22" s="115">
        <f t="shared" si="9"/>
        <v>10</v>
      </c>
      <c r="AD22" s="115">
        <f t="shared" si="10"/>
        <v>5</v>
      </c>
      <c r="AE22" s="175"/>
      <c r="AF22" s="26">
        <v>1</v>
      </c>
      <c r="AG22" s="26">
        <v>1</v>
      </c>
    </row>
    <row r="23" spans="1:33" x14ac:dyDescent="0.15">
      <c r="A23" s="108" t="str">
        <f t="shared" si="0"/>
        <v>Sun</v>
      </c>
      <c r="B23" s="109">
        <v>42239</v>
      </c>
      <c r="C23" s="110" t="s">
        <v>399</v>
      </c>
      <c r="D23" s="111" t="s">
        <v>208</v>
      </c>
      <c r="E23" s="111" t="s">
        <v>213</v>
      </c>
      <c r="F23" s="111" t="s">
        <v>1</v>
      </c>
      <c r="G23" s="112">
        <v>149</v>
      </c>
      <c r="H23" s="111">
        <v>6</v>
      </c>
      <c r="I23" s="111"/>
      <c r="J23" s="113"/>
      <c r="K23" s="112">
        <v>150</v>
      </c>
      <c r="L23" s="111">
        <v>2</v>
      </c>
      <c r="M23" s="111"/>
      <c r="N23" s="110" t="s">
        <v>594</v>
      </c>
      <c r="O23" s="114">
        <v>31</v>
      </c>
      <c r="P23" s="114">
        <v>35</v>
      </c>
      <c r="Q23" s="115">
        <v>10</v>
      </c>
      <c r="R23" s="115">
        <v>0</v>
      </c>
      <c r="S23" s="115">
        <v>5</v>
      </c>
      <c r="T23" s="115">
        <v>1</v>
      </c>
      <c r="U23" s="115">
        <v>11</v>
      </c>
      <c r="V23" s="115">
        <v>0</v>
      </c>
      <c r="W23" s="115">
        <v>6</v>
      </c>
      <c r="X23" s="115">
        <v>3</v>
      </c>
      <c r="Y23" s="115">
        <f t="shared" si="1"/>
        <v>16</v>
      </c>
      <c r="Z23" s="115">
        <f t="shared" si="2"/>
        <v>20</v>
      </c>
      <c r="AA23" s="115">
        <f t="shared" si="7"/>
        <v>150</v>
      </c>
      <c r="AB23" s="115">
        <f t="shared" si="8"/>
        <v>149</v>
      </c>
      <c r="AC23" s="115">
        <f t="shared" si="9"/>
        <v>2</v>
      </c>
      <c r="AD23" s="115">
        <f t="shared" si="10"/>
        <v>6</v>
      </c>
      <c r="AE23" s="175"/>
      <c r="AG23" s="26">
        <v>1</v>
      </c>
    </row>
    <row r="24" spans="1:33" x14ac:dyDescent="0.15">
      <c r="A24" s="108" t="str">
        <f t="shared" si="0"/>
        <v>Sun</v>
      </c>
      <c r="B24" s="109">
        <v>42246</v>
      </c>
      <c r="C24" s="110" t="s">
        <v>607</v>
      </c>
      <c r="D24" s="111" t="s">
        <v>233</v>
      </c>
      <c r="E24" s="111" t="s">
        <v>212</v>
      </c>
      <c r="F24" s="111" t="s">
        <v>1</v>
      </c>
      <c r="G24" s="112">
        <v>171</v>
      </c>
      <c r="H24" s="111">
        <v>10</v>
      </c>
      <c r="I24" s="111"/>
      <c r="J24" s="113" t="s">
        <v>608</v>
      </c>
      <c r="K24" s="112">
        <v>88</v>
      </c>
      <c r="L24" s="111">
        <v>10</v>
      </c>
      <c r="M24" s="111"/>
      <c r="N24" s="110"/>
      <c r="O24" s="114">
        <v>24.3</v>
      </c>
      <c r="P24" s="114">
        <v>32.1</v>
      </c>
      <c r="Q24" s="115">
        <v>10</v>
      </c>
      <c r="R24" s="115">
        <v>0</v>
      </c>
      <c r="S24" s="115">
        <v>9</v>
      </c>
      <c r="T24" s="115">
        <v>2</v>
      </c>
      <c r="U24" s="115">
        <v>12</v>
      </c>
      <c r="V24" s="115">
        <v>2</v>
      </c>
      <c r="W24" s="115">
        <v>9</v>
      </c>
      <c r="X24" s="115">
        <v>1</v>
      </c>
      <c r="Y24" s="115">
        <f t="shared" si="1"/>
        <v>21</v>
      </c>
      <c r="Z24" s="115">
        <f t="shared" si="2"/>
        <v>24</v>
      </c>
      <c r="AA24" s="115">
        <f t="shared" si="7"/>
        <v>88</v>
      </c>
      <c r="AB24" s="115">
        <f t="shared" si="8"/>
        <v>171</v>
      </c>
      <c r="AC24" s="115">
        <f t="shared" si="9"/>
        <v>10</v>
      </c>
      <c r="AD24" s="115">
        <f t="shared" si="10"/>
        <v>10</v>
      </c>
      <c r="AE24" s="175"/>
      <c r="AF24" s="26">
        <v>1</v>
      </c>
    </row>
    <row r="25" spans="1:33" x14ac:dyDescent="0.15">
      <c r="A25" s="108" t="str">
        <f t="shared" si="0"/>
        <v>Sun</v>
      </c>
      <c r="B25" s="109">
        <v>42253</v>
      </c>
      <c r="C25" s="110" t="s">
        <v>625</v>
      </c>
      <c r="D25" s="111" t="s">
        <v>208</v>
      </c>
      <c r="E25" s="111" t="s">
        <v>213</v>
      </c>
      <c r="F25" s="111" t="s">
        <v>211</v>
      </c>
      <c r="G25" s="112">
        <v>209</v>
      </c>
      <c r="H25" s="111">
        <v>10</v>
      </c>
      <c r="I25" s="111"/>
      <c r="J25" s="113" t="s">
        <v>626</v>
      </c>
      <c r="K25" s="112">
        <v>196</v>
      </c>
      <c r="L25" s="111">
        <v>7</v>
      </c>
      <c r="M25" s="111"/>
      <c r="N25" s="110"/>
      <c r="O25" s="114">
        <v>36.299999999999997</v>
      </c>
      <c r="P25" s="114">
        <v>40</v>
      </c>
      <c r="Q25" s="115">
        <v>17</v>
      </c>
      <c r="R25" s="115">
        <v>6</v>
      </c>
      <c r="S25" s="115">
        <v>17</v>
      </c>
      <c r="T25" s="115">
        <v>3</v>
      </c>
      <c r="U25" s="115">
        <v>5</v>
      </c>
      <c r="V25" s="115">
        <v>1</v>
      </c>
      <c r="W25" s="115">
        <v>8</v>
      </c>
      <c r="X25" s="115">
        <v>0</v>
      </c>
      <c r="Y25" s="115">
        <f t="shared" si="1"/>
        <v>43</v>
      </c>
      <c r="Z25" s="115">
        <f t="shared" si="2"/>
        <v>14</v>
      </c>
      <c r="AA25" s="115">
        <f t="shared" si="7"/>
        <v>209</v>
      </c>
      <c r="AB25" s="115">
        <f t="shared" si="8"/>
        <v>196</v>
      </c>
      <c r="AC25" s="115">
        <f t="shared" si="9"/>
        <v>10</v>
      </c>
      <c r="AD25" s="115">
        <f t="shared" si="10"/>
        <v>7</v>
      </c>
      <c r="AE25" s="175"/>
      <c r="AG25" s="26">
        <v>3</v>
      </c>
    </row>
    <row r="26" spans="1:33" x14ac:dyDescent="0.15">
      <c r="A26" s="108" t="str">
        <f t="shared" si="0"/>
        <v>Sun</v>
      </c>
      <c r="B26" s="109">
        <v>42260</v>
      </c>
      <c r="C26" s="110" t="s">
        <v>672</v>
      </c>
      <c r="D26" s="111" t="s">
        <v>233</v>
      </c>
      <c r="E26" s="111" t="s">
        <v>212</v>
      </c>
      <c r="F26" s="111" t="s">
        <v>1</v>
      </c>
      <c r="G26" s="112">
        <v>201</v>
      </c>
      <c r="H26" s="111">
        <v>8</v>
      </c>
      <c r="I26" s="111"/>
      <c r="J26" s="113"/>
      <c r="K26" s="112">
        <v>117</v>
      </c>
      <c r="L26" s="111">
        <v>10</v>
      </c>
      <c r="M26" s="111"/>
      <c r="N26" s="110"/>
      <c r="O26" s="114">
        <v>23.5</v>
      </c>
      <c r="P26" s="114">
        <v>40</v>
      </c>
      <c r="Q26" s="115">
        <v>4</v>
      </c>
      <c r="R26" s="115">
        <v>1</v>
      </c>
      <c r="S26" s="115">
        <v>0</v>
      </c>
      <c r="T26" s="115">
        <v>7</v>
      </c>
      <c r="U26" s="115">
        <v>0</v>
      </c>
      <c r="V26" s="115">
        <v>0</v>
      </c>
      <c r="W26" s="115">
        <v>6</v>
      </c>
      <c r="X26" s="115">
        <v>3</v>
      </c>
      <c r="Y26" s="115">
        <f t="shared" si="1"/>
        <v>12</v>
      </c>
      <c r="Z26" s="115">
        <f t="shared" si="2"/>
        <v>9</v>
      </c>
      <c r="AA26" s="115">
        <f t="shared" si="7"/>
        <v>117</v>
      </c>
      <c r="AB26" s="115">
        <f t="shared" si="8"/>
        <v>201</v>
      </c>
      <c r="AC26" s="115">
        <f t="shared" si="9"/>
        <v>10</v>
      </c>
      <c r="AD26" s="115">
        <f t="shared" si="10"/>
        <v>8</v>
      </c>
      <c r="AE26" s="175"/>
      <c r="AG26" s="26">
        <v>1</v>
      </c>
    </row>
    <row r="27" spans="1:33" x14ac:dyDescent="0.15">
      <c r="A27" s="108" t="str">
        <f t="shared" si="0"/>
        <v>Sun</v>
      </c>
      <c r="B27" s="109">
        <v>42267</v>
      </c>
      <c r="C27" s="110" t="s">
        <v>658</v>
      </c>
      <c r="D27" s="111" t="s">
        <v>208</v>
      </c>
      <c r="E27" s="111" t="s">
        <v>213</v>
      </c>
      <c r="F27" s="111" t="s">
        <v>1</v>
      </c>
      <c r="G27" s="112">
        <v>117</v>
      </c>
      <c r="H27" s="111">
        <v>10</v>
      </c>
      <c r="I27" s="111"/>
      <c r="J27" s="173"/>
      <c r="K27" s="112">
        <v>118</v>
      </c>
      <c r="L27" s="111">
        <v>3</v>
      </c>
      <c r="M27" s="111"/>
      <c r="N27" s="113" t="s">
        <v>659</v>
      </c>
      <c r="O27" s="114">
        <v>30.3</v>
      </c>
      <c r="P27" s="114">
        <v>36.200000000000003</v>
      </c>
      <c r="Q27" s="115">
        <v>13</v>
      </c>
      <c r="R27" s="115">
        <v>0</v>
      </c>
      <c r="S27" s="115">
        <v>10</v>
      </c>
      <c r="T27" s="115">
        <v>0</v>
      </c>
      <c r="U27" s="115">
        <v>7</v>
      </c>
      <c r="V27" s="115">
        <v>0</v>
      </c>
      <c r="W27" s="115">
        <v>2</v>
      </c>
      <c r="X27" s="115">
        <v>1</v>
      </c>
      <c r="Y27" s="115">
        <f t="shared" si="1"/>
        <v>23</v>
      </c>
      <c r="Z27" s="115">
        <f t="shared" si="2"/>
        <v>10</v>
      </c>
      <c r="AA27" s="115">
        <f t="shared" si="7"/>
        <v>118</v>
      </c>
      <c r="AB27" s="115">
        <f t="shared" si="8"/>
        <v>117</v>
      </c>
      <c r="AC27" s="115">
        <f t="shared" si="9"/>
        <v>3</v>
      </c>
      <c r="AD27" s="115">
        <f t="shared" si="10"/>
        <v>10</v>
      </c>
      <c r="AG27" s="26">
        <v>2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0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1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144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8" t="s">
        <v>211</v>
      </c>
      <c r="P62" s="178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742</v>
      </c>
      <c r="P63" s="36">
        <f t="array" ref="P63">SUM(FLOOR(P5:P59,1))</f>
        <v>831</v>
      </c>
      <c r="Q63" s="37">
        <f>SUM(Q5:Q59)</f>
        <v>203</v>
      </c>
      <c r="R63" s="37">
        <f t="shared" ref="R63:Z63" si="13">SUM(R5:R59)</f>
        <v>29</v>
      </c>
      <c r="S63" s="37">
        <f t="shared" si="13"/>
        <v>142</v>
      </c>
      <c r="T63" s="37">
        <f t="shared" si="13"/>
        <v>41</v>
      </c>
      <c r="U63" s="37">
        <f t="shared" si="13"/>
        <v>223</v>
      </c>
      <c r="V63" s="37">
        <f t="shared" si="13"/>
        <v>39</v>
      </c>
      <c r="W63" s="37">
        <f t="shared" si="13"/>
        <v>123</v>
      </c>
      <c r="X63" s="37">
        <f t="shared" si="13"/>
        <v>38</v>
      </c>
      <c r="Y63" s="37">
        <f t="shared" si="13"/>
        <v>415</v>
      </c>
      <c r="Z63" s="37">
        <f t="shared" si="13"/>
        <v>423</v>
      </c>
      <c r="AA63" s="26">
        <f>SUM(AA5:AA59)</f>
        <v>3846</v>
      </c>
      <c r="AB63" s="26">
        <f>SUM(AB5:AB59)</f>
        <v>3853</v>
      </c>
      <c r="AC63" s="26">
        <f>SUM(AC5:AC59)</f>
        <v>160</v>
      </c>
      <c r="AD63" s="26">
        <f>SUM(AD5:AD59)</f>
        <v>171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38.999999999999986</v>
      </c>
      <c r="P64" s="36">
        <f t="array" ref="P64">SUM(P5:P59-FLOOR(P5:P59,1))*10</f>
        <v>19.000000000000092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8" t="s">
        <v>328</v>
      </c>
      <c r="O65" s="36">
        <f>O63*6+O64</f>
        <v>4491</v>
      </c>
      <c r="P65" s="36">
        <f>P63*6+P64</f>
        <v>5005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10</v>
      </c>
      <c r="X65" s="37"/>
      <c r="Z65" s="26" t="s">
        <v>35</v>
      </c>
      <c r="AA65" s="26">
        <f>AA63/AC63</f>
        <v>24.037500000000001</v>
      </c>
      <c r="AB65" s="26">
        <f>AB63/AD63</f>
        <v>22.532163742690059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8" t="s">
        <v>329</v>
      </c>
      <c r="O66" s="36">
        <f>INT(O65/6)+(O65-INT(O65/6)*6)/10</f>
        <v>748.3</v>
      </c>
      <c r="P66" s="36">
        <f>INT(P65/6)+(P65-INT(P65/6)*6)/10</f>
        <v>834.1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190</v>
      </c>
      <c r="O67" s="36">
        <f>AA63/O65*100</f>
        <v>85.637942551770209</v>
      </c>
      <c r="P67" s="36">
        <f>AB63/P65*100</f>
        <v>76.983016983016981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203</v>
      </c>
      <c r="R68" s="26">
        <f t="shared" ref="R68:T68" si="14">$Y$63*R63/SUM($Q$63:$T$63)</f>
        <v>29</v>
      </c>
      <c r="S68" s="26">
        <f t="shared" si="14"/>
        <v>142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3" stopIfTrue="1" operator="equal">
      <formula>"TOCC"</formula>
    </cfRule>
  </conditionalFormatting>
  <conditionalFormatting sqref="G5:G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K1552"/>
  <sheetViews>
    <sheetView tabSelected="1" zoomScaleNormal="100" workbookViewId="0">
      <pane xSplit="3" ySplit="4" topLeftCell="CO5" activePane="bottomRight" state="frozenSplit"/>
      <selection pane="topRight" activeCell="D1" sqref="D1"/>
      <selection pane="bottomLeft" activeCell="A4" sqref="A4"/>
      <selection pane="bottomRight" activeCell="C45" sqref="C45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6384" width="9.140625" style="68"/>
  </cols>
  <sheetData>
    <row r="1" spans="1:115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42120</v>
      </c>
      <c r="E1" s="65">
        <v>42127</v>
      </c>
      <c r="F1" s="65">
        <v>42134</v>
      </c>
      <c r="G1" s="65">
        <v>42141</v>
      </c>
      <c r="H1" s="65">
        <v>42147</v>
      </c>
      <c r="I1" s="65">
        <v>42148</v>
      </c>
      <c r="J1" s="65">
        <v>42149</v>
      </c>
      <c r="K1" s="65">
        <v>42155</v>
      </c>
      <c r="L1" s="65">
        <v>42162</v>
      </c>
      <c r="M1" s="65">
        <v>42169</v>
      </c>
      <c r="N1" s="65">
        <v>42176</v>
      </c>
      <c r="O1" s="65">
        <v>42183</v>
      </c>
      <c r="P1" s="65">
        <v>42190</v>
      </c>
      <c r="Q1" s="65">
        <v>42197</v>
      </c>
      <c r="R1" s="65">
        <v>42204</v>
      </c>
      <c r="S1" s="65">
        <v>42218</v>
      </c>
      <c r="T1" s="65">
        <v>42225</v>
      </c>
      <c r="U1" s="65">
        <v>42232</v>
      </c>
      <c r="V1" s="65">
        <v>42239</v>
      </c>
      <c r="W1" s="65">
        <v>42246</v>
      </c>
      <c r="X1" s="65">
        <v>42253</v>
      </c>
      <c r="Y1" s="65">
        <v>42260</v>
      </c>
      <c r="Z1" s="65">
        <v>42267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15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LESSA</v>
      </c>
      <c r="G2" s="69" t="str">
        <v>Churchleigh</v>
      </c>
      <c r="H2" s="69" t="str">
        <v>Fonthill Park</v>
      </c>
      <c r="I2" s="69" t="str">
        <v>Woodgreen</v>
      </c>
      <c r="J2" s="69" t="str">
        <v>Steeple Langford</v>
      </c>
      <c r="K2" s="69" t="str">
        <v>Norwood Exiles</v>
      </c>
      <c r="L2" s="69" t="str">
        <v>Richmond Legbreakers</v>
      </c>
      <c r="M2" s="69" t="str">
        <v>Norwood</v>
      </c>
      <c r="N2" s="69" t="str">
        <v>Woldingham Village</v>
      </c>
      <c r="O2" s="69" t="str">
        <v>RACS</v>
      </c>
      <c r="P2" s="69" t="str">
        <v>Southbank</v>
      </c>
      <c r="Q2" s="69" t="str">
        <v>Headstone</v>
      </c>
      <c r="R2" s="69" t="str">
        <v>LESSA</v>
      </c>
      <c r="S2" s="69" t="str">
        <v>Giltec</v>
      </c>
      <c r="T2" s="69" t="str">
        <v>Richmond Legbreakers</v>
      </c>
      <c r="U2" s="69" t="str">
        <v>Deando Ruxley</v>
      </c>
      <c r="V2" s="69" t="str">
        <v>Norwood Exiles</v>
      </c>
      <c r="W2" s="69" t="str">
        <v>Sanderstead</v>
      </c>
      <c r="X2" s="69" t="str">
        <v>Mid-Whitgiftian</v>
      </c>
      <c r="Y2" s="69" t="str">
        <v>Beddington</v>
      </c>
      <c r="Z2" s="69" t="str">
        <v>Raynes Park FP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15" x14ac:dyDescent="0.15">
      <c r="C3" s="53" t="str">
        <v>Venue</v>
      </c>
      <c r="D3" s="53" t="str">
        <v>A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H</v>
      </c>
      <c r="W3" s="53" t="str">
        <v>A</v>
      </c>
      <c r="X3" s="53" t="str">
        <v>H</v>
      </c>
      <c r="Y3" s="53" t="str">
        <v>A</v>
      </c>
      <c r="Z3" s="53" t="str">
        <v>H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15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L</v>
      </c>
      <c r="J4" s="53" t="str">
        <v>W</v>
      </c>
      <c r="K4" s="53" t="str">
        <v>L</v>
      </c>
      <c r="L4" s="53" t="str">
        <v>W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W</v>
      </c>
      <c r="R4" s="53" t="str">
        <v>W</v>
      </c>
      <c r="S4" s="53" t="str">
        <v>W</v>
      </c>
      <c r="T4" s="53" t="str">
        <v>L</v>
      </c>
      <c r="U4" s="53" t="str">
        <v>L</v>
      </c>
      <c r="V4" s="53" t="str">
        <v>W</v>
      </c>
      <c r="W4" s="53" t="str">
        <v>L</v>
      </c>
      <c r="X4" s="53" t="str">
        <v>W</v>
      </c>
      <c r="Y4" s="53" t="str">
        <v>L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121</v>
      </c>
      <c r="CK4" s="49" t="s">
        <v>137</v>
      </c>
      <c r="CL4" s="49" t="s">
        <v>9</v>
      </c>
      <c r="CM4" s="46" t="s">
        <v>35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196</v>
      </c>
      <c r="CY4" s="74" t="s">
        <v>268</v>
      </c>
      <c r="CZ4" s="74" t="s">
        <v>229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122</v>
      </c>
      <c r="DF4" s="68" t="s">
        <v>123</v>
      </c>
      <c r="DG4" s="68" t="s">
        <v>135</v>
      </c>
      <c r="DH4" s="68" t="s">
        <v>134</v>
      </c>
      <c r="DI4" s="68" t="s">
        <v>141</v>
      </c>
      <c r="DJ4" s="68" t="s">
        <v>149</v>
      </c>
      <c r="DK4" s="68" t="s">
        <v>151</v>
      </c>
    </row>
    <row r="5" spans="1:115" x14ac:dyDescent="0.15">
      <c r="B5" t="s">
        <v>245</v>
      </c>
      <c r="C5" t="s">
        <v>243</v>
      </c>
      <c r="D5"/>
      <c r="E5"/>
      <c r="F5" s="122"/>
      <c r="G5"/>
      <c r="H5" s="122" t="s">
        <v>356</v>
      </c>
      <c r="I5" s="122" t="s">
        <v>374</v>
      </c>
      <c r="J5" t="s">
        <v>388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3</v>
      </c>
      <c r="CG5" s="68">
        <f t="shared" ref="CG5:CG47" si="0">CF5-CH5</f>
        <v>0</v>
      </c>
      <c r="CH5" s="68">
        <f>BatSplit(D5:CD5,InnsBattedIn)</f>
        <v>3</v>
      </c>
      <c r="CI5" s="68">
        <f>BatSplit(D5:CD5,NotOuts)</f>
        <v>0</v>
      </c>
      <c r="CJ5" s="68">
        <f>BatSplit(D5:CD5,HighestScore)</f>
        <v>22</v>
      </c>
      <c r="CK5" s="72">
        <f t="shared" ref="CK5:CK47" si="1">IF(CJ5&lt;0,-CJ5&amp;"*",CJ5)</f>
        <v>22</v>
      </c>
      <c r="CL5" s="68">
        <f>BatSplit(D5:CD5,RunsScored)</f>
        <v>42</v>
      </c>
      <c r="CM5" s="70">
        <f t="shared" ref="CM5:CM47" si="2">IF(CH5=CI5,0,CL5/(CH5-CI5))</f>
        <v>14</v>
      </c>
      <c r="CN5" s="68">
        <f>BatSplit(D5:CD5,BatPts)</f>
        <v>42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1</v>
      </c>
      <c r="CT5" s="71">
        <f t="array" ref="CT5">SUM(IF(ISERR(FIND(CT$4,$D5:$CD5)),0,1))</f>
        <v>2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8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47" si="3">ROUND(IF(ISERROR(CM5),0,CM5),2)*100000+CH5*100+CF5+CL5/100+ROW()/100000</f>
        <v>1400303.4200499998</v>
      </c>
      <c r="DH5" s="68">
        <f t="shared" ref="DH5:DH48" si="4">RANK(DG5,$DG$5:$DG$48)</f>
        <v>14</v>
      </c>
      <c r="DI5" s="68">
        <v>0</v>
      </c>
      <c r="DJ5" s="89" t="str">
        <f t="shared" ref="DJ5:DJ47" si="5">IF(CL5&gt;=50,(DB5*4+DC5*6+DI5*5)/CL5,"")</f>
        <v/>
      </c>
      <c r="DK5" s="97">
        <f t="shared" ref="DK5:DK47" si="6">CR5/(CH5-CI5)</f>
        <v>0</v>
      </c>
    </row>
    <row r="6" spans="1:115" x14ac:dyDescent="0.15">
      <c r="B6" t="s">
        <v>239</v>
      </c>
      <c r="C6" t="s">
        <v>479</v>
      </c>
      <c r="D6"/>
      <c r="E6"/>
      <c r="F6" s="122"/>
      <c r="G6"/>
      <c r="H6" s="122"/>
      <c r="I6" s="122"/>
      <c r="J6"/>
      <c r="K6" s="122"/>
      <c r="L6" s="122"/>
      <c r="M6" s="122"/>
      <c r="N6" s="122"/>
      <c r="O6" t="s">
        <v>480</v>
      </c>
      <c r="P6"/>
      <c r="Q6"/>
      <c r="R6"/>
      <c r="S6"/>
      <c r="T6"/>
      <c r="U6"/>
      <c r="V6"/>
      <c r="W6"/>
      <c r="X6"/>
      <c r="Y6"/>
      <c r="Z6"/>
      <c r="CE6" s="68" t="str">
        <f t="shared" ref="CE6:CE48" si="7">C6</f>
        <v>Bartram</v>
      </c>
      <c r="CF6" s="68">
        <f t="shared" ref="CF6" si="8">BatSplit(D6:CD6,MatchesPlayed)</f>
        <v>1</v>
      </c>
      <c r="CG6" s="68">
        <f t="shared" ref="CG6" si="9">CF6-CH6</f>
        <v>0</v>
      </c>
      <c r="CH6" s="68">
        <f t="shared" ref="CH6" si="10">BatSplit(D6:CD6,InnsBattedIn)</f>
        <v>1</v>
      </c>
      <c r="CI6" s="68">
        <f t="shared" ref="CI6" si="11">BatSplit(D6:CD6,NotOuts)</f>
        <v>0</v>
      </c>
      <c r="CJ6" s="68">
        <f t="shared" ref="CJ6" si="12">BatSplit(D6:CD6,HighestScore)</f>
        <v>14</v>
      </c>
      <c r="CK6" s="72">
        <f t="shared" ref="CK6" si="13">IF(CJ6&lt;0,-CJ6&amp;"*",CJ6)</f>
        <v>14</v>
      </c>
      <c r="CL6" s="68">
        <f t="shared" ref="CL6" si="14">BatSplit(D6:CD6,RunsScored)</f>
        <v>14</v>
      </c>
      <c r="CM6" s="70">
        <f t="shared" ref="CM6" si="15">IF(CH6=CI6,0,CL6/(CH6-CI6))</f>
        <v>14</v>
      </c>
      <c r="CN6" s="68">
        <f t="shared" ref="CN6" si="16">BatSplit(D6:CD6,BatPts)</f>
        <v>14</v>
      </c>
      <c r="CO6" s="68">
        <f t="shared" ref="CO6" si="17">BatSplit(D6:CD6,FldPts)</f>
        <v>5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 t="shared" ref="CR6" si="18">BatSplit(D6:CD6,Ducks)</f>
        <v>0</v>
      </c>
      <c r="CS6" s="71">
        <f t="array" ref="CS6">SUM(IF(ISERR(FIND(CS$4,$D6:$CD6)),0,1))</f>
        <v>0</v>
      </c>
      <c r="CT6" s="71">
        <f t="array" ref="CT6">SUM(IF(ISERR(FIND(CT$4,$D6:$CD6)),0,1))</f>
        <v>1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 t="shared" ref="CZ6" si="19">BatSplit(D6:CD6,Fifties)</f>
        <v>0</v>
      </c>
      <c r="DA6" s="71">
        <f t="shared" ref="DA6" si="20">BatSplit(D6:CD6,Catches)</f>
        <v>1</v>
      </c>
      <c r="DB6" s="71">
        <f t="shared" ref="DB6" si="21">BatSplit(D6:CD6,Fours)</f>
        <v>2</v>
      </c>
      <c r="DC6" s="71">
        <f t="shared" ref="DC6" si="22">BatSplit(D6:CD6,Sixes)</f>
        <v>0</v>
      </c>
      <c r="DD6" s="71">
        <f t="shared" ref="DD6" si="23">BatSplit(D6:CD6,Stumpings)</f>
        <v>0</v>
      </c>
      <c r="DE6" s="71">
        <f t="shared" ref="DE6" si="24">BatSplit(D6:CD6,CaughtWkt)</f>
        <v>0</v>
      </c>
      <c r="DF6" s="71">
        <f t="shared" ref="DF6" si="25">BatSplit(D6:CD6,TwentyFives)</f>
        <v>0</v>
      </c>
      <c r="DG6" s="68">
        <f t="shared" ref="DG6" si="26">ROUND(IF(ISERROR(CM6),0,CM6),2)*100000+CH6*100+CF6+CL6/100+ROW()/100000</f>
        <v>1400101.1400599999</v>
      </c>
      <c r="DH6" s="68">
        <f t="shared" si="4"/>
        <v>16</v>
      </c>
      <c r="DI6" s="68">
        <v>0</v>
      </c>
      <c r="DJ6" s="89" t="str">
        <f t="shared" ref="DJ6" si="27">IF(CL6&gt;=50,(DB6*4+DC6*6+DI6*5)/CL6,"")</f>
        <v/>
      </c>
      <c r="DK6" s="97">
        <f t="shared" ref="DK6" si="28">CR6/(CH6-CI6)</f>
        <v>0</v>
      </c>
    </row>
    <row r="7" spans="1:115" x14ac:dyDescent="0.15">
      <c r="A7" s="68" t="s">
        <v>56</v>
      </c>
      <c r="B7" s="68" t="s">
        <v>25</v>
      </c>
      <c r="C7" s="68" t="s">
        <v>142</v>
      </c>
      <c r="D7" s="122" t="s">
        <v>267</v>
      </c>
      <c r="E7" s="122" t="s">
        <v>234</v>
      </c>
      <c r="F7" s="122"/>
      <c r="G7" s="122" t="s">
        <v>251</v>
      </c>
      <c r="H7" s="122" t="s">
        <v>232</v>
      </c>
      <c r="I7" s="122" t="s">
        <v>260</v>
      </c>
      <c r="J7"/>
      <c r="K7" t="s">
        <v>234</v>
      </c>
      <c r="L7" t="s">
        <v>210</v>
      </c>
      <c r="M7" s="122" t="s">
        <v>234</v>
      </c>
      <c r="N7" s="122" t="s">
        <v>462</v>
      </c>
      <c r="O7" s="122" t="s">
        <v>232</v>
      </c>
      <c r="P7" s="122"/>
      <c r="Q7" s="122" t="s">
        <v>232</v>
      </c>
      <c r="R7"/>
      <c r="S7" t="s">
        <v>234</v>
      </c>
      <c r="T7" t="s">
        <v>564</v>
      </c>
      <c r="U7" t="s">
        <v>593</v>
      </c>
      <c r="V7" t="s">
        <v>234</v>
      </c>
      <c r="W7" t="s">
        <v>618</v>
      </c>
      <c r="X7"/>
      <c r="Y7"/>
      <c r="Z7" t="s">
        <v>251</v>
      </c>
      <c r="CE7" s="68" t="str">
        <f t="shared" si="7"/>
        <v>Bowers M</v>
      </c>
      <c r="CF7" s="68">
        <f>BatSplit(D7:CD7,MatchesPlayed)</f>
        <v>17</v>
      </c>
      <c r="CG7" s="68">
        <f t="shared" si="0"/>
        <v>12</v>
      </c>
      <c r="CH7" s="68">
        <f>BatSplit(D7:CD7,InnsBattedIn)</f>
        <v>5</v>
      </c>
      <c r="CI7" s="68">
        <f>BatSplit(D7:CD7,NotOuts)</f>
        <v>1</v>
      </c>
      <c r="CJ7" s="68">
        <f>BatSplit(D7:CD7,HighestScore)</f>
        <v>10</v>
      </c>
      <c r="CK7" s="72">
        <f t="shared" si="1"/>
        <v>10</v>
      </c>
      <c r="CL7" s="68">
        <f>BatSplit(D7:CD7,RunsScored)</f>
        <v>16</v>
      </c>
      <c r="CM7" s="70">
        <f t="shared" si="2"/>
        <v>4</v>
      </c>
      <c r="CN7" s="68">
        <f>BatSplit(D7:CD7,BatPts)</f>
        <v>6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2</v>
      </c>
      <c r="CS7" s="71">
        <f t="array" ref="CS7">SUM(IF(ISERR(FIND(CS$4,$D7:$CD7)),0,1))</f>
        <v>1</v>
      </c>
      <c r="CT7" s="71">
        <f t="array" ref="CT7">SUM(IF(ISERR(FIND(CT$4,$D7:$CD7)),0,1))</f>
        <v>2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0</v>
      </c>
      <c r="DA7" s="71">
        <f>BatSplit(D7:CD7,Catches)</f>
        <v>3</v>
      </c>
      <c r="DB7" s="71">
        <f>BatSplit(D7:CD7,Fours)</f>
        <v>3</v>
      </c>
      <c r="DC7" s="71">
        <f>BatSplit(D7:CD7,Sixes)</f>
        <v>0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0</v>
      </c>
      <c r="DG7" s="68">
        <f t="shared" si="3"/>
        <v>400517.16006999998</v>
      </c>
      <c r="DH7" s="68">
        <f t="shared" si="4"/>
        <v>31</v>
      </c>
      <c r="DI7" s="68">
        <v>0</v>
      </c>
      <c r="DJ7" s="89" t="str">
        <f t="shared" si="5"/>
        <v/>
      </c>
      <c r="DK7" s="97">
        <f t="shared" si="6"/>
        <v>0.5</v>
      </c>
    </row>
    <row r="8" spans="1:115" x14ac:dyDescent="0.15">
      <c r="B8" t="s">
        <v>249</v>
      </c>
      <c r="C8" t="s">
        <v>250</v>
      </c>
      <c r="D8"/>
      <c r="E8" t="s">
        <v>297</v>
      </c>
      <c r="F8" t="s">
        <v>323</v>
      </c>
      <c r="G8"/>
      <c r="H8" t="s">
        <v>358</v>
      </c>
      <c r="I8" t="s">
        <v>375</v>
      </c>
      <c r="J8" t="s">
        <v>263</v>
      </c>
      <c r="K8"/>
      <c r="L8" s="122" t="s">
        <v>421</v>
      </c>
      <c r="M8" s="122"/>
      <c r="N8"/>
      <c r="O8" s="122"/>
      <c r="P8"/>
      <c r="Q8"/>
      <c r="R8"/>
      <c r="S8"/>
      <c r="T8"/>
      <c r="U8"/>
      <c r="V8"/>
      <c r="W8"/>
      <c r="X8" t="s">
        <v>636</v>
      </c>
      <c r="Y8" t="s">
        <v>654</v>
      </c>
      <c r="Z8"/>
      <c r="CE8" s="68" t="str">
        <f t="shared" si="7"/>
        <v>Brocks D</v>
      </c>
      <c r="CF8" s="68">
        <f>BatSplit(D8:CD8,MatchesPlayed)</f>
        <v>8</v>
      </c>
      <c r="CG8" s="68">
        <f t="shared" si="0"/>
        <v>1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-67</v>
      </c>
      <c r="CK8" s="72" t="str">
        <f t="shared" si="1"/>
        <v>67*</v>
      </c>
      <c r="CL8" s="68">
        <f>BatSplit(D8:CD8,RunsScored)</f>
        <v>131</v>
      </c>
      <c r="CM8" s="70">
        <f t="shared" si="2"/>
        <v>21.833333333333332</v>
      </c>
      <c r="CN8" s="68">
        <f>BatSplit(D8:CD8,BatPts)</f>
        <v>141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3</v>
      </c>
      <c r="CR8" s="68">
        <f>BatSplit(D8:CD8,Ducks)</f>
        <v>0</v>
      </c>
      <c r="CS8" s="71">
        <f t="array" ref="CS8">SUM(IF(ISERR(FIND(CS$4,$D8:$CD8)),0,1))</f>
        <v>5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1</v>
      </c>
      <c r="DA8" s="71">
        <f>BatSplit(D8:CD8,Catches)</f>
        <v>4</v>
      </c>
      <c r="DB8" s="71">
        <f>BatSplit(D8:CD8,Fours)</f>
        <v>9</v>
      </c>
      <c r="DC8" s="71">
        <f>BatSplit(D8:CD8,Sixes)</f>
        <v>7</v>
      </c>
      <c r="DD8" s="71">
        <f>BatSplit(D8:CD8,Stumpings)</f>
        <v>1</v>
      </c>
      <c r="DE8" s="71">
        <f>BatSplit(D8:CD8,CaughtWkt)</f>
        <v>1</v>
      </c>
      <c r="DF8" s="71">
        <f>BatSplit(D8:CD8,TwentyFives)</f>
        <v>2</v>
      </c>
      <c r="DG8" s="68">
        <f t="shared" si="3"/>
        <v>2183709.3100800002</v>
      </c>
      <c r="DH8" s="68">
        <f t="shared" si="4"/>
        <v>10</v>
      </c>
      <c r="DI8" s="68">
        <v>0</v>
      </c>
      <c r="DJ8" s="89">
        <f t="shared" si="5"/>
        <v>0.59541984732824427</v>
      </c>
      <c r="DK8" s="97">
        <f t="shared" si="6"/>
        <v>0</v>
      </c>
    </row>
    <row r="9" spans="1:115" x14ac:dyDescent="0.15">
      <c r="B9"/>
      <c r="C9" t="s">
        <v>511</v>
      </c>
      <c r="D9"/>
      <c r="E9"/>
      <c r="F9"/>
      <c r="G9"/>
      <c r="H9"/>
      <c r="I9"/>
      <c r="J9"/>
      <c r="K9"/>
      <c r="L9" s="122"/>
      <c r="M9" s="122"/>
      <c r="N9"/>
      <c r="O9" s="122"/>
      <c r="P9"/>
      <c r="Q9" t="s">
        <v>210</v>
      </c>
      <c r="R9"/>
      <c r="S9"/>
      <c r="T9"/>
      <c r="U9"/>
      <c r="V9"/>
      <c r="W9"/>
      <c r="X9"/>
      <c r="Y9"/>
      <c r="Z9"/>
      <c r="CE9" s="68" t="str">
        <f t="shared" si="7"/>
        <v>Broody</v>
      </c>
      <c r="CF9" s="68">
        <f t="shared" ref="CF9" si="29">BatSplit(D9:CD9,MatchesPlayed)</f>
        <v>1</v>
      </c>
      <c r="CG9" s="68">
        <f t="shared" ref="CG9" si="30">CF9-CH9</f>
        <v>1</v>
      </c>
      <c r="CH9" s="68">
        <f t="shared" ref="CH9" si="31">BatSplit(D9:CD9,InnsBattedIn)</f>
        <v>0</v>
      </c>
      <c r="CI9" s="68">
        <f t="shared" ref="CI9" si="32">BatSplit(D9:CD9,NotOuts)</f>
        <v>0</v>
      </c>
      <c r="CJ9" s="68">
        <f t="shared" ref="CJ9" si="33">BatSplit(D9:CD9,HighestScore)</f>
        <v>0</v>
      </c>
      <c r="CK9" s="72">
        <f t="shared" ref="CK9" si="34">IF(CJ9&lt;0,-CJ9&amp;"*",CJ9)</f>
        <v>0</v>
      </c>
      <c r="CL9" s="68">
        <f t="shared" ref="CL9" si="35">BatSplit(D9:CD9,RunsScored)</f>
        <v>0</v>
      </c>
      <c r="CM9" s="70">
        <f t="shared" ref="CM9" si="36">IF(CH9=CI9,0,CL9/(CH9-CI9))</f>
        <v>0</v>
      </c>
      <c r="CN9" s="68">
        <f t="shared" ref="CN9" si="37">BatSplit(D9:CD9,BatPts)</f>
        <v>0</v>
      </c>
      <c r="CO9" s="68">
        <f t="shared" ref="CO9" si="38"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 t="shared" ref="CR9" si="39">BatSplit(D9:CD9,Ducks)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 t="shared" ref="CZ9" si="40">BatSplit(D9:CD9,Fifties)</f>
        <v>0</v>
      </c>
      <c r="DA9" s="71">
        <f t="shared" ref="DA9" si="41">BatSplit(D9:CD9,Catches)</f>
        <v>0</v>
      </c>
      <c r="DB9" s="71">
        <f t="shared" ref="DB9" si="42">BatSplit(D9:CD9,Fours)</f>
        <v>0</v>
      </c>
      <c r="DC9" s="71">
        <f t="shared" ref="DC9" si="43">BatSplit(D9:CD9,Sixes)</f>
        <v>0</v>
      </c>
      <c r="DD9" s="71">
        <f t="shared" ref="DD9" si="44">BatSplit(D9:CD9,Stumpings)</f>
        <v>0</v>
      </c>
      <c r="DE9" s="71">
        <f t="shared" ref="DE9" si="45">BatSplit(D9:CD9,CaughtWkt)</f>
        <v>0</v>
      </c>
      <c r="DF9" s="71">
        <f t="shared" ref="DF9" si="46">BatSplit(D9:CD9,TwentyFives)</f>
        <v>0</v>
      </c>
      <c r="DG9" s="68">
        <f t="shared" ref="DG9" si="47">ROUND(IF(ISERROR(CM9),0,CM9),2)*100000+CH9*100+CF9+CL9/100+ROW()/100000</f>
        <v>1.0000899999999999</v>
      </c>
      <c r="DH9" s="68">
        <f t="shared" si="4"/>
        <v>44</v>
      </c>
      <c r="DI9" s="68">
        <v>0</v>
      </c>
      <c r="DJ9" s="89" t="str">
        <f t="shared" ref="DJ9" si="48">IF(CL9&gt;=50,(DB9*4+DC9*6+DI9*5)/CL9,"")</f>
        <v/>
      </c>
      <c r="DK9" s="97" t="e">
        <f t="shared" ref="DK9" si="49">CR9/(CH9-CI9)</f>
        <v>#DIV/0!</v>
      </c>
    </row>
    <row r="10" spans="1:115" x14ac:dyDescent="0.15">
      <c r="B10"/>
      <c r="C10" t="s">
        <v>262</v>
      </c>
      <c r="D10" t="s">
        <v>272</v>
      </c>
      <c r="E10" t="s">
        <v>294</v>
      </c>
      <c r="F10"/>
      <c r="G10" t="s">
        <v>334</v>
      </c>
      <c r="H10"/>
      <c r="I10"/>
      <c r="J10"/>
      <c r="K10"/>
      <c r="L10" s="122"/>
      <c r="M10" s="122"/>
      <c r="N10" t="s">
        <v>461</v>
      </c>
      <c r="O10"/>
      <c r="P10"/>
      <c r="Q10"/>
      <c r="R10" t="s">
        <v>521</v>
      </c>
      <c r="S10" t="s">
        <v>546</v>
      </c>
      <c r="T10"/>
      <c r="U10"/>
      <c r="V10"/>
      <c r="W10"/>
      <c r="X10" t="s">
        <v>633</v>
      </c>
      <c r="Y10"/>
      <c r="Z10" t="s">
        <v>668</v>
      </c>
      <c r="CE10" s="68" t="str">
        <f t="shared" si="7"/>
        <v>Castle I</v>
      </c>
      <c r="CF10" s="68">
        <f>BatSplit(D10:CD10,MatchesPlayed)</f>
        <v>8</v>
      </c>
      <c r="CG10" s="68">
        <f t="shared" si="0"/>
        <v>0</v>
      </c>
      <c r="CH10" s="68">
        <f>BatSplit(D10:CD10,InnsBattedIn)</f>
        <v>8</v>
      </c>
      <c r="CI10" s="68">
        <f>BatSplit(D10:CD10,NotOuts)</f>
        <v>0</v>
      </c>
      <c r="CJ10" s="68">
        <f>BatSplit(D10:CD10,HighestScore)</f>
        <v>19</v>
      </c>
      <c r="CK10" s="72">
        <f t="shared" si="1"/>
        <v>19</v>
      </c>
      <c r="CL10" s="68">
        <f>BatSplit(D10:CD10,RunsScored)</f>
        <v>78</v>
      </c>
      <c r="CM10" s="70">
        <f t="shared" si="2"/>
        <v>9.75</v>
      </c>
      <c r="CN10" s="68">
        <f>BatSplit(D10:CD10,BatPts)</f>
        <v>73</v>
      </c>
      <c r="CO10" s="68">
        <f>BatSplit(D10:CD10,FldPts)</f>
        <v>20</v>
      </c>
      <c r="CP10" s="71">
        <f t="array" ref="CP10">SUM(IF(ISERR(FIND("*",D10:CD10)),0,1))</f>
        <v>0</v>
      </c>
      <c r="CQ10" s="71">
        <f t="array" ref="CQ10">SUM(IF(ISERR(FIND("+",D10:CD10)),0,1))</f>
        <v>0</v>
      </c>
      <c r="CR10" s="68">
        <f>BatSplit(D10:CD10,Ducks)</f>
        <v>1</v>
      </c>
      <c r="CS10" s="71">
        <f t="array" ref="CS10">SUM(IF(ISERR(FIND(CS$4,$D10:$CD10)),0,1))</f>
        <v>2</v>
      </c>
      <c r="CT10" s="71">
        <f t="array" ref="CT10">SUM(IF(ISERR(FIND(CT$4,$D10:$CD10)),0,1))</f>
        <v>2</v>
      </c>
      <c r="CU10" s="71">
        <f t="array" ref="CU10">SUM(IF(ISERR(FIND(CU$4,$D10:$CD10)),0,1))</f>
        <v>3</v>
      </c>
      <c r="CV10" s="71">
        <f t="array" ref="CV10">SUM(IF(ISERR(FIND(CV$4,$D10:$CD10)),0,1))</f>
        <v>1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>BatSplit(D10:CD10,Fifties)</f>
        <v>0</v>
      </c>
      <c r="DA10" s="71">
        <f>BatSplit(D10:CD10,Catches)</f>
        <v>4</v>
      </c>
      <c r="DB10" s="71">
        <f>BatSplit(D10:CD10,Fours)</f>
        <v>10</v>
      </c>
      <c r="DC10" s="71">
        <f>BatSplit(D10:CD10,Sixes)</f>
        <v>1</v>
      </c>
      <c r="DD10" s="71">
        <f>BatSplit(D10:CD10,Stumpings)</f>
        <v>0</v>
      </c>
      <c r="DE10" s="71">
        <f>BatSplit(D10:CD10,CaughtWkt)</f>
        <v>0</v>
      </c>
      <c r="DF10" s="71">
        <f>BatSplit(D10:CD10,TwentyFives)</f>
        <v>0</v>
      </c>
      <c r="DG10" s="68">
        <f t="shared" si="3"/>
        <v>975808.78009999997</v>
      </c>
      <c r="DH10" s="68">
        <f t="shared" si="4"/>
        <v>21</v>
      </c>
      <c r="DI10" s="68">
        <v>0</v>
      </c>
      <c r="DJ10" s="89">
        <f t="shared" si="5"/>
        <v>0.58974358974358976</v>
      </c>
      <c r="DK10" s="97">
        <f t="shared" si="6"/>
        <v>0.125</v>
      </c>
    </row>
    <row r="11" spans="1:115" x14ac:dyDescent="0.15">
      <c r="B11" s="122" t="s">
        <v>216</v>
      </c>
      <c r="C11" s="122" t="s">
        <v>217</v>
      </c>
      <c r="D11" t="s">
        <v>277</v>
      </c>
      <c r="E11" t="s">
        <v>299</v>
      </c>
      <c r="F11" t="s">
        <v>322</v>
      </c>
      <c r="G11"/>
      <c r="H11" t="s">
        <v>359</v>
      </c>
      <c r="I11" t="s">
        <v>377</v>
      </c>
      <c r="J11" t="s">
        <v>210</v>
      </c>
      <c r="K11"/>
      <c r="L11" t="s">
        <v>422</v>
      </c>
      <c r="M11" t="s">
        <v>437</v>
      </c>
      <c r="N11" t="s">
        <v>459</v>
      </c>
      <c r="O11"/>
      <c r="P11"/>
      <c r="Q11"/>
      <c r="R11"/>
      <c r="S11"/>
      <c r="T11"/>
      <c r="U11"/>
      <c r="V11"/>
      <c r="W11"/>
      <c r="X11"/>
      <c r="Y11"/>
      <c r="Z11"/>
      <c r="CE11" s="68" t="str">
        <f t="shared" si="7"/>
        <v>Clarkson M</v>
      </c>
      <c r="CF11" s="68">
        <f>BatSplit(D11:CD11,MatchesPlayed)</f>
        <v>9</v>
      </c>
      <c r="CG11" s="68">
        <f t="shared" si="0"/>
        <v>2</v>
      </c>
      <c r="CH11" s="68">
        <f>BatSplit(D11:CD11,InnsBattedIn)</f>
        <v>7</v>
      </c>
      <c r="CI11" s="68">
        <f>BatSplit(D11:CD11,NotOuts)</f>
        <v>1</v>
      </c>
      <c r="CJ11" s="68">
        <f>BatSplit(D11:CD11,HighestScore)</f>
        <v>-71</v>
      </c>
      <c r="CK11" s="72" t="str">
        <f t="shared" si="1"/>
        <v>71*</v>
      </c>
      <c r="CL11" s="68">
        <f>BatSplit(D11:CD11,RunsScored)</f>
        <v>122</v>
      </c>
      <c r="CM11" s="70">
        <f t="shared" si="2"/>
        <v>20.333333333333332</v>
      </c>
      <c r="CN11" s="68">
        <f>BatSplit(D11:CD11,BatPts)</f>
        <v>127</v>
      </c>
      <c r="CO11" s="68">
        <f>BatSplit(D11:CD11,FldPts)</f>
        <v>5</v>
      </c>
      <c r="CP11" s="71">
        <f t="array" ref="CP11">SUM(IF(ISERR(FIND("*",D11:CD11)),0,1))</f>
        <v>1</v>
      </c>
      <c r="CQ11" s="71">
        <f t="array" ref="CQ11">SUM(IF(ISERR(FIND("+",D11:CD11)),0,1))</f>
        <v>0</v>
      </c>
      <c r="CR11" s="68">
        <f>BatSplit(D11:CD11,Ducks)</f>
        <v>1</v>
      </c>
      <c r="CS11" s="71">
        <f t="array" ref="CS11">SUM(IF(ISERR(FIND(CS$4,$D11:$CD11)),0,1))</f>
        <v>0</v>
      </c>
      <c r="CT11" s="71">
        <f t="array" ref="CT11">SUM(IF(ISERR(FIND(CT$4,$D11:$CD11)),0,1))</f>
        <v>5</v>
      </c>
      <c r="CU11" s="71">
        <f t="array" ref="CU11">SUM(IF(ISERR(FIND(CU$4,$D11:$CD11)),0,1))</f>
        <v>1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1</v>
      </c>
      <c r="DB11" s="71">
        <f>BatSplit(D11:CD11,Fours)</f>
        <v>18</v>
      </c>
      <c r="DC11" s="71">
        <f>BatSplit(D11:CD11,Sixes)</f>
        <v>3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1</v>
      </c>
      <c r="DG11" s="68">
        <f t="shared" si="3"/>
        <v>2033710.2201099996</v>
      </c>
      <c r="DH11" s="68">
        <f t="shared" si="4"/>
        <v>12</v>
      </c>
      <c r="DI11" s="68">
        <v>0</v>
      </c>
      <c r="DJ11" s="89">
        <f t="shared" si="5"/>
        <v>0.73770491803278693</v>
      </c>
      <c r="DK11" s="97">
        <f t="shared" si="6"/>
        <v>0.16666666666666666</v>
      </c>
    </row>
    <row r="12" spans="1:115" x14ac:dyDescent="0.15">
      <c r="B12"/>
      <c r="C12" s="122" t="s">
        <v>324</v>
      </c>
      <c r="D12"/>
      <c r="E12"/>
      <c r="F12" t="s">
        <v>325</v>
      </c>
      <c r="G12"/>
      <c r="H12"/>
      <c r="I12"/>
      <c r="J12"/>
      <c r="K12"/>
      <c r="L12"/>
      <c r="M12"/>
      <c r="N12"/>
      <c r="O12"/>
      <c r="P12"/>
      <c r="Q12"/>
      <c r="R12"/>
      <c r="S12"/>
      <c r="U12"/>
      <c r="V12"/>
      <c r="W12"/>
      <c r="X12"/>
      <c r="Y12"/>
      <c r="Z12"/>
      <c r="CE12" s="68" t="str">
        <f t="shared" si="7"/>
        <v>Dean J</v>
      </c>
      <c r="CF12" s="68">
        <f t="shared" ref="CF12" si="50">BatSplit(D12:CD12,MatchesPlayed)</f>
        <v>1</v>
      </c>
      <c r="CG12" s="68">
        <f t="shared" ref="CG12" si="51">CF12-CH12</f>
        <v>0</v>
      </c>
      <c r="CH12" s="68">
        <f t="shared" ref="CH12" si="52">BatSplit(D12:CD12,InnsBattedIn)</f>
        <v>1</v>
      </c>
      <c r="CI12" s="68">
        <f t="shared" ref="CI12" si="53">BatSplit(D12:CD12,NotOuts)</f>
        <v>0</v>
      </c>
      <c r="CJ12" s="68">
        <f t="shared" ref="CJ12" si="54">BatSplit(D12:CD12,HighestScore)</f>
        <v>0</v>
      </c>
      <c r="CK12" s="72">
        <f t="shared" ref="CK12" si="55">IF(CJ12&lt;0,-CJ12&amp;"*",CJ12)</f>
        <v>0</v>
      </c>
      <c r="CL12" s="68">
        <f t="shared" ref="CL12" si="56">BatSplit(D12:CD12,RunsScored)</f>
        <v>0</v>
      </c>
      <c r="CM12" s="70">
        <f t="shared" ref="CM12" si="57">IF(CH12=CI12,0,CL12/(CH12-CI12))</f>
        <v>0</v>
      </c>
      <c r="CN12" s="68">
        <f t="shared" ref="CN12" si="58">BatSplit(D12:CD12,BatPts)</f>
        <v>-5</v>
      </c>
      <c r="CO12" s="68">
        <f t="shared" ref="CO12" si="59"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0</v>
      </c>
      <c r="CR12" s="68">
        <f t="shared" ref="CR12" si="60">BatSplit(D12:CD12,Ducks)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1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 t="shared" ref="CZ12" si="61">BatSplit(D12:CD12,Fifties)</f>
        <v>0</v>
      </c>
      <c r="DA12" s="71">
        <f t="shared" ref="DA12" si="62">BatSplit(D12:CD12,Catches)</f>
        <v>0</v>
      </c>
      <c r="DB12" s="71">
        <f t="shared" ref="DB12" si="63">BatSplit(D12:CD12,Fours)</f>
        <v>0</v>
      </c>
      <c r="DC12" s="71">
        <f t="shared" ref="DC12" si="64">BatSplit(D12:CD12,Sixes)</f>
        <v>0</v>
      </c>
      <c r="DD12" s="71">
        <f t="shared" ref="DD12" si="65">BatSplit(D12:CD12,Stumpings)</f>
        <v>0</v>
      </c>
      <c r="DE12" s="71">
        <f t="shared" ref="DE12" si="66">BatSplit(D12:CD12,CaughtWkt)</f>
        <v>0</v>
      </c>
      <c r="DF12" s="71">
        <f t="shared" ref="DF12" si="67">BatSplit(D12:CD12,TwentyFives)</f>
        <v>0</v>
      </c>
      <c r="DG12" s="68">
        <f t="shared" ref="DG12" si="68">ROUND(IF(ISERROR(CM12),0,CM12),2)*100000+CH12*100+CF12+CL12/100+ROW()/100000</f>
        <v>101.00012</v>
      </c>
      <c r="DH12" s="68">
        <f t="shared" si="4"/>
        <v>42</v>
      </c>
      <c r="DI12" s="68">
        <v>0</v>
      </c>
      <c r="DJ12" s="89" t="str">
        <f t="shared" ref="DJ12" si="69">IF(CL12&gt;=50,(DB12*4+DC12*6+DI12*5)/CL12,"")</f>
        <v/>
      </c>
      <c r="DK12" s="97">
        <f t="shared" ref="DK12" si="70">CR12/(CH12-CI12)</f>
        <v>1</v>
      </c>
    </row>
    <row r="13" spans="1:115" x14ac:dyDescent="0.15">
      <c r="B13" s="122" t="s">
        <v>255</v>
      </c>
      <c r="C13" s="122" t="s">
        <v>253</v>
      </c>
      <c r="K13" s="122"/>
      <c r="L13"/>
      <c r="M13"/>
      <c r="N13"/>
      <c r="O13"/>
      <c r="P13" t="s">
        <v>487</v>
      </c>
      <c r="Q13" t="s">
        <v>409</v>
      </c>
      <c r="R13" t="s">
        <v>525</v>
      </c>
      <c r="S13"/>
      <c r="T13"/>
      <c r="U13"/>
      <c r="V13"/>
      <c r="Y13"/>
      <c r="CE13" s="68" t="str">
        <f t="shared" si="7"/>
        <v>Driver S</v>
      </c>
      <c r="CF13" s="68">
        <f>BatSplit(D13:CD13,MatchesPlayed)</f>
        <v>3</v>
      </c>
      <c r="CG13" s="68">
        <f t="shared" si="0"/>
        <v>1</v>
      </c>
      <c r="CH13" s="68">
        <f>BatSplit(D13:CD13,InnsBattedIn)</f>
        <v>2</v>
      </c>
      <c r="CI13" s="68">
        <f>BatSplit(D13:CD13,NotOuts)</f>
        <v>0</v>
      </c>
      <c r="CJ13" s="68">
        <f>BatSplit(D13:CD13,HighestScore)</f>
        <v>47</v>
      </c>
      <c r="CK13" s="72">
        <f t="shared" si="1"/>
        <v>47</v>
      </c>
      <c r="CL13" s="68">
        <f>BatSplit(D13:CD13,RunsScored)</f>
        <v>47</v>
      </c>
      <c r="CM13" s="70">
        <f t="shared" si="2"/>
        <v>23.5</v>
      </c>
      <c r="CN13" s="68">
        <f>BatSplit(D13:CD13,BatPts)</f>
        <v>42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1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7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1</v>
      </c>
      <c r="DG13" s="68">
        <f t="shared" si="3"/>
        <v>2350203.4701300003</v>
      </c>
      <c r="DH13" s="68">
        <f t="shared" si="4"/>
        <v>8</v>
      </c>
      <c r="DI13" s="68">
        <v>0</v>
      </c>
      <c r="DJ13" s="89" t="str">
        <f t="shared" si="5"/>
        <v/>
      </c>
      <c r="DK13" s="97">
        <f t="shared" si="6"/>
        <v>0.5</v>
      </c>
    </row>
    <row r="14" spans="1:115" x14ac:dyDescent="0.15">
      <c r="B14" t="s">
        <v>239</v>
      </c>
      <c r="C14" t="s">
        <v>238</v>
      </c>
      <c r="D14"/>
      <c r="E14"/>
      <c r="F14"/>
      <c r="G14" s="122"/>
      <c r="H14" s="122"/>
      <c r="I14" s="122"/>
      <c r="J14" s="122"/>
      <c r="K14" s="122"/>
      <c r="L14"/>
      <c r="M14"/>
      <c r="N14"/>
      <c r="O14" t="s">
        <v>267</v>
      </c>
      <c r="P14"/>
      <c r="Q14" t="s">
        <v>234</v>
      </c>
      <c r="R14"/>
      <c r="S14"/>
      <c r="T14"/>
      <c r="U14"/>
      <c r="V14"/>
      <c r="X14"/>
      <c r="Y14" s="122"/>
      <c r="CE14" s="68" t="str">
        <f t="shared" si="7"/>
        <v>Edghill R</v>
      </c>
      <c r="CF14" s="68">
        <f>BatSplit(D14:CD14,MatchesPlayed)</f>
        <v>2</v>
      </c>
      <c r="CG14" s="68">
        <f t="shared" si="0"/>
        <v>2</v>
      </c>
      <c r="CH14" s="68">
        <f>BatSplit(D14:CD14,InnsBattedIn)</f>
        <v>0</v>
      </c>
      <c r="CI14" s="68">
        <f>BatSplit(D14:CD14,NotOuts)</f>
        <v>0</v>
      </c>
      <c r="CJ14" s="68">
        <f>BatSplit(D14:CD14,HighestScore)</f>
        <v>0</v>
      </c>
      <c r="CK14" s="72">
        <f t="shared" si="1"/>
        <v>0</v>
      </c>
      <c r="CL14" s="68">
        <f>BatSplit(D14:CD14,RunsScored)</f>
        <v>0</v>
      </c>
      <c r="CM14" s="70">
        <f t="shared" si="2"/>
        <v>0</v>
      </c>
      <c r="CN14" s="68">
        <f>BatSplit(D14:CD14,BatPts)</f>
        <v>0</v>
      </c>
      <c r="CO14" s="68">
        <f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>BatSplit(D14:CD14,Fifties)</f>
        <v>0</v>
      </c>
      <c r="DA14" s="71">
        <f>BatSplit(D14:CD14,Catches)</f>
        <v>1</v>
      </c>
      <c r="DB14" s="71">
        <f>BatSplit(D14:CD14,Fours)</f>
        <v>0</v>
      </c>
      <c r="DC14" s="71">
        <f>BatSplit(D14:CD14,Sixes)</f>
        <v>0</v>
      </c>
      <c r="DD14" s="71">
        <f>BatSplit(D14:CD14,Stumpings)</f>
        <v>0</v>
      </c>
      <c r="DE14" s="71">
        <f>BatSplit(D14:CD14,CaughtWkt)</f>
        <v>0</v>
      </c>
      <c r="DF14" s="71">
        <f>BatSplit(D14:CD14,TwentyFives)</f>
        <v>0</v>
      </c>
      <c r="DG14" s="68">
        <f t="shared" si="3"/>
        <v>2.00014</v>
      </c>
      <c r="DH14" s="68">
        <f t="shared" si="4"/>
        <v>43</v>
      </c>
      <c r="DI14" s="68">
        <v>0</v>
      </c>
      <c r="DJ14" s="89" t="str">
        <f t="shared" si="5"/>
        <v/>
      </c>
      <c r="DK14" s="97" t="e">
        <f t="shared" si="6"/>
        <v>#DIV/0!</v>
      </c>
    </row>
    <row r="15" spans="1:115" x14ac:dyDescent="0.15">
      <c r="A15" s="68" t="s">
        <v>174</v>
      </c>
      <c r="B15" s="68" t="s">
        <v>168</v>
      </c>
      <c r="C15" s="68" t="s">
        <v>169</v>
      </c>
      <c r="D15" s="122" t="s">
        <v>280</v>
      </c>
      <c r="E15" s="122" t="s">
        <v>300</v>
      </c>
      <c r="F15" s="122" t="s">
        <v>321</v>
      </c>
      <c r="G15" s="122" t="s">
        <v>336</v>
      </c>
      <c r="H15" s="122"/>
      <c r="I15" s="122"/>
      <c r="J15"/>
      <c r="K15"/>
      <c r="L15" t="s">
        <v>423</v>
      </c>
      <c r="M15" t="s">
        <v>210</v>
      </c>
      <c r="N15"/>
      <c r="O15" t="s">
        <v>483</v>
      </c>
      <c r="P15"/>
      <c r="Q15" t="s">
        <v>280</v>
      </c>
      <c r="R15" t="s">
        <v>526</v>
      </c>
      <c r="S15" t="s">
        <v>544</v>
      </c>
      <c r="T15" t="s">
        <v>562</v>
      </c>
      <c r="U15"/>
      <c r="V15"/>
      <c r="W15" t="s">
        <v>609</v>
      </c>
      <c r="X15"/>
      <c r="Y15"/>
      <c r="Z15"/>
      <c r="CE15" s="68" t="str">
        <f t="shared" si="7"/>
        <v>Edghill C</v>
      </c>
      <c r="CF15" s="68">
        <f>BatSplit(D15:CD15,MatchesPlayed)</f>
        <v>12</v>
      </c>
      <c r="CG15" s="68">
        <f t="shared" si="0"/>
        <v>5</v>
      </c>
      <c r="CH15" s="68">
        <f>BatSplit(D15:CD15,InnsBattedIn)</f>
        <v>7</v>
      </c>
      <c r="CI15" s="68">
        <f>BatSplit(D15:CD15,NotOuts)</f>
        <v>1</v>
      </c>
      <c r="CJ15" s="68">
        <f>BatSplit(D15:CD15,HighestScore)</f>
        <v>21</v>
      </c>
      <c r="CK15" s="72">
        <f t="shared" si="1"/>
        <v>21</v>
      </c>
      <c r="CL15" s="68">
        <f>BatSplit(D15:CD15,RunsScored)</f>
        <v>82</v>
      </c>
      <c r="CM15" s="70">
        <f t="shared" si="2"/>
        <v>13.666666666666666</v>
      </c>
      <c r="CN15" s="68">
        <f>BatSplit(D15:CD15,BatPts)</f>
        <v>77</v>
      </c>
      <c r="CO15" s="68">
        <f>BatSplit(D15:CD15,FldPts)</f>
        <v>5</v>
      </c>
      <c r="CP15" s="71">
        <f t="array" ref="CP15">SUM(IF(ISERR(FIND("*",D15:CD15)),0,1))</f>
        <v>0</v>
      </c>
      <c r="CQ15" s="71">
        <f t="array" ref="CQ15">SUM(IF(ISERR(FIND("+",D15:CD15)),0,1))</f>
        <v>10</v>
      </c>
      <c r="CR15" s="68">
        <f>BatSplit(D15:CD15,Ducks)</f>
        <v>1</v>
      </c>
      <c r="CS15" s="71">
        <f t="array" ref="CS15">SUM(IF(ISERR(FIND(CS$4,$D15:$CD15)),0,1))</f>
        <v>3</v>
      </c>
      <c r="CT15" s="71">
        <f t="array" ref="CT15">SUM(IF(ISERR(FIND(CT$4,$D15:$CD15)),0,1))</f>
        <v>2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1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8</v>
      </c>
      <c r="DB15" s="71">
        <f>BatSplit(D15:CD15,Fours)</f>
        <v>14</v>
      </c>
      <c r="DC15" s="71">
        <f>BatSplit(D15:CD15,Sixes)</f>
        <v>0</v>
      </c>
      <c r="DD15" s="71">
        <f>BatSplit(D15:CD15,Stumpings)</f>
        <v>2</v>
      </c>
      <c r="DE15" s="71">
        <f>BatSplit(D15:CD15,CaughtWkt)</f>
        <v>7</v>
      </c>
      <c r="DF15" s="71">
        <f>BatSplit(D15:CD15,TwentyFives)</f>
        <v>0</v>
      </c>
      <c r="DG15" s="68">
        <f t="shared" si="3"/>
        <v>1367712.82015</v>
      </c>
      <c r="DH15" s="68">
        <f t="shared" si="4"/>
        <v>17</v>
      </c>
      <c r="DI15" s="68">
        <v>0</v>
      </c>
      <c r="DJ15" s="89">
        <f t="shared" si="5"/>
        <v>0.68292682926829273</v>
      </c>
      <c r="DK15" s="97">
        <f t="shared" si="6"/>
        <v>0.16666666666666666</v>
      </c>
    </row>
    <row r="16" spans="1:115" x14ac:dyDescent="0.15">
      <c r="B16" s="122" t="s">
        <v>603</v>
      </c>
      <c r="C16" s="122" t="s">
        <v>707</v>
      </c>
      <c r="D16" s="122"/>
      <c r="E16" s="122"/>
      <c r="F16" s="122"/>
      <c r="G16" s="122"/>
      <c r="H16" s="122"/>
      <c r="I16" s="122"/>
      <c r="J16"/>
      <c r="K16"/>
      <c r="L16"/>
      <c r="M16"/>
      <c r="N16"/>
      <c r="O16"/>
      <c r="P16"/>
      <c r="Q16"/>
      <c r="R16"/>
      <c r="S16"/>
      <c r="T16"/>
      <c r="U16"/>
      <c r="V16" t="s">
        <v>604</v>
      </c>
      <c r="W16"/>
      <c r="X16" t="s">
        <v>638</v>
      </c>
      <c r="Y16"/>
      <c r="Z16"/>
      <c r="CE16" s="68" t="str">
        <f t="shared" si="7"/>
        <v>Freira J</v>
      </c>
      <c r="CF16" s="68">
        <f t="shared" ref="CF16" si="71">BatSplit(D16:CD16,MatchesPlayed)</f>
        <v>2</v>
      </c>
      <c r="CG16" s="68">
        <f t="shared" ref="CG16" si="72">CF16-CH16</f>
        <v>0</v>
      </c>
      <c r="CH16" s="68">
        <f t="shared" ref="CH16" si="73">BatSplit(D16:CD16,InnsBattedIn)</f>
        <v>2</v>
      </c>
      <c r="CI16" s="68">
        <f t="shared" ref="CI16" si="74">BatSplit(D16:CD16,NotOuts)</f>
        <v>1</v>
      </c>
      <c r="CJ16" s="68">
        <f t="shared" ref="CJ16" si="75">BatSplit(D16:CD16,HighestScore)</f>
        <v>-13</v>
      </c>
      <c r="CK16" s="72" t="str">
        <f t="shared" ref="CK16" si="76">IF(CJ16&lt;0,-CJ16&amp;"*",CJ16)</f>
        <v>13*</v>
      </c>
      <c r="CL16" s="68">
        <f t="shared" ref="CL16" si="77">BatSplit(D16:CD16,RunsScored)</f>
        <v>22</v>
      </c>
      <c r="CM16" s="70">
        <f t="shared" ref="CM16" si="78">IF(CH16=CI16,0,CL16/(CH16-CI16))</f>
        <v>22</v>
      </c>
      <c r="CN16" s="68">
        <f t="shared" ref="CN16" si="79">BatSplit(D16:CD16,BatPts)</f>
        <v>22</v>
      </c>
      <c r="CO16" s="68">
        <f t="shared" ref="CO16" si="80">BatSplit(D16:CD16,FldPts)</f>
        <v>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1">BatSplit(D16:CD16,Ducks)</f>
        <v>0</v>
      </c>
      <c r="CS16" s="71">
        <f t="array" ref="CS16">SUM(IF(ISERR(FIND(CS$4,$D16:$CD16)),0,1))</f>
        <v>1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82">BatSplit(D16:CD16,Fifties)</f>
        <v>0</v>
      </c>
      <c r="DA16" s="71">
        <f t="shared" ref="DA16" si="83">BatSplit(D16:CD16,Catches)</f>
        <v>0</v>
      </c>
      <c r="DB16" s="71">
        <f t="shared" ref="DB16" si="84">BatSplit(D16:CD16,Fours)</f>
        <v>2</v>
      </c>
      <c r="DC16" s="71">
        <f t="shared" ref="DC16" si="85">BatSplit(D16:CD16,Sixes)</f>
        <v>0</v>
      </c>
      <c r="DD16" s="71">
        <f t="shared" ref="DD16" si="86">BatSplit(D16:CD16,Stumpings)</f>
        <v>0</v>
      </c>
      <c r="DE16" s="71">
        <f t="shared" ref="DE16" si="87">BatSplit(D16:CD16,CaughtWkt)</f>
        <v>0</v>
      </c>
      <c r="DF16" s="71">
        <f t="shared" ref="DF16" si="88">BatSplit(D16:CD16,TwentyFives)</f>
        <v>0</v>
      </c>
      <c r="DG16" s="68">
        <f t="shared" ref="DG16" si="89">ROUND(IF(ISERROR(CM16),0,CM16),2)*100000+CH16*100+CF16+CL16/100+ROW()/100000</f>
        <v>2200202.22016</v>
      </c>
      <c r="DH16" s="68">
        <f t="shared" si="4"/>
        <v>9</v>
      </c>
      <c r="DI16" s="68">
        <v>0</v>
      </c>
      <c r="DJ16" s="89" t="str">
        <f t="shared" ref="DJ16" si="90">IF(CL16&gt;=50,(DB16*4+DC16*6+DI16*5)/CL16,"")</f>
        <v/>
      </c>
      <c r="DK16" s="97">
        <f t="shared" ref="DK16" si="91">CR16/(CH16-CI16)</f>
        <v>0</v>
      </c>
    </row>
    <row r="17" spans="2:115" x14ac:dyDescent="0.15">
      <c r="C17" s="122" t="s">
        <v>590</v>
      </c>
      <c r="D17" s="122"/>
      <c r="E17" s="122"/>
      <c r="F17" s="122"/>
      <c r="G17" s="122"/>
      <c r="H17" s="122"/>
      <c r="I17" s="122"/>
      <c r="J17" s="122"/>
      <c r="K17"/>
      <c r="L17"/>
      <c r="M17"/>
      <c r="N17"/>
      <c r="O17"/>
      <c r="P17"/>
      <c r="Q17"/>
      <c r="R17"/>
      <c r="S17"/>
      <c r="T17"/>
      <c r="U17" t="s">
        <v>591</v>
      </c>
      <c r="V17"/>
      <c r="W17" t="s">
        <v>611</v>
      </c>
      <c r="X17"/>
      <c r="Y17" t="s">
        <v>653</v>
      </c>
      <c r="Z17"/>
      <c r="CE17" s="68" t="str">
        <f t="shared" si="7"/>
        <v>Foxworthy P</v>
      </c>
      <c r="CF17" s="68">
        <f t="shared" ref="CF17" si="92">BatSplit(D17:CD17,MatchesPlayed)</f>
        <v>3</v>
      </c>
      <c r="CG17" s="68">
        <f t="shared" ref="CG17" si="93">CF17-CH17</f>
        <v>0</v>
      </c>
      <c r="CH17" s="68">
        <f t="shared" ref="CH17" si="94">BatSplit(D17:CD17,InnsBattedIn)</f>
        <v>3</v>
      </c>
      <c r="CI17" s="68">
        <f t="shared" ref="CI17" si="95">BatSplit(D17:CD17,NotOuts)</f>
        <v>0</v>
      </c>
      <c r="CJ17" s="68">
        <f t="shared" ref="CJ17" si="96">BatSplit(D17:CD17,HighestScore)</f>
        <v>11</v>
      </c>
      <c r="CK17" s="72">
        <f t="shared" ref="CK17" si="97">IF(CJ17&lt;0,-CJ17&amp;"*",CJ17)</f>
        <v>11</v>
      </c>
      <c r="CL17" s="68">
        <f t="shared" ref="CL17" si="98">BatSplit(D17:CD17,RunsScored)</f>
        <v>21</v>
      </c>
      <c r="CM17" s="70">
        <f t="shared" ref="CM17" si="99">IF(CH17=CI17,0,CL17/(CH17-CI17))</f>
        <v>7</v>
      </c>
      <c r="CN17" s="68">
        <f t="shared" ref="CN17" si="100">BatSplit(D17:CD17,BatPts)</f>
        <v>16</v>
      </c>
      <c r="CO17" s="68">
        <f t="shared" ref="CO17" si="101">BatSplit(D17:CD17,FldPts)</f>
        <v>0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02">BatSplit(D17:CD17,Ducks)</f>
        <v>1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1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03">BatSplit(D17:CD17,Fifties)</f>
        <v>0</v>
      </c>
      <c r="DA17" s="71">
        <f t="shared" ref="DA17" si="104">BatSplit(D17:CD17,Catches)</f>
        <v>0</v>
      </c>
      <c r="DB17" s="71">
        <f t="shared" ref="DB17" si="105">BatSplit(D17:CD17,Fours)</f>
        <v>2</v>
      </c>
      <c r="DC17" s="71">
        <f t="shared" ref="DC17" si="106">BatSplit(D17:CD17,Sixes)</f>
        <v>0</v>
      </c>
      <c r="DD17" s="71">
        <f t="shared" ref="DD17" si="107">BatSplit(D17:CD17,Stumpings)</f>
        <v>0</v>
      </c>
      <c r="DE17" s="71">
        <f t="shared" ref="DE17" si="108">BatSplit(D17:CD17,CaughtWkt)</f>
        <v>0</v>
      </c>
      <c r="DF17" s="71">
        <f t="shared" ref="DF17" si="109">BatSplit(D17:CD17,TwentyFives)</f>
        <v>0</v>
      </c>
      <c r="DG17" s="68">
        <f t="shared" ref="DG17" si="110">ROUND(IF(ISERROR(CM17),0,CM17),2)*100000+CH17*100+CF17+CL17/100+ROW()/100000</f>
        <v>700303.21016999998</v>
      </c>
      <c r="DH17" s="68">
        <f t="shared" si="4"/>
        <v>23</v>
      </c>
      <c r="DI17" s="68">
        <v>0</v>
      </c>
      <c r="DJ17" s="89" t="str">
        <f t="shared" ref="DJ17" si="111">IF(CL17&gt;=50,(DB17*4+DC17*6+DI17*5)/CL17,"")</f>
        <v/>
      </c>
      <c r="DK17" s="97">
        <f t="shared" ref="DK17" si="112">CR17/(CH17-CI17)</f>
        <v>0.33333333333333331</v>
      </c>
    </row>
    <row r="18" spans="2:115" x14ac:dyDescent="0.15">
      <c r="C18" s="122" t="s">
        <v>406</v>
      </c>
      <c r="D18" s="122"/>
      <c r="E18" s="122"/>
      <c r="F18" s="122"/>
      <c r="G18" s="122"/>
      <c r="H18" s="122"/>
      <c r="I18" s="122"/>
      <c r="J18" s="122"/>
      <c r="K18" t="s">
        <v>407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8" t="str">
        <f t="shared" si="7"/>
        <v>Gardezi S</v>
      </c>
      <c r="CF18" s="68">
        <f t="shared" ref="CF18" si="113">BatSplit(D18:CD18,MatchesPlayed)</f>
        <v>1</v>
      </c>
      <c r="CG18" s="68">
        <f t="shared" ref="CG18" si="114">CF18-CH18</f>
        <v>0</v>
      </c>
      <c r="CH18" s="68">
        <f t="shared" ref="CH18" si="115">BatSplit(D18:CD18,InnsBattedIn)</f>
        <v>1</v>
      </c>
      <c r="CI18" s="68">
        <f t="shared" ref="CI18" si="116">BatSplit(D18:CD18,NotOuts)</f>
        <v>0</v>
      </c>
      <c r="CJ18" s="68">
        <f t="shared" ref="CJ18" si="117">BatSplit(D18:CD18,HighestScore)</f>
        <v>4</v>
      </c>
      <c r="CK18" s="72">
        <f t="shared" ref="CK18" si="118">IF(CJ18&lt;0,-CJ18&amp;"*",CJ18)</f>
        <v>4</v>
      </c>
      <c r="CL18" s="68">
        <f t="shared" ref="CL18" si="119">BatSplit(D18:CD18,RunsScored)</f>
        <v>4</v>
      </c>
      <c r="CM18" s="70">
        <f t="shared" ref="CM18" si="120">IF(CH18=CI18,0,CL18/(CH18-CI18))</f>
        <v>4</v>
      </c>
      <c r="CN18" s="68">
        <f t="shared" ref="CN18" si="121">BatSplit(D18:CD18,BatPts)</f>
        <v>4</v>
      </c>
      <c r="CO18" s="68">
        <f t="shared" ref="CO18" si="122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23">BatSplit(D18:CD18,Ducks)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1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24">BatSplit(D18:CD18,Fifties)</f>
        <v>0</v>
      </c>
      <c r="DA18" s="71">
        <f t="shared" ref="DA18" si="125">BatSplit(D18:CD18,Catches)</f>
        <v>0</v>
      </c>
      <c r="DB18" s="71">
        <f t="shared" ref="DB18" si="126">BatSplit(D18:CD18,Fours)</f>
        <v>0</v>
      </c>
      <c r="DC18" s="71">
        <f t="shared" ref="DC18" si="127">BatSplit(D18:CD18,Sixes)</f>
        <v>0</v>
      </c>
      <c r="DD18" s="71">
        <f t="shared" ref="DD18" si="128">BatSplit(D18:CD18,Stumpings)</f>
        <v>0</v>
      </c>
      <c r="DE18" s="71">
        <f t="shared" ref="DE18" si="129">BatSplit(D18:CD18,CaughtWkt)</f>
        <v>0</v>
      </c>
      <c r="DF18" s="71">
        <f t="shared" ref="DF18" si="130">BatSplit(D18:CD18,TwentyFives)</f>
        <v>0</v>
      </c>
      <c r="DG18" s="68">
        <f t="shared" ref="DG18" si="131">ROUND(IF(ISERROR(CM18),0,CM18),2)*100000+CH18*100+CF18+CL18/100+ROW()/100000</f>
        <v>400101.04017999995</v>
      </c>
      <c r="DH18" s="68">
        <f t="shared" si="4"/>
        <v>35</v>
      </c>
      <c r="DI18" s="68">
        <v>0</v>
      </c>
      <c r="DJ18" s="89" t="str">
        <f t="shared" ref="DJ18" si="132">IF(CL18&gt;=50,(DB18*4+DC18*6+DI18*5)/CL18,"")</f>
        <v/>
      </c>
      <c r="DK18" s="97">
        <f t="shared" ref="DK18" si="133">CR18/(CH18-CI18)</f>
        <v>0</v>
      </c>
    </row>
    <row r="19" spans="2:115" x14ac:dyDescent="0.15">
      <c r="C19" s="122" t="s">
        <v>265</v>
      </c>
      <c r="D19" s="122"/>
      <c r="E19" s="122"/>
      <c r="F19" s="122"/>
      <c r="G19" s="122"/>
      <c r="H19" s="122"/>
      <c r="I19" s="122"/>
      <c r="J19"/>
      <c r="K19"/>
      <c r="L19"/>
      <c r="M19"/>
      <c r="N19"/>
      <c r="O19" t="s">
        <v>481</v>
      </c>
      <c r="P19"/>
      <c r="Q19"/>
      <c r="S19"/>
      <c r="T19"/>
      <c r="U19"/>
      <c r="V19"/>
      <c r="W19"/>
      <c r="X19"/>
      <c r="Y19"/>
      <c r="Z19"/>
      <c r="CE19" s="68" t="str">
        <f t="shared" si="7"/>
        <v>Giles M</v>
      </c>
      <c r="CF19" s="68">
        <f t="shared" ref="CF19" si="134">BatSplit(D19:CD19,MatchesPlayed)</f>
        <v>1</v>
      </c>
      <c r="CG19" s="68">
        <f t="shared" ref="CG19" si="135">CF19-CH19</f>
        <v>0</v>
      </c>
      <c r="CH19" s="68">
        <f t="shared" ref="CH19" si="136">BatSplit(D19:CD19,InnsBattedIn)</f>
        <v>1</v>
      </c>
      <c r="CI19" s="68">
        <f t="shared" ref="CI19" si="137">BatSplit(D19:CD19,NotOuts)</f>
        <v>1</v>
      </c>
      <c r="CJ19" s="68">
        <f t="shared" ref="CJ19" si="138">BatSplit(D19:CD19,HighestScore)</f>
        <v>-4</v>
      </c>
      <c r="CK19" s="72" t="str">
        <f t="shared" ref="CK19" si="139">IF(CJ19&lt;0,-CJ19&amp;"*",CJ19)</f>
        <v>4*</v>
      </c>
      <c r="CL19" s="68">
        <f t="shared" ref="CL19" si="140">BatSplit(D19:CD19,RunsScored)</f>
        <v>4</v>
      </c>
      <c r="CM19" s="70">
        <f t="shared" ref="CM19" si="141">IF(CH19=CI19,0,CL19/(CH19-CI19))</f>
        <v>0</v>
      </c>
      <c r="CN19" s="68">
        <f t="shared" ref="CN19" si="142">BatSplit(D19:CD19,BatPts)</f>
        <v>4</v>
      </c>
      <c r="CO19" s="68">
        <f t="shared" ref="CO19" si="143">BatSplit(D19:CD19,FldPts)</f>
        <v>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44">BatSplit(D19:CD19,Ducks)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45">BatSplit(D19:CD19,Fifties)</f>
        <v>0</v>
      </c>
      <c r="DA19" s="71">
        <f t="shared" ref="DA19" si="146">BatSplit(D19:CD19,Catches)</f>
        <v>0</v>
      </c>
      <c r="DB19" s="71">
        <f t="shared" ref="DB19" si="147">BatSplit(D19:CD19,Fours)</f>
        <v>1</v>
      </c>
      <c r="DC19" s="71">
        <f t="shared" ref="DC19" si="148">BatSplit(D19:CD19,Sixes)</f>
        <v>0</v>
      </c>
      <c r="DD19" s="71">
        <f t="shared" ref="DD19" si="149">BatSplit(D19:CD19,Stumpings)</f>
        <v>0</v>
      </c>
      <c r="DE19" s="71">
        <f t="shared" ref="DE19" si="150">BatSplit(D19:CD19,CaughtWkt)</f>
        <v>0</v>
      </c>
      <c r="DF19" s="71">
        <f t="shared" ref="DF19" si="151">BatSplit(D19:CD19,TwentyFives)</f>
        <v>0</v>
      </c>
      <c r="DG19" s="68">
        <f t="shared" ref="DG19" si="152">ROUND(IF(ISERROR(CM19),0,CM19),2)*100000+CH19*100+CF19+CL19/100+ROW()/100000</f>
        <v>101.04019000000001</v>
      </c>
      <c r="DH19" s="68">
        <f t="shared" si="4"/>
        <v>39</v>
      </c>
      <c r="DI19" s="68">
        <v>0</v>
      </c>
      <c r="DJ19" s="89" t="str">
        <f t="shared" ref="DJ19" si="153">IF(CL19&gt;=50,(DB19*4+DC19*6+DI19*5)/CL19,"")</f>
        <v/>
      </c>
      <c r="DK19" s="97" t="e">
        <f t="shared" ref="DK19" si="154">CR19/(CH19-CI19)</f>
        <v>#DIV/0!</v>
      </c>
    </row>
    <row r="20" spans="2:115" x14ac:dyDescent="0.15">
      <c r="B20" s="68" t="s">
        <v>198</v>
      </c>
      <c r="C20" s="68" t="s">
        <v>197</v>
      </c>
      <c r="D20"/>
      <c r="F20" t="s">
        <v>327</v>
      </c>
      <c r="G20"/>
      <c r="H20"/>
      <c r="I20"/>
      <c r="J20" t="s">
        <v>232</v>
      </c>
      <c r="K20"/>
      <c r="L20" s="122" t="s">
        <v>232</v>
      </c>
      <c r="M20"/>
      <c r="N20"/>
      <c r="O20"/>
      <c r="P20"/>
      <c r="Q20"/>
      <c r="R20"/>
      <c r="S20"/>
      <c r="T20"/>
      <c r="U20"/>
      <c r="V20"/>
      <c r="W20" t="s">
        <v>565</v>
      </c>
      <c r="X20"/>
      <c r="CE20" s="68" t="str">
        <f t="shared" si="7"/>
        <v>Kiernan M</v>
      </c>
      <c r="CF20" s="68">
        <f>BatSplit(D20:CD20,MatchesPlayed)</f>
        <v>4</v>
      </c>
      <c r="CG20" s="68">
        <f t="shared" si="0"/>
        <v>2</v>
      </c>
      <c r="CH20" s="68">
        <f>BatSplit(D20:CD20,InnsBattedIn)</f>
        <v>2</v>
      </c>
      <c r="CI20" s="68">
        <f>BatSplit(D20:CD20,NotOuts)</f>
        <v>2</v>
      </c>
      <c r="CJ20" s="68">
        <f>BatSplit(D20:CD20,HighestScore)</f>
        <v>-3</v>
      </c>
      <c r="CK20" s="72" t="str">
        <f t="shared" si="1"/>
        <v>3*</v>
      </c>
      <c r="CL20" s="68">
        <f>BatSplit(D20:CD20,RunsScored)</f>
        <v>3</v>
      </c>
      <c r="CM20" s="70">
        <f t="shared" si="2"/>
        <v>0</v>
      </c>
      <c r="CN20" s="68">
        <f>BatSplit(D20:CD20,BatPts)</f>
        <v>3</v>
      </c>
      <c r="CO20" s="68">
        <f>BatSplit(D20:CD20,FldPts)</f>
        <v>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0</v>
      </c>
      <c r="CS20" s="71">
        <f t="array" ref="CS20">SUM(IF(ISERR(FIND(CS$4,$D20:$CD20)),0,1))</f>
        <v>0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0</v>
      </c>
      <c r="DB20" s="71">
        <f>BatSplit(D20:CD20,Fours)</f>
        <v>0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3"/>
        <v>204.03020000000001</v>
      </c>
      <c r="DH20" s="68">
        <f t="shared" si="4"/>
        <v>36</v>
      </c>
      <c r="DI20" s="68">
        <v>0</v>
      </c>
      <c r="DJ20" s="89" t="str">
        <f t="shared" si="5"/>
        <v/>
      </c>
      <c r="DK20" s="97" t="e">
        <f t="shared" si="6"/>
        <v>#DIV/0!</v>
      </c>
    </row>
    <row r="21" spans="2:115" x14ac:dyDescent="0.15">
      <c r="B21" t="s">
        <v>170</v>
      </c>
      <c r="C21" t="s">
        <v>171</v>
      </c>
      <c r="D21" s="122"/>
      <c r="E21" s="122"/>
      <c r="F21"/>
      <c r="G21"/>
      <c r="H21"/>
      <c r="I21"/>
      <c r="J21"/>
      <c r="K21"/>
      <c r="N21"/>
      <c r="O21" s="122" t="s">
        <v>482</v>
      </c>
      <c r="P21" s="122" t="s">
        <v>495</v>
      </c>
      <c r="Q21"/>
      <c r="R21"/>
      <c r="T21"/>
      <c r="U21" s="122" t="s">
        <v>587</v>
      </c>
      <c r="V21"/>
      <c r="Y21"/>
      <c r="Z21"/>
      <c r="CE21" s="68" t="str">
        <f t="shared" si="7"/>
        <v>Lestrelle A</v>
      </c>
      <c r="CF21" s="68">
        <f>BatSplit(D21:CD21,MatchesPlayed)</f>
        <v>3</v>
      </c>
      <c r="CG21" s="68">
        <f t="shared" si="0"/>
        <v>1</v>
      </c>
      <c r="CH21" s="68">
        <f>BatSplit(D21:CD21,InnsBattedIn)</f>
        <v>2</v>
      </c>
      <c r="CI21" s="68">
        <f>BatSplit(D21:CD21,NotOuts)</f>
        <v>1</v>
      </c>
      <c r="CJ21" s="68">
        <f>BatSplit(D21:CD21,HighestScore)</f>
        <v>-4</v>
      </c>
      <c r="CK21" s="72" t="str">
        <f t="shared" si="1"/>
        <v>4*</v>
      </c>
      <c r="CL21" s="68">
        <f>BatSplit(D21:CD21,RunsScored)</f>
        <v>7</v>
      </c>
      <c r="CM21" s="70">
        <f t="shared" si="2"/>
        <v>7</v>
      </c>
      <c r="CN21" s="68">
        <f>BatSplit(D21:CD21,BatPts)</f>
        <v>7</v>
      </c>
      <c r="CO21" s="68">
        <f>BatSplit(D21:CD21,FldPts)</f>
        <v>15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1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3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700203.07020999992</v>
      </c>
      <c r="DH21" s="68">
        <f t="shared" si="4"/>
        <v>24</v>
      </c>
      <c r="DI21" s="68">
        <v>0</v>
      </c>
      <c r="DJ21" s="89" t="str">
        <f t="shared" si="5"/>
        <v/>
      </c>
      <c r="DK21" s="97">
        <f t="shared" si="6"/>
        <v>0</v>
      </c>
    </row>
    <row r="22" spans="2:115" x14ac:dyDescent="0.15">
      <c r="B22"/>
      <c r="C22" t="s">
        <v>557</v>
      </c>
      <c r="D22" s="122"/>
      <c r="E22" s="122"/>
      <c r="F22"/>
      <c r="G22"/>
      <c r="H22"/>
      <c r="I22"/>
      <c r="J22"/>
      <c r="K22"/>
      <c r="N22"/>
      <c r="O22" s="122"/>
      <c r="P22" s="122"/>
      <c r="Q22"/>
      <c r="R22"/>
      <c r="T22" t="s">
        <v>558</v>
      </c>
      <c r="V22"/>
      <c r="Y22"/>
      <c r="Z22"/>
      <c r="CE22" s="68" t="str">
        <f t="shared" si="7"/>
        <v>Locke K</v>
      </c>
      <c r="CF22" s="68">
        <f t="shared" ref="CF22" si="155">BatSplit(D22:CD22,MatchesPlayed)</f>
        <v>1</v>
      </c>
      <c r="CG22" s="68">
        <f t="shared" ref="CG22" si="156">CF22-CH22</f>
        <v>0</v>
      </c>
      <c r="CH22" s="68">
        <f t="shared" ref="CH22" si="157">BatSplit(D22:CD22,InnsBattedIn)</f>
        <v>1</v>
      </c>
      <c r="CI22" s="68">
        <f t="shared" ref="CI22" si="158">BatSplit(D22:CD22,NotOuts)</f>
        <v>0</v>
      </c>
      <c r="CJ22" s="68">
        <f t="shared" ref="CJ22" si="159">BatSplit(D22:CD22,HighestScore)</f>
        <v>4</v>
      </c>
      <c r="CK22" s="72">
        <f t="shared" ref="CK22" si="160">IF(CJ22&lt;0,-CJ22&amp;"*",CJ22)</f>
        <v>4</v>
      </c>
      <c r="CL22" s="68">
        <f t="shared" ref="CL22" si="161">BatSplit(D22:CD22,RunsScored)</f>
        <v>4</v>
      </c>
      <c r="CM22" s="70">
        <f t="shared" ref="CM22" si="162">IF(CH22=CI22,0,CL22/(CH22-CI22))</f>
        <v>4</v>
      </c>
      <c r="CN22" s="68">
        <f t="shared" ref="CN22" si="163">BatSplit(D22:CD22,BatPts)</f>
        <v>4</v>
      </c>
      <c r="CO22" s="68">
        <f t="shared" ref="CO22" si="164">BatSplit(D22:CD22,FldPts)</f>
        <v>0</v>
      </c>
      <c r="CP22" s="71">
        <f t="array" ref="CP22">SUM(IF(ISERR(FIND("*",D22:CD22)),0,1))</f>
        <v>0</v>
      </c>
      <c r="CQ22" s="71">
        <f t="array" ref="CQ22">SUM(IF(ISERR(FIND("+",D22:CD22)),0,1))</f>
        <v>0</v>
      </c>
      <c r="CR22" s="68">
        <f t="shared" ref="CR22" si="165"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1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 t="shared" ref="CZ22" si="166">BatSplit(D22:CD22,Fifties)</f>
        <v>0</v>
      </c>
      <c r="DA22" s="71">
        <f t="shared" ref="DA22" si="167">BatSplit(D22:CD22,Catches)</f>
        <v>0</v>
      </c>
      <c r="DB22" s="71">
        <f t="shared" ref="DB22" si="168">BatSplit(D22:CD22,Fours)</f>
        <v>0</v>
      </c>
      <c r="DC22" s="71">
        <f t="shared" ref="DC22" si="169">BatSplit(D22:CD22,Sixes)</f>
        <v>0</v>
      </c>
      <c r="DD22" s="71">
        <f t="shared" ref="DD22" si="170">BatSplit(D22:CD22,Stumpings)</f>
        <v>0</v>
      </c>
      <c r="DE22" s="71">
        <f t="shared" ref="DE22" si="171">BatSplit(D22:CD22,CaughtWkt)</f>
        <v>0</v>
      </c>
      <c r="DF22" s="71">
        <f t="shared" ref="DF22" si="172">BatSplit(D22:CD22,TwentyFives)</f>
        <v>0</v>
      </c>
      <c r="DG22" s="68">
        <f t="shared" ref="DG22" si="173">ROUND(IF(ISERROR(CM22),0,CM22),2)*100000+CH22*100+CF22+CL22/100+ROW()/100000</f>
        <v>400101.04021999997</v>
      </c>
      <c r="DH22" s="68">
        <f t="shared" si="4"/>
        <v>34</v>
      </c>
      <c r="DI22" s="68">
        <v>0</v>
      </c>
      <c r="DJ22" s="89" t="str">
        <f t="shared" ref="DJ22" si="174">IF(CL22&gt;=50,(DB22*4+DC22*6+DI22*5)/CL22,"")</f>
        <v/>
      </c>
      <c r="DK22" s="97">
        <f t="shared" ref="DK22" si="175">CR22/(CH22-CI22)</f>
        <v>0</v>
      </c>
    </row>
    <row r="23" spans="2:115" x14ac:dyDescent="0.15">
      <c r="B23" s="122" t="s">
        <v>27</v>
      </c>
      <c r="C23" t="s">
        <v>231</v>
      </c>
      <c r="D23"/>
      <c r="E23" t="s">
        <v>232</v>
      </c>
      <c r="F23"/>
      <c r="G23" t="s">
        <v>234</v>
      </c>
      <c r="H23" s="122" t="s">
        <v>260</v>
      </c>
      <c r="I23" s="122" t="s">
        <v>378</v>
      </c>
      <c r="J23"/>
      <c r="K23"/>
      <c r="L23" t="s">
        <v>234</v>
      </c>
      <c r="M23"/>
      <c r="N23" t="s">
        <v>463</v>
      </c>
      <c r="O23"/>
      <c r="P23"/>
      <c r="Q23"/>
      <c r="R23" t="s">
        <v>232</v>
      </c>
      <c r="S23"/>
      <c r="T23" t="s">
        <v>565</v>
      </c>
      <c r="U23"/>
      <c r="V23" t="s">
        <v>232</v>
      </c>
      <c r="W23" t="s">
        <v>619</v>
      </c>
      <c r="X23" s="122" t="s">
        <v>640</v>
      </c>
      <c r="Y23" s="122" t="s">
        <v>656</v>
      </c>
      <c r="CE23" s="68" t="str">
        <f t="shared" si="7"/>
        <v>Mander A</v>
      </c>
      <c r="CF23" s="68">
        <f>BatSplit(D23:CD23,MatchesPlayed)</f>
        <v>12</v>
      </c>
      <c r="CG23" s="68">
        <f t="shared" si="0"/>
        <v>5</v>
      </c>
      <c r="CH23" s="68">
        <f>BatSplit(D23:CD23,InnsBattedIn)</f>
        <v>7</v>
      </c>
      <c r="CI23" s="68">
        <f>BatSplit(D23:CD23,NotOuts)</f>
        <v>4</v>
      </c>
      <c r="CJ23" s="68">
        <f>BatSplit(D23:CD23,HighestScore)</f>
        <v>5</v>
      </c>
      <c r="CK23" s="72">
        <f t="shared" si="1"/>
        <v>5</v>
      </c>
      <c r="CL23" s="68">
        <f>BatSplit(D23:CD23,RunsScored)</f>
        <v>13</v>
      </c>
      <c r="CM23" s="70">
        <f t="shared" si="2"/>
        <v>4.333333333333333</v>
      </c>
      <c r="CN23" s="68">
        <f>BatSplit(D23:CD23,BatPts)</f>
        <v>8</v>
      </c>
      <c r="CO23" s="68">
        <f>BatSplit(D23:CD23,FldPts)</f>
        <v>10</v>
      </c>
      <c r="CP23" s="71">
        <f t="array" ref="CP23">SUM(IF(ISERR(FIND("*",D23:CD23)),0,1))</f>
        <v>0</v>
      </c>
      <c r="CQ23" s="71">
        <f t="array" ref="CQ23">SUM(IF(ISERR(FIND("+",D23:CD23)),0,1))</f>
        <v>0</v>
      </c>
      <c r="CR23" s="68">
        <f>BatSplit(D23:CD23,Ducks)</f>
        <v>1</v>
      </c>
      <c r="CS23" s="71">
        <f t="array" ref="CS23">SUM(IF(ISERR(FIND(CS$4,$D23:$CD23)),0,1))</f>
        <v>1</v>
      </c>
      <c r="CT23" s="71">
        <f t="array" ref="CT23">SUM(IF(ISERR(FIND(CT$4,$D23:$CD23)),0,1))</f>
        <v>2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>BatSplit(D23:CD23,Fifties)</f>
        <v>0</v>
      </c>
      <c r="DA23" s="71">
        <f>BatSplit(D23:CD23,Catches)</f>
        <v>2</v>
      </c>
      <c r="DB23" s="71">
        <f>BatSplit(D23:CD23,Fours)</f>
        <v>2</v>
      </c>
      <c r="DC23" s="71">
        <f>BatSplit(D23:CD23,Sixes)</f>
        <v>0</v>
      </c>
      <c r="DD23" s="71">
        <f>BatSplit(D23:CD23,Stumpings)</f>
        <v>0</v>
      </c>
      <c r="DE23" s="71">
        <f>BatSplit(D23:CD23,CaughtWkt)</f>
        <v>0</v>
      </c>
      <c r="DF23" s="71">
        <f>BatSplit(D23:CD23,TwentyFives)</f>
        <v>0</v>
      </c>
      <c r="DG23" s="68">
        <f t="shared" si="3"/>
        <v>433712.13023000001</v>
      </c>
      <c r="DH23" s="68">
        <f t="shared" si="4"/>
        <v>30</v>
      </c>
      <c r="DI23" s="68">
        <v>0</v>
      </c>
      <c r="DJ23" s="89" t="str">
        <f t="shared" si="5"/>
        <v/>
      </c>
      <c r="DK23" s="97">
        <f t="shared" si="6"/>
        <v>0.33333333333333331</v>
      </c>
    </row>
    <row r="24" spans="2:115" x14ac:dyDescent="0.15">
      <c r="B24" s="122"/>
      <c r="C24" t="s">
        <v>627</v>
      </c>
      <c r="D24"/>
      <c r="E24"/>
      <c r="F24"/>
      <c r="G24"/>
      <c r="H24" s="122"/>
      <c r="I24" s="122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22" t="s">
        <v>637</v>
      </c>
      <c r="CE24" s="68" t="str">
        <f t="shared" si="7"/>
        <v>Mander C</v>
      </c>
      <c r="CF24" s="68">
        <f t="shared" ref="CF24:CF25" si="176">BatSplit(D24:CD24,MatchesPlayed)</f>
        <v>1</v>
      </c>
      <c r="CG24" s="68">
        <f t="shared" ref="CG24:CG25" si="177">CF24-CH24</f>
        <v>0</v>
      </c>
      <c r="CH24" s="68">
        <f t="shared" ref="CH24:CH25" si="178">BatSplit(D24:CD24,InnsBattedIn)</f>
        <v>1</v>
      </c>
      <c r="CI24" s="68">
        <f t="shared" ref="CI24:CI25" si="179">BatSplit(D24:CD24,NotOuts)</f>
        <v>0</v>
      </c>
      <c r="CJ24" s="68">
        <f t="shared" ref="CJ24:CJ25" si="180">BatSplit(D24:CD24,HighestScore)</f>
        <v>4</v>
      </c>
      <c r="CK24" s="72">
        <f t="shared" ref="CK24:CK25" si="181">IF(CJ24&lt;0,-CJ24&amp;"*",CJ24)</f>
        <v>4</v>
      </c>
      <c r="CL24" s="68">
        <f t="shared" ref="CL24:CL25" si="182">BatSplit(D24:CD24,RunsScored)</f>
        <v>4</v>
      </c>
      <c r="CM24" s="70">
        <f t="shared" ref="CM24:CM25" si="183">IF(CH24=CI24,0,CL24/(CH24-CI24))</f>
        <v>4</v>
      </c>
      <c r="CN24" s="68">
        <f t="shared" ref="CN24:CN25" si="184">BatSplit(D24:CD24,BatPts)</f>
        <v>4</v>
      </c>
      <c r="CO24" s="68">
        <f t="shared" ref="CO24:CO25" si="185">BatSplit(D24:CD24,FldPts)</f>
        <v>0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ref="CR24:CR25" si="186">BatSplit(D24:CD24,Ducks)</f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ref="CZ24:CZ25" si="187">BatSplit(D24:CD24,Fifties)</f>
        <v>0</v>
      </c>
      <c r="DA24" s="71">
        <f t="shared" ref="DA24:DA25" si="188">BatSplit(D24:CD24,Catches)</f>
        <v>0</v>
      </c>
      <c r="DB24" s="71">
        <f t="shared" ref="DB24:DB25" si="189">BatSplit(D24:CD24,Fours)</f>
        <v>1</v>
      </c>
      <c r="DC24" s="71">
        <f t="shared" ref="DC24:DC25" si="190">BatSplit(D24:CD24,Sixes)</f>
        <v>0</v>
      </c>
      <c r="DD24" s="71">
        <f t="shared" ref="DD24:DD25" si="191">BatSplit(D24:CD24,Stumpings)</f>
        <v>0</v>
      </c>
      <c r="DE24" s="71">
        <f t="shared" ref="DE24:DE25" si="192">BatSplit(D24:CD24,CaughtWkt)</f>
        <v>0</v>
      </c>
      <c r="DF24" s="71">
        <f t="shared" ref="DF24:DF25" si="193">BatSplit(D24:CD24,TwentyFives)</f>
        <v>0</v>
      </c>
      <c r="DG24" s="68">
        <f t="shared" ref="DG24:DG25" si="194">ROUND(IF(ISERROR(CM24),0,CM24),2)*100000+CH24*100+CF24+CL24/100+ROW()/100000</f>
        <v>400101.04024</v>
      </c>
      <c r="DH24" s="68">
        <f t="shared" si="4"/>
        <v>33</v>
      </c>
      <c r="DI24" s="68">
        <v>0</v>
      </c>
      <c r="DJ24" s="89" t="str">
        <f t="shared" ref="DJ24:DJ25" si="195">IF(CL24&gt;=50,(DB24*4+DC24*6+DI24*5)/CL24,"")</f>
        <v/>
      </c>
      <c r="DK24" s="97">
        <f t="shared" ref="DK24:DK25" si="196">CR24/(CH24-CI24)</f>
        <v>0</v>
      </c>
    </row>
    <row r="25" spans="2:115" x14ac:dyDescent="0.15">
      <c r="B25" s="122"/>
      <c r="C25" t="s">
        <v>628</v>
      </c>
      <c r="D25"/>
      <c r="E25"/>
      <c r="F25"/>
      <c r="G25"/>
      <c r="H25" s="122"/>
      <c r="I25" s="122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22" t="s">
        <v>629</v>
      </c>
      <c r="CE25" s="68" t="str">
        <f t="shared" si="7"/>
        <v>Mander N</v>
      </c>
      <c r="CF25" s="68">
        <f t="shared" si="176"/>
        <v>1</v>
      </c>
      <c r="CG25" s="68">
        <f t="shared" si="177"/>
        <v>0</v>
      </c>
      <c r="CH25" s="68">
        <f t="shared" si="178"/>
        <v>1</v>
      </c>
      <c r="CI25" s="68">
        <f t="shared" si="179"/>
        <v>0</v>
      </c>
      <c r="CJ25" s="68">
        <f t="shared" si="180"/>
        <v>10</v>
      </c>
      <c r="CK25" s="72">
        <f t="shared" si="181"/>
        <v>10</v>
      </c>
      <c r="CL25" s="68">
        <f t="shared" si="182"/>
        <v>10</v>
      </c>
      <c r="CM25" s="70">
        <f t="shared" si="183"/>
        <v>10</v>
      </c>
      <c r="CN25" s="68">
        <f t="shared" si="184"/>
        <v>10</v>
      </c>
      <c r="CO25" s="68">
        <f t="shared" si="185"/>
        <v>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 t="shared" si="186"/>
        <v>0</v>
      </c>
      <c r="CS25" s="71">
        <f t="array" ref="CS25">SUM(IF(ISERR(FIND(CS$4,$D25:$CD25)),0,1))</f>
        <v>0</v>
      </c>
      <c r="CT25" s="71">
        <f t="array" ref="CT25">SUM(IF(ISERR(FIND(CT$4,$D25:$CD25)),0,1))</f>
        <v>1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 t="shared" si="187"/>
        <v>0</v>
      </c>
      <c r="DA25" s="71">
        <f t="shared" si="188"/>
        <v>0</v>
      </c>
      <c r="DB25" s="71">
        <f t="shared" si="189"/>
        <v>1</v>
      </c>
      <c r="DC25" s="71">
        <f t="shared" si="190"/>
        <v>1</v>
      </c>
      <c r="DD25" s="71">
        <f t="shared" si="191"/>
        <v>0</v>
      </c>
      <c r="DE25" s="71">
        <f t="shared" si="192"/>
        <v>0</v>
      </c>
      <c r="DF25" s="71">
        <f t="shared" si="193"/>
        <v>0</v>
      </c>
      <c r="DG25" s="68">
        <f t="shared" si="194"/>
        <v>1000101.10025</v>
      </c>
      <c r="DH25" s="68">
        <f t="shared" si="4"/>
        <v>19</v>
      </c>
      <c r="DI25" s="68">
        <v>0</v>
      </c>
      <c r="DJ25" s="89" t="str">
        <f t="shared" si="195"/>
        <v/>
      </c>
      <c r="DK25" s="97">
        <f t="shared" si="196"/>
        <v>0</v>
      </c>
    </row>
    <row r="26" spans="2:115" x14ac:dyDescent="0.15">
      <c r="B26" s="68" t="s">
        <v>29</v>
      </c>
      <c r="C26" s="68" t="s">
        <v>214</v>
      </c>
      <c r="D26" t="s">
        <v>274</v>
      </c>
      <c r="E26" t="s">
        <v>296</v>
      </c>
      <c r="F26" t="s">
        <v>318</v>
      </c>
      <c r="G26" t="s">
        <v>335</v>
      </c>
      <c r="H26" t="s">
        <v>357</v>
      </c>
      <c r="I26" t="s">
        <v>371</v>
      </c>
      <c r="J26" t="s">
        <v>389</v>
      </c>
      <c r="K26" t="s">
        <v>409</v>
      </c>
      <c r="L26"/>
      <c r="M26"/>
      <c r="N26"/>
      <c r="O26"/>
      <c r="P26" t="s">
        <v>488</v>
      </c>
      <c r="Q26" t="s">
        <v>510</v>
      </c>
      <c r="R26" t="s">
        <v>524</v>
      </c>
      <c r="S26" t="s">
        <v>232</v>
      </c>
      <c r="T26"/>
      <c r="U26"/>
      <c r="V26"/>
      <c r="W26"/>
      <c r="X26"/>
      <c r="Y26" t="s">
        <v>655</v>
      </c>
      <c r="Z26" t="s">
        <v>669</v>
      </c>
      <c r="CE26" s="68" t="str">
        <f t="shared" si="7"/>
        <v>Middleton J</v>
      </c>
      <c r="CF26" s="68">
        <f>BatSplit(D26:CD26,MatchesPlayed)</f>
        <v>14</v>
      </c>
      <c r="CG26" s="68">
        <f t="shared" si="0"/>
        <v>2</v>
      </c>
      <c r="CH26" s="68">
        <f>BatSplit(D26:CD26,InnsBattedIn)</f>
        <v>12</v>
      </c>
      <c r="CI26" s="68">
        <f>BatSplit(D26:CD26,NotOuts)</f>
        <v>3</v>
      </c>
      <c r="CJ26" s="68">
        <f>BatSplit(D26:CD26,HighestScore)</f>
        <v>-77</v>
      </c>
      <c r="CK26" s="72" t="str">
        <f t="shared" si="1"/>
        <v>77*</v>
      </c>
      <c r="CL26" s="68">
        <f>BatSplit(D26:CD26,RunsScored)</f>
        <v>283</v>
      </c>
      <c r="CM26" s="70">
        <f t="shared" si="2"/>
        <v>31.444444444444443</v>
      </c>
      <c r="CN26" s="68">
        <f>BatSplit(D26:CD26,BatPts)</f>
        <v>288</v>
      </c>
      <c r="CO26" s="68">
        <f>BatSplit(D26:CD26,FldPts)</f>
        <v>15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1</v>
      </c>
      <c r="CT26" s="71">
        <f t="array" ref="CT26">SUM(IF(ISERR(FIND(CT$4,$D26:$CD26)),0,1))</f>
        <v>4</v>
      </c>
      <c r="CU26" s="71">
        <f t="array" ref="CU26">SUM(IF(ISERR(FIND(CU$4,$D26:$CD26)),0,1))</f>
        <v>4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1</v>
      </c>
      <c r="DA26" s="71">
        <f>BatSplit(D26:CD26,Catches)</f>
        <v>3</v>
      </c>
      <c r="DB26" s="71">
        <f>BatSplit(D26:CD26,Fours)</f>
        <v>40</v>
      </c>
      <c r="DC26" s="71">
        <f>BatSplit(D26:CD26,Sixes)</f>
        <v>5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5</v>
      </c>
      <c r="DG26" s="68">
        <f t="shared" si="3"/>
        <v>3145216.8302600002</v>
      </c>
      <c r="DH26" s="68">
        <f t="shared" si="4"/>
        <v>5</v>
      </c>
      <c r="DI26" s="68">
        <v>0</v>
      </c>
      <c r="DJ26" s="89">
        <f t="shared" si="5"/>
        <v>0.67137809187279152</v>
      </c>
      <c r="DK26" s="97">
        <f t="shared" si="6"/>
        <v>0.1111111111111111</v>
      </c>
    </row>
    <row r="27" spans="2:115" x14ac:dyDescent="0.15">
      <c r="B27" s="122" t="s">
        <v>360</v>
      </c>
      <c r="C27" s="122" t="s">
        <v>708</v>
      </c>
      <c r="D27"/>
      <c r="E27"/>
      <c r="F27"/>
      <c r="G27"/>
      <c r="H27" t="s">
        <v>370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CE27" s="68" t="str">
        <f t="shared" si="7"/>
        <v>Murray ?</v>
      </c>
      <c r="CF27" s="68">
        <f t="shared" ref="CF27" si="197">BatSplit(D27:CD27,MatchesPlayed)</f>
        <v>1</v>
      </c>
      <c r="CG27" s="68">
        <f t="shared" ref="CG27" si="198">CF27-CH27</f>
        <v>0</v>
      </c>
      <c r="CH27" s="68">
        <f t="shared" ref="CH27" si="199">BatSplit(D27:CD27,InnsBattedIn)</f>
        <v>1</v>
      </c>
      <c r="CI27" s="68">
        <f t="shared" ref="CI27" si="200">BatSplit(D27:CD27,NotOuts)</f>
        <v>0</v>
      </c>
      <c r="CJ27" s="68">
        <f t="shared" ref="CJ27" si="201">BatSplit(D27:CD27,HighestScore)</f>
        <v>5</v>
      </c>
      <c r="CK27" s="72">
        <f t="shared" ref="CK27" si="202">IF(CJ27&lt;0,-CJ27&amp;"*",CJ27)</f>
        <v>5</v>
      </c>
      <c r="CL27" s="68">
        <f t="shared" ref="CL27" si="203">BatSplit(D27:CD27,RunsScored)</f>
        <v>5</v>
      </c>
      <c r="CM27" s="70">
        <f t="shared" ref="CM27" si="204">IF(CH27=CI27,0,CL27/(CH27-CI27))</f>
        <v>5</v>
      </c>
      <c r="CN27" s="68">
        <f t="shared" ref="CN27" si="205">BatSplit(D27:CD27,BatPts)</f>
        <v>5</v>
      </c>
      <c r="CO27" s="68">
        <f t="shared" ref="CO27" si="206">BatSplit(D27:CD27,FldPts)</f>
        <v>0</v>
      </c>
      <c r="CP27" s="71">
        <f t="array" ref="CP27">SUM(IF(ISERR(FIND("*",D27:CD27)),0,1))</f>
        <v>0</v>
      </c>
      <c r="CQ27" s="71">
        <f t="array" ref="CQ27">SUM(IF(ISERR(FIND("+",D27:CD27)),0,1))</f>
        <v>1</v>
      </c>
      <c r="CR27" s="68">
        <f t="shared" ref="CR27" si="207">BatSplit(D27:CD27,Ducks)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208">BatSplit(D27:CD27,Fifties)</f>
        <v>0</v>
      </c>
      <c r="DA27" s="71">
        <f t="shared" ref="DA27" si="209">BatSplit(D27:CD27,Catches)</f>
        <v>1</v>
      </c>
      <c r="DB27" s="71">
        <f t="shared" ref="DB27" si="210">BatSplit(D27:CD27,Fours)</f>
        <v>0</v>
      </c>
      <c r="DC27" s="71">
        <f t="shared" ref="DC27" si="211">BatSplit(D27:CD27,Sixes)</f>
        <v>0</v>
      </c>
      <c r="DD27" s="71">
        <f t="shared" ref="DD27" si="212">BatSplit(D27:CD27,Stumpings)</f>
        <v>0</v>
      </c>
      <c r="DE27" s="71">
        <f t="shared" ref="DE27" si="213">BatSplit(D27:CD27,CaughtWkt)</f>
        <v>1</v>
      </c>
      <c r="DF27" s="71">
        <f t="shared" ref="DF27" si="214">BatSplit(D27:CD27,TwentyFives)</f>
        <v>0</v>
      </c>
      <c r="DG27" s="68">
        <f t="shared" ref="DG27" si="215">ROUND(IF(ISERROR(CM27),0,CM27),2)*100000+CH27*100+CF27+CL27/100+ROW()/100000</f>
        <v>500101.05027000001</v>
      </c>
      <c r="DH27" s="68">
        <f t="shared" si="4"/>
        <v>29</v>
      </c>
      <c r="DI27" s="68">
        <v>0</v>
      </c>
      <c r="DJ27" s="89" t="str">
        <f t="shared" ref="DJ27" si="216">IF(CL27&gt;=50,(DB27*4+DC27*6+DI27*5)/CL27,"")</f>
        <v/>
      </c>
      <c r="DK27" s="97">
        <f t="shared" ref="DK27" si="217">CR27/(CH27-CI27)</f>
        <v>0</v>
      </c>
    </row>
    <row r="28" spans="2:115" x14ac:dyDescent="0.15">
      <c r="B28" t="s">
        <v>218</v>
      </c>
      <c r="C28" t="s">
        <v>219</v>
      </c>
      <c r="D28" t="s">
        <v>275</v>
      </c>
      <c r="E28"/>
      <c r="F28"/>
      <c r="G28"/>
      <c r="H28"/>
      <c r="I28"/>
      <c r="J28" t="s">
        <v>234</v>
      </c>
      <c r="K28"/>
      <c r="L28"/>
      <c r="M28"/>
      <c r="N28"/>
      <c r="O28"/>
      <c r="P28" t="s">
        <v>493</v>
      </c>
      <c r="Q28" s="122"/>
      <c r="R28"/>
      <c r="S28"/>
      <c r="T28"/>
      <c r="U28"/>
      <c r="V28"/>
      <c r="W28"/>
      <c r="X28"/>
      <c r="Y28"/>
      <c r="CE28" s="68" t="str">
        <f t="shared" si="7"/>
        <v>Nair S</v>
      </c>
      <c r="CF28" s="68">
        <f>BatSplit(D28:CD28,MatchesPlayed)</f>
        <v>3</v>
      </c>
      <c r="CG28" s="68">
        <f t="shared" si="0"/>
        <v>1</v>
      </c>
      <c r="CH28" s="68">
        <f>BatSplit(D28:CD28,InnsBattedIn)</f>
        <v>2</v>
      </c>
      <c r="CI28" s="68">
        <f>BatSplit(D28:CD28,NotOuts)</f>
        <v>2</v>
      </c>
      <c r="CJ28" s="68">
        <f>BatSplit(D28:CD28,HighestScore)</f>
        <v>-26</v>
      </c>
      <c r="CK28" s="72" t="str">
        <f t="shared" si="1"/>
        <v>26*</v>
      </c>
      <c r="CL28" s="68">
        <f>BatSplit(D28:CD28,RunsScored)</f>
        <v>50</v>
      </c>
      <c r="CM28" s="70">
        <f t="shared" si="2"/>
        <v>0</v>
      </c>
      <c r="CN28" s="68">
        <f>BatSplit(D28:CD28,BatPts)</f>
        <v>50</v>
      </c>
      <c r="CO28" s="68">
        <f>BatSplit(D28:CD28,FldPts)</f>
        <v>5</v>
      </c>
      <c r="CP28" s="71">
        <f t="array" ref="CP28">SUM(IF(ISERR(FIND("*",D28:CD28)),0,1))</f>
        <v>0</v>
      </c>
      <c r="CQ28" s="71">
        <f t="array" ref="CQ28">SUM(IF(ISERR(FIND("+",D28:CD28)),0,1))</f>
        <v>0</v>
      </c>
      <c r="CR28" s="68">
        <f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>BatSplit(D28:CD28,Fifties)</f>
        <v>0</v>
      </c>
      <c r="DA28" s="71">
        <f>BatSplit(D28:CD28,Catches)</f>
        <v>1</v>
      </c>
      <c r="DB28" s="71">
        <f>BatSplit(D28:CD28,Fours)</f>
        <v>6</v>
      </c>
      <c r="DC28" s="71">
        <f>BatSplit(D28:CD28,Sixes)</f>
        <v>0</v>
      </c>
      <c r="DD28" s="71">
        <f>BatSplit(D28:CD28,Stumpings)</f>
        <v>0</v>
      </c>
      <c r="DE28" s="71">
        <f>BatSplit(D28:CD28,CaughtWkt)</f>
        <v>0</v>
      </c>
      <c r="DF28" s="71">
        <f>BatSplit(D28:CD28,TwentyFives)</f>
        <v>1</v>
      </c>
      <c r="DG28" s="68">
        <f t="shared" si="3"/>
        <v>203.50028</v>
      </c>
      <c r="DH28" s="68">
        <f t="shared" si="4"/>
        <v>37</v>
      </c>
      <c r="DI28" s="68">
        <v>0</v>
      </c>
      <c r="DJ28" s="89">
        <f t="shared" si="5"/>
        <v>0.48</v>
      </c>
      <c r="DK28" s="97" t="e">
        <f t="shared" si="6"/>
        <v>#DIV/0!</v>
      </c>
    </row>
    <row r="29" spans="2:115" x14ac:dyDescent="0.15">
      <c r="B29"/>
      <c r="C29" t="s">
        <v>560</v>
      </c>
      <c r="D29"/>
      <c r="E29"/>
      <c r="F29"/>
      <c r="G29"/>
      <c r="H29"/>
      <c r="I29"/>
      <c r="J29"/>
      <c r="K29"/>
      <c r="L29"/>
      <c r="M29"/>
      <c r="N29"/>
      <c r="O29"/>
      <c r="P29" t="s">
        <v>491</v>
      </c>
      <c r="Q29" s="122" t="s">
        <v>506</v>
      </c>
      <c r="R29"/>
      <c r="S29"/>
      <c r="T29" t="s">
        <v>561</v>
      </c>
      <c r="U29"/>
      <c r="V29" t="s">
        <v>605</v>
      </c>
      <c r="W29"/>
      <c r="X29"/>
      <c r="Y29"/>
      <c r="CE29" s="68" t="str">
        <f t="shared" si="7"/>
        <v>Niran N</v>
      </c>
      <c r="CF29" s="68">
        <f t="shared" ref="CF29" si="218">BatSplit(D29:CD29,MatchesPlayed)</f>
        <v>4</v>
      </c>
      <c r="CG29" s="68">
        <f t="shared" ref="CG29" si="219">CF29-CH29</f>
        <v>1</v>
      </c>
      <c r="CH29" s="68">
        <f t="shared" ref="CH29" si="220">BatSplit(D29:CD29,InnsBattedIn)</f>
        <v>3</v>
      </c>
      <c r="CI29" s="68">
        <f t="shared" ref="CI29" si="221">BatSplit(D29:CD29,NotOuts)</f>
        <v>0</v>
      </c>
      <c r="CJ29" s="68">
        <f t="shared" ref="CJ29" si="222">BatSplit(D29:CD29,HighestScore)</f>
        <v>27</v>
      </c>
      <c r="CK29" s="72">
        <f t="shared" ref="CK29" si="223">IF(CJ29&lt;0,-CJ29&amp;"*",CJ29)</f>
        <v>27</v>
      </c>
      <c r="CL29" s="68">
        <f t="shared" ref="CL29" si="224">BatSplit(D29:CD29,RunsScored)</f>
        <v>58</v>
      </c>
      <c r="CM29" s="70">
        <f t="shared" ref="CM29" si="225">IF(CH29=CI29,0,CL29/(CH29-CI29))</f>
        <v>19.333333333333332</v>
      </c>
      <c r="CN29" s="68">
        <f t="shared" ref="CN29" si="226">BatSplit(D29:CD29,BatPts)</f>
        <v>58</v>
      </c>
      <c r="CO29" s="68">
        <f t="shared" ref="CO29" si="227">BatSplit(D29:CD29,FldPts)</f>
        <v>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 t="shared" ref="CR29" si="228">BatSplit(D29:CD29,Ducks)</f>
        <v>0</v>
      </c>
      <c r="CS29" s="71">
        <f t="array" ref="CS29">SUM(IF(ISERR(FIND(CS$4,$D29:$CD29)),0,1))</f>
        <v>1</v>
      </c>
      <c r="CT29" s="71">
        <f t="array" ref="CT29">SUM(IF(ISERR(FIND(CT$4,$D29:$CD29)),0,1))</f>
        <v>2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 t="shared" ref="CZ29" si="229">BatSplit(D29:CD29,Fifties)</f>
        <v>0</v>
      </c>
      <c r="DA29" s="71">
        <f t="shared" ref="DA29" si="230">BatSplit(D29:CD29,Catches)</f>
        <v>0</v>
      </c>
      <c r="DB29" s="71">
        <f t="shared" ref="DB29" si="231">BatSplit(D29:CD29,Fours)</f>
        <v>6</v>
      </c>
      <c r="DC29" s="71">
        <f t="shared" ref="DC29" si="232">BatSplit(D29:CD29,Sixes)</f>
        <v>2</v>
      </c>
      <c r="DD29" s="71">
        <f t="shared" ref="DD29" si="233">BatSplit(D29:CD29,Stumpings)</f>
        <v>0</v>
      </c>
      <c r="DE29" s="71">
        <f t="shared" ref="DE29" si="234">BatSplit(D29:CD29,CaughtWkt)</f>
        <v>0</v>
      </c>
      <c r="DF29" s="71">
        <f t="shared" ref="DF29" si="235">BatSplit(D29:CD29,TwentyFives)</f>
        <v>1</v>
      </c>
      <c r="DG29" s="68">
        <f t="shared" ref="DG29" si="236">ROUND(IF(ISERROR(CM29),0,CM29),2)*100000+CH29*100+CF29+CL29/100+ROW()/100000</f>
        <v>1933304.58029</v>
      </c>
      <c r="DH29" s="68">
        <f t="shared" si="4"/>
        <v>13</v>
      </c>
      <c r="DI29" s="68">
        <v>0</v>
      </c>
      <c r="DJ29" s="89">
        <f t="shared" ref="DJ29" si="237">IF(CL29&gt;=50,(DB29*4+DC29*6+DI29*5)/CL29,"")</f>
        <v>0.62068965517241381</v>
      </c>
      <c r="DK29" s="97">
        <f t="shared" ref="DK29" si="238">CR29/(CH29-CI29)</f>
        <v>0</v>
      </c>
    </row>
    <row r="30" spans="2:115" x14ac:dyDescent="0.15">
      <c r="B30" t="s">
        <v>27</v>
      </c>
      <c r="C30" t="s">
        <v>246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 s="122"/>
      <c r="R30"/>
      <c r="S30"/>
      <c r="T30"/>
      <c r="U30" t="s">
        <v>589</v>
      </c>
      <c r="V30" t="s">
        <v>236</v>
      </c>
      <c r="W30"/>
      <c r="X30"/>
      <c r="Y30"/>
      <c r="CE30" s="68" t="str">
        <f t="shared" si="7"/>
        <v>Ottey A</v>
      </c>
      <c r="CF30" s="68">
        <f>BatSplit(D30:CD30,MatchesPlayed)</f>
        <v>2</v>
      </c>
      <c r="CG30" s="68">
        <f t="shared" si="0"/>
        <v>1</v>
      </c>
      <c r="CH30" s="68">
        <f>BatSplit(D30:CD30,InnsBattedIn)</f>
        <v>1</v>
      </c>
      <c r="CI30" s="68">
        <f>BatSplit(D30:CD30,NotOuts)</f>
        <v>1</v>
      </c>
      <c r="CJ30" s="68">
        <f>BatSplit(D30:CD30,HighestScore)</f>
        <v>-24</v>
      </c>
      <c r="CK30" s="72" t="str">
        <f t="shared" si="1"/>
        <v>24*</v>
      </c>
      <c r="CL30" s="68">
        <f>BatSplit(D30:CD30,RunsScored)</f>
        <v>24</v>
      </c>
      <c r="CM30" s="70">
        <f t="shared" si="2"/>
        <v>0</v>
      </c>
      <c r="CN30" s="68">
        <f>BatSplit(D30:CD30,BatPts)</f>
        <v>24</v>
      </c>
      <c r="CO30" s="68">
        <f>BatSplit(D30:CD30,FldPts)</f>
        <v>0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>BatSplit(D30:CD30,Fifties)</f>
        <v>0</v>
      </c>
      <c r="DA30" s="71">
        <f>BatSplit(D30:CD30,Catches)</f>
        <v>0</v>
      </c>
      <c r="DB30" s="71">
        <f>BatSplit(D30:CD30,Fours)</f>
        <v>3</v>
      </c>
      <c r="DC30" s="71">
        <f>BatSplit(D30:CD30,Sixes)</f>
        <v>0</v>
      </c>
      <c r="DD30" s="71">
        <f>BatSplit(D30:CD30,Stumpings)</f>
        <v>0</v>
      </c>
      <c r="DE30" s="71">
        <f>BatSplit(D30:CD30,CaughtWkt)</f>
        <v>0</v>
      </c>
      <c r="DF30" s="71">
        <f>BatSplit(D30:CD30,TwentyFives)</f>
        <v>0</v>
      </c>
      <c r="DG30" s="68">
        <f t="shared" si="3"/>
        <v>102.24029999999999</v>
      </c>
      <c r="DH30" s="68">
        <f t="shared" si="4"/>
        <v>38</v>
      </c>
      <c r="DI30" s="68">
        <v>0</v>
      </c>
      <c r="DJ30" s="89" t="str">
        <f t="shared" si="5"/>
        <v/>
      </c>
      <c r="DK30" s="97" t="e">
        <f t="shared" si="6"/>
        <v>#DIV/0!</v>
      </c>
    </row>
    <row r="31" spans="2:115" x14ac:dyDescent="0.15">
      <c r="B31"/>
      <c r="C31" t="s">
        <v>634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 t="s">
        <v>635</v>
      </c>
      <c r="Y31"/>
      <c r="Z31" s="122" t="s">
        <v>210</v>
      </c>
      <c r="CE31" s="68" t="str">
        <f t="shared" si="7"/>
        <v>Parboo R</v>
      </c>
      <c r="CF31" s="68">
        <f>BatSplit(D31:CD31,MatchesPlayed)</f>
        <v>2</v>
      </c>
      <c r="CG31" s="68">
        <f t="shared" si="0"/>
        <v>1</v>
      </c>
      <c r="CH31" s="68">
        <f>BatSplit(D31:CD31,InnsBattedIn)</f>
        <v>1</v>
      </c>
      <c r="CI31" s="68">
        <f>BatSplit(D31:CD31,NotOuts)</f>
        <v>0</v>
      </c>
      <c r="CJ31" s="68">
        <f>BatSplit(D31:CD31,HighestScore)</f>
        <v>6</v>
      </c>
      <c r="CK31" s="72">
        <f t="shared" si="1"/>
        <v>6</v>
      </c>
      <c r="CL31" s="68">
        <f>BatSplit(D31:CD31,RunsScored)</f>
        <v>6</v>
      </c>
      <c r="CM31" s="70">
        <f t="shared" si="2"/>
        <v>6</v>
      </c>
      <c r="CN31" s="68">
        <f>BatSplit(D31:CD31,BatPts)</f>
        <v>6</v>
      </c>
      <c r="CO31" s="68">
        <f>BatSplit(D31:CD31,FldPts)</f>
        <v>0</v>
      </c>
      <c r="CP31" s="71">
        <f t="array" ref="CP31">SUM(IF(ISERR(FIND("*",D31:CD31)),0,1))</f>
        <v>0</v>
      </c>
      <c r="CQ31" s="71">
        <f t="array" ref="CQ31">SUM(IF(ISERR(FIND("+",D31:CD31)),0,1))</f>
        <v>0</v>
      </c>
      <c r="CR31" s="68">
        <f>BatSplit(D31:CD31,Ducks)</f>
        <v>0</v>
      </c>
      <c r="CS31" s="71">
        <f t="array" ref="CS31">SUM(IF(ISERR(FIND(CS$4,$D31:$CD31)),0,1))</f>
        <v>1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0</v>
      </c>
      <c r="DA31" s="71">
        <f>BatSplit(D31:CD31,Catches)</f>
        <v>0</v>
      </c>
      <c r="DB31" s="71">
        <f>BatSplit(D31:CD31,Fours)</f>
        <v>1</v>
      </c>
      <c r="DC31" s="71">
        <f>BatSplit(D31:CD31,Sixes)</f>
        <v>0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0</v>
      </c>
      <c r="DG31" s="68">
        <f t="shared" si="3"/>
        <v>600102.06031000009</v>
      </c>
      <c r="DH31" s="68">
        <f t="shared" si="4"/>
        <v>25</v>
      </c>
      <c r="DI31" s="68">
        <v>0</v>
      </c>
      <c r="DJ31" s="89" t="str">
        <f t="shared" si="5"/>
        <v/>
      </c>
      <c r="DK31" s="97">
        <f t="shared" si="6"/>
        <v>0</v>
      </c>
    </row>
    <row r="32" spans="2:115" x14ac:dyDescent="0.15">
      <c r="B32" t="s">
        <v>342</v>
      </c>
      <c r="C32" t="s">
        <v>343</v>
      </c>
      <c r="D32"/>
      <c r="E32"/>
      <c r="F32"/>
      <c r="G32" t="s">
        <v>256</v>
      </c>
      <c r="H32"/>
      <c r="I32"/>
      <c r="J32"/>
      <c r="K32" t="s">
        <v>408</v>
      </c>
      <c r="L32" t="s">
        <v>425</v>
      </c>
      <c r="M32"/>
      <c r="N32" t="s">
        <v>464</v>
      </c>
      <c r="O32"/>
      <c r="P32"/>
      <c r="Q32"/>
      <c r="R32"/>
      <c r="S32"/>
      <c r="T32"/>
      <c r="U32"/>
      <c r="V32"/>
      <c r="W32"/>
      <c r="X32"/>
      <c r="Y32"/>
      <c r="CE32" s="68" t="str">
        <f t="shared" si="7"/>
        <v>Patel H</v>
      </c>
      <c r="CF32" s="68">
        <f t="shared" ref="CF32:CF33" si="239">BatSplit(D32:CD32,MatchesPlayed)</f>
        <v>4</v>
      </c>
      <c r="CG32" s="68">
        <f t="shared" ref="CG32:CG33" si="240">CF32-CH32</f>
        <v>0</v>
      </c>
      <c r="CH32" s="68">
        <f t="shared" ref="CH32:CH33" si="241">BatSplit(D32:CD32,InnsBattedIn)</f>
        <v>4</v>
      </c>
      <c r="CI32" s="68">
        <f t="shared" ref="CI32:CI33" si="242">BatSplit(D32:CD32,NotOuts)</f>
        <v>3</v>
      </c>
      <c r="CJ32" s="68">
        <f t="shared" ref="CJ32:CJ33" si="243">BatSplit(D32:CD32,HighestScore)</f>
        <v>-26</v>
      </c>
      <c r="CK32" s="72" t="str">
        <f t="shared" ref="CK32:CK33" si="244">IF(CJ32&lt;0,-CJ32&amp;"*",CJ32)</f>
        <v>26*</v>
      </c>
      <c r="CL32" s="68">
        <f t="shared" ref="CL32:CL33" si="245">BatSplit(D32:CD32,RunsScored)</f>
        <v>59</v>
      </c>
      <c r="CM32" s="70">
        <f t="shared" ref="CM32:CM33" si="246">IF(CH32=CI32,0,CL32/(CH32-CI32))</f>
        <v>59</v>
      </c>
      <c r="CN32" s="68">
        <f t="shared" ref="CN32:CN33" si="247">BatSplit(D32:CD32,BatPts)</f>
        <v>59</v>
      </c>
      <c r="CO32" s="68">
        <f t="shared" ref="CO32:CO33" si="248">BatSplit(D32:CD32,FldPts)</f>
        <v>5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:CR33" si="249">BatSplit(D32:CD32,Ducks)</f>
        <v>0</v>
      </c>
      <c r="CS32" s="71">
        <f t="array" ref="CS32">SUM(IF(ISERR(FIND(CS$4,$D32:$CD32)),0,1))</f>
        <v>1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:CZ33" si="250">BatSplit(D32:CD32,Fifties)</f>
        <v>0</v>
      </c>
      <c r="DA32" s="71">
        <f t="shared" ref="DA32:DA33" si="251">BatSplit(D32:CD32,Catches)</f>
        <v>1</v>
      </c>
      <c r="DB32" s="71">
        <f t="shared" ref="DB32:DB33" si="252">BatSplit(D32:CD32,Fours)</f>
        <v>8</v>
      </c>
      <c r="DC32" s="71">
        <f t="shared" ref="DC32:DC33" si="253">BatSplit(D32:CD32,Sixes)</f>
        <v>0</v>
      </c>
      <c r="DD32" s="71">
        <f t="shared" ref="DD32:DD33" si="254">BatSplit(D32:CD32,Stumpings)</f>
        <v>0</v>
      </c>
      <c r="DE32" s="71">
        <f t="shared" ref="DE32:DE33" si="255">BatSplit(D32:CD32,CaughtWkt)</f>
        <v>0</v>
      </c>
      <c r="DF32" s="71">
        <f t="shared" ref="DF32:DF33" si="256">BatSplit(D32:CD32,TwentyFives)</f>
        <v>1</v>
      </c>
      <c r="DG32" s="68">
        <f t="shared" ref="DG32:DG33" si="257">ROUND(IF(ISERROR(CM32),0,CM32),2)*100000+CH32*100+CF32+CL32/100+ROW()/100000</f>
        <v>5900404.5903199995</v>
      </c>
      <c r="DH32" s="68">
        <f t="shared" si="4"/>
        <v>1</v>
      </c>
      <c r="DI32" s="68">
        <v>0</v>
      </c>
      <c r="DJ32" s="89">
        <f t="shared" ref="DJ32:DJ33" si="258">IF(CL32&gt;=50,(DB32*4+DC32*6+DI32*5)/CL32,"")</f>
        <v>0.5423728813559322</v>
      </c>
      <c r="DK32" s="97">
        <f t="shared" ref="DK32:DK33" si="259">CR32/(CH32-CI32)</f>
        <v>0</v>
      </c>
    </row>
    <row r="33" spans="1:115" x14ac:dyDescent="0.15">
      <c r="B33" t="s">
        <v>337</v>
      </c>
      <c r="C33" t="s">
        <v>338</v>
      </c>
      <c r="D33"/>
      <c r="E33"/>
      <c r="F33"/>
      <c r="G33" t="s">
        <v>339</v>
      </c>
      <c r="H33"/>
      <c r="I33" t="s">
        <v>376</v>
      </c>
      <c r="J33"/>
      <c r="K33" t="s">
        <v>236</v>
      </c>
      <c r="L33"/>
      <c r="M33" t="s">
        <v>439</v>
      </c>
      <c r="N33"/>
      <c r="O33"/>
      <c r="P33" t="s">
        <v>494</v>
      </c>
      <c r="Q33"/>
      <c r="R33"/>
      <c r="S33" t="s">
        <v>482</v>
      </c>
      <c r="T33"/>
      <c r="U33"/>
      <c r="V33" t="s">
        <v>210</v>
      </c>
      <c r="W33" t="s">
        <v>612</v>
      </c>
      <c r="X33"/>
      <c r="Y33" t="s">
        <v>652</v>
      </c>
      <c r="Z33" s="122" t="s">
        <v>671</v>
      </c>
      <c r="CE33" s="68" t="str">
        <f t="shared" si="7"/>
        <v>Rathi N</v>
      </c>
      <c r="CF33" s="68">
        <f t="shared" si="239"/>
        <v>10</v>
      </c>
      <c r="CG33" s="68">
        <f t="shared" si="240"/>
        <v>4</v>
      </c>
      <c r="CH33" s="68">
        <f t="shared" si="241"/>
        <v>6</v>
      </c>
      <c r="CI33" s="68">
        <f t="shared" si="242"/>
        <v>1</v>
      </c>
      <c r="CJ33" s="68">
        <f t="shared" si="243"/>
        <v>-25</v>
      </c>
      <c r="CK33" s="72" t="str">
        <f t="shared" si="244"/>
        <v>25*</v>
      </c>
      <c r="CL33" s="68">
        <f t="shared" si="245"/>
        <v>49</v>
      </c>
      <c r="CM33" s="70">
        <f t="shared" si="246"/>
        <v>9.8000000000000007</v>
      </c>
      <c r="CN33" s="68">
        <f t="shared" si="247"/>
        <v>49</v>
      </c>
      <c r="CO33" s="68">
        <f t="shared" si="248"/>
        <v>20</v>
      </c>
      <c r="CP33" s="71">
        <f t="array" ref="CP33">SUM(IF(ISERR(FIND("*",D33:CD33)),0,1))</f>
        <v>0</v>
      </c>
      <c r="CQ33" s="71">
        <f t="array" ref="CQ33">SUM(IF(ISERR(FIND("+",D33:CD33)),0,1))</f>
        <v>0</v>
      </c>
      <c r="CR33" s="68">
        <f t="shared" si="249"/>
        <v>0</v>
      </c>
      <c r="CS33" s="71">
        <f t="array" ref="CS33">SUM(IF(ISERR(FIND(CS$4,$D33:$CD33)),0,1))</f>
        <v>3</v>
      </c>
      <c r="CT33" s="71">
        <f t="array" ref="CT33">SUM(IF(ISERR(FIND(CT$4,$D33:$CD33)),0,1))</f>
        <v>1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1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 t="shared" si="250"/>
        <v>0</v>
      </c>
      <c r="DA33" s="71">
        <f t="shared" si="251"/>
        <v>4</v>
      </c>
      <c r="DB33" s="71">
        <f t="shared" si="252"/>
        <v>8</v>
      </c>
      <c r="DC33" s="71">
        <f t="shared" si="253"/>
        <v>0</v>
      </c>
      <c r="DD33" s="71">
        <f t="shared" si="254"/>
        <v>0</v>
      </c>
      <c r="DE33" s="71">
        <f t="shared" si="255"/>
        <v>0</v>
      </c>
      <c r="DF33" s="71">
        <f t="shared" si="256"/>
        <v>1</v>
      </c>
      <c r="DG33" s="68">
        <f t="shared" si="257"/>
        <v>980610.49033000006</v>
      </c>
      <c r="DH33" s="68">
        <f t="shared" si="4"/>
        <v>20</v>
      </c>
      <c r="DI33" s="68">
        <v>0</v>
      </c>
      <c r="DJ33" s="89" t="str">
        <f t="shared" si="258"/>
        <v/>
      </c>
      <c r="DK33" s="97">
        <f t="shared" si="259"/>
        <v>0</v>
      </c>
    </row>
    <row r="34" spans="1:115" x14ac:dyDescent="0.15">
      <c r="B34" s="68" t="s">
        <v>30</v>
      </c>
      <c r="C34" s="68" t="s">
        <v>207</v>
      </c>
      <c r="D34" t="s">
        <v>273</v>
      </c>
      <c r="E34" t="s">
        <v>293</v>
      </c>
      <c r="F34" t="s">
        <v>326</v>
      </c>
      <c r="G34" t="s">
        <v>332</v>
      </c>
      <c r="H34" t="s">
        <v>355</v>
      </c>
      <c r="I34" t="s">
        <v>254</v>
      </c>
      <c r="J34" t="s">
        <v>387</v>
      </c>
      <c r="K34" t="s">
        <v>402</v>
      </c>
      <c r="L34" t="s">
        <v>419</v>
      </c>
      <c r="M34" t="s">
        <v>438</v>
      </c>
      <c r="N34" t="s">
        <v>456</v>
      </c>
      <c r="O34" t="s">
        <v>474</v>
      </c>
      <c r="P34" t="s">
        <v>485</v>
      </c>
      <c r="Q34" t="s">
        <v>505</v>
      </c>
      <c r="R34" t="s">
        <v>527</v>
      </c>
      <c r="S34" t="s">
        <v>540</v>
      </c>
      <c r="T34" t="s">
        <v>555</v>
      </c>
      <c r="U34" t="s">
        <v>583</v>
      </c>
      <c r="V34" t="s">
        <v>600</v>
      </c>
      <c r="W34"/>
      <c r="X34"/>
      <c r="Y34" t="s">
        <v>649</v>
      </c>
      <c r="Z34" t="s">
        <v>667</v>
      </c>
      <c r="CE34" s="68" t="str">
        <f t="shared" si="7"/>
        <v>Seymour C</v>
      </c>
      <c r="CF34" s="68">
        <f>BatSplit(D34:CD34,MatchesPlayed)</f>
        <v>21</v>
      </c>
      <c r="CG34" s="68">
        <f t="shared" si="0"/>
        <v>0</v>
      </c>
      <c r="CH34" s="68">
        <f>BatSplit(D34:CD34,InnsBattedIn)</f>
        <v>21</v>
      </c>
      <c r="CI34" s="68">
        <f>BatSplit(D34:CD34,NotOuts)</f>
        <v>3</v>
      </c>
      <c r="CJ34" s="68">
        <f>BatSplit(D34:CD34,HighestScore)</f>
        <v>-50</v>
      </c>
      <c r="CK34" s="72" t="str">
        <f t="shared" si="1"/>
        <v>50*</v>
      </c>
      <c r="CL34" s="68">
        <f>BatSplit(D34:CD34,RunsScored)</f>
        <v>391</v>
      </c>
      <c r="CM34" s="70">
        <f t="shared" si="2"/>
        <v>21.722222222222221</v>
      </c>
      <c r="CN34" s="68">
        <f>BatSplit(D34:CD34,BatPts)</f>
        <v>396</v>
      </c>
      <c r="CO34" s="68">
        <f>BatSplit(D34:CD34,FldPts)</f>
        <v>5</v>
      </c>
      <c r="CP34" s="71">
        <f t="array" ref="CP34">SUM(IF(ISERR(FIND("*",D34:CD34)),0,1))</f>
        <v>1</v>
      </c>
      <c r="CQ34" s="71">
        <f t="array" ref="CQ34">SUM(IF(ISERR(FIND("+",D34:CD34)),0,1))</f>
        <v>0</v>
      </c>
      <c r="CR34" s="68">
        <f>BatSplit(D34:CD34,Ducks)</f>
        <v>1</v>
      </c>
      <c r="CS34" s="71">
        <f t="array" ref="CS34">SUM(IF(ISERR(FIND(CS$4,$D34:$CD34)),0,1))</f>
        <v>6</v>
      </c>
      <c r="CT34" s="71">
        <f t="array" ref="CT34">SUM(IF(ISERR(FIND(CT$4,$D34:$CD34)),0,1))</f>
        <v>10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2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1</v>
      </c>
      <c r="DA34" s="71">
        <f>BatSplit(D34:CD34,Catches)</f>
        <v>1</v>
      </c>
      <c r="DB34" s="71">
        <f>BatSplit(D34:CD34,Fours)</f>
        <v>44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7</v>
      </c>
      <c r="DG34" s="68">
        <f t="shared" si="3"/>
        <v>2174124.9103399999</v>
      </c>
      <c r="DH34" s="68">
        <f t="shared" si="4"/>
        <v>11</v>
      </c>
      <c r="DI34" s="68">
        <v>0</v>
      </c>
      <c r="DJ34" s="89">
        <f t="shared" si="5"/>
        <v>0.45012787723785164</v>
      </c>
      <c r="DK34" s="97">
        <f t="shared" si="6"/>
        <v>5.5555555555555552E-2</v>
      </c>
    </row>
    <row r="35" spans="1:115" x14ac:dyDescent="0.15">
      <c r="B35" s="122" t="s">
        <v>284</v>
      </c>
      <c r="C35" s="122" t="s">
        <v>278</v>
      </c>
      <c r="D35" t="s">
        <v>279</v>
      </c>
      <c r="E35" t="s">
        <v>298</v>
      </c>
      <c r="F35"/>
      <c r="G35" t="s">
        <v>340</v>
      </c>
      <c r="H35"/>
      <c r="I35"/>
      <c r="J35"/>
      <c r="K35" t="s">
        <v>403</v>
      </c>
      <c r="L35"/>
      <c r="M35"/>
      <c r="N35" t="s">
        <v>458</v>
      </c>
      <c r="O35"/>
      <c r="P35"/>
      <c r="Q35"/>
      <c r="R35"/>
      <c r="S35"/>
      <c r="T35"/>
      <c r="U35"/>
      <c r="V35"/>
      <c r="W35"/>
      <c r="X35"/>
      <c r="Y35"/>
      <c r="Z35"/>
      <c r="CE35" s="68" t="str">
        <f t="shared" si="7"/>
        <v>Shahid A</v>
      </c>
      <c r="CF35" s="68">
        <f t="shared" ref="CF35" si="260">BatSplit(D35:CD35,MatchesPlayed)</f>
        <v>5</v>
      </c>
      <c r="CG35" s="68">
        <f t="shared" ref="CG35" si="261">CF35-CH35</f>
        <v>1</v>
      </c>
      <c r="CH35" s="68">
        <f t="shared" ref="CH35" si="262">BatSplit(D35:CD35,InnsBattedIn)</f>
        <v>4</v>
      </c>
      <c r="CI35" s="68">
        <f t="shared" ref="CI35" si="263">BatSplit(D35:CD35,NotOuts)</f>
        <v>0</v>
      </c>
      <c r="CJ35" s="68">
        <f t="shared" ref="CJ35" si="264">BatSplit(D35:CD35,HighestScore)</f>
        <v>18</v>
      </c>
      <c r="CK35" s="72">
        <f t="shared" ref="CK35" si="265">IF(CJ35&lt;0,-CJ35&amp;"*",CJ35)</f>
        <v>18</v>
      </c>
      <c r="CL35" s="68">
        <f t="shared" ref="CL35" si="266">BatSplit(D35:CD35,RunsScored)</f>
        <v>28</v>
      </c>
      <c r="CM35" s="70">
        <f t="shared" ref="CM35" si="267">IF(CH35=CI35,0,CL35/(CH35-CI35))</f>
        <v>7</v>
      </c>
      <c r="CN35" s="68">
        <f t="shared" ref="CN35" si="268">BatSplit(D35:CD35,BatPts)</f>
        <v>23</v>
      </c>
      <c r="CO35" s="68">
        <f t="shared" ref="CO35" si="269">BatSplit(D35:CD35,FldPts)</f>
        <v>5</v>
      </c>
      <c r="CP35" s="71">
        <f t="array" ref="CP35">SUM(IF(ISERR(FIND("*",D35:CD35)),0,1))</f>
        <v>0</v>
      </c>
      <c r="CQ35" s="71">
        <f t="array" ref="CQ35">SUM(IF(ISERR(FIND("+",D35:CD35)),0,1))</f>
        <v>0</v>
      </c>
      <c r="CR35" s="68">
        <f t="shared" ref="CR35" si="270">BatSplit(D35:CD35,Ducks)</f>
        <v>1</v>
      </c>
      <c r="CS35" s="71">
        <f t="array" ref="CS35">SUM(IF(ISERR(FIND(CS$4,$D35:$CD35)),0,1))</f>
        <v>0</v>
      </c>
      <c r="CT35" s="71">
        <f t="array" ref="CT35">SUM(IF(ISERR(FIND(CT$4,$D35:$CD35)),0,1))</f>
        <v>4</v>
      </c>
      <c r="CU35" s="71">
        <f t="array" ref="CU35">SUM(IF(ISERR(FIND(CU$4,$D35:$CD35)),0,1))</f>
        <v>0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 t="shared" ref="CZ35" si="271">BatSplit(D35:CD35,Fifties)</f>
        <v>0</v>
      </c>
      <c r="DA35" s="71">
        <f t="shared" ref="DA35" si="272">BatSplit(D35:CD35,Catches)</f>
        <v>1</v>
      </c>
      <c r="DB35" s="71">
        <f t="shared" ref="DB35" si="273">BatSplit(D35:CD35,Fours)</f>
        <v>3</v>
      </c>
      <c r="DC35" s="71">
        <f t="shared" ref="DC35" si="274">BatSplit(D35:CD35,Sixes)</f>
        <v>0</v>
      </c>
      <c r="DD35" s="71">
        <f t="shared" ref="DD35" si="275">BatSplit(D35:CD35,Stumpings)</f>
        <v>0</v>
      </c>
      <c r="DE35" s="71">
        <f t="shared" ref="DE35" si="276">BatSplit(D35:CD35,CaughtWkt)</f>
        <v>0</v>
      </c>
      <c r="DF35" s="71">
        <f t="shared" ref="DF35" si="277">BatSplit(D35:CD35,TwentyFives)</f>
        <v>0</v>
      </c>
      <c r="DG35" s="68">
        <f t="shared" ref="DG35" si="278">ROUND(IF(ISERROR(CM35),0,CM35),2)*100000+CH35*100+CF35+CL35/100+ROW()/100000</f>
        <v>700405.28035000002</v>
      </c>
      <c r="DH35" s="68">
        <f t="shared" si="4"/>
        <v>22</v>
      </c>
      <c r="DI35" s="68">
        <v>0</v>
      </c>
      <c r="DJ35" s="89" t="str">
        <f t="shared" ref="DJ35" si="279">IF(CL35&gt;=50,(DB35*4+DC35*6+DI35*5)/CL35,"")</f>
        <v/>
      </c>
      <c r="DK35" s="97">
        <f t="shared" ref="DK35" si="280">CR35/(CH35-CI35)</f>
        <v>0.25</v>
      </c>
    </row>
    <row r="36" spans="1:115" x14ac:dyDescent="0.15">
      <c r="A36" s="68" t="s">
        <v>48</v>
      </c>
      <c r="B36" s="68" t="s">
        <v>26</v>
      </c>
      <c r="C36" s="68" t="s">
        <v>143</v>
      </c>
      <c r="D36"/>
      <c r="E36" t="s">
        <v>295</v>
      </c>
      <c r="F36"/>
      <c r="G36"/>
      <c r="H36"/>
      <c r="I36" t="s">
        <v>372</v>
      </c>
      <c r="J36" t="s">
        <v>236</v>
      </c>
      <c r="K36" t="s">
        <v>404</v>
      </c>
      <c r="L36"/>
      <c r="M36" t="s">
        <v>434</v>
      </c>
      <c r="N36"/>
      <c r="O36"/>
      <c r="P36"/>
      <c r="Q36"/>
      <c r="R36" t="s">
        <v>529</v>
      </c>
      <c r="S36" t="s">
        <v>541</v>
      </c>
      <c r="T36" t="s">
        <v>554</v>
      </c>
      <c r="U36"/>
      <c r="V36"/>
      <c r="W36"/>
      <c r="X36"/>
      <c r="Y36" t="s">
        <v>648</v>
      </c>
      <c r="Z36" t="s">
        <v>666</v>
      </c>
      <c r="CE36" s="68" t="str">
        <f t="shared" si="7"/>
        <v>Sharpe D</v>
      </c>
      <c r="CF36" s="68">
        <f>BatSplit(D36:CD36,MatchesPlayed)</f>
        <v>10</v>
      </c>
      <c r="CG36" s="68">
        <f t="shared" si="0"/>
        <v>1</v>
      </c>
      <c r="CH36" s="68">
        <f>BatSplit(D36:CD36,InnsBattedIn)</f>
        <v>9</v>
      </c>
      <c r="CI36" s="68">
        <f>BatSplit(D36:CD36,NotOuts)</f>
        <v>1</v>
      </c>
      <c r="CJ36" s="68">
        <f>BatSplit(D36:CD36,HighestScore)</f>
        <v>-109</v>
      </c>
      <c r="CK36" s="72" t="str">
        <f t="shared" si="1"/>
        <v>109*</v>
      </c>
      <c r="CL36" s="68">
        <f>BatSplit(D36:CD36,RunsScored)</f>
        <v>419</v>
      </c>
      <c r="CM36" s="70">
        <f t="shared" si="2"/>
        <v>52.375</v>
      </c>
      <c r="CN36" s="68">
        <f>BatSplit(D36:CD36,BatPts)</f>
        <v>454</v>
      </c>
      <c r="CO36" s="68">
        <f>BatSplit(D36:CD36,FldPts)</f>
        <v>0</v>
      </c>
      <c r="CP36" s="71">
        <f t="array" ref="CP36">SUM(IF(ISERR(FIND("*",D36:CD36)),0,1))</f>
        <v>2</v>
      </c>
      <c r="CQ36" s="71">
        <f t="array" ref="CQ36">SUM(IF(ISERR(FIND("+",D36:CD36)),0,1))</f>
        <v>4</v>
      </c>
      <c r="CR36" s="68">
        <f>BatSplit(D36:CD36,Ducks)</f>
        <v>1</v>
      </c>
      <c r="CS36" s="71">
        <f t="array" ref="CS36">SUM(IF(ISERR(FIND(CS$4,$D36:$CD36)),0,1))</f>
        <v>5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>BatSplit(D36:CD36,Fifties)</f>
        <v>4</v>
      </c>
      <c r="DA36" s="71">
        <f>BatSplit(D36:CD36,Catches)</f>
        <v>3</v>
      </c>
      <c r="DB36" s="71">
        <f>BatSplit(D36:CD36,Fours)</f>
        <v>59</v>
      </c>
      <c r="DC36" s="71">
        <f>BatSplit(D36:CD36,Sixes)</f>
        <v>8</v>
      </c>
      <c r="DD36" s="71">
        <f>BatSplit(D36:CD36,Stumpings)</f>
        <v>1</v>
      </c>
      <c r="DE36" s="71">
        <f>BatSplit(D36:CD36,CaughtWkt)</f>
        <v>3</v>
      </c>
      <c r="DF36" s="71">
        <f>BatSplit(D36:CD36,TwentyFives)</f>
        <v>5</v>
      </c>
      <c r="DG36" s="68">
        <f t="shared" si="3"/>
        <v>5238914.1903600004</v>
      </c>
      <c r="DH36" s="68">
        <f t="shared" si="4"/>
        <v>2</v>
      </c>
      <c r="DI36" s="68">
        <v>0</v>
      </c>
      <c r="DJ36" s="89">
        <f t="shared" si="5"/>
        <v>0.67780429594272074</v>
      </c>
      <c r="DK36" s="97">
        <f t="shared" si="6"/>
        <v>0.125</v>
      </c>
    </row>
    <row r="37" spans="1:115" x14ac:dyDescent="0.15">
      <c r="B37" s="68" t="s">
        <v>28</v>
      </c>
      <c r="C37" s="68" t="s">
        <v>199</v>
      </c>
      <c r="D37" t="s">
        <v>210</v>
      </c>
      <c r="E37" t="s">
        <v>210</v>
      </c>
      <c r="F37"/>
      <c r="G37" s="122" t="s">
        <v>341</v>
      </c>
      <c r="H37" s="122"/>
      <c r="I37" s="122"/>
      <c r="J37" s="122" t="s">
        <v>392</v>
      </c>
      <c r="K37" s="122" t="s">
        <v>210</v>
      </c>
      <c r="L37" s="122" t="s">
        <v>424</v>
      </c>
      <c r="M37" s="122" t="s">
        <v>442</v>
      </c>
      <c r="N37" s="122" t="s">
        <v>465</v>
      </c>
      <c r="O37" s="122" t="s">
        <v>478</v>
      </c>
      <c r="P37" s="122" t="s">
        <v>492</v>
      </c>
      <c r="Q37" s="122"/>
      <c r="R37" s="122"/>
      <c r="S37" s="122" t="s">
        <v>542</v>
      </c>
      <c r="T37" s="122" t="s">
        <v>563</v>
      </c>
      <c r="U37" s="122" t="s">
        <v>588</v>
      </c>
      <c r="V37" s="122" t="s">
        <v>409</v>
      </c>
      <c r="W37" s="122" t="s">
        <v>613</v>
      </c>
      <c r="X37"/>
      <c r="Y37" t="s">
        <v>618</v>
      </c>
      <c r="CE37" s="68" t="str">
        <f t="shared" si="7"/>
        <v>Smith C</v>
      </c>
      <c r="CF37" s="68">
        <f>BatSplit(D37:CD37,MatchesPlayed)</f>
        <v>16</v>
      </c>
      <c r="CG37" s="68">
        <f t="shared" si="0"/>
        <v>5</v>
      </c>
      <c r="CH37" s="68">
        <f>BatSplit(D37:CD37,InnsBattedIn)</f>
        <v>11</v>
      </c>
      <c r="CI37" s="68">
        <f>BatSplit(D37:CD37,NotOuts)</f>
        <v>2</v>
      </c>
      <c r="CJ37" s="68">
        <f>BatSplit(D37:CD37,HighestScore)</f>
        <v>-11</v>
      </c>
      <c r="CK37" s="72" t="str">
        <f t="shared" si="1"/>
        <v>11*</v>
      </c>
      <c r="CL37" s="68">
        <f>BatSplit(D37:CD37,RunsScored)</f>
        <v>52</v>
      </c>
      <c r="CM37" s="70">
        <f t="shared" si="2"/>
        <v>5.7777777777777777</v>
      </c>
      <c r="CN37" s="68">
        <f>BatSplit(D37:CD37,BatPts)</f>
        <v>37</v>
      </c>
      <c r="CO37" s="68">
        <f>BatSplit(D37:CD37,FldPts)</f>
        <v>5</v>
      </c>
      <c r="CP37" s="71">
        <f t="array" ref="CP37">SUM(IF(ISERR(FIND("*",D37:CD37)),0,1))</f>
        <v>2</v>
      </c>
      <c r="CQ37" s="71">
        <f t="array" ref="CQ37">SUM(IF(ISERR(FIND("+",D37:CD37)),0,1))</f>
        <v>0</v>
      </c>
      <c r="CR37" s="68">
        <f>BatSplit(D37:CD37,Ducks)</f>
        <v>3</v>
      </c>
      <c r="CS37" s="71">
        <f t="array" ref="CS37">SUM(IF(ISERR(FIND(CS$4,$D37:$CD37)),0,1))</f>
        <v>5</v>
      </c>
      <c r="CT37" s="71">
        <f t="array" ref="CT37">SUM(IF(ISERR(FIND(CT$4,$D37:$CD37)),0,1))</f>
        <v>3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>BatSplit(D37:CD37,Fifties)</f>
        <v>0</v>
      </c>
      <c r="DA37" s="71">
        <f>BatSplit(D37:CD37,Catches)</f>
        <v>1</v>
      </c>
      <c r="DB37" s="71">
        <f>BatSplit(D37:CD37,Fours)</f>
        <v>7</v>
      </c>
      <c r="DC37" s="71">
        <f>BatSplit(D37:CD37,Sixes)</f>
        <v>0</v>
      </c>
      <c r="DD37" s="71">
        <f>BatSplit(D37:CD37,Stumpings)</f>
        <v>0</v>
      </c>
      <c r="DE37" s="71">
        <f>BatSplit(D37:CD37,CaughtWkt)</f>
        <v>0</v>
      </c>
      <c r="DF37" s="71">
        <f>BatSplit(D37:CD37,TwentyFives)</f>
        <v>0</v>
      </c>
      <c r="DG37" s="68">
        <f t="shared" si="3"/>
        <v>579116.52037000004</v>
      </c>
      <c r="DH37" s="68">
        <f t="shared" si="4"/>
        <v>28</v>
      </c>
      <c r="DI37" s="68">
        <v>0</v>
      </c>
      <c r="DJ37" s="89">
        <f t="shared" si="5"/>
        <v>0.53846153846153844</v>
      </c>
      <c r="DK37" s="97">
        <f t="shared" si="6"/>
        <v>0.33333333333333331</v>
      </c>
    </row>
    <row r="38" spans="1:115" x14ac:dyDescent="0.15">
      <c r="B38" s="122" t="s">
        <v>360</v>
      </c>
      <c r="C38" s="122" t="s">
        <v>362</v>
      </c>
      <c r="D38"/>
      <c r="E38"/>
      <c r="F38"/>
      <c r="G38" s="122"/>
      <c r="H38" s="122" t="s">
        <v>364</v>
      </c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/>
      <c r="V38"/>
      <c r="W38"/>
      <c r="X38"/>
      <c r="Y38"/>
      <c r="CE38" s="68" t="str">
        <f t="shared" si="7"/>
        <v>Snell</v>
      </c>
      <c r="CF38" s="68">
        <f>BatSplit(D38:CD38,MatchesPlayed)</f>
        <v>1</v>
      </c>
      <c r="CG38" s="68">
        <f t="shared" si="0"/>
        <v>0</v>
      </c>
      <c r="CH38" s="68">
        <f>BatSplit(D38:CD38,InnsBattedIn)</f>
        <v>1</v>
      </c>
      <c r="CI38" s="68">
        <f>BatSplit(D38:CD38,NotOuts)</f>
        <v>0</v>
      </c>
      <c r="CJ38" s="68">
        <f>BatSplit(D38:CD38,HighestScore)</f>
        <v>14</v>
      </c>
      <c r="CK38" s="72">
        <f t="shared" si="1"/>
        <v>14</v>
      </c>
      <c r="CL38" s="68">
        <f>BatSplit(D38:CD38,RunsScored)</f>
        <v>14</v>
      </c>
      <c r="CM38" s="70">
        <f t="shared" si="2"/>
        <v>14</v>
      </c>
      <c r="CN38" s="68">
        <f>BatSplit(D38:CD38,BatPts)</f>
        <v>14</v>
      </c>
      <c r="CO38" s="68">
        <f>BatSplit(D38:CD38,FldPts)</f>
        <v>0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>BatSplit(D38:CD38,Ducks)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1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>BatSplit(D38:CD38,Fifties)</f>
        <v>0</v>
      </c>
      <c r="DA38" s="71">
        <f>BatSplit(D38:CD38,Catches)</f>
        <v>0</v>
      </c>
      <c r="DB38" s="71">
        <f>BatSplit(D38:CD38,Fours)</f>
        <v>2</v>
      </c>
      <c r="DC38" s="71">
        <f>BatSplit(D38:CD38,Sixes)</f>
        <v>0</v>
      </c>
      <c r="DD38" s="71">
        <f>BatSplit(D38:CD38,Stumpings)</f>
        <v>0</v>
      </c>
      <c r="DE38" s="71">
        <f>BatSplit(D38:CD38,CaughtWkt)</f>
        <v>0</v>
      </c>
      <c r="DF38" s="71">
        <f>BatSplit(D38:CD38,TwentyFives)</f>
        <v>0</v>
      </c>
      <c r="DG38" s="68">
        <f t="shared" si="3"/>
        <v>1400101.14038</v>
      </c>
      <c r="DH38" s="68">
        <f t="shared" si="4"/>
        <v>15</v>
      </c>
      <c r="DI38" s="68">
        <v>0</v>
      </c>
      <c r="DJ38" s="89" t="str">
        <f t="shared" si="5"/>
        <v/>
      </c>
      <c r="DK38" s="97">
        <f t="shared" si="6"/>
        <v>0</v>
      </c>
    </row>
    <row r="39" spans="1:115" x14ac:dyDescent="0.15">
      <c r="B39" t="s">
        <v>579</v>
      </c>
      <c r="C39" t="s">
        <v>580</v>
      </c>
      <c r="D39" s="122"/>
      <c r="E39" s="122"/>
      <c r="F39" s="122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 t="s">
        <v>582</v>
      </c>
      <c r="V39"/>
      <c r="W39"/>
      <c r="X39"/>
      <c r="Y39" s="122"/>
      <c r="CE39" s="68" t="str">
        <f t="shared" si="7"/>
        <v>Southey J</v>
      </c>
      <c r="CF39" s="68">
        <f t="shared" ref="CF39:CF40" si="281">BatSplit(D39:CD39,MatchesPlayed)</f>
        <v>1</v>
      </c>
      <c r="CG39" s="68">
        <f t="shared" ref="CG39:CG40" si="282">CF39-CH39</f>
        <v>0</v>
      </c>
      <c r="CH39" s="68">
        <f t="shared" ref="CH39:CH40" si="283">BatSplit(D39:CD39,InnsBattedIn)</f>
        <v>1</v>
      </c>
      <c r="CI39" s="68">
        <f t="shared" ref="CI39:CI40" si="284">BatSplit(D39:CD39,NotOuts)</f>
        <v>0</v>
      </c>
      <c r="CJ39" s="68">
        <f t="shared" ref="CJ39:CJ40" si="285">BatSplit(D39:CD39,HighestScore)</f>
        <v>6</v>
      </c>
      <c r="CK39" s="72">
        <f t="shared" ref="CK39:CK40" si="286">IF(CJ39&lt;0,-CJ39&amp;"*",CJ39)</f>
        <v>6</v>
      </c>
      <c r="CL39" s="68">
        <f t="shared" ref="CL39:CL40" si="287">BatSplit(D39:CD39,RunsScored)</f>
        <v>6</v>
      </c>
      <c r="CM39" s="70">
        <f t="shared" ref="CM39:CM40" si="288">IF(CH39=CI39,0,CL39/(CH39-CI39))</f>
        <v>6</v>
      </c>
      <c r="CN39" s="68">
        <f t="shared" ref="CN39:CN40" si="289">BatSplit(D39:CD39,BatPts)</f>
        <v>6</v>
      </c>
      <c r="CO39" s="68">
        <f t="shared" ref="CO39:CO40" si="290">BatSplit(D39:CD39,FldPts)</f>
        <v>0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:CR40" si="291">BatSplit(D39:CD39,Ducks)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1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:CZ40" si="292">BatSplit(D39:CD39,Fifties)</f>
        <v>0</v>
      </c>
      <c r="DA39" s="71">
        <f t="shared" ref="DA39:DA40" si="293">BatSplit(D39:CD39,Catches)</f>
        <v>0</v>
      </c>
      <c r="DB39" s="71">
        <f t="shared" ref="DB39:DB40" si="294">BatSplit(D39:CD39,Fours)</f>
        <v>0</v>
      </c>
      <c r="DC39" s="71">
        <f t="shared" ref="DC39:DC40" si="295">BatSplit(D39:CD39,Sixes)</f>
        <v>0</v>
      </c>
      <c r="DD39" s="71">
        <f t="shared" ref="DD39:DD40" si="296">BatSplit(D39:CD39,Stumpings)</f>
        <v>0</v>
      </c>
      <c r="DE39" s="71">
        <f t="shared" ref="DE39:DE40" si="297">BatSplit(D39:CD39,CaughtWkt)</f>
        <v>0</v>
      </c>
      <c r="DF39" s="71">
        <f t="shared" ref="DF39:DF40" si="298">BatSplit(D39:CD39,TwentyFives)</f>
        <v>0</v>
      </c>
      <c r="DG39" s="68">
        <f t="shared" ref="DG39:DG40" si="299">ROUND(IF(ISERROR(CM39),0,CM39),2)*100000+CH39*100+CF39+CL39/100+ROW()/100000</f>
        <v>600101.06039</v>
      </c>
      <c r="DH39" s="68">
        <f t="shared" si="4"/>
        <v>27</v>
      </c>
      <c r="DI39" s="68">
        <v>0</v>
      </c>
      <c r="DJ39" s="89" t="str">
        <f t="shared" ref="DJ39:DJ40" si="300">IF(CL39&gt;=50,(DB39*4+DC39*6+DI39*5)/CL39,"")</f>
        <v/>
      </c>
      <c r="DK39" s="97">
        <f t="shared" ref="DK39:DK40" si="301">CR39/(CH39-CI39)</f>
        <v>0</v>
      </c>
    </row>
    <row r="40" spans="1:115" x14ac:dyDescent="0.15">
      <c r="B40"/>
      <c r="C40" t="s">
        <v>581</v>
      </c>
      <c r="D40" s="122"/>
      <c r="E40" s="122"/>
      <c r="F40" s="122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 t="s">
        <v>592</v>
      </c>
      <c r="V40"/>
      <c r="W40"/>
      <c r="X40"/>
      <c r="Y40" s="122"/>
      <c r="CE40" s="68" t="str">
        <f t="shared" si="7"/>
        <v>Southey M</v>
      </c>
      <c r="CF40" s="68">
        <f t="shared" si="281"/>
        <v>1</v>
      </c>
      <c r="CG40" s="68">
        <f t="shared" si="282"/>
        <v>0</v>
      </c>
      <c r="CH40" s="68">
        <f t="shared" si="283"/>
        <v>1</v>
      </c>
      <c r="CI40" s="68">
        <f t="shared" si="284"/>
        <v>0</v>
      </c>
      <c r="CJ40" s="68">
        <f t="shared" si="285"/>
        <v>0</v>
      </c>
      <c r="CK40" s="72">
        <f t="shared" si="286"/>
        <v>0</v>
      </c>
      <c r="CL40" s="68">
        <f t="shared" si="287"/>
        <v>0</v>
      </c>
      <c r="CM40" s="70">
        <f t="shared" si="288"/>
        <v>0</v>
      </c>
      <c r="CN40" s="68">
        <f t="shared" si="289"/>
        <v>-5</v>
      </c>
      <c r="CO40" s="68">
        <f t="shared" si="290"/>
        <v>0</v>
      </c>
      <c r="CP40" s="71">
        <f t="array" ref="CP40">SUM(IF(ISERR(FIND("*",D40:CD40)),0,1))</f>
        <v>0</v>
      </c>
      <c r="CQ40" s="71">
        <f t="array" ref="CQ40">SUM(IF(ISERR(FIND("+",D40:CD40)),0,1))</f>
        <v>0</v>
      </c>
      <c r="CR40" s="68">
        <f t="shared" si="291"/>
        <v>1</v>
      </c>
      <c r="CS40" s="71">
        <f t="array" ref="CS40">SUM(IF(ISERR(FIND(CS$4,$D40:$CD40)),0,1))</f>
        <v>0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array" ref="CY40">SUM(IF(ISERR(FIND(CY$4,$D40:$CD40)),0,1))</f>
        <v>0</v>
      </c>
      <c r="CZ40" s="71">
        <f t="shared" si="292"/>
        <v>0</v>
      </c>
      <c r="DA40" s="71">
        <f t="shared" si="293"/>
        <v>0</v>
      </c>
      <c r="DB40" s="71">
        <f t="shared" si="294"/>
        <v>0</v>
      </c>
      <c r="DC40" s="71">
        <f t="shared" si="295"/>
        <v>0</v>
      </c>
      <c r="DD40" s="71">
        <f t="shared" si="296"/>
        <v>0</v>
      </c>
      <c r="DE40" s="71">
        <f t="shared" si="297"/>
        <v>0</v>
      </c>
      <c r="DF40" s="71">
        <f t="shared" si="298"/>
        <v>0</v>
      </c>
      <c r="DG40" s="68">
        <f t="shared" si="299"/>
        <v>101.0004</v>
      </c>
      <c r="DH40" s="68">
        <f t="shared" si="4"/>
        <v>41</v>
      </c>
      <c r="DI40" s="68">
        <v>0</v>
      </c>
      <c r="DJ40" s="89" t="str">
        <f t="shared" si="300"/>
        <v/>
      </c>
      <c r="DK40" s="97">
        <f t="shared" si="301"/>
        <v>1</v>
      </c>
    </row>
    <row r="41" spans="1:115" x14ac:dyDescent="0.15">
      <c r="B41" s="122" t="s">
        <v>241</v>
      </c>
      <c r="C41" s="122" t="s">
        <v>242</v>
      </c>
      <c r="D41" t="s">
        <v>276</v>
      </c>
      <c r="E41"/>
      <c r="F41" t="s">
        <v>319</v>
      </c>
      <c r="G41" t="s">
        <v>333</v>
      </c>
      <c r="H41" t="s">
        <v>354</v>
      </c>
      <c r="I41" t="s">
        <v>373</v>
      </c>
      <c r="J41" t="s">
        <v>391</v>
      </c>
      <c r="K41"/>
      <c r="L41" t="s">
        <v>418</v>
      </c>
      <c r="M41" t="s">
        <v>435</v>
      </c>
      <c r="N41"/>
      <c r="O41" t="s">
        <v>476</v>
      </c>
      <c r="P41" t="s">
        <v>486</v>
      </c>
      <c r="Q41" t="s">
        <v>508</v>
      </c>
      <c r="R41" t="s">
        <v>520</v>
      </c>
      <c r="S41" t="s">
        <v>545</v>
      </c>
      <c r="T41" t="s">
        <v>700</v>
      </c>
      <c r="U41" t="s">
        <v>586</v>
      </c>
      <c r="V41" t="s">
        <v>606</v>
      </c>
      <c r="W41" t="s">
        <v>614</v>
      </c>
      <c r="X41" t="s">
        <v>630</v>
      </c>
      <c r="Y41" t="s">
        <v>651</v>
      </c>
      <c r="Z41" s="122" t="s">
        <v>670</v>
      </c>
      <c r="CE41" s="68" t="str">
        <f t="shared" si="7"/>
        <v>Springer T</v>
      </c>
      <c r="CF41" s="68">
        <f>BatSplit(D41:CD41,MatchesPlayed)</f>
        <v>20</v>
      </c>
      <c r="CG41" s="68">
        <f t="shared" si="0"/>
        <v>2</v>
      </c>
      <c r="CH41" s="68">
        <f>BatSplit(D41:CD41,InnsBattedIn)</f>
        <v>18</v>
      </c>
      <c r="CI41" s="68">
        <f>BatSplit(D41:CD41,NotOuts)</f>
        <v>2</v>
      </c>
      <c r="CJ41" s="68">
        <f>BatSplit(D41:CD41,HighestScore)</f>
        <v>93</v>
      </c>
      <c r="CK41" s="72">
        <f t="shared" si="1"/>
        <v>93</v>
      </c>
      <c r="CL41" s="68">
        <f>BatSplit(D41:CD41,RunsScored)</f>
        <v>558</v>
      </c>
      <c r="CM41" s="70">
        <f t="shared" si="2"/>
        <v>34.875</v>
      </c>
      <c r="CN41" s="68">
        <f>BatSplit(D41:CD41,BatPts)</f>
        <v>598</v>
      </c>
      <c r="CO41" s="68">
        <f>BatSplit(D41:CD41,FldPts)</f>
        <v>85</v>
      </c>
      <c r="CP41" s="71">
        <f t="array" ref="CP41">SUM(IF(ISERR(FIND("*",D41:CD41)),0,1))</f>
        <v>17</v>
      </c>
      <c r="CQ41" s="71">
        <f t="array" ref="CQ41">SUM(IF(ISERR(FIND("+",D41:CD41)),0,1))</f>
        <v>0</v>
      </c>
      <c r="CR41" s="68">
        <f>BatSplit(D41:CD41,Ducks)</f>
        <v>2</v>
      </c>
      <c r="CS41" s="71">
        <f t="array" ref="CS41">SUM(IF(ISERR(FIND(CS$4,$D41:$CD41)),0,1))</f>
        <v>5</v>
      </c>
      <c r="CT41" s="71">
        <f t="array" ref="CT41">SUM(IF(ISERR(FIND(CT$4,$D41:$CD41)),0,1))</f>
        <v>9</v>
      </c>
      <c r="CU41" s="71">
        <f t="array" ref="CU41">SUM(IF(ISERR(FIND(CU$4,$D41:$CD41)),0,1))</f>
        <v>0</v>
      </c>
      <c r="CV41" s="71">
        <f t="array" ref="CV41">SUM(IF(ISERR(FIND(CV$4,$D41:$CD41)),0,1))</f>
        <v>2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array" ref="CY41">SUM(IF(ISERR(FIND(CY$4,$D41:$CD41)),0,1))</f>
        <v>0</v>
      </c>
      <c r="CZ41" s="71">
        <f>BatSplit(D41:CD41,Fifties)</f>
        <v>5</v>
      </c>
      <c r="DA41" s="71">
        <f>BatSplit(D41:CD41,Catches)</f>
        <v>17</v>
      </c>
      <c r="DB41" s="71">
        <f>BatSplit(D41:CD41,Fours)</f>
        <v>91</v>
      </c>
      <c r="DC41" s="71">
        <f>BatSplit(D41:CD41,Sixes)</f>
        <v>7</v>
      </c>
      <c r="DD41" s="71">
        <f>BatSplit(D41:CD41,Stumpings)</f>
        <v>0</v>
      </c>
      <c r="DE41" s="71">
        <f>BatSplit(D41:CD41,CaughtWkt)</f>
        <v>0</v>
      </c>
      <c r="DF41" s="71">
        <f>BatSplit(D41:CD41,TwentyFives)</f>
        <v>6</v>
      </c>
      <c r="DG41" s="68">
        <f t="shared" si="3"/>
        <v>3489825.5804100004</v>
      </c>
      <c r="DH41" s="68">
        <f t="shared" si="4"/>
        <v>3</v>
      </c>
      <c r="DI41" s="68">
        <v>0</v>
      </c>
      <c r="DJ41" s="89">
        <f t="shared" si="5"/>
        <v>0.72759856630824371</v>
      </c>
      <c r="DK41" s="97">
        <f t="shared" si="6"/>
        <v>0.125</v>
      </c>
    </row>
    <row r="42" spans="1:115" x14ac:dyDescent="0.15">
      <c r="B42" s="122"/>
      <c r="C42" s="122" t="s">
        <v>252</v>
      </c>
      <c r="D42"/>
      <c r="E42"/>
      <c r="F42" t="s">
        <v>316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 s="122"/>
      <c r="CE42" s="68" t="str">
        <f t="shared" si="7"/>
        <v>Stevenson R</v>
      </c>
      <c r="CF42" s="68">
        <f>BatSplit(D42:CD42,MatchesPlayed)</f>
        <v>1</v>
      </c>
      <c r="CG42" s="68">
        <f t="shared" si="0"/>
        <v>0</v>
      </c>
      <c r="CH42" s="68">
        <f>BatSplit(D42:CD42,InnsBattedIn)</f>
        <v>1</v>
      </c>
      <c r="CI42" s="68">
        <f>BatSplit(D42:CD42,NotOuts)</f>
        <v>0</v>
      </c>
      <c r="CJ42" s="68">
        <f>BatSplit(D42:CD42,HighestScore)</f>
        <v>4</v>
      </c>
      <c r="CK42" s="72">
        <f t="shared" si="1"/>
        <v>4</v>
      </c>
      <c r="CL42" s="68">
        <f>BatSplit(D42:CD42,RunsScored)</f>
        <v>4</v>
      </c>
      <c r="CM42" s="70">
        <f t="shared" si="2"/>
        <v>4</v>
      </c>
      <c r="CN42" s="68">
        <f>BatSplit(D42:CD42,BatPts)</f>
        <v>4</v>
      </c>
      <c r="CO42" s="68">
        <f>BatSplit(D42:CD42,FldPts)</f>
        <v>5</v>
      </c>
      <c r="CP42" s="71">
        <f t="array" ref="CP42">SUM(IF(ISERR(FIND("*",D42:CD42)),0,1))</f>
        <v>0</v>
      </c>
      <c r="CQ42" s="71">
        <f t="array" ref="CQ42">SUM(IF(ISERR(FIND("+",D42:CD42)),0,1))</f>
        <v>0</v>
      </c>
      <c r="CR42" s="68">
        <f>BatSplit(D42:CD42,Ducks)</f>
        <v>0</v>
      </c>
      <c r="CS42" s="71">
        <f t="array" ref="CS42">SUM(IF(ISERR(FIND(CS$4,$D42:$CD42)),0,1))</f>
        <v>1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array" ref="CY42">SUM(IF(ISERR(FIND(CY$4,$D42:$CD42)),0,1))</f>
        <v>0</v>
      </c>
      <c r="CZ42" s="71">
        <f>BatSplit(D42:CD42,Fifties)</f>
        <v>0</v>
      </c>
      <c r="DA42" s="71">
        <f>BatSplit(D42:CD42,Catches)</f>
        <v>1</v>
      </c>
      <c r="DB42" s="71">
        <f>BatSplit(D42:CD42,Fours)</f>
        <v>1</v>
      </c>
      <c r="DC42" s="71">
        <f>BatSplit(D42:CD42,Sixes)</f>
        <v>0</v>
      </c>
      <c r="DD42" s="71">
        <f>BatSplit(D42:CD42,Stumpings)</f>
        <v>0</v>
      </c>
      <c r="DE42" s="71">
        <f>BatSplit(D42:CD42,CaughtWkt)</f>
        <v>0</v>
      </c>
      <c r="DF42" s="71">
        <f>BatSplit(D42:CD42,TwentyFives)</f>
        <v>0</v>
      </c>
      <c r="DG42" s="68">
        <f t="shared" si="3"/>
        <v>400101.04041999998</v>
      </c>
      <c r="DH42" s="68">
        <f t="shared" si="4"/>
        <v>32</v>
      </c>
      <c r="DI42" s="68">
        <v>0</v>
      </c>
      <c r="DJ42" s="89" t="str">
        <f t="shared" si="5"/>
        <v/>
      </c>
      <c r="DK42" s="97">
        <f t="shared" si="6"/>
        <v>0</v>
      </c>
    </row>
    <row r="43" spans="1:115" x14ac:dyDescent="0.15">
      <c r="B43" s="122" t="s">
        <v>360</v>
      </c>
      <c r="C43" s="122" t="s">
        <v>361</v>
      </c>
      <c r="D43"/>
      <c r="E43"/>
      <c r="F43"/>
      <c r="G43"/>
      <c r="H43" t="s">
        <v>363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 s="122"/>
      <c r="CE43" s="68" t="str">
        <f t="shared" si="7"/>
        <v>Street</v>
      </c>
      <c r="CF43" s="68">
        <f t="shared" ref="CF43" si="302">BatSplit(D43:CD43,MatchesPlayed)</f>
        <v>1</v>
      </c>
      <c r="CG43" s="68">
        <f t="shared" ref="CG43" si="303">CF43-CH43</f>
        <v>0</v>
      </c>
      <c r="CH43" s="68">
        <f t="shared" ref="CH43" si="304">BatSplit(D43:CD43,InnsBattedIn)</f>
        <v>1</v>
      </c>
      <c r="CI43" s="68">
        <f t="shared" ref="CI43" si="305">BatSplit(D43:CD43,NotOuts)</f>
        <v>0</v>
      </c>
      <c r="CJ43" s="68">
        <f t="shared" ref="CJ43" si="306">BatSplit(D43:CD43,HighestScore)</f>
        <v>33</v>
      </c>
      <c r="CK43" s="72">
        <f t="shared" ref="CK43" si="307">IF(CJ43&lt;0,-CJ43&amp;"*",CJ43)</f>
        <v>33</v>
      </c>
      <c r="CL43" s="68">
        <f t="shared" ref="CL43" si="308">BatSplit(D43:CD43,RunsScored)</f>
        <v>33</v>
      </c>
      <c r="CM43" s="70">
        <f t="shared" ref="CM43" si="309">IF(CH43=CI43,0,CL43/(CH43-CI43))</f>
        <v>33</v>
      </c>
      <c r="CN43" s="68">
        <f t="shared" ref="CN43" si="310">BatSplit(D43:CD43,BatPts)</f>
        <v>33</v>
      </c>
      <c r="CO43" s="68">
        <f t="shared" ref="CO43" si="311">BatSplit(D43:CD43,FldPts)</f>
        <v>0</v>
      </c>
      <c r="CP43" s="71">
        <f t="array" ref="CP43">SUM(IF(ISERR(FIND("*",D43:CD43)),0,1))</f>
        <v>0</v>
      </c>
      <c r="CQ43" s="71">
        <f t="array" ref="CQ43">SUM(IF(ISERR(FIND("+",D43:CD43)),0,1))</f>
        <v>0</v>
      </c>
      <c r="CR43" s="68">
        <f t="shared" ref="CR43" si="312">BatSplit(D43:CD43,Ducks)</f>
        <v>0</v>
      </c>
      <c r="CS43" s="71">
        <f t="array" ref="CS43">SUM(IF(ISERR(FIND(CS$4,$D43:$CD43)),0,1))</f>
        <v>0</v>
      </c>
      <c r="CT43" s="71">
        <f t="array" ref="CT43">SUM(IF(ISERR(FIND(CT$4,$D43:$CD43)),0,1))</f>
        <v>1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array" ref="CY43">SUM(IF(ISERR(FIND(CY$4,$D43:$CD43)),0,1))</f>
        <v>0</v>
      </c>
      <c r="CZ43" s="71">
        <f t="shared" ref="CZ43" si="313">BatSplit(D43:CD43,Fifties)</f>
        <v>0</v>
      </c>
      <c r="DA43" s="71">
        <f t="shared" ref="DA43" si="314">BatSplit(D43:CD43,Catches)</f>
        <v>0</v>
      </c>
      <c r="DB43" s="71">
        <f t="shared" ref="DB43" si="315">BatSplit(D43:CD43,Fours)</f>
        <v>4</v>
      </c>
      <c r="DC43" s="71">
        <f t="shared" ref="DC43" si="316">BatSplit(D43:CD43,Sixes)</f>
        <v>0</v>
      </c>
      <c r="DD43" s="71">
        <f t="shared" ref="DD43" si="317">BatSplit(D43:CD43,Stumpings)</f>
        <v>0</v>
      </c>
      <c r="DE43" s="71">
        <f t="shared" ref="DE43" si="318">BatSplit(D43:CD43,CaughtWkt)</f>
        <v>0</v>
      </c>
      <c r="DF43" s="71">
        <f t="shared" ref="DF43" si="319">BatSplit(D43:CD43,TwentyFives)</f>
        <v>1</v>
      </c>
      <c r="DG43" s="68">
        <f t="shared" ref="DG43" si="320">ROUND(IF(ISERROR(CM43),0,CM43),2)*100000+CH43*100+CF43+CL43/100+ROW()/100000</f>
        <v>3300101.3304300001</v>
      </c>
      <c r="DH43" s="68">
        <f t="shared" si="4"/>
        <v>4</v>
      </c>
      <c r="DI43" s="68">
        <v>0</v>
      </c>
      <c r="DJ43" s="89" t="str">
        <f t="shared" ref="DJ43" si="321">IF(CL43&gt;=50,(DB43*4+DC43*6+DI43*5)/CL43,"")</f>
        <v/>
      </c>
      <c r="DK43" s="97">
        <f t="shared" ref="DK43" si="322">CR43/(CH43-CI43)</f>
        <v>0</v>
      </c>
    </row>
    <row r="44" spans="1:115" x14ac:dyDescent="0.15">
      <c r="B44" s="122"/>
      <c r="C44" s="122" t="s">
        <v>709</v>
      </c>
      <c r="D44"/>
      <c r="E44"/>
      <c r="F44" t="s">
        <v>320</v>
      </c>
      <c r="G44"/>
      <c r="H44"/>
      <c r="I44"/>
      <c r="J44" t="s">
        <v>390</v>
      </c>
      <c r="K44" t="s">
        <v>405</v>
      </c>
      <c r="L44" t="s">
        <v>420</v>
      </c>
      <c r="M44" t="s">
        <v>436</v>
      </c>
      <c r="N44" s="122" t="s">
        <v>460</v>
      </c>
      <c r="O44" s="122" t="s">
        <v>475</v>
      </c>
      <c r="P44" s="122" t="s">
        <v>490</v>
      </c>
      <c r="Q44" s="122" t="s">
        <v>507</v>
      </c>
      <c r="R44" s="122" t="s">
        <v>522</v>
      </c>
      <c r="S44" s="122" t="s">
        <v>488</v>
      </c>
      <c r="T44" s="122" t="s">
        <v>556</v>
      </c>
      <c r="U44" s="122" t="s">
        <v>585</v>
      </c>
      <c r="V44" s="122" t="s">
        <v>601</v>
      </c>
      <c r="W44" s="122" t="s">
        <v>615</v>
      </c>
      <c r="X44" s="122" t="s">
        <v>632</v>
      </c>
      <c r="Z44" s="122" t="s">
        <v>409</v>
      </c>
      <c r="CE44" s="68" t="str">
        <f t="shared" si="7"/>
        <v>Tapadar S</v>
      </c>
      <c r="CF44" s="68">
        <f t="shared" ref="CF44" si="323">BatSplit(D44:CD44,MatchesPlayed)</f>
        <v>17</v>
      </c>
      <c r="CG44" s="68">
        <f t="shared" ref="CG44" si="324">CF44-CH44</f>
        <v>1</v>
      </c>
      <c r="CH44" s="68">
        <f t="shared" ref="CH44" si="325">BatSplit(D44:CD44,InnsBattedIn)</f>
        <v>16</v>
      </c>
      <c r="CI44" s="68">
        <f t="shared" ref="CI44" si="326">BatSplit(D44:CD44,NotOuts)</f>
        <v>1</v>
      </c>
      <c r="CJ44" s="68">
        <f t="shared" ref="CJ44" si="327">BatSplit(D44:CD44,HighestScore)</f>
        <v>51</v>
      </c>
      <c r="CK44" s="72">
        <f t="shared" ref="CK44" si="328">IF(CJ44&lt;0,-CJ44&amp;"*",CJ44)</f>
        <v>51</v>
      </c>
      <c r="CL44" s="68">
        <f t="shared" ref="CL44" si="329">BatSplit(D44:CD44,RunsScored)</f>
        <v>405</v>
      </c>
      <c r="CM44" s="70">
        <f t="shared" ref="CM44" si="330">IF(CH44=CI44,0,CL44/(CH44-CI44))</f>
        <v>27</v>
      </c>
      <c r="CN44" s="68">
        <f t="shared" ref="CN44" si="331">BatSplit(D44:CD44,BatPts)</f>
        <v>415</v>
      </c>
      <c r="CO44" s="68">
        <f t="shared" ref="CO44" si="332">BatSplit(D44:CD44,FldPts)</f>
        <v>15</v>
      </c>
      <c r="CP44" s="71">
        <f t="array" ref="CP44">SUM(IF(ISERR(FIND("*",D44:CD44)),0,1))</f>
        <v>0</v>
      </c>
      <c r="CQ44" s="71">
        <f t="array" ref="CQ44">SUM(IF(ISERR(FIND("+",D44:CD44)),0,1))</f>
        <v>3</v>
      </c>
      <c r="CR44" s="68">
        <f t="shared" ref="CR44" si="333">BatSplit(D44:CD44,Ducks)</f>
        <v>0</v>
      </c>
      <c r="CS44" s="71">
        <f t="array" ref="CS44">SUM(IF(ISERR(FIND(CS$4,$D44:$CD44)),0,1))</f>
        <v>4</v>
      </c>
      <c r="CT44" s="71">
        <f t="array" ref="CT44">SUM(IF(ISERR(FIND(CT$4,$D44:$CD44)),0,1))</f>
        <v>8</v>
      </c>
      <c r="CU44" s="71">
        <f t="array" ref="CU44">SUM(IF(ISERR(FIND(CU$4,$D44:$CD44)),0,1))</f>
        <v>2</v>
      </c>
      <c r="CV44" s="71">
        <f t="array" ref="CV44">SUM(IF(ISERR(FIND(CV$4,$D44:$CD44)),0,1))</f>
        <v>0</v>
      </c>
      <c r="CW44" s="71">
        <f t="array" ref="CW44">SUM(IF(ISERR(FIND(CW$4,$D44:$CD44)),0,1))</f>
        <v>1</v>
      </c>
      <c r="CX44" s="71">
        <f t="array" ref="CX44">SUM(IF(ISERR(FIND(CX$4,$D44:$CD44)),0,1))</f>
        <v>0</v>
      </c>
      <c r="CY44" s="71">
        <f t="array" ref="CY44">SUM(IF(ISERR(FIND(CY$4,$D44:$CD44)),0,1))</f>
        <v>0</v>
      </c>
      <c r="CZ44" s="71">
        <f t="shared" ref="CZ44" si="334">BatSplit(D44:CD44,Fifties)</f>
        <v>1</v>
      </c>
      <c r="DA44" s="71">
        <f t="shared" ref="DA44" si="335">BatSplit(D44:CD44,Catches)</f>
        <v>8</v>
      </c>
      <c r="DB44" s="71">
        <f t="shared" ref="DB44" si="336">BatSplit(D44:CD44,Fours)</f>
        <v>58</v>
      </c>
      <c r="DC44" s="71">
        <f t="shared" ref="DC44" si="337">BatSplit(D44:CD44,Sixes)</f>
        <v>9</v>
      </c>
      <c r="DD44" s="71">
        <f t="shared" ref="DD44" si="338">BatSplit(D44:CD44,Stumpings)</f>
        <v>1</v>
      </c>
      <c r="DE44" s="71">
        <f t="shared" ref="DE44" si="339">BatSplit(D44:CD44,CaughtWkt)</f>
        <v>5</v>
      </c>
      <c r="DF44" s="71">
        <f t="shared" ref="DF44" si="340">BatSplit(D44:CD44,TwentyFives)</f>
        <v>7</v>
      </c>
      <c r="DG44" s="68">
        <f t="shared" ref="DG44" si="341">ROUND(IF(ISERROR(CM44),0,CM44),2)*100000+CH44*100+CF44+CL44/100+ROW()/100000</f>
        <v>2701621.0504399999</v>
      </c>
      <c r="DH44" s="68">
        <f t="shared" si="4"/>
        <v>7</v>
      </c>
      <c r="DI44" s="68">
        <v>0</v>
      </c>
      <c r="DJ44" s="89">
        <f t="shared" ref="DJ44" si="342">IF(CL44&gt;=50,(DB44*4+DC44*6+DI44*5)/CL44,"")</f>
        <v>0.70617283950617282</v>
      </c>
      <c r="DK44" s="97">
        <f t="shared" ref="DK44" si="343">CR44/(CH44-CI44)</f>
        <v>0</v>
      </c>
    </row>
    <row r="45" spans="1:115" x14ac:dyDescent="0.15">
      <c r="B45" s="122" t="s">
        <v>440</v>
      </c>
      <c r="C45" s="122" t="s">
        <v>451</v>
      </c>
      <c r="D45"/>
      <c r="E45"/>
      <c r="F45"/>
      <c r="G45"/>
      <c r="H45"/>
      <c r="I45"/>
      <c r="J45"/>
      <c r="K45" s="122"/>
      <c r="L45"/>
      <c r="M45" t="s">
        <v>441</v>
      </c>
      <c r="N45" s="122" t="s">
        <v>457</v>
      </c>
      <c r="O45" t="s">
        <v>477</v>
      </c>
      <c r="P45" t="s">
        <v>489</v>
      </c>
      <c r="Q45" t="s">
        <v>509</v>
      </c>
      <c r="R45" s="122" t="s">
        <v>523</v>
      </c>
      <c r="S45" s="122" t="s">
        <v>543</v>
      </c>
      <c r="T45" s="122" t="s">
        <v>559</v>
      </c>
      <c r="U45" s="122" t="s">
        <v>584</v>
      </c>
      <c r="V45" s="122" t="s">
        <v>602</v>
      </c>
      <c r="W45" s="122" t="s">
        <v>610</v>
      </c>
      <c r="X45" s="122" t="s">
        <v>631</v>
      </c>
      <c r="Y45" s="122" t="s">
        <v>650</v>
      </c>
      <c r="Z45" s="122" t="s">
        <v>298</v>
      </c>
      <c r="CE45" s="68" t="str">
        <f t="shared" si="7"/>
        <v>Viveganandan R</v>
      </c>
      <c r="CF45" s="68">
        <f t="shared" ref="CF45" si="344">BatSplit(D45:CD45,MatchesPlayed)</f>
        <v>14</v>
      </c>
      <c r="CG45" s="68">
        <f t="shared" ref="CG45" si="345">CF45-CH45</f>
        <v>1</v>
      </c>
      <c r="CH45" s="68">
        <f t="shared" ref="CH45" si="346">BatSplit(D45:CD45,InnsBattedIn)</f>
        <v>13</v>
      </c>
      <c r="CI45" s="68">
        <f t="shared" ref="CI45" si="347">BatSplit(D45:CD45,NotOuts)</f>
        <v>2</v>
      </c>
      <c r="CJ45" s="68">
        <f t="shared" ref="CJ45" si="348">BatSplit(D45:CD45,HighestScore)</f>
        <v>66</v>
      </c>
      <c r="CK45" s="72">
        <f t="shared" ref="CK45" si="349">IF(CJ45&lt;0,-CJ45&amp;"*",CJ45)</f>
        <v>66</v>
      </c>
      <c r="CL45" s="68">
        <f t="shared" ref="CL45" si="350">BatSplit(D45:CD45,RunsScored)</f>
        <v>315</v>
      </c>
      <c r="CM45" s="70">
        <f t="shared" ref="CM45" si="351">IF(CH45=CI45,0,CL45/(CH45-CI45))</f>
        <v>28.636363636363637</v>
      </c>
      <c r="CN45" s="68">
        <f t="shared" ref="CN45" si="352">BatSplit(D45:CD45,BatPts)</f>
        <v>335</v>
      </c>
      <c r="CO45" s="68">
        <f t="shared" ref="CO45" si="353">BatSplit(D45:CD45,FldPts)</f>
        <v>10</v>
      </c>
      <c r="CP45" s="71">
        <f t="array" ref="CP45">SUM(IF(ISERR(FIND("*",D45:CD45)),0,1))</f>
        <v>0</v>
      </c>
      <c r="CQ45" s="71">
        <f t="array" ref="CQ45">SUM(IF(ISERR(FIND("+",D45:CD45)),0,1))</f>
        <v>0</v>
      </c>
      <c r="CR45" s="68">
        <f t="shared" ref="CR45" si="354">BatSplit(D45:CD45,Ducks)</f>
        <v>0</v>
      </c>
      <c r="CS45" s="71">
        <f t="array" ref="CS45">SUM(IF(ISERR(FIND(CS$4,$D45:$CD45)),0,1))</f>
        <v>4</v>
      </c>
      <c r="CT45" s="71">
        <f t="array" ref="CT45">SUM(IF(ISERR(FIND(CT$4,$D45:$CD45)),0,1))</f>
        <v>5</v>
      </c>
      <c r="CU45" s="71">
        <f t="array" ref="CU45">SUM(IF(ISERR(FIND(CU$4,$D45:$CD45)),0,1))</f>
        <v>1</v>
      </c>
      <c r="CV45" s="71">
        <f t="array" ref="CV45">SUM(IF(ISERR(FIND(CV$4,$D45:$CD45)),0,1))</f>
        <v>0</v>
      </c>
      <c r="CW45" s="71">
        <f t="array" ref="CW45">SUM(IF(ISERR(FIND(CW$4,$D45:$CD45)),0,1))</f>
        <v>1</v>
      </c>
      <c r="CX45" s="71">
        <f t="array" ref="CX45">SUM(IF(ISERR(FIND(CX$4,$D45:$CD45)),0,1))</f>
        <v>0</v>
      </c>
      <c r="CY45" s="71">
        <f t="array" ref="CY45">SUM(IF(ISERR(FIND(CY$4,$D45:$CD45)),0,1))</f>
        <v>0</v>
      </c>
      <c r="CZ45" s="71">
        <f t="shared" ref="CZ45" si="355">BatSplit(D45:CD45,Fifties)</f>
        <v>2</v>
      </c>
      <c r="DA45" s="71">
        <f t="shared" ref="DA45" si="356">BatSplit(D45:CD45,Catches)</f>
        <v>2</v>
      </c>
      <c r="DB45" s="71">
        <f t="shared" ref="DB45" si="357">BatSplit(D45:CD45,Fours)</f>
        <v>44</v>
      </c>
      <c r="DC45" s="71">
        <f t="shared" ref="DC45" si="358">BatSplit(D45:CD45,Sixes)</f>
        <v>8</v>
      </c>
      <c r="DD45" s="71">
        <f t="shared" ref="DD45" si="359">BatSplit(D45:CD45,Stumpings)</f>
        <v>0</v>
      </c>
      <c r="DE45" s="71">
        <f t="shared" ref="DE45" si="360">BatSplit(D45:CD45,CaughtWkt)</f>
        <v>0</v>
      </c>
      <c r="DF45" s="71">
        <f t="shared" ref="DF45" si="361">BatSplit(D45:CD45,TwentyFives)</f>
        <v>5</v>
      </c>
      <c r="DG45" s="68">
        <f t="shared" ref="DG45" si="362">ROUND(IF(ISERROR(CM45),0,CM45),2)*100000+CH45*100+CF45+CL45/100+ROW()/100000</f>
        <v>2865317.1504500001</v>
      </c>
      <c r="DH45" s="68">
        <f t="shared" si="4"/>
        <v>6</v>
      </c>
      <c r="DI45" s="68">
        <v>0</v>
      </c>
      <c r="DJ45" s="89">
        <f t="shared" ref="DJ45" si="363">IF(CL45&gt;=50,(DB45*4+DC45*6+DI45*5)/CL45,"")</f>
        <v>0.71111111111111114</v>
      </c>
      <c r="DK45" s="97">
        <f t="shared" ref="DK45" si="364">CR45/(CH45-CI45)</f>
        <v>0</v>
      </c>
    </row>
    <row r="46" spans="1:115" x14ac:dyDescent="0.15">
      <c r="B46" s="122"/>
      <c r="C46" s="122" t="s">
        <v>616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/>
      <c r="R46" s="122"/>
      <c r="S46" s="122"/>
      <c r="T46" s="122"/>
      <c r="U46" s="122"/>
      <c r="V46" s="122"/>
      <c r="W46" s="122" t="s">
        <v>617</v>
      </c>
      <c r="X46" t="s">
        <v>639</v>
      </c>
      <c r="Y46" t="s">
        <v>657</v>
      </c>
      <c r="Z46" t="s">
        <v>234</v>
      </c>
      <c r="CE46" s="68" t="str">
        <f t="shared" si="7"/>
        <v>Wilson A</v>
      </c>
      <c r="CF46" s="68">
        <f t="shared" ref="CF46" si="365">BatSplit(D46:CD46,MatchesPlayed)</f>
        <v>4</v>
      </c>
      <c r="CG46" s="68">
        <f t="shared" ref="CG46" si="366">CF46-CH46</f>
        <v>1</v>
      </c>
      <c r="CH46" s="68">
        <f t="shared" ref="CH46" si="367">BatSplit(D46:CD46,InnsBattedIn)</f>
        <v>3</v>
      </c>
      <c r="CI46" s="68">
        <f t="shared" ref="CI46" si="368">BatSplit(D46:CD46,NotOuts)</f>
        <v>1</v>
      </c>
      <c r="CJ46" s="68">
        <f t="shared" ref="CJ46" si="369">BatSplit(D46:CD46,HighestScore)</f>
        <v>9</v>
      </c>
      <c r="CK46" s="72">
        <f t="shared" ref="CK46" si="370">IF(CJ46&lt;0,-CJ46&amp;"*",CJ46)</f>
        <v>9</v>
      </c>
      <c r="CL46" s="68">
        <f t="shared" ref="CL46" si="371">BatSplit(D46:CD46,RunsScored)</f>
        <v>25</v>
      </c>
      <c r="CM46" s="70">
        <f t="shared" ref="CM46" si="372">IF(CH46=CI46,0,CL46/(CH46-CI46))</f>
        <v>12.5</v>
      </c>
      <c r="CN46" s="68">
        <f t="shared" ref="CN46" si="373">BatSplit(D46:CD46,BatPts)</f>
        <v>25</v>
      </c>
      <c r="CO46" s="68">
        <f t="shared" ref="CO46" si="374">BatSplit(D46:CD46,FldPts)</f>
        <v>5</v>
      </c>
      <c r="CP46" s="71">
        <f t="array" ref="CP46">SUM(IF(ISERR(FIND("*",D46:CD46)),0,1))</f>
        <v>0</v>
      </c>
      <c r="CQ46" s="71">
        <f t="array" ref="CQ46">SUM(IF(ISERR(FIND("+",D46:CD46)),0,1))</f>
        <v>0</v>
      </c>
      <c r="CR46" s="68">
        <f t="shared" ref="CR46" si="375">BatSplit(D46:CD46,Ducks)</f>
        <v>0</v>
      </c>
      <c r="CS46" s="71">
        <f t="array" ref="CS46">SUM(IF(ISERR(FIND(CS$4,$D46:$CD46)),0,1))</f>
        <v>1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array" ref="CY46">SUM(IF(ISERR(FIND(CY$4,$D46:$CD46)),0,1))</f>
        <v>0</v>
      </c>
      <c r="CZ46" s="71">
        <f t="shared" ref="CZ46" si="376">BatSplit(D46:CD46,Fifties)</f>
        <v>0</v>
      </c>
      <c r="DA46" s="71">
        <f t="shared" ref="DA46" si="377">BatSplit(D46:CD46,Catches)</f>
        <v>1</v>
      </c>
      <c r="DB46" s="71">
        <f t="shared" ref="DB46" si="378">BatSplit(D46:CD46,Fours)</f>
        <v>3</v>
      </c>
      <c r="DC46" s="71">
        <f t="shared" ref="DC46" si="379">BatSplit(D46:CD46,Sixes)</f>
        <v>0</v>
      </c>
      <c r="DD46" s="71">
        <f t="shared" ref="DD46" si="380">BatSplit(D46:CD46,Stumpings)</f>
        <v>0</v>
      </c>
      <c r="DE46" s="71">
        <f t="shared" ref="DE46" si="381">BatSplit(D46:CD46,CaughtWkt)</f>
        <v>0</v>
      </c>
      <c r="DF46" s="71">
        <f t="shared" ref="DF46" si="382">BatSplit(D46:CD46,TwentyFives)</f>
        <v>0</v>
      </c>
      <c r="DG46" s="68">
        <f t="shared" ref="DG46" si="383">ROUND(IF(ISERROR(CM46),0,CM46),2)*100000+CH46*100+CF46+CL46/100+ROW()/100000</f>
        <v>1250304.25046</v>
      </c>
      <c r="DH46" s="68">
        <f t="shared" si="4"/>
        <v>18</v>
      </c>
      <c r="DI46" s="68">
        <v>0</v>
      </c>
      <c r="DJ46" s="89" t="str">
        <f t="shared" ref="DJ46" si="384">IF(CL46&gt;=50,(DB46*4+DC46*6+DI46*5)/CL46,"")</f>
        <v/>
      </c>
      <c r="DK46" s="97">
        <f t="shared" ref="DK46" si="385">CR46/(CH46-CI46)</f>
        <v>0</v>
      </c>
    </row>
    <row r="47" spans="1:115" x14ac:dyDescent="0.15">
      <c r="B47" s="122"/>
      <c r="C47" s="122" t="s">
        <v>247</v>
      </c>
      <c r="D47"/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 t="s">
        <v>528</v>
      </c>
      <c r="S47"/>
      <c r="T47" s="122"/>
      <c r="U47" s="122"/>
      <c r="V47" s="122"/>
      <c r="W47"/>
      <c r="X47"/>
      <c r="Z47"/>
      <c r="CE47" s="68" t="str">
        <f t="shared" si="7"/>
        <v>Winter T</v>
      </c>
      <c r="CF47" s="68">
        <f>BatSplit(D47:CD47,MatchesPlayed)</f>
        <v>1</v>
      </c>
      <c r="CG47" s="68">
        <f t="shared" si="0"/>
        <v>0</v>
      </c>
      <c r="CH47" s="68">
        <f>BatSplit(D47:CD47,InnsBattedIn)</f>
        <v>1</v>
      </c>
      <c r="CI47" s="68">
        <f>BatSplit(D47:CD47,NotOuts)</f>
        <v>1</v>
      </c>
      <c r="CJ47" s="68">
        <f>BatSplit(D47:CD47,HighestScore)</f>
        <v>-1</v>
      </c>
      <c r="CK47" s="72" t="str">
        <f t="shared" si="1"/>
        <v>1*</v>
      </c>
      <c r="CL47" s="68">
        <f>BatSplit(D47:CD47,RunsScored)</f>
        <v>1</v>
      </c>
      <c r="CM47" s="70">
        <f t="shared" si="2"/>
        <v>0</v>
      </c>
      <c r="CN47" s="68">
        <f>BatSplit(D47:CD47,BatPts)</f>
        <v>1</v>
      </c>
      <c r="CO47" s="68">
        <f>BatSplit(D47:CD47,FldPts)</f>
        <v>0</v>
      </c>
      <c r="CP47" s="71">
        <f t="array" ref="CP47">SUM(IF(ISERR(FIND("*",D47:CD47)),0,1))</f>
        <v>0</v>
      </c>
      <c r="CQ47" s="71">
        <f t="array" ref="CQ47">SUM(IF(ISERR(FIND("+",D47:CD47)),0,1))</f>
        <v>0</v>
      </c>
      <c r="CR47" s="68">
        <f>BatSplit(D47:CD47,Ducks)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array" ref="CY47">SUM(IF(ISERR(FIND(CY$4,$D47:$CD47)),0,1))</f>
        <v>0</v>
      </c>
      <c r="CZ47" s="71">
        <f>BatSplit(D47:CD47,Fifties)</f>
        <v>0</v>
      </c>
      <c r="DA47" s="71">
        <f>BatSplit(D47:CD47,Catches)</f>
        <v>0</v>
      </c>
      <c r="DB47" s="71">
        <f>BatSplit(D47:CD47,Fours)</f>
        <v>0</v>
      </c>
      <c r="DC47" s="71">
        <f>BatSplit(D47:CD47,Sixes)</f>
        <v>0</v>
      </c>
      <c r="DD47" s="71">
        <f>BatSplit(D47:CD47,Stumpings)</f>
        <v>0</v>
      </c>
      <c r="DE47" s="71">
        <f>BatSplit(D47:CD47,CaughtWkt)</f>
        <v>0</v>
      </c>
      <c r="DF47" s="71">
        <f>BatSplit(D47:CD47,TwentyFives)</f>
        <v>0</v>
      </c>
      <c r="DG47" s="68">
        <f t="shared" si="3"/>
        <v>101.01047000000001</v>
      </c>
      <c r="DH47" s="68">
        <f t="shared" si="4"/>
        <v>40</v>
      </c>
      <c r="DI47" s="68">
        <v>0</v>
      </c>
      <c r="DJ47" s="89" t="str">
        <f t="shared" si="5"/>
        <v/>
      </c>
      <c r="DK47" s="97" t="e">
        <f t="shared" si="6"/>
        <v>#DIV/0!</v>
      </c>
    </row>
    <row r="48" spans="1:115" x14ac:dyDescent="0.15">
      <c r="B48"/>
      <c r="C48" t="s">
        <v>314</v>
      </c>
      <c r="D48" s="122"/>
      <c r="E48" s="122"/>
      <c r="F48" s="122" t="s">
        <v>317</v>
      </c>
      <c r="G48"/>
      <c r="H48"/>
      <c r="I48"/>
      <c r="J48"/>
      <c r="K48" s="122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CE48" s="68" t="str">
        <f t="shared" si="7"/>
        <v>Wright J</v>
      </c>
      <c r="CF48" s="68">
        <f t="shared" ref="CF48" si="386">BatSplit(D48:CD48,MatchesPlayed)</f>
        <v>1</v>
      </c>
      <c r="CG48" s="68">
        <f t="shared" ref="CG48" si="387">CF48-CH48</f>
        <v>0</v>
      </c>
      <c r="CH48" s="68">
        <f t="shared" ref="CH48" si="388">BatSplit(D48:CD48,InnsBattedIn)</f>
        <v>1</v>
      </c>
      <c r="CI48" s="68">
        <f t="shared" ref="CI48" si="389">BatSplit(D48:CD48,NotOuts)</f>
        <v>0</v>
      </c>
      <c r="CJ48" s="68">
        <f t="shared" ref="CJ48" si="390">BatSplit(D48:CD48,HighestScore)</f>
        <v>6</v>
      </c>
      <c r="CK48" s="72">
        <f t="shared" ref="CK48" si="391">IF(CJ48&lt;0,-CJ48&amp;"*",CJ48)</f>
        <v>6</v>
      </c>
      <c r="CL48" s="68">
        <f t="shared" ref="CL48" si="392">BatSplit(D48:CD48,RunsScored)</f>
        <v>6</v>
      </c>
      <c r="CM48" s="70">
        <f t="shared" ref="CM48" si="393">IF(CH48=CI48,0,CL48/(CH48-CI48))</f>
        <v>6</v>
      </c>
      <c r="CN48" s="68">
        <f t="shared" ref="CN48" si="394">BatSplit(D48:CD48,BatPts)</f>
        <v>6</v>
      </c>
      <c r="CO48" s="68">
        <f t="shared" ref="CO48" si="395">BatSplit(D48:CD48,FldPts)</f>
        <v>0</v>
      </c>
      <c r="CP48" s="71">
        <f t="array" ref="CP48">SUM(IF(ISERR(FIND("*",D48:CD48)),0,1))</f>
        <v>0</v>
      </c>
      <c r="CQ48" s="71">
        <f t="array" ref="CQ48">SUM(IF(ISERR(FIND("+",D48:CD48)),0,1))</f>
        <v>0</v>
      </c>
      <c r="CR48" s="68">
        <f t="shared" ref="CR48" si="396">BatSplit(D48:CD48,Ducks)</f>
        <v>0</v>
      </c>
      <c r="CS48" s="71">
        <f t="array" ref="CS48">SUM(IF(ISERR(FIND(CS$4,$D48:$CD48)),0,1))</f>
        <v>0</v>
      </c>
      <c r="CT48" s="71">
        <f t="array" ref="CT48">SUM(IF(ISERR(FIND(CT$4,$D48:$CD48)),0,1))</f>
        <v>0</v>
      </c>
      <c r="CU48" s="71">
        <f t="array" ref="CU48">SUM(IF(ISERR(FIND(CU$4,$D48:$CD48)),0,1))</f>
        <v>1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array" ref="CY48">SUM(IF(ISERR(FIND(CY$4,$D48:$CD48)),0,1))</f>
        <v>0</v>
      </c>
      <c r="CZ48" s="71">
        <f t="shared" ref="CZ48" si="397">BatSplit(D48:CD48,Fifties)</f>
        <v>0</v>
      </c>
      <c r="DA48" s="71">
        <f t="shared" ref="DA48" si="398">BatSplit(D48:CD48,Catches)</f>
        <v>0</v>
      </c>
      <c r="DB48" s="71">
        <f t="shared" ref="DB48" si="399">BatSplit(D48:CD48,Fours)</f>
        <v>1</v>
      </c>
      <c r="DC48" s="71">
        <f t="shared" ref="DC48" si="400">BatSplit(D48:CD48,Sixes)</f>
        <v>0</v>
      </c>
      <c r="DD48" s="71">
        <f t="shared" ref="DD48" si="401">BatSplit(D48:CD48,Stumpings)</f>
        <v>0</v>
      </c>
      <c r="DE48" s="71">
        <f t="shared" ref="DE48" si="402">BatSplit(D48:CD48,CaughtWkt)</f>
        <v>0</v>
      </c>
      <c r="DF48" s="71">
        <f t="shared" ref="DF48" si="403">BatSplit(D48:CD48,TwentyFives)</f>
        <v>0</v>
      </c>
      <c r="DG48" s="68">
        <f t="shared" ref="DG48" si="404">ROUND(IF(ISERROR(CM48),0,CM48),2)*100000+CH48*100+CF48+CL48/100+ROW()/100000</f>
        <v>600101.0604800001</v>
      </c>
      <c r="DH48" s="68">
        <f t="shared" si="4"/>
        <v>26</v>
      </c>
      <c r="DI48" s="68">
        <v>0</v>
      </c>
      <c r="DJ48" s="89" t="str">
        <f t="shared" ref="DJ48" si="405">IF(CL48&gt;=50,(DB48*4+DC48*6+DI48*5)/CL48,"")</f>
        <v/>
      </c>
      <c r="DK48" s="97">
        <f t="shared" ref="DK48" si="406">CR48/(CH48-CI48)</f>
        <v>0</v>
      </c>
    </row>
    <row r="49" spans="2:110" x14ac:dyDescent="0.15">
      <c r="CK49" s="72"/>
      <c r="CM49" s="70"/>
      <c r="CP49" s="71"/>
      <c r="CQ49" s="71"/>
      <c r="CS49" s="71"/>
      <c r="CT49" s="71"/>
      <c r="CU49" s="71"/>
      <c r="CV49" s="71"/>
      <c r="CW49" s="71"/>
      <c r="CX49" s="71"/>
      <c r="CY49" s="71"/>
      <c r="CZ49" s="71"/>
    </row>
    <row r="50" spans="2:110" x14ac:dyDescent="0.15">
      <c r="CP50" s="90">
        <f t="shared" ref="CP50:CX50" si="407">SUM(CP5:CP49)</f>
        <v>23</v>
      </c>
      <c r="CQ50" s="90">
        <f t="shared" si="407"/>
        <v>21</v>
      </c>
      <c r="CR50" s="60">
        <f t="shared" si="407"/>
        <v>19</v>
      </c>
      <c r="CS50" s="73">
        <f t="shared" si="407"/>
        <v>57</v>
      </c>
      <c r="CT50" s="73">
        <f t="shared" si="407"/>
        <v>73</v>
      </c>
      <c r="CU50" s="73">
        <f t="shared" si="407"/>
        <v>16</v>
      </c>
      <c r="CV50" s="73">
        <f t="shared" si="407"/>
        <v>4</v>
      </c>
      <c r="CW50" s="73">
        <f t="shared" si="407"/>
        <v>8</v>
      </c>
      <c r="CX50" s="73">
        <f t="shared" si="407"/>
        <v>0</v>
      </c>
      <c r="CY50" s="73"/>
      <c r="CZ50" s="73"/>
      <c r="DA50" s="60">
        <f t="shared" ref="DA50:DF50" si="408">SUM(DA5:DA49)</f>
        <v>72</v>
      </c>
      <c r="DB50" s="60">
        <f t="shared" si="408"/>
        <v>469</v>
      </c>
      <c r="DC50" s="60">
        <f t="shared" si="408"/>
        <v>51</v>
      </c>
      <c r="DD50" s="60">
        <f t="shared" si="408"/>
        <v>5</v>
      </c>
      <c r="DE50" s="60">
        <f t="shared" si="408"/>
        <v>17</v>
      </c>
      <c r="DF50" s="60">
        <f t="shared" si="408"/>
        <v>44</v>
      </c>
    </row>
    <row r="51" spans="2:110" x14ac:dyDescent="0.15">
      <c r="C51" s="68" t="s">
        <v>125</v>
      </c>
      <c r="D51" s="68">
        <f t="array" ref="D51">SUM(IF(NOT(ISERR(FIND("*",D5:D48))),1,0))</f>
        <v>1</v>
      </c>
      <c r="E51" s="68">
        <f t="array" ref="E51">SUM(IF(NOT(ISERR(FIND("*",E5:E48))),1,0))</f>
        <v>1</v>
      </c>
      <c r="F51" s="68">
        <f t="array" ref="F51">SUM(IF(NOT(ISERR(FIND("*",F5:F48))),1,0))</f>
        <v>1</v>
      </c>
      <c r="G51" s="68">
        <f t="array" ref="G51">SUM(IF(NOT(ISERR(FIND("*",G5:G48))),1,0))</f>
        <v>1</v>
      </c>
      <c r="H51" s="68">
        <f t="array" ref="H51">SUM(IF(NOT(ISERR(FIND("*",H5:H48))),1,0))</f>
        <v>1</v>
      </c>
      <c r="I51" s="68">
        <f t="array" ref="I51">SUM(IF(NOT(ISERR(FIND("*",I5:I48))),1,0))</f>
        <v>1</v>
      </c>
      <c r="J51" s="68">
        <f t="array" ref="J51">SUM(IF(NOT(ISERR(FIND("*",J5:J48))),1,0))</f>
        <v>1</v>
      </c>
      <c r="K51" s="68">
        <f t="array" ref="K51">SUM(IF(NOT(ISERR(FIND("*",K5:K48))),1,0))</f>
        <v>1</v>
      </c>
      <c r="L51" s="68">
        <f t="array" ref="L51">SUM(IF(NOT(ISERR(FIND("*",L5:L48))),1,0))</f>
        <v>1</v>
      </c>
      <c r="M51" s="68">
        <f t="array" ref="M51">SUM(IF(NOT(ISERR(FIND("*",M5:M48))),1,0))</f>
        <v>1</v>
      </c>
      <c r="N51" s="68">
        <f t="array" ref="N51">SUM(IF(NOT(ISERR(FIND("*",N5:N48))),1,0))</f>
        <v>1</v>
      </c>
      <c r="O51" s="68">
        <f t="array" ref="O51">SUM(IF(NOT(ISERR(FIND("*",O5:O48))),1,0))</f>
        <v>1</v>
      </c>
      <c r="P51" s="68">
        <f t="array" ref="P51">SUM(IF(NOT(ISERR(FIND("*",P5:P48))),1,0))</f>
        <v>1</v>
      </c>
      <c r="Q51" s="68">
        <f t="array" ref="Q51">SUM(IF(NOT(ISERR(FIND("*",Q5:Q48))),1,0))</f>
        <v>1</v>
      </c>
      <c r="R51" s="68">
        <f t="array" ref="R51">SUM(IF(NOT(ISERR(FIND("*",R5:R48))),1,0))</f>
        <v>1</v>
      </c>
      <c r="S51" s="68">
        <f t="array" ref="S51">SUM(IF(NOT(ISERR(FIND("*",S5:S48))),1,0))</f>
        <v>1</v>
      </c>
      <c r="T51" s="68">
        <f t="array" ref="T51">SUM(IF(NOT(ISERR(FIND("*",T5:T48))),1,0))</f>
        <v>1</v>
      </c>
      <c r="U51" s="68">
        <f t="array" ref="U51">SUM(IF(NOT(ISERR(FIND("*",U5:U48))),1,0))</f>
        <v>1</v>
      </c>
      <c r="V51" s="68">
        <f t="array" ref="V51">SUM(IF(NOT(ISERR(FIND("*",V5:V48))),1,0))</f>
        <v>1</v>
      </c>
      <c r="W51" s="68">
        <f t="array" ref="W51">SUM(IF(NOT(ISERR(FIND("*",W5:W48))),1,0))</f>
        <v>1</v>
      </c>
      <c r="X51" s="68">
        <f t="array" ref="X51">SUM(IF(NOT(ISERR(FIND("*",X5:X48))),1,0))</f>
        <v>1</v>
      </c>
      <c r="Y51" s="68">
        <f t="array" ref="Y51">SUM(IF(NOT(ISERR(FIND("*",Y5:Y48))),1,0))</f>
        <v>1</v>
      </c>
      <c r="Z51" s="68">
        <f t="array" ref="Z51">SUM(IF(NOT(ISERR(FIND("*",Z5:Z48))),1,0))</f>
        <v>1</v>
      </c>
      <c r="AA51" s="68">
        <f t="array" ref="AA51">SUM(IF(NOT(ISERR(FIND("*",AA5:AA48))),1,0))</f>
        <v>0</v>
      </c>
      <c r="AB51" s="68">
        <f t="array" ref="AB51">SUM(IF(NOT(ISERR(FIND("*",AB5:AB48))),1,0))</f>
        <v>0</v>
      </c>
      <c r="AC51" s="68">
        <f t="array" ref="AC51">SUM(IF(NOT(ISERR(FIND("*",AC5:AC48))),1,0))</f>
        <v>0</v>
      </c>
      <c r="AD51" s="68">
        <f t="array" ref="AD51">SUM(IF(NOT(ISERR(FIND("*",AD5:AD48))),1,0))</f>
        <v>0</v>
      </c>
      <c r="AE51" s="68">
        <f t="array" ref="AE51">SUM(IF(NOT(ISERR(FIND("*",AE5:AE48))),1,0))</f>
        <v>0</v>
      </c>
      <c r="AF51" s="68">
        <f t="array" ref="AF51">SUM(IF(NOT(ISERR(FIND("*",AF5:AF48))),1,0))</f>
        <v>0</v>
      </c>
      <c r="AG51" s="68">
        <f t="array" ref="AG51">SUM(IF(NOT(ISERR(FIND("*",AG5:AG48))),1,0))</f>
        <v>0</v>
      </c>
      <c r="AH51" s="68">
        <f t="array" ref="AH51">SUM(IF(NOT(ISERR(FIND("*",AH5:AH48))),1,0))</f>
        <v>0</v>
      </c>
      <c r="AI51" s="68">
        <f t="array" ref="AI51">SUM(IF(NOT(ISERR(FIND("*",AI5:AI48))),1,0))</f>
        <v>0</v>
      </c>
      <c r="AJ51" s="68">
        <f t="array" ref="AJ51">SUM(IF(NOT(ISERR(FIND("*",AJ5:AJ48))),1,0))</f>
        <v>0</v>
      </c>
      <c r="AK51" s="68">
        <f t="array" ref="AK51">SUM(IF(NOT(ISERR(FIND("*",AK5:AK48))),1,0))</f>
        <v>0</v>
      </c>
      <c r="AL51" s="68">
        <f t="array" ref="AL51">SUM(IF(NOT(ISERR(FIND("*",AL5:AL48))),1,0))</f>
        <v>0</v>
      </c>
      <c r="AM51" s="68">
        <f t="array" ref="AM51">SUM(IF(NOT(ISERR(FIND("*",AM5:AM48))),1,0))</f>
        <v>0</v>
      </c>
      <c r="AN51" s="68">
        <f t="array" ref="AN51">SUM(IF(NOT(ISERR(FIND("*",AN5:AN48))),1,0))</f>
        <v>0</v>
      </c>
      <c r="AO51" s="68">
        <f t="array" ref="AO51">SUM(IF(NOT(ISERR(FIND("*",AO5:AO48))),1,0))</f>
        <v>0</v>
      </c>
      <c r="AP51" s="68">
        <f t="array" ref="AP51">SUM(IF(NOT(ISERR(FIND("*",AP5:AP48))),1,0))</f>
        <v>0</v>
      </c>
      <c r="AQ51" s="68">
        <f t="array" ref="AQ51">SUM(IF(NOT(ISERR(FIND("*",AQ5:AQ48))),1,0))</f>
        <v>0</v>
      </c>
      <c r="AR51" s="68">
        <f t="array" ref="AR51">SUM(IF(NOT(ISERR(FIND("*",AR5:AR48))),1,0))</f>
        <v>0</v>
      </c>
      <c r="AS51" s="68">
        <f t="array" ref="AS51">SUM(IF(NOT(ISERR(FIND("*",AS5:AS48))),1,0))</f>
        <v>0</v>
      </c>
      <c r="AT51" s="68">
        <f t="array" ref="AT51">SUM(IF(NOT(ISERR(FIND("*",AT5:AT48))),1,0))</f>
        <v>0</v>
      </c>
      <c r="AU51" s="68">
        <f t="array" ref="AU51">SUM(IF(NOT(ISERR(FIND("*",AU5:AU48))),1,0))</f>
        <v>0</v>
      </c>
      <c r="AV51" s="68">
        <f t="array" ref="AV51">SUM(IF(NOT(ISERR(FIND("*",AV5:AV48))),1,0))</f>
        <v>0</v>
      </c>
      <c r="AW51" s="68">
        <f t="array" ref="AW51">SUM(IF(NOT(ISERR(FIND("*",AW5:AW48))),1,0))</f>
        <v>0</v>
      </c>
      <c r="AX51" s="68">
        <f t="array" ref="AX51">SUM(IF(NOT(ISERR(FIND("*",AX5:AX48))),1,0))</f>
        <v>0</v>
      </c>
      <c r="AY51" s="68">
        <f t="array" ref="AY51">SUM(IF(NOT(ISERR(FIND("*",AY5:AY48))),1,0))</f>
        <v>0</v>
      </c>
      <c r="AZ51" s="68">
        <f t="array" ref="AZ51">SUM(IF(NOT(ISERR(FIND("*",AZ5:AZ48))),1,0))</f>
        <v>0</v>
      </c>
      <c r="BA51" s="68">
        <f t="array" ref="BA51">SUM(IF(NOT(ISERR(FIND("*",BA5:BA48))),1,0))</f>
        <v>0</v>
      </c>
      <c r="BB51" s="68">
        <f t="array" ref="BB51">SUM(IF(NOT(ISERR(FIND("*",BB5:BB48))),1,0))</f>
        <v>0</v>
      </c>
      <c r="BC51" s="68">
        <f t="array" ref="BC51">SUM(IF(NOT(ISERR(FIND("*",BC5:BC48))),1,0))</f>
        <v>0</v>
      </c>
      <c r="BD51" s="68">
        <f t="array" ref="BD51">SUM(IF(NOT(ISERR(FIND("*",BD5:BD48))),1,0))</f>
        <v>0</v>
      </c>
      <c r="BE51" s="68">
        <f t="array" ref="BE51">SUM(IF(NOT(ISERR(FIND("*",BE5:BE48))),1,0))</f>
        <v>0</v>
      </c>
      <c r="BF51" s="68">
        <f t="array" ref="BF51">SUM(IF(NOT(ISERR(FIND("*",BF5:BF48))),1,0))</f>
        <v>0</v>
      </c>
      <c r="CF51" s="68">
        <f>SUM(D51:BF51)</f>
        <v>23</v>
      </c>
      <c r="CP51" s="91">
        <f>SUM(D51:BF51)</f>
        <v>23</v>
      </c>
      <c r="CQ51" s="60"/>
      <c r="CR51" s="60"/>
      <c r="CS51" s="73">
        <f>SUM(CS50:CX50)</f>
        <v>158</v>
      </c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</row>
    <row r="52" spans="2:110" x14ac:dyDescent="0.15">
      <c r="C52" s="68" t="s">
        <v>14</v>
      </c>
      <c r="D52" s="68">
        <f t="array" ref="D52">SUM(IF(NOT(ISERR(FIND("+",D5:D48))),1,0))</f>
        <v>1</v>
      </c>
      <c r="E52" s="68">
        <f t="array" ref="E52">SUM(IF(NOT(ISERR(FIND("+",E5:E48))),1,0))</f>
        <v>1</v>
      </c>
      <c r="F52" s="68">
        <f t="array" ref="F52">SUM(IF(NOT(ISERR(FIND("+",F5:F48))),1,0))</f>
        <v>1</v>
      </c>
      <c r="G52" s="68">
        <f t="array" ref="G52">SUM(IF(NOT(ISERR(FIND("+",G5:G48))),1,0))</f>
        <v>1</v>
      </c>
      <c r="H52" s="68">
        <f t="array" ref="H52">SUM(IF(NOT(ISERR(FIND("+",H5:H48))),1,0))</f>
        <v>1</v>
      </c>
      <c r="I52" s="68">
        <f t="array" ref="I52">SUM(IF(NOT(ISERR(FIND("+",I5:I48))),1,0))</f>
        <v>1</v>
      </c>
      <c r="J52" s="68">
        <f t="array" ref="J52">SUM(IF(NOT(ISERR(FIND("+",J5:J48))),1,0))</f>
        <v>1</v>
      </c>
      <c r="K52" s="68">
        <f t="array" ref="K52">SUM(IF(NOT(ISERR(FIND("+",K5:K48))),1,0))</f>
        <v>1</v>
      </c>
      <c r="L52" s="68">
        <f t="array" ref="L52">SUM(IF(NOT(ISERR(FIND("+",L5:L48))),1,0))</f>
        <v>1</v>
      </c>
      <c r="M52" s="68">
        <f t="array" ref="M52">SUM(IF(NOT(ISERR(FIND("+",M5:M48))),1,0))</f>
        <v>1</v>
      </c>
      <c r="N52" s="68">
        <f t="array" ref="N52">SUM(IF(NOT(ISERR(FIND("+",N5:N48))),1,0))</f>
        <v>1</v>
      </c>
      <c r="O52" s="68">
        <f t="array" ref="O52">SUM(IF(NOT(ISERR(FIND("+",O5:O48))),1,0))</f>
        <v>1</v>
      </c>
      <c r="P52" s="68">
        <f t="array" ref="P52">SUM(IF(NOT(ISERR(FIND("+",P5:P48))),1,0))</f>
        <v>1</v>
      </c>
      <c r="Q52" s="68">
        <f t="array" ref="Q52">SUM(IF(NOT(ISERR(FIND("+",Q5:Q48))),1,0))</f>
        <v>1</v>
      </c>
      <c r="R52" s="68">
        <f t="array" ref="R52">SUM(IF(NOT(ISERR(FIND("+",R5:R48))),1,0))</f>
        <v>1</v>
      </c>
      <c r="S52" s="68">
        <f t="array" ref="S52">SUM(IF(NOT(ISERR(FIND("+",S5:S48))),1,0))</f>
        <v>1</v>
      </c>
      <c r="T52" s="68">
        <f t="array" ref="T52">SUM(IF(NOT(ISERR(FIND("+",T5:T48))),1,0))</f>
        <v>1</v>
      </c>
      <c r="U52" s="68">
        <f t="array" ref="U52">SUM(IF(NOT(ISERR(FIND("+",U5:U48))),1,0))</f>
        <v>0</v>
      </c>
      <c r="V52" s="68">
        <f t="array" ref="V52">SUM(IF(NOT(ISERR(FIND("+",V5:V48))),1,0))</f>
        <v>1</v>
      </c>
      <c r="W52" s="68">
        <f t="array" ref="W52">SUM(IF(NOT(ISERR(FIND("+",W5:W48))),1,0))</f>
        <v>1</v>
      </c>
      <c r="X52" s="68">
        <f t="array" ref="X52">SUM(IF(NOT(ISERR(FIND("+",X5:X48))),1,0))</f>
        <v>0</v>
      </c>
      <c r="Y52" s="68">
        <f t="array" ref="Y52">SUM(IF(NOT(ISERR(FIND("+",Y5:Y48))),1,0))</f>
        <v>1</v>
      </c>
      <c r="Z52" s="68">
        <f t="array" ref="Z52">SUM(IF(NOT(ISERR(FIND("+",Z5:Z48))),1,0))</f>
        <v>1</v>
      </c>
      <c r="AA52" s="68">
        <f t="array" ref="AA52">SUM(IF(NOT(ISERR(FIND("+",AA5:AA48))),1,0))</f>
        <v>0</v>
      </c>
      <c r="AB52" s="68">
        <f t="array" ref="AB52">SUM(IF(NOT(ISERR(FIND("+",AB5:AB48))),1,0))</f>
        <v>0</v>
      </c>
      <c r="AC52" s="68">
        <f t="array" ref="AC52">SUM(IF(NOT(ISERR(FIND("+",AC5:AC48))),1,0))</f>
        <v>0</v>
      </c>
      <c r="AD52" s="68">
        <f t="array" ref="AD52">SUM(IF(NOT(ISERR(FIND("+",AD5:AD48))),1,0))</f>
        <v>0</v>
      </c>
      <c r="AE52" s="68">
        <f t="array" ref="AE52">SUM(IF(NOT(ISERR(FIND("+",AE5:AE48))),1,0))</f>
        <v>0</v>
      </c>
      <c r="AF52" s="68">
        <f t="array" ref="AF52">SUM(IF(NOT(ISERR(FIND("+",AF5:AF48))),1,0))</f>
        <v>0</v>
      </c>
      <c r="AG52" s="68">
        <f t="array" ref="AG52">SUM(IF(NOT(ISERR(FIND("+",AG5:AG48))),1,0))</f>
        <v>0</v>
      </c>
      <c r="AH52" s="68">
        <f t="array" ref="AH52">SUM(IF(NOT(ISERR(FIND("+",AH5:AH48))),1,0))</f>
        <v>0</v>
      </c>
      <c r="AI52" s="68">
        <f t="array" ref="AI52">SUM(IF(NOT(ISERR(FIND("+",AI5:AI48))),1,0))</f>
        <v>0</v>
      </c>
      <c r="AJ52" s="68">
        <f t="array" ref="AJ52">SUM(IF(NOT(ISERR(FIND("+",AJ5:AJ48))),1,0))</f>
        <v>0</v>
      </c>
      <c r="AK52" s="68">
        <f t="array" ref="AK52">SUM(IF(NOT(ISERR(FIND("+",AK5:AK48))),1,0))</f>
        <v>0</v>
      </c>
      <c r="AL52" s="68">
        <f t="array" ref="AL52">SUM(IF(NOT(ISERR(FIND("+",AL5:AL48))),1,0))</f>
        <v>0</v>
      </c>
      <c r="AM52" s="68">
        <f t="array" ref="AM52">SUM(IF(NOT(ISERR(FIND("+",AM5:AM48))),1,0))</f>
        <v>0</v>
      </c>
      <c r="AN52" s="68">
        <f t="array" ref="AN52">SUM(IF(NOT(ISERR(FIND("+",AN5:AN48))),1,0))</f>
        <v>0</v>
      </c>
      <c r="AO52" s="68">
        <f t="array" ref="AO52">SUM(IF(NOT(ISERR(FIND("+",AO5:AO48))),1,0))</f>
        <v>0</v>
      </c>
      <c r="AP52" s="68">
        <f t="array" ref="AP52">SUM(IF(NOT(ISERR(FIND("+",AP5:AP48))),1,0))</f>
        <v>0</v>
      </c>
      <c r="AQ52" s="68">
        <f t="array" ref="AQ52">SUM(IF(NOT(ISERR(FIND("+",AQ5:AQ48))),1,0))</f>
        <v>0</v>
      </c>
      <c r="AR52" s="68">
        <f t="array" ref="AR52">SUM(IF(NOT(ISERR(FIND("+",AR5:AR48))),1,0))</f>
        <v>0</v>
      </c>
      <c r="AS52" s="68">
        <f t="array" ref="AS52">SUM(IF(NOT(ISERR(FIND("+",AS5:AS48))),1,0))</f>
        <v>0</v>
      </c>
      <c r="AT52" s="68">
        <f t="array" ref="AT52">SUM(IF(NOT(ISERR(FIND("+",AT5:AT48))),1,0))</f>
        <v>0</v>
      </c>
      <c r="AU52" s="68">
        <f t="array" ref="AU52">SUM(IF(NOT(ISERR(FIND("+",AU5:AU48))),1,0))</f>
        <v>0</v>
      </c>
      <c r="AV52" s="68">
        <f t="array" ref="AV52">SUM(IF(NOT(ISERR(FIND("+",AV5:AV48))),1,0))</f>
        <v>0</v>
      </c>
      <c r="AW52" s="68">
        <f t="array" ref="AW52">SUM(IF(NOT(ISERR(FIND("+",AW5:AW48))),1,0))</f>
        <v>0</v>
      </c>
      <c r="AX52" s="68">
        <f t="array" ref="AX52">SUM(IF(NOT(ISERR(FIND("+",AX5:AX48))),1,0))</f>
        <v>0</v>
      </c>
      <c r="AY52" s="68">
        <f t="array" ref="AY52">SUM(IF(NOT(ISERR(FIND("+",AY5:AY48))),1,0))</f>
        <v>0</v>
      </c>
      <c r="AZ52" s="68">
        <f t="array" ref="AZ52">SUM(IF(NOT(ISERR(FIND("+",AZ5:AZ48))),1,0))</f>
        <v>0</v>
      </c>
      <c r="BA52" s="68">
        <f t="array" ref="BA52">SUM(IF(NOT(ISERR(FIND("+",BA5:BA48))),1,0))</f>
        <v>0</v>
      </c>
      <c r="BB52" s="68">
        <f t="array" ref="BB52">SUM(IF(NOT(ISERR(FIND("+",BB5:BB48))),1,0))</f>
        <v>0</v>
      </c>
      <c r="BC52" s="68">
        <f t="array" ref="BC52">SUM(IF(NOT(ISERR(FIND("+",BC5:BC48))),1,0))</f>
        <v>0</v>
      </c>
      <c r="BD52" s="68">
        <f t="array" ref="BD52">SUM(IF(NOT(ISERR(FIND("+",BD5:BD48))),1,0))</f>
        <v>0</v>
      </c>
      <c r="BE52" s="68">
        <f t="array" ref="BE52">SUM(IF(NOT(ISERR(FIND("+",BE5:BE48))),1,0))</f>
        <v>0</v>
      </c>
      <c r="BF52" s="68">
        <f t="array" ref="BF52">SUM(IF(NOT(ISERR(FIND("+",BF5:BF48))),1,0))</f>
        <v>0</v>
      </c>
      <c r="CF52" s="68">
        <f>SUM(D52:BF52)</f>
        <v>21</v>
      </c>
      <c r="CP52" s="91">
        <f>SUM(D52:BF52)</f>
        <v>21</v>
      </c>
      <c r="CQ52" s="60"/>
      <c r="CR52" s="60"/>
      <c r="CS52" s="107">
        <f t="shared" ref="CS52:CX52" si="409">CS50/$CS$51</f>
        <v>0.36075949367088606</v>
      </c>
      <c r="CT52" s="107">
        <f t="shared" si="409"/>
        <v>0.46202531645569622</v>
      </c>
      <c r="CU52" s="107">
        <f t="shared" si="409"/>
        <v>0.10126582278481013</v>
      </c>
      <c r="CV52" s="107">
        <f t="shared" si="409"/>
        <v>2.5316455696202531E-2</v>
      </c>
      <c r="CW52" s="107">
        <f t="shared" si="409"/>
        <v>5.0632911392405063E-2</v>
      </c>
      <c r="CX52" s="107">
        <f t="shared" si="409"/>
        <v>0</v>
      </c>
      <c r="CY52" s="107"/>
      <c r="CZ52" s="107"/>
      <c r="DA52" s="60"/>
      <c r="DB52" s="60"/>
      <c r="DC52" s="60"/>
      <c r="DD52" s="60"/>
      <c r="DE52" s="60"/>
      <c r="DF52" s="60"/>
    </row>
    <row r="54" spans="2:110" x14ac:dyDescent="0.15">
      <c r="C54" s="68" t="s">
        <v>116</v>
      </c>
      <c r="D54" s="68">
        <f t="shared" ref="D54:AI54" si="410">BatSplit(D5:D48,RunsScored)</f>
        <v>178</v>
      </c>
      <c r="E54" s="68">
        <f t="shared" si="410"/>
        <v>173</v>
      </c>
      <c r="F54" s="68">
        <f t="shared" si="410"/>
        <v>93</v>
      </c>
      <c r="G54" s="68">
        <f t="shared" si="410"/>
        <v>189</v>
      </c>
      <c r="H54" s="68">
        <f t="shared" si="410"/>
        <v>155</v>
      </c>
      <c r="I54" s="68">
        <f t="shared" si="410"/>
        <v>84</v>
      </c>
      <c r="J54" s="68">
        <f t="shared" si="410"/>
        <v>143</v>
      </c>
      <c r="K54" s="68">
        <f t="shared" si="410"/>
        <v>174</v>
      </c>
      <c r="L54" s="68">
        <f t="shared" si="410"/>
        <v>220</v>
      </c>
      <c r="M54" s="68">
        <f t="shared" si="410"/>
        <v>203</v>
      </c>
      <c r="N54" s="68">
        <f t="shared" si="410"/>
        <v>111</v>
      </c>
      <c r="O54" s="68">
        <f t="shared" si="410"/>
        <v>177</v>
      </c>
      <c r="P54" s="68">
        <f t="shared" si="410"/>
        <v>126</v>
      </c>
      <c r="Q54" s="68">
        <f t="shared" si="410"/>
        <v>150</v>
      </c>
      <c r="R54" s="68">
        <f t="shared" si="410"/>
        <v>250</v>
      </c>
      <c r="S54" s="68">
        <f t="shared" si="410"/>
        <v>176</v>
      </c>
      <c r="T54" s="68">
        <f t="shared" si="410"/>
        <v>115</v>
      </c>
      <c r="U54" s="68">
        <f t="shared" si="410"/>
        <v>93</v>
      </c>
      <c r="V54" s="68">
        <f t="shared" si="410"/>
        <v>130</v>
      </c>
      <c r="W54" s="68">
        <f t="shared" si="410"/>
        <v>64</v>
      </c>
      <c r="X54" s="68">
        <f t="shared" si="410"/>
        <v>195</v>
      </c>
      <c r="Y54" s="68">
        <f t="shared" si="410"/>
        <v>108</v>
      </c>
      <c r="Z54" s="68">
        <f t="shared" si="410"/>
        <v>108</v>
      </c>
      <c r="AA54" s="68">
        <f t="shared" si="410"/>
        <v>0</v>
      </c>
      <c r="AB54" s="68">
        <f t="shared" si="410"/>
        <v>0</v>
      </c>
      <c r="AC54" s="68">
        <f t="shared" si="410"/>
        <v>0</v>
      </c>
      <c r="AD54" s="68">
        <f t="shared" si="410"/>
        <v>0</v>
      </c>
      <c r="AE54" s="68">
        <f t="shared" si="410"/>
        <v>0</v>
      </c>
      <c r="AF54" s="68">
        <f t="shared" si="410"/>
        <v>0</v>
      </c>
      <c r="AG54" s="68">
        <f t="shared" si="410"/>
        <v>0</v>
      </c>
      <c r="AH54" s="68">
        <f t="shared" si="410"/>
        <v>0</v>
      </c>
      <c r="AI54" s="68">
        <f t="shared" si="410"/>
        <v>0</v>
      </c>
      <c r="AJ54" s="68">
        <f t="shared" ref="AJ54:BF54" si="411">BatSplit(AJ5:AJ48,RunsScored)</f>
        <v>0</v>
      </c>
      <c r="AK54" s="68">
        <f t="shared" si="411"/>
        <v>0</v>
      </c>
      <c r="AL54" s="68">
        <f t="shared" si="411"/>
        <v>0</v>
      </c>
      <c r="AM54" s="68">
        <f t="shared" si="411"/>
        <v>0</v>
      </c>
      <c r="AN54" s="68">
        <f t="shared" si="411"/>
        <v>0</v>
      </c>
      <c r="AO54" s="68">
        <f t="shared" si="411"/>
        <v>0</v>
      </c>
      <c r="AP54" s="68">
        <f t="shared" si="411"/>
        <v>0</v>
      </c>
      <c r="AQ54" s="68">
        <f t="shared" si="411"/>
        <v>0</v>
      </c>
      <c r="AR54" s="68">
        <f t="shared" si="411"/>
        <v>0</v>
      </c>
      <c r="AS54" s="68">
        <f t="shared" si="411"/>
        <v>0</v>
      </c>
      <c r="AT54" s="68">
        <f t="shared" si="411"/>
        <v>0</v>
      </c>
      <c r="AU54" s="68">
        <f t="shared" si="411"/>
        <v>0</v>
      </c>
      <c r="AV54" s="68">
        <f t="shared" si="411"/>
        <v>0</v>
      </c>
      <c r="AW54" s="68">
        <f t="shared" si="411"/>
        <v>0</v>
      </c>
      <c r="AX54" s="68">
        <f t="shared" si="411"/>
        <v>0</v>
      </c>
      <c r="AY54" s="68">
        <f t="shared" si="411"/>
        <v>0</v>
      </c>
      <c r="AZ54" s="68">
        <f t="shared" si="411"/>
        <v>0</v>
      </c>
      <c r="BA54" s="68">
        <f t="shared" si="411"/>
        <v>0</v>
      </c>
      <c r="BB54" s="68">
        <f t="shared" si="411"/>
        <v>0</v>
      </c>
      <c r="BC54" s="68">
        <f t="shared" si="411"/>
        <v>0</v>
      </c>
      <c r="BD54" s="68">
        <f t="shared" si="411"/>
        <v>0</v>
      </c>
      <c r="BE54" s="68">
        <f t="shared" si="411"/>
        <v>0</v>
      </c>
      <c r="BF54" s="68">
        <f t="shared" si="411"/>
        <v>0</v>
      </c>
      <c r="CF54" s="68">
        <f>SUM(D54:BD54)</f>
        <v>3415</v>
      </c>
      <c r="CH54" s="68">
        <f>SUM(CH5:CH49)</f>
        <v>194</v>
      </c>
      <c r="CI54" s="68">
        <f>SUM(CI5:CI49)</f>
        <v>36</v>
      </c>
      <c r="CJ54" s="68">
        <f>SUM(CJ5:CJ48)</f>
        <v>-2</v>
      </c>
      <c r="CL54" s="68">
        <f>SUM(CL5:CL49)</f>
        <v>3415</v>
      </c>
      <c r="CP54" s="68">
        <f>SUM(D54:BF54)</f>
        <v>3415</v>
      </c>
    </row>
    <row r="55" spans="2:110" x14ac:dyDescent="0.15">
      <c r="C55" s="68" t="s">
        <v>115</v>
      </c>
      <c r="D55" s="68">
        <f t="array" ref="D55:BF55">TRANSPOSE(Matches!Z5:Z59)</f>
        <v>14</v>
      </c>
      <c r="E55" s="68">
        <v>16</v>
      </c>
      <c r="F55" s="68">
        <v>9</v>
      </c>
      <c r="G55" s="68">
        <v>35</v>
      </c>
      <c r="H55" s="68">
        <v>16</v>
      </c>
      <c r="I55" s="68">
        <v>16</v>
      </c>
      <c r="J55" s="68">
        <v>25</v>
      </c>
      <c r="K55" s="68">
        <v>10</v>
      </c>
      <c r="L55" s="68">
        <v>20</v>
      </c>
      <c r="M55" s="68">
        <v>47</v>
      </c>
      <c r="N55" s="68">
        <v>16</v>
      </c>
      <c r="O55" s="68">
        <v>17</v>
      </c>
      <c r="P55" s="68">
        <v>25</v>
      </c>
      <c r="Q55" s="68">
        <v>27</v>
      </c>
      <c r="R55" s="68">
        <v>9</v>
      </c>
      <c r="S55" s="68">
        <v>20</v>
      </c>
      <c r="T55" s="68">
        <v>9</v>
      </c>
      <c r="U55" s="68">
        <v>15</v>
      </c>
      <c r="V55" s="68">
        <v>20</v>
      </c>
      <c r="W55" s="68">
        <v>24</v>
      </c>
      <c r="X55" s="68">
        <v>14</v>
      </c>
      <c r="Y55" s="68">
        <v>9</v>
      </c>
      <c r="Z55" s="68">
        <v>10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</v>
      </c>
      <c r="AG55" s="68">
        <v>0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68">
        <v>0</v>
      </c>
      <c r="AN55" s="68">
        <v>0</v>
      </c>
      <c r="AO55" s="68">
        <v>0</v>
      </c>
      <c r="AP55" s="68">
        <v>0</v>
      </c>
      <c r="AQ55" s="68">
        <v>0</v>
      </c>
      <c r="AR55" s="68">
        <v>0</v>
      </c>
      <c r="AS55" s="68">
        <v>0</v>
      </c>
      <c r="AT55" s="68">
        <v>0</v>
      </c>
      <c r="AU55" s="68">
        <v>0</v>
      </c>
      <c r="AV55" s="68">
        <v>0</v>
      </c>
      <c r="AW55" s="68">
        <v>0</v>
      </c>
      <c r="AX55" s="68">
        <v>0</v>
      </c>
      <c r="AY55" s="68">
        <v>0</v>
      </c>
      <c r="AZ55" s="68">
        <v>0</v>
      </c>
      <c r="BA55" s="68">
        <v>0</v>
      </c>
      <c r="BB55" s="68">
        <v>0</v>
      </c>
      <c r="BC55" s="68">
        <v>0</v>
      </c>
      <c r="BD55" s="68">
        <v>0</v>
      </c>
      <c r="BE55" s="68">
        <v>0</v>
      </c>
      <c r="BF55" s="68">
        <v>0</v>
      </c>
      <c r="CF55" s="68">
        <f>SUM(D55:BD55)</f>
        <v>423</v>
      </c>
      <c r="CP55" s="68">
        <f>SUM(D55:BF55)</f>
        <v>423</v>
      </c>
    </row>
    <row r="56" spans="2:110" s="60" customFormat="1" x14ac:dyDescent="0.15">
      <c r="C56" s="60" t="s">
        <v>117</v>
      </c>
      <c r="D56" s="60">
        <f>D55+D54</f>
        <v>192</v>
      </c>
      <c r="E56" s="60">
        <f t="shared" ref="E56:BF56" si="412">E55+E54</f>
        <v>189</v>
      </c>
      <c r="F56" s="60">
        <f t="shared" si="412"/>
        <v>102</v>
      </c>
      <c r="G56" s="60">
        <f t="shared" si="412"/>
        <v>224</v>
      </c>
      <c r="H56" s="60">
        <f t="shared" si="412"/>
        <v>171</v>
      </c>
      <c r="I56" s="60">
        <f t="shared" si="412"/>
        <v>100</v>
      </c>
      <c r="J56" s="60">
        <f t="shared" si="412"/>
        <v>168</v>
      </c>
      <c r="K56" s="60">
        <f t="shared" si="412"/>
        <v>184</v>
      </c>
      <c r="L56" s="60">
        <f t="shared" si="412"/>
        <v>240</v>
      </c>
      <c r="M56" s="60">
        <f t="shared" si="412"/>
        <v>250</v>
      </c>
      <c r="N56" s="60">
        <f t="shared" si="412"/>
        <v>127</v>
      </c>
      <c r="O56" s="60">
        <f t="shared" si="412"/>
        <v>194</v>
      </c>
      <c r="P56" s="60">
        <f t="shared" si="412"/>
        <v>151</v>
      </c>
      <c r="Q56" s="60">
        <f t="shared" si="412"/>
        <v>177</v>
      </c>
      <c r="R56" s="60">
        <f t="shared" si="412"/>
        <v>259</v>
      </c>
      <c r="S56" s="60">
        <f t="shared" si="412"/>
        <v>196</v>
      </c>
      <c r="T56" s="60">
        <f t="shared" si="412"/>
        <v>124</v>
      </c>
      <c r="U56" s="60">
        <f t="shared" si="412"/>
        <v>108</v>
      </c>
      <c r="V56" s="60">
        <f t="shared" si="412"/>
        <v>150</v>
      </c>
      <c r="W56" s="60">
        <f t="shared" si="412"/>
        <v>88</v>
      </c>
      <c r="X56" s="60">
        <f t="shared" si="412"/>
        <v>209</v>
      </c>
      <c r="Y56" s="60">
        <f t="shared" si="412"/>
        <v>117</v>
      </c>
      <c r="Z56" s="60">
        <f t="shared" si="412"/>
        <v>118</v>
      </c>
      <c r="AA56" s="60">
        <f t="shared" si="412"/>
        <v>0</v>
      </c>
      <c r="AB56" s="60">
        <f t="shared" si="412"/>
        <v>0</v>
      </c>
      <c r="AC56" s="60">
        <f t="shared" si="412"/>
        <v>0</v>
      </c>
      <c r="AD56" s="60">
        <f t="shared" si="412"/>
        <v>0</v>
      </c>
      <c r="AE56" s="60">
        <f t="shared" si="412"/>
        <v>0</v>
      </c>
      <c r="AF56" s="60">
        <f t="shared" si="412"/>
        <v>0</v>
      </c>
      <c r="AG56" s="60">
        <f t="shared" si="412"/>
        <v>0</v>
      </c>
      <c r="AH56" s="60">
        <f t="shared" si="412"/>
        <v>0</v>
      </c>
      <c r="AI56" s="60">
        <f t="shared" si="412"/>
        <v>0</v>
      </c>
      <c r="AJ56" s="60">
        <f t="shared" si="412"/>
        <v>0</v>
      </c>
      <c r="AK56" s="60">
        <f t="shared" si="412"/>
        <v>0</v>
      </c>
      <c r="AL56" s="60">
        <f t="shared" si="412"/>
        <v>0</v>
      </c>
      <c r="AM56" s="60">
        <f t="shared" si="412"/>
        <v>0</v>
      </c>
      <c r="AN56" s="60">
        <f t="shared" si="412"/>
        <v>0</v>
      </c>
      <c r="AO56" s="60">
        <f t="shared" si="412"/>
        <v>0</v>
      </c>
      <c r="AP56" s="60">
        <f t="shared" si="412"/>
        <v>0</v>
      </c>
      <c r="AQ56" s="60">
        <f t="shared" si="412"/>
        <v>0</v>
      </c>
      <c r="AR56" s="60">
        <f t="shared" si="412"/>
        <v>0</v>
      </c>
      <c r="AS56" s="60">
        <f t="shared" si="412"/>
        <v>0</v>
      </c>
      <c r="AT56" s="60">
        <f t="shared" si="412"/>
        <v>0</v>
      </c>
      <c r="AU56" s="60">
        <f>AU55+AU54</f>
        <v>0</v>
      </c>
      <c r="AV56" s="60">
        <f t="shared" si="412"/>
        <v>0</v>
      </c>
      <c r="AW56" s="60">
        <f t="shared" si="412"/>
        <v>0</v>
      </c>
      <c r="AX56" s="60">
        <f t="shared" si="412"/>
        <v>0</v>
      </c>
      <c r="AY56" s="60">
        <f t="shared" si="412"/>
        <v>0</v>
      </c>
      <c r="AZ56" s="60">
        <f t="shared" si="412"/>
        <v>0</v>
      </c>
      <c r="BA56" s="60">
        <f t="shared" si="412"/>
        <v>0</v>
      </c>
      <c r="BB56" s="60">
        <f t="shared" si="412"/>
        <v>0</v>
      </c>
      <c r="BC56" s="60">
        <f t="shared" si="412"/>
        <v>0</v>
      </c>
      <c r="BD56" s="60">
        <f t="shared" si="412"/>
        <v>0</v>
      </c>
      <c r="BE56" s="60">
        <f t="shared" si="412"/>
        <v>0</v>
      </c>
      <c r="BF56" s="60">
        <f t="shared" si="412"/>
        <v>0</v>
      </c>
      <c r="CF56" s="68">
        <f>SUM(D56:BD56)</f>
        <v>3838</v>
      </c>
      <c r="CH56" s="68" t="s">
        <v>34</v>
      </c>
      <c r="CI56" s="68">
        <f>CH54-CI54</f>
        <v>158</v>
      </c>
      <c r="CJ56" s="68"/>
      <c r="CK56" s="68"/>
      <c r="CL56" s="68"/>
      <c r="CP56" s="60">
        <f>SUM(D56:BF56)</f>
        <v>3838</v>
      </c>
    </row>
    <row r="57" spans="2:110" x14ac:dyDescent="0.15">
      <c r="D57" s="53"/>
      <c r="CH57" s="68" t="s">
        <v>35</v>
      </c>
      <c r="CI57" s="68">
        <f>CF56/CI56</f>
        <v>24.291139240506329</v>
      </c>
    </row>
    <row r="58" spans="2:110" s="117" customFormat="1" x14ac:dyDescent="0.15">
      <c r="C58" s="117" t="s">
        <v>206</v>
      </c>
      <c r="D58" s="118" t="str">
        <f>INDEX($C$5:$C$48,findcellcontaining("*",D5:D48))</f>
        <v>Springer T</v>
      </c>
      <c r="E58" s="118" t="str">
        <f>INDEX($C$5:$C$48,findcellcontaining("*",E5:E48))</f>
        <v>Sharpe D</v>
      </c>
      <c r="F58" s="118" t="str">
        <f>INDEX($C$5:$C$48,findcellcontaining("*",F5:F48))</f>
        <v>Springer T</v>
      </c>
      <c r="G58" s="118" t="str">
        <f>INDEX($C$5:$C$48,findcellcontaining("*",G5:G48))</f>
        <v>Springer T</v>
      </c>
      <c r="H58" s="118" t="str">
        <f>INDEX($C$5:$C$48,findcellcontaining("*",H5:H48))</f>
        <v>Seymour C</v>
      </c>
      <c r="I58" s="118" t="str">
        <f>INDEX($C$5:$C$48,findcellcontaining("*",I5:I48))</f>
        <v>Clarkson M</v>
      </c>
      <c r="J58" s="118" t="str">
        <f>INDEX($C$5:$C$48,findcellcontaining("*",J5:J48))</f>
        <v>Smith C</v>
      </c>
      <c r="K58" s="118" t="str">
        <f>INDEX($C$5:$C$48,findcellcontaining("*",K5:K48))</f>
        <v>Sharpe D</v>
      </c>
      <c r="L58" s="118" t="str">
        <f>INDEX($C$5:$C$48,findcellcontaining("*",L5:L48))</f>
        <v>Springer T</v>
      </c>
      <c r="M58" s="118" t="str">
        <f>INDEX($C$5:$C$48,findcellcontaining("*",M5:M48))</f>
        <v>Springer T</v>
      </c>
      <c r="N58" s="118" t="str">
        <f>INDEX($C$5:$C$48,findcellcontaining("*",N5:N48))</f>
        <v>Smith C</v>
      </c>
      <c r="O58" s="118" t="str">
        <f>INDEX($C$5:$C$48,findcellcontaining("*",O5:O48))</f>
        <v>Springer T</v>
      </c>
      <c r="P58" s="118" t="str">
        <f>INDEX($C$5:$C$48,findcellcontaining("*",P5:P48))</f>
        <v>Springer T</v>
      </c>
      <c r="Q58" s="118" t="str">
        <f>INDEX($C$5:$C$48,findcellcontaining("*",Q5:Q48))</f>
        <v>Springer T</v>
      </c>
      <c r="R58" s="118" t="str">
        <f>INDEX($C$5:$C$48,findcellcontaining("*",R5:R48))</f>
        <v>Springer T</v>
      </c>
      <c r="S58" s="118" t="str">
        <f>INDEX($C$5:$C$48,findcellcontaining("*",S5:S48))</f>
        <v>Springer T</v>
      </c>
      <c r="T58" s="118" t="str">
        <f>INDEX($C$5:$C$48,findcellcontaining("*",T5:T48))</f>
        <v>Springer T</v>
      </c>
      <c r="U58" s="118" t="str">
        <f>INDEX($C$5:$C$48,findcellcontaining("*",U5:U48))</f>
        <v>Springer T</v>
      </c>
      <c r="V58" s="118" t="str">
        <f>INDEX($C$5:$C$48,findcellcontaining("*",V5:V48))</f>
        <v>Springer T</v>
      </c>
      <c r="W58" s="118" t="str">
        <f>INDEX($C$5:$C$48,findcellcontaining("*",W5:W48))</f>
        <v>Springer T</v>
      </c>
      <c r="X58" s="118" t="str">
        <f>INDEX($C$5:$C$48,findcellcontaining("*",X5:X48))</f>
        <v>Springer T</v>
      </c>
      <c r="Y58" s="118" t="str">
        <f>INDEX($C$5:$C$48,findcellcontaining("*",Y5:Y48))</f>
        <v>Springer T</v>
      </c>
      <c r="Z58" s="118" t="str">
        <f>INDEX($C$5:$C$48,findcellcontaining("*",Z5:Z48))</f>
        <v>Springer T</v>
      </c>
      <c r="AA58" s="118" t="e">
        <f>INDEX($C$5:$C$48,findcellcontaining("*",AA5:AA48))</f>
        <v>#N/A</v>
      </c>
      <c r="AB58" s="118" t="e">
        <f>INDEX($C$5:$C$48,findcellcontaining("*",AB5:AB48))</f>
        <v>#N/A</v>
      </c>
      <c r="AC58" s="118" t="e">
        <f>INDEX($C$5:$C$48,findcellcontaining("*",AC5:AC48))</f>
        <v>#N/A</v>
      </c>
      <c r="AD58" s="118" t="e">
        <f>INDEX($C$5:$C$48,findcellcontaining("*",AD5:AD48))</f>
        <v>#N/A</v>
      </c>
      <c r="AE58" s="118" t="e">
        <f>INDEX($C$5:$C$48,findcellcontaining("*",AE5:AE48))</f>
        <v>#N/A</v>
      </c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  <c r="BK58" s="118"/>
      <c r="BL58" s="118"/>
      <c r="BM58" s="118"/>
      <c r="BN58" s="118"/>
      <c r="BO58" s="118"/>
      <c r="BP58" s="118"/>
      <c r="BQ58" s="118"/>
      <c r="BR58" s="118"/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M58" s="119"/>
    </row>
    <row r="59" spans="2:110" s="117" customFormat="1" x14ac:dyDescent="0.15">
      <c r="C59" s="121"/>
      <c r="CM59" s="119"/>
      <c r="CP59" s="120"/>
    </row>
    <row r="60" spans="2:110" s="117" customFormat="1" x14ac:dyDescent="0.15">
      <c r="B60" s="117">
        <f>MAX(D60:AE60)</f>
        <v>8</v>
      </c>
      <c r="C60" s="117" t="s">
        <v>23</v>
      </c>
      <c r="D60" s="117">
        <f t="shared" ref="D60:AE60" si="413">BatSplit(D5:D48,Sixes)</f>
        <v>3</v>
      </c>
      <c r="E60" s="117">
        <f t="shared" si="413"/>
        <v>8</v>
      </c>
      <c r="F60" s="117">
        <f t="shared" si="413"/>
        <v>1</v>
      </c>
      <c r="G60" s="117">
        <f t="shared" si="413"/>
        <v>1</v>
      </c>
      <c r="H60" s="117">
        <f t="shared" si="413"/>
        <v>3</v>
      </c>
      <c r="I60" s="117">
        <f t="shared" si="413"/>
        <v>0</v>
      </c>
      <c r="J60" s="117">
        <f t="shared" si="413"/>
        <v>2</v>
      </c>
      <c r="K60" s="117">
        <f t="shared" si="413"/>
        <v>2</v>
      </c>
      <c r="L60" s="117">
        <f t="shared" si="413"/>
        <v>5</v>
      </c>
      <c r="M60" s="117">
        <f t="shared" si="413"/>
        <v>2</v>
      </c>
      <c r="N60" s="117">
        <f t="shared" si="413"/>
        <v>0</v>
      </c>
      <c r="O60" s="117">
        <f t="shared" si="413"/>
        <v>1</v>
      </c>
      <c r="P60" s="117">
        <f t="shared" si="413"/>
        <v>1</v>
      </c>
      <c r="Q60" s="117">
        <f t="shared" si="413"/>
        <v>1</v>
      </c>
      <c r="R60" s="117">
        <f t="shared" si="413"/>
        <v>5</v>
      </c>
      <c r="S60" s="117">
        <f t="shared" si="413"/>
        <v>4</v>
      </c>
      <c r="T60" s="117">
        <f t="shared" si="413"/>
        <v>1</v>
      </c>
      <c r="U60" s="117">
        <f t="shared" si="413"/>
        <v>0</v>
      </c>
      <c r="V60" s="117">
        <f t="shared" si="413"/>
        <v>2</v>
      </c>
      <c r="W60" s="117">
        <f t="shared" si="413"/>
        <v>1</v>
      </c>
      <c r="X60" s="117">
        <f t="shared" si="413"/>
        <v>7</v>
      </c>
      <c r="Y60" s="117">
        <f t="shared" si="413"/>
        <v>0</v>
      </c>
      <c r="Z60" s="117">
        <f t="shared" si="413"/>
        <v>1</v>
      </c>
      <c r="AA60" s="117">
        <f t="shared" si="413"/>
        <v>0</v>
      </c>
      <c r="AB60" s="117">
        <f t="shared" si="413"/>
        <v>0</v>
      </c>
      <c r="AC60" s="117">
        <f t="shared" si="413"/>
        <v>0</v>
      </c>
      <c r="AD60" s="117">
        <f t="shared" si="413"/>
        <v>0</v>
      </c>
      <c r="AE60" s="117">
        <f t="shared" si="413"/>
        <v>0</v>
      </c>
      <c r="CM60" s="119"/>
    </row>
    <row r="61" spans="2:110" s="117" customFormat="1" x14ac:dyDescent="0.15">
      <c r="B61" s="117">
        <f>MAX(D61:AE61)</f>
        <v>37</v>
      </c>
      <c r="C61" s="117" t="s">
        <v>22</v>
      </c>
      <c r="D61" s="117">
        <f t="shared" ref="D61:AE61" si="414">BatSplit(D5:D48,Fours)</f>
        <v>18</v>
      </c>
      <c r="E61" s="117">
        <f t="shared" si="414"/>
        <v>19</v>
      </c>
      <c r="F61" s="117">
        <f t="shared" si="414"/>
        <v>15</v>
      </c>
      <c r="G61" s="117">
        <f t="shared" si="414"/>
        <v>31</v>
      </c>
      <c r="H61" s="117">
        <f t="shared" si="414"/>
        <v>22</v>
      </c>
      <c r="I61" s="117">
        <f t="shared" si="414"/>
        <v>15</v>
      </c>
      <c r="J61" s="117">
        <f t="shared" si="414"/>
        <v>19</v>
      </c>
      <c r="K61" s="117">
        <f t="shared" si="414"/>
        <v>24</v>
      </c>
      <c r="L61" s="117">
        <f t="shared" si="414"/>
        <v>25</v>
      </c>
      <c r="M61" s="117">
        <f t="shared" si="414"/>
        <v>33</v>
      </c>
      <c r="N61" s="117">
        <f t="shared" si="414"/>
        <v>20</v>
      </c>
      <c r="O61" s="117">
        <f t="shared" si="414"/>
        <v>30</v>
      </c>
      <c r="P61" s="117">
        <f t="shared" si="414"/>
        <v>19</v>
      </c>
      <c r="Q61" s="117">
        <f t="shared" si="414"/>
        <v>24</v>
      </c>
      <c r="R61" s="117">
        <f t="shared" si="414"/>
        <v>37</v>
      </c>
      <c r="S61" s="117">
        <f t="shared" si="414"/>
        <v>17</v>
      </c>
      <c r="T61" s="117">
        <f t="shared" si="414"/>
        <v>18</v>
      </c>
      <c r="U61" s="117">
        <f t="shared" si="414"/>
        <v>12</v>
      </c>
      <c r="V61" s="117">
        <f t="shared" si="414"/>
        <v>15</v>
      </c>
      <c r="W61" s="117">
        <f t="shared" si="414"/>
        <v>7</v>
      </c>
      <c r="X61" s="117">
        <f t="shared" si="414"/>
        <v>21</v>
      </c>
      <c r="Y61" s="117">
        <f t="shared" si="414"/>
        <v>14</v>
      </c>
      <c r="Z61" s="117">
        <f t="shared" si="414"/>
        <v>14</v>
      </c>
      <c r="AA61" s="117">
        <f t="shared" si="414"/>
        <v>0</v>
      </c>
      <c r="AB61" s="117">
        <f t="shared" si="414"/>
        <v>0</v>
      </c>
      <c r="AC61" s="117">
        <f t="shared" si="414"/>
        <v>0</v>
      </c>
      <c r="AD61" s="117">
        <f t="shared" si="414"/>
        <v>0</v>
      </c>
      <c r="AE61" s="117">
        <f t="shared" si="414"/>
        <v>0</v>
      </c>
      <c r="CM61" s="119"/>
    </row>
    <row r="62" spans="2:110" s="117" customFormat="1" x14ac:dyDescent="0.15">
      <c r="C62" s="137" t="s">
        <v>21</v>
      </c>
      <c r="D62" s="117">
        <f t="shared" ref="D62:Z62" si="415">BatSplit(D5:D48,Catches)</f>
        <v>5</v>
      </c>
      <c r="E62" s="117">
        <f t="shared" si="415"/>
        <v>4</v>
      </c>
      <c r="F62" s="117">
        <f t="shared" si="415"/>
        <v>4</v>
      </c>
      <c r="G62" s="117">
        <f t="shared" si="415"/>
        <v>3</v>
      </c>
      <c r="H62" s="117">
        <f t="shared" si="415"/>
        <v>5</v>
      </c>
      <c r="I62" s="117">
        <f t="shared" si="415"/>
        <v>3</v>
      </c>
      <c r="J62" s="117">
        <f t="shared" si="415"/>
        <v>2</v>
      </c>
      <c r="K62" s="117">
        <f t="shared" si="415"/>
        <v>2</v>
      </c>
      <c r="L62" s="117">
        <f t="shared" si="415"/>
        <v>1</v>
      </c>
      <c r="M62" s="117">
        <f t="shared" si="415"/>
        <v>2</v>
      </c>
      <c r="N62" s="117">
        <f t="shared" si="415"/>
        <v>3</v>
      </c>
      <c r="O62" s="117">
        <f t="shared" si="415"/>
        <v>3</v>
      </c>
      <c r="P62" s="117">
        <f t="shared" si="415"/>
        <v>7</v>
      </c>
      <c r="Q62" s="117">
        <f t="shared" si="415"/>
        <v>2</v>
      </c>
      <c r="R62" s="117">
        <f t="shared" si="415"/>
        <v>1</v>
      </c>
      <c r="S62" s="117">
        <f t="shared" si="415"/>
        <v>7</v>
      </c>
      <c r="T62" s="117">
        <f t="shared" si="415"/>
        <v>2</v>
      </c>
      <c r="U62" s="117">
        <f t="shared" si="415"/>
        <v>3</v>
      </c>
      <c r="V62" s="117">
        <f t="shared" si="415"/>
        <v>3</v>
      </c>
      <c r="W62" s="117">
        <f t="shared" si="415"/>
        <v>3</v>
      </c>
      <c r="X62" s="117">
        <f t="shared" si="415"/>
        <v>0</v>
      </c>
      <c r="Y62" s="117">
        <f t="shared" si="415"/>
        <v>2</v>
      </c>
      <c r="Z62" s="117">
        <f t="shared" si="415"/>
        <v>5</v>
      </c>
      <c r="CM62" s="119"/>
    </row>
    <row r="63" spans="2:110" s="117" customFormat="1" x14ac:dyDescent="0.15">
      <c r="C63" s="137" t="s">
        <v>228</v>
      </c>
      <c r="D63" s="117">
        <f t="shared" ref="D63:Z63" si="416">BatSplit(D5:D48,HighestScore)</f>
        <v>73</v>
      </c>
      <c r="E63" s="117">
        <f t="shared" si="416"/>
        <v>-77</v>
      </c>
      <c r="F63" s="117">
        <f t="shared" si="416"/>
        <v>39</v>
      </c>
      <c r="G63" s="117">
        <f t="shared" si="416"/>
        <v>93</v>
      </c>
      <c r="H63" s="117">
        <f t="shared" si="416"/>
        <v>80</v>
      </c>
      <c r="I63" s="117">
        <f t="shared" si="416"/>
        <v>22</v>
      </c>
      <c r="J63" s="117">
        <f t="shared" si="416"/>
        <v>-46</v>
      </c>
      <c r="K63" s="117">
        <f t="shared" si="416"/>
        <v>-109</v>
      </c>
      <c r="L63" s="117">
        <f t="shared" si="416"/>
        <v>-71</v>
      </c>
      <c r="M63" s="117">
        <f t="shared" si="416"/>
        <v>65</v>
      </c>
      <c r="N63" s="117">
        <f t="shared" si="416"/>
        <v>49</v>
      </c>
      <c r="O63" s="117">
        <f t="shared" si="416"/>
        <v>80</v>
      </c>
      <c r="P63" s="117">
        <f t="shared" si="416"/>
        <v>38</v>
      </c>
      <c r="Q63" s="117">
        <f t="shared" si="416"/>
        <v>52</v>
      </c>
      <c r="R63" s="117">
        <f t="shared" si="416"/>
        <v>93</v>
      </c>
      <c r="S63" s="117">
        <f t="shared" si="416"/>
        <v>73</v>
      </c>
      <c r="T63" s="117">
        <f t="shared" si="416"/>
        <v>28</v>
      </c>
      <c r="U63" s="117">
        <f t="shared" si="416"/>
        <v>-24</v>
      </c>
      <c r="V63" s="117">
        <f t="shared" si="416"/>
        <v>56</v>
      </c>
      <c r="W63" s="117">
        <f t="shared" si="416"/>
        <v>15</v>
      </c>
      <c r="X63" s="117">
        <f t="shared" si="416"/>
        <v>66</v>
      </c>
      <c r="Y63" s="117">
        <f t="shared" si="416"/>
        <v>39</v>
      </c>
      <c r="Z63" s="117">
        <f t="shared" si="416"/>
        <v>-43</v>
      </c>
      <c r="CM63" s="119"/>
    </row>
    <row r="64" spans="2:110" s="117" customFormat="1" x14ac:dyDescent="0.15">
      <c r="C64" s="137"/>
      <c r="CM64" s="119"/>
    </row>
    <row r="65" spans="4:91" s="117" customFormat="1" x14ac:dyDescent="0.15">
      <c r="D65" s="117" t="str">
        <f t="shared" ref="D65:Z65" si="417">IF(BatSplit(D5,RunsScored)&gt;=50,BatSplit(D5,RunsScored)&amp;IF(BatSplit(D5,NotOuts)=1,"*","")&amp;"|"&amp;$C5&amp;"|"&amp;D$2&amp;"|"&amp;TEXT(D$1,"dd-mmm"),"x")</f>
        <v>x</v>
      </c>
      <c r="E65" s="117" t="str">
        <f t="shared" si="417"/>
        <v>x</v>
      </c>
      <c r="F65" s="117" t="str">
        <f t="shared" si="417"/>
        <v>x</v>
      </c>
      <c r="G65" s="117" t="str">
        <f t="shared" si="417"/>
        <v>x</v>
      </c>
      <c r="H65" s="117" t="str">
        <f t="shared" si="417"/>
        <v>x</v>
      </c>
      <c r="I65" s="117" t="str">
        <f t="shared" si="417"/>
        <v>x</v>
      </c>
      <c r="J65" s="117" t="str">
        <f t="shared" si="417"/>
        <v>x</v>
      </c>
      <c r="K65" s="117" t="str">
        <f t="shared" si="417"/>
        <v>x</v>
      </c>
      <c r="L65" s="117" t="str">
        <f t="shared" si="417"/>
        <v>x</v>
      </c>
      <c r="M65" s="117" t="str">
        <f t="shared" si="417"/>
        <v>x</v>
      </c>
      <c r="N65" s="117" t="str">
        <f t="shared" si="417"/>
        <v>x</v>
      </c>
      <c r="O65" s="117" t="str">
        <f t="shared" si="417"/>
        <v>x</v>
      </c>
      <c r="P65" s="117" t="str">
        <f t="shared" si="417"/>
        <v>x</v>
      </c>
      <c r="Q65" s="117" t="str">
        <f t="shared" si="417"/>
        <v>x</v>
      </c>
      <c r="R65" s="117" t="str">
        <f t="shared" si="417"/>
        <v>x</v>
      </c>
      <c r="S65" s="117" t="str">
        <f t="shared" si="417"/>
        <v>x</v>
      </c>
      <c r="T65" s="117" t="str">
        <f t="shared" si="417"/>
        <v>x</v>
      </c>
      <c r="U65" s="117" t="str">
        <f t="shared" si="417"/>
        <v>x</v>
      </c>
      <c r="V65" s="117" t="str">
        <f t="shared" si="417"/>
        <v>x</v>
      </c>
      <c r="W65" s="117" t="str">
        <f t="shared" si="417"/>
        <v>x</v>
      </c>
      <c r="X65" s="117" t="str">
        <f t="shared" si="417"/>
        <v>x</v>
      </c>
      <c r="Y65" s="117" t="str">
        <f t="shared" si="417"/>
        <v>x</v>
      </c>
      <c r="Z65" s="117" t="str">
        <f t="shared" si="417"/>
        <v>x</v>
      </c>
      <c r="CM65" s="119"/>
    </row>
    <row r="66" spans="4:91" s="117" customFormat="1" x14ac:dyDescent="0.15">
      <c r="D66" s="117" t="str">
        <f t="shared" ref="D66:Z66" si="418">IF(BatSplit(D6,RunsScored)&gt;=50,BatSplit(D6,RunsScored)&amp;IF(BatSplit(D6,NotOuts)=1,"*","")&amp;"|"&amp;$C6&amp;"|"&amp;D$2&amp;"|"&amp;TEXT(D$1,"dd-mmm"),"x")</f>
        <v>x</v>
      </c>
      <c r="E66" s="117" t="str">
        <f t="shared" si="418"/>
        <v>x</v>
      </c>
      <c r="F66" s="117" t="str">
        <f t="shared" si="418"/>
        <v>x</v>
      </c>
      <c r="G66" s="117" t="str">
        <f t="shared" si="418"/>
        <v>x</v>
      </c>
      <c r="H66" s="117" t="str">
        <f t="shared" si="418"/>
        <v>x</v>
      </c>
      <c r="I66" s="117" t="str">
        <f t="shared" si="418"/>
        <v>x</v>
      </c>
      <c r="J66" s="117" t="str">
        <f t="shared" si="418"/>
        <v>x</v>
      </c>
      <c r="K66" s="117" t="str">
        <f t="shared" si="418"/>
        <v>x</v>
      </c>
      <c r="L66" s="117" t="str">
        <f t="shared" si="418"/>
        <v>x</v>
      </c>
      <c r="M66" s="117" t="str">
        <f t="shared" si="418"/>
        <v>x</v>
      </c>
      <c r="N66" s="117" t="str">
        <f t="shared" si="418"/>
        <v>x</v>
      </c>
      <c r="O66" s="117" t="str">
        <f t="shared" si="418"/>
        <v>x</v>
      </c>
      <c r="P66" s="117" t="str">
        <f t="shared" si="418"/>
        <v>x</v>
      </c>
      <c r="Q66" s="117" t="str">
        <f t="shared" si="418"/>
        <v>x</v>
      </c>
      <c r="R66" s="117" t="str">
        <f t="shared" si="418"/>
        <v>x</v>
      </c>
      <c r="S66" s="117" t="str">
        <f t="shared" si="418"/>
        <v>x</v>
      </c>
      <c r="T66" s="117" t="str">
        <f t="shared" si="418"/>
        <v>x</v>
      </c>
      <c r="U66" s="117" t="str">
        <f t="shared" si="418"/>
        <v>x</v>
      </c>
      <c r="V66" s="117" t="str">
        <f t="shared" si="418"/>
        <v>x</v>
      </c>
      <c r="W66" s="117" t="str">
        <f t="shared" si="418"/>
        <v>x</v>
      </c>
      <c r="X66" s="117" t="str">
        <f t="shared" si="418"/>
        <v>x</v>
      </c>
      <c r="Y66" s="117" t="str">
        <f t="shared" si="418"/>
        <v>x</v>
      </c>
      <c r="Z66" s="117" t="str">
        <f t="shared" si="418"/>
        <v>x</v>
      </c>
      <c r="CM66" s="119"/>
    </row>
    <row r="67" spans="4:91" s="117" customFormat="1" x14ac:dyDescent="0.15">
      <c r="D67" s="117" t="str">
        <f t="shared" ref="D67:Z67" si="419">IF(BatSplit(D7,RunsScored)&gt;=50,BatSplit(D7,RunsScored)&amp;IF(BatSplit(D7,NotOuts)=1,"*","")&amp;"|"&amp;$C7&amp;"|"&amp;D$2&amp;"|"&amp;TEXT(D$1,"dd-mmm"),"x")</f>
        <v>x</v>
      </c>
      <c r="E67" s="117" t="str">
        <f t="shared" si="419"/>
        <v>x</v>
      </c>
      <c r="F67" s="117" t="str">
        <f t="shared" si="419"/>
        <v>x</v>
      </c>
      <c r="G67" s="117" t="str">
        <f t="shared" si="419"/>
        <v>x</v>
      </c>
      <c r="H67" s="117" t="str">
        <f t="shared" si="419"/>
        <v>x</v>
      </c>
      <c r="I67" s="117" t="str">
        <f t="shared" si="419"/>
        <v>x</v>
      </c>
      <c r="J67" s="117" t="str">
        <f t="shared" si="419"/>
        <v>x</v>
      </c>
      <c r="K67" s="117" t="str">
        <f t="shared" si="419"/>
        <v>x</v>
      </c>
      <c r="L67" s="117" t="str">
        <f t="shared" si="419"/>
        <v>x</v>
      </c>
      <c r="M67" s="117" t="str">
        <f t="shared" si="419"/>
        <v>x</v>
      </c>
      <c r="N67" s="117" t="str">
        <f t="shared" si="419"/>
        <v>x</v>
      </c>
      <c r="O67" s="117" t="str">
        <f t="shared" si="419"/>
        <v>x</v>
      </c>
      <c r="P67" s="117" t="str">
        <f t="shared" si="419"/>
        <v>x</v>
      </c>
      <c r="Q67" s="117" t="str">
        <f t="shared" si="419"/>
        <v>x</v>
      </c>
      <c r="R67" s="117" t="str">
        <f t="shared" si="419"/>
        <v>x</v>
      </c>
      <c r="S67" s="117" t="str">
        <f t="shared" si="419"/>
        <v>x</v>
      </c>
      <c r="T67" s="117" t="str">
        <f t="shared" si="419"/>
        <v>x</v>
      </c>
      <c r="U67" s="117" t="str">
        <f t="shared" si="419"/>
        <v>x</v>
      </c>
      <c r="V67" s="117" t="str">
        <f t="shared" si="419"/>
        <v>x</v>
      </c>
      <c r="W67" s="117" t="str">
        <f t="shared" si="419"/>
        <v>x</v>
      </c>
      <c r="X67" s="117" t="str">
        <f t="shared" si="419"/>
        <v>x</v>
      </c>
      <c r="Y67" s="117" t="str">
        <f t="shared" si="419"/>
        <v>x</v>
      </c>
      <c r="Z67" s="117" t="str">
        <f t="shared" si="419"/>
        <v>x</v>
      </c>
      <c r="CM67" s="119"/>
    </row>
    <row r="68" spans="4:91" s="117" customFormat="1" x14ac:dyDescent="0.15">
      <c r="D68" s="117" t="str">
        <f t="shared" ref="D68:Z68" si="420">IF(BatSplit(D8,RunsScored)&gt;=50,BatSplit(D8,RunsScored)&amp;IF(BatSplit(D8,NotOuts)=1,"*","")&amp;"|"&amp;$C8&amp;"|"&amp;D$2&amp;"|"&amp;TEXT(D$1,"dd-mmm"),"x")</f>
        <v>x</v>
      </c>
      <c r="E68" s="117" t="str">
        <f t="shared" si="420"/>
        <v>67*|Brocks D|Woodgreen|03-May</v>
      </c>
      <c r="F68" s="117" t="str">
        <f t="shared" si="420"/>
        <v>x</v>
      </c>
      <c r="G68" s="117" t="str">
        <f t="shared" si="420"/>
        <v>x</v>
      </c>
      <c r="H68" s="117" t="str">
        <f t="shared" si="420"/>
        <v>x</v>
      </c>
      <c r="I68" s="117" t="str">
        <f t="shared" si="420"/>
        <v>x</v>
      </c>
      <c r="J68" s="117" t="str">
        <f t="shared" si="420"/>
        <v>x</v>
      </c>
      <c r="K68" s="117" t="str">
        <f t="shared" si="420"/>
        <v>x</v>
      </c>
      <c r="L68" s="117" t="str">
        <f t="shared" si="420"/>
        <v>x</v>
      </c>
      <c r="M68" s="117" t="str">
        <f t="shared" si="420"/>
        <v>x</v>
      </c>
      <c r="N68" s="117" t="str">
        <f t="shared" si="420"/>
        <v>x</v>
      </c>
      <c r="O68" s="117" t="str">
        <f t="shared" si="420"/>
        <v>x</v>
      </c>
      <c r="P68" s="117" t="str">
        <f t="shared" si="420"/>
        <v>x</v>
      </c>
      <c r="Q68" s="117" t="str">
        <f t="shared" si="420"/>
        <v>x</v>
      </c>
      <c r="R68" s="117" t="str">
        <f t="shared" si="420"/>
        <v>x</v>
      </c>
      <c r="S68" s="117" t="str">
        <f t="shared" si="420"/>
        <v>x</v>
      </c>
      <c r="T68" s="117" t="str">
        <f t="shared" si="420"/>
        <v>x</v>
      </c>
      <c r="U68" s="117" t="str">
        <f t="shared" si="420"/>
        <v>x</v>
      </c>
      <c r="V68" s="117" t="str">
        <f t="shared" si="420"/>
        <v>x</v>
      </c>
      <c r="W68" s="117" t="str">
        <f t="shared" si="420"/>
        <v>x</v>
      </c>
      <c r="X68" s="117" t="str">
        <f t="shared" si="420"/>
        <v>x</v>
      </c>
      <c r="Y68" s="117" t="str">
        <f t="shared" si="420"/>
        <v>x</v>
      </c>
      <c r="Z68" s="117" t="str">
        <f t="shared" si="420"/>
        <v>x</v>
      </c>
      <c r="CM68" s="119"/>
    </row>
    <row r="69" spans="4:91" s="117" customFormat="1" x14ac:dyDescent="0.15">
      <c r="D69" s="117" t="str">
        <f t="shared" ref="D69:Z69" si="421">IF(BatSplit(D9,RunsScored)&gt;=50,BatSplit(D9,RunsScored)&amp;IF(BatSplit(D9,NotOuts)=1,"*","")&amp;"|"&amp;$C9&amp;"|"&amp;D$2&amp;"|"&amp;TEXT(D$1,"dd-mmm"),"x")</f>
        <v>x</v>
      </c>
      <c r="E69" s="117" t="str">
        <f t="shared" si="421"/>
        <v>x</v>
      </c>
      <c r="F69" s="117" t="str">
        <f t="shared" si="421"/>
        <v>x</v>
      </c>
      <c r="G69" s="117" t="str">
        <f t="shared" si="421"/>
        <v>x</v>
      </c>
      <c r="H69" s="117" t="str">
        <f t="shared" si="421"/>
        <v>x</v>
      </c>
      <c r="I69" s="117" t="str">
        <f t="shared" si="421"/>
        <v>x</v>
      </c>
      <c r="J69" s="117" t="str">
        <f t="shared" si="421"/>
        <v>x</v>
      </c>
      <c r="K69" s="117" t="str">
        <f t="shared" si="421"/>
        <v>x</v>
      </c>
      <c r="L69" s="117" t="str">
        <f t="shared" si="421"/>
        <v>x</v>
      </c>
      <c r="M69" s="117" t="str">
        <f t="shared" si="421"/>
        <v>x</v>
      </c>
      <c r="N69" s="117" t="str">
        <f t="shared" si="421"/>
        <v>x</v>
      </c>
      <c r="O69" s="117" t="str">
        <f t="shared" si="421"/>
        <v>x</v>
      </c>
      <c r="P69" s="117" t="str">
        <f t="shared" si="421"/>
        <v>x</v>
      </c>
      <c r="Q69" s="117" t="str">
        <f t="shared" si="421"/>
        <v>x</v>
      </c>
      <c r="R69" s="117" t="str">
        <f t="shared" si="421"/>
        <v>x</v>
      </c>
      <c r="S69" s="117" t="str">
        <f t="shared" si="421"/>
        <v>x</v>
      </c>
      <c r="T69" s="117" t="str">
        <f t="shared" si="421"/>
        <v>x</v>
      </c>
      <c r="U69" s="117" t="str">
        <f t="shared" si="421"/>
        <v>x</v>
      </c>
      <c r="V69" s="117" t="str">
        <f t="shared" si="421"/>
        <v>x</v>
      </c>
      <c r="W69" s="117" t="str">
        <f t="shared" si="421"/>
        <v>x</v>
      </c>
      <c r="X69" s="117" t="str">
        <f t="shared" si="421"/>
        <v>x</v>
      </c>
      <c r="Y69" s="117" t="str">
        <f t="shared" si="421"/>
        <v>x</v>
      </c>
      <c r="Z69" s="117" t="str">
        <f t="shared" si="421"/>
        <v>x</v>
      </c>
      <c r="CM69" s="119"/>
    </row>
    <row r="70" spans="4:91" customFormat="1" x14ac:dyDescent="0.15">
      <c r="D70" s="117" t="str">
        <f t="shared" ref="D70:Z70" si="422">IF(BatSplit(D10,RunsScored)&gt;=50,BatSplit(D10,RunsScored)&amp;IF(BatSplit(D10,NotOuts)=1,"*","")&amp;"|"&amp;$C10&amp;"|"&amp;D$2&amp;"|"&amp;TEXT(D$1,"dd-mmm"),"x")</f>
        <v>x</v>
      </c>
      <c r="E70" s="117" t="str">
        <f t="shared" si="422"/>
        <v>x</v>
      </c>
      <c r="F70" s="117" t="str">
        <f t="shared" si="422"/>
        <v>x</v>
      </c>
      <c r="G70" s="117" t="str">
        <f t="shared" si="422"/>
        <v>x</v>
      </c>
      <c r="H70" s="117" t="str">
        <f t="shared" si="422"/>
        <v>x</v>
      </c>
      <c r="I70" s="117" t="str">
        <f t="shared" si="422"/>
        <v>x</v>
      </c>
      <c r="J70" s="117" t="str">
        <f t="shared" si="422"/>
        <v>x</v>
      </c>
      <c r="K70" s="117" t="str">
        <f t="shared" si="422"/>
        <v>x</v>
      </c>
      <c r="L70" s="117" t="str">
        <f t="shared" si="422"/>
        <v>x</v>
      </c>
      <c r="M70" s="117" t="str">
        <f t="shared" si="422"/>
        <v>x</v>
      </c>
      <c r="N70" s="117" t="str">
        <f t="shared" si="422"/>
        <v>x</v>
      </c>
      <c r="O70" s="117" t="str">
        <f t="shared" si="422"/>
        <v>x</v>
      </c>
      <c r="P70" s="117" t="str">
        <f t="shared" si="422"/>
        <v>x</v>
      </c>
      <c r="Q70" s="117" t="str">
        <f t="shared" si="422"/>
        <v>x</v>
      </c>
      <c r="R70" s="117" t="str">
        <f t="shared" si="422"/>
        <v>x</v>
      </c>
      <c r="S70" s="117" t="str">
        <f t="shared" si="422"/>
        <v>x</v>
      </c>
      <c r="T70" s="117" t="str">
        <f t="shared" si="422"/>
        <v>x</v>
      </c>
      <c r="U70" s="117" t="str">
        <f t="shared" si="422"/>
        <v>x</v>
      </c>
      <c r="V70" s="117" t="str">
        <f t="shared" si="422"/>
        <v>x</v>
      </c>
      <c r="W70" s="117" t="str">
        <f t="shared" si="422"/>
        <v>x</v>
      </c>
      <c r="X70" s="117" t="str">
        <f t="shared" si="422"/>
        <v>x</v>
      </c>
      <c r="Y70" s="117" t="str">
        <f t="shared" si="422"/>
        <v>x</v>
      </c>
      <c r="Z70" s="117" t="str">
        <f t="shared" si="422"/>
        <v>x</v>
      </c>
    </row>
    <row r="71" spans="4:91" customFormat="1" x14ac:dyDescent="0.15">
      <c r="D71" s="117" t="str">
        <f t="shared" ref="D71:Z71" si="423">IF(BatSplit(D11,RunsScored)&gt;=50,BatSplit(D11,RunsScored)&amp;IF(BatSplit(D11,NotOuts)=1,"*","")&amp;"|"&amp;$C11&amp;"|"&amp;D$2&amp;"|"&amp;TEXT(D$1,"dd-mmm"),"x")</f>
        <v>x</v>
      </c>
      <c r="E71" s="117" t="str">
        <f t="shared" si="423"/>
        <v>x</v>
      </c>
      <c r="F71" s="117" t="str">
        <f t="shared" si="423"/>
        <v>x</v>
      </c>
      <c r="G71" s="117" t="str">
        <f t="shared" si="423"/>
        <v>x</v>
      </c>
      <c r="H71" s="117" t="str">
        <f t="shared" si="423"/>
        <v>x</v>
      </c>
      <c r="I71" s="117" t="str">
        <f t="shared" si="423"/>
        <v>x</v>
      </c>
      <c r="J71" s="117" t="str">
        <f t="shared" si="423"/>
        <v>x</v>
      </c>
      <c r="K71" s="117" t="str">
        <f t="shared" si="423"/>
        <v>x</v>
      </c>
      <c r="L71" s="117" t="str">
        <f t="shared" si="423"/>
        <v>71*|Clarkson M|Richmond Legbreakers|07-Jun</v>
      </c>
      <c r="M71" s="117" t="str">
        <f t="shared" si="423"/>
        <v>x</v>
      </c>
      <c r="N71" s="117" t="str">
        <f t="shared" si="423"/>
        <v>x</v>
      </c>
      <c r="O71" s="117" t="str">
        <f t="shared" si="423"/>
        <v>x</v>
      </c>
      <c r="P71" s="117" t="str">
        <f t="shared" si="423"/>
        <v>x</v>
      </c>
      <c r="Q71" s="117" t="str">
        <f t="shared" si="423"/>
        <v>x</v>
      </c>
      <c r="R71" s="117" t="str">
        <f t="shared" si="423"/>
        <v>x</v>
      </c>
      <c r="S71" s="117" t="str">
        <f t="shared" si="423"/>
        <v>x</v>
      </c>
      <c r="T71" s="117" t="str">
        <f t="shared" si="423"/>
        <v>x</v>
      </c>
      <c r="U71" s="117" t="str">
        <f t="shared" si="423"/>
        <v>x</v>
      </c>
      <c r="V71" s="117" t="str">
        <f t="shared" si="423"/>
        <v>x</v>
      </c>
      <c r="W71" s="117" t="str">
        <f t="shared" si="423"/>
        <v>x</v>
      </c>
      <c r="X71" s="117" t="str">
        <f t="shared" si="423"/>
        <v>x</v>
      </c>
      <c r="Y71" s="117" t="str">
        <f t="shared" si="423"/>
        <v>x</v>
      </c>
      <c r="Z71" s="117" t="str">
        <f t="shared" si="423"/>
        <v>x</v>
      </c>
    </row>
    <row r="72" spans="4:91" customFormat="1" x14ac:dyDescent="0.15">
      <c r="D72" s="117" t="str">
        <f t="shared" ref="D72:Z72" si="424">IF(BatSplit(D12,RunsScored)&gt;=50,BatSplit(D12,RunsScored)&amp;IF(BatSplit(D12,NotOuts)=1,"*","")&amp;"|"&amp;$C12&amp;"|"&amp;D$2&amp;"|"&amp;TEXT(D$1,"dd-mmm"),"x")</f>
        <v>x</v>
      </c>
      <c r="E72" s="117" t="str">
        <f t="shared" si="424"/>
        <v>x</v>
      </c>
      <c r="F72" s="117" t="str">
        <f t="shared" si="424"/>
        <v>x</v>
      </c>
      <c r="G72" s="117" t="str">
        <f t="shared" si="424"/>
        <v>x</v>
      </c>
      <c r="H72" s="117" t="str">
        <f t="shared" si="424"/>
        <v>x</v>
      </c>
      <c r="I72" s="117" t="str">
        <f t="shared" si="424"/>
        <v>x</v>
      </c>
      <c r="J72" s="117" t="str">
        <f t="shared" si="424"/>
        <v>x</v>
      </c>
      <c r="K72" s="117" t="str">
        <f t="shared" si="424"/>
        <v>x</v>
      </c>
      <c r="L72" s="117" t="str">
        <f t="shared" si="424"/>
        <v>x</v>
      </c>
      <c r="M72" s="117" t="str">
        <f t="shared" si="424"/>
        <v>x</v>
      </c>
      <c r="N72" s="117" t="str">
        <f t="shared" si="424"/>
        <v>x</v>
      </c>
      <c r="O72" s="117" t="str">
        <f t="shared" si="424"/>
        <v>x</v>
      </c>
      <c r="P72" s="117" t="str">
        <f t="shared" si="424"/>
        <v>x</v>
      </c>
      <c r="Q72" s="117" t="str">
        <f t="shared" si="424"/>
        <v>x</v>
      </c>
      <c r="R72" s="117" t="str">
        <f t="shared" si="424"/>
        <v>x</v>
      </c>
      <c r="S72" s="117" t="str">
        <f t="shared" si="424"/>
        <v>x</v>
      </c>
      <c r="T72" s="117" t="str">
        <f t="shared" si="424"/>
        <v>x</v>
      </c>
      <c r="U72" s="117" t="str">
        <f t="shared" si="424"/>
        <v>x</v>
      </c>
      <c r="V72" s="117" t="str">
        <f t="shared" si="424"/>
        <v>x</v>
      </c>
      <c r="W72" s="117" t="str">
        <f t="shared" si="424"/>
        <v>x</v>
      </c>
      <c r="X72" s="117" t="str">
        <f t="shared" si="424"/>
        <v>x</v>
      </c>
      <c r="Y72" s="117" t="str">
        <f t="shared" si="424"/>
        <v>x</v>
      </c>
      <c r="Z72" s="117" t="str">
        <f t="shared" si="424"/>
        <v>x</v>
      </c>
    </row>
    <row r="73" spans="4:91" customFormat="1" x14ac:dyDescent="0.15">
      <c r="D73" s="117" t="str">
        <f t="shared" ref="D73:Z73" si="425">IF(BatSplit(D13,RunsScored)&gt;=50,BatSplit(D13,RunsScored)&amp;IF(BatSplit(D13,NotOuts)=1,"*","")&amp;"|"&amp;$C13&amp;"|"&amp;D$2&amp;"|"&amp;TEXT(D$1,"dd-mmm"),"x")</f>
        <v>x</v>
      </c>
      <c r="E73" s="117" t="str">
        <f t="shared" si="425"/>
        <v>x</v>
      </c>
      <c r="F73" s="117" t="str">
        <f t="shared" si="425"/>
        <v>x</v>
      </c>
      <c r="G73" s="117" t="str">
        <f t="shared" si="425"/>
        <v>x</v>
      </c>
      <c r="H73" s="117" t="str">
        <f t="shared" si="425"/>
        <v>x</v>
      </c>
      <c r="I73" s="117" t="str">
        <f t="shared" si="425"/>
        <v>x</v>
      </c>
      <c r="J73" s="117" t="str">
        <f t="shared" si="425"/>
        <v>x</v>
      </c>
      <c r="K73" s="117" t="str">
        <f t="shared" si="425"/>
        <v>x</v>
      </c>
      <c r="L73" s="117" t="str">
        <f t="shared" si="425"/>
        <v>x</v>
      </c>
      <c r="M73" s="117" t="str">
        <f t="shared" si="425"/>
        <v>x</v>
      </c>
      <c r="N73" s="117" t="str">
        <f t="shared" si="425"/>
        <v>x</v>
      </c>
      <c r="O73" s="117" t="str">
        <f t="shared" si="425"/>
        <v>x</v>
      </c>
      <c r="P73" s="117" t="str">
        <f t="shared" si="425"/>
        <v>x</v>
      </c>
      <c r="Q73" s="117" t="str">
        <f t="shared" si="425"/>
        <v>x</v>
      </c>
      <c r="R73" s="117" t="str">
        <f t="shared" si="425"/>
        <v>x</v>
      </c>
      <c r="S73" s="117" t="str">
        <f t="shared" si="425"/>
        <v>x</v>
      </c>
      <c r="T73" s="117" t="str">
        <f t="shared" si="425"/>
        <v>x</v>
      </c>
      <c r="U73" s="117" t="str">
        <f t="shared" si="425"/>
        <v>x</v>
      </c>
      <c r="V73" s="117" t="str">
        <f t="shared" si="425"/>
        <v>x</v>
      </c>
      <c r="W73" s="117" t="str">
        <f t="shared" si="425"/>
        <v>x</v>
      </c>
      <c r="X73" s="117" t="str">
        <f t="shared" si="425"/>
        <v>x</v>
      </c>
      <c r="Y73" s="117" t="str">
        <f t="shared" si="425"/>
        <v>x</v>
      </c>
      <c r="Z73" s="117" t="str">
        <f t="shared" si="425"/>
        <v>x</v>
      </c>
    </row>
    <row r="74" spans="4:91" customFormat="1" x14ac:dyDescent="0.15">
      <c r="D74" s="117" t="str">
        <f t="shared" ref="D74:Z74" si="426">IF(BatSplit(D14,RunsScored)&gt;=50,BatSplit(D14,RunsScored)&amp;IF(BatSplit(D14,NotOuts)=1,"*","")&amp;"|"&amp;$C14&amp;"|"&amp;D$2&amp;"|"&amp;TEXT(D$1,"dd-mmm"),"x")</f>
        <v>x</v>
      </c>
      <c r="E74" s="117" t="str">
        <f t="shared" si="426"/>
        <v>x</v>
      </c>
      <c r="F74" s="117" t="str">
        <f t="shared" si="426"/>
        <v>x</v>
      </c>
      <c r="G74" s="117" t="str">
        <f t="shared" si="426"/>
        <v>x</v>
      </c>
      <c r="H74" s="117" t="str">
        <f t="shared" si="426"/>
        <v>x</v>
      </c>
      <c r="I74" s="117" t="str">
        <f t="shared" si="426"/>
        <v>x</v>
      </c>
      <c r="J74" s="117" t="str">
        <f t="shared" si="426"/>
        <v>x</v>
      </c>
      <c r="K74" s="117" t="str">
        <f t="shared" si="426"/>
        <v>x</v>
      </c>
      <c r="L74" s="117" t="str">
        <f t="shared" si="426"/>
        <v>x</v>
      </c>
      <c r="M74" s="117" t="str">
        <f t="shared" si="426"/>
        <v>x</v>
      </c>
      <c r="N74" s="117" t="str">
        <f t="shared" si="426"/>
        <v>x</v>
      </c>
      <c r="O74" s="117" t="str">
        <f t="shared" si="426"/>
        <v>x</v>
      </c>
      <c r="P74" s="117" t="str">
        <f t="shared" si="426"/>
        <v>x</v>
      </c>
      <c r="Q74" s="117" t="str">
        <f t="shared" si="426"/>
        <v>x</v>
      </c>
      <c r="R74" s="117" t="str">
        <f t="shared" si="426"/>
        <v>x</v>
      </c>
      <c r="S74" s="117" t="str">
        <f t="shared" si="426"/>
        <v>x</v>
      </c>
      <c r="T74" s="117" t="str">
        <f t="shared" si="426"/>
        <v>x</v>
      </c>
      <c r="U74" s="117" t="str">
        <f t="shared" si="426"/>
        <v>x</v>
      </c>
      <c r="V74" s="117" t="str">
        <f t="shared" si="426"/>
        <v>x</v>
      </c>
      <c r="W74" s="117" t="str">
        <f t="shared" si="426"/>
        <v>x</v>
      </c>
      <c r="X74" s="117" t="str">
        <f t="shared" si="426"/>
        <v>x</v>
      </c>
      <c r="Y74" s="117" t="str">
        <f t="shared" si="426"/>
        <v>x</v>
      </c>
      <c r="Z74" s="117" t="str">
        <f t="shared" si="426"/>
        <v>x</v>
      </c>
    </row>
    <row r="75" spans="4:91" customFormat="1" x14ac:dyDescent="0.15">
      <c r="D75" s="117" t="str">
        <f t="shared" ref="D75:Z75" si="427">IF(BatSplit(D15,RunsScored)&gt;=50,BatSplit(D15,RunsScored)&amp;IF(BatSplit(D15,NotOuts)=1,"*","")&amp;"|"&amp;$C15&amp;"|"&amp;D$2&amp;"|"&amp;TEXT(D$1,"dd-mmm"),"x")</f>
        <v>x</v>
      </c>
      <c r="E75" s="117" t="str">
        <f t="shared" si="427"/>
        <v>x</v>
      </c>
      <c r="F75" s="117" t="str">
        <f t="shared" si="427"/>
        <v>x</v>
      </c>
      <c r="G75" s="117" t="str">
        <f t="shared" si="427"/>
        <v>x</v>
      </c>
      <c r="H75" s="117" t="str">
        <f t="shared" si="427"/>
        <v>x</v>
      </c>
      <c r="I75" s="117" t="str">
        <f t="shared" si="427"/>
        <v>x</v>
      </c>
      <c r="J75" s="117" t="str">
        <f t="shared" si="427"/>
        <v>x</v>
      </c>
      <c r="K75" s="117" t="str">
        <f t="shared" si="427"/>
        <v>x</v>
      </c>
      <c r="L75" s="117" t="str">
        <f t="shared" si="427"/>
        <v>x</v>
      </c>
      <c r="M75" s="117" t="str">
        <f t="shared" si="427"/>
        <v>x</v>
      </c>
      <c r="N75" s="117" t="str">
        <f t="shared" si="427"/>
        <v>x</v>
      </c>
      <c r="O75" s="117" t="str">
        <f t="shared" si="427"/>
        <v>x</v>
      </c>
      <c r="P75" s="117" t="str">
        <f t="shared" si="427"/>
        <v>x</v>
      </c>
      <c r="Q75" s="117" t="str">
        <f t="shared" si="427"/>
        <v>x</v>
      </c>
      <c r="R75" s="117" t="str">
        <f t="shared" si="427"/>
        <v>x</v>
      </c>
      <c r="S75" s="117" t="str">
        <f t="shared" si="427"/>
        <v>x</v>
      </c>
      <c r="T75" s="117" t="str">
        <f t="shared" si="427"/>
        <v>x</v>
      </c>
      <c r="U75" s="117" t="str">
        <f t="shared" si="427"/>
        <v>x</v>
      </c>
      <c r="V75" s="117" t="str">
        <f t="shared" si="427"/>
        <v>x</v>
      </c>
      <c r="W75" s="117" t="str">
        <f t="shared" si="427"/>
        <v>x</v>
      </c>
      <c r="X75" s="117" t="str">
        <f t="shared" si="427"/>
        <v>x</v>
      </c>
      <c r="Y75" s="117" t="str">
        <f t="shared" si="427"/>
        <v>x</v>
      </c>
      <c r="Z75" s="117" t="str">
        <f t="shared" si="427"/>
        <v>x</v>
      </c>
    </row>
    <row r="76" spans="4:91" customFormat="1" x14ac:dyDescent="0.15">
      <c r="D76" s="117" t="str">
        <f t="shared" ref="D76:Z76" si="428">IF(BatSplit(D16,RunsScored)&gt;=50,BatSplit(D16,RunsScored)&amp;IF(BatSplit(D16,NotOuts)=1,"*","")&amp;"|"&amp;$C16&amp;"|"&amp;D$2&amp;"|"&amp;TEXT(D$1,"dd-mmm"),"x")</f>
        <v>x</v>
      </c>
      <c r="E76" s="117" t="str">
        <f t="shared" si="428"/>
        <v>x</v>
      </c>
      <c r="F76" s="117" t="str">
        <f t="shared" si="428"/>
        <v>x</v>
      </c>
      <c r="G76" s="117" t="str">
        <f t="shared" si="428"/>
        <v>x</v>
      </c>
      <c r="H76" s="117" t="str">
        <f t="shared" si="428"/>
        <v>x</v>
      </c>
      <c r="I76" s="117" t="str">
        <f t="shared" si="428"/>
        <v>x</v>
      </c>
      <c r="J76" s="117" t="str">
        <f t="shared" si="428"/>
        <v>x</v>
      </c>
      <c r="K76" s="117" t="str">
        <f t="shared" si="428"/>
        <v>x</v>
      </c>
      <c r="L76" s="117" t="str">
        <f t="shared" si="428"/>
        <v>x</v>
      </c>
      <c r="M76" s="117" t="str">
        <f t="shared" si="428"/>
        <v>x</v>
      </c>
      <c r="N76" s="117" t="str">
        <f t="shared" si="428"/>
        <v>x</v>
      </c>
      <c r="O76" s="117" t="str">
        <f t="shared" si="428"/>
        <v>x</v>
      </c>
      <c r="P76" s="117" t="str">
        <f t="shared" si="428"/>
        <v>x</v>
      </c>
      <c r="Q76" s="117" t="str">
        <f t="shared" si="428"/>
        <v>x</v>
      </c>
      <c r="R76" s="117" t="str">
        <f t="shared" si="428"/>
        <v>x</v>
      </c>
      <c r="S76" s="117" t="str">
        <f t="shared" si="428"/>
        <v>x</v>
      </c>
      <c r="T76" s="117" t="str">
        <f t="shared" si="428"/>
        <v>x</v>
      </c>
      <c r="U76" s="117" t="str">
        <f t="shared" si="428"/>
        <v>x</v>
      </c>
      <c r="V76" s="117" t="str">
        <f t="shared" si="428"/>
        <v>x</v>
      </c>
      <c r="W76" s="117" t="str">
        <f t="shared" si="428"/>
        <v>x</v>
      </c>
      <c r="X76" s="117" t="str">
        <f t="shared" si="428"/>
        <v>x</v>
      </c>
      <c r="Y76" s="117" t="str">
        <f t="shared" si="428"/>
        <v>x</v>
      </c>
      <c r="Z76" s="117" t="str">
        <f t="shared" si="428"/>
        <v>x</v>
      </c>
    </row>
    <row r="77" spans="4:91" customFormat="1" x14ac:dyDescent="0.15">
      <c r="D77" s="117" t="str">
        <f t="shared" ref="D77:Z77" si="429">IF(BatSplit(D17,RunsScored)&gt;=50,BatSplit(D17,RunsScored)&amp;IF(BatSplit(D17,NotOuts)=1,"*","")&amp;"|"&amp;$C17&amp;"|"&amp;D$2&amp;"|"&amp;TEXT(D$1,"dd-mmm"),"x")</f>
        <v>x</v>
      </c>
      <c r="E77" s="117" t="str">
        <f t="shared" si="429"/>
        <v>x</v>
      </c>
      <c r="F77" s="117" t="str">
        <f t="shared" si="429"/>
        <v>x</v>
      </c>
      <c r="G77" s="117" t="str">
        <f t="shared" si="429"/>
        <v>x</v>
      </c>
      <c r="H77" s="117" t="str">
        <f t="shared" si="429"/>
        <v>x</v>
      </c>
      <c r="I77" s="117" t="str">
        <f t="shared" si="429"/>
        <v>x</v>
      </c>
      <c r="J77" s="117" t="str">
        <f t="shared" si="429"/>
        <v>x</v>
      </c>
      <c r="K77" s="117" t="str">
        <f t="shared" si="429"/>
        <v>x</v>
      </c>
      <c r="L77" s="117" t="str">
        <f t="shared" si="429"/>
        <v>x</v>
      </c>
      <c r="M77" s="117" t="str">
        <f t="shared" si="429"/>
        <v>x</v>
      </c>
      <c r="N77" s="117" t="str">
        <f t="shared" si="429"/>
        <v>x</v>
      </c>
      <c r="O77" s="117" t="str">
        <f t="shared" si="429"/>
        <v>x</v>
      </c>
      <c r="P77" s="117" t="str">
        <f t="shared" si="429"/>
        <v>x</v>
      </c>
      <c r="Q77" s="117" t="str">
        <f t="shared" si="429"/>
        <v>x</v>
      </c>
      <c r="R77" s="117" t="str">
        <f t="shared" si="429"/>
        <v>x</v>
      </c>
      <c r="S77" s="117" t="str">
        <f t="shared" si="429"/>
        <v>x</v>
      </c>
      <c r="T77" s="117" t="str">
        <f t="shared" si="429"/>
        <v>x</v>
      </c>
      <c r="U77" s="117" t="str">
        <f t="shared" si="429"/>
        <v>x</v>
      </c>
      <c r="V77" s="117" t="str">
        <f t="shared" si="429"/>
        <v>x</v>
      </c>
      <c r="W77" s="117" t="str">
        <f t="shared" si="429"/>
        <v>x</v>
      </c>
      <c r="X77" s="117" t="str">
        <f t="shared" si="429"/>
        <v>x</v>
      </c>
      <c r="Y77" s="117" t="str">
        <f t="shared" si="429"/>
        <v>x</v>
      </c>
      <c r="Z77" s="117" t="str">
        <f t="shared" si="429"/>
        <v>x</v>
      </c>
    </row>
    <row r="78" spans="4:91" customFormat="1" x14ac:dyDescent="0.15">
      <c r="D78" s="117" t="str">
        <f t="shared" ref="D78:Z78" si="430">IF(BatSplit(D18,RunsScored)&gt;=50,BatSplit(D18,RunsScored)&amp;IF(BatSplit(D18,NotOuts)=1,"*","")&amp;"|"&amp;$C18&amp;"|"&amp;D$2&amp;"|"&amp;TEXT(D$1,"dd-mmm"),"x")</f>
        <v>x</v>
      </c>
      <c r="E78" s="117" t="str">
        <f t="shared" si="430"/>
        <v>x</v>
      </c>
      <c r="F78" s="117" t="str">
        <f t="shared" si="430"/>
        <v>x</v>
      </c>
      <c r="G78" s="117" t="str">
        <f t="shared" si="430"/>
        <v>x</v>
      </c>
      <c r="H78" s="117" t="str">
        <f t="shared" si="430"/>
        <v>x</v>
      </c>
      <c r="I78" s="117" t="str">
        <f t="shared" si="430"/>
        <v>x</v>
      </c>
      <c r="J78" s="117" t="str">
        <f t="shared" si="430"/>
        <v>x</v>
      </c>
      <c r="K78" s="117" t="str">
        <f t="shared" si="430"/>
        <v>x</v>
      </c>
      <c r="L78" s="117" t="str">
        <f t="shared" si="430"/>
        <v>x</v>
      </c>
      <c r="M78" s="117" t="str">
        <f t="shared" si="430"/>
        <v>x</v>
      </c>
      <c r="N78" s="117" t="str">
        <f t="shared" si="430"/>
        <v>x</v>
      </c>
      <c r="O78" s="117" t="str">
        <f t="shared" si="430"/>
        <v>x</v>
      </c>
      <c r="P78" s="117" t="str">
        <f t="shared" si="430"/>
        <v>x</v>
      </c>
      <c r="Q78" s="117" t="str">
        <f t="shared" si="430"/>
        <v>x</v>
      </c>
      <c r="R78" s="117" t="str">
        <f t="shared" si="430"/>
        <v>x</v>
      </c>
      <c r="S78" s="117" t="str">
        <f t="shared" si="430"/>
        <v>x</v>
      </c>
      <c r="T78" s="117" t="str">
        <f t="shared" si="430"/>
        <v>x</v>
      </c>
      <c r="U78" s="117" t="str">
        <f t="shared" si="430"/>
        <v>x</v>
      </c>
      <c r="V78" s="117" t="str">
        <f t="shared" si="430"/>
        <v>x</v>
      </c>
      <c r="W78" s="117" t="str">
        <f t="shared" si="430"/>
        <v>x</v>
      </c>
      <c r="X78" s="117" t="str">
        <f t="shared" si="430"/>
        <v>x</v>
      </c>
      <c r="Y78" s="117" t="str">
        <f t="shared" si="430"/>
        <v>x</v>
      </c>
      <c r="Z78" s="117" t="str">
        <f t="shared" si="430"/>
        <v>x</v>
      </c>
    </row>
    <row r="79" spans="4:91" customFormat="1" x14ac:dyDescent="0.15">
      <c r="D79" s="117" t="str">
        <f t="shared" ref="D79:Z79" si="431">IF(BatSplit(D19,RunsScored)&gt;=50,BatSplit(D19,RunsScored)&amp;IF(BatSplit(D19,NotOuts)=1,"*","")&amp;"|"&amp;$C19&amp;"|"&amp;D$2&amp;"|"&amp;TEXT(D$1,"dd-mmm"),"x")</f>
        <v>x</v>
      </c>
      <c r="E79" s="117" t="str">
        <f t="shared" si="431"/>
        <v>x</v>
      </c>
      <c r="F79" s="117" t="str">
        <f t="shared" si="431"/>
        <v>x</v>
      </c>
      <c r="G79" s="117" t="str">
        <f t="shared" si="431"/>
        <v>x</v>
      </c>
      <c r="H79" s="117" t="str">
        <f t="shared" si="431"/>
        <v>x</v>
      </c>
      <c r="I79" s="117" t="str">
        <f t="shared" si="431"/>
        <v>x</v>
      </c>
      <c r="J79" s="117" t="str">
        <f t="shared" si="431"/>
        <v>x</v>
      </c>
      <c r="K79" s="117" t="str">
        <f t="shared" si="431"/>
        <v>x</v>
      </c>
      <c r="L79" s="117" t="str">
        <f t="shared" si="431"/>
        <v>x</v>
      </c>
      <c r="M79" s="117" t="str">
        <f t="shared" si="431"/>
        <v>x</v>
      </c>
      <c r="N79" s="117" t="str">
        <f t="shared" si="431"/>
        <v>x</v>
      </c>
      <c r="O79" s="117" t="str">
        <f t="shared" si="431"/>
        <v>x</v>
      </c>
      <c r="P79" s="117" t="str">
        <f t="shared" si="431"/>
        <v>x</v>
      </c>
      <c r="Q79" s="117" t="str">
        <f t="shared" si="431"/>
        <v>x</v>
      </c>
      <c r="R79" s="117" t="str">
        <f t="shared" si="431"/>
        <v>x</v>
      </c>
      <c r="S79" s="117" t="str">
        <f t="shared" si="431"/>
        <v>x</v>
      </c>
      <c r="T79" s="117" t="str">
        <f t="shared" si="431"/>
        <v>x</v>
      </c>
      <c r="U79" s="117" t="str">
        <f t="shared" si="431"/>
        <v>x</v>
      </c>
      <c r="V79" s="117" t="str">
        <f t="shared" si="431"/>
        <v>x</v>
      </c>
      <c r="W79" s="117" t="str">
        <f t="shared" si="431"/>
        <v>x</v>
      </c>
      <c r="X79" s="117" t="str">
        <f t="shared" si="431"/>
        <v>x</v>
      </c>
      <c r="Y79" s="117" t="str">
        <f t="shared" si="431"/>
        <v>x</v>
      </c>
      <c r="Z79" s="117" t="str">
        <f t="shared" si="431"/>
        <v>x</v>
      </c>
    </row>
    <row r="80" spans="4:91" customFormat="1" x14ac:dyDescent="0.15">
      <c r="D80" s="117" t="str">
        <f t="shared" ref="D80:Z80" si="432">IF(BatSplit(D20,RunsScored)&gt;=50,BatSplit(D20,RunsScored)&amp;IF(BatSplit(D20,NotOuts)=1,"*","")&amp;"|"&amp;$C20&amp;"|"&amp;D$2&amp;"|"&amp;TEXT(D$1,"dd-mmm"),"x")</f>
        <v>x</v>
      </c>
      <c r="E80" s="117" t="str">
        <f t="shared" si="432"/>
        <v>x</v>
      </c>
      <c r="F80" s="117" t="str">
        <f t="shared" si="432"/>
        <v>x</v>
      </c>
      <c r="G80" s="117" t="str">
        <f t="shared" si="432"/>
        <v>x</v>
      </c>
      <c r="H80" s="117" t="str">
        <f t="shared" si="432"/>
        <v>x</v>
      </c>
      <c r="I80" s="117" t="str">
        <f t="shared" si="432"/>
        <v>x</v>
      </c>
      <c r="J80" s="117" t="str">
        <f t="shared" si="432"/>
        <v>x</v>
      </c>
      <c r="K80" s="117" t="str">
        <f t="shared" si="432"/>
        <v>x</v>
      </c>
      <c r="L80" s="117" t="str">
        <f t="shared" si="432"/>
        <v>x</v>
      </c>
      <c r="M80" s="117" t="str">
        <f t="shared" si="432"/>
        <v>x</v>
      </c>
      <c r="N80" s="117" t="str">
        <f t="shared" si="432"/>
        <v>x</v>
      </c>
      <c r="O80" s="117" t="str">
        <f t="shared" si="432"/>
        <v>x</v>
      </c>
      <c r="P80" s="117" t="str">
        <f t="shared" si="432"/>
        <v>x</v>
      </c>
      <c r="Q80" s="117" t="str">
        <f t="shared" si="432"/>
        <v>x</v>
      </c>
      <c r="R80" s="117" t="str">
        <f t="shared" si="432"/>
        <v>x</v>
      </c>
      <c r="S80" s="117" t="str">
        <f t="shared" si="432"/>
        <v>x</v>
      </c>
      <c r="T80" s="117" t="str">
        <f t="shared" si="432"/>
        <v>x</v>
      </c>
      <c r="U80" s="117" t="str">
        <f t="shared" si="432"/>
        <v>x</v>
      </c>
      <c r="V80" s="117" t="str">
        <f t="shared" si="432"/>
        <v>x</v>
      </c>
      <c r="W80" s="117" t="str">
        <f t="shared" si="432"/>
        <v>x</v>
      </c>
      <c r="X80" s="117" t="str">
        <f t="shared" si="432"/>
        <v>x</v>
      </c>
      <c r="Y80" s="117" t="str">
        <f t="shared" si="432"/>
        <v>x</v>
      </c>
      <c r="Z80" s="117" t="str">
        <f t="shared" si="432"/>
        <v>x</v>
      </c>
    </row>
    <row r="81" spans="4:26" customFormat="1" x14ac:dyDescent="0.15">
      <c r="D81" s="117" t="str">
        <f t="shared" ref="D81:Z81" si="433">IF(BatSplit(D21,RunsScored)&gt;=50,BatSplit(D21,RunsScored)&amp;IF(BatSplit(D21,NotOuts)=1,"*","")&amp;"|"&amp;$C21&amp;"|"&amp;D$2&amp;"|"&amp;TEXT(D$1,"dd-mmm"),"x")</f>
        <v>x</v>
      </c>
      <c r="E81" s="117" t="str">
        <f t="shared" si="433"/>
        <v>x</v>
      </c>
      <c r="F81" s="117" t="str">
        <f t="shared" si="433"/>
        <v>x</v>
      </c>
      <c r="G81" s="117" t="str">
        <f t="shared" si="433"/>
        <v>x</v>
      </c>
      <c r="H81" s="117" t="str">
        <f t="shared" si="433"/>
        <v>x</v>
      </c>
      <c r="I81" s="117" t="str">
        <f t="shared" si="433"/>
        <v>x</v>
      </c>
      <c r="J81" s="117" t="str">
        <f t="shared" si="433"/>
        <v>x</v>
      </c>
      <c r="K81" s="117" t="str">
        <f t="shared" si="433"/>
        <v>x</v>
      </c>
      <c r="L81" s="117" t="str">
        <f t="shared" si="433"/>
        <v>x</v>
      </c>
      <c r="M81" s="117" t="str">
        <f t="shared" si="433"/>
        <v>x</v>
      </c>
      <c r="N81" s="117" t="str">
        <f t="shared" si="433"/>
        <v>x</v>
      </c>
      <c r="O81" s="117" t="str">
        <f t="shared" si="433"/>
        <v>x</v>
      </c>
      <c r="P81" s="117" t="str">
        <f t="shared" si="433"/>
        <v>x</v>
      </c>
      <c r="Q81" s="117" t="str">
        <f t="shared" si="433"/>
        <v>x</v>
      </c>
      <c r="R81" s="117" t="str">
        <f t="shared" si="433"/>
        <v>x</v>
      </c>
      <c r="S81" s="117" t="str">
        <f t="shared" si="433"/>
        <v>x</v>
      </c>
      <c r="T81" s="117" t="str">
        <f t="shared" si="433"/>
        <v>x</v>
      </c>
      <c r="U81" s="117" t="str">
        <f t="shared" si="433"/>
        <v>x</v>
      </c>
      <c r="V81" s="117" t="str">
        <f t="shared" si="433"/>
        <v>x</v>
      </c>
      <c r="W81" s="117" t="str">
        <f t="shared" si="433"/>
        <v>x</v>
      </c>
      <c r="X81" s="117" t="str">
        <f t="shared" si="433"/>
        <v>x</v>
      </c>
      <c r="Y81" s="117" t="str">
        <f t="shared" si="433"/>
        <v>x</v>
      </c>
      <c r="Z81" s="117" t="str">
        <f t="shared" si="433"/>
        <v>x</v>
      </c>
    </row>
    <row r="82" spans="4:26" customFormat="1" x14ac:dyDescent="0.15">
      <c r="D82" s="117" t="str">
        <f t="shared" ref="D82:Z82" si="434">IF(BatSplit(D22,RunsScored)&gt;=50,BatSplit(D22,RunsScored)&amp;IF(BatSplit(D22,NotOuts)=1,"*","")&amp;"|"&amp;$C22&amp;"|"&amp;D$2&amp;"|"&amp;TEXT(D$1,"dd-mmm"),"x")</f>
        <v>x</v>
      </c>
      <c r="E82" s="117" t="str">
        <f t="shared" si="434"/>
        <v>x</v>
      </c>
      <c r="F82" s="117" t="str">
        <f t="shared" si="434"/>
        <v>x</v>
      </c>
      <c r="G82" s="117" t="str">
        <f t="shared" si="434"/>
        <v>x</v>
      </c>
      <c r="H82" s="117" t="str">
        <f t="shared" si="434"/>
        <v>x</v>
      </c>
      <c r="I82" s="117" t="str">
        <f t="shared" si="434"/>
        <v>x</v>
      </c>
      <c r="J82" s="117" t="str">
        <f t="shared" si="434"/>
        <v>x</v>
      </c>
      <c r="K82" s="117" t="str">
        <f t="shared" si="434"/>
        <v>x</v>
      </c>
      <c r="L82" s="117" t="str">
        <f t="shared" si="434"/>
        <v>x</v>
      </c>
      <c r="M82" s="117" t="str">
        <f t="shared" si="434"/>
        <v>x</v>
      </c>
      <c r="N82" s="117" t="str">
        <f t="shared" si="434"/>
        <v>x</v>
      </c>
      <c r="O82" s="117" t="str">
        <f t="shared" si="434"/>
        <v>x</v>
      </c>
      <c r="P82" s="117" t="str">
        <f t="shared" si="434"/>
        <v>x</v>
      </c>
      <c r="Q82" s="117" t="str">
        <f t="shared" si="434"/>
        <v>x</v>
      </c>
      <c r="R82" s="117" t="str">
        <f t="shared" si="434"/>
        <v>x</v>
      </c>
      <c r="S82" s="117" t="str">
        <f t="shared" si="434"/>
        <v>x</v>
      </c>
      <c r="T82" s="117" t="str">
        <f t="shared" si="434"/>
        <v>x</v>
      </c>
      <c r="U82" s="117" t="str">
        <f t="shared" si="434"/>
        <v>x</v>
      </c>
      <c r="V82" s="117" t="str">
        <f t="shared" si="434"/>
        <v>x</v>
      </c>
      <c r="W82" s="117" t="str">
        <f t="shared" si="434"/>
        <v>x</v>
      </c>
      <c r="X82" s="117" t="str">
        <f t="shared" si="434"/>
        <v>x</v>
      </c>
      <c r="Y82" s="117" t="str">
        <f t="shared" si="434"/>
        <v>x</v>
      </c>
      <c r="Z82" s="117" t="str">
        <f t="shared" si="434"/>
        <v>x</v>
      </c>
    </row>
    <row r="83" spans="4:26" customFormat="1" x14ac:dyDescent="0.15">
      <c r="D83" s="117" t="str">
        <f t="shared" ref="D83:Z83" si="435">IF(BatSplit(D23,RunsScored)&gt;=50,BatSplit(D23,RunsScored)&amp;IF(BatSplit(D23,NotOuts)=1,"*","")&amp;"|"&amp;$C23&amp;"|"&amp;D$2&amp;"|"&amp;TEXT(D$1,"dd-mmm"),"x")</f>
        <v>x</v>
      </c>
      <c r="E83" s="117" t="str">
        <f t="shared" si="435"/>
        <v>x</v>
      </c>
      <c r="F83" s="117" t="str">
        <f t="shared" si="435"/>
        <v>x</v>
      </c>
      <c r="G83" s="117" t="str">
        <f t="shared" si="435"/>
        <v>x</v>
      </c>
      <c r="H83" s="117" t="str">
        <f t="shared" si="435"/>
        <v>x</v>
      </c>
      <c r="I83" s="117" t="str">
        <f t="shared" si="435"/>
        <v>x</v>
      </c>
      <c r="J83" s="117" t="str">
        <f t="shared" si="435"/>
        <v>x</v>
      </c>
      <c r="K83" s="117" t="str">
        <f t="shared" si="435"/>
        <v>x</v>
      </c>
      <c r="L83" s="117" t="str">
        <f t="shared" si="435"/>
        <v>x</v>
      </c>
      <c r="M83" s="117" t="str">
        <f t="shared" si="435"/>
        <v>x</v>
      </c>
      <c r="N83" s="117" t="str">
        <f t="shared" si="435"/>
        <v>x</v>
      </c>
      <c r="O83" s="117" t="str">
        <f t="shared" si="435"/>
        <v>x</v>
      </c>
      <c r="P83" s="117" t="str">
        <f t="shared" si="435"/>
        <v>x</v>
      </c>
      <c r="Q83" s="117" t="str">
        <f t="shared" si="435"/>
        <v>x</v>
      </c>
      <c r="R83" s="117" t="str">
        <f t="shared" si="435"/>
        <v>x</v>
      </c>
      <c r="S83" s="117" t="str">
        <f t="shared" si="435"/>
        <v>x</v>
      </c>
      <c r="T83" s="117" t="str">
        <f t="shared" si="435"/>
        <v>x</v>
      </c>
      <c r="U83" s="117" t="str">
        <f t="shared" si="435"/>
        <v>x</v>
      </c>
      <c r="V83" s="117" t="str">
        <f t="shared" si="435"/>
        <v>x</v>
      </c>
      <c r="W83" s="117" t="str">
        <f t="shared" si="435"/>
        <v>x</v>
      </c>
      <c r="X83" s="117" t="str">
        <f t="shared" si="435"/>
        <v>x</v>
      </c>
      <c r="Y83" s="117" t="str">
        <f t="shared" si="435"/>
        <v>x</v>
      </c>
      <c r="Z83" s="117" t="str">
        <f t="shared" si="435"/>
        <v>x</v>
      </c>
    </row>
    <row r="84" spans="4:26" customFormat="1" x14ac:dyDescent="0.15">
      <c r="D84" s="117" t="str">
        <f t="shared" ref="D84:Z84" si="436">IF(BatSplit(D24,RunsScored)&gt;=50,BatSplit(D24,RunsScored)&amp;IF(BatSplit(D24,NotOuts)=1,"*","")&amp;"|"&amp;$C24&amp;"|"&amp;D$2&amp;"|"&amp;TEXT(D$1,"dd-mmm"),"x")</f>
        <v>x</v>
      </c>
      <c r="E84" s="117" t="str">
        <f t="shared" si="436"/>
        <v>x</v>
      </c>
      <c r="F84" s="117" t="str">
        <f t="shared" si="436"/>
        <v>x</v>
      </c>
      <c r="G84" s="117" t="str">
        <f t="shared" si="436"/>
        <v>x</v>
      </c>
      <c r="H84" s="117" t="str">
        <f t="shared" si="436"/>
        <v>x</v>
      </c>
      <c r="I84" s="117" t="str">
        <f t="shared" si="436"/>
        <v>x</v>
      </c>
      <c r="J84" s="117" t="str">
        <f t="shared" si="436"/>
        <v>x</v>
      </c>
      <c r="K84" s="117" t="str">
        <f t="shared" si="436"/>
        <v>x</v>
      </c>
      <c r="L84" s="117" t="str">
        <f t="shared" si="436"/>
        <v>x</v>
      </c>
      <c r="M84" s="117" t="str">
        <f t="shared" si="436"/>
        <v>x</v>
      </c>
      <c r="N84" s="117" t="str">
        <f t="shared" si="436"/>
        <v>x</v>
      </c>
      <c r="O84" s="117" t="str">
        <f t="shared" si="436"/>
        <v>x</v>
      </c>
      <c r="P84" s="117" t="str">
        <f t="shared" si="436"/>
        <v>x</v>
      </c>
      <c r="Q84" s="117" t="str">
        <f t="shared" si="436"/>
        <v>x</v>
      </c>
      <c r="R84" s="117" t="str">
        <f t="shared" si="436"/>
        <v>x</v>
      </c>
      <c r="S84" s="117" t="str">
        <f t="shared" si="436"/>
        <v>x</v>
      </c>
      <c r="T84" s="117" t="str">
        <f t="shared" si="436"/>
        <v>x</v>
      </c>
      <c r="U84" s="117" t="str">
        <f t="shared" si="436"/>
        <v>x</v>
      </c>
      <c r="V84" s="117" t="str">
        <f t="shared" si="436"/>
        <v>x</v>
      </c>
      <c r="W84" s="117" t="str">
        <f t="shared" si="436"/>
        <v>x</v>
      </c>
      <c r="X84" s="117" t="str">
        <f t="shared" si="436"/>
        <v>x</v>
      </c>
      <c r="Y84" s="117" t="str">
        <f t="shared" si="436"/>
        <v>x</v>
      </c>
      <c r="Z84" s="117" t="str">
        <f t="shared" si="436"/>
        <v>x</v>
      </c>
    </row>
    <row r="85" spans="4:26" customFormat="1" x14ac:dyDescent="0.15">
      <c r="D85" s="117" t="str">
        <f t="shared" ref="D85:Z85" si="437">IF(BatSplit(D25,RunsScored)&gt;=50,BatSplit(D25,RunsScored)&amp;IF(BatSplit(D25,NotOuts)=1,"*","")&amp;"|"&amp;$C25&amp;"|"&amp;D$2&amp;"|"&amp;TEXT(D$1,"dd-mmm"),"x")</f>
        <v>x</v>
      </c>
      <c r="E85" s="117" t="str">
        <f t="shared" si="437"/>
        <v>x</v>
      </c>
      <c r="F85" s="117" t="str">
        <f t="shared" si="437"/>
        <v>x</v>
      </c>
      <c r="G85" s="117" t="str">
        <f t="shared" si="437"/>
        <v>x</v>
      </c>
      <c r="H85" s="117" t="str">
        <f t="shared" si="437"/>
        <v>x</v>
      </c>
      <c r="I85" s="117" t="str">
        <f t="shared" si="437"/>
        <v>x</v>
      </c>
      <c r="J85" s="117" t="str">
        <f t="shared" si="437"/>
        <v>x</v>
      </c>
      <c r="K85" s="117" t="str">
        <f t="shared" si="437"/>
        <v>x</v>
      </c>
      <c r="L85" s="117" t="str">
        <f t="shared" si="437"/>
        <v>x</v>
      </c>
      <c r="M85" s="117" t="str">
        <f t="shared" si="437"/>
        <v>x</v>
      </c>
      <c r="N85" s="117" t="str">
        <f t="shared" si="437"/>
        <v>x</v>
      </c>
      <c r="O85" s="117" t="str">
        <f t="shared" si="437"/>
        <v>x</v>
      </c>
      <c r="P85" s="117" t="str">
        <f t="shared" si="437"/>
        <v>x</v>
      </c>
      <c r="Q85" s="117" t="str">
        <f t="shared" si="437"/>
        <v>x</v>
      </c>
      <c r="R85" s="117" t="str">
        <f t="shared" si="437"/>
        <v>x</v>
      </c>
      <c r="S85" s="117" t="str">
        <f t="shared" si="437"/>
        <v>x</v>
      </c>
      <c r="T85" s="117" t="str">
        <f t="shared" si="437"/>
        <v>x</v>
      </c>
      <c r="U85" s="117" t="str">
        <f t="shared" si="437"/>
        <v>x</v>
      </c>
      <c r="V85" s="117" t="str">
        <f t="shared" si="437"/>
        <v>x</v>
      </c>
      <c r="W85" s="117" t="str">
        <f t="shared" si="437"/>
        <v>x</v>
      </c>
      <c r="X85" s="117" t="str">
        <f t="shared" si="437"/>
        <v>x</v>
      </c>
      <c r="Y85" s="117" t="str">
        <f t="shared" si="437"/>
        <v>x</v>
      </c>
      <c r="Z85" s="117" t="str">
        <f t="shared" si="437"/>
        <v>x</v>
      </c>
    </row>
    <row r="86" spans="4:26" customFormat="1" x14ac:dyDescent="0.15">
      <c r="D86" s="117" t="str">
        <f t="shared" ref="D86:Z86" si="438">IF(BatSplit(D26,RunsScored)&gt;=50,BatSplit(D26,RunsScored)&amp;IF(BatSplit(D26,NotOuts)=1,"*","")&amp;"|"&amp;$C26&amp;"|"&amp;D$2&amp;"|"&amp;TEXT(D$1,"dd-mmm"),"x")</f>
        <v>x</v>
      </c>
      <c r="E86" s="117" t="str">
        <f t="shared" si="438"/>
        <v>77*|Middleton J|Woodgreen|03-May</v>
      </c>
      <c r="F86" s="117" t="str">
        <f t="shared" si="438"/>
        <v>x</v>
      </c>
      <c r="G86" s="117" t="str">
        <f t="shared" si="438"/>
        <v>x</v>
      </c>
      <c r="H86" s="117" t="str">
        <f t="shared" si="438"/>
        <v>x</v>
      </c>
      <c r="I86" s="117" t="str">
        <f t="shared" si="438"/>
        <v>x</v>
      </c>
      <c r="J86" s="117" t="str">
        <f t="shared" si="438"/>
        <v>x</v>
      </c>
      <c r="K86" s="117" t="str">
        <f t="shared" si="438"/>
        <v>x</v>
      </c>
      <c r="L86" s="117" t="str">
        <f t="shared" si="438"/>
        <v>x</v>
      </c>
      <c r="M86" s="117" t="str">
        <f t="shared" si="438"/>
        <v>x</v>
      </c>
      <c r="N86" s="117" t="str">
        <f t="shared" si="438"/>
        <v>x</v>
      </c>
      <c r="O86" s="117" t="str">
        <f t="shared" si="438"/>
        <v>x</v>
      </c>
      <c r="P86" s="117" t="str">
        <f t="shared" si="438"/>
        <v>x</v>
      </c>
      <c r="Q86" s="117" t="str">
        <f t="shared" si="438"/>
        <v>x</v>
      </c>
      <c r="R86" s="117" t="str">
        <f t="shared" si="438"/>
        <v>x</v>
      </c>
      <c r="S86" s="117" t="str">
        <f t="shared" si="438"/>
        <v>x</v>
      </c>
      <c r="T86" s="117" t="str">
        <f t="shared" si="438"/>
        <v>x</v>
      </c>
      <c r="U86" s="117" t="str">
        <f t="shared" si="438"/>
        <v>x</v>
      </c>
      <c r="V86" s="117" t="str">
        <f t="shared" si="438"/>
        <v>x</v>
      </c>
      <c r="W86" s="117" t="str">
        <f t="shared" si="438"/>
        <v>x</v>
      </c>
      <c r="X86" s="117" t="str">
        <f t="shared" si="438"/>
        <v>x</v>
      </c>
      <c r="Y86" s="117" t="str">
        <f t="shared" si="438"/>
        <v>x</v>
      </c>
      <c r="Z86" s="117" t="str">
        <f t="shared" si="438"/>
        <v>x</v>
      </c>
    </row>
    <row r="87" spans="4:26" customFormat="1" x14ac:dyDescent="0.15">
      <c r="D87" s="117" t="str">
        <f t="shared" ref="D87:Z87" si="439">IF(BatSplit(D27,RunsScored)&gt;=50,BatSplit(D27,RunsScored)&amp;IF(BatSplit(D27,NotOuts)=1,"*","")&amp;"|"&amp;$C27&amp;"|"&amp;D$2&amp;"|"&amp;TEXT(D$1,"dd-mmm"),"x")</f>
        <v>x</v>
      </c>
      <c r="E87" s="117" t="str">
        <f t="shared" si="439"/>
        <v>x</v>
      </c>
      <c r="F87" s="117" t="str">
        <f t="shared" si="439"/>
        <v>x</v>
      </c>
      <c r="G87" s="117" t="str">
        <f t="shared" si="439"/>
        <v>x</v>
      </c>
      <c r="H87" s="117" t="str">
        <f t="shared" si="439"/>
        <v>x</v>
      </c>
      <c r="I87" s="117" t="str">
        <f t="shared" si="439"/>
        <v>x</v>
      </c>
      <c r="J87" s="117" t="str">
        <f t="shared" si="439"/>
        <v>x</v>
      </c>
      <c r="K87" s="117" t="str">
        <f t="shared" si="439"/>
        <v>x</v>
      </c>
      <c r="L87" s="117" t="str">
        <f t="shared" si="439"/>
        <v>x</v>
      </c>
      <c r="M87" s="117" t="str">
        <f t="shared" si="439"/>
        <v>x</v>
      </c>
      <c r="N87" s="117" t="str">
        <f t="shared" si="439"/>
        <v>x</v>
      </c>
      <c r="O87" s="117" t="str">
        <f t="shared" si="439"/>
        <v>x</v>
      </c>
      <c r="P87" s="117" t="str">
        <f t="shared" si="439"/>
        <v>x</v>
      </c>
      <c r="Q87" s="117" t="str">
        <f t="shared" si="439"/>
        <v>x</v>
      </c>
      <c r="R87" s="117" t="str">
        <f t="shared" si="439"/>
        <v>x</v>
      </c>
      <c r="S87" s="117" t="str">
        <f t="shared" si="439"/>
        <v>x</v>
      </c>
      <c r="T87" s="117" t="str">
        <f t="shared" si="439"/>
        <v>x</v>
      </c>
      <c r="U87" s="117" t="str">
        <f t="shared" si="439"/>
        <v>x</v>
      </c>
      <c r="V87" s="117" t="str">
        <f t="shared" si="439"/>
        <v>x</v>
      </c>
      <c r="W87" s="117" t="str">
        <f t="shared" si="439"/>
        <v>x</v>
      </c>
      <c r="X87" s="117" t="str">
        <f t="shared" si="439"/>
        <v>x</v>
      </c>
      <c r="Y87" s="117" t="str">
        <f t="shared" si="439"/>
        <v>x</v>
      </c>
      <c r="Z87" s="117" t="str">
        <f t="shared" si="439"/>
        <v>x</v>
      </c>
    </row>
    <row r="88" spans="4:26" customFormat="1" x14ac:dyDescent="0.15">
      <c r="D88" s="117" t="str">
        <f t="shared" ref="D88:Z88" si="440">IF(BatSplit(D28,RunsScored)&gt;=50,BatSplit(D28,RunsScored)&amp;IF(BatSplit(D28,NotOuts)=1,"*","")&amp;"|"&amp;$C28&amp;"|"&amp;D$2&amp;"|"&amp;TEXT(D$1,"dd-mmm"),"x")</f>
        <v>x</v>
      </c>
      <c r="E88" s="117" t="str">
        <f t="shared" si="440"/>
        <v>x</v>
      </c>
      <c r="F88" s="117" t="str">
        <f t="shared" si="440"/>
        <v>x</v>
      </c>
      <c r="G88" s="117" t="str">
        <f t="shared" si="440"/>
        <v>x</v>
      </c>
      <c r="H88" s="117" t="str">
        <f t="shared" si="440"/>
        <v>x</v>
      </c>
      <c r="I88" s="117" t="str">
        <f t="shared" si="440"/>
        <v>x</v>
      </c>
      <c r="J88" s="117" t="str">
        <f t="shared" si="440"/>
        <v>x</v>
      </c>
      <c r="K88" s="117" t="str">
        <f t="shared" si="440"/>
        <v>x</v>
      </c>
      <c r="L88" s="117" t="str">
        <f t="shared" si="440"/>
        <v>x</v>
      </c>
      <c r="M88" s="117" t="str">
        <f t="shared" si="440"/>
        <v>x</v>
      </c>
      <c r="N88" s="117" t="str">
        <f t="shared" si="440"/>
        <v>x</v>
      </c>
      <c r="O88" s="117" t="str">
        <f t="shared" si="440"/>
        <v>x</v>
      </c>
      <c r="P88" s="117" t="str">
        <f t="shared" si="440"/>
        <v>x</v>
      </c>
      <c r="Q88" s="117" t="str">
        <f t="shared" si="440"/>
        <v>x</v>
      </c>
      <c r="R88" s="117" t="str">
        <f t="shared" si="440"/>
        <v>x</v>
      </c>
      <c r="S88" s="117" t="str">
        <f t="shared" si="440"/>
        <v>x</v>
      </c>
      <c r="T88" s="117" t="str">
        <f t="shared" si="440"/>
        <v>x</v>
      </c>
      <c r="U88" s="117" t="str">
        <f t="shared" si="440"/>
        <v>x</v>
      </c>
      <c r="V88" s="117" t="str">
        <f t="shared" si="440"/>
        <v>x</v>
      </c>
      <c r="W88" s="117" t="str">
        <f t="shared" si="440"/>
        <v>x</v>
      </c>
      <c r="X88" s="117" t="str">
        <f t="shared" si="440"/>
        <v>x</v>
      </c>
      <c r="Y88" s="117" t="str">
        <f t="shared" si="440"/>
        <v>x</v>
      </c>
      <c r="Z88" s="117" t="str">
        <f t="shared" si="440"/>
        <v>x</v>
      </c>
    </row>
    <row r="89" spans="4:26" customFormat="1" x14ac:dyDescent="0.15">
      <c r="D89" s="117" t="str">
        <f t="shared" ref="D89:Z89" si="441">IF(BatSplit(D29,RunsScored)&gt;=50,BatSplit(D29,RunsScored)&amp;IF(BatSplit(D29,NotOuts)=1,"*","")&amp;"|"&amp;$C29&amp;"|"&amp;D$2&amp;"|"&amp;TEXT(D$1,"dd-mmm"),"x")</f>
        <v>x</v>
      </c>
      <c r="E89" s="117" t="str">
        <f t="shared" si="441"/>
        <v>x</v>
      </c>
      <c r="F89" s="117" t="str">
        <f t="shared" si="441"/>
        <v>x</v>
      </c>
      <c r="G89" s="117" t="str">
        <f t="shared" si="441"/>
        <v>x</v>
      </c>
      <c r="H89" s="117" t="str">
        <f t="shared" si="441"/>
        <v>x</v>
      </c>
      <c r="I89" s="117" t="str">
        <f t="shared" si="441"/>
        <v>x</v>
      </c>
      <c r="J89" s="117" t="str">
        <f t="shared" si="441"/>
        <v>x</v>
      </c>
      <c r="K89" s="117" t="str">
        <f t="shared" si="441"/>
        <v>x</v>
      </c>
      <c r="L89" s="117" t="str">
        <f t="shared" si="441"/>
        <v>x</v>
      </c>
      <c r="M89" s="117" t="str">
        <f t="shared" si="441"/>
        <v>x</v>
      </c>
      <c r="N89" s="117" t="str">
        <f t="shared" si="441"/>
        <v>x</v>
      </c>
      <c r="O89" s="117" t="str">
        <f t="shared" si="441"/>
        <v>x</v>
      </c>
      <c r="P89" s="117" t="str">
        <f t="shared" si="441"/>
        <v>x</v>
      </c>
      <c r="Q89" s="117" t="str">
        <f t="shared" si="441"/>
        <v>x</v>
      </c>
      <c r="R89" s="117" t="str">
        <f t="shared" si="441"/>
        <v>x</v>
      </c>
      <c r="S89" s="117" t="str">
        <f t="shared" si="441"/>
        <v>x</v>
      </c>
      <c r="T89" s="117" t="str">
        <f t="shared" si="441"/>
        <v>x</v>
      </c>
      <c r="U89" s="117" t="str">
        <f t="shared" si="441"/>
        <v>x</v>
      </c>
      <c r="V89" s="117" t="str">
        <f t="shared" si="441"/>
        <v>x</v>
      </c>
      <c r="W89" s="117" t="str">
        <f t="shared" si="441"/>
        <v>x</v>
      </c>
      <c r="X89" s="117" t="str">
        <f t="shared" si="441"/>
        <v>x</v>
      </c>
      <c r="Y89" s="117" t="str">
        <f t="shared" si="441"/>
        <v>x</v>
      </c>
      <c r="Z89" s="117" t="str">
        <f t="shared" si="441"/>
        <v>x</v>
      </c>
    </row>
    <row r="90" spans="4:26" customFormat="1" x14ac:dyDescent="0.15">
      <c r="D90" s="117" t="str">
        <f t="shared" ref="D90:Z90" si="442">IF(BatSplit(D30,RunsScored)&gt;=50,BatSplit(D30,RunsScored)&amp;IF(BatSplit(D30,NotOuts)=1,"*","")&amp;"|"&amp;$C30&amp;"|"&amp;D$2&amp;"|"&amp;TEXT(D$1,"dd-mmm"),"x")</f>
        <v>x</v>
      </c>
      <c r="E90" s="117" t="str">
        <f t="shared" si="442"/>
        <v>x</v>
      </c>
      <c r="F90" s="117" t="str">
        <f t="shared" si="442"/>
        <v>x</v>
      </c>
      <c r="G90" s="117" t="str">
        <f t="shared" si="442"/>
        <v>x</v>
      </c>
      <c r="H90" s="117" t="str">
        <f t="shared" si="442"/>
        <v>x</v>
      </c>
      <c r="I90" s="117" t="str">
        <f t="shared" si="442"/>
        <v>x</v>
      </c>
      <c r="J90" s="117" t="str">
        <f t="shared" si="442"/>
        <v>x</v>
      </c>
      <c r="K90" s="117" t="str">
        <f t="shared" si="442"/>
        <v>x</v>
      </c>
      <c r="L90" s="117" t="str">
        <f t="shared" si="442"/>
        <v>x</v>
      </c>
      <c r="M90" s="117" t="str">
        <f t="shared" si="442"/>
        <v>x</v>
      </c>
      <c r="N90" s="117" t="str">
        <f t="shared" si="442"/>
        <v>x</v>
      </c>
      <c r="O90" s="117" t="str">
        <f t="shared" si="442"/>
        <v>x</v>
      </c>
      <c r="P90" s="117" t="str">
        <f t="shared" si="442"/>
        <v>x</v>
      </c>
      <c r="Q90" s="117" t="str">
        <f t="shared" si="442"/>
        <v>x</v>
      </c>
      <c r="R90" s="117" t="str">
        <f t="shared" si="442"/>
        <v>x</v>
      </c>
      <c r="S90" s="117" t="str">
        <f t="shared" si="442"/>
        <v>x</v>
      </c>
      <c r="T90" s="117" t="str">
        <f t="shared" si="442"/>
        <v>x</v>
      </c>
      <c r="U90" s="117" t="str">
        <f t="shared" si="442"/>
        <v>x</v>
      </c>
      <c r="V90" s="117" t="str">
        <f t="shared" si="442"/>
        <v>x</v>
      </c>
      <c r="W90" s="117" t="str">
        <f t="shared" si="442"/>
        <v>x</v>
      </c>
      <c r="X90" s="117" t="str">
        <f t="shared" si="442"/>
        <v>x</v>
      </c>
      <c r="Y90" s="117" t="str">
        <f t="shared" si="442"/>
        <v>x</v>
      </c>
      <c r="Z90" s="117" t="str">
        <f t="shared" si="442"/>
        <v>x</v>
      </c>
    </row>
    <row r="91" spans="4:26" customFormat="1" x14ac:dyDescent="0.15">
      <c r="D91" s="117" t="str">
        <f t="shared" ref="D91:Z91" si="443">IF(BatSplit(D31,RunsScored)&gt;=50,BatSplit(D31,RunsScored)&amp;IF(BatSplit(D31,NotOuts)=1,"*","")&amp;"|"&amp;$C31&amp;"|"&amp;D$2&amp;"|"&amp;TEXT(D$1,"dd-mmm"),"x")</f>
        <v>x</v>
      </c>
      <c r="E91" s="117" t="str">
        <f t="shared" si="443"/>
        <v>x</v>
      </c>
      <c r="F91" s="117" t="str">
        <f t="shared" si="443"/>
        <v>x</v>
      </c>
      <c r="G91" s="117" t="str">
        <f t="shared" si="443"/>
        <v>x</v>
      </c>
      <c r="H91" s="117" t="str">
        <f t="shared" si="443"/>
        <v>x</v>
      </c>
      <c r="I91" s="117" t="str">
        <f t="shared" si="443"/>
        <v>x</v>
      </c>
      <c r="J91" s="117" t="str">
        <f t="shared" si="443"/>
        <v>x</v>
      </c>
      <c r="K91" s="117" t="str">
        <f t="shared" si="443"/>
        <v>x</v>
      </c>
      <c r="L91" s="117" t="str">
        <f t="shared" si="443"/>
        <v>x</v>
      </c>
      <c r="M91" s="117" t="str">
        <f t="shared" si="443"/>
        <v>x</v>
      </c>
      <c r="N91" s="117" t="str">
        <f t="shared" si="443"/>
        <v>x</v>
      </c>
      <c r="O91" s="117" t="str">
        <f t="shared" si="443"/>
        <v>x</v>
      </c>
      <c r="P91" s="117" t="str">
        <f t="shared" si="443"/>
        <v>x</v>
      </c>
      <c r="Q91" s="117" t="str">
        <f t="shared" si="443"/>
        <v>x</v>
      </c>
      <c r="R91" s="117" t="str">
        <f t="shared" si="443"/>
        <v>x</v>
      </c>
      <c r="S91" s="117" t="str">
        <f t="shared" si="443"/>
        <v>x</v>
      </c>
      <c r="T91" s="117" t="str">
        <f t="shared" si="443"/>
        <v>x</v>
      </c>
      <c r="U91" s="117" t="str">
        <f t="shared" si="443"/>
        <v>x</v>
      </c>
      <c r="V91" s="117" t="str">
        <f t="shared" si="443"/>
        <v>x</v>
      </c>
      <c r="W91" s="117" t="str">
        <f t="shared" si="443"/>
        <v>x</v>
      </c>
      <c r="X91" s="117" t="str">
        <f t="shared" si="443"/>
        <v>x</v>
      </c>
      <c r="Y91" s="117" t="str">
        <f t="shared" si="443"/>
        <v>x</v>
      </c>
      <c r="Z91" s="117" t="str">
        <f t="shared" si="443"/>
        <v>x</v>
      </c>
    </row>
    <row r="92" spans="4:26" customFormat="1" x14ac:dyDescent="0.15">
      <c r="D92" s="117" t="str">
        <f t="shared" ref="D92:Z92" si="444">IF(BatSplit(D32,RunsScored)&gt;=50,BatSplit(D32,RunsScored)&amp;IF(BatSplit(D32,NotOuts)=1,"*","")&amp;"|"&amp;$C32&amp;"|"&amp;D$2&amp;"|"&amp;TEXT(D$1,"dd-mmm"),"x")</f>
        <v>x</v>
      </c>
      <c r="E92" s="117" t="str">
        <f t="shared" si="444"/>
        <v>x</v>
      </c>
      <c r="F92" s="117" t="str">
        <f t="shared" si="444"/>
        <v>x</v>
      </c>
      <c r="G92" s="117" t="str">
        <f t="shared" si="444"/>
        <v>x</v>
      </c>
      <c r="H92" s="117" t="str">
        <f t="shared" si="444"/>
        <v>x</v>
      </c>
      <c r="I92" s="117" t="str">
        <f t="shared" si="444"/>
        <v>x</v>
      </c>
      <c r="J92" s="117" t="str">
        <f t="shared" si="444"/>
        <v>x</v>
      </c>
      <c r="K92" s="117" t="str">
        <f t="shared" si="444"/>
        <v>x</v>
      </c>
      <c r="L92" s="117" t="str">
        <f t="shared" si="444"/>
        <v>x</v>
      </c>
      <c r="M92" s="117" t="str">
        <f t="shared" si="444"/>
        <v>x</v>
      </c>
      <c r="N92" s="117" t="str">
        <f t="shared" si="444"/>
        <v>x</v>
      </c>
      <c r="O92" s="117" t="str">
        <f t="shared" si="444"/>
        <v>x</v>
      </c>
      <c r="P92" s="117" t="str">
        <f t="shared" si="444"/>
        <v>x</v>
      </c>
      <c r="Q92" s="117" t="str">
        <f t="shared" si="444"/>
        <v>x</v>
      </c>
      <c r="R92" s="117" t="str">
        <f t="shared" si="444"/>
        <v>x</v>
      </c>
      <c r="S92" s="117" t="str">
        <f t="shared" si="444"/>
        <v>x</v>
      </c>
      <c r="T92" s="117" t="str">
        <f t="shared" si="444"/>
        <v>x</v>
      </c>
      <c r="U92" s="117" t="str">
        <f t="shared" si="444"/>
        <v>x</v>
      </c>
      <c r="V92" s="117" t="str">
        <f t="shared" si="444"/>
        <v>x</v>
      </c>
      <c r="W92" s="117" t="str">
        <f t="shared" si="444"/>
        <v>x</v>
      </c>
      <c r="X92" s="117" t="str">
        <f t="shared" si="444"/>
        <v>x</v>
      </c>
      <c r="Y92" s="117" t="str">
        <f t="shared" si="444"/>
        <v>x</v>
      </c>
      <c r="Z92" s="117" t="str">
        <f t="shared" si="444"/>
        <v>x</v>
      </c>
    </row>
    <row r="93" spans="4:26" customFormat="1" x14ac:dyDescent="0.15">
      <c r="D93" s="117" t="str">
        <f t="shared" ref="D93:Z93" si="445">IF(BatSplit(D33,RunsScored)&gt;=50,BatSplit(D33,RunsScored)&amp;IF(BatSplit(D33,NotOuts)=1,"*","")&amp;"|"&amp;$C33&amp;"|"&amp;D$2&amp;"|"&amp;TEXT(D$1,"dd-mmm"),"x")</f>
        <v>x</v>
      </c>
      <c r="E93" s="117" t="str">
        <f t="shared" si="445"/>
        <v>x</v>
      </c>
      <c r="F93" s="117" t="str">
        <f t="shared" si="445"/>
        <v>x</v>
      </c>
      <c r="G93" s="117" t="str">
        <f t="shared" si="445"/>
        <v>x</v>
      </c>
      <c r="H93" s="117" t="str">
        <f t="shared" si="445"/>
        <v>x</v>
      </c>
      <c r="I93" s="117" t="str">
        <f t="shared" si="445"/>
        <v>x</v>
      </c>
      <c r="J93" s="117" t="str">
        <f t="shared" si="445"/>
        <v>x</v>
      </c>
      <c r="K93" s="117" t="str">
        <f t="shared" si="445"/>
        <v>x</v>
      </c>
      <c r="L93" s="117" t="str">
        <f t="shared" si="445"/>
        <v>x</v>
      </c>
      <c r="M93" s="117" t="str">
        <f t="shared" si="445"/>
        <v>x</v>
      </c>
      <c r="N93" s="117" t="str">
        <f t="shared" si="445"/>
        <v>x</v>
      </c>
      <c r="O93" s="117" t="str">
        <f t="shared" si="445"/>
        <v>x</v>
      </c>
      <c r="P93" s="117" t="str">
        <f t="shared" si="445"/>
        <v>x</v>
      </c>
      <c r="Q93" s="117" t="str">
        <f t="shared" si="445"/>
        <v>x</v>
      </c>
      <c r="R93" s="117" t="str">
        <f t="shared" si="445"/>
        <v>x</v>
      </c>
      <c r="S93" s="117" t="str">
        <f t="shared" si="445"/>
        <v>x</v>
      </c>
      <c r="T93" s="117" t="str">
        <f t="shared" si="445"/>
        <v>x</v>
      </c>
      <c r="U93" s="117" t="str">
        <f t="shared" si="445"/>
        <v>x</v>
      </c>
      <c r="V93" s="117" t="str">
        <f t="shared" si="445"/>
        <v>x</v>
      </c>
      <c r="W93" s="117" t="str">
        <f t="shared" si="445"/>
        <v>x</v>
      </c>
      <c r="X93" s="117" t="str">
        <f t="shared" si="445"/>
        <v>x</v>
      </c>
      <c r="Y93" s="117" t="str">
        <f t="shared" si="445"/>
        <v>x</v>
      </c>
      <c r="Z93" s="117" t="str">
        <f t="shared" si="445"/>
        <v>x</v>
      </c>
    </row>
    <row r="94" spans="4:26" customFormat="1" x14ac:dyDescent="0.15">
      <c r="D94" s="117" t="str">
        <f t="shared" ref="D94:Z94" si="446">IF(BatSplit(D34,RunsScored)&gt;=50,BatSplit(D34,RunsScored)&amp;IF(BatSplit(D34,NotOuts)=1,"*","")&amp;"|"&amp;$C34&amp;"|"&amp;D$2&amp;"|"&amp;TEXT(D$1,"dd-mmm"),"x")</f>
        <v>x</v>
      </c>
      <c r="E94" s="117" t="str">
        <f t="shared" si="446"/>
        <v>x</v>
      </c>
      <c r="F94" s="117" t="str">
        <f t="shared" si="446"/>
        <v>x</v>
      </c>
      <c r="G94" s="117" t="str">
        <f t="shared" si="446"/>
        <v>x</v>
      </c>
      <c r="H94" s="117" t="str">
        <f t="shared" si="446"/>
        <v>x</v>
      </c>
      <c r="I94" s="117" t="str">
        <f t="shared" si="446"/>
        <v>x</v>
      </c>
      <c r="J94" s="117" t="str">
        <f t="shared" si="446"/>
        <v>x</v>
      </c>
      <c r="K94" s="117" t="str">
        <f t="shared" si="446"/>
        <v>x</v>
      </c>
      <c r="L94" s="117" t="str">
        <f t="shared" si="446"/>
        <v>x</v>
      </c>
      <c r="M94" s="117" t="str">
        <f t="shared" si="446"/>
        <v>x</v>
      </c>
      <c r="N94" s="117" t="str">
        <f t="shared" si="446"/>
        <v>x</v>
      </c>
      <c r="O94" s="117" t="str">
        <f t="shared" si="446"/>
        <v>x</v>
      </c>
      <c r="P94" s="117" t="str">
        <f t="shared" si="446"/>
        <v>x</v>
      </c>
      <c r="Q94" s="117" t="str">
        <f t="shared" si="446"/>
        <v>x</v>
      </c>
      <c r="R94" s="117" t="str">
        <f t="shared" si="446"/>
        <v>x</v>
      </c>
      <c r="S94" s="117" t="str">
        <f t="shared" si="446"/>
        <v>x</v>
      </c>
      <c r="T94" s="117" t="str">
        <f t="shared" si="446"/>
        <v>x</v>
      </c>
      <c r="U94" s="117" t="str">
        <f t="shared" si="446"/>
        <v>x</v>
      </c>
      <c r="V94" s="117" t="str">
        <f t="shared" si="446"/>
        <v>50*|Seymour C|Norwood Exiles|23-Aug</v>
      </c>
      <c r="W94" s="117" t="str">
        <f t="shared" si="446"/>
        <v>x</v>
      </c>
      <c r="X94" s="117" t="str">
        <f t="shared" si="446"/>
        <v>x</v>
      </c>
      <c r="Y94" s="117" t="str">
        <f t="shared" si="446"/>
        <v>x</v>
      </c>
      <c r="Z94" s="117" t="str">
        <f t="shared" si="446"/>
        <v>x</v>
      </c>
    </row>
    <row r="95" spans="4:26" customFormat="1" x14ac:dyDescent="0.15">
      <c r="D95" s="117" t="str">
        <f t="shared" ref="D95:Z95" si="447">IF(BatSplit(D35,RunsScored)&gt;=50,BatSplit(D35,RunsScored)&amp;IF(BatSplit(D35,NotOuts)=1,"*","")&amp;"|"&amp;$C35&amp;"|"&amp;D$2&amp;"|"&amp;TEXT(D$1,"dd-mmm"),"x")</f>
        <v>x</v>
      </c>
      <c r="E95" s="117" t="str">
        <f t="shared" si="447"/>
        <v>x</v>
      </c>
      <c r="F95" s="117" t="str">
        <f t="shared" si="447"/>
        <v>x</v>
      </c>
      <c r="G95" s="117" t="str">
        <f t="shared" si="447"/>
        <v>x</v>
      </c>
      <c r="H95" s="117" t="str">
        <f t="shared" si="447"/>
        <v>x</v>
      </c>
      <c r="I95" s="117" t="str">
        <f t="shared" si="447"/>
        <v>x</v>
      </c>
      <c r="J95" s="117" t="str">
        <f t="shared" si="447"/>
        <v>x</v>
      </c>
      <c r="K95" s="117" t="str">
        <f t="shared" si="447"/>
        <v>x</v>
      </c>
      <c r="L95" s="117" t="str">
        <f t="shared" si="447"/>
        <v>x</v>
      </c>
      <c r="M95" s="117" t="str">
        <f t="shared" si="447"/>
        <v>x</v>
      </c>
      <c r="N95" s="117" t="str">
        <f t="shared" si="447"/>
        <v>x</v>
      </c>
      <c r="O95" s="117" t="str">
        <f t="shared" si="447"/>
        <v>x</v>
      </c>
      <c r="P95" s="117" t="str">
        <f t="shared" si="447"/>
        <v>x</v>
      </c>
      <c r="Q95" s="117" t="str">
        <f t="shared" si="447"/>
        <v>x</v>
      </c>
      <c r="R95" s="117" t="str">
        <f t="shared" si="447"/>
        <v>x</v>
      </c>
      <c r="S95" s="117" t="str">
        <f t="shared" si="447"/>
        <v>x</v>
      </c>
      <c r="T95" s="117" t="str">
        <f t="shared" si="447"/>
        <v>x</v>
      </c>
      <c r="U95" s="117" t="str">
        <f t="shared" si="447"/>
        <v>x</v>
      </c>
      <c r="V95" s="117" t="str">
        <f t="shared" si="447"/>
        <v>x</v>
      </c>
      <c r="W95" s="117" t="str">
        <f t="shared" si="447"/>
        <v>x</v>
      </c>
      <c r="X95" s="117" t="str">
        <f t="shared" si="447"/>
        <v>x</v>
      </c>
      <c r="Y95" s="117" t="str">
        <f t="shared" si="447"/>
        <v>x</v>
      </c>
      <c r="Z95" s="117" t="str">
        <f t="shared" si="447"/>
        <v>x</v>
      </c>
    </row>
    <row r="96" spans="4:26" customFormat="1" x14ac:dyDescent="0.15">
      <c r="D96" s="117" t="str">
        <f t="shared" ref="D96:Z96" si="448">IF(BatSplit(D36,RunsScored)&gt;=50,BatSplit(D36,RunsScored)&amp;IF(BatSplit(D36,NotOuts)=1,"*","")&amp;"|"&amp;$C36&amp;"|"&amp;D$2&amp;"|"&amp;TEXT(D$1,"dd-mmm"),"x")</f>
        <v>x</v>
      </c>
      <c r="E96" s="117" t="str">
        <f t="shared" si="448"/>
        <v>x</v>
      </c>
      <c r="F96" s="117" t="str">
        <f t="shared" si="448"/>
        <v>x</v>
      </c>
      <c r="G96" s="117" t="str">
        <f t="shared" si="448"/>
        <v>x</v>
      </c>
      <c r="H96" s="117" t="str">
        <f t="shared" si="448"/>
        <v>x</v>
      </c>
      <c r="I96" s="117" t="str">
        <f t="shared" si="448"/>
        <v>x</v>
      </c>
      <c r="J96" s="117" t="str">
        <f t="shared" si="448"/>
        <v>x</v>
      </c>
      <c r="K96" s="117" t="str">
        <f t="shared" si="448"/>
        <v>109*|Sharpe D|Norwood Exiles|31-May</v>
      </c>
      <c r="L96" s="117" t="str">
        <f t="shared" si="448"/>
        <v>x</v>
      </c>
      <c r="M96" s="117" t="str">
        <f t="shared" si="448"/>
        <v>65|Sharpe D|Norwood|14-Jun</v>
      </c>
      <c r="N96" s="117" t="str">
        <f t="shared" si="448"/>
        <v>x</v>
      </c>
      <c r="O96" s="117" t="str">
        <f t="shared" si="448"/>
        <v>x</v>
      </c>
      <c r="P96" s="117" t="str">
        <f t="shared" si="448"/>
        <v>x</v>
      </c>
      <c r="Q96" s="117" t="str">
        <f t="shared" si="448"/>
        <v>x</v>
      </c>
      <c r="R96" s="117" t="str">
        <f t="shared" si="448"/>
        <v>93|Sharpe D|LESSA|19-Jul</v>
      </c>
      <c r="S96" s="117" t="str">
        <f t="shared" si="448"/>
        <v>73|Sharpe D|Giltec|02-Aug</v>
      </c>
      <c r="T96" s="117" t="str">
        <f t="shared" si="448"/>
        <v>x</v>
      </c>
      <c r="U96" s="117" t="str">
        <f t="shared" si="448"/>
        <v>x</v>
      </c>
      <c r="V96" s="117" t="str">
        <f t="shared" si="448"/>
        <v>x</v>
      </c>
      <c r="W96" s="117" t="str">
        <f t="shared" si="448"/>
        <v>x</v>
      </c>
      <c r="X96" s="117" t="str">
        <f t="shared" si="448"/>
        <v>x</v>
      </c>
      <c r="Y96" s="117" t="str">
        <f t="shared" si="448"/>
        <v>x</v>
      </c>
      <c r="Z96" s="117" t="str">
        <f t="shared" si="448"/>
        <v>x</v>
      </c>
    </row>
    <row r="97" spans="4:26" customFormat="1" x14ac:dyDescent="0.15">
      <c r="D97" s="117" t="str">
        <f t="shared" ref="D97:Z97" si="449">IF(BatSplit(D37,RunsScored)&gt;=50,BatSplit(D37,RunsScored)&amp;IF(BatSplit(D37,NotOuts)=1,"*","")&amp;"|"&amp;$C37&amp;"|"&amp;D$2&amp;"|"&amp;TEXT(D$1,"dd-mmm"),"x")</f>
        <v>x</v>
      </c>
      <c r="E97" s="117" t="str">
        <f t="shared" si="449"/>
        <v>x</v>
      </c>
      <c r="F97" s="117" t="str">
        <f t="shared" si="449"/>
        <v>x</v>
      </c>
      <c r="G97" s="117" t="str">
        <f t="shared" si="449"/>
        <v>x</v>
      </c>
      <c r="H97" s="117" t="str">
        <f t="shared" si="449"/>
        <v>x</v>
      </c>
      <c r="I97" s="117" t="str">
        <f t="shared" si="449"/>
        <v>x</v>
      </c>
      <c r="J97" s="117" t="str">
        <f t="shared" si="449"/>
        <v>x</v>
      </c>
      <c r="K97" s="117" t="str">
        <f t="shared" si="449"/>
        <v>x</v>
      </c>
      <c r="L97" s="117" t="str">
        <f t="shared" si="449"/>
        <v>x</v>
      </c>
      <c r="M97" s="117" t="str">
        <f t="shared" si="449"/>
        <v>x</v>
      </c>
      <c r="N97" s="117" t="str">
        <f t="shared" si="449"/>
        <v>x</v>
      </c>
      <c r="O97" s="117" t="str">
        <f t="shared" si="449"/>
        <v>x</v>
      </c>
      <c r="P97" s="117" t="str">
        <f t="shared" si="449"/>
        <v>x</v>
      </c>
      <c r="Q97" s="117" t="str">
        <f t="shared" si="449"/>
        <v>x</v>
      </c>
      <c r="R97" s="117" t="str">
        <f t="shared" si="449"/>
        <v>x</v>
      </c>
      <c r="S97" s="117" t="str">
        <f t="shared" si="449"/>
        <v>x</v>
      </c>
      <c r="T97" s="117" t="str">
        <f t="shared" si="449"/>
        <v>x</v>
      </c>
      <c r="U97" s="117" t="str">
        <f t="shared" si="449"/>
        <v>x</v>
      </c>
      <c r="V97" s="117" t="str">
        <f t="shared" si="449"/>
        <v>x</v>
      </c>
      <c r="W97" s="117" t="str">
        <f t="shared" si="449"/>
        <v>x</v>
      </c>
      <c r="X97" s="117" t="str">
        <f t="shared" si="449"/>
        <v>x</v>
      </c>
      <c r="Y97" s="117" t="str">
        <f t="shared" si="449"/>
        <v>x</v>
      </c>
      <c r="Z97" s="117" t="str">
        <f t="shared" si="449"/>
        <v>x</v>
      </c>
    </row>
    <row r="98" spans="4:26" customFormat="1" x14ac:dyDescent="0.15">
      <c r="D98" s="117" t="str">
        <f t="shared" ref="D98:Z98" si="450">IF(BatSplit(D38,RunsScored)&gt;=50,BatSplit(D38,RunsScored)&amp;IF(BatSplit(D38,NotOuts)=1,"*","")&amp;"|"&amp;$C38&amp;"|"&amp;D$2&amp;"|"&amp;TEXT(D$1,"dd-mmm"),"x")</f>
        <v>x</v>
      </c>
      <c r="E98" s="117" t="str">
        <f t="shared" si="450"/>
        <v>x</v>
      </c>
      <c r="F98" s="117" t="str">
        <f t="shared" si="450"/>
        <v>x</v>
      </c>
      <c r="G98" s="117" t="str">
        <f t="shared" si="450"/>
        <v>x</v>
      </c>
      <c r="H98" s="117" t="str">
        <f t="shared" si="450"/>
        <v>x</v>
      </c>
      <c r="I98" s="117" t="str">
        <f t="shared" si="450"/>
        <v>x</v>
      </c>
      <c r="J98" s="117" t="str">
        <f t="shared" si="450"/>
        <v>x</v>
      </c>
      <c r="K98" s="117" t="str">
        <f t="shared" si="450"/>
        <v>x</v>
      </c>
      <c r="L98" s="117" t="str">
        <f t="shared" si="450"/>
        <v>x</v>
      </c>
      <c r="M98" s="117" t="str">
        <f t="shared" si="450"/>
        <v>x</v>
      </c>
      <c r="N98" s="117" t="str">
        <f t="shared" si="450"/>
        <v>x</v>
      </c>
      <c r="O98" s="117" t="str">
        <f t="shared" si="450"/>
        <v>x</v>
      </c>
      <c r="P98" s="117" t="str">
        <f t="shared" si="450"/>
        <v>x</v>
      </c>
      <c r="Q98" s="117" t="str">
        <f t="shared" si="450"/>
        <v>x</v>
      </c>
      <c r="R98" s="117" t="str">
        <f t="shared" si="450"/>
        <v>x</v>
      </c>
      <c r="S98" s="117" t="str">
        <f t="shared" si="450"/>
        <v>x</v>
      </c>
      <c r="T98" s="117" t="str">
        <f t="shared" si="450"/>
        <v>x</v>
      </c>
      <c r="U98" s="117" t="str">
        <f t="shared" si="450"/>
        <v>x</v>
      </c>
      <c r="V98" s="117" t="str">
        <f t="shared" si="450"/>
        <v>x</v>
      </c>
      <c r="W98" s="117" t="str">
        <f t="shared" si="450"/>
        <v>x</v>
      </c>
      <c r="X98" s="117" t="str">
        <f t="shared" si="450"/>
        <v>x</v>
      </c>
      <c r="Y98" s="117" t="str">
        <f t="shared" si="450"/>
        <v>x</v>
      </c>
      <c r="Z98" s="117" t="str">
        <f t="shared" si="450"/>
        <v>x</v>
      </c>
    </row>
    <row r="99" spans="4:26" customFormat="1" x14ac:dyDescent="0.15">
      <c r="D99" s="117" t="str">
        <f t="shared" ref="D99:Z99" si="451">IF(BatSplit(D39,RunsScored)&gt;=50,BatSplit(D39,RunsScored)&amp;IF(BatSplit(D39,NotOuts)=1,"*","")&amp;"|"&amp;$C39&amp;"|"&amp;D$2&amp;"|"&amp;TEXT(D$1,"dd-mmm"),"x")</f>
        <v>x</v>
      </c>
      <c r="E99" s="117" t="str">
        <f t="shared" si="451"/>
        <v>x</v>
      </c>
      <c r="F99" s="117" t="str">
        <f t="shared" si="451"/>
        <v>x</v>
      </c>
      <c r="G99" s="117" t="str">
        <f t="shared" si="451"/>
        <v>x</v>
      </c>
      <c r="H99" s="117" t="str">
        <f t="shared" si="451"/>
        <v>x</v>
      </c>
      <c r="I99" s="117" t="str">
        <f t="shared" si="451"/>
        <v>x</v>
      </c>
      <c r="J99" s="117" t="str">
        <f t="shared" si="451"/>
        <v>x</v>
      </c>
      <c r="K99" s="117" t="str">
        <f t="shared" si="451"/>
        <v>x</v>
      </c>
      <c r="L99" s="117" t="str">
        <f t="shared" si="451"/>
        <v>x</v>
      </c>
      <c r="M99" s="117" t="str">
        <f t="shared" si="451"/>
        <v>x</v>
      </c>
      <c r="N99" s="117" t="str">
        <f t="shared" si="451"/>
        <v>x</v>
      </c>
      <c r="O99" s="117" t="str">
        <f t="shared" si="451"/>
        <v>x</v>
      </c>
      <c r="P99" s="117" t="str">
        <f t="shared" si="451"/>
        <v>x</v>
      </c>
      <c r="Q99" s="117" t="str">
        <f t="shared" si="451"/>
        <v>x</v>
      </c>
      <c r="R99" s="117" t="str">
        <f t="shared" si="451"/>
        <v>x</v>
      </c>
      <c r="S99" s="117" t="str">
        <f t="shared" si="451"/>
        <v>x</v>
      </c>
      <c r="T99" s="117" t="str">
        <f t="shared" si="451"/>
        <v>x</v>
      </c>
      <c r="U99" s="117" t="str">
        <f t="shared" si="451"/>
        <v>x</v>
      </c>
      <c r="V99" s="117" t="str">
        <f t="shared" si="451"/>
        <v>x</v>
      </c>
      <c r="W99" s="117" t="str">
        <f t="shared" si="451"/>
        <v>x</v>
      </c>
      <c r="X99" s="117" t="str">
        <f t="shared" si="451"/>
        <v>x</v>
      </c>
      <c r="Y99" s="117" t="str">
        <f t="shared" si="451"/>
        <v>x</v>
      </c>
      <c r="Z99" s="117" t="str">
        <f t="shared" si="451"/>
        <v>x</v>
      </c>
    </row>
    <row r="100" spans="4:26" customFormat="1" x14ac:dyDescent="0.15">
      <c r="D100" s="117" t="str">
        <f t="shared" ref="D100:Z100" si="452">IF(BatSplit(D40,RunsScored)&gt;=50,BatSplit(D40,RunsScored)&amp;IF(BatSplit(D40,NotOuts)=1,"*","")&amp;"|"&amp;$C40&amp;"|"&amp;D$2&amp;"|"&amp;TEXT(D$1,"dd-mmm"),"x")</f>
        <v>x</v>
      </c>
      <c r="E100" s="117" t="str">
        <f t="shared" si="452"/>
        <v>x</v>
      </c>
      <c r="F100" s="117" t="str">
        <f t="shared" si="452"/>
        <v>x</v>
      </c>
      <c r="G100" s="117" t="str">
        <f t="shared" si="452"/>
        <v>x</v>
      </c>
      <c r="H100" s="117" t="str">
        <f t="shared" si="452"/>
        <v>x</v>
      </c>
      <c r="I100" s="117" t="str">
        <f t="shared" si="452"/>
        <v>x</v>
      </c>
      <c r="J100" s="117" t="str">
        <f t="shared" si="452"/>
        <v>x</v>
      </c>
      <c r="K100" s="117" t="str">
        <f t="shared" si="452"/>
        <v>x</v>
      </c>
      <c r="L100" s="117" t="str">
        <f t="shared" si="452"/>
        <v>x</v>
      </c>
      <c r="M100" s="117" t="str">
        <f t="shared" si="452"/>
        <v>x</v>
      </c>
      <c r="N100" s="117" t="str">
        <f t="shared" si="452"/>
        <v>x</v>
      </c>
      <c r="O100" s="117" t="str">
        <f t="shared" si="452"/>
        <v>x</v>
      </c>
      <c r="P100" s="117" t="str">
        <f t="shared" si="452"/>
        <v>x</v>
      </c>
      <c r="Q100" s="117" t="str">
        <f t="shared" si="452"/>
        <v>x</v>
      </c>
      <c r="R100" s="117" t="str">
        <f t="shared" si="452"/>
        <v>x</v>
      </c>
      <c r="S100" s="117" t="str">
        <f t="shared" si="452"/>
        <v>x</v>
      </c>
      <c r="T100" s="117" t="str">
        <f t="shared" si="452"/>
        <v>x</v>
      </c>
      <c r="U100" s="117" t="str">
        <f t="shared" si="452"/>
        <v>x</v>
      </c>
      <c r="V100" s="117" t="str">
        <f t="shared" si="452"/>
        <v>x</v>
      </c>
      <c r="W100" s="117" t="str">
        <f t="shared" si="452"/>
        <v>x</v>
      </c>
      <c r="X100" s="117" t="str">
        <f t="shared" si="452"/>
        <v>x</v>
      </c>
      <c r="Y100" s="117" t="str">
        <f t="shared" si="452"/>
        <v>x</v>
      </c>
      <c r="Z100" s="117" t="str">
        <f t="shared" si="452"/>
        <v>x</v>
      </c>
    </row>
    <row r="101" spans="4:26" customFormat="1" x14ac:dyDescent="0.15">
      <c r="D101" s="117" t="str">
        <f t="shared" ref="D101:Z101" si="453">IF(BatSplit(D41,RunsScored)&gt;=50,BatSplit(D41,RunsScored)&amp;IF(BatSplit(D41,NotOuts)=1,"*","")&amp;"|"&amp;$C41&amp;"|"&amp;D$2&amp;"|"&amp;TEXT(D$1,"dd-mmm"),"x")</f>
        <v>73|Springer T|Deando Ruxley|26-Apr</v>
      </c>
      <c r="E101" s="117" t="str">
        <f t="shared" si="453"/>
        <v>x</v>
      </c>
      <c r="F101" s="117" t="str">
        <f t="shared" si="453"/>
        <v>x</v>
      </c>
      <c r="G101" s="117" t="str">
        <f t="shared" si="453"/>
        <v>93|Springer T|Churchleigh|17-May</v>
      </c>
      <c r="H101" s="117" t="str">
        <f t="shared" si="453"/>
        <v>80|Springer T|Fonthill Park|23-May</v>
      </c>
      <c r="I101" s="117" t="str">
        <f t="shared" si="453"/>
        <v>x</v>
      </c>
      <c r="J101" s="117" t="str">
        <f t="shared" si="453"/>
        <v>x</v>
      </c>
      <c r="K101" s="117" t="str">
        <f t="shared" si="453"/>
        <v>x</v>
      </c>
      <c r="L101" s="117" t="str">
        <f t="shared" si="453"/>
        <v>x</v>
      </c>
      <c r="M101" s="117" t="str">
        <f t="shared" si="453"/>
        <v>x</v>
      </c>
      <c r="N101" s="117" t="str">
        <f t="shared" si="453"/>
        <v>x</v>
      </c>
      <c r="O101" s="117" t="str">
        <f t="shared" si="453"/>
        <v>80|Springer T|RACS|28-Jun</v>
      </c>
      <c r="P101" s="117" t="str">
        <f t="shared" si="453"/>
        <v>x</v>
      </c>
      <c r="Q101" s="117" t="str">
        <f t="shared" si="453"/>
        <v>52|Springer T|Headstone|12-Jul</v>
      </c>
      <c r="R101" s="117" t="str">
        <f t="shared" si="453"/>
        <v>x</v>
      </c>
      <c r="S101" s="117" t="str">
        <f t="shared" si="453"/>
        <v>x</v>
      </c>
      <c r="T101" s="117" t="str">
        <f t="shared" si="453"/>
        <v>x</v>
      </c>
      <c r="U101" s="117" t="str">
        <f t="shared" si="453"/>
        <v>x</v>
      </c>
      <c r="V101" s="117" t="str">
        <f t="shared" si="453"/>
        <v>x</v>
      </c>
      <c r="W101" s="117" t="str">
        <f t="shared" si="453"/>
        <v>x</v>
      </c>
      <c r="X101" s="117" t="str">
        <f t="shared" si="453"/>
        <v>x</v>
      </c>
      <c r="Y101" s="117" t="str">
        <f t="shared" si="453"/>
        <v>x</v>
      </c>
      <c r="Z101" s="117" t="str">
        <f t="shared" si="453"/>
        <v>x</v>
      </c>
    </row>
    <row r="102" spans="4:26" customFormat="1" x14ac:dyDescent="0.15">
      <c r="D102" s="117" t="str">
        <f t="shared" ref="D102:Z102" si="454">IF(BatSplit(D42,RunsScored)&gt;=50,BatSplit(D42,RunsScored)&amp;IF(BatSplit(D42,NotOuts)=1,"*","")&amp;"|"&amp;$C42&amp;"|"&amp;D$2&amp;"|"&amp;TEXT(D$1,"dd-mmm"),"x")</f>
        <v>x</v>
      </c>
      <c r="E102" s="117" t="str">
        <f t="shared" si="454"/>
        <v>x</v>
      </c>
      <c r="F102" s="117" t="str">
        <f t="shared" si="454"/>
        <v>x</v>
      </c>
      <c r="G102" s="117" t="str">
        <f t="shared" si="454"/>
        <v>x</v>
      </c>
      <c r="H102" s="117" t="str">
        <f t="shared" si="454"/>
        <v>x</v>
      </c>
      <c r="I102" s="117" t="str">
        <f t="shared" si="454"/>
        <v>x</v>
      </c>
      <c r="J102" s="117" t="str">
        <f t="shared" si="454"/>
        <v>x</v>
      </c>
      <c r="K102" s="117" t="str">
        <f t="shared" si="454"/>
        <v>x</v>
      </c>
      <c r="L102" s="117" t="str">
        <f t="shared" si="454"/>
        <v>x</v>
      </c>
      <c r="M102" s="117" t="str">
        <f t="shared" si="454"/>
        <v>x</v>
      </c>
      <c r="N102" s="117" t="str">
        <f t="shared" si="454"/>
        <v>x</v>
      </c>
      <c r="O102" s="117" t="str">
        <f t="shared" si="454"/>
        <v>x</v>
      </c>
      <c r="P102" s="117" t="str">
        <f t="shared" si="454"/>
        <v>x</v>
      </c>
      <c r="Q102" s="117" t="str">
        <f t="shared" si="454"/>
        <v>x</v>
      </c>
      <c r="R102" s="117" t="str">
        <f t="shared" si="454"/>
        <v>x</v>
      </c>
      <c r="S102" s="117" t="str">
        <f t="shared" si="454"/>
        <v>x</v>
      </c>
      <c r="T102" s="117" t="str">
        <f t="shared" si="454"/>
        <v>x</v>
      </c>
      <c r="U102" s="117" t="str">
        <f t="shared" si="454"/>
        <v>x</v>
      </c>
      <c r="V102" s="117" t="str">
        <f t="shared" si="454"/>
        <v>x</v>
      </c>
      <c r="W102" s="117" t="str">
        <f t="shared" si="454"/>
        <v>x</v>
      </c>
      <c r="X102" s="117" t="str">
        <f t="shared" si="454"/>
        <v>x</v>
      </c>
      <c r="Y102" s="117" t="str">
        <f t="shared" si="454"/>
        <v>x</v>
      </c>
      <c r="Z102" s="117" t="str">
        <f t="shared" si="454"/>
        <v>x</v>
      </c>
    </row>
    <row r="103" spans="4:26" customFormat="1" x14ac:dyDescent="0.15">
      <c r="D103" s="117" t="str">
        <f t="shared" ref="D103:Z103" si="455">IF(BatSplit(D43,RunsScored)&gt;=50,BatSplit(D43,RunsScored)&amp;IF(BatSplit(D43,NotOuts)=1,"*","")&amp;"|"&amp;$C43&amp;"|"&amp;D$2&amp;"|"&amp;TEXT(D$1,"dd-mmm"),"x")</f>
        <v>x</v>
      </c>
      <c r="E103" s="117" t="str">
        <f t="shared" si="455"/>
        <v>x</v>
      </c>
      <c r="F103" s="117" t="str">
        <f t="shared" si="455"/>
        <v>x</v>
      </c>
      <c r="G103" s="117" t="str">
        <f t="shared" si="455"/>
        <v>x</v>
      </c>
      <c r="H103" s="117" t="str">
        <f t="shared" si="455"/>
        <v>x</v>
      </c>
      <c r="I103" s="117" t="str">
        <f t="shared" si="455"/>
        <v>x</v>
      </c>
      <c r="J103" s="117" t="str">
        <f t="shared" si="455"/>
        <v>x</v>
      </c>
      <c r="K103" s="117" t="str">
        <f t="shared" si="455"/>
        <v>x</v>
      </c>
      <c r="L103" s="117" t="str">
        <f t="shared" si="455"/>
        <v>x</v>
      </c>
      <c r="M103" s="117" t="str">
        <f t="shared" si="455"/>
        <v>x</v>
      </c>
      <c r="N103" s="117" t="str">
        <f t="shared" si="455"/>
        <v>x</v>
      </c>
      <c r="O103" s="117" t="str">
        <f t="shared" si="455"/>
        <v>x</v>
      </c>
      <c r="P103" s="117" t="str">
        <f t="shared" si="455"/>
        <v>x</v>
      </c>
      <c r="Q103" s="117" t="str">
        <f t="shared" si="455"/>
        <v>x</v>
      </c>
      <c r="R103" s="117" t="str">
        <f t="shared" si="455"/>
        <v>x</v>
      </c>
      <c r="S103" s="117" t="str">
        <f t="shared" si="455"/>
        <v>x</v>
      </c>
      <c r="T103" s="117" t="str">
        <f t="shared" si="455"/>
        <v>x</v>
      </c>
      <c r="U103" s="117" t="str">
        <f t="shared" si="455"/>
        <v>x</v>
      </c>
      <c r="V103" s="117" t="str">
        <f t="shared" si="455"/>
        <v>x</v>
      </c>
      <c r="W103" s="117" t="str">
        <f t="shared" si="455"/>
        <v>x</v>
      </c>
      <c r="X103" s="117" t="str">
        <f t="shared" si="455"/>
        <v>x</v>
      </c>
      <c r="Y103" s="117" t="str">
        <f t="shared" si="455"/>
        <v>x</v>
      </c>
      <c r="Z103" s="117" t="str">
        <f t="shared" si="455"/>
        <v>x</v>
      </c>
    </row>
    <row r="104" spans="4:26" customFormat="1" x14ac:dyDescent="0.15">
      <c r="D104" s="117" t="str">
        <f t="shared" ref="D104:Z104" si="456">IF(BatSplit(D44,RunsScored)&gt;=50,BatSplit(D44,RunsScored)&amp;IF(BatSplit(D44,NotOuts)=1,"*","")&amp;"|"&amp;$C44&amp;"|"&amp;D$2&amp;"|"&amp;TEXT(D$1,"dd-mmm"),"x")</f>
        <v>x</v>
      </c>
      <c r="E104" s="117" t="str">
        <f t="shared" si="456"/>
        <v>x</v>
      </c>
      <c r="F104" s="117" t="str">
        <f t="shared" si="456"/>
        <v>x</v>
      </c>
      <c r="G104" s="117" t="str">
        <f t="shared" si="456"/>
        <v>x</v>
      </c>
      <c r="H104" s="117" t="str">
        <f t="shared" si="456"/>
        <v>x</v>
      </c>
      <c r="I104" s="117" t="str">
        <f t="shared" si="456"/>
        <v>x</v>
      </c>
      <c r="J104" s="117" t="str">
        <f t="shared" si="456"/>
        <v>x</v>
      </c>
      <c r="K104" s="117" t="str">
        <f t="shared" si="456"/>
        <v>x</v>
      </c>
      <c r="L104" s="117" t="str">
        <f t="shared" si="456"/>
        <v>x</v>
      </c>
      <c r="M104" s="117" t="str">
        <f t="shared" si="456"/>
        <v>51|Tapadar S|Norwood|14-Jun</v>
      </c>
      <c r="N104" s="117" t="str">
        <f t="shared" si="456"/>
        <v>x</v>
      </c>
      <c r="O104" s="117" t="str">
        <f t="shared" si="456"/>
        <v>x</v>
      </c>
      <c r="P104" s="117" t="str">
        <f t="shared" si="456"/>
        <v>x</v>
      </c>
      <c r="Q104" s="117" t="str">
        <f t="shared" si="456"/>
        <v>x</v>
      </c>
      <c r="R104" s="117" t="str">
        <f t="shared" si="456"/>
        <v>x</v>
      </c>
      <c r="S104" s="117" t="str">
        <f t="shared" si="456"/>
        <v>x</v>
      </c>
      <c r="T104" s="117" t="str">
        <f t="shared" si="456"/>
        <v>x</v>
      </c>
      <c r="U104" s="117" t="str">
        <f t="shared" si="456"/>
        <v>x</v>
      </c>
      <c r="V104" s="117" t="str">
        <f t="shared" si="456"/>
        <v>x</v>
      </c>
      <c r="W104" s="117" t="str">
        <f t="shared" si="456"/>
        <v>x</v>
      </c>
      <c r="X104" s="117" t="str">
        <f t="shared" si="456"/>
        <v>x</v>
      </c>
      <c r="Y104" s="117" t="str">
        <f t="shared" si="456"/>
        <v>x</v>
      </c>
      <c r="Z104" s="117" t="str">
        <f t="shared" si="456"/>
        <v>x</v>
      </c>
    </row>
    <row r="105" spans="4:26" customFormat="1" x14ac:dyDescent="0.15">
      <c r="D105" s="117" t="str">
        <f t="shared" ref="D105:Z105" si="457">IF(BatSplit(D45,RunsScored)&gt;=50,BatSplit(D45,RunsScored)&amp;IF(BatSplit(D45,NotOuts)=1,"*","")&amp;"|"&amp;$C45&amp;"|"&amp;D$2&amp;"|"&amp;TEXT(D$1,"dd-mmm"),"x")</f>
        <v>x</v>
      </c>
      <c r="E105" s="117" t="str">
        <f t="shared" si="457"/>
        <v>x</v>
      </c>
      <c r="F105" s="117" t="str">
        <f t="shared" si="457"/>
        <v>x</v>
      </c>
      <c r="G105" s="117" t="str">
        <f t="shared" si="457"/>
        <v>x</v>
      </c>
      <c r="H105" s="117" t="str">
        <f t="shared" si="457"/>
        <v>x</v>
      </c>
      <c r="I105" s="117" t="str">
        <f t="shared" si="457"/>
        <v>x</v>
      </c>
      <c r="J105" s="117" t="str">
        <f t="shared" si="457"/>
        <v>x</v>
      </c>
      <c r="K105" s="117" t="str">
        <f t="shared" si="457"/>
        <v>x</v>
      </c>
      <c r="L105" s="117" t="str">
        <f t="shared" si="457"/>
        <v>x</v>
      </c>
      <c r="M105" s="117" t="str">
        <f t="shared" si="457"/>
        <v>x</v>
      </c>
      <c r="N105" s="117" t="str">
        <f t="shared" si="457"/>
        <v>x</v>
      </c>
      <c r="O105" s="117" t="str">
        <f t="shared" si="457"/>
        <v>x</v>
      </c>
      <c r="P105" s="117" t="str">
        <f t="shared" si="457"/>
        <v>x</v>
      </c>
      <c r="Q105" s="117" t="str">
        <f t="shared" si="457"/>
        <v>x</v>
      </c>
      <c r="R105" s="117" t="str">
        <f t="shared" si="457"/>
        <v>x</v>
      </c>
      <c r="S105" s="117" t="str">
        <f t="shared" si="457"/>
        <v>x</v>
      </c>
      <c r="T105" s="117" t="str">
        <f t="shared" si="457"/>
        <v>x</v>
      </c>
      <c r="U105" s="117" t="str">
        <f t="shared" si="457"/>
        <v>x</v>
      </c>
      <c r="V105" s="117" t="str">
        <f t="shared" si="457"/>
        <v>56|Viveganandan R|Norwood Exiles|23-Aug</v>
      </c>
      <c r="W105" s="117" t="str">
        <f t="shared" si="457"/>
        <v>x</v>
      </c>
      <c r="X105" s="117" t="str">
        <f t="shared" si="457"/>
        <v>66|Viveganandan R|Mid-Whitgiftian|06-Sep</v>
      </c>
      <c r="Y105" s="117" t="str">
        <f t="shared" si="457"/>
        <v>x</v>
      </c>
      <c r="Z105" s="117" t="str">
        <f t="shared" si="457"/>
        <v>x</v>
      </c>
    </row>
    <row r="106" spans="4:26" customFormat="1" x14ac:dyDescent="0.15">
      <c r="D106" s="117" t="str">
        <f t="shared" ref="D106:Z106" si="458">IF(BatSplit(D46,RunsScored)&gt;=50,BatSplit(D46,RunsScored)&amp;IF(BatSplit(D46,NotOuts)=1,"*","")&amp;"|"&amp;$C46&amp;"|"&amp;D$2&amp;"|"&amp;TEXT(D$1,"dd-mmm"),"x")</f>
        <v>x</v>
      </c>
      <c r="E106" s="117" t="str">
        <f t="shared" si="458"/>
        <v>x</v>
      </c>
      <c r="F106" s="117" t="str">
        <f t="shared" si="458"/>
        <v>x</v>
      </c>
      <c r="G106" s="117" t="str">
        <f t="shared" si="458"/>
        <v>x</v>
      </c>
      <c r="H106" s="117" t="str">
        <f t="shared" si="458"/>
        <v>x</v>
      </c>
      <c r="I106" s="117" t="str">
        <f t="shared" si="458"/>
        <v>x</v>
      </c>
      <c r="J106" s="117" t="str">
        <f t="shared" si="458"/>
        <v>x</v>
      </c>
      <c r="K106" s="117" t="str">
        <f t="shared" si="458"/>
        <v>x</v>
      </c>
      <c r="L106" s="117" t="str">
        <f t="shared" si="458"/>
        <v>x</v>
      </c>
      <c r="M106" s="117" t="str">
        <f t="shared" si="458"/>
        <v>x</v>
      </c>
      <c r="N106" s="117" t="str">
        <f t="shared" si="458"/>
        <v>x</v>
      </c>
      <c r="O106" s="117" t="str">
        <f t="shared" si="458"/>
        <v>x</v>
      </c>
      <c r="P106" s="117" t="str">
        <f t="shared" si="458"/>
        <v>x</v>
      </c>
      <c r="Q106" s="117" t="str">
        <f t="shared" si="458"/>
        <v>x</v>
      </c>
      <c r="R106" s="117" t="str">
        <f t="shared" si="458"/>
        <v>x</v>
      </c>
      <c r="S106" s="117" t="str">
        <f t="shared" si="458"/>
        <v>x</v>
      </c>
      <c r="T106" s="117" t="str">
        <f t="shared" si="458"/>
        <v>x</v>
      </c>
      <c r="U106" s="117" t="str">
        <f t="shared" si="458"/>
        <v>x</v>
      </c>
      <c r="V106" s="117" t="str">
        <f t="shared" si="458"/>
        <v>x</v>
      </c>
      <c r="W106" s="117" t="str">
        <f t="shared" si="458"/>
        <v>x</v>
      </c>
      <c r="X106" s="117" t="str">
        <f t="shared" si="458"/>
        <v>x</v>
      </c>
      <c r="Y106" s="117" t="str">
        <f t="shared" si="458"/>
        <v>x</v>
      </c>
      <c r="Z106" s="117" t="str">
        <f t="shared" si="458"/>
        <v>x</v>
      </c>
    </row>
    <row r="107" spans="4:26" customFormat="1" x14ac:dyDescent="0.15">
      <c r="D107" s="117" t="str">
        <f t="shared" ref="D107:Z107" si="459">IF(BatSplit(D47,RunsScored)&gt;=50,BatSplit(D47,RunsScored)&amp;IF(BatSplit(D47,NotOuts)=1,"*","")&amp;"|"&amp;$C47&amp;"|"&amp;D$2&amp;"|"&amp;TEXT(D$1,"dd-mmm"),"x")</f>
        <v>x</v>
      </c>
      <c r="E107" s="117" t="str">
        <f t="shared" si="459"/>
        <v>x</v>
      </c>
      <c r="F107" s="117" t="str">
        <f t="shared" si="459"/>
        <v>x</v>
      </c>
      <c r="G107" s="117" t="str">
        <f t="shared" si="459"/>
        <v>x</v>
      </c>
      <c r="H107" s="117" t="str">
        <f t="shared" si="459"/>
        <v>x</v>
      </c>
      <c r="I107" s="117" t="str">
        <f t="shared" si="459"/>
        <v>x</v>
      </c>
      <c r="J107" s="117" t="str">
        <f t="shared" si="459"/>
        <v>x</v>
      </c>
      <c r="K107" s="117" t="str">
        <f t="shared" si="459"/>
        <v>x</v>
      </c>
      <c r="L107" s="117" t="str">
        <f t="shared" si="459"/>
        <v>x</v>
      </c>
      <c r="M107" s="117" t="str">
        <f t="shared" si="459"/>
        <v>x</v>
      </c>
      <c r="N107" s="117" t="str">
        <f t="shared" si="459"/>
        <v>x</v>
      </c>
      <c r="O107" s="117" t="str">
        <f t="shared" si="459"/>
        <v>x</v>
      </c>
      <c r="P107" s="117" t="str">
        <f t="shared" si="459"/>
        <v>x</v>
      </c>
      <c r="Q107" s="117" t="str">
        <f t="shared" si="459"/>
        <v>x</v>
      </c>
      <c r="R107" s="117" t="str">
        <f t="shared" si="459"/>
        <v>x</v>
      </c>
      <c r="S107" s="117" t="str">
        <f t="shared" si="459"/>
        <v>x</v>
      </c>
      <c r="T107" s="117" t="str">
        <f t="shared" si="459"/>
        <v>x</v>
      </c>
      <c r="U107" s="117" t="str">
        <f t="shared" si="459"/>
        <v>x</v>
      </c>
      <c r="V107" s="117" t="str">
        <f t="shared" si="459"/>
        <v>x</v>
      </c>
      <c r="W107" s="117" t="str">
        <f t="shared" si="459"/>
        <v>x</v>
      </c>
      <c r="X107" s="117" t="str">
        <f t="shared" si="459"/>
        <v>x</v>
      </c>
      <c r="Y107" s="117" t="str">
        <f t="shared" si="459"/>
        <v>x</v>
      </c>
      <c r="Z107" s="117" t="str">
        <f t="shared" si="459"/>
        <v>x</v>
      </c>
    </row>
    <row r="108" spans="4:26" customFormat="1" x14ac:dyDescent="0.15">
      <c r="D108" s="117" t="str">
        <f t="shared" ref="D108:Z108" si="460">IF(BatSplit(D48,RunsScored)&gt;=50,BatSplit(D48,RunsScored)&amp;IF(BatSplit(D48,NotOuts)=1,"*","")&amp;"|"&amp;$C48&amp;"|"&amp;D$2&amp;"|"&amp;TEXT(D$1,"dd-mmm"),"x")</f>
        <v>x</v>
      </c>
      <c r="E108" s="117" t="str">
        <f t="shared" si="460"/>
        <v>x</v>
      </c>
      <c r="F108" s="117" t="str">
        <f t="shared" si="460"/>
        <v>x</v>
      </c>
      <c r="G108" s="117" t="str">
        <f t="shared" si="460"/>
        <v>x</v>
      </c>
      <c r="H108" s="117" t="str">
        <f t="shared" si="460"/>
        <v>x</v>
      </c>
      <c r="I108" s="117" t="str">
        <f t="shared" si="460"/>
        <v>x</v>
      </c>
      <c r="J108" s="117" t="str">
        <f t="shared" si="460"/>
        <v>x</v>
      </c>
      <c r="K108" s="117" t="str">
        <f t="shared" si="460"/>
        <v>x</v>
      </c>
      <c r="L108" s="117" t="str">
        <f t="shared" si="460"/>
        <v>x</v>
      </c>
      <c r="M108" s="117" t="str">
        <f t="shared" si="460"/>
        <v>x</v>
      </c>
      <c r="N108" s="117" t="str">
        <f t="shared" si="460"/>
        <v>x</v>
      </c>
      <c r="O108" s="117" t="str">
        <f t="shared" si="460"/>
        <v>x</v>
      </c>
      <c r="P108" s="117" t="str">
        <f t="shared" si="460"/>
        <v>x</v>
      </c>
      <c r="Q108" s="117" t="str">
        <f t="shared" si="460"/>
        <v>x</v>
      </c>
      <c r="R108" s="117" t="str">
        <f t="shared" si="460"/>
        <v>x</v>
      </c>
      <c r="S108" s="117" t="str">
        <f t="shared" si="460"/>
        <v>x</v>
      </c>
      <c r="T108" s="117" t="str">
        <f t="shared" si="460"/>
        <v>x</v>
      </c>
      <c r="U108" s="117" t="str">
        <f t="shared" si="460"/>
        <v>x</v>
      </c>
      <c r="V108" s="117" t="str">
        <f t="shared" si="460"/>
        <v>x</v>
      </c>
      <c r="W108" s="117" t="str">
        <f t="shared" si="460"/>
        <v>x</v>
      </c>
      <c r="X108" s="117" t="str">
        <f t="shared" si="460"/>
        <v>x</v>
      </c>
      <c r="Y108" s="117" t="str">
        <f t="shared" si="460"/>
        <v>x</v>
      </c>
      <c r="Z108" s="117" t="str">
        <f t="shared" si="460"/>
        <v>x</v>
      </c>
    </row>
    <row r="109" spans="4:26" customFormat="1" x14ac:dyDescent="0.15">
      <c r="D109" s="117" t="str">
        <f t="shared" ref="D109:Z109" si="461">IF(BatSplit(D49,RunsScored)&gt;=50,BatSplit(D49,RunsScored)&amp;IF(BatSplit(D49,NotOuts)=1,"*","")&amp;"|"&amp;$C49&amp;"|"&amp;D$2&amp;"|"&amp;TEXT(D$1,"dd-mmm"),"x")</f>
        <v>x</v>
      </c>
      <c r="E109" s="117" t="str">
        <f t="shared" si="461"/>
        <v>x</v>
      </c>
      <c r="F109" s="117" t="str">
        <f t="shared" si="461"/>
        <v>x</v>
      </c>
      <c r="G109" s="117" t="str">
        <f t="shared" si="461"/>
        <v>x</v>
      </c>
      <c r="H109" s="117" t="str">
        <f t="shared" si="461"/>
        <v>x</v>
      </c>
      <c r="I109" s="117" t="str">
        <f t="shared" si="461"/>
        <v>x</v>
      </c>
      <c r="J109" s="117" t="str">
        <f t="shared" si="461"/>
        <v>x</v>
      </c>
      <c r="K109" s="117" t="str">
        <f t="shared" si="461"/>
        <v>x</v>
      </c>
      <c r="L109" s="117" t="str">
        <f t="shared" si="461"/>
        <v>x</v>
      </c>
      <c r="M109" s="117" t="str">
        <f t="shared" si="461"/>
        <v>x</v>
      </c>
      <c r="N109" s="117" t="str">
        <f t="shared" si="461"/>
        <v>x</v>
      </c>
      <c r="O109" s="117" t="str">
        <f t="shared" si="461"/>
        <v>x</v>
      </c>
      <c r="P109" s="117" t="str">
        <f t="shared" si="461"/>
        <v>x</v>
      </c>
      <c r="Q109" s="117" t="str">
        <f t="shared" si="461"/>
        <v>x</v>
      </c>
      <c r="R109" s="117" t="str">
        <f t="shared" si="461"/>
        <v>x</v>
      </c>
      <c r="S109" s="117" t="str">
        <f t="shared" si="461"/>
        <v>x</v>
      </c>
      <c r="T109" s="117" t="str">
        <f t="shared" si="461"/>
        <v>x</v>
      </c>
      <c r="U109" s="117" t="str">
        <f t="shared" si="461"/>
        <v>x</v>
      </c>
      <c r="V109" s="117" t="str">
        <f t="shared" si="461"/>
        <v>x</v>
      </c>
      <c r="W109" s="117" t="str">
        <f t="shared" si="461"/>
        <v>x</v>
      </c>
      <c r="X109" s="117" t="str">
        <f t="shared" si="461"/>
        <v>x</v>
      </c>
      <c r="Y109" s="117" t="str">
        <f t="shared" si="461"/>
        <v>x</v>
      </c>
      <c r="Z109" s="117" t="str">
        <f t="shared" si="461"/>
        <v>x</v>
      </c>
    </row>
    <row r="110" spans="4:26" customFormat="1" x14ac:dyDescent="0.15">
      <c r="D110" s="117" t="str">
        <f t="shared" ref="D110:Z110" si="462">IF(BatSplit(D50,RunsScored)&gt;=50,BatSplit(D50,RunsScored)&amp;IF(BatSplit(D50,NotOuts)=1,"*","")&amp;"|"&amp;$C50&amp;"|"&amp;D$2&amp;"|"&amp;TEXT(D$1,"dd-mmm"),"x")</f>
        <v>x</v>
      </c>
      <c r="E110" s="117" t="str">
        <f t="shared" si="462"/>
        <v>x</v>
      </c>
      <c r="F110" s="117" t="str">
        <f t="shared" si="462"/>
        <v>x</v>
      </c>
      <c r="G110" s="117" t="str">
        <f t="shared" si="462"/>
        <v>x</v>
      </c>
      <c r="H110" s="117" t="str">
        <f t="shared" si="462"/>
        <v>x</v>
      </c>
      <c r="I110" s="117" t="str">
        <f t="shared" si="462"/>
        <v>x</v>
      </c>
      <c r="J110" s="117" t="str">
        <f t="shared" si="462"/>
        <v>x</v>
      </c>
      <c r="K110" s="117" t="str">
        <f t="shared" si="462"/>
        <v>x</v>
      </c>
      <c r="L110" s="117" t="str">
        <f t="shared" si="462"/>
        <v>x</v>
      </c>
      <c r="M110" s="117" t="str">
        <f t="shared" si="462"/>
        <v>x</v>
      </c>
      <c r="N110" s="117" t="str">
        <f t="shared" si="462"/>
        <v>x</v>
      </c>
      <c r="O110" s="117" t="str">
        <f t="shared" si="462"/>
        <v>x</v>
      </c>
      <c r="P110" s="117" t="str">
        <f t="shared" si="462"/>
        <v>x</v>
      </c>
      <c r="Q110" s="117" t="str">
        <f t="shared" si="462"/>
        <v>x</v>
      </c>
      <c r="R110" s="117" t="str">
        <f t="shared" si="462"/>
        <v>x</v>
      </c>
      <c r="S110" s="117" t="str">
        <f t="shared" si="462"/>
        <v>x</v>
      </c>
      <c r="T110" s="117" t="str">
        <f t="shared" si="462"/>
        <v>x</v>
      </c>
      <c r="U110" s="117" t="str">
        <f t="shared" si="462"/>
        <v>x</v>
      </c>
      <c r="V110" s="117" t="str">
        <f t="shared" si="462"/>
        <v>x</v>
      </c>
      <c r="W110" s="117" t="str">
        <f t="shared" si="462"/>
        <v>x</v>
      </c>
      <c r="X110" s="117" t="str">
        <f t="shared" si="462"/>
        <v>x</v>
      </c>
      <c r="Y110" s="117" t="str">
        <f t="shared" si="462"/>
        <v>x</v>
      </c>
      <c r="Z110" s="117" t="str">
        <f t="shared" si="462"/>
        <v>x</v>
      </c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</sheetData>
  <phoneticPr fontId="0" type="noConversion"/>
  <conditionalFormatting sqref="CF60:CF69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80"/>
  <sheetViews>
    <sheetView zoomScaleNormal="100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B33" sqref="B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42120</v>
      </c>
      <c r="D1" s="4">
        <v>42127</v>
      </c>
      <c r="E1" s="4">
        <v>42134</v>
      </c>
      <c r="F1" s="4">
        <v>42141</v>
      </c>
      <c r="G1" s="4">
        <v>42147</v>
      </c>
      <c r="H1" s="4">
        <v>42148</v>
      </c>
      <c r="I1" s="4">
        <v>42149</v>
      </c>
      <c r="J1" s="4">
        <v>42155</v>
      </c>
      <c r="K1" s="4">
        <v>42162</v>
      </c>
      <c r="L1" s="4">
        <v>42169</v>
      </c>
      <c r="M1" s="4">
        <v>42176</v>
      </c>
      <c r="N1" s="4">
        <v>42183</v>
      </c>
      <c r="O1" s="4">
        <v>42190</v>
      </c>
      <c r="P1" s="4">
        <v>42197</v>
      </c>
      <c r="Q1" s="4">
        <v>42204</v>
      </c>
      <c r="R1" s="4">
        <v>42218</v>
      </c>
      <c r="S1" s="4">
        <v>42225</v>
      </c>
      <c r="T1" s="4">
        <v>42232</v>
      </c>
      <c r="U1" s="4">
        <v>42239</v>
      </c>
      <c r="V1" s="4">
        <v>42246</v>
      </c>
      <c r="W1" s="4">
        <v>42253</v>
      </c>
      <c r="X1" s="4">
        <v>42260</v>
      </c>
      <c r="Y1" s="4">
        <v>42267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LESSA</v>
      </c>
      <c r="F2" s="1" t="str">
        <v>Churchleigh</v>
      </c>
      <c r="G2" s="1" t="str">
        <v>Fonthill Park</v>
      </c>
      <c r="H2" s="1" t="str">
        <v>Woodgreen</v>
      </c>
      <c r="I2" s="1" t="str">
        <v>Steeple Langford</v>
      </c>
      <c r="J2" s="1" t="str">
        <v>Norwood Exiles</v>
      </c>
      <c r="K2" s="1" t="str">
        <v>Richmond Legbreakers</v>
      </c>
      <c r="L2" s="1" t="str">
        <v>Norwood</v>
      </c>
      <c r="M2" s="1" t="str">
        <v>Woldingham Village</v>
      </c>
      <c r="N2" s="1" t="str">
        <v>RACS</v>
      </c>
      <c r="O2" s="1" t="str">
        <v>Southbank</v>
      </c>
      <c r="P2" s="1" t="str">
        <v>Headstone</v>
      </c>
      <c r="Q2" s="1" t="str">
        <v>LESSA</v>
      </c>
      <c r="R2" s="1" t="str">
        <v>Giltec</v>
      </c>
      <c r="S2" s="1" t="str">
        <v>Richmond Legbreakers</v>
      </c>
      <c r="T2" s="1" t="str">
        <v>Deando Ruxley</v>
      </c>
      <c r="U2" s="1" t="str">
        <v>Norwood Exiles</v>
      </c>
      <c r="V2" s="1" t="str">
        <v>Sanderstead</v>
      </c>
      <c r="W2" s="1" t="str">
        <v>Mid-Whitgiftian</v>
      </c>
      <c r="X2" s="1" t="str">
        <v>Beddington</v>
      </c>
      <c r="Y2" s="1" t="str">
        <v>Raynes Park FP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 t="str">
        <v>H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SUM(CP5:CP42)</f>
        <v>0</v>
      </c>
      <c r="CQ3" s="53">
        <f>SUM(CQ5:CQ42)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L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W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 t="str">
        <v>L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195</v>
      </c>
      <c r="CU4" s="2" t="s">
        <v>240</v>
      </c>
    </row>
    <row r="5" spans="1:99" ht="11.25" customHeight="1" x14ac:dyDescent="0.15">
      <c r="B5" s="2" t="s">
        <v>243</v>
      </c>
      <c r="H5" s="2" t="s">
        <v>382</v>
      </c>
      <c r="CE5" s="53">
        <f t="shared" ref="CE5" si="0">BowlSplit(C5:BC5,InnsBowledIn)</f>
        <v>1</v>
      </c>
      <c r="CF5" s="53">
        <f t="shared" ref="CF5" si="1">BowlSplit(C5:CC5,BallsBowled)</f>
        <v>6</v>
      </c>
      <c r="CG5" s="55">
        <f t="shared" ref="CG5" si="2">BowlSplit(C5:CC5,OversBowled)</f>
        <v>1</v>
      </c>
      <c r="CH5" s="53">
        <f t="shared" ref="CH5" si="3">BowlSplit(C5:CC5,Maidens)</f>
        <v>0</v>
      </c>
      <c r="CI5" s="53">
        <f t="shared" ref="CI5" si="4">BowlSplit(C5:CC5,RunsConceded)</f>
        <v>9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>
        <f t="shared" ref="CM5" si="8">IF(CF5&gt;0,6*CI5/CF5,"")</f>
        <v>9</v>
      </c>
      <c r="CN5" s="48" t="str">
        <f t="shared" ref="CN5" si="9">BowlSplit(C5:CC5,BestBowling)</f>
        <v>0-9</v>
      </c>
      <c r="CO5" s="53">
        <f t="shared" ref="CO5" si="10">BowlSplit(C5:CC5,BowlPts)</f>
        <v>-5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1006.0005</v>
      </c>
      <c r="CS5" s="2">
        <f t="shared" ref="CS5:CS36" si="14">RANK(CR5,$CR$5:$CR$36,1)</f>
        <v>22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56</v>
      </c>
      <c r="B6" s="2" t="s">
        <v>142</v>
      </c>
      <c r="C6" s="2" t="s">
        <v>287</v>
      </c>
      <c r="D6" s="2" t="s">
        <v>257</v>
      </c>
      <c r="F6" s="2" t="s">
        <v>349</v>
      </c>
      <c r="G6" s="2" t="s">
        <v>369</v>
      </c>
      <c r="H6" s="2" t="s">
        <v>379</v>
      </c>
      <c r="J6" s="2" t="s">
        <v>411</v>
      </c>
      <c r="K6" s="2" t="s">
        <v>281</v>
      </c>
      <c r="L6" s="2" t="s">
        <v>445</v>
      </c>
      <c r="M6" s="2" t="s">
        <v>455</v>
      </c>
      <c r="N6" s="2" t="s">
        <v>471</v>
      </c>
      <c r="P6" s="2" t="s">
        <v>515</v>
      </c>
      <c r="R6" s="2" t="s">
        <v>552</v>
      </c>
      <c r="T6" s="2" t="s">
        <v>576</v>
      </c>
      <c r="U6" s="2" t="s">
        <v>552</v>
      </c>
      <c r="V6" s="2" t="s">
        <v>411</v>
      </c>
      <c r="Y6" s="2" t="s">
        <v>663</v>
      </c>
      <c r="CE6" s="53">
        <f t="shared" ref="CE6:CE36" si="17">BowlSplit(C6:BC6,InnsBowledIn)</f>
        <v>16</v>
      </c>
      <c r="CF6" s="53">
        <f t="shared" ref="CF6:CF36" si="18">BowlSplit(C6:CC6,BallsBowled)</f>
        <v>426</v>
      </c>
      <c r="CG6" s="55">
        <f t="shared" ref="CG6:CG36" si="19">BowlSplit(C6:CC6,OversBowled)</f>
        <v>71</v>
      </c>
      <c r="CH6" s="53">
        <f t="shared" ref="CH6:CH36" si="20">BowlSplit(C6:CC6,Maidens)</f>
        <v>3</v>
      </c>
      <c r="CI6" s="53">
        <f t="shared" ref="CI6:CI36" si="21">BowlSplit(C6:CC6,RunsConceded)</f>
        <v>341</v>
      </c>
      <c r="CJ6" s="53">
        <f t="shared" ref="CJ6:CJ36" si="22">BowlSplit(C6:CC6,WicketsTaken)</f>
        <v>7</v>
      </c>
      <c r="CK6" s="56">
        <f t="shared" ref="CK6:CK36" si="23">IF(CJ6&gt;0,ROUND(CI6/CJ6,2),"")</f>
        <v>48.71</v>
      </c>
      <c r="CL6" s="57">
        <f t="shared" ref="CL6:CL36" si="24">IF(CJ6&gt;0,CF6/CJ6,"")</f>
        <v>60.857142857142854</v>
      </c>
      <c r="CM6" s="57">
        <f t="shared" ref="CM6:CM36" si="25">IF(CF6&gt;0,6*CI6/CF6,"")</f>
        <v>4.802816901408451</v>
      </c>
      <c r="CN6" s="48" t="str">
        <f t="shared" ref="CN6:CN36" si="26">BowlSplit(C6:CC6,BestBowling)</f>
        <v>2-7</v>
      </c>
      <c r="CO6" s="53">
        <f t="shared" ref="CO6:CO36" si="27">BowlSplit(C6:CC6,BowlPts)</f>
        <v>73</v>
      </c>
      <c r="CP6" s="53">
        <f t="shared" ref="CP6:CP36" si="28">BowlSplit(C6:CC6,Wides)</f>
        <v>0</v>
      </c>
      <c r="CQ6" s="53">
        <f t="shared" ref="CQ6:CQ36" si="29">BowlSplit(C6:CC6,NoBalls)</f>
        <v>0</v>
      </c>
      <c r="CR6" s="58">
        <f t="shared" ref="CR6:CR36" si="30">IF(CJ6&gt;0,CK6,IF(CF6&gt;0,CF6+1000,99999))+ROW(CQ6)/10000</f>
        <v>48.710599999999999</v>
      </c>
      <c r="CS6" s="2">
        <f t="shared" si="14"/>
        <v>21</v>
      </c>
      <c r="CT6" s="106">
        <f t="shared" ref="CT6:CT36" si="31">IF(CF6&gt;=120,CH6/CF6*6,"")</f>
        <v>4.2253521126760563E-2</v>
      </c>
      <c r="CU6" s="2">
        <f t="shared" ref="CU6:CU36" si="32">BowlSplit(C6:CC6,FiveFors)</f>
        <v>0</v>
      </c>
    </row>
    <row r="7" spans="1:99" ht="11.25" customHeight="1" x14ac:dyDescent="0.15">
      <c r="B7" s="2" t="s">
        <v>250</v>
      </c>
      <c r="D7" s="2" t="s">
        <v>258</v>
      </c>
      <c r="E7" s="2" t="s">
        <v>315</v>
      </c>
      <c r="W7" s="2" t="s">
        <v>641</v>
      </c>
      <c r="X7" s="2" t="s">
        <v>702</v>
      </c>
      <c r="CE7" s="53">
        <f t="shared" ref="CE7" si="33">BowlSplit(C7:BC7,InnsBowledIn)</f>
        <v>4</v>
      </c>
      <c r="CF7" s="53">
        <f t="shared" ref="CF7" si="34">BowlSplit(C7:CC7,BallsBowled)</f>
        <v>102</v>
      </c>
      <c r="CG7" s="55">
        <f t="shared" ref="CG7" si="35">BowlSplit(C7:CC7,OversBowled)</f>
        <v>17</v>
      </c>
      <c r="CH7" s="53">
        <f t="shared" ref="CH7" si="36">BowlSplit(C7:CC7,Maidens)</f>
        <v>4</v>
      </c>
      <c r="CI7" s="53">
        <f t="shared" ref="CI7" si="37">BowlSplit(C7:CC7,RunsConceded)</f>
        <v>70</v>
      </c>
      <c r="CJ7" s="53">
        <f t="shared" ref="CJ7" si="38">BowlSplit(C7:CC7,WicketsTaken)</f>
        <v>7</v>
      </c>
      <c r="CK7" s="56">
        <f t="shared" ref="CK7" si="39">IF(CJ7&gt;0,ROUND(CI7/CJ7,2),"")</f>
        <v>10</v>
      </c>
      <c r="CL7" s="57">
        <f t="shared" ref="CL7" si="40">IF(CJ7&gt;0,CF7/CJ7,"")</f>
        <v>14.571428571428571</v>
      </c>
      <c r="CM7" s="57">
        <f t="shared" ref="CM7" si="41">IF(CF7&gt;0,6*CI7/CF7,"")</f>
        <v>4.117647058823529</v>
      </c>
      <c r="CN7" s="48" t="str">
        <f t="shared" ref="CN7" si="42">BowlSplit(C7:CC7,BestBowling)</f>
        <v>5-0</v>
      </c>
      <c r="CO7" s="53">
        <f t="shared" ref="CO7" si="43">BowlSplit(C7:CC7,BowlPts)</f>
        <v>89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10.0007</v>
      </c>
      <c r="CS7" s="2">
        <f t="shared" si="14"/>
        <v>4</v>
      </c>
      <c r="CT7" s="106" t="str">
        <f t="shared" ref="CT7" si="47">IF(CF7&gt;=120,CH7/CF7*6,"")</f>
        <v/>
      </c>
      <c r="CU7" s="2">
        <f t="shared" ref="CU7" si="48">BowlSplit(C7:CC7,FiveFors)</f>
        <v>1</v>
      </c>
    </row>
    <row r="8" spans="1:99" ht="11.25" customHeight="1" x14ac:dyDescent="0.15">
      <c r="B8" s="2" t="s">
        <v>217</v>
      </c>
      <c r="C8" s="2" t="s">
        <v>281</v>
      </c>
      <c r="D8" s="123" t="s">
        <v>304</v>
      </c>
      <c r="E8" s="2" t="s">
        <v>308</v>
      </c>
      <c r="G8" s="2" t="s">
        <v>366</v>
      </c>
      <c r="H8" s="2" t="s">
        <v>261</v>
      </c>
      <c r="I8" s="2" t="s">
        <v>398</v>
      </c>
      <c r="K8" s="2" t="s">
        <v>431</v>
      </c>
      <c r="M8" s="58"/>
      <c r="CE8" s="53">
        <f t="shared" si="17"/>
        <v>7</v>
      </c>
      <c r="CF8" s="53">
        <f t="shared" si="18"/>
        <v>192</v>
      </c>
      <c r="CG8" s="55">
        <f t="shared" si="19"/>
        <v>32</v>
      </c>
      <c r="CH8" s="53">
        <f t="shared" si="20"/>
        <v>2</v>
      </c>
      <c r="CI8" s="53">
        <f t="shared" si="21"/>
        <v>128</v>
      </c>
      <c r="CJ8" s="53">
        <f t="shared" si="22"/>
        <v>4</v>
      </c>
      <c r="CK8" s="56">
        <f t="shared" si="23"/>
        <v>32</v>
      </c>
      <c r="CL8" s="57">
        <f t="shared" si="24"/>
        <v>48</v>
      </c>
      <c r="CM8" s="57">
        <f t="shared" si="25"/>
        <v>4</v>
      </c>
      <c r="CN8" s="48" t="str">
        <f t="shared" si="26"/>
        <v>1-18</v>
      </c>
      <c r="CO8" s="53">
        <f t="shared" si="27"/>
        <v>47</v>
      </c>
      <c r="CP8" s="53">
        <f t="shared" si="28"/>
        <v>0</v>
      </c>
      <c r="CQ8" s="53">
        <f t="shared" si="29"/>
        <v>0</v>
      </c>
      <c r="CR8" s="58">
        <f t="shared" si="30"/>
        <v>32.000799999999998</v>
      </c>
      <c r="CS8" s="2">
        <f t="shared" si="14"/>
        <v>19</v>
      </c>
      <c r="CT8" s="106">
        <f t="shared" si="31"/>
        <v>6.25E-2</v>
      </c>
      <c r="CU8" s="2">
        <f t="shared" si="32"/>
        <v>0</v>
      </c>
    </row>
    <row r="9" spans="1:99" ht="11.25" customHeight="1" x14ac:dyDescent="0.15">
      <c r="B9" s="2" t="s">
        <v>253</v>
      </c>
      <c r="M9" s="58"/>
      <c r="O9" s="2" t="s">
        <v>496</v>
      </c>
      <c r="P9" s="2" t="s">
        <v>512</v>
      </c>
      <c r="Q9" s="2" t="s">
        <v>535</v>
      </c>
      <c r="CE9" s="53">
        <f t="shared" ref="CE9" si="49">BowlSplit(C9:BC9,InnsBowledIn)</f>
        <v>3</v>
      </c>
      <c r="CF9" s="53">
        <f t="shared" ref="CF9" si="50">BowlSplit(C9:CC9,BallsBowled)</f>
        <v>120</v>
      </c>
      <c r="CG9" s="55">
        <f t="shared" ref="CG9" si="51">BowlSplit(C9:CC9,OversBowled)</f>
        <v>20</v>
      </c>
      <c r="CH9" s="53">
        <f t="shared" ref="CH9" si="52">BowlSplit(C9:CC9,Maidens)</f>
        <v>4</v>
      </c>
      <c r="CI9" s="53">
        <f t="shared" ref="CI9" si="53">BowlSplit(C9:CC9,RunsConceded)</f>
        <v>68</v>
      </c>
      <c r="CJ9" s="53">
        <f t="shared" ref="CJ9" si="54">BowlSplit(C9:CC9,WicketsTaken)</f>
        <v>8</v>
      </c>
      <c r="CK9" s="56">
        <f t="shared" ref="CK9" si="55">IF(CJ9&gt;0,ROUND(CI9/CJ9,2),"")</f>
        <v>8.5</v>
      </c>
      <c r="CL9" s="57">
        <f t="shared" ref="CL9" si="56">IF(CJ9&gt;0,CF9/CJ9,"")</f>
        <v>15</v>
      </c>
      <c r="CM9" s="57">
        <f t="shared" ref="CM9" si="57">IF(CF9&gt;0,6*CI9/CF9,"")</f>
        <v>3.4</v>
      </c>
      <c r="CN9" s="48" t="str">
        <f t="shared" ref="CN9" si="58">BowlSplit(C9:CC9,BestBowling)</f>
        <v>4-18</v>
      </c>
      <c r="CO9" s="53">
        <f t="shared" ref="CO9" si="59">BowlSplit(C9:CC9,BowlPts)</f>
        <v>94</v>
      </c>
      <c r="CP9" s="53">
        <f t="shared" ref="CP9" si="60">BowlSplit(C9:CC9,Wides)</f>
        <v>0</v>
      </c>
      <c r="CQ9" s="53">
        <f t="shared" ref="CQ9" si="61">BowlSplit(C9:CC9,NoBalls)</f>
        <v>0</v>
      </c>
      <c r="CR9" s="58">
        <f t="shared" ref="CR9" si="62">IF(CJ9&gt;0,CK9,IF(CF9&gt;0,CF9+1000,99999))+ROW(CQ9)/10000</f>
        <v>8.5008999999999997</v>
      </c>
      <c r="CS9" s="2">
        <f t="shared" si="14"/>
        <v>2</v>
      </c>
      <c r="CT9" s="106">
        <f t="shared" ref="CT9" si="63">IF(CF9&gt;=120,CH9/CF9*6,"")</f>
        <v>0.2</v>
      </c>
      <c r="CU9" s="2">
        <f t="shared" ref="CU9" si="64">BowlSplit(C9:CC9,FiveFors)</f>
        <v>0</v>
      </c>
    </row>
    <row r="10" spans="1:99" ht="11.25" customHeight="1" x14ac:dyDescent="0.15">
      <c r="B10" s="2" t="s">
        <v>238</v>
      </c>
      <c r="M10" s="58"/>
      <c r="N10" s="2" t="s">
        <v>470</v>
      </c>
      <c r="P10" s="2" t="s">
        <v>516</v>
      </c>
      <c r="CE10" s="53">
        <f t="shared" si="17"/>
        <v>2</v>
      </c>
      <c r="CF10" s="53">
        <f t="shared" si="18"/>
        <v>66</v>
      </c>
      <c r="CG10" s="55">
        <f t="shared" si="19"/>
        <v>11</v>
      </c>
      <c r="CH10" s="53">
        <f t="shared" si="20"/>
        <v>0</v>
      </c>
      <c r="CI10" s="53">
        <f t="shared" si="21"/>
        <v>59</v>
      </c>
      <c r="CJ10" s="53">
        <f t="shared" si="22"/>
        <v>2</v>
      </c>
      <c r="CK10" s="56">
        <f t="shared" si="23"/>
        <v>29.5</v>
      </c>
      <c r="CL10" s="57">
        <f t="shared" si="24"/>
        <v>33</v>
      </c>
      <c r="CM10" s="57">
        <f t="shared" si="25"/>
        <v>5.3636363636363633</v>
      </c>
      <c r="CN10" s="48" t="str">
        <f t="shared" si="26"/>
        <v>1-18</v>
      </c>
      <c r="CO10" s="53">
        <f t="shared" si="27"/>
        <v>15</v>
      </c>
      <c r="CP10" s="53">
        <f t="shared" si="28"/>
        <v>0</v>
      </c>
      <c r="CQ10" s="53">
        <f t="shared" si="29"/>
        <v>0</v>
      </c>
      <c r="CR10" s="58">
        <f t="shared" si="30"/>
        <v>29.501000000000001</v>
      </c>
      <c r="CS10" s="2">
        <f t="shared" si="14"/>
        <v>17</v>
      </c>
      <c r="CT10" s="106" t="str">
        <f t="shared" si="31"/>
        <v/>
      </c>
      <c r="CU10" s="2">
        <f t="shared" si="32"/>
        <v>0</v>
      </c>
    </row>
    <row r="11" spans="1:99" ht="11.25" customHeight="1" x14ac:dyDescent="0.15">
      <c r="B11" s="2" t="s">
        <v>573</v>
      </c>
      <c r="M11" s="58"/>
      <c r="T11" s="2" t="s">
        <v>574</v>
      </c>
      <c r="CE11" s="53">
        <f t="shared" ref="CE11" si="65">BowlSplit(C11:BC11,InnsBowledIn)</f>
        <v>1</v>
      </c>
      <c r="CF11" s="53">
        <f t="shared" ref="CF11" si="66">BowlSplit(C11:CC11,BallsBowled)</f>
        <v>12</v>
      </c>
      <c r="CG11" s="55">
        <f t="shared" ref="CG11" si="67">BowlSplit(C11:CC11,OversBowled)</f>
        <v>2</v>
      </c>
      <c r="CH11" s="53">
        <f t="shared" ref="CH11" si="68">BowlSplit(C11:CC11,Maidens)</f>
        <v>0</v>
      </c>
      <c r="CI11" s="53">
        <f t="shared" ref="CI11" si="69">BowlSplit(C11:CC11,RunsConceded)</f>
        <v>17</v>
      </c>
      <c r="CJ11" s="53">
        <f t="shared" ref="CJ11" si="70">BowlSplit(C11:CC11,WicketsTaken)</f>
        <v>1</v>
      </c>
      <c r="CK11" s="56">
        <f t="shared" ref="CK11" si="71">IF(CJ11&gt;0,ROUND(CI11/CJ11,2),"")</f>
        <v>17</v>
      </c>
      <c r="CL11" s="57">
        <f t="shared" ref="CL11" si="72">IF(CJ11&gt;0,CF11/CJ11,"")</f>
        <v>12</v>
      </c>
      <c r="CM11" s="57">
        <f t="shared" ref="CM11" si="73">IF(CF11&gt;0,6*CI11/CF11,"")</f>
        <v>8.5</v>
      </c>
      <c r="CN11" s="48" t="str">
        <f t="shared" ref="CN11" si="74">BowlSplit(C11:CC11,BestBowling)</f>
        <v>1-17</v>
      </c>
      <c r="CO11" s="53">
        <f t="shared" ref="CO11" si="75">BowlSplit(C11:CC11,BowlPts)</f>
        <v>5</v>
      </c>
      <c r="CP11" s="53">
        <f t="shared" ref="CP11" si="76">BowlSplit(C11:CC11,Wides)</f>
        <v>0</v>
      </c>
      <c r="CQ11" s="53">
        <f t="shared" ref="CQ11" si="77">BowlSplit(C11:CC11,NoBalls)</f>
        <v>0</v>
      </c>
      <c r="CR11" s="58">
        <f t="shared" ref="CR11" si="78">IF(CJ11&gt;0,CK11,IF(CF11&gt;0,CF11+1000,99999))+ROW(CQ11)/10000</f>
        <v>17.001100000000001</v>
      </c>
      <c r="CS11" s="2">
        <f t="shared" si="14"/>
        <v>7</v>
      </c>
      <c r="CT11" s="106" t="str">
        <f t="shared" ref="CT11" si="79">IF(CF11&gt;=120,CH11/CF11*6,"")</f>
        <v/>
      </c>
      <c r="CU11" s="2">
        <f t="shared" ref="CU11" si="80">BowlSplit(C11:CC11,FiveFors)</f>
        <v>0</v>
      </c>
    </row>
    <row r="12" spans="1:99" ht="11.25" customHeight="1" x14ac:dyDescent="0.15">
      <c r="B12" s="2" t="s">
        <v>406</v>
      </c>
      <c r="J12" s="2" t="s">
        <v>413</v>
      </c>
      <c r="M12" s="58"/>
      <c r="CE12" s="53">
        <f t="shared" si="17"/>
        <v>1</v>
      </c>
      <c r="CF12" s="53">
        <f t="shared" si="18"/>
        <v>24</v>
      </c>
      <c r="CG12" s="55">
        <f t="shared" si="19"/>
        <v>4</v>
      </c>
      <c r="CH12" s="53">
        <f t="shared" si="20"/>
        <v>0</v>
      </c>
      <c r="CI12" s="53">
        <f t="shared" si="21"/>
        <v>28</v>
      </c>
      <c r="CJ12" s="53">
        <f t="shared" si="22"/>
        <v>0</v>
      </c>
      <c r="CK12" s="56" t="str">
        <f t="shared" si="23"/>
        <v/>
      </c>
      <c r="CL12" s="57" t="str">
        <f t="shared" si="24"/>
        <v/>
      </c>
      <c r="CM12" s="57">
        <f t="shared" si="25"/>
        <v>7</v>
      </c>
      <c r="CN12" s="48" t="str">
        <f t="shared" si="26"/>
        <v>0-28</v>
      </c>
      <c r="CO12" s="53">
        <f t="shared" si="27"/>
        <v>-5</v>
      </c>
      <c r="CP12" s="53">
        <f t="shared" si="28"/>
        <v>0</v>
      </c>
      <c r="CQ12" s="53">
        <f t="shared" si="29"/>
        <v>0</v>
      </c>
      <c r="CR12" s="58">
        <f t="shared" si="30"/>
        <v>1024.0011999999999</v>
      </c>
      <c r="CS12" s="2">
        <f t="shared" si="14"/>
        <v>25</v>
      </c>
      <c r="CT12" s="106" t="str">
        <f t="shared" si="31"/>
        <v/>
      </c>
      <c r="CU12" s="2">
        <f t="shared" si="32"/>
        <v>0</v>
      </c>
    </row>
    <row r="13" spans="1:99" ht="11.25" customHeight="1" x14ac:dyDescent="0.15">
      <c r="B13" s="2" t="s">
        <v>171</v>
      </c>
      <c r="M13" s="58"/>
      <c r="N13" s="2" t="s">
        <v>472</v>
      </c>
      <c r="CE13" s="53">
        <f t="shared" ref="CE13" si="81">BowlSplit(C13:BC13,InnsBowledIn)</f>
        <v>1</v>
      </c>
      <c r="CF13" s="53">
        <f t="shared" ref="CF13" si="82">BowlSplit(C13:CC13,BallsBowled)</f>
        <v>30</v>
      </c>
      <c r="CG13" s="55">
        <f t="shared" ref="CG13" si="83">BowlSplit(C13:CC13,OversBowled)</f>
        <v>5</v>
      </c>
      <c r="CH13" s="53">
        <f t="shared" ref="CH13" si="84">BowlSplit(C13:CC13,Maidens)</f>
        <v>0</v>
      </c>
      <c r="CI13" s="53">
        <f t="shared" ref="CI13" si="85">BowlSplit(C13:CC13,RunsConceded)</f>
        <v>28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5.6</v>
      </c>
      <c r="CN13" s="48" t="str">
        <f t="shared" ref="CN13" si="90">BowlSplit(C13:CC13,BestBowling)</f>
        <v>0-28</v>
      </c>
      <c r="CO13" s="53">
        <f t="shared" ref="CO13" si="91">BowlSplit(C13:CC13,BowlPts)</f>
        <v>-5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1030.0012999999999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231</v>
      </c>
      <c r="D14" s="2" t="s">
        <v>301</v>
      </c>
      <c r="F14" s="2" t="s">
        <v>344</v>
      </c>
      <c r="G14" s="2" t="s">
        <v>365</v>
      </c>
      <c r="H14" s="2" t="s">
        <v>380</v>
      </c>
      <c r="K14" s="2" t="s">
        <v>426</v>
      </c>
      <c r="M14" s="2" t="s">
        <v>449</v>
      </c>
      <c r="Q14" s="2" t="s">
        <v>531</v>
      </c>
      <c r="S14" s="2" t="s">
        <v>567</v>
      </c>
      <c r="U14" s="2" t="s">
        <v>596</v>
      </c>
      <c r="V14" s="2" t="s">
        <v>623</v>
      </c>
      <c r="W14" s="2" t="s">
        <v>642</v>
      </c>
      <c r="X14" s="2" t="s">
        <v>701</v>
      </c>
      <c r="CE14" s="53">
        <f t="shared" si="17"/>
        <v>12</v>
      </c>
      <c r="CF14" s="53">
        <f t="shared" si="18"/>
        <v>576</v>
      </c>
      <c r="CG14" s="55">
        <f t="shared" si="19"/>
        <v>96</v>
      </c>
      <c r="CH14" s="53">
        <f t="shared" si="20"/>
        <v>21</v>
      </c>
      <c r="CI14" s="53">
        <f t="shared" si="21"/>
        <v>308</v>
      </c>
      <c r="CJ14" s="53">
        <f t="shared" si="22"/>
        <v>16</v>
      </c>
      <c r="CK14" s="56">
        <f t="shared" si="23"/>
        <v>19.25</v>
      </c>
      <c r="CL14" s="57">
        <f t="shared" si="24"/>
        <v>36</v>
      </c>
      <c r="CM14" s="57">
        <f t="shared" si="25"/>
        <v>3.2083333333333335</v>
      </c>
      <c r="CN14" s="48" t="str">
        <f t="shared" si="26"/>
        <v>4-29</v>
      </c>
      <c r="CO14" s="53">
        <f t="shared" si="27"/>
        <v>241</v>
      </c>
      <c r="CP14" s="53">
        <f t="shared" si="28"/>
        <v>0</v>
      </c>
      <c r="CQ14" s="53">
        <f t="shared" si="29"/>
        <v>0</v>
      </c>
      <c r="CR14" s="58">
        <f t="shared" si="30"/>
        <v>19.2514</v>
      </c>
      <c r="CS14" s="2">
        <f t="shared" si="14"/>
        <v>9</v>
      </c>
      <c r="CT14" s="106">
        <f t="shared" si="31"/>
        <v>0.21875</v>
      </c>
      <c r="CU14" s="2">
        <f t="shared" si="32"/>
        <v>0</v>
      </c>
    </row>
    <row r="15" spans="1:99" ht="11.25" customHeight="1" x14ac:dyDescent="0.15">
      <c r="B15" s="2" t="s">
        <v>627</v>
      </c>
      <c r="W15" s="2" t="s">
        <v>644</v>
      </c>
      <c r="CE15" s="53">
        <f t="shared" ref="CE15:CE16" si="97">BowlSplit(C15:BC15,InnsBowledIn)</f>
        <v>1</v>
      </c>
      <c r="CF15" s="53">
        <f t="shared" ref="CF15:CF16" si="98">BowlSplit(C15:CC15,BallsBowled)</f>
        <v>18</v>
      </c>
      <c r="CG15" s="55">
        <f t="shared" ref="CG15:CG16" si="99">BowlSplit(C15:CC15,OversBowled)</f>
        <v>3</v>
      </c>
      <c r="CH15" s="53">
        <f t="shared" ref="CH15:CH16" si="100">BowlSplit(C15:CC15,Maidens)</f>
        <v>0</v>
      </c>
      <c r="CI15" s="53">
        <f t="shared" ref="CI15:CI16" si="101">BowlSplit(C15:CC15,RunsConceded)</f>
        <v>32</v>
      </c>
      <c r="CJ15" s="53">
        <f t="shared" ref="CJ15:CJ16" si="102">BowlSplit(C15:CC15,WicketsTaken)</f>
        <v>0</v>
      </c>
      <c r="CK15" s="56" t="str">
        <f t="shared" ref="CK15:CK16" si="103">IF(CJ15&gt;0,ROUND(CI15/CJ15,2),"")</f>
        <v/>
      </c>
      <c r="CL15" s="57" t="str">
        <f t="shared" ref="CL15:CL16" si="104">IF(CJ15&gt;0,CF15/CJ15,"")</f>
        <v/>
      </c>
      <c r="CM15" s="57">
        <f t="shared" ref="CM15:CM16" si="105">IF(CF15&gt;0,6*CI15/CF15,"")</f>
        <v>10.666666666666666</v>
      </c>
      <c r="CN15" s="48" t="str">
        <f t="shared" ref="CN15:CN16" si="106">BowlSplit(C15:CC15,BestBowling)</f>
        <v>0-32</v>
      </c>
      <c r="CO15" s="53">
        <f t="shared" ref="CO15:CO16" si="107">BowlSplit(C15:CC15,BowlPts)</f>
        <v>-5</v>
      </c>
      <c r="CP15" s="53">
        <f t="shared" ref="CP15:CP16" si="108">BowlSplit(C15:CC15,Wides)</f>
        <v>0</v>
      </c>
      <c r="CQ15" s="53">
        <f t="shared" ref="CQ15:CQ16" si="109">BowlSplit(C15:CC15,NoBalls)</f>
        <v>0</v>
      </c>
      <c r="CR15" s="58">
        <f t="shared" ref="CR15:CR16" si="110">IF(CJ15&gt;0,CK15,IF(CF15&gt;0,CF15+1000,99999))+ROW(CQ15)/10000</f>
        <v>1018.0015</v>
      </c>
      <c r="CS15" s="2">
        <f t="shared" si="14"/>
        <v>24</v>
      </c>
      <c r="CT15" s="106" t="str">
        <f t="shared" ref="CT15:CT16" si="111">IF(CF15&gt;=120,CH15/CF15*6,"")</f>
        <v/>
      </c>
      <c r="CU15" s="2">
        <f t="shared" ref="CU15:CU16" si="112">BowlSplit(C15:CC15,FiveFors)</f>
        <v>0</v>
      </c>
    </row>
    <row r="16" spans="1:99" ht="11.25" customHeight="1" x14ac:dyDescent="0.15">
      <c r="B16" s="2" t="s">
        <v>628</v>
      </c>
      <c r="W16" s="2" t="s">
        <v>645</v>
      </c>
      <c r="CE16" s="53">
        <f t="shared" si="97"/>
        <v>1</v>
      </c>
      <c r="CF16" s="53">
        <f t="shared" si="98"/>
        <v>48</v>
      </c>
      <c r="CG16" s="55">
        <f t="shared" si="99"/>
        <v>8</v>
      </c>
      <c r="CH16" s="53">
        <f t="shared" si="100"/>
        <v>1</v>
      </c>
      <c r="CI16" s="53">
        <f t="shared" si="101"/>
        <v>28</v>
      </c>
      <c r="CJ16" s="53">
        <f t="shared" si="102"/>
        <v>0</v>
      </c>
      <c r="CK16" s="56" t="str">
        <f t="shared" si="103"/>
        <v/>
      </c>
      <c r="CL16" s="57" t="str">
        <f t="shared" si="104"/>
        <v/>
      </c>
      <c r="CM16" s="57">
        <f t="shared" si="105"/>
        <v>3.5</v>
      </c>
      <c r="CN16" s="48" t="str">
        <f t="shared" si="106"/>
        <v>0-28</v>
      </c>
      <c r="CO16" s="53">
        <f t="shared" si="107"/>
        <v>6</v>
      </c>
      <c r="CP16" s="53">
        <f t="shared" si="108"/>
        <v>0</v>
      </c>
      <c r="CQ16" s="53">
        <f t="shared" si="109"/>
        <v>0</v>
      </c>
      <c r="CR16" s="58">
        <f t="shared" si="110"/>
        <v>1048.0016000000001</v>
      </c>
      <c r="CS16" s="2">
        <f t="shared" si="14"/>
        <v>30</v>
      </c>
      <c r="CT16" s="106" t="str">
        <f t="shared" si="111"/>
        <v/>
      </c>
      <c r="CU16" s="2">
        <f t="shared" si="112"/>
        <v>0</v>
      </c>
    </row>
    <row r="17" spans="1:99" ht="11.25" customHeight="1" x14ac:dyDescent="0.15">
      <c r="B17" s="2" t="s">
        <v>214</v>
      </c>
      <c r="C17" s="2" t="s">
        <v>289</v>
      </c>
      <c r="D17" s="2" t="s">
        <v>302</v>
      </c>
      <c r="G17" s="2" t="s">
        <v>266</v>
      </c>
      <c r="I17" s="2" t="s">
        <v>393</v>
      </c>
      <c r="J17" s="2" t="s">
        <v>412</v>
      </c>
      <c r="M17" s="58"/>
      <c r="O17" s="2" t="s">
        <v>498</v>
      </c>
      <c r="P17" s="2" t="s">
        <v>514</v>
      </c>
      <c r="Q17" s="2" t="s">
        <v>533</v>
      </c>
      <c r="R17" s="2" t="s">
        <v>549</v>
      </c>
      <c r="X17" s="2" t="s">
        <v>706</v>
      </c>
      <c r="CE17" s="53">
        <f t="shared" si="17"/>
        <v>10</v>
      </c>
      <c r="CF17" s="53">
        <f t="shared" si="18"/>
        <v>310</v>
      </c>
      <c r="CG17" s="55">
        <f t="shared" si="19"/>
        <v>51.4</v>
      </c>
      <c r="CH17" s="53">
        <f t="shared" si="20"/>
        <v>10</v>
      </c>
      <c r="CI17" s="53">
        <f t="shared" si="21"/>
        <v>212</v>
      </c>
      <c r="CJ17" s="53">
        <f t="shared" si="22"/>
        <v>9</v>
      </c>
      <c r="CK17" s="56">
        <f t="shared" si="23"/>
        <v>23.56</v>
      </c>
      <c r="CL17" s="57">
        <f t="shared" si="24"/>
        <v>34.444444444444443</v>
      </c>
      <c r="CM17" s="57">
        <f t="shared" si="25"/>
        <v>4.1032258064516132</v>
      </c>
      <c r="CN17" s="48" t="str">
        <f t="shared" si="26"/>
        <v>3-19</v>
      </c>
      <c r="CO17" s="53">
        <f t="shared" si="27"/>
        <v>130</v>
      </c>
      <c r="CP17" s="53">
        <f t="shared" si="28"/>
        <v>0</v>
      </c>
      <c r="CQ17" s="53">
        <f t="shared" si="29"/>
        <v>0</v>
      </c>
      <c r="CR17" s="58">
        <f t="shared" si="30"/>
        <v>23.561699999999998</v>
      </c>
      <c r="CS17" s="2">
        <f t="shared" si="14"/>
        <v>12</v>
      </c>
      <c r="CT17" s="106">
        <f t="shared" si="31"/>
        <v>0.19354838709677419</v>
      </c>
      <c r="CU17" s="2">
        <f t="shared" si="32"/>
        <v>0</v>
      </c>
    </row>
    <row r="18" spans="1:99" ht="11.25" customHeight="1" x14ac:dyDescent="0.15">
      <c r="B18" s="2" t="s">
        <v>219</v>
      </c>
      <c r="C18" s="2" t="s">
        <v>283</v>
      </c>
      <c r="I18" s="2" t="s">
        <v>395</v>
      </c>
      <c r="M18" s="58"/>
      <c r="O18" s="2" t="s">
        <v>499</v>
      </c>
      <c r="CE18" s="53">
        <f t="shared" si="17"/>
        <v>3</v>
      </c>
      <c r="CF18" s="53">
        <f t="shared" si="18"/>
        <v>120</v>
      </c>
      <c r="CG18" s="55">
        <f t="shared" si="19"/>
        <v>20</v>
      </c>
      <c r="CH18" s="53">
        <f t="shared" si="20"/>
        <v>3</v>
      </c>
      <c r="CI18" s="53">
        <f t="shared" si="21"/>
        <v>62</v>
      </c>
      <c r="CJ18" s="53">
        <f t="shared" si="22"/>
        <v>7</v>
      </c>
      <c r="CK18" s="56">
        <f t="shared" si="23"/>
        <v>8.86</v>
      </c>
      <c r="CL18" s="57">
        <f t="shared" si="24"/>
        <v>17.142857142857142</v>
      </c>
      <c r="CM18" s="57">
        <f t="shared" si="25"/>
        <v>3.1</v>
      </c>
      <c r="CN18" s="48" t="str">
        <f t="shared" si="26"/>
        <v>3-23</v>
      </c>
      <c r="CO18" s="53">
        <f t="shared" si="27"/>
        <v>93</v>
      </c>
      <c r="CP18" s="53">
        <f t="shared" si="28"/>
        <v>0</v>
      </c>
      <c r="CQ18" s="53">
        <f t="shared" si="29"/>
        <v>0</v>
      </c>
      <c r="CR18" s="58">
        <f t="shared" si="30"/>
        <v>8.8617999999999988</v>
      </c>
      <c r="CS18" s="2">
        <f t="shared" si="14"/>
        <v>3</v>
      </c>
      <c r="CT18" s="106">
        <f t="shared" si="31"/>
        <v>0.15000000000000002</v>
      </c>
      <c r="CU18" s="2">
        <f t="shared" si="32"/>
        <v>0</v>
      </c>
    </row>
    <row r="19" spans="1:99" ht="11.25" customHeight="1" x14ac:dyDescent="0.15">
      <c r="B19" s="2" t="s">
        <v>246</v>
      </c>
      <c r="M19" s="58"/>
      <c r="U19" s="2" t="s">
        <v>258</v>
      </c>
      <c r="CE19" s="53">
        <f t="shared" si="17"/>
        <v>1</v>
      </c>
      <c r="CF19" s="53">
        <f t="shared" si="18"/>
        <v>24</v>
      </c>
      <c r="CG19" s="55">
        <f t="shared" si="19"/>
        <v>4</v>
      </c>
      <c r="CH19" s="53">
        <f t="shared" si="20"/>
        <v>0</v>
      </c>
      <c r="CI19" s="53">
        <f t="shared" si="21"/>
        <v>25</v>
      </c>
      <c r="CJ19" s="53">
        <f t="shared" si="22"/>
        <v>1</v>
      </c>
      <c r="CK19" s="56">
        <f t="shared" si="23"/>
        <v>25</v>
      </c>
      <c r="CL19" s="57">
        <f t="shared" si="24"/>
        <v>24</v>
      </c>
      <c r="CM19" s="57">
        <f t="shared" si="25"/>
        <v>6.25</v>
      </c>
      <c r="CN19" s="48" t="str">
        <f t="shared" si="26"/>
        <v>1-25</v>
      </c>
      <c r="CO19" s="53">
        <f t="shared" si="27"/>
        <v>5</v>
      </c>
      <c r="CP19" s="53">
        <f t="shared" si="28"/>
        <v>0</v>
      </c>
      <c r="CQ19" s="53">
        <f t="shared" si="29"/>
        <v>0</v>
      </c>
      <c r="CR19" s="58">
        <f t="shared" si="30"/>
        <v>25.001899999999999</v>
      </c>
      <c r="CS19" s="2">
        <f t="shared" si="14"/>
        <v>13</v>
      </c>
      <c r="CT19" s="106" t="str">
        <f t="shared" si="31"/>
        <v/>
      </c>
      <c r="CU19" s="2">
        <f t="shared" si="32"/>
        <v>0</v>
      </c>
    </row>
    <row r="20" spans="1:99" ht="11.25" customHeight="1" x14ac:dyDescent="0.15">
      <c r="B20" s="2" t="s">
        <v>634</v>
      </c>
      <c r="M20" s="58"/>
      <c r="W20" s="2" t="s">
        <v>643</v>
      </c>
      <c r="Y20" s="2" t="s">
        <v>660</v>
      </c>
      <c r="CE20" s="53">
        <f t="shared" ref="CE20" si="113">BowlSplit(C20:BC20,InnsBowledIn)</f>
        <v>2</v>
      </c>
      <c r="CF20" s="53">
        <f t="shared" ref="CF20" si="114">BowlSplit(C20:CC20,BallsBowled)</f>
        <v>78</v>
      </c>
      <c r="CG20" s="55">
        <f t="shared" ref="CG20" si="115">BowlSplit(C20:CC20,OversBowled)</f>
        <v>13</v>
      </c>
      <c r="CH20" s="53">
        <f t="shared" ref="CH20" si="116">BowlSplit(C20:CC20,Maidens)</f>
        <v>1</v>
      </c>
      <c r="CI20" s="53">
        <f t="shared" ref="CI20" si="117">BowlSplit(C20:CC20,RunsConceded)</f>
        <v>50</v>
      </c>
      <c r="CJ20" s="53">
        <f t="shared" ref="CJ20" si="118">BowlSplit(C20:CC20,WicketsTaken)</f>
        <v>2</v>
      </c>
      <c r="CK20" s="56">
        <f t="shared" ref="CK20" si="119">IF(CJ20&gt;0,ROUND(CI20/CJ20,2),"")</f>
        <v>25</v>
      </c>
      <c r="CL20" s="57">
        <f t="shared" ref="CL20" si="120">IF(CJ20&gt;0,CF20/CJ20,"")</f>
        <v>39</v>
      </c>
      <c r="CM20" s="57">
        <f t="shared" ref="CM20" si="121">IF(CF20&gt;0,6*CI20/CF20,"")</f>
        <v>3.8461538461538463</v>
      </c>
      <c r="CN20" s="48" t="str">
        <f t="shared" ref="CN20" si="122">BowlSplit(C20:CC20,BestBowling)</f>
        <v>2-28</v>
      </c>
      <c r="CO20" s="53">
        <f t="shared" ref="CO20" si="123">BowlSplit(C20:CC20,BowlPts)</f>
        <v>26</v>
      </c>
      <c r="CP20" s="53">
        <f t="shared" ref="CP20" si="124">BowlSplit(C20:CC20,Wides)</f>
        <v>0</v>
      </c>
      <c r="CQ20" s="53">
        <f t="shared" ref="CQ20" si="125">BowlSplit(C20:CC20,NoBalls)</f>
        <v>0</v>
      </c>
      <c r="CR20" s="58">
        <f t="shared" ref="CR20" si="126">IF(CJ20&gt;0,CK20,IF(CF20&gt;0,CF20+1000,99999))+ROW(CQ20)/10000</f>
        <v>25.001999999999999</v>
      </c>
      <c r="CS20" s="2">
        <f t="shared" si="14"/>
        <v>14</v>
      </c>
      <c r="CT20" s="106" t="str">
        <f t="shared" ref="CT20" si="127">IF(CF20&gt;=120,CH20/CF20*6,"")</f>
        <v/>
      </c>
      <c r="CU20" s="2">
        <f t="shared" ref="CU20" si="128">BowlSplit(C20:CC20,FiveFors)</f>
        <v>0</v>
      </c>
    </row>
    <row r="21" spans="1:99" ht="11.25" customHeight="1" x14ac:dyDescent="0.15">
      <c r="B21" s="2" t="s">
        <v>343</v>
      </c>
      <c r="F21" s="2" t="s">
        <v>350</v>
      </c>
      <c r="K21" s="2" t="s">
        <v>428</v>
      </c>
      <c r="M21" s="58" t="s">
        <v>453</v>
      </c>
      <c r="CE21" s="53">
        <f t="shared" ref="CE21:CE22" si="129">BowlSplit(C21:BC21,InnsBowledIn)</f>
        <v>3</v>
      </c>
      <c r="CF21" s="53">
        <f t="shared" ref="CF21:CF22" si="130">BowlSplit(C21:CC21,BallsBowled)</f>
        <v>85</v>
      </c>
      <c r="CG21" s="55">
        <f t="shared" ref="CG21:CG22" si="131">BowlSplit(C21:CC21,OversBowled)</f>
        <v>14.1</v>
      </c>
      <c r="CH21" s="53">
        <f t="shared" ref="CH21:CH22" si="132">BowlSplit(C21:CC21,Maidens)</f>
        <v>1</v>
      </c>
      <c r="CI21" s="53">
        <f t="shared" ref="CI21:CI22" si="133">BowlSplit(C21:CC21,RunsConceded)</f>
        <v>78</v>
      </c>
      <c r="CJ21" s="53">
        <f t="shared" ref="CJ21:CJ22" si="134">BowlSplit(C21:CC21,WicketsTaken)</f>
        <v>3</v>
      </c>
      <c r="CK21" s="56">
        <f t="shared" ref="CK21:CK22" si="135">IF(CJ21&gt;0,ROUND(CI21/CJ21,2),"")</f>
        <v>26</v>
      </c>
      <c r="CL21" s="57">
        <f t="shared" ref="CL21:CL22" si="136">IF(CJ21&gt;0,CF21/CJ21,"")</f>
        <v>28.333333333333332</v>
      </c>
      <c r="CM21" s="57">
        <f t="shared" ref="CM21:CM22" si="137">IF(CF21&gt;0,6*CI21/CF21,"")</f>
        <v>5.5058823529411764</v>
      </c>
      <c r="CN21" s="48" t="str">
        <f t="shared" ref="CN21:CN22" si="138">BowlSplit(C21:CC21,BestBowling)</f>
        <v>2-24</v>
      </c>
      <c r="CO21" s="53">
        <f t="shared" ref="CO21:CO22" si="139">BowlSplit(C21:CC21,BowlPts)</f>
        <v>21</v>
      </c>
      <c r="CP21" s="53">
        <f t="shared" ref="CP21:CP22" si="140">BowlSplit(C21:CC21,Wides)</f>
        <v>0</v>
      </c>
      <c r="CQ21" s="53">
        <f t="shared" ref="CQ21:CQ22" si="141">BowlSplit(C21:CC21,NoBalls)</f>
        <v>0</v>
      </c>
      <c r="CR21" s="58">
        <f t="shared" ref="CR21:CR22" si="142">IF(CJ21&gt;0,CK21,IF(CF21&gt;0,CF21+1000,99999))+ROW(CQ21)/10000</f>
        <v>26.002099999999999</v>
      </c>
      <c r="CS21" s="2">
        <f t="shared" si="14"/>
        <v>15</v>
      </c>
      <c r="CT21" s="106" t="str">
        <f t="shared" ref="CT21:CT22" si="143">IF(CF21&gt;=120,CH21/CF21*6,"")</f>
        <v/>
      </c>
      <c r="CU21" s="2">
        <f t="shared" ref="CU21:CU22" si="144">BowlSplit(C21:CC21,FiveFors)</f>
        <v>0</v>
      </c>
    </row>
    <row r="22" spans="1:99" ht="11.25" customHeight="1" x14ac:dyDescent="0.15">
      <c r="B22" s="2" t="s">
        <v>338</v>
      </c>
      <c r="F22" s="2" t="s">
        <v>347</v>
      </c>
      <c r="H22" s="2" t="s">
        <v>381</v>
      </c>
      <c r="J22" s="2" t="s">
        <v>410</v>
      </c>
      <c r="L22" s="2" t="s">
        <v>444</v>
      </c>
      <c r="M22" s="58"/>
      <c r="O22" s="2" t="s">
        <v>500</v>
      </c>
      <c r="R22" s="2" t="s">
        <v>550</v>
      </c>
      <c r="U22" s="2" t="s">
        <v>597</v>
      </c>
      <c r="V22" s="2" t="s">
        <v>622</v>
      </c>
      <c r="X22" s="2" t="s">
        <v>704</v>
      </c>
      <c r="Y22" s="2" t="s">
        <v>665</v>
      </c>
      <c r="CE22" s="53">
        <f t="shared" si="129"/>
        <v>10</v>
      </c>
      <c r="CF22" s="53">
        <f t="shared" si="130"/>
        <v>314</v>
      </c>
      <c r="CG22" s="55">
        <f t="shared" si="131"/>
        <v>52.2</v>
      </c>
      <c r="CH22" s="53">
        <f t="shared" si="132"/>
        <v>2</v>
      </c>
      <c r="CI22" s="53">
        <f t="shared" si="133"/>
        <v>266</v>
      </c>
      <c r="CJ22" s="53">
        <f t="shared" si="134"/>
        <v>13</v>
      </c>
      <c r="CK22" s="56">
        <f t="shared" si="135"/>
        <v>20.46</v>
      </c>
      <c r="CL22" s="57">
        <f t="shared" si="136"/>
        <v>24.153846153846153</v>
      </c>
      <c r="CM22" s="57">
        <f t="shared" si="137"/>
        <v>5.0828025477707008</v>
      </c>
      <c r="CN22" s="48" t="str">
        <f t="shared" si="138"/>
        <v>3-4</v>
      </c>
      <c r="CO22" s="53">
        <f t="shared" si="139"/>
        <v>132</v>
      </c>
      <c r="CP22" s="53">
        <f t="shared" si="140"/>
        <v>0</v>
      </c>
      <c r="CQ22" s="53">
        <f t="shared" si="141"/>
        <v>0</v>
      </c>
      <c r="CR22" s="58">
        <f t="shared" si="142"/>
        <v>20.462199999999999</v>
      </c>
      <c r="CS22" s="2">
        <f t="shared" si="14"/>
        <v>10</v>
      </c>
      <c r="CT22" s="106">
        <f t="shared" si="143"/>
        <v>3.8216560509554146E-2</v>
      </c>
      <c r="CU22" s="2">
        <f t="shared" si="144"/>
        <v>0</v>
      </c>
    </row>
    <row r="23" spans="1:99" ht="11.25" customHeight="1" x14ac:dyDescent="0.15">
      <c r="B23" s="2" t="s">
        <v>207</v>
      </c>
      <c r="C23" s="2" t="s">
        <v>282</v>
      </c>
      <c r="D23" s="2" t="s">
        <v>303</v>
      </c>
      <c r="E23" s="2" t="s">
        <v>309</v>
      </c>
      <c r="F23" s="2" t="s">
        <v>345</v>
      </c>
      <c r="G23" s="2" t="s">
        <v>368</v>
      </c>
      <c r="H23" s="2" t="s">
        <v>384</v>
      </c>
      <c r="I23" s="2" t="s">
        <v>394</v>
      </c>
      <c r="J23" s="2" t="s">
        <v>415</v>
      </c>
      <c r="K23" s="2" t="s">
        <v>427</v>
      </c>
      <c r="L23" s="2" t="s">
        <v>443</v>
      </c>
      <c r="M23" s="58" t="s">
        <v>450</v>
      </c>
      <c r="N23" s="2" t="s">
        <v>469</v>
      </c>
      <c r="O23" s="2" t="s">
        <v>497</v>
      </c>
      <c r="P23" s="2" t="s">
        <v>513</v>
      </c>
      <c r="Q23" s="2" t="s">
        <v>532</v>
      </c>
      <c r="R23" s="2" t="s">
        <v>548</v>
      </c>
      <c r="S23" s="2" t="s">
        <v>570</v>
      </c>
      <c r="T23" s="2" t="s">
        <v>572</v>
      </c>
      <c r="U23" s="2" t="s">
        <v>598</v>
      </c>
      <c r="X23" s="2" t="s">
        <v>703</v>
      </c>
      <c r="Y23" s="2" t="s">
        <v>661</v>
      </c>
      <c r="CE23" s="53">
        <f t="shared" si="17"/>
        <v>21</v>
      </c>
      <c r="CF23" s="53">
        <f t="shared" si="18"/>
        <v>777</v>
      </c>
      <c r="CG23" s="55">
        <f t="shared" si="19"/>
        <v>129.30000000000001</v>
      </c>
      <c r="CH23" s="53">
        <f t="shared" si="20"/>
        <v>13</v>
      </c>
      <c r="CI23" s="53">
        <f t="shared" si="21"/>
        <v>619</v>
      </c>
      <c r="CJ23" s="53">
        <f t="shared" si="22"/>
        <v>20</v>
      </c>
      <c r="CK23" s="56">
        <f t="shared" si="23"/>
        <v>30.95</v>
      </c>
      <c r="CL23" s="57">
        <f t="shared" si="24"/>
        <v>38.85</v>
      </c>
      <c r="CM23" s="57">
        <f t="shared" si="25"/>
        <v>4.7799227799227797</v>
      </c>
      <c r="CN23" s="48" t="str">
        <f t="shared" si="26"/>
        <v>3-33</v>
      </c>
      <c r="CO23" s="53">
        <f t="shared" si="27"/>
        <v>218</v>
      </c>
      <c r="CP23" s="53">
        <f t="shared" si="28"/>
        <v>0</v>
      </c>
      <c r="CQ23" s="53">
        <f t="shared" si="29"/>
        <v>0</v>
      </c>
      <c r="CR23" s="58">
        <f t="shared" si="30"/>
        <v>30.952300000000001</v>
      </c>
      <c r="CS23" s="2">
        <f t="shared" si="14"/>
        <v>18</v>
      </c>
      <c r="CT23" s="106">
        <f t="shared" si="31"/>
        <v>0.10038610038610038</v>
      </c>
      <c r="CU23" s="2">
        <f t="shared" si="32"/>
        <v>0</v>
      </c>
    </row>
    <row r="24" spans="1:99" ht="11.25" customHeight="1" x14ac:dyDescent="0.15">
      <c r="B24" s="2" t="s">
        <v>278</v>
      </c>
      <c r="C24" s="2" t="s">
        <v>285</v>
      </c>
      <c r="D24" s="2" t="s">
        <v>305</v>
      </c>
      <c r="F24" s="2" t="s">
        <v>346</v>
      </c>
      <c r="M24" s="58"/>
      <c r="CE24" s="53">
        <f t="shared" ref="CE24" si="145">BowlSplit(C24:BC24,InnsBowledIn)</f>
        <v>3</v>
      </c>
      <c r="CF24" s="53">
        <f t="shared" ref="CF24" si="146">BowlSplit(C24:CC24,BallsBowled)</f>
        <v>69</v>
      </c>
      <c r="CG24" s="55">
        <f t="shared" ref="CG24" si="147">BowlSplit(C24:CC24,OversBowled)</f>
        <v>11.3</v>
      </c>
      <c r="CH24" s="53">
        <f t="shared" ref="CH24" si="148">BowlSplit(C24:CC24,Maidens)</f>
        <v>1</v>
      </c>
      <c r="CI24" s="53">
        <f t="shared" ref="CI24" si="149">BowlSplit(C24:CC24,RunsConceded)</f>
        <v>56</v>
      </c>
      <c r="CJ24" s="53">
        <f t="shared" ref="CJ24" si="150">BowlSplit(C24:CC24,WicketsTaken)</f>
        <v>3</v>
      </c>
      <c r="CK24" s="56">
        <f t="shared" ref="CK24" si="151">IF(CJ24&gt;0,ROUND(CI24/CJ24,2),"")</f>
        <v>18.670000000000002</v>
      </c>
      <c r="CL24" s="57">
        <f t="shared" ref="CL24" si="152">IF(CJ24&gt;0,CF24/CJ24,"")</f>
        <v>23</v>
      </c>
      <c r="CM24" s="57">
        <f t="shared" ref="CM24" si="153">IF(CF24&gt;0,6*CI24/CF24,"")</f>
        <v>4.8695652173913047</v>
      </c>
      <c r="CN24" s="48" t="str">
        <f t="shared" ref="CN24" si="154">BowlSplit(C24:CC24,BestBowling)</f>
        <v>3-21</v>
      </c>
      <c r="CO24" s="53">
        <f t="shared" ref="CO24" si="155">BowlSplit(C24:CC24,BowlPts)</f>
        <v>31</v>
      </c>
      <c r="CP24" s="53">
        <f t="shared" ref="CP24" si="156">BowlSplit(C24:CC24,Wides)</f>
        <v>0</v>
      </c>
      <c r="CQ24" s="53">
        <f t="shared" ref="CQ24" si="157">BowlSplit(C24:CC24,NoBalls)</f>
        <v>0</v>
      </c>
      <c r="CR24" s="58">
        <f t="shared" ref="CR24" si="158">IF(CJ24&gt;0,CK24,IF(CF24&gt;0,CF24+1000,99999))+ROW(CQ24)/10000</f>
        <v>18.672400000000003</v>
      </c>
      <c r="CS24" s="2">
        <f t="shared" si="14"/>
        <v>8</v>
      </c>
      <c r="CT24" s="106" t="str">
        <f t="shared" ref="CT24" si="159">IF(CF24&gt;=120,CH24/CF24*6,"")</f>
        <v/>
      </c>
      <c r="CU24" s="2">
        <f t="shared" ref="CU24" si="160">BowlSplit(C24:CC24,FiveFors)</f>
        <v>0</v>
      </c>
    </row>
    <row r="25" spans="1:99" ht="11.25" customHeight="1" x14ac:dyDescent="0.15">
      <c r="A25" s="2" t="s">
        <v>48</v>
      </c>
      <c r="B25" s="2" t="s">
        <v>143</v>
      </c>
      <c r="C25" s="58"/>
      <c r="M25" s="58"/>
      <c r="R25" s="2" t="s">
        <v>551</v>
      </c>
      <c r="S25" s="2" t="s">
        <v>569</v>
      </c>
      <c r="CE25" s="53">
        <f t="shared" si="17"/>
        <v>2</v>
      </c>
      <c r="CF25" s="53">
        <f t="shared" si="18"/>
        <v>54</v>
      </c>
      <c r="CG25" s="55">
        <f t="shared" si="19"/>
        <v>9</v>
      </c>
      <c r="CH25" s="53">
        <f t="shared" si="20"/>
        <v>0</v>
      </c>
      <c r="CI25" s="53">
        <f t="shared" si="21"/>
        <v>78</v>
      </c>
      <c r="CJ25" s="53">
        <f t="shared" si="22"/>
        <v>3</v>
      </c>
      <c r="CK25" s="56">
        <f t="shared" si="23"/>
        <v>26</v>
      </c>
      <c r="CL25" s="57">
        <f t="shared" si="24"/>
        <v>18</v>
      </c>
      <c r="CM25" s="57">
        <f t="shared" si="25"/>
        <v>8.6666666666666661</v>
      </c>
      <c r="CN25" s="48" t="str">
        <f t="shared" si="26"/>
        <v>2-47</v>
      </c>
      <c r="CO25" s="53">
        <f t="shared" si="27"/>
        <v>20</v>
      </c>
      <c r="CP25" s="53">
        <f t="shared" si="28"/>
        <v>0</v>
      </c>
      <c r="CQ25" s="53">
        <f t="shared" si="29"/>
        <v>0</v>
      </c>
      <c r="CR25" s="58">
        <f t="shared" si="30"/>
        <v>26.002500000000001</v>
      </c>
      <c r="CS25" s="2">
        <f t="shared" si="14"/>
        <v>16</v>
      </c>
      <c r="CT25" s="106" t="str">
        <f t="shared" si="31"/>
        <v/>
      </c>
      <c r="CU25" s="2">
        <f t="shared" si="32"/>
        <v>0</v>
      </c>
    </row>
    <row r="26" spans="1:99" ht="11.25" customHeight="1" x14ac:dyDescent="0.15">
      <c r="B26" s="2" t="s">
        <v>199</v>
      </c>
      <c r="C26" s="2" t="s">
        <v>286</v>
      </c>
      <c r="M26" s="58"/>
      <c r="CE26" s="53">
        <f t="shared" si="17"/>
        <v>1</v>
      </c>
      <c r="CF26" s="53">
        <f t="shared" si="18"/>
        <v>18</v>
      </c>
      <c r="CG26" s="55">
        <f t="shared" si="19"/>
        <v>3</v>
      </c>
      <c r="CH26" s="53">
        <f t="shared" si="20"/>
        <v>0</v>
      </c>
      <c r="CI26" s="53">
        <f t="shared" si="21"/>
        <v>23</v>
      </c>
      <c r="CJ26" s="53">
        <f t="shared" si="22"/>
        <v>1</v>
      </c>
      <c r="CK26" s="56">
        <f t="shared" si="23"/>
        <v>23</v>
      </c>
      <c r="CL26" s="57">
        <f t="shared" si="24"/>
        <v>18</v>
      </c>
      <c r="CM26" s="57">
        <f t="shared" si="25"/>
        <v>7.666666666666667</v>
      </c>
      <c r="CN26" s="48" t="str">
        <f t="shared" si="26"/>
        <v>1-23</v>
      </c>
      <c r="CO26" s="53">
        <f t="shared" si="27"/>
        <v>5</v>
      </c>
      <c r="CP26" s="53">
        <f t="shared" si="28"/>
        <v>0</v>
      </c>
      <c r="CQ26" s="53">
        <f t="shared" si="29"/>
        <v>0</v>
      </c>
      <c r="CR26" s="58">
        <f t="shared" si="30"/>
        <v>23.002600000000001</v>
      </c>
      <c r="CS26" s="2">
        <f t="shared" si="14"/>
        <v>11</v>
      </c>
      <c r="CT26" s="106" t="str">
        <f t="shared" si="31"/>
        <v/>
      </c>
      <c r="CU26" s="2">
        <f t="shared" si="32"/>
        <v>0</v>
      </c>
    </row>
    <row r="27" spans="1:99" ht="11.25" customHeight="1" x14ac:dyDescent="0.15">
      <c r="A27" s="2" t="s">
        <v>360</v>
      </c>
      <c r="B27" s="2" t="s">
        <v>362</v>
      </c>
      <c r="G27" s="2" t="s">
        <v>261</v>
      </c>
      <c r="M27" s="58"/>
      <c r="CE27" s="53">
        <f t="shared" ref="CE27:CE29" si="161">BowlSplit(C27:BC27,InnsBowledIn)</f>
        <v>1</v>
      </c>
      <c r="CF27" s="53">
        <f t="shared" ref="CF27:CF29" si="162">BowlSplit(C27:CC27,BallsBowled)</f>
        <v>6</v>
      </c>
      <c r="CG27" s="55">
        <f t="shared" ref="CG27:CG29" si="163">BowlSplit(C27:CC27,OversBowled)</f>
        <v>1</v>
      </c>
      <c r="CH27" s="53">
        <f t="shared" ref="CH27:CH29" si="164">BowlSplit(C27:CC27,Maidens)</f>
        <v>0</v>
      </c>
      <c r="CI27" s="53">
        <f t="shared" ref="CI27:CI29" si="165">BowlSplit(C27:CC27,RunsConceded)</f>
        <v>7</v>
      </c>
      <c r="CJ27" s="53">
        <f t="shared" ref="CJ27:CJ29" si="166">BowlSplit(C27:CC27,WicketsTaken)</f>
        <v>0</v>
      </c>
      <c r="CK27" s="56" t="str">
        <f t="shared" ref="CK27:CK29" si="167">IF(CJ27&gt;0,ROUND(CI27/CJ27,2),"")</f>
        <v/>
      </c>
      <c r="CL27" s="57" t="str">
        <f t="shared" ref="CL27:CL29" si="168">IF(CJ27&gt;0,CF27/CJ27,"")</f>
        <v/>
      </c>
      <c r="CM27" s="57">
        <f t="shared" ref="CM27:CM29" si="169">IF(CF27&gt;0,6*CI27/CF27,"")</f>
        <v>7</v>
      </c>
      <c r="CN27" s="48" t="str">
        <f t="shared" ref="CN27:CN29" si="170">BowlSplit(C27:CC27,BestBowling)</f>
        <v>0-7</v>
      </c>
      <c r="CO27" s="53">
        <f t="shared" ref="CO27:CO29" si="171">BowlSplit(C27:CC27,BowlPts)</f>
        <v>-5</v>
      </c>
      <c r="CP27" s="53">
        <f t="shared" ref="CP27:CP29" si="172">BowlSplit(C27:CC27,Wides)</f>
        <v>0</v>
      </c>
      <c r="CQ27" s="53">
        <f t="shared" ref="CQ27:CQ29" si="173">BowlSplit(C27:CC27,NoBalls)</f>
        <v>0</v>
      </c>
      <c r="CR27" s="58">
        <f t="shared" ref="CR27:CR29" si="174">IF(CJ27&gt;0,CK27,IF(CF27&gt;0,CF27+1000,99999))+ROW(CQ27)/10000</f>
        <v>1006.0027</v>
      </c>
      <c r="CS27" s="2">
        <f t="shared" si="14"/>
        <v>23</v>
      </c>
      <c r="CT27" s="106" t="str">
        <f t="shared" ref="CT27:CT29" si="175">IF(CF27&gt;=120,CH27/CF27*6,"")</f>
        <v/>
      </c>
      <c r="CU27" s="2">
        <f t="shared" ref="CU27:CU29" si="176">BowlSplit(C27:CC27,FiveFors)</f>
        <v>0</v>
      </c>
    </row>
    <row r="28" spans="1:99" ht="11.25" customHeight="1" x14ac:dyDescent="0.15">
      <c r="B28" s="2" t="s">
        <v>580</v>
      </c>
      <c r="M28" s="58"/>
      <c r="T28" s="2" t="s">
        <v>578</v>
      </c>
      <c r="CE28" s="53">
        <f t="shared" si="161"/>
        <v>1</v>
      </c>
      <c r="CF28" s="53">
        <f t="shared" si="162"/>
        <v>24</v>
      </c>
      <c r="CG28" s="55">
        <f t="shared" si="163"/>
        <v>4</v>
      </c>
      <c r="CH28" s="53">
        <f t="shared" si="164"/>
        <v>0</v>
      </c>
      <c r="CI28" s="53">
        <f t="shared" si="165"/>
        <v>24</v>
      </c>
      <c r="CJ28" s="53">
        <f t="shared" si="166"/>
        <v>2</v>
      </c>
      <c r="CK28" s="56">
        <f t="shared" si="167"/>
        <v>12</v>
      </c>
      <c r="CL28" s="57">
        <f t="shared" si="168"/>
        <v>12</v>
      </c>
      <c r="CM28" s="57">
        <f t="shared" si="169"/>
        <v>6</v>
      </c>
      <c r="CN28" s="48" t="str">
        <f t="shared" si="170"/>
        <v>2-24</v>
      </c>
      <c r="CO28" s="53">
        <f t="shared" si="171"/>
        <v>15</v>
      </c>
      <c r="CP28" s="53">
        <f t="shared" si="172"/>
        <v>0</v>
      </c>
      <c r="CQ28" s="53">
        <f t="shared" si="173"/>
        <v>0</v>
      </c>
      <c r="CR28" s="58">
        <f t="shared" si="174"/>
        <v>12.002800000000001</v>
      </c>
      <c r="CS28" s="2">
        <f t="shared" si="14"/>
        <v>5</v>
      </c>
      <c r="CT28" s="106" t="str">
        <f t="shared" si="175"/>
        <v/>
      </c>
      <c r="CU28" s="2">
        <f t="shared" si="176"/>
        <v>0</v>
      </c>
    </row>
    <row r="29" spans="1:99" ht="11.25" customHeight="1" x14ac:dyDescent="0.15">
      <c r="B29" s="2" t="s">
        <v>581</v>
      </c>
      <c r="M29" s="58"/>
      <c r="T29" s="2" t="s">
        <v>575</v>
      </c>
      <c r="CE29" s="53">
        <f t="shared" si="161"/>
        <v>1</v>
      </c>
      <c r="CF29" s="53">
        <f t="shared" si="162"/>
        <v>48</v>
      </c>
      <c r="CG29" s="55">
        <f t="shared" si="163"/>
        <v>8</v>
      </c>
      <c r="CH29" s="53">
        <f t="shared" si="164"/>
        <v>0</v>
      </c>
      <c r="CI29" s="53">
        <f t="shared" si="165"/>
        <v>33</v>
      </c>
      <c r="CJ29" s="53">
        <f t="shared" si="166"/>
        <v>0</v>
      </c>
      <c r="CK29" s="56" t="str">
        <f t="shared" si="167"/>
        <v/>
      </c>
      <c r="CL29" s="57" t="str">
        <f t="shared" si="168"/>
        <v/>
      </c>
      <c r="CM29" s="57">
        <f t="shared" si="169"/>
        <v>4.125</v>
      </c>
      <c r="CN29" s="48" t="str">
        <f t="shared" si="170"/>
        <v>0-33</v>
      </c>
      <c r="CO29" s="53">
        <f t="shared" si="171"/>
        <v>0</v>
      </c>
      <c r="CP29" s="53">
        <f t="shared" si="172"/>
        <v>0</v>
      </c>
      <c r="CQ29" s="53">
        <f t="shared" si="173"/>
        <v>0</v>
      </c>
      <c r="CR29" s="58">
        <f t="shared" si="174"/>
        <v>1048.0029</v>
      </c>
      <c r="CS29" s="2">
        <f t="shared" si="14"/>
        <v>31</v>
      </c>
      <c r="CT29" s="106" t="str">
        <f t="shared" si="175"/>
        <v/>
      </c>
      <c r="CU29" s="2">
        <f t="shared" si="176"/>
        <v>0</v>
      </c>
    </row>
    <row r="30" spans="1:99" ht="11.25" customHeight="1" x14ac:dyDescent="0.15">
      <c r="B30" s="2" t="s">
        <v>242</v>
      </c>
      <c r="C30" s="2" t="s">
        <v>288</v>
      </c>
      <c r="E30" s="2" t="s">
        <v>310</v>
      </c>
      <c r="F30" s="2" t="s">
        <v>348</v>
      </c>
      <c r="G30" s="2" t="s">
        <v>367</v>
      </c>
      <c r="H30" s="2" t="s">
        <v>383</v>
      </c>
      <c r="I30" s="2" t="s">
        <v>396</v>
      </c>
      <c r="K30" s="2" t="s">
        <v>430</v>
      </c>
      <c r="L30" s="2" t="s">
        <v>446</v>
      </c>
      <c r="M30" s="58"/>
      <c r="N30" s="2" t="s">
        <v>468</v>
      </c>
      <c r="O30" s="2" t="s">
        <v>501</v>
      </c>
      <c r="P30" s="2" t="s">
        <v>517</v>
      </c>
      <c r="Q30" s="2" t="s">
        <v>536</v>
      </c>
      <c r="R30" s="2" t="s">
        <v>547</v>
      </c>
      <c r="S30" s="2" t="s">
        <v>566</v>
      </c>
      <c r="T30" s="2" t="s">
        <v>571</v>
      </c>
      <c r="U30" s="2" t="s">
        <v>595</v>
      </c>
      <c r="V30" s="2" t="s">
        <v>624</v>
      </c>
      <c r="W30" s="2" t="s">
        <v>647</v>
      </c>
      <c r="X30" s="2" t="s">
        <v>705</v>
      </c>
      <c r="Y30" s="2" t="s">
        <v>662</v>
      </c>
      <c r="CE30" s="53">
        <f t="shared" si="17"/>
        <v>20</v>
      </c>
      <c r="CF30" s="53">
        <f t="shared" si="18"/>
        <v>720</v>
      </c>
      <c r="CG30" s="55">
        <f t="shared" si="19"/>
        <v>120</v>
      </c>
      <c r="CH30" s="53">
        <f t="shared" si="20"/>
        <v>21</v>
      </c>
      <c r="CI30" s="53">
        <f t="shared" si="21"/>
        <v>444</v>
      </c>
      <c r="CJ30" s="53">
        <f t="shared" si="22"/>
        <v>31</v>
      </c>
      <c r="CK30" s="56">
        <f t="shared" si="23"/>
        <v>14.32</v>
      </c>
      <c r="CL30" s="57">
        <f t="shared" si="24"/>
        <v>23.225806451612904</v>
      </c>
      <c r="CM30" s="57">
        <f t="shared" si="25"/>
        <v>3.7</v>
      </c>
      <c r="CN30" s="48" t="str">
        <f t="shared" si="26"/>
        <v>5-10</v>
      </c>
      <c r="CO30" s="53">
        <f t="shared" si="27"/>
        <v>416</v>
      </c>
      <c r="CP30" s="53">
        <f t="shared" si="28"/>
        <v>0</v>
      </c>
      <c r="CQ30" s="53">
        <f t="shared" si="29"/>
        <v>0</v>
      </c>
      <c r="CR30" s="58">
        <f t="shared" si="30"/>
        <v>14.323</v>
      </c>
      <c r="CS30" s="2">
        <f t="shared" si="14"/>
        <v>6</v>
      </c>
      <c r="CT30" s="106">
        <f t="shared" si="31"/>
        <v>0.17499999999999999</v>
      </c>
      <c r="CU30" s="2">
        <f t="shared" si="32"/>
        <v>1</v>
      </c>
    </row>
    <row r="31" spans="1:99" ht="11.25" customHeight="1" x14ac:dyDescent="0.15">
      <c r="B31" s="2" t="s">
        <v>252</v>
      </c>
      <c r="E31" s="2" t="s">
        <v>313</v>
      </c>
      <c r="M31" s="58"/>
      <c r="CE31" s="53">
        <f t="shared" ref="CE31" si="177">BowlSplit(C31:BC31,InnsBowledIn)</f>
        <v>1</v>
      </c>
      <c r="CF31" s="53">
        <f t="shared" ref="CF31" si="178">BowlSplit(C31:CC31,BallsBowled)</f>
        <v>24</v>
      </c>
      <c r="CG31" s="55">
        <f t="shared" ref="CG31" si="179">BowlSplit(C31:CC31,OversBowled)</f>
        <v>4</v>
      </c>
      <c r="CH31" s="53">
        <f t="shared" ref="CH31" si="180">BowlSplit(C31:CC31,Maidens)</f>
        <v>1</v>
      </c>
      <c r="CI31" s="53">
        <f t="shared" ref="CI31" si="181">BowlSplit(C31:CC31,RunsConceded)</f>
        <v>12</v>
      </c>
      <c r="CJ31" s="53">
        <f t="shared" ref="CJ31" si="182">BowlSplit(C31:CC31,WicketsTaken)</f>
        <v>2</v>
      </c>
      <c r="CK31" s="56">
        <f t="shared" ref="CK31" si="183">IF(CJ31&gt;0,ROUND(CI31/CJ31,2),"")</f>
        <v>6</v>
      </c>
      <c r="CL31" s="57">
        <f t="shared" ref="CL31" si="184">IF(CJ31&gt;0,CF31/CJ31,"")</f>
        <v>12</v>
      </c>
      <c r="CM31" s="57">
        <f t="shared" ref="CM31" si="185">IF(CF31&gt;0,6*CI31/CF31,"")</f>
        <v>3</v>
      </c>
      <c r="CN31" s="48" t="str">
        <f t="shared" ref="CN31" si="186">BowlSplit(C31:CC31,BestBowling)</f>
        <v>2-12</v>
      </c>
      <c r="CO31" s="53">
        <f t="shared" ref="CO31" si="187">BowlSplit(C31:CC31,BowlPts)</f>
        <v>26</v>
      </c>
      <c r="CP31" s="53">
        <f t="shared" ref="CP31" si="188">BowlSplit(C31:CC31,Wides)</f>
        <v>0</v>
      </c>
      <c r="CQ31" s="53">
        <f t="shared" ref="CQ31" si="189">BowlSplit(C31:CC31,NoBalls)</f>
        <v>0</v>
      </c>
      <c r="CR31" s="58">
        <f t="shared" ref="CR31" si="190">IF(CJ31&gt;0,CK31,IF(CF31&gt;0,CF31+1000,99999))+ROW(CQ31)/10000</f>
        <v>6.0030999999999999</v>
      </c>
      <c r="CS31" s="2">
        <f t="shared" si="14"/>
        <v>1</v>
      </c>
      <c r="CT31" s="106" t="str">
        <f t="shared" ref="CT31" si="191">IF(CF31&gt;=120,CH31/CF31*6,"")</f>
        <v/>
      </c>
      <c r="CU31" s="2">
        <f t="shared" ref="CU31" si="192">BowlSplit(C31:CC31,FiveFors)</f>
        <v>0</v>
      </c>
    </row>
    <row r="32" spans="1:99" ht="11.25" customHeight="1" x14ac:dyDescent="0.15">
      <c r="B32" s="2" t="s">
        <v>709</v>
      </c>
      <c r="E32" s="2" t="s">
        <v>312</v>
      </c>
      <c r="I32" s="2" t="s">
        <v>397</v>
      </c>
      <c r="J32" s="2" t="s">
        <v>414</v>
      </c>
      <c r="K32" s="2" t="s">
        <v>429</v>
      </c>
      <c r="L32" s="2" t="s">
        <v>447</v>
      </c>
      <c r="M32" s="58" t="s">
        <v>454</v>
      </c>
      <c r="N32" s="2" t="s">
        <v>473</v>
      </c>
      <c r="P32" s="2" t="s">
        <v>415</v>
      </c>
      <c r="Q32" s="2" t="s">
        <v>534</v>
      </c>
      <c r="R32" s="2" t="s">
        <v>553</v>
      </c>
      <c r="S32" s="2" t="s">
        <v>568</v>
      </c>
      <c r="T32" s="2" t="s">
        <v>577</v>
      </c>
      <c r="U32" s="2" t="s">
        <v>599</v>
      </c>
      <c r="V32" s="2" t="s">
        <v>620</v>
      </c>
      <c r="Y32" s="2" t="s">
        <v>549</v>
      </c>
      <c r="CE32" s="53">
        <f t="shared" ref="CE32" si="193">BowlSplit(C32:BC32,InnsBowledIn)</f>
        <v>15</v>
      </c>
      <c r="CF32" s="53">
        <f t="shared" ref="CF32" si="194">BowlSplit(C32:CC32,BallsBowled)</f>
        <v>528</v>
      </c>
      <c r="CG32" s="55">
        <f t="shared" ref="CG32" si="195">BowlSplit(C32:CC32,OversBowled)</f>
        <v>88</v>
      </c>
      <c r="CH32" s="53">
        <f t="shared" ref="CH32" si="196">BowlSplit(C32:CC32,Maidens)</f>
        <v>8</v>
      </c>
      <c r="CI32" s="53">
        <f t="shared" ref="CI32" si="197">BowlSplit(C32:CC32,RunsConceded)</f>
        <v>420</v>
      </c>
      <c r="CJ32" s="53">
        <f t="shared" ref="CJ32" si="198">BowlSplit(C32:CC32,WicketsTaken)</f>
        <v>12</v>
      </c>
      <c r="CK32" s="56">
        <f t="shared" ref="CK32" si="199">IF(CJ32&gt;0,ROUND(CI32/CJ32,2),"")</f>
        <v>35</v>
      </c>
      <c r="CL32" s="57">
        <f t="shared" ref="CL32" si="200">IF(CJ32&gt;0,CF32/CJ32,"")</f>
        <v>44</v>
      </c>
      <c r="CM32" s="57">
        <f t="shared" ref="CM32" si="201">IF(CF32&gt;0,6*CI32/CF32,"")</f>
        <v>4.7727272727272725</v>
      </c>
      <c r="CN32" s="48" t="str">
        <f t="shared" ref="CN32" si="202">BowlSplit(C32:CC32,BestBowling)</f>
        <v>3-22</v>
      </c>
      <c r="CO32" s="53">
        <f t="shared" ref="CO32" si="203">BowlSplit(C32:CC32,BowlPts)</f>
        <v>133</v>
      </c>
      <c r="CP32" s="53">
        <f t="shared" ref="CP32" si="204">BowlSplit(C32:CC32,Wides)</f>
        <v>0</v>
      </c>
      <c r="CQ32" s="53">
        <f t="shared" ref="CQ32" si="205">BowlSplit(C32:CC32,NoBalls)</f>
        <v>0</v>
      </c>
      <c r="CR32" s="58">
        <f t="shared" ref="CR32" si="206">IF(CJ32&gt;0,CK32,IF(CF32&gt;0,CF32+1000,99999))+ROW(CQ32)/10000</f>
        <v>35.0032</v>
      </c>
      <c r="CS32" s="2">
        <f t="shared" si="14"/>
        <v>20</v>
      </c>
      <c r="CT32" s="106">
        <f t="shared" ref="CT32" si="207">IF(CF32&gt;=120,CH32/CF32*6,"")</f>
        <v>9.0909090909090912E-2</v>
      </c>
      <c r="CU32" s="2">
        <f t="shared" ref="CU32" si="208">BowlSplit(C32:CC32,FiveFors)</f>
        <v>0</v>
      </c>
    </row>
    <row r="33" spans="1:16384" ht="11.25" customHeight="1" x14ac:dyDescent="0.15">
      <c r="A33" s="122"/>
      <c r="B33" s="122" t="s">
        <v>451</v>
      </c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 t="s">
        <v>452</v>
      </c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 t="s">
        <v>664</v>
      </c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09">BowlSplit(C33:BC33,InnsBowledIn)</f>
        <v>2</v>
      </c>
      <c r="CF33" s="53">
        <f t="shared" ref="CF33" si="210">BowlSplit(C33:CC33,BallsBowled)</f>
        <v>72</v>
      </c>
      <c r="CG33" s="55">
        <f t="shared" ref="CG33" si="211">BowlSplit(C33:CC33,OversBowled)</f>
        <v>12</v>
      </c>
      <c r="CH33" s="53">
        <f t="shared" ref="CH33" si="212">BowlSplit(C33:CC33,Maidens)</f>
        <v>1</v>
      </c>
      <c r="CI33" s="53">
        <f t="shared" ref="CI33" si="213">BowlSplit(C33:CC33,RunsConceded)</f>
        <v>47</v>
      </c>
      <c r="CJ33" s="53">
        <f t="shared" ref="CJ33" si="214">BowlSplit(C33:CC33,WicketsTaken)</f>
        <v>0</v>
      </c>
      <c r="CK33" s="56" t="str">
        <f t="shared" ref="CK33" si="215">IF(CJ33&gt;0,ROUND(CI33/CJ33,2),"")</f>
        <v/>
      </c>
      <c r="CL33" s="57" t="str">
        <f t="shared" ref="CL33" si="216">IF(CJ33&gt;0,CF33/CJ33,"")</f>
        <v/>
      </c>
      <c r="CM33" s="57">
        <f t="shared" ref="CM33" si="217">IF(CF33&gt;0,6*CI33/CF33,"")</f>
        <v>3.9166666666666665</v>
      </c>
      <c r="CN33" s="48" t="str">
        <f t="shared" ref="CN33" si="218">BowlSplit(C33:CC33,BestBowling)</f>
        <v>0-6</v>
      </c>
      <c r="CO33" s="53">
        <f t="shared" ref="CO33" si="219">BowlSplit(C33:CC33,BowlPts)</f>
        <v>6</v>
      </c>
      <c r="CP33" s="53">
        <f t="shared" ref="CP33" si="220">BowlSplit(C33:CC33,Wides)</f>
        <v>0</v>
      </c>
      <c r="CQ33" s="53">
        <f t="shared" ref="CQ33" si="221">BowlSplit(C33:CC33,NoBalls)</f>
        <v>0</v>
      </c>
      <c r="CR33" s="58">
        <f t="shared" ref="CR33" si="222">IF(CJ33&gt;0,CK33,IF(CF33&gt;0,CF33+1000,99999))+ROW(CQ33)/10000</f>
        <v>1072.0033000000001</v>
      </c>
      <c r="CS33" s="2">
        <f t="shared" si="14"/>
        <v>32</v>
      </c>
      <c r="CT33" s="106" t="str">
        <f t="shared" ref="CT33" si="223">IF(CF33&gt;=120,CH33/CF33*6,"")</f>
        <v/>
      </c>
      <c r="CU33" s="2">
        <f t="shared" ref="CU33" si="224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A34" s="122"/>
      <c r="B34" s="179" t="s">
        <v>616</v>
      </c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 t="s">
        <v>621</v>
      </c>
      <c r="W34" s="122" t="s">
        <v>646</v>
      </c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2"/>
      <c r="BE34" s="122"/>
      <c r="BF34" s="122"/>
      <c r="BG34" s="122"/>
      <c r="BH34" s="122"/>
      <c r="BI34" s="122"/>
      <c r="BJ34" s="122"/>
      <c r="BK34" s="122"/>
      <c r="BL34" s="122"/>
      <c r="BM34" s="122"/>
      <c r="BN34" s="122"/>
      <c r="BO34" s="122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53">
        <f t="shared" ref="CE34" si="225">BowlSplit(C34:BC34,InnsBowledIn)</f>
        <v>2</v>
      </c>
      <c r="CF34" s="53">
        <f t="shared" ref="CF34" si="226">BowlSplit(C34:CC34,BallsBowled)</f>
        <v>30</v>
      </c>
      <c r="CG34" s="55">
        <f t="shared" ref="CG34" si="227">BowlSplit(C34:CC34,OversBowled)</f>
        <v>5</v>
      </c>
      <c r="CH34" s="53">
        <f t="shared" ref="CH34" si="228">BowlSplit(C34:CC34,Maidens)</f>
        <v>0</v>
      </c>
      <c r="CI34" s="53">
        <f t="shared" ref="CI34" si="229">BowlSplit(C34:CC34,RunsConceded)</f>
        <v>36</v>
      </c>
      <c r="CJ34" s="53">
        <f t="shared" ref="CJ34" si="230">BowlSplit(C34:CC34,WicketsTaken)</f>
        <v>0</v>
      </c>
      <c r="CK34" s="56" t="str">
        <f t="shared" ref="CK34" si="231">IF(CJ34&gt;0,ROUND(CI34/CJ34,2),"")</f>
        <v/>
      </c>
      <c r="CL34" s="57" t="str">
        <f t="shared" ref="CL34" si="232">IF(CJ34&gt;0,CF34/CJ34,"")</f>
        <v/>
      </c>
      <c r="CM34" s="57">
        <f t="shared" ref="CM34" si="233">IF(CF34&gt;0,6*CI34/CF34,"")</f>
        <v>7.2</v>
      </c>
      <c r="CN34" s="48" t="str">
        <f t="shared" ref="CN34" si="234">BowlSplit(C34:CC34,BestBowling)</f>
        <v>0-18</v>
      </c>
      <c r="CO34" s="53">
        <f t="shared" ref="CO34" si="235">BowlSplit(C34:CC34,BowlPts)</f>
        <v>-10</v>
      </c>
      <c r="CP34" s="53">
        <f t="shared" ref="CP34" si="236">BowlSplit(C34:CC34,Wides)</f>
        <v>0</v>
      </c>
      <c r="CQ34" s="53">
        <f t="shared" ref="CQ34" si="237">BowlSplit(C34:CC34,NoBalls)</f>
        <v>0</v>
      </c>
      <c r="CR34" s="58">
        <f t="shared" ref="CR34" si="238">IF(CJ34&gt;0,CK34,IF(CF34&gt;0,CF34+1000,99999))+ROW(CQ34)/10000</f>
        <v>1030.0034000000001</v>
      </c>
      <c r="CS34" s="2">
        <f t="shared" si="14"/>
        <v>29</v>
      </c>
      <c r="CT34" s="106" t="str">
        <f t="shared" ref="CT34" si="239">IF(CF34&gt;=120,CH34/CF34*6,"")</f>
        <v/>
      </c>
      <c r="CU34" s="2">
        <f t="shared" ref="CU34" si="240">BowlSplit(C34:CC34,FiveFors)</f>
        <v>0</v>
      </c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R34" s="122"/>
      <c r="MS34" s="122"/>
      <c r="MT34" s="122"/>
      <c r="MU34" s="122"/>
      <c r="MV34" s="122"/>
      <c r="MW34" s="122"/>
      <c r="MX34" s="122"/>
      <c r="MY34" s="122"/>
      <c r="MZ34" s="122"/>
      <c r="NA34" s="122"/>
      <c r="NB34" s="122"/>
      <c r="NC34" s="122"/>
      <c r="ND34" s="122"/>
      <c r="NE34" s="122"/>
      <c r="NF34" s="122"/>
      <c r="NG34" s="122"/>
      <c r="NH34" s="122"/>
      <c r="NI34" s="122"/>
      <c r="NJ34" s="122"/>
      <c r="NK34" s="122"/>
      <c r="NL34" s="122"/>
      <c r="NM34" s="122"/>
      <c r="NN34" s="122"/>
      <c r="NO34" s="122"/>
      <c r="NP34" s="122"/>
      <c r="NQ34" s="122"/>
      <c r="NR34" s="122"/>
      <c r="NS34" s="122"/>
      <c r="NT34" s="122"/>
      <c r="NU34" s="122"/>
      <c r="NV34" s="122"/>
      <c r="NW34" s="122"/>
      <c r="NX34" s="122"/>
      <c r="NY34" s="122"/>
      <c r="NZ34" s="122"/>
      <c r="OA34" s="122"/>
      <c r="OB34" s="122"/>
      <c r="OC34" s="122"/>
      <c r="OD34" s="122"/>
      <c r="OE34" s="122"/>
      <c r="OF34" s="122"/>
      <c r="OG34" s="122"/>
      <c r="OH34" s="122"/>
      <c r="OI34" s="122"/>
      <c r="OJ34" s="122"/>
      <c r="OK34" s="122"/>
      <c r="OL34" s="122"/>
      <c r="OM34" s="122"/>
      <c r="ON34" s="122"/>
      <c r="OO34" s="122"/>
      <c r="OP34" s="122"/>
      <c r="OQ34" s="122"/>
      <c r="OR34" s="122"/>
      <c r="OS34" s="122"/>
      <c r="OT34" s="122"/>
      <c r="OU34" s="122"/>
      <c r="OV34" s="122"/>
      <c r="OW34" s="122"/>
      <c r="OX34" s="122"/>
      <c r="OY34" s="122"/>
      <c r="OZ34" s="122"/>
      <c r="PA34" s="122"/>
      <c r="PB34" s="122"/>
      <c r="PC34" s="122"/>
      <c r="PD34" s="122"/>
      <c r="PE34" s="122"/>
      <c r="PF34" s="122"/>
      <c r="PG34" s="122"/>
      <c r="PH34" s="122"/>
      <c r="PI34" s="122"/>
      <c r="PJ34" s="122"/>
      <c r="PK34" s="122"/>
      <c r="PL34" s="122"/>
      <c r="PM34" s="122"/>
      <c r="PN34" s="122"/>
      <c r="PO34" s="122"/>
      <c r="PP34" s="122"/>
      <c r="PQ34" s="122"/>
      <c r="PR34" s="122"/>
      <c r="PS34" s="122"/>
      <c r="PT34" s="122"/>
      <c r="PU34" s="122"/>
      <c r="PV34" s="122"/>
      <c r="PW34" s="122"/>
      <c r="PX34" s="122"/>
      <c r="PY34" s="122"/>
      <c r="PZ34" s="122"/>
      <c r="QA34" s="122"/>
      <c r="QB34" s="122"/>
      <c r="QC34" s="122"/>
      <c r="QD34" s="122"/>
      <c r="QE34" s="122"/>
      <c r="QF34" s="122"/>
      <c r="QG34" s="122"/>
      <c r="QH34" s="122"/>
      <c r="QI34" s="122"/>
      <c r="QJ34" s="122"/>
      <c r="QK34" s="122"/>
      <c r="QL34" s="122"/>
      <c r="QM34" s="122"/>
      <c r="QN34" s="122"/>
      <c r="QO34" s="122"/>
      <c r="QP34" s="122"/>
      <c r="QQ34" s="122"/>
      <c r="QR34" s="122"/>
      <c r="QS34" s="122"/>
      <c r="QT34" s="122"/>
      <c r="QU34" s="122"/>
      <c r="QV34" s="122"/>
      <c r="QW34" s="122"/>
      <c r="QX34" s="122"/>
      <c r="QY34" s="122"/>
      <c r="QZ34" s="122"/>
      <c r="RA34" s="122"/>
      <c r="RB34" s="122"/>
      <c r="RC34" s="122"/>
      <c r="RD34" s="122"/>
      <c r="RE34" s="122"/>
      <c r="RF34" s="122"/>
      <c r="RG34" s="122"/>
      <c r="RH34" s="122"/>
      <c r="RI34" s="122"/>
      <c r="RJ34" s="122"/>
      <c r="RK34" s="122"/>
      <c r="RL34" s="122"/>
      <c r="RM34" s="122"/>
      <c r="RN34" s="122"/>
      <c r="RO34" s="122"/>
      <c r="RP34" s="122"/>
      <c r="RQ34" s="122"/>
      <c r="RR34" s="122"/>
      <c r="RS34" s="122"/>
      <c r="RT34" s="122"/>
      <c r="RU34" s="122"/>
      <c r="RV34" s="122"/>
      <c r="RW34" s="122"/>
      <c r="RX34" s="122"/>
      <c r="RY34" s="122"/>
      <c r="RZ34" s="122"/>
      <c r="SA34" s="122"/>
      <c r="SB34" s="122"/>
      <c r="SC34" s="122"/>
      <c r="SD34" s="122"/>
      <c r="SE34" s="122"/>
      <c r="SF34" s="122"/>
      <c r="SG34" s="122"/>
      <c r="SH34" s="122"/>
      <c r="SI34" s="122"/>
      <c r="SJ34" s="122"/>
      <c r="SK34" s="122"/>
      <c r="SL34" s="122"/>
      <c r="SM34" s="122"/>
      <c r="SN34" s="122"/>
      <c r="SO34" s="122"/>
      <c r="SP34" s="122"/>
      <c r="SQ34" s="122"/>
      <c r="SR34" s="122"/>
      <c r="SS34" s="122"/>
      <c r="ST34" s="122"/>
      <c r="SU34" s="122"/>
      <c r="SV34" s="122"/>
      <c r="SW34" s="122"/>
      <c r="SX34" s="122"/>
      <c r="SY34" s="122"/>
      <c r="SZ34" s="122"/>
      <c r="TA34" s="122"/>
      <c r="TB34" s="122"/>
      <c r="TC34" s="122"/>
      <c r="TD34" s="122"/>
      <c r="TE34" s="122"/>
      <c r="TF34" s="122"/>
      <c r="TG34" s="122"/>
      <c r="TH34" s="122"/>
      <c r="TI34" s="122"/>
      <c r="TJ34" s="122"/>
      <c r="TK34" s="122"/>
      <c r="TL34" s="122"/>
      <c r="TM34" s="122"/>
      <c r="TN34" s="122"/>
      <c r="TO34" s="122"/>
      <c r="TP34" s="122"/>
      <c r="TQ34" s="122"/>
      <c r="TR34" s="122"/>
      <c r="TS34" s="122"/>
      <c r="TT34" s="122"/>
      <c r="TU34" s="122"/>
      <c r="TV34" s="122"/>
      <c r="TW34" s="122"/>
      <c r="TX34" s="122"/>
      <c r="TY34" s="122"/>
      <c r="TZ34" s="122"/>
      <c r="UA34" s="122"/>
      <c r="UB34" s="122"/>
      <c r="UC34" s="122"/>
      <c r="UD34" s="122"/>
      <c r="UE34" s="122"/>
      <c r="UF34" s="122"/>
      <c r="UG34" s="122"/>
      <c r="UH34" s="122"/>
      <c r="UI34" s="122"/>
      <c r="UJ34" s="122"/>
      <c r="UK34" s="122"/>
      <c r="UL34" s="122"/>
      <c r="UM34" s="122"/>
      <c r="UN34" s="122"/>
      <c r="UO34" s="122"/>
      <c r="UP34" s="122"/>
      <c r="UQ34" s="122"/>
      <c r="UR34" s="122"/>
      <c r="US34" s="122"/>
      <c r="UT34" s="122"/>
      <c r="UU34" s="122"/>
      <c r="UV34" s="122"/>
      <c r="UW34" s="122"/>
      <c r="UX34" s="122"/>
      <c r="UY34" s="122"/>
      <c r="UZ34" s="122"/>
      <c r="VA34" s="122"/>
      <c r="VB34" s="122"/>
      <c r="VC34" s="122"/>
      <c r="VD34" s="122"/>
      <c r="VE34" s="122"/>
      <c r="VF34" s="122"/>
      <c r="VG34" s="122"/>
      <c r="VH34" s="122"/>
      <c r="VI34" s="122"/>
      <c r="VJ34" s="122"/>
      <c r="VK34" s="122"/>
      <c r="VL34" s="122"/>
      <c r="VM34" s="122"/>
      <c r="VN34" s="122"/>
      <c r="VO34" s="122"/>
      <c r="VP34" s="122"/>
      <c r="VQ34" s="122"/>
      <c r="VR34" s="122"/>
      <c r="VS34" s="122"/>
      <c r="VT34" s="122"/>
      <c r="VU34" s="122"/>
      <c r="VV34" s="122"/>
      <c r="VW34" s="122"/>
      <c r="VX34" s="122"/>
      <c r="VY34" s="122"/>
      <c r="VZ34" s="122"/>
      <c r="WA34" s="122"/>
      <c r="WB34" s="122"/>
      <c r="WC34" s="122"/>
      <c r="WD34" s="122"/>
      <c r="WE34" s="122"/>
      <c r="WF34" s="122"/>
      <c r="WG34" s="122"/>
      <c r="WH34" s="122"/>
      <c r="WI34" s="122"/>
      <c r="WJ34" s="122"/>
      <c r="WK34" s="122"/>
      <c r="WL34" s="122"/>
      <c r="WM34" s="122"/>
      <c r="WN34" s="122"/>
      <c r="WO34" s="122"/>
      <c r="WP34" s="122"/>
      <c r="WQ34" s="122"/>
      <c r="WR34" s="122"/>
      <c r="WS34" s="122"/>
      <c r="WT34" s="122"/>
      <c r="WU34" s="122"/>
      <c r="WV34" s="122"/>
      <c r="WW34" s="122"/>
      <c r="WX34" s="122"/>
      <c r="WY34" s="122"/>
      <c r="WZ34" s="122"/>
      <c r="XA34" s="122"/>
      <c r="XB34" s="122"/>
      <c r="XC34" s="122"/>
      <c r="XD34" s="122"/>
      <c r="XE34" s="122"/>
      <c r="XF34" s="122"/>
      <c r="XG34" s="122"/>
      <c r="XH34" s="122"/>
      <c r="XI34" s="122"/>
      <c r="XJ34" s="122"/>
      <c r="XK34" s="122"/>
      <c r="XL34" s="122"/>
      <c r="XM34" s="122"/>
      <c r="XN34" s="122"/>
      <c r="XO34" s="122"/>
      <c r="XP34" s="122"/>
      <c r="XQ34" s="122"/>
      <c r="XR34" s="122"/>
      <c r="XS34" s="122"/>
      <c r="XT34" s="122"/>
      <c r="XU34" s="122"/>
      <c r="XV34" s="122"/>
      <c r="XW34" s="122"/>
      <c r="XX34" s="122"/>
      <c r="XY34" s="122"/>
      <c r="XZ34" s="122"/>
      <c r="YA34" s="122"/>
      <c r="YB34" s="122"/>
      <c r="YC34" s="122"/>
      <c r="YD34" s="122"/>
      <c r="YE34" s="122"/>
      <c r="YF34" s="122"/>
      <c r="YG34" s="122"/>
      <c r="YH34" s="122"/>
      <c r="YI34" s="122"/>
      <c r="YJ34" s="122"/>
      <c r="YK34" s="122"/>
      <c r="YL34" s="122"/>
      <c r="YM34" s="122"/>
      <c r="YN34" s="122"/>
      <c r="YO34" s="122"/>
      <c r="YP34" s="122"/>
      <c r="YQ34" s="122"/>
      <c r="YR34" s="122"/>
      <c r="YS34" s="122"/>
      <c r="YT34" s="122"/>
      <c r="YU34" s="122"/>
      <c r="YV34" s="122"/>
      <c r="YW34" s="122"/>
      <c r="YX34" s="122"/>
      <c r="YY34" s="122"/>
      <c r="YZ34" s="122"/>
      <c r="ZA34" s="122"/>
      <c r="ZB34" s="122"/>
      <c r="ZC34" s="122"/>
      <c r="ZD34" s="122"/>
      <c r="ZE34" s="122"/>
      <c r="ZF34" s="122"/>
      <c r="ZG34" s="122"/>
      <c r="ZH34" s="122"/>
      <c r="ZI34" s="122"/>
      <c r="ZJ34" s="122"/>
      <c r="ZK34" s="122"/>
      <c r="ZL34" s="122"/>
      <c r="ZM34" s="122"/>
      <c r="ZN34" s="122"/>
      <c r="ZO34" s="122"/>
      <c r="ZP34" s="122"/>
      <c r="ZQ34" s="122"/>
      <c r="ZR34" s="122"/>
      <c r="ZS34" s="122"/>
      <c r="ZT34" s="122"/>
      <c r="ZU34" s="122"/>
      <c r="ZV34" s="122"/>
      <c r="ZW34" s="122"/>
      <c r="ZX34" s="122"/>
      <c r="ZY34" s="122"/>
      <c r="ZZ34" s="122"/>
      <c r="AAA34" s="122"/>
      <c r="AAB34" s="122"/>
      <c r="AAC34" s="122"/>
      <c r="AAD34" s="122"/>
      <c r="AAE34" s="122"/>
      <c r="AAF34" s="122"/>
      <c r="AAG34" s="122"/>
      <c r="AAH34" s="122"/>
      <c r="AAI34" s="122"/>
      <c r="AAJ34" s="122"/>
      <c r="AAK34" s="122"/>
      <c r="AAL34" s="122"/>
      <c r="AAM34" s="122"/>
      <c r="AAN34" s="122"/>
      <c r="AAO34" s="122"/>
      <c r="AAP34" s="122"/>
      <c r="AAQ34" s="122"/>
      <c r="AAR34" s="122"/>
      <c r="AAS34" s="122"/>
      <c r="AAT34" s="122"/>
      <c r="AAU34" s="122"/>
      <c r="AAV34" s="122"/>
      <c r="AAW34" s="122"/>
      <c r="AAX34" s="122"/>
      <c r="AAY34" s="122"/>
      <c r="AAZ34" s="122"/>
      <c r="ABA34" s="122"/>
      <c r="ABB34" s="122"/>
      <c r="ABC34" s="122"/>
      <c r="ABD34" s="122"/>
      <c r="ABE34" s="122"/>
      <c r="ABF34" s="122"/>
      <c r="ABG34" s="122"/>
      <c r="ABH34" s="122"/>
      <c r="ABI34" s="122"/>
      <c r="ABJ34" s="122"/>
      <c r="ABK34" s="122"/>
      <c r="ABL34" s="122"/>
      <c r="ABM34" s="122"/>
      <c r="ABN34" s="122"/>
      <c r="ABO34" s="122"/>
      <c r="ABP34" s="122"/>
      <c r="ABQ34" s="122"/>
      <c r="ABR34" s="122"/>
      <c r="ABS34" s="122"/>
      <c r="ABT34" s="122"/>
      <c r="ABU34" s="122"/>
      <c r="ABV34" s="122"/>
      <c r="ABW34" s="122"/>
      <c r="ABX34" s="122"/>
      <c r="ABY34" s="122"/>
      <c r="ABZ34" s="122"/>
      <c r="ACA34" s="122"/>
      <c r="ACB34" s="122"/>
      <c r="ACC34" s="122"/>
      <c r="ACD34" s="122"/>
      <c r="ACE34" s="122"/>
      <c r="ACF34" s="122"/>
      <c r="ACG34" s="122"/>
      <c r="ACH34" s="122"/>
      <c r="ACI34" s="122"/>
      <c r="ACJ34" s="122"/>
      <c r="ACK34" s="122"/>
      <c r="ACL34" s="122"/>
      <c r="ACM34" s="122"/>
      <c r="ACN34" s="122"/>
      <c r="ACO34" s="122"/>
      <c r="ACP34" s="122"/>
      <c r="ACQ34" s="122"/>
      <c r="ACR34" s="122"/>
      <c r="ACS34" s="122"/>
      <c r="ACT34" s="122"/>
      <c r="ACU34" s="122"/>
      <c r="ACV34" s="122"/>
      <c r="ACW34" s="122"/>
      <c r="ACX34" s="122"/>
      <c r="ACY34" s="122"/>
      <c r="ACZ34" s="122"/>
      <c r="ADA34" s="122"/>
      <c r="ADB34" s="122"/>
      <c r="ADC34" s="122"/>
      <c r="ADD34" s="122"/>
      <c r="ADE34" s="122"/>
      <c r="ADF34" s="122"/>
      <c r="ADG34" s="122"/>
      <c r="ADH34" s="122"/>
      <c r="ADI34" s="122"/>
      <c r="ADJ34" s="122"/>
      <c r="ADK34" s="122"/>
      <c r="ADL34" s="122"/>
      <c r="ADM34" s="122"/>
      <c r="ADN34" s="122"/>
      <c r="ADO34" s="122"/>
      <c r="ADP34" s="122"/>
      <c r="ADQ34" s="122"/>
      <c r="ADR34" s="122"/>
      <c r="ADS34" s="122"/>
      <c r="ADT34" s="122"/>
      <c r="ADU34" s="122"/>
      <c r="ADV34" s="122"/>
      <c r="ADW34" s="122"/>
      <c r="ADX34" s="122"/>
      <c r="ADY34" s="122"/>
      <c r="ADZ34" s="122"/>
      <c r="AEA34" s="122"/>
      <c r="AEB34" s="122"/>
      <c r="AEC34" s="122"/>
      <c r="AED34" s="122"/>
      <c r="AEE34" s="122"/>
      <c r="AEF34" s="122"/>
      <c r="AEG34" s="122"/>
      <c r="AEH34" s="122"/>
      <c r="AEI34" s="122"/>
      <c r="AEJ34" s="122"/>
      <c r="AEK34" s="122"/>
      <c r="AEL34" s="122"/>
      <c r="AEM34" s="122"/>
      <c r="AEN34" s="122"/>
      <c r="AEO34" s="122"/>
      <c r="AEP34" s="122"/>
      <c r="AEQ34" s="122"/>
      <c r="AER34" s="122"/>
      <c r="AES34" s="122"/>
      <c r="AET34" s="122"/>
      <c r="AEU34" s="122"/>
      <c r="AEV34" s="122"/>
      <c r="AEW34" s="122"/>
      <c r="AEX34" s="122"/>
      <c r="AEY34" s="122"/>
      <c r="AEZ34" s="122"/>
      <c r="AFA34" s="122"/>
      <c r="AFB34" s="122"/>
      <c r="AFC34" s="122"/>
      <c r="AFD34" s="122"/>
      <c r="AFE34" s="122"/>
      <c r="AFF34" s="122"/>
      <c r="AFG34" s="122"/>
      <c r="AFH34" s="122"/>
      <c r="AFI34" s="122"/>
      <c r="AFJ34" s="122"/>
      <c r="AFK34" s="122"/>
      <c r="AFL34" s="122"/>
      <c r="AFM34" s="122"/>
      <c r="AFN34" s="122"/>
      <c r="AFO34" s="122"/>
      <c r="AFP34" s="122"/>
      <c r="AFQ34" s="122"/>
      <c r="AFR34" s="122"/>
      <c r="AFS34" s="122"/>
      <c r="AFT34" s="122"/>
      <c r="AFU34" s="122"/>
      <c r="AFV34" s="122"/>
      <c r="AFW34" s="122"/>
      <c r="AFX34" s="122"/>
      <c r="AFY34" s="122"/>
      <c r="AFZ34" s="122"/>
      <c r="AGA34" s="122"/>
      <c r="AGB34" s="122"/>
      <c r="AGC34" s="122"/>
      <c r="AGD34" s="122"/>
      <c r="AGE34" s="122"/>
      <c r="AGF34" s="122"/>
      <c r="AGG34" s="122"/>
      <c r="AGH34" s="122"/>
      <c r="AGI34" s="122"/>
      <c r="AGJ34" s="122"/>
      <c r="AGK34" s="122"/>
      <c r="AGL34" s="122"/>
      <c r="AGM34" s="122"/>
      <c r="AGN34" s="122"/>
      <c r="AGO34" s="122"/>
      <c r="AGP34" s="122"/>
      <c r="AGQ34" s="122"/>
      <c r="AGR34" s="122"/>
      <c r="AGS34" s="122"/>
      <c r="AGT34" s="122"/>
      <c r="AGU34" s="122"/>
      <c r="AGV34" s="122"/>
      <c r="AGW34" s="122"/>
      <c r="AGX34" s="122"/>
      <c r="AGY34" s="122"/>
      <c r="AGZ34" s="122"/>
      <c r="AHA34" s="122"/>
      <c r="AHB34" s="122"/>
      <c r="AHC34" s="122"/>
      <c r="AHD34" s="122"/>
      <c r="AHE34" s="122"/>
      <c r="AHF34" s="122"/>
      <c r="AHG34" s="122"/>
      <c r="AHH34" s="122"/>
      <c r="AHI34" s="122"/>
      <c r="AHJ34" s="122"/>
      <c r="AHK34" s="122"/>
      <c r="AHL34" s="122"/>
      <c r="AHM34" s="122"/>
      <c r="AHN34" s="122"/>
      <c r="AHO34" s="122"/>
      <c r="AHP34" s="122"/>
      <c r="AHQ34" s="122"/>
      <c r="AHR34" s="122"/>
      <c r="AHS34" s="122"/>
      <c r="AHT34" s="122"/>
      <c r="AHU34" s="122"/>
      <c r="AHV34" s="122"/>
      <c r="AHW34" s="122"/>
      <c r="AHX34" s="122"/>
      <c r="AHY34" s="122"/>
      <c r="AHZ34" s="122"/>
      <c r="AIA34" s="122"/>
      <c r="AIB34" s="122"/>
      <c r="AIC34" s="122"/>
      <c r="AID34" s="122"/>
      <c r="AIE34" s="122"/>
      <c r="AIF34" s="122"/>
      <c r="AIG34" s="122"/>
      <c r="AIH34" s="122"/>
      <c r="AII34" s="122"/>
      <c r="AIJ34" s="122"/>
      <c r="AIK34" s="122"/>
      <c r="AIL34" s="122"/>
      <c r="AIM34" s="122"/>
      <c r="AIN34" s="122"/>
      <c r="AIO34" s="122"/>
      <c r="AIP34" s="122"/>
      <c r="AIQ34" s="122"/>
      <c r="AIR34" s="122"/>
      <c r="AIS34" s="122"/>
      <c r="AIT34" s="122"/>
      <c r="AIU34" s="122"/>
      <c r="AIV34" s="122"/>
      <c r="AIW34" s="122"/>
      <c r="AIX34" s="122"/>
      <c r="AIY34" s="122"/>
      <c r="AIZ34" s="122"/>
      <c r="AJA34" s="122"/>
      <c r="AJB34" s="122"/>
      <c r="AJC34" s="122"/>
      <c r="AJD34" s="122"/>
      <c r="AJE34" s="122"/>
      <c r="AJF34" s="122"/>
      <c r="AJG34" s="122"/>
      <c r="AJH34" s="122"/>
      <c r="AJI34" s="122"/>
      <c r="AJJ34" s="122"/>
      <c r="AJK34" s="122"/>
      <c r="AJL34" s="122"/>
      <c r="AJM34" s="122"/>
      <c r="AJN34" s="122"/>
      <c r="AJO34" s="122"/>
      <c r="AJP34" s="122"/>
      <c r="AJQ34" s="122"/>
      <c r="AJR34" s="122"/>
      <c r="AJS34" s="122"/>
      <c r="AJT34" s="122"/>
      <c r="AJU34" s="122"/>
      <c r="AJV34" s="122"/>
      <c r="AJW34" s="122"/>
      <c r="AJX34" s="122"/>
      <c r="AJY34" s="122"/>
      <c r="AJZ34" s="122"/>
      <c r="AKA34" s="122"/>
      <c r="AKB34" s="122"/>
      <c r="AKC34" s="122"/>
      <c r="AKD34" s="122"/>
      <c r="AKE34" s="122"/>
      <c r="AKF34" s="122"/>
      <c r="AKG34" s="122"/>
      <c r="AKH34" s="122"/>
      <c r="AKI34" s="122"/>
      <c r="AKJ34" s="122"/>
      <c r="AKK34" s="122"/>
      <c r="AKL34" s="122"/>
      <c r="AKM34" s="122"/>
      <c r="AKN34" s="122"/>
      <c r="AKO34" s="122"/>
      <c r="AKP34" s="122"/>
      <c r="AKQ34" s="122"/>
      <c r="AKR34" s="122"/>
      <c r="AKS34" s="122"/>
      <c r="AKT34" s="122"/>
      <c r="AKU34" s="122"/>
      <c r="AKV34" s="122"/>
      <c r="AKW34" s="122"/>
      <c r="AKX34" s="122"/>
      <c r="AKY34" s="122"/>
      <c r="AKZ34" s="122"/>
      <c r="ALA34" s="122"/>
      <c r="ALB34" s="122"/>
      <c r="ALC34" s="122"/>
      <c r="ALD34" s="122"/>
      <c r="ALE34" s="122"/>
      <c r="ALF34" s="122"/>
      <c r="ALG34" s="122"/>
      <c r="ALH34" s="122"/>
      <c r="ALI34" s="122"/>
      <c r="ALJ34" s="122"/>
      <c r="ALK34" s="122"/>
      <c r="ALL34" s="122"/>
      <c r="ALM34" s="122"/>
      <c r="ALN34" s="122"/>
      <c r="ALO34" s="122"/>
      <c r="ALP34" s="122"/>
      <c r="ALQ34" s="122"/>
      <c r="ALR34" s="122"/>
      <c r="ALS34" s="122"/>
      <c r="ALT34" s="122"/>
      <c r="ALU34" s="122"/>
      <c r="ALV34" s="122"/>
      <c r="ALW34" s="122"/>
      <c r="ALX34" s="122"/>
      <c r="ALY34" s="122"/>
      <c r="ALZ34" s="122"/>
      <c r="AMA34" s="122"/>
      <c r="AMB34" s="122"/>
      <c r="AMC34" s="122"/>
      <c r="AMD34" s="122"/>
      <c r="AME34" s="122"/>
      <c r="AMF34" s="122"/>
      <c r="AMG34" s="122"/>
      <c r="AMH34" s="122"/>
      <c r="AMI34" s="122"/>
      <c r="AMJ34" s="122"/>
      <c r="AMK34" s="122"/>
      <c r="AML34" s="122"/>
      <c r="AMM34" s="122"/>
      <c r="AMN34" s="122"/>
      <c r="AMO34" s="122"/>
      <c r="AMP34" s="122"/>
      <c r="AMQ34" s="122"/>
      <c r="AMR34" s="122"/>
      <c r="AMS34" s="122"/>
      <c r="AMT34" s="122"/>
      <c r="AMU34" s="122"/>
      <c r="AMV34" s="122"/>
      <c r="AMW34" s="122"/>
      <c r="AMX34" s="122"/>
      <c r="AMY34" s="122"/>
      <c r="AMZ34" s="122"/>
      <c r="ANA34" s="122"/>
      <c r="ANB34" s="122"/>
      <c r="ANC34" s="122"/>
      <c r="AND34" s="122"/>
      <c r="ANE34" s="122"/>
      <c r="ANF34" s="122"/>
      <c r="ANG34" s="122"/>
      <c r="ANH34" s="122"/>
      <c r="ANI34" s="122"/>
      <c r="ANJ34" s="122"/>
      <c r="ANK34" s="122"/>
      <c r="ANL34" s="122"/>
      <c r="ANM34" s="122"/>
      <c r="ANN34" s="122"/>
      <c r="ANO34" s="122"/>
      <c r="ANP34" s="122"/>
      <c r="ANQ34" s="122"/>
      <c r="ANR34" s="122"/>
      <c r="ANS34" s="122"/>
      <c r="ANT34" s="122"/>
      <c r="ANU34" s="122"/>
      <c r="ANV34" s="122"/>
      <c r="ANW34" s="122"/>
      <c r="ANX34" s="122"/>
      <c r="ANY34" s="122"/>
      <c r="ANZ34" s="122"/>
      <c r="AOA34" s="122"/>
      <c r="AOB34" s="122"/>
      <c r="AOC34" s="122"/>
      <c r="AOD34" s="122"/>
      <c r="AOE34" s="122"/>
      <c r="AOF34" s="122"/>
      <c r="AOG34" s="122"/>
      <c r="AOH34" s="122"/>
      <c r="AOI34" s="122"/>
      <c r="AOJ34" s="122"/>
      <c r="AOK34" s="122"/>
      <c r="AOL34" s="122"/>
      <c r="AOM34" s="122"/>
      <c r="AON34" s="122"/>
      <c r="AOO34" s="122"/>
      <c r="AOP34" s="122"/>
      <c r="AOQ34" s="122"/>
      <c r="AOR34" s="122"/>
      <c r="AOS34" s="122"/>
      <c r="AOT34" s="122"/>
      <c r="AOU34" s="122"/>
      <c r="AOV34" s="122"/>
      <c r="AOW34" s="122"/>
      <c r="AOX34" s="122"/>
      <c r="AOY34" s="122"/>
      <c r="AOZ34" s="122"/>
      <c r="APA34" s="122"/>
      <c r="APB34" s="122"/>
      <c r="APC34" s="122"/>
      <c r="APD34" s="122"/>
      <c r="APE34" s="122"/>
      <c r="APF34" s="122"/>
      <c r="APG34" s="122"/>
      <c r="APH34" s="122"/>
      <c r="API34" s="122"/>
      <c r="APJ34" s="122"/>
      <c r="APK34" s="122"/>
      <c r="APL34" s="122"/>
      <c r="APM34" s="122"/>
      <c r="APN34" s="122"/>
      <c r="APO34" s="122"/>
      <c r="APP34" s="122"/>
      <c r="APQ34" s="122"/>
      <c r="APR34" s="122"/>
      <c r="APS34" s="122"/>
      <c r="APT34" s="122"/>
      <c r="APU34" s="122"/>
      <c r="APV34" s="122"/>
      <c r="APW34" s="122"/>
      <c r="APX34" s="122"/>
      <c r="APY34" s="122"/>
      <c r="APZ34" s="122"/>
      <c r="AQA34" s="122"/>
      <c r="AQB34" s="122"/>
      <c r="AQC34" s="122"/>
      <c r="AQD34" s="122"/>
      <c r="AQE34" s="122"/>
      <c r="AQF34" s="122"/>
      <c r="AQG34" s="122"/>
      <c r="AQH34" s="122"/>
      <c r="AQI34" s="122"/>
      <c r="AQJ34" s="122"/>
      <c r="AQK34" s="122"/>
      <c r="AQL34" s="122"/>
      <c r="AQM34" s="122"/>
      <c r="AQN34" s="122"/>
      <c r="AQO34" s="122"/>
      <c r="AQP34" s="122"/>
      <c r="AQQ34" s="122"/>
      <c r="AQR34" s="122"/>
      <c r="AQS34" s="122"/>
      <c r="AQT34" s="122"/>
      <c r="AQU34" s="122"/>
      <c r="AQV34" s="122"/>
      <c r="AQW34" s="122"/>
      <c r="AQX34" s="122"/>
      <c r="AQY34" s="122"/>
      <c r="AQZ34" s="122"/>
      <c r="ARA34" s="122"/>
      <c r="ARB34" s="122"/>
      <c r="ARC34" s="122"/>
      <c r="ARD34" s="122"/>
      <c r="ARE34" s="122"/>
      <c r="ARF34" s="122"/>
      <c r="ARG34" s="122"/>
      <c r="ARH34" s="122"/>
      <c r="ARI34" s="122"/>
      <c r="ARJ34" s="122"/>
      <c r="ARK34" s="122"/>
      <c r="ARL34" s="122"/>
      <c r="ARM34" s="122"/>
      <c r="ARN34" s="122"/>
      <c r="ARO34" s="122"/>
      <c r="ARP34" s="122"/>
      <c r="ARQ34" s="122"/>
      <c r="ARR34" s="122"/>
      <c r="ARS34" s="122"/>
      <c r="ART34" s="122"/>
      <c r="ARU34" s="122"/>
      <c r="ARV34" s="122"/>
      <c r="ARW34" s="122"/>
      <c r="ARX34" s="122"/>
      <c r="ARY34" s="122"/>
      <c r="ARZ34" s="122"/>
      <c r="ASA34" s="122"/>
      <c r="ASB34" s="122"/>
      <c r="ASC34" s="122"/>
      <c r="ASD34" s="122"/>
      <c r="ASE34" s="122"/>
      <c r="ASF34" s="122"/>
      <c r="ASG34" s="122"/>
      <c r="ASH34" s="122"/>
      <c r="ASI34" s="122"/>
      <c r="ASJ34" s="122"/>
      <c r="ASK34" s="122"/>
      <c r="ASL34" s="122"/>
      <c r="ASM34" s="122"/>
      <c r="ASN34" s="122"/>
      <c r="ASO34" s="122"/>
      <c r="ASP34" s="122"/>
      <c r="ASQ34" s="122"/>
      <c r="ASR34" s="122"/>
      <c r="ASS34" s="122"/>
      <c r="AST34" s="122"/>
      <c r="ASU34" s="122"/>
      <c r="ASV34" s="122"/>
      <c r="ASW34" s="122"/>
      <c r="ASX34" s="122"/>
      <c r="ASY34" s="122"/>
      <c r="ASZ34" s="122"/>
      <c r="ATA34" s="122"/>
      <c r="ATB34" s="122"/>
      <c r="ATC34" s="122"/>
      <c r="ATD34" s="122"/>
      <c r="ATE34" s="122"/>
      <c r="ATF34" s="122"/>
      <c r="ATG34" s="122"/>
      <c r="ATH34" s="122"/>
      <c r="ATI34" s="122"/>
      <c r="ATJ34" s="122"/>
      <c r="ATK34" s="122"/>
      <c r="ATL34" s="122"/>
      <c r="ATM34" s="122"/>
      <c r="ATN34" s="122"/>
      <c r="ATO34" s="122"/>
      <c r="ATP34" s="122"/>
      <c r="ATQ34" s="122"/>
      <c r="ATR34" s="122"/>
      <c r="ATS34" s="122"/>
      <c r="ATT34" s="122"/>
      <c r="ATU34" s="122"/>
      <c r="ATV34" s="122"/>
      <c r="ATW34" s="122"/>
      <c r="ATX34" s="122"/>
      <c r="ATY34" s="122"/>
      <c r="ATZ34" s="122"/>
      <c r="AUA34" s="122"/>
      <c r="AUB34" s="122"/>
      <c r="AUC34" s="122"/>
      <c r="AUD34" s="122"/>
      <c r="AUE34" s="122"/>
      <c r="AUF34" s="122"/>
      <c r="AUG34" s="122"/>
      <c r="AUH34" s="122"/>
      <c r="AUI34" s="122"/>
      <c r="AUJ34" s="122"/>
      <c r="AUK34" s="122"/>
      <c r="AUL34" s="122"/>
      <c r="AUM34" s="122"/>
      <c r="AUN34" s="122"/>
      <c r="AUO34" s="122"/>
      <c r="AUP34" s="122"/>
      <c r="AUQ34" s="122"/>
      <c r="AUR34" s="122"/>
      <c r="AUS34" s="122"/>
      <c r="AUT34" s="122"/>
      <c r="AUU34" s="122"/>
      <c r="AUV34" s="122"/>
      <c r="AUW34" s="122"/>
      <c r="AUX34" s="122"/>
      <c r="AUY34" s="122"/>
      <c r="AUZ34" s="122"/>
      <c r="AVA34" s="122"/>
      <c r="AVB34" s="122"/>
      <c r="AVC34" s="122"/>
      <c r="AVD34" s="122"/>
      <c r="AVE34" s="122"/>
      <c r="AVF34" s="122"/>
      <c r="AVG34" s="122"/>
      <c r="AVH34" s="122"/>
      <c r="AVI34" s="122"/>
      <c r="AVJ34" s="122"/>
      <c r="AVK34" s="122"/>
      <c r="AVL34" s="122"/>
      <c r="AVM34" s="122"/>
      <c r="AVN34" s="122"/>
      <c r="AVO34" s="122"/>
      <c r="AVP34" s="122"/>
      <c r="AVQ34" s="122"/>
      <c r="AVR34" s="122"/>
      <c r="AVS34" s="122"/>
      <c r="AVT34" s="122"/>
      <c r="AVU34" s="122"/>
      <c r="AVV34" s="122"/>
      <c r="AVW34" s="122"/>
      <c r="AVX34" s="122"/>
      <c r="AVY34" s="122"/>
      <c r="AVZ34" s="122"/>
      <c r="AWA34" s="122"/>
      <c r="AWB34" s="122"/>
      <c r="AWC34" s="122"/>
      <c r="AWD34" s="122"/>
      <c r="AWE34" s="122"/>
      <c r="AWF34" s="122"/>
      <c r="AWG34" s="122"/>
      <c r="AWH34" s="122"/>
      <c r="AWI34" s="122"/>
      <c r="AWJ34" s="122"/>
      <c r="AWK34" s="122"/>
      <c r="AWL34" s="122"/>
      <c r="AWM34" s="122"/>
      <c r="AWN34" s="122"/>
      <c r="AWO34" s="122"/>
      <c r="AWP34" s="122"/>
      <c r="AWQ34" s="122"/>
      <c r="AWR34" s="122"/>
      <c r="AWS34" s="122"/>
      <c r="AWT34" s="122"/>
      <c r="AWU34" s="122"/>
      <c r="AWV34" s="122"/>
      <c r="AWW34" s="122"/>
      <c r="AWX34" s="122"/>
      <c r="AWY34" s="122"/>
      <c r="AWZ34" s="122"/>
      <c r="AXA34" s="122"/>
      <c r="AXB34" s="122"/>
      <c r="AXC34" s="122"/>
      <c r="AXD34" s="122"/>
      <c r="AXE34" s="122"/>
      <c r="AXF34" s="122"/>
      <c r="AXG34" s="122"/>
      <c r="AXH34" s="122"/>
      <c r="AXI34" s="122"/>
      <c r="AXJ34" s="122"/>
      <c r="AXK34" s="122"/>
      <c r="AXL34" s="122"/>
      <c r="AXM34" s="122"/>
      <c r="AXN34" s="122"/>
      <c r="AXO34" s="122"/>
      <c r="AXP34" s="122"/>
      <c r="AXQ34" s="122"/>
      <c r="AXR34" s="122"/>
      <c r="AXS34" s="122"/>
      <c r="AXT34" s="122"/>
      <c r="AXU34" s="122"/>
      <c r="AXV34" s="122"/>
      <c r="AXW34" s="122"/>
      <c r="AXX34" s="122"/>
      <c r="AXY34" s="122"/>
      <c r="AXZ34" s="122"/>
      <c r="AYA34" s="122"/>
      <c r="AYB34" s="122"/>
      <c r="AYC34" s="122"/>
      <c r="AYD34" s="122"/>
      <c r="AYE34" s="122"/>
      <c r="AYF34" s="122"/>
      <c r="AYG34" s="122"/>
      <c r="AYH34" s="122"/>
      <c r="AYI34" s="122"/>
      <c r="AYJ34" s="122"/>
      <c r="AYK34" s="122"/>
      <c r="AYL34" s="122"/>
      <c r="AYM34" s="122"/>
      <c r="AYN34" s="122"/>
      <c r="AYO34" s="122"/>
      <c r="AYP34" s="122"/>
      <c r="AYQ34" s="122"/>
      <c r="AYR34" s="122"/>
      <c r="AYS34" s="122"/>
      <c r="AYT34" s="122"/>
      <c r="AYU34" s="122"/>
      <c r="AYV34" s="122"/>
      <c r="AYW34" s="122"/>
      <c r="AYX34" s="122"/>
      <c r="AYY34" s="122"/>
      <c r="AYZ34" s="122"/>
      <c r="AZA34" s="122"/>
      <c r="AZB34" s="122"/>
      <c r="AZC34" s="122"/>
      <c r="AZD34" s="122"/>
      <c r="AZE34" s="122"/>
      <c r="AZF34" s="122"/>
      <c r="AZG34" s="122"/>
      <c r="AZH34" s="122"/>
      <c r="AZI34" s="122"/>
      <c r="AZJ34" s="122"/>
      <c r="AZK34" s="122"/>
      <c r="AZL34" s="122"/>
      <c r="AZM34" s="122"/>
      <c r="AZN34" s="122"/>
      <c r="AZO34" s="122"/>
      <c r="AZP34" s="122"/>
      <c r="AZQ34" s="122"/>
      <c r="AZR34" s="122"/>
      <c r="AZS34" s="122"/>
      <c r="AZT34" s="122"/>
      <c r="AZU34" s="122"/>
      <c r="AZV34" s="122"/>
      <c r="AZW34" s="122"/>
      <c r="AZX34" s="122"/>
      <c r="AZY34" s="122"/>
      <c r="AZZ34" s="122"/>
      <c r="BAA34" s="122"/>
      <c r="BAB34" s="122"/>
      <c r="BAC34" s="122"/>
      <c r="BAD34" s="122"/>
      <c r="BAE34" s="122"/>
      <c r="BAF34" s="122"/>
      <c r="BAG34" s="122"/>
      <c r="BAH34" s="122"/>
      <c r="BAI34" s="122"/>
      <c r="BAJ34" s="122"/>
      <c r="BAK34" s="122"/>
      <c r="BAL34" s="122"/>
      <c r="BAM34" s="122"/>
      <c r="BAN34" s="122"/>
      <c r="BAO34" s="122"/>
      <c r="BAP34" s="122"/>
      <c r="BAQ34" s="122"/>
      <c r="BAR34" s="122"/>
      <c r="BAS34" s="122"/>
      <c r="BAT34" s="122"/>
      <c r="BAU34" s="122"/>
      <c r="BAV34" s="122"/>
      <c r="BAW34" s="122"/>
      <c r="BAX34" s="122"/>
      <c r="BAY34" s="122"/>
      <c r="BAZ34" s="122"/>
      <c r="BBA34" s="122"/>
      <c r="BBB34" s="122"/>
      <c r="BBC34" s="122"/>
      <c r="BBD34" s="122"/>
      <c r="BBE34" s="122"/>
      <c r="BBF34" s="122"/>
      <c r="BBG34" s="122"/>
      <c r="BBH34" s="122"/>
      <c r="BBI34" s="122"/>
      <c r="BBJ34" s="122"/>
      <c r="BBK34" s="122"/>
      <c r="BBL34" s="122"/>
      <c r="BBM34" s="122"/>
      <c r="BBN34" s="122"/>
      <c r="BBO34" s="122"/>
      <c r="BBP34" s="122"/>
      <c r="BBQ34" s="122"/>
      <c r="BBR34" s="122"/>
      <c r="BBS34" s="122"/>
      <c r="BBT34" s="122"/>
      <c r="BBU34" s="122"/>
      <c r="BBV34" s="122"/>
      <c r="BBW34" s="122"/>
      <c r="BBX34" s="122"/>
      <c r="BBY34" s="122"/>
      <c r="BBZ34" s="122"/>
      <c r="BCA34" s="122"/>
      <c r="BCB34" s="122"/>
      <c r="BCC34" s="122"/>
      <c r="BCD34" s="122"/>
      <c r="BCE34" s="122"/>
      <c r="BCF34" s="122"/>
      <c r="BCG34" s="122"/>
      <c r="BCH34" s="122"/>
      <c r="BCI34" s="122"/>
      <c r="BCJ34" s="122"/>
      <c r="BCK34" s="122"/>
      <c r="BCL34" s="122"/>
      <c r="BCM34" s="122"/>
      <c r="BCN34" s="122"/>
      <c r="BCO34" s="122"/>
      <c r="BCP34" s="122"/>
      <c r="BCQ34" s="122"/>
      <c r="BCR34" s="122"/>
      <c r="BCS34" s="122"/>
      <c r="BCT34" s="122"/>
      <c r="BCU34" s="122"/>
      <c r="BCV34" s="122"/>
      <c r="BCW34" s="122"/>
      <c r="BCX34" s="122"/>
      <c r="BCY34" s="122"/>
      <c r="BCZ34" s="122"/>
      <c r="BDA34" s="122"/>
      <c r="BDB34" s="122"/>
      <c r="BDC34" s="122"/>
      <c r="BDD34" s="122"/>
      <c r="BDE34" s="122"/>
      <c r="BDF34" s="122"/>
      <c r="BDG34" s="122"/>
      <c r="BDH34" s="122"/>
      <c r="BDI34" s="122"/>
      <c r="BDJ34" s="122"/>
      <c r="BDK34" s="122"/>
      <c r="BDL34" s="122"/>
      <c r="BDM34" s="122"/>
      <c r="BDN34" s="122"/>
      <c r="BDO34" s="122"/>
      <c r="BDP34" s="122"/>
      <c r="BDQ34" s="122"/>
      <c r="BDR34" s="122"/>
      <c r="BDS34" s="122"/>
      <c r="BDT34" s="122"/>
      <c r="BDU34" s="122"/>
      <c r="BDV34" s="122"/>
      <c r="BDW34" s="122"/>
      <c r="BDX34" s="122"/>
      <c r="BDY34" s="122"/>
      <c r="BDZ34" s="122"/>
      <c r="BEA34" s="122"/>
      <c r="BEB34" s="122"/>
      <c r="BEC34" s="122"/>
      <c r="BED34" s="122"/>
      <c r="BEE34" s="122"/>
      <c r="BEF34" s="122"/>
      <c r="BEG34" s="122"/>
      <c r="BEH34" s="122"/>
      <c r="BEI34" s="122"/>
      <c r="BEJ34" s="122"/>
      <c r="BEK34" s="122"/>
      <c r="BEL34" s="122"/>
      <c r="BEM34" s="122"/>
      <c r="BEN34" s="122"/>
      <c r="BEO34" s="122"/>
      <c r="BEP34" s="122"/>
      <c r="BEQ34" s="122"/>
      <c r="BER34" s="122"/>
      <c r="BES34" s="122"/>
      <c r="BET34" s="122"/>
      <c r="BEU34" s="122"/>
      <c r="BEV34" s="122"/>
      <c r="BEW34" s="122"/>
      <c r="BEX34" s="122"/>
      <c r="BEY34" s="122"/>
      <c r="BEZ34" s="122"/>
      <c r="BFA34" s="122"/>
      <c r="BFB34" s="122"/>
      <c r="BFC34" s="122"/>
      <c r="BFD34" s="122"/>
      <c r="BFE34" s="122"/>
      <c r="BFF34" s="122"/>
      <c r="BFG34" s="122"/>
      <c r="BFH34" s="122"/>
      <c r="BFI34" s="122"/>
      <c r="BFJ34" s="122"/>
      <c r="BFK34" s="122"/>
      <c r="BFL34" s="122"/>
      <c r="BFM34" s="122"/>
      <c r="BFN34" s="122"/>
      <c r="BFO34" s="122"/>
      <c r="BFP34" s="122"/>
      <c r="BFQ34" s="122"/>
      <c r="BFR34" s="122"/>
      <c r="BFS34" s="122"/>
      <c r="BFT34" s="122"/>
      <c r="BFU34" s="122"/>
      <c r="BFV34" s="122"/>
      <c r="BFW34" s="122"/>
      <c r="BFX34" s="122"/>
      <c r="BFY34" s="122"/>
      <c r="BFZ34" s="122"/>
      <c r="BGA34" s="122"/>
      <c r="BGB34" s="122"/>
      <c r="BGC34" s="122"/>
      <c r="BGD34" s="122"/>
      <c r="BGE34" s="122"/>
      <c r="BGF34" s="122"/>
      <c r="BGG34" s="122"/>
      <c r="BGH34" s="122"/>
      <c r="BGI34" s="122"/>
      <c r="BGJ34" s="122"/>
      <c r="BGK34" s="122"/>
      <c r="BGL34" s="122"/>
      <c r="BGM34" s="122"/>
      <c r="BGN34" s="122"/>
      <c r="BGO34" s="122"/>
      <c r="BGP34" s="122"/>
      <c r="BGQ34" s="122"/>
      <c r="BGR34" s="122"/>
      <c r="BGS34" s="122"/>
      <c r="BGT34" s="122"/>
      <c r="BGU34" s="122"/>
      <c r="BGV34" s="122"/>
      <c r="BGW34" s="122"/>
      <c r="BGX34" s="122"/>
      <c r="BGY34" s="122"/>
      <c r="BGZ34" s="122"/>
      <c r="BHA34" s="122"/>
      <c r="BHB34" s="122"/>
      <c r="BHC34" s="122"/>
      <c r="BHD34" s="122"/>
      <c r="BHE34" s="122"/>
      <c r="BHF34" s="122"/>
      <c r="BHG34" s="122"/>
      <c r="BHH34" s="122"/>
      <c r="BHI34" s="122"/>
      <c r="BHJ34" s="122"/>
      <c r="BHK34" s="122"/>
      <c r="BHL34" s="122"/>
      <c r="BHM34" s="122"/>
      <c r="BHN34" s="122"/>
      <c r="BHO34" s="122"/>
      <c r="BHP34" s="122"/>
      <c r="BHQ34" s="122"/>
      <c r="BHR34" s="122"/>
      <c r="BHS34" s="122"/>
      <c r="BHT34" s="122"/>
      <c r="BHU34" s="122"/>
      <c r="BHV34" s="122"/>
      <c r="BHW34" s="122"/>
      <c r="BHX34" s="122"/>
      <c r="BHY34" s="122"/>
      <c r="BHZ34" s="122"/>
      <c r="BIA34" s="122"/>
      <c r="BIB34" s="122"/>
      <c r="BIC34" s="122"/>
      <c r="BID34" s="122"/>
      <c r="BIE34" s="122"/>
      <c r="BIF34" s="122"/>
      <c r="BIG34" s="122"/>
      <c r="BIH34" s="122"/>
      <c r="BII34" s="122"/>
      <c r="BIJ34" s="122"/>
      <c r="BIK34" s="122"/>
      <c r="BIL34" s="122"/>
      <c r="BIM34" s="122"/>
      <c r="BIN34" s="122"/>
      <c r="BIO34" s="122"/>
      <c r="BIP34" s="122"/>
      <c r="BIQ34" s="122"/>
      <c r="BIR34" s="122"/>
      <c r="BIS34" s="122"/>
      <c r="BIT34" s="122"/>
      <c r="BIU34" s="122"/>
      <c r="BIV34" s="122"/>
      <c r="BIW34" s="122"/>
      <c r="BIX34" s="122"/>
      <c r="BIY34" s="122"/>
      <c r="BIZ34" s="122"/>
      <c r="BJA34" s="122"/>
      <c r="BJB34" s="122"/>
      <c r="BJC34" s="122"/>
      <c r="BJD34" s="122"/>
      <c r="BJE34" s="122"/>
      <c r="BJF34" s="122"/>
      <c r="BJG34" s="122"/>
      <c r="BJH34" s="122"/>
      <c r="BJI34" s="122"/>
      <c r="BJJ34" s="122"/>
      <c r="BJK34" s="122"/>
      <c r="BJL34" s="122"/>
      <c r="BJM34" s="122"/>
      <c r="BJN34" s="122"/>
      <c r="BJO34" s="122"/>
      <c r="BJP34" s="122"/>
      <c r="BJQ34" s="122"/>
      <c r="BJR34" s="122"/>
      <c r="BJS34" s="122"/>
      <c r="BJT34" s="122"/>
      <c r="BJU34" s="122"/>
      <c r="BJV34" s="122"/>
      <c r="BJW34" s="122"/>
      <c r="BJX34" s="122"/>
      <c r="BJY34" s="122"/>
      <c r="BJZ34" s="122"/>
      <c r="BKA34" s="122"/>
      <c r="BKB34" s="122"/>
      <c r="BKC34" s="122"/>
      <c r="BKD34" s="122"/>
      <c r="BKE34" s="122"/>
      <c r="BKF34" s="122"/>
      <c r="BKG34" s="122"/>
      <c r="BKH34" s="122"/>
      <c r="BKI34" s="122"/>
      <c r="BKJ34" s="122"/>
      <c r="BKK34" s="122"/>
      <c r="BKL34" s="122"/>
      <c r="BKM34" s="122"/>
      <c r="BKN34" s="122"/>
      <c r="BKO34" s="122"/>
      <c r="BKP34" s="122"/>
      <c r="BKQ34" s="122"/>
      <c r="BKR34" s="122"/>
      <c r="BKS34" s="122"/>
      <c r="BKT34" s="122"/>
      <c r="BKU34" s="122"/>
      <c r="BKV34" s="122"/>
      <c r="BKW34" s="122"/>
      <c r="BKX34" s="122"/>
      <c r="BKY34" s="122"/>
      <c r="BKZ34" s="122"/>
      <c r="BLA34" s="122"/>
      <c r="BLB34" s="122"/>
      <c r="BLC34" s="122"/>
      <c r="BLD34" s="122"/>
      <c r="BLE34" s="122"/>
      <c r="BLF34" s="122"/>
      <c r="BLG34" s="122"/>
      <c r="BLH34" s="122"/>
      <c r="BLI34" s="122"/>
      <c r="BLJ34" s="122"/>
      <c r="BLK34" s="122"/>
      <c r="BLL34" s="122"/>
      <c r="BLM34" s="122"/>
      <c r="BLN34" s="122"/>
      <c r="BLO34" s="122"/>
      <c r="BLP34" s="122"/>
      <c r="BLQ34" s="122"/>
      <c r="BLR34" s="122"/>
      <c r="BLS34" s="122"/>
      <c r="BLT34" s="122"/>
      <c r="BLU34" s="122"/>
      <c r="BLV34" s="122"/>
      <c r="BLW34" s="122"/>
      <c r="BLX34" s="122"/>
      <c r="BLY34" s="122"/>
      <c r="BLZ34" s="122"/>
      <c r="BMA34" s="122"/>
      <c r="BMB34" s="122"/>
      <c r="BMC34" s="122"/>
      <c r="BMD34" s="122"/>
      <c r="BME34" s="122"/>
      <c r="BMF34" s="122"/>
      <c r="BMG34" s="122"/>
      <c r="BMH34" s="122"/>
      <c r="BMI34" s="122"/>
      <c r="BMJ34" s="122"/>
      <c r="BMK34" s="122"/>
      <c r="BML34" s="122"/>
      <c r="BMM34" s="122"/>
      <c r="BMN34" s="122"/>
      <c r="BMO34" s="122"/>
      <c r="BMP34" s="122"/>
      <c r="BMQ34" s="122"/>
      <c r="BMR34" s="122"/>
      <c r="BMS34" s="122"/>
      <c r="BMT34" s="122"/>
      <c r="BMU34" s="122"/>
      <c r="BMV34" s="122"/>
      <c r="BMW34" s="122"/>
      <c r="BMX34" s="122"/>
      <c r="BMY34" s="122"/>
      <c r="BMZ34" s="122"/>
      <c r="BNA34" s="122"/>
      <c r="BNB34" s="122"/>
      <c r="BNC34" s="122"/>
      <c r="BND34" s="122"/>
      <c r="BNE34" s="122"/>
      <c r="BNF34" s="122"/>
      <c r="BNG34" s="122"/>
      <c r="BNH34" s="122"/>
      <c r="BNI34" s="122"/>
      <c r="BNJ34" s="122"/>
      <c r="BNK34" s="122"/>
      <c r="BNL34" s="122"/>
      <c r="BNM34" s="122"/>
      <c r="BNN34" s="122"/>
      <c r="BNO34" s="122"/>
      <c r="BNP34" s="122"/>
      <c r="BNQ34" s="122"/>
      <c r="BNR34" s="122"/>
      <c r="BNS34" s="122"/>
      <c r="BNT34" s="122"/>
      <c r="BNU34" s="122"/>
      <c r="BNV34" s="122"/>
      <c r="BNW34" s="122"/>
      <c r="BNX34" s="122"/>
      <c r="BNY34" s="122"/>
      <c r="BNZ34" s="122"/>
      <c r="BOA34" s="122"/>
      <c r="BOB34" s="122"/>
      <c r="BOC34" s="122"/>
      <c r="BOD34" s="122"/>
      <c r="BOE34" s="122"/>
      <c r="BOF34" s="122"/>
      <c r="BOG34" s="122"/>
      <c r="BOH34" s="122"/>
      <c r="BOI34" s="122"/>
      <c r="BOJ34" s="122"/>
      <c r="BOK34" s="122"/>
      <c r="BOL34" s="122"/>
      <c r="BOM34" s="122"/>
      <c r="BON34" s="122"/>
      <c r="BOO34" s="122"/>
      <c r="BOP34" s="122"/>
      <c r="BOQ34" s="122"/>
      <c r="BOR34" s="122"/>
      <c r="BOS34" s="122"/>
      <c r="BOT34" s="122"/>
      <c r="BOU34" s="122"/>
      <c r="BOV34" s="122"/>
      <c r="BOW34" s="122"/>
      <c r="BOX34" s="122"/>
      <c r="BOY34" s="122"/>
      <c r="BOZ34" s="122"/>
      <c r="BPA34" s="122"/>
      <c r="BPB34" s="122"/>
      <c r="BPC34" s="122"/>
      <c r="BPD34" s="122"/>
      <c r="BPE34" s="122"/>
      <c r="BPF34" s="122"/>
      <c r="BPG34" s="122"/>
      <c r="BPH34" s="122"/>
      <c r="BPI34" s="122"/>
      <c r="BPJ34" s="122"/>
      <c r="BPK34" s="122"/>
      <c r="BPL34" s="122"/>
      <c r="BPM34" s="122"/>
      <c r="BPN34" s="122"/>
      <c r="BPO34" s="122"/>
      <c r="BPP34" s="122"/>
      <c r="BPQ34" s="122"/>
      <c r="BPR34" s="122"/>
      <c r="BPS34" s="122"/>
      <c r="BPT34" s="122"/>
      <c r="BPU34" s="122"/>
      <c r="BPV34" s="122"/>
      <c r="BPW34" s="122"/>
      <c r="BPX34" s="122"/>
      <c r="BPY34" s="122"/>
      <c r="BPZ34" s="122"/>
      <c r="BQA34" s="122"/>
      <c r="BQB34" s="122"/>
      <c r="BQC34" s="122"/>
      <c r="BQD34" s="122"/>
      <c r="BQE34" s="122"/>
      <c r="BQF34" s="122"/>
      <c r="BQG34" s="122"/>
      <c r="BQH34" s="122"/>
      <c r="BQI34" s="122"/>
      <c r="BQJ34" s="122"/>
      <c r="BQK34" s="122"/>
      <c r="BQL34" s="122"/>
      <c r="BQM34" s="122"/>
      <c r="BQN34" s="122"/>
      <c r="BQO34" s="122"/>
      <c r="BQP34" s="122"/>
      <c r="BQQ34" s="122"/>
      <c r="BQR34" s="122"/>
      <c r="BQS34" s="122"/>
      <c r="BQT34" s="122"/>
      <c r="BQU34" s="122"/>
      <c r="BQV34" s="122"/>
      <c r="BQW34" s="122"/>
      <c r="BQX34" s="122"/>
      <c r="BQY34" s="122"/>
      <c r="BQZ34" s="122"/>
      <c r="BRA34" s="122"/>
      <c r="BRB34" s="122"/>
      <c r="BRC34" s="122"/>
      <c r="BRD34" s="122"/>
      <c r="BRE34" s="122"/>
      <c r="BRF34" s="122"/>
      <c r="BRG34" s="122"/>
      <c r="BRH34" s="122"/>
      <c r="BRI34" s="122"/>
      <c r="BRJ34" s="122"/>
      <c r="BRK34" s="122"/>
      <c r="BRL34" s="122"/>
      <c r="BRM34" s="122"/>
      <c r="BRN34" s="122"/>
      <c r="BRO34" s="122"/>
      <c r="BRP34" s="122"/>
      <c r="BRQ34" s="122"/>
      <c r="BRR34" s="122"/>
      <c r="BRS34" s="122"/>
      <c r="BRT34" s="122"/>
      <c r="BRU34" s="122"/>
      <c r="BRV34" s="122"/>
      <c r="BRW34" s="122"/>
      <c r="BRX34" s="122"/>
      <c r="BRY34" s="122"/>
      <c r="BRZ34" s="122"/>
      <c r="BSA34" s="122"/>
      <c r="BSB34" s="122"/>
      <c r="BSC34" s="122"/>
      <c r="BSD34" s="122"/>
      <c r="BSE34" s="122"/>
      <c r="BSF34" s="122"/>
      <c r="BSG34" s="122"/>
      <c r="BSH34" s="122"/>
      <c r="BSI34" s="122"/>
      <c r="BSJ34" s="122"/>
      <c r="BSK34" s="122"/>
      <c r="BSL34" s="122"/>
      <c r="BSM34" s="122"/>
      <c r="BSN34" s="122"/>
      <c r="BSO34" s="122"/>
      <c r="BSP34" s="122"/>
      <c r="BSQ34" s="122"/>
      <c r="BSR34" s="122"/>
      <c r="BSS34" s="122"/>
      <c r="BST34" s="122"/>
      <c r="BSU34" s="122"/>
      <c r="BSV34" s="122"/>
      <c r="BSW34" s="122"/>
      <c r="BSX34" s="122"/>
      <c r="BSY34" s="122"/>
      <c r="BSZ34" s="122"/>
      <c r="BTA34" s="122"/>
      <c r="BTB34" s="122"/>
      <c r="BTC34" s="122"/>
      <c r="BTD34" s="122"/>
      <c r="BTE34" s="122"/>
      <c r="BTF34" s="122"/>
      <c r="BTG34" s="122"/>
      <c r="BTH34" s="122"/>
      <c r="BTI34" s="122"/>
      <c r="BTJ34" s="122"/>
      <c r="BTK34" s="122"/>
      <c r="BTL34" s="122"/>
      <c r="BTM34" s="122"/>
      <c r="BTN34" s="122"/>
      <c r="BTO34" s="122"/>
      <c r="BTP34" s="122"/>
      <c r="BTQ34" s="122"/>
      <c r="BTR34" s="122"/>
      <c r="BTS34" s="122"/>
      <c r="BTT34" s="122"/>
      <c r="BTU34" s="122"/>
      <c r="BTV34" s="122"/>
      <c r="BTW34" s="122"/>
      <c r="BTX34" s="122"/>
      <c r="BTY34" s="122"/>
      <c r="BTZ34" s="122"/>
      <c r="BUA34" s="122"/>
      <c r="BUB34" s="122"/>
      <c r="BUC34" s="122"/>
      <c r="BUD34" s="122"/>
      <c r="BUE34" s="122"/>
      <c r="BUF34" s="122"/>
      <c r="BUG34" s="122"/>
      <c r="BUH34" s="122"/>
      <c r="BUI34" s="122"/>
      <c r="BUJ34" s="122"/>
      <c r="BUK34" s="122"/>
      <c r="BUL34" s="122"/>
      <c r="BUM34" s="122"/>
      <c r="BUN34" s="122"/>
      <c r="BUO34" s="122"/>
      <c r="BUP34" s="122"/>
      <c r="BUQ34" s="122"/>
      <c r="BUR34" s="122"/>
      <c r="BUS34" s="122"/>
      <c r="BUT34" s="122"/>
      <c r="BUU34" s="122"/>
      <c r="BUV34" s="122"/>
      <c r="BUW34" s="122"/>
      <c r="BUX34" s="122"/>
      <c r="BUY34" s="122"/>
      <c r="BUZ34" s="122"/>
      <c r="BVA34" s="122"/>
      <c r="BVB34" s="122"/>
      <c r="BVC34" s="122"/>
      <c r="BVD34" s="122"/>
      <c r="BVE34" s="122"/>
      <c r="BVF34" s="122"/>
      <c r="BVG34" s="122"/>
      <c r="BVH34" s="122"/>
      <c r="BVI34" s="122"/>
      <c r="BVJ34" s="122"/>
      <c r="BVK34" s="122"/>
      <c r="BVL34" s="122"/>
      <c r="BVM34" s="122"/>
      <c r="BVN34" s="122"/>
      <c r="BVO34" s="122"/>
      <c r="BVP34" s="122"/>
      <c r="BVQ34" s="122"/>
      <c r="BVR34" s="122"/>
      <c r="BVS34" s="122"/>
      <c r="BVT34" s="122"/>
      <c r="BVU34" s="122"/>
      <c r="BVV34" s="122"/>
      <c r="BVW34" s="122"/>
      <c r="BVX34" s="122"/>
      <c r="BVY34" s="122"/>
      <c r="BVZ34" s="122"/>
      <c r="BWA34" s="122"/>
      <c r="BWB34" s="122"/>
      <c r="BWC34" s="122"/>
      <c r="BWD34" s="122"/>
      <c r="BWE34" s="122"/>
      <c r="BWF34" s="122"/>
      <c r="BWG34" s="122"/>
      <c r="BWH34" s="122"/>
      <c r="BWI34" s="122"/>
      <c r="BWJ34" s="122"/>
      <c r="BWK34" s="122"/>
      <c r="BWL34" s="122"/>
      <c r="BWM34" s="122"/>
      <c r="BWN34" s="122"/>
      <c r="BWO34" s="122"/>
      <c r="BWP34" s="122"/>
      <c r="BWQ34" s="122"/>
      <c r="BWR34" s="122"/>
      <c r="BWS34" s="122"/>
      <c r="BWT34" s="122"/>
      <c r="BWU34" s="122"/>
      <c r="BWV34" s="122"/>
      <c r="BWW34" s="122"/>
      <c r="BWX34" s="122"/>
      <c r="BWY34" s="122"/>
      <c r="BWZ34" s="122"/>
      <c r="BXA34" s="122"/>
      <c r="BXB34" s="122"/>
      <c r="BXC34" s="122"/>
      <c r="BXD34" s="122"/>
      <c r="BXE34" s="122"/>
      <c r="BXF34" s="122"/>
      <c r="BXG34" s="122"/>
      <c r="BXH34" s="122"/>
      <c r="BXI34" s="122"/>
      <c r="BXJ34" s="122"/>
      <c r="BXK34" s="122"/>
      <c r="BXL34" s="122"/>
      <c r="BXM34" s="122"/>
      <c r="BXN34" s="122"/>
      <c r="BXO34" s="122"/>
      <c r="BXP34" s="122"/>
      <c r="BXQ34" s="122"/>
      <c r="BXR34" s="122"/>
      <c r="BXS34" s="122"/>
      <c r="BXT34" s="122"/>
      <c r="BXU34" s="122"/>
      <c r="BXV34" s="122"/>
      <c r="BXW34" s="122"/>
      <c r="BXX34" s="122"/>
      <c r="BXY34" s="122"/>
      <c r="BXZ34" s="122"/>
      <c r="BYA34" s="122"/>
      <c r="BYB34" s="122"/>
      <c r="BYC34" s="122"/>
      <c r="BYD34" s="122"/>
      <c r="BYE34" s="122"/>
      <c r="BYF34" s="122"/>
      <c r="BYG34" s="122"/>
      <c r="BYH34" s="122"/>
      <c r="BYI34" s="122"/>
      <c r="BYJ34" s="122"/>
      <c r="BYK34" s="122"/>
      <c r="BYL34" s="122"/>
      <c r="BYM34" s="122"/>
      <c r="BYN34" s="122"/>
      <c r="BYO34" s="122"/>
      <c r="BYP34" s="122"/>
      <c r="BYQ34" s="122"/>
      <c r="BYR34" s="122"/>
      <c r="BYS34" s="122"/>
      <c r="BYT34" s="122"/>
      <c r="BYU34" s="122"/>
      <c r="BYV34" s="122"/>
      <c r="BYW34" s="122"/>
      <c r="BYX34" s="122"/>
      <c r="BYY34" s="122"/>
      <c r="BYZ34" s="122"/>
      <c r="BZA34" s="122"/>
      <c r="BZB34" s="122"/>
      <c r="BZC34" s="122"/>
      <c r="BZD34" s="122"/>
      <c r="BZE34" s="122"/>
      <c r="BZF34" s="122"/>
      <c r="BZG34" s="122"/>
      <c r="BZH34" s="122"/>
      <c r="BZI34" s="122"/>
      <c r="BZJ34" s="122"/>
      <c r="BZK34" s="122"/>
      <c r="BZL34" s="122"/>
      <c r="BZM34" s="122"/>
      <c r="BZN34" s="122"/>
      <c r="BZO34" s="122"/>
      <c r="BZP34" s="122"/>
      <c r="BZQ34" s="122"/>
      <c r="BZR34" s="122"/>
      <c r="BZS34" s="122"/>
      <c r="BZT34" s="122"/>
      <c r="BZU34" s="122"/>
      <c r="BZV34" s="122"/>
      <c r="BZW34" s="122"/>
      <c r="BZX34" s="122"/>
      <c r="BZY34" s="122"/>
      <c r="BZZ34" s="122"/>
      <c r="CAA34" s="122"/>
      <c r="CAB34" s="122"/>
      <c r="CAC34" s="122"/>
      <c r="CAD34" s="122"/>
      <c r="CAE34" s="122"/>
      <c r="CAF34" s="122"/>
      <c r="CAG34" s="122"/>
      <c r="CAH34" s="122"/>
      <c r="CAI34" s="122"/>
      <c r="CAJ34" s="122"/>
      <c r="CAK34" s="122"/>
      <c r="CAL34" s="122"/>
      <c r="CAM34" s="122"/>
      <c r="CAN34" s="122"/>
      <c r="CAO34" s="122"/>
      <c r="CAP34" s="122"/>
      <c r="CAQ34" s="122"/>
      <c r="CAR34" s="122"/>
      <c r="CAS34" s="122"/>
      <c r="CAT34" s="122"/>
      <c r="CAU34" s="122"/>
      <c r="CAV34" s="122"/>
      <c r="CAW34" s="122"/>
      <c r="CAX34" s="122"/>
      <c r="CAY34" s="122"/>
      <c r="CAZ34" s="122"/>
      <c r="CBA34" s="122"/>
      <c r="CBB34" s="122"/>
      <c r="CBC34" s="122"/>
      <c r="CBD34" s="122"/>
      <c r="CBE34" s="122"/>
      <c r="CBF34" s="122"/>
      <c r="CBG34" s="122"/>
      <c r="CBH34" s="122"/>
      <c r="CBI34" s="122"/>
      <c r="CBJ34" s="122"/>
      <c r="CBK34" s="122"/>
      <c r="CBL34" s="122"/>
      <c r="CBM34" s="122"/>
      <c r="CBN34" s="122"/>
      <c r="CBO34" s="122"/>
      <c r="CBP34" s="122"/>
      <c r="CBQ34" s="122"/>
      <c r="CBR34" s="122"/>
      <c r="CBS34" s="122"/>
      <c r="CBT34" s="122"/>
      <c r="CBU34" s="122"/>
      <c r="CBV34" s="122"/>
      <c r="CBW34" s="122"/>
      <c r="CBX34" s="122"/>
      <c r="CBY34" s="122"/>
      <c r="CBZ34" s="122"/>
      <c r="CCA34" s="122"/>
      <c r="CCB34" s="122"/>
      <c r="CCC34" s="122"/>
      <c r="CCD34" s="122"/>
      <c r="CCE34" s="122"/>
      <c r="CCF34" s="122"/>
      <c r="CCG34" s="122"/>
      <c r="CCH34" s="122"/>
      <c r="CCI34" s="122"/>
      <c r="CCJ34" s="122"/>
      <c r="CCK34" s="122"/>
      <c r="CCL34" s="122"/>
      <c r="CCM34" s="122"/>
      <c r="CCN34" s="122"/>
      <c r="CCO34" s="122"/>
      <c r="CCP34" s="122"/>
      <c r="CCQ34" s="122"/>
      <c r="CCR34" s="122"/>
      <c r="CCS34" s="122"/>
      <c r="CCT34" s="122"/>
      <c r="CCU34" s="122"/>
      <c r="CCV34" s="122"/>
      <c r="CCW34" s="122"/>
      <c r="CCX34" s="122"/>
      <c r="CCY34" s="122"/>
      <c r="CCZ34" s="122"/>
      <c r="CDA34" s="122"/>
      <c r="CDB34" s="122"/>
      <c r="CDC34" s="122"/>
      <c r="CDD34" s="122"/>
      <c r="CDE34" s="122"/>
      <c r="CDF34" s="122"/>
      <c r="CDG34" s="122"/>
      <c r="CDH34" s="122"/>
      <c r="CDI34" s="122"/>
      <c r="CDJ34" s="122"/>
      <c r="CDK34" s="122"/>
      <c r="CDL34" s="122"/>
      <c r="CDM34" s="122"/>
      <c r="CDN34" s="122"/>
      <c r="CDO34" s="122"/>
      <c r="CDP34" s="122"/>
      <c r="CDQ34" s="122"/>
      <c r="CDR34" s="122"/>
      <c r="CDS34" s="122"/>
      <c r="CDT34" s="122"/>
      <c r="CDU34" s="122"/>
      <c r="CDV34" s="122"/>
      <c r="CDW34" s="122"/>
      <c r="CDX34" s="122"/>
      <c r="CDY34" s="122"/>
      <c r="CDZ34" s="122"/>
      <c r="CEA34" s="122"/>
      <c r="CEB34" s="122"/>
      <c r="CEC34" s="122"/>
      <c r="CED34" s="122"/>
      <c r="CEE34" s="122"/>
      <c r="CEF34" s="122"/>
      <c r="CEG34" s="122"/>
      <c r="CEH34" s="122"/>
      <c r="CEI34" s="122"/>
      <c r="CEJ34" s="122"/>
      <c r="CEK34" s="122"/>
      <c r="CEL34" s="122"/>
      <c r="CEM34" s="122"/>
      <c r="CEN34" s="122"/>
      <c r="CEO34" s="122"/>
      <c r="CEP34" s="122"/>
      <c r="CEQ34" s="122"/>
      <c r="CER34" s="122"/>
      <c r="CES34" s="122"/>
      <c r="CET34" s="122"/>
      <c r="CEU34" s="122"/>
      <c r="CEV34" s="122"/>
      <c r="CEW34" s="122"/>
      <c r="CEX34" s="122"/>
      <c r="CEY34" s="122"/>
      <c r="CEZ34" s="122"/>
      <c r="CFA34" s="122"/>
      <c r="CFB34" s="122"/>
      <c r="CFC34" s="122"/>
      <c r="CFD34" s="122"/>
      <c r="CFE34" s="122"/>
      <c r="CFF34" s="122"/>
      <c r="CFG34" s="122"/>
      <c r="CFH34" s="122"/>
      <c r="CFI34" s="122"/>
      <c r="CFJ34" s="122"/>
      <c r="CFK34" s="122"/>
      <c r="CFL34" s="122"/>
      <c r="CFM34" s="122"/>
      <c r="CFN34" s="122"/>
      <c r="CFO34" s="122"/>
      <c r="CFP34" s="122"/>
      <c r="CFQ34" s="122"/>
      <c r="CFR34" s="122"/>
      <c r="CFS34" s="122"/>
      <c r="CFT34" s="122"/>
      <c r="CFU34" s="122"/>
      <c r="CFV34" s="122"/>
      <c r="CFW34" s="122"/>
      <c r="CFX34" s="122"/>
      <c r="CFY34" s="122"/>
      <c r="CFZ34" s="122"/>
      <c r="CGA34" s="122"/>
      <c r="CGB34" s="122"/>
      <c r="CGC34" s="122"/>
      <c r="CGD34" s="122"/>
      <c r="CGE34" s="122"/>
      <c r="CGF34" s="122"/>
      <c r="CGG34" s="122"/>
      <c r="CGH34" s="122"/>
      <c r="CGI34" s="122"/>
      <c r="CGJ34" s="122"/>
      <c r="CGK34" s="122"/>
      <c r="CGL34" s="122"/>
      <c r="CGM34" s="122"/>
      <c r="CGN34" s="122"/>
      <c r="CGO34" s="122"/>
      <c r="CGP34" s="122"/>
      <c r="CGQ34" s="122"/>
      <c r="CGR34" s="122"/>
      <c r="CGS34" s="122"/>
      <c r="CGT34" s="122"/>
      <c r="CGU34" s="122"/>
      <c r="CGV34" s="122"/>
      <c r="CGW34" s="122"/>
      <c r="CGX34" s="122"/>
      <c r="CGY34" s="122"/>
      <c r="CGZ34" s="122"/>
      <c r="CHA34" s="122"/>
      <c r="CHB34" s="122"/>
      <c r="CHC34" s="122"/>
      <c r="CHD34" s="122"/>
      <c r="CHE34" s="122"/>
      <c r="CHF34" s="122"/>
      <c r="CHG34" s="122"/>
      <c r="CHH34" s="122"/>
      <c r="CHI34" s="122"/>
      <c r="CHJ34" s="122"/>
      <c r="CHK34" s="122"/>
      <c r="CHL34" s="122"/>
      <c r="CHM34" s="122"/>
      <c r="CHN34" s="122"/>
      <c r="CHO34" s="122"/>
      <c r="CHP34" s="122"/>
      <c r="CHQ34" s="122"/>
      <c r="CHR34" s="122"/>
      <c r="CHS34" s="122"/>
      <c r="CHT34" s="122"/>
      <c r="CHU34" s="122"/>
      <c r="CHV34" s="122"/>
      <c r="CHW34" s="122"/>
      <c r="CHX34" s="122"/>
      <c r="CHY34" s="122"/>
      <c r="CHZ34" s="122"/>
      <c r="CIA34" s="122"/>
      <c r="CIB34" s="122"/>
      <c r="CIC34" s="122"/>
      <c r="CID34" s="122"/>
      <c r="CIE34" s="122"/>
      <c r="CIF34" s="122"/>
      <c r="CIG34" s="122"/>
      <c r="CIH34" s="122"/>
      <c r="CII34" s="122"/>
      <c r="CIJ34" s="122"/>
      <c r="CIK34" s="122"/>
      <c r="CIL34" s="122"/>
      <c r="CIM34" s="122"/>
      <c r="CIN34" s="122"/>
      <c r="CIO34" s="122"/>
      <c r="CIP34" s="122"/>
      <c r="CIQ34" s="122"/>
      <c r="CIR34" s="122"/>
      <c r="CIS34" s="122"/>
      <c r="CIT34" s="122"/>
      <c r="CIU34" s="122"/>
      <c r="CIV34" s="122"/>
      <c r="CIW34" s="122"/>
      <c r="CIX34" s="122"/>
      <c r="CIY34" s="122"/>
      <c r="CIZ34" s="122"/>
      <c r="CJA34" s="122"/>
      <c r="CJB34" s="122"/>
      <c r="CJC34" s="122"/>
      <c r="CJD34" s="122"/>
      <c r="CJE34" s="122"/>
      <c r="CJF34" s="122"/>
      <c r="CJG34" s="122"/>
      <c r="CJH34" s="122"/>
      <c r="CJI34" s="122"/>
      <c r="CJJ34" s="122"/>
      <c r="CJK34" s="122"/>
      <c r="CJL34" s="122"/>
      <c r="CJM34" s="122"/>
      <c r="CJN34" s="122"/>
      <c r="CJO34" s="122"/>
      <c r="CJP34" s="122"/>
      <c r="CJQ34" s="122"/>
      <c r="CJR34" s="122"/>
      <c r="CJS34" s="122"/>
      <c r="CJT34" s="122"/>
      <c r="CJU34" s="122"/>
      <c r="CJV34" s="122"/>
      <c r="CJW34" s="122"/>
      <c r="CJX34" s="122"/>
      <c r="CJY34" s="122"/>
      <c r="CJZ34" s="122"/>
      <c r="CKA34" s="122"/>
      <c r="CKB34" s="122"/>
      <c r="CKC34" s="122"/>
      <c r="CKD34" s="122"/>
      <c r="CKE34" s="122"/>
      <c r="CKF34" s="122"/>
      <c r="CKG34" s="122"/>
      <c r="CKH34" s="122"/>
      <c r="CKI34" s="122"/>
      <c r="CKJ34" s="122"/>
      <c r="CKK34" s="122"/>
      <c r="CKL34" s="122"/>
      <c r="CKM34" s="122"/>
      <c r="CKN34" s="122"/>
      <c r="CKO34" s="122"/>
      <c r="CKP34" s="122"/>
      <c r="CKQ34" s="122"/>
      <c r="CKR34" s="122"/>
      <c r="CKS34" s="122"/>
      <c r="CKT34" s="122"/>
      <c r="CKU34" s="122"/>
      <c r="CKV34" s="122"/>
      <c r="CKW34" s="122"/>
      <c r="CKX34" s="122"/>
      <c r="CKY34" s="122"/>
      <c r="CKZ34" s="122"/>
      <c r="CLA34" s="122"/>
      <c r="CLB34" s="122"/>
      <c r="CLC34" s="122"/>
      <c r="CLD34" s="122"/>
      <c r="CLE34" s="122"/>
      <c r="CLF34" s="122"/>
      <c r="CLG34" s="122"/>
      <c r="CLH34" s="122"/>
      <c r="CLI34" s="122"/>
      <c r="CLJ34" s="122"/>
      <c r="CLK34" s="122"/>
      <c r="CLL34" s="122"/>
      <c r="CLM34" s="122"/>
      <c r="CLN34" s="122"/>
      <c r="CLO34" s="122"/>
      <c r="CLP34" s="122"/>
      <c r="CLQ34" s="122"/>
      <c r="CLR34" s="122"/>
      <c r="CLS34" s="122"/>
      <c r="CLT34" s="122"/>
      <c r="CLU34" s="122"/>
      <c r="CLV34" s="122"/>
      <c r="CLW34" s="122"/>
      <c r="CLX34" s="122"/>
      <c r="CLY34" s="122"/>
      <c r="CLZ34" s="122"/>
      <c r="CMA34" s="122"/>
      <c r="CMB34" s="122"/>
      <c r="CMC34" s="122"/>
      <c r="CMD34" s="122"/>
      <c r="CME34" s="122"/>
      <c r="CMF34" s="122"/>
      <c r="CMG34" s="122"/>
      <c r="CMH34" s="122"/>
      <c r="CMI34" s="122"/>
      <c r="CMJ34" s="122"/>
      <c r="CMK34" s="122"/>
      <c r="CML34" s="122"/>
      <c r="CMM34" s="122"/>
      <c r="CMN34" s="122"/>
      <c r="CMO34" s="122"/>
      <c r="CMP34" s="122"/>
      <c r="CMQ34" s="122"/>
      <c r="CMR34" s="122"/>
      <c r="CMS34" s="122"/>
      <c r="CMT34" s="122"/>
      <c r="CMU34" s="122"/>
      <c r="CMV34" s="122"/>
      <c r="CMW34" s="122"/>
      <c r="CMX34" s="122"/>
      <c r="CMY34" s="122"/>
      <c r="CMZ34" s="122"/>
      <c r="CNA34" s="122"/>
      <c r="CNB34" s="122"/>
      <c r="CNC34" s="122"/>
      <c r="CND34" s="122"/>
      <c r="CNE34" s="122"/>
      <c r="CNF34" s="122"/>
      <c r="CNG34" s="122"/>
      <c r="CNH34" s="122"/>
      <c r="CNI34" s="122"/>
      <c r="CNJ34" s="122"/>
      <c r="CNK34" s="122"/>
      <c r="CNL34" s="122"/>
      <c r="CNM34" s="122"/>
      <c r="CNN34" s="122"/>
      <c r="CNO34" s="122"/>
      <c r="CNP34" s="122"/>
      <c r="CNQ34" s="122"/>
      <c r="CNR34" s="122"/>
      <c r="CNS34" s="122"/>
      <c r="CNT34" s="122"/>
      <c r="CNU34" s="122"/>
      <c r="CNV34" s="122"/>
      <c r="CNW34" s="122"/>
      <c r="CNX34" s="122"/>
      <c r="CNY34" s="122"/>
      <c r="CNZ34" s="122"/>
      <c r="COA34" s="122"/>
      <c r="COB34" s="122"/>
      <c r="COC34" s="122"/>
      <c r="COD34" s="122"/>
      <c r="COE34" s="122"/>
      <c r="COF34" s="122"/>
      <c r="COG34" s="122"/>
      <c r="COH34" s="122"/>
      <c r="COI34" s="122"/>
      <c r="COJ34" s="122"/>
      <c r="COK34" s="122"/>
      <c r="COL34" s="122"/>
      <c r="COM34" s="122"/>
      <c r="CON34" s="122"/>
      <c r="COO34" s="122"/>
      <c r="COP34" s="122"/>
      <c r="COQ34" s="122"/>
      <c r="COR34" s="122"/>
      <c r="COS34" s="122"/>
      <c r="COT34" s="122"/>
      <c r="COU34" s="122"/>
      <c r="COV34" s="122"/>
      <c r="COW34" s="122"/>
      <c r="COX34" s="122"/>
      <c r="COY34" s="122"/>
      <c r="COZ34" s="122"/>
      <c r="CPA34" s="122"/>
      <c r="CPB34" s="122"/>
      <c r="CPC34" s="122"/>
      <c r="CPD34" s="122"/>
      <c r="CPE34" s="122"/>
      <c r="CPF34" s="122"/>
      <c r="CPG34" s="122"/>
      <c r="CPH34" s="122"/>
      <c r="CPI34" s="122"/>
      <c r="CPJ34" s="122"/>
      <c r="CPK34" s="122"/>
      <c r="CPL34" s="122"/>
      <c r="CPM34" s="122"/>
      <c r="CPN34" s="122"/>
      <c r="CPO34" s="122"/>
      <c r="CPP34" s="122"/>
      <c r="CPQ34" s="122"/>
      <c r="CPR34" s="122"/>
      <c r="CPS34" s="122"/>
      <c r="CPT34" s="122"/>
      <c r="CPU34" s="122"/>
      <c r="CPV34" s="122"/>
      <c r="CPW34" s="122"/>
      <c r="CPX34" s="122"/>
      <c r="CPY34" s="122"/>
      <c r="CPZ34" s="122"/>
      <c r="CQA34" s="122"/>
      <c r="CQB34" s="122"/>
      <c r="CQC34" s="122"/>
      <c r="CQD34" s="122"/>
      <c r="CQE34" s="122"/>
      <c r="CQF34" s="122"/>
      <c r="CQG34" s="122"/>
      <c r="CQH34" s="122"/>
      <c r="CQI34" s="122"/>
      <c r="CQJ34" s="122"/>
      <c r="CQK34" s="122"/>
      <c r="CQL34" s="122"/>
      <c r="CQM34" s="122"/>
      <c r="CQN34" s="122"/>
      <c r="CQO34" s="122"/>
      <c r="CQP34" s="122"/>
      <c r="CQQ34" s="122"/>
      <c r="CQR34" s="122"/>
      <c r="CQS34" s="122"/>
      <c r="CQT34" s="122"/>
      <c r="CQU34" s="122"/>
      <c r="CQV34" s="122"/>
      <c r="CQW34" s="122"/>
      <c r="CQX34" s="122"/>
      <c r="CQY34" s="122"/>
      <c r="CQZ34" s="122"/>
      <c r="CRA34" s="122"/>
      <c r="CRB34" s="122"/>
      <c r="CRC34" s="122"/>
      <c r="CRD34" s="122"/>
      <c r="CRE34" s="122"/>
      <c r="CRF34" s="122"/>
      <c r="CRG34" s="122"/>
      <c r="CRH34" s="122"/>
      <c r="CRI34" s="122"/>
      <c r="CRJ34" s="122"/>
      <c r="CRK34" s="122"/>
      <c r="CRL34" s="122"/>
      <c r="CRM34" s="122"/>
      <c r="CRN34" s="122"/>
      <c r="CRO34" s="122"/>
      <c r="CRP34" s="122"/>
      <c r="CRQ34" s="122"/>
      <c r="CRR34" s="122"/>
      <c r="CRS34" s="122"/>
      <c r="CRT34" s="122"/>
      <c r="CRU34" s="122"/>
      <c r="CRV34" s="122"/>
      <c r="CRW34" s="122"/>
      <c r="CRX34" s="122"/>
      <c r="CRY34" s="122"/>
      <c r="CRZ34" s="122"/>
      <c r="CSA34" s="122"/>
      <c r="CSB34" s="122"/>
      <c r="CSC34" s="122"/>
      <c r="CSD34" s="122"/>
      <c r="CSE34" s="122"/>
      <c r="CSF34" s="122"/>
      <c r="CSG34" s="122"/>
      <c r="CSH34" s="122"/>
      <c r="CSI34" s="122"/>
      <c r="CSJ34" s="122"/>
      <c r="CSK34" s="122"/>
      <c r="CSL34" s="122"/>
      <c r="CSM34" s="122"/>
      <c r="CSN34" s="122"/>
      <c r="CSO34" s="122"/>
      <c r="CSP34" s="122"/>
      <c r="CSQ34" s="122"/>
      <c r="CSR34" s="122"/>
      <c r="CSS34" s="122"/>
      <c r="CST34" s="122"/>
      <c r="CSU34" s="122"/>
      <c r="CSV34" s="122"/>
      <c r="CSW34" s="122"/>
      <c r="CSX34" s="122"/>
      <c r="CSY34" s="122"/>
      <c r="CSZ34" s="122"/>
      <c r="CTA34" s="122"/>
      <c r="CTB34" s="122"/>
      <c r="CTC34" s="122"/>
      <c r="CTD34" s="122"/>
      <c r="CTE34" s="122"/>
      <c r="CTF34" s="122"/>
      <c r="CTG34" s="122"/>
      <c r="CTH34" s="122"/>
      <c r="CTI34" s="122"/>
      <c r="CTJ34" s="122"/>
      <c r="CTK34" s="122"/>
      <c r="CTL34" s="122"/>
      <c r="CTM34" s="122"/>
      <c r="CTN34" s="122"/>
      <c r="CTO34" s="122"/>
      <c r="CTP34" s="122"/>
      <c r="CTQ34" s="122"/>
      <c r="CTR34" s="122"/>
      <c r="CTS34" s="122"/>
      <c r="CTT34" s="122"/>
      <c r="CTU34" s="122"/>
      <c r="CTV34" s="122"/>
      <c r="CTW34" s="122"/>
      <c r="CTX34" s="122"/>
      <c r="CTY34" s="122"/>
      <c r="CTZ34" s="122"/>
      <c r="CUA34" s="122"/>
      <c r="CUB34" s="122"/>
      <c r="CUC34" s="122"/>
      <c r="CUD34" s="122"/>
      <c r="CUE34" s="122"/>
      <c r="CUF34" s="122"/>
      <c r="CUG34" s="122"/>
      <c r="CUH34" s="122"/>
      <c r="CUI34" s="122"/>
      <c r="CUJ34" s="122"/>
      <c r="CUK34" s="122"/>
      <c r="CUL34" s="122"/>
      <c r="CUM34" s="122"/>
      <c r="CUN34" s="122"/>
      <c r="CUO34" s="122"/>
      <c r="CUP34" s="122"/>
      <c r="CUQ34" s="122"/>
      <c r="CUR34" s="122"/>
      <c r="CUS34" s="122"/>
      <c r="CUT34" s="122"/>
      <c r="CUU34" s="122"/>
      <c r="CUV34" s="122"/>
      <c r="CUW34" s="122"/>
      <c r="CUX34" s="122"/>
      <c r="CUY34" s="122"/>
      <c r="CUZ34" s="122"/>
      <c r="CVA34" s="122"/>
      <c r="CVB34" s="122"/>
      <c r="CVC34" s="122"/>
      <c r="CVD34" s="122"/>
      <c r="CVE34" s="122"/>
      <c r="CVF34" s="122"/>
      <c r="CVG34" s="122"/>
      <c r="CVH34" s="122"/>
      <c r="CVI34" s="122"/>
      <c r="CVJ34" s="122"/>
      <c r="CVK34" s="122"/>
      <c r="CVL34" s="122"/>
      <c r="CVM34" s="122"/>
      <c r="CVN34" s="122"/>
      <c r="CVO34" s="122"/>
      <c r="CVP34" s="122"/>
      <c r="CVQ34" s="122"/>
      <c r="CVR34" s="122"/>
      <c r="CVS34" s="122"/>
      <c r="CVT34" s="122"/>
      <c r="CVU34" s="122"/>
      <c r="CVV34" s="122"/>
      <c r="CVW34" s="122"/>
      <c r="CVX34" s="122"/>
      <c r="CVY34" s="122"/>
      <c r="CVZ34" s="122"/>
      <c r="CWA34" s="122"/>
      <c r="CWB34" s="122"/>
      <c r="CWC34" s="122"/>
      <c r="CWD34" s="122"/>
      <c r="CWE34" s="122"/>
      <c r="CWF34" s="122"/>
      <c r="CWG34" s="122"/>
      <c r="CWH34" s="122"/>
      <c r="CWI34" s="122"/>
      <c r="CWJ34" s="122"/>
      <c r="CWK34" s="122"/>
      <c r="CWL34" s="122"/>
      <c r="CWM34" s="122"/>
      <c r="CWN34" s="122"/>
      <c r="CWO34" s="122"/>
      <c r="CWP34" s="122"/>
      <c r="CWQ34" s="122"/>
      <c r="CWR34" s="122"/>
      <c r="CWS34" s="122"/>
      <c r="CWT34" s="122"/>
      <c r="CWU34" s="122"/>
      <c r="CWV34" s="122"/>
      <c r="CWW34" s="122"/>
      <c r="CWX34" s="122"/>
      <c r="CWY34" s="122"/>
      <c r="CWZ34" s="122"/>
      <c r="CXA34" s="122"/>
      <c r="CXB34" s="122"/>
      <c r="CXC34" s="122"/>
      <c r="CXD34" s="122"/>
      <c r="CXE34" s="122"/>
      <c r="CXF34" s="122"/>
      <c r="CXG34" s="122"/>
      <c r="CXH34" s="122"/>
      <c r="CXI34" s="122"/>
      <c r="CXJ34" s="122"/>
      <c r="CXK34" s="122"/>
      <c r="CXL34" s="122"/>
      <c r="CXM34" s="122"/>
      <c r="CXN34" s="122"/>
      <c r="CXO34" s="122"/>
      <c r="CXP34" s="122"/>
      <c r="CXQ34" s="122"/>
      <c r="CXR34" s="122"/>
      <c r="CXS34" s="122"/>
      <c r="CXT34" s="122"/>
      <c r="CXU34" s="122"/>
      <c r="CXV34" s="122"/>
      <c r="CXW34" s="122"/>
      <c r="CXX34" s="122"/>
      <c r="CXY34" s="122"/>
      <c r="CXZ34" s="122"/>
      <c r="CYA34" s="122"/>
      <c r="CYB34" s="122"/>
      <c r="CYC34" s="122"/>
      <c r="CYD34" s="122"/>
      <c r="CYE34" s="122"/>
      <c r="CYF34" s="122"/>
      <c r="CYG34" s="122"/>
      <c r="CYH34" s="122"/>
      <c r="CYI34" s="122"/>
      <c r="CYJ34" s="122"/>
      <c r="CYK34" s="122"/>
      <c r="CYL34" s="122"/>
      <c r="CYM34" s="122"/>
      <c r="CYN34" s="122"/>
      <c r="CYO34" s="122"/>
      <c r="CYP34" s="122"/>
      <c r="CYQ34" s="122"/>
      <c r="CYR34" s="122"/>
      <c r="CYS34" s="122"/>
      <c r="CYT34" s="122"/>
      <c r="CYU34" s="122"/>
      <c r="CYV34" s="122"/>
      <c r="CYW34" s="122"/>
      <c r="CYX34" s="122"/>
      <c r="CYY34" s="122"/>
      <c r="CYZ34" s="122"/>
      <c r="CZA34" s="122"/>
      <c r="CZB34" s="122"/>
      <c r="CZC34" s="122"/>
      <c r="CZD34" s="122"/>
      <c r="CZE34" s="122"/>
      <c r="CZF34" s="122"/>
      <c r="CZG34" s="122"/>
      <c r="CZH34" s="122"/>
      <c r="CZI34" s="122"/>
      <c r="CZJ34" s="122"/>
      <c r="CZK34" s="122"/>
      <c r="CZL34" s="122"/>
      <c r="CZM34" s="122"/>
      <c r="CZN34" s="122"/>
      <c r="CZO34" s="122"/>
      <c r="CZP34" s="122"/>
      <c r="CZQ34" s="122"/>
      <c r="CZR34" s="122"/>
      <c r="CZS34" s="122"/>
      <c r="CZT34" s="122"/>
      <c r="CZU34" s="122"/>
      <c r="CZV34" s="122"/>
      <c r="CZW34" s="122"/>
      <c r="CZX34" s="122"/>
      <c r="CZY34" s="122"/>
      <c r="CZZ34" s="122"/>
      <c r="DAA34" s="122"/>
      <c r="DAB34" s="122"/>
      <c r="DAC34" s="122"/>
      <c r="DAD34" s="122"/>
      <c r="DAE34" s="122"/>
      <c r="DAF34" s="122"/>
      <c r="DAG34" s="122"/>
      <c r="DAH34" s="122"/>
      <c r="DAI34" s="122"/>
      <c r="DAJ34" s="122"/>
      <c r="DAK34" s="122"/>
      <c r="DAL34" s="122"/>
      <c r="DAM34" s="122"/>
      <c r="DAN34" s="122"/>
      <c r="DAO34" s="122"/>
      <c r="DAP34" s="122"/>
      <c r="DAQ34" s="122"/>
      <c r="DAR34" s="122"/>
      <c r="DAS34" s="122"/>
      <c r="DAT34" s="122"/>
      <c r="DAU34" s="122"/>
      <c r="DAV34" s="122"/>
      <c r="DAW34" s="122"/>
      <c r="DAX34" s="122"/>
      <c r="DAY34" s="122"/>
      <c r="DAZ34" s="122"/>
      <c r="DBA34" s="122"/>
      <c r="DBB34" s="122"/>
      <c r="DBC34" s="122"/>
      <c r="DBD34" s="122"/>
      <c r="DBE34" s="122"/>
      <c r="DBF34" s="122"/>
      <c r="DBG34" s="122"/>
      <c r="DBH34" s="122"/>
      <c r="DBI34" s="122"/>
      <c r="DBJ34" s="122"/>
      <c r="DBK34" s="122"/>
      <c r="DBL34" s="122"/>
      <c r="DBM34" s="122"/>
      <c r="DBN34" s="122"/>
      <c r="DBO34" s="122"/>
      <c r="DBP34" s="122"/>
      <c r="DBQ34" s="122"/>
      <c r="DBR34" s="122"/>
      <c r="DBS34" s="122"/>
      <c r="DBT34" s="122"/>
      <c r="DBU34" s="122"/>
      <c r="DBV34" s="122"/>
      <c r="DBW34" s="122"/>
      <c r="DBX34" s="122"/>
      <c r="DBY34" s="122"/>
      <c r="DBZ34" s="122"/>
      <c r="DCA34" s="122"/>
      <c r="DCB34" s="122"/>
      <c r="DCC34" s="122"/>
      <c r="DCD34" s="122"/>
      <c r="DCE34" s="122"/>
      <c r="DCF34" s="122"/>
      <c r="DCG34" s="122"/>
      <c r="DCH34" s="122"/>
      <c r="DCI34" s="122"/>
      <c r="DCJ34" s="122"/>
      <c r="DCK34" s="122"/>
      <c r="DCL34" s="122"/>
      <c r="DCM34" s="122"/>
      <c r="DCN34" s="122"/>
      <c r="DCO34" s="122"/>
      <c r="DCP34" s="122"/>
      <c r="DCQ34" s="122"/>
      <c r="DCR34" s="122"/>
      <c r="DCS34" s="122"/>
      <c r="DCT34" s="122"/>
      <c r="DCU34" s="122"/>
      <c r="DCV34" s="122"/>
      <c r="DCW34" s="122"/>
      <c r="DCX34" s="122"/>
      <c r="DCY34" s="122"/>
      <c r="DCZ34" s="122"/>
      <c r="DDA34" s="122"/>
      <c r="DDB34" s="122"/>
      <c r="DDC34" s="122"/>
      <c r="DDD34" s="122"/>
      <c r="DDE34" s="122"/>
      <c r="DDF34" s="122"/>
      <c r="DDG34" s="122"/>
      <c r="DDH34" s="122"/>
      <c r="DDI34" s="122"/>
      <c r="DDJ34" s="122"/>
      <c r="DDK34" s="122"/>
      <c r="DDL34" s="122"/>
      <c r="DDM34" s="122"/>
      <c r="DDN34" s="122"/>
      <c r="DDO34" s="122"/>
      <c r="DDP34" s="122"/>
      <c r="DDQ34" s="122"/>
      <c r="DDR34" s="122"/>
      <c r="DDS34" s="122"/>
      <c r="DDT34" s="122"/>
      <c r="DDU34" s="122"/>
      <c r="DDV34" s="122"/>
      <c r="DDW34" s="122"/>
      <c r="DDX34" s="122"/>
      <c r="DDY34" s="122"/>
      <c r="DDZ34" s="122"/>
      <c r="DEA34" s="122"/>
      <c r="DEB34" s="122"/>
      <c r="DEC34" s="122"/>
      <c r="DED34" s="122"/>
      <c r="DEE34" s="122"/>
      <c r="DEF34" s="122"/>
      <c r="DEG34" s="122"/>
      <c r="DEH34" s="122"/>
      <c r="DEI34" s="122"/>
      <c r="DEJ34" s="122"/>
      <c r="DEK34" s="122"/>
      <c r="DEL34" s="122"/>
      <c r="DEM34" s="122"/>
      <c r="DEN34" s="122"/>
      <c r="DEO34" s="122"/>
      <c r="DEP34" s="122"/>
      <c r="DEQ34" s="122"/>
      <c r="DER34" s="122"/>
      <c r="DES34" s="122"/>
      <c r="DET34" s="122"/>
      <c r="DEU34" s="122"/>
      <c r="DEV34" s="122"/>
      <c r="DEW34" s="122"/>
      <c r="DEX34" s="122"/>
      <c r="DEY34" s="122"/>
      <c r="DEZ34" s="122"/>
      <c r="DFA34" s="122"/>
      <c r="DFB34" s="122"/>
      <c r="DFC34" s="122"/>
      <c r="DFD34" s="122"/>
      <c r="DFE34" s="122"/>
      <c r="DFF34" s="122"/>
      <c r="DFG34" s="122"/>
      <c r="DFH34" s="122"/>
      <c r="DFI34" s="122"/>
      <c r="DFJ34" s="122"/>
      <c r="DFK34" s="122"/>
      <c r="DFL34" s="122"/>
      <c r="DFM34" s="122"/>
      <c r="DFN34" s="122"/>
      <c r="DFO34" s="122"/>
      <c r="DFP34" s="122"/>
      <c r="DFQ34" s="122"/>
      <c r="DFR34" s="122"/>
      <c r="DFS34" s="122"/>
      <c r="DFT34" s="122"/>
      <c r="DFU34" s="122"/>
      <c r="DFV34" s="122"/>
      <c r="DFW34" s="122"/>
      <c r="DFX34" s="122"/>
      <c r="DFY34" s="122"/>
      <c r="DFZ34" s="122"/>
      <c r="DGA34" s="122"/>
      <c r="DGB34" s="122"/>
      <c r="DGC34" s="122"/>
      <c r="DGD34" s="122"/>
      <c r="DGE34" s="122"/>
      <c r="DGF34" s="122"/>
      <c r="DGG34" s="122"/>
      <c r="DGH34" s="122"/>
      <c r="DGI34" s="122"/>
      <c r="DGJ34" s="122"/>
      <c r="DGK34" s="122"/>
      <c r="DGL34" s="122"/>
      <c r="DGM34" s="122"/>
      <c r="DGN34" s="122"/>
      <c r="DGO34" s="122"/>
      <c r="DGP34" s="122"/>
      <c r="DGQ34" s="122"/>
      <c r="DGR34" s="122"/>
      <c r="DGS34" s="122"/>
      <c r="DGT34" s="122"/>
      <c r="DGU34" s="122"/>
      <c r="DGV34" s="122"/>
      <c r="DGW34" s="122"/>
      <c r="DGX34" s="122"/>
      <c r="DGY34" s="122"/>
      <c r="DGZ34" s="122"/>
      <c r="DHA34" s="122"/>
      <c r="DHB34" s="122"/>
      <c r="DHC34" s="122"/>
      <c r="DHD34" s="122"/>
      <c r="DHE34" s="122"/>
      <c r="DHF34" s="122"/>
      <c r="DHG34" s="122"/>
      <c r="DHH34" s="122"/>
      <c r="DHI34" s="122"/>
      <c r="DHJ34" s="122"/>
      <c r="DHK34" s="122"/>
      <c r="DHL34" s="122"/>
      <c r="DHM34" s="122"/>
      <c r="DHN34" s="122"/>
      <c r="DHO34" s="122"/>
      <c r="DHP34" s="122"/>
      <c r="DHQ34" s="122"/>
      <c r="DHR34" s="122"/>
      <c r="DHS34" s="122"/>
      <c r="DHT34" s="122"/>
      <c r="DHU34" s="122"/>
      <c r="DHV34" s="122"/>
      <c r="DHW34" s="122"/>
      <c r="DHX34" s="122"/>
      <c r="DHY34" s="122"/>
      <c r="DHZ34" s="122"/>
      <c r="DIA34" s="122"/>
      <c r="DIB34" s="122"/>
      <c r="DIC34" s="122"/>
      <c r="DID34" s="122"/>
      <c r="DIE34" s="122"/>
      <c r="DIF34" s="122"/>
      <c r="DIG34" s="122"/>
      <c r="DIH34" s="122"/>
      <c r="DII34" s="122"/>
      <c r="DIJ34" s="122"/>
      <c r="DIK34" s="122"/>
      <c r="DIL34" s="122"/>
      <c r="DIM34" s="122"/>
      <c r="DIN34" s="122"/>
      <c r="DIO34" s="122"/>
      <c r="DIP34" s="122"/>
      <c r="DIQ34" s="122"/>
      <c r="DIR34" s="122"/>
      <c r="DIS34" s="122"/>
      <c r="DIT34" s="122"/>
      <c r="DIU34" s="122"/>
      <c r="DIV34" s="122"/>
      <c r="DIW34" s="122"/>
      <c r="DIX34" s="122"/>
      <c r="DIY34" s="122"/>
      <c r="DIZ34" s="122"/>
      <c r="DJA34" s="122"/>
      <c r="DJB34" s="122"/>
      <c r="DJC34" s="122"/>
      <c r="DJD34" s="122"/>
      <c r="DJE34" s="122"/>
      <c r="DJF34" s="122"/>
      <c r="DJG34" s="122"/>
      <c r="DJH34" s="122"/>
      <c r="DJI34" s="122"/>
      <c r="DJJ34" s="122"/>
      <c r="DJK34" s="122"/>
      <c r="DJL34" s="122"/>
      <c r="DJM34" s="122"/>
      <c r="DJN34" s="122"/>
      <c r="DJO34" s="122"/>
      <c r="DJP34" s="122"/>
      <c r="DJQ34" s="122"/>
      <c r="DJR34" s="122"/>
      <c r="DJS34" s="122"/>
      <c r="DJT34" s="122"/>
      <c r="DJU34" s="122"/>
      <c r="DJV34" s="122"/>
      <c r="DJW34" s="122"/>
      <c r="DJX34" s="122"/>
      <c r="DJY34" s="122"/>
      <c r="DJZ34" s="122"/>
      <c r="DKA34" s="122"/>
      <c r="DKB34" s="122"/>
      <c r="DKC34" s="122"/>
      <c r="DKD34" s="122"/>
      <c r="DKE34" s="122"/>
      <c r="DKF34" s="122"/>
      <c r="DKG34" s="122"/>
      <c r="DKH34" s="122"/>
      <c r="DKI34" s="122"/>
      <c r="DKJ34" s="122"/>
      <c r="DKK34" s="122"/>
      <c r="DKL34" s="122"/>
      <c r="DKM34" s="122"/>
      <c r="DKN34" s="122"/>
      <c r="DKO34" s="122"/>
      <c r="DKP34" s="122"/>
      <c r="DKQ34" s="122"/>
      <c r="DKR34" s="122"/>
      <c r="DKS34" s="122"/>
      <c r="DKT34" s="122"/>
      <c r="DKU34" s="122"/>
      <c r="DKV34" s="122"/>
      <c r="DKW34" s="122"/>
      <c r="DKX34" s="122"/>
      <c r="DKY34" s="122"/>
      <c r="DKZ34" s="122"/>
      <c r="DLA34" s="122"/>
      <c r="DLB34" s="122"/>
      <c r="DLC34" s="122"/>
      <c r="DLD34" s="122"/>
      <c r="DLE34" s="122"/>
      <c r="DLF34" s="122"/>
      <c r="DLG34" s="122"/>
      <c r="DLH34" s="122"/>
      <c r="DLI34" s="122"/>
      <c r="DLJ34" s="122"/>
      <c r="DLK34" s="122"/>
      <c r="DLL34" s="122"/>
      <c r="DLM34" s="122"/>
      <c r="DLN34" s="122"/>
      <c r="DLO34" s="122"/>
      <c r="DLP34" s="122"/>
      <c r="DLQ34" s="122"/>
      <c r="DLR34" s="122"/>
      <c r="DLS34" s="122"/>
      <c r="DLT34" s="122"/>
      <c r="DLU34" s="122"/>
      <c r="DLV34" s="122"/>
      <c r="DLW34" s="122"/>
      <c r="DLX34" s="122"/>
      <c r="DLY34" s="122"/>
      <c r="DLZ34" s="122"/>
      <c r="DMA34" s="122"/>
      <c r="DMB34" s="122"/>
      <c r="DMC34" s="122"/>
      <c r="DMD34" s="122"/>
      <c r="DME34" s="122"/>
      <c r="DMF34" s="122"/>
      <c r="DMG34" s="122"/>
      <c r="DMH34" s="122"/>
      <c r="DMI34" s="122"/>
      <c r="DMJ34" s="122"/>
      <c r="DMK34" s="122"/>
      <c r="DML34" s="122"/>
      <c r="DMM34" s="122"/>
      <c r="DMN34" s="122"/>
      <c r="DMO34" s="122"/>
      <c r="DMP34" s="122"/>
      <c r="DMQ34" s="122"/>
      <c r="DMR34" s="122"/>
      <c r="DMS34" s="122"/>
      <c r="DMT34" s="122"/>
      <c r="DMU34" s="122"/>
      <c r="DMV34" s="122"/>
      <c r="DMW34" s="122"/>
      <c r="DMX34" s="122"/>
      <c r="DMY34" s="122"/>
      <c r="DMZ34" s="122"/>
      <c r="DNA34" s="122"/>
      <c r="DNB34" s="122"/>
      <c r="DNC34" s="122"/>
      <c r="DND34" s="122"/>
      <c r="DNE34" s="122"/>
      <c r="DNF34" s="122"/>
      <c r="DNG34" s="122"/>
      <c r="DNH34" s="122"/>
      <c r="DNI34" s="122"/>
      <c r="DNJ34" s="122"/>
      <c r="DNK34" s="122"/>
      <c r="DNL34" s="122"/>
      <c r="DNM34" s="122"/>
      <c r="DNN34" s="122"/>
      <c r="DNO34" s="122"/>
      <c r="DNP34" s="122"/>
      <c r="DNQ34" s="122"/>
      <c r="DNR34" s="122"/>
      <c r="DNS34" s="122"/>
      <c r="DNT34" s="122"/>
      <c r="DNU34" s="122"/>
      <c r="DNV34" s="122"/>
      <c r="DNW34" s="122"/>
      <c r="DNX34" s="122"/>
      <c r="DNY34" s="122"/>
      <c r="DNZ34" s="122"/>
      <c r="DOA34" s="122"/>
      <c r="DOB34" s="122"/>
      <c r="DOC34" s="122"/>
      <c r="DOD34" s="122"/>
      <c r="DOE34" s="122"/>
      <c r="DOF34" s="122"/>
      <c r="DOG34" s="122"/>
      <c r="DOH34" s="122"/>
      <c r="DOI34" s="122"/>
      <c r="DOJ34" s="122"/>
      <c r="DOK34" s="122"/>
      <c r="DOL34" s="122"/>
      <c r="DOM34" s="122"/>
      <c r="DON34" s="122"/>
      <c r="DOO34" s="122"/>
      <c r="DOP34" s="122"/>
      <c r="DOQ34" s="122"/>
      <c r="DOR34" s="122"/>
      <c r="DOS34" s="122"/>
      <c r="DOT34" s="122"/>
      <c r="DOU34" s="122"/>
      <c r="DOV34" s="122"/>
      <c r="DOW34" s="122"/>
      <c r="DOX34" s="122"/>
      <c r="DOY34" s="122"/>
      <c r="DOZ34" s="122"/>
      <c r="DPA34" s="122"/>
      <c r="DPB34" s="122"/>
      <c r="DPC34" s="122"/>
      <c r="DPD34" s="122"/>
      <c r="DPE34" s="122"/>
      <c r="DPF34" s="122"/>
      <c r="DPG34" s="122"/>
      <c r="DPH34" s="122"/>
      <c r="DPI34" s="122"/>
      <c r="DPJ34" s="122"/>
      <c r="DPK34" s="122"/>
      <c r="DPL34" s="122"/>
      <c r="DPM34" s="122"/>
      <c r="DPN34" s="122"/>
      <c r="DPO34" s="122"/>
      <c r="DPP34" s="122"/>
      <c r="DPQ34" s="122"/>
      <c r="DPR34" s="122"/>
      <c r="DPS34" s="122"/>
      <c r="DPT34" s="122"/>
      <c r="DPU34" s="122"/>
      <c r="DPV34" s="122"/>
      <c r="DPW34" s="122"/>
      <c r="DPX34" s="122"/>
      <c r="DPY34" s="122"/>
      <c r="DPZ34" s="122"/>
      <c r="DQA34" s="122"/>
      <c r="DQB34" s="122"/>
      <c r="DQC34" s="122"/>
      <c r="DQD34" s="122"/>
      <c r="DQE34" s="122"/>
      <c r="DQF34" s="122"/>
      <c r="DQG34" s="122"/>
      <c r="DQH34" s="122"/>
      <c r="DQI34" s="122"/>
      <c r="DQJ34" s="122"/>
      <c r="DQK34" s="122"/>
      <c r="DQL34" s="122"/>
      <c r="DQM34" s="122"/>
      <c r="DQN34" s="122"/>
      <c r="DQO34" s="122"/>
      <c r="DQP34" s="122"/>
      <c r="DQQ34" s="122"/>
      <c r="DQR34" s="122"/>
      <c r="DQS34" s="122"/>
      <c r="DQT34" s="122"/>
      <c r="DQU34" s="122"/>
      <c r="DQV34" s="122"/>
      <c r="DQW34" s="122"/>
      <c r="DQX34" s="122"/>
      <c r="DQY34" s="122"/>
      <c r="DQZ34" s="122"/>
      <c r="DRA34" s="122"/>
      <c r="DRB34" s="122"/>
      <c r="DRC34" s="122"/>
      <c r="DRD34" s="122"/>
      <c r="DRE34" s="122"/>
      <c r="DRF34" s="122"/>
      <c r="DRG34" s="122"/>
      <c r="DRH34" s="122"/>
      <c r="DRI34" s="122"/>
      <c r="DRJ34" s="122"/>
      <c r="DRK34" s="122"/>
      <c r="DRL34" s="122"/>
      <c r="DRM34" s="122"/>
      <c r="DRN34" s="122"/>
      <c r="DRO34" s="122"/>
      <c r="DRP34" s="122"/>
      <c r="DRQ34" s="122"/>
      <c r="DRR34" s="122"/>
      <c r="DRS34" s="122"/>
      <c r="DRT34" s="122"/>
      <c r="DRU34" s="122"/>
      <c r="DRV34" s="122"/>
      <c r="DRW34" s="122"/>
      <c r="DRX34" s="122"/>
      <c r="DRY34" s="122"/>
      <c r="DRZ34" s="122"/>
      <c r="DSA34" s="122"/>
      <c r="DSB34" s="122"/>
      <c r="DSC34" s="122"/>
      <c r="DSD34" s="122"/>
      <c r="DSE34" s="122"/>
      <c r="DSF34" s="122"/>
      <c r="DSG34" s="122"/>
      <c r="DSH34" s="122"/>
      <c r="DSI34" s="122"/>
      <c r="DSJ34" s="122"/>
      <c r="DSK34" s="122"/>
      <c r="DSL34" s="122"/>
      <c r="DSM34" s="122"/>
      <c r="DSN34" s="122"/>
      <c r="DSO34" s="122"/>
      <c r="DSP34" s="122"/>
      <c r="DSQ34" s="122"/>
      <c r="DSR34" s="122"/>
      <c r="DSS34" s="122"/>
      <c r="DST34" s="122"/>
      <c r="DSU34" s="122"/>
      <c r="DSV34" s="122"/>
      <c r="DSW34" s="122"/>
      <c r="DSX34" s="122"/>
      <c r="DSY34" s="122"/>
      <c r="DSZ34" s="122"/>
      <c r="DTA34" s="122"/>
      <c r="DTB34" s="122"/>
      <c r="DTC34" s="122"/>
      <c r="DTD34" s="122"/>
      <c r="DTE34" s="122"/>
      <c r="DTF34" s="122"/>
      <c r="DTG34" s="122"/>
      <c r="DTH34" s="122"/>
      <c r="DTI34" s="122"/>
      <c r="DTJ34" s="122"/>
      <c r="DTK34" s="122"/>
      <c r="DTL34" s="122"/>
      <c r="DTM34" s="122"/>
      <c r="DTN34" s="122"/>
      <c r="DTO34" s="122"/>
      <c r="DTP34" s="122"/>
      <c r="DTQ34" s="122"/>
      <c r="DTR34" s="122"/>
      <c r="DTS34" s="122"/>
      <c r="DTT34" s="122"/>
      <c r="DTU34" s="122"/>
      <c r="DTV34" s="122"/>
      <c r="DTW34" s="122"/>
      <c r="DTX34" s="122"/>
      <c r="DTY34" s="122"/>
      <c r="DTZ34" s="122"/>
      <c r="DUA34" s="122"/>
      <c r="DUB34" s="122"/>
      <c r="DUC34" s="122"/>
      <c r="DUD34" s="122"/>
      <c r="DUE34" s="122"/>
      <c r="DUF34" s="122"/>
      <c r="DUG34" s="122"/>
      <c r="DUH34" s="122"/>
      <c r="DUI34" s="122"/>
      <c r="DUJ34" s="122"/>
      <c r="DUK34" s="122"/>
      <c r="DUL34" s="122"/>
      <c r="DUM34" s="122"/>
      <c r="DUN34" s="122"/>
      <c r="DUO34" s="122"/>
      <c r="DUP34" s="122"/>
      <c r="DUQ34" s="122"/>
      <c r="DUR34" s="122"/>
      <c r="DUS34" s="122"/>
      <c r="DUT34" s="122"/>
      <c r="DUU34" s="122"/>
      <c r="DUV34" s="122"/>
      <c r="DUW34" s="122"/>
      <c r="DUX34" s="122"/>
      <c r="DUY34" s="122"/>
      <c r="DUZ34" s="122"/>
      <c r="DVA34" s="122"/>
      <c r="DVB34" s="122"/>
      <c r="DVC34" s="122"/>
      <c r="DVD34" s="122"/>
      <c r="DVE34" s="122"/>
      <c r="DVF34" s="122"/>
      <c r="DVG34" s="122"/>
      <c r="DVH34" s="122"/>
      <c r="DVI34" s="122"/>
      <c r="DVJ34" s="122"/>
      <c r="DVK34" s="122"/>
      <c r="DVL34" s="122"/>
      <c r="DVM34" s="122"/>
      <c r="DVN34" s="122"/>
      <c r="DVO34" s="122"/>
      <c r="DVP34" s="122"/>
      <c r="DVQ34" s="122"/>
      <c r="DVR34" s="122"/>
      <c r="DVS34" s="122"/>
      <c r="DVT34" s="122"/>
      <c r="DVU34" s="122"/>
      <c r="DVV34" s="122"/>
      <c r="DVW34" s="122"/>
      <c r="DVX34" s="122"/>
      <c r="DVY34" s="122"/>
      <c r="DVZ34" s="122"/>
      <c r="DWA34" s="122"/>
      <c r="DWB34" s="122"/>
      <c r="DWC34" s="122"/>
      <c r="DWD34" s="122"/>
      <c r="DWE34" s="122"/>
      <c r="DWF34" s="122"/>
      <c r="DWG34" s="122"/>
      <c r="DWH34" s="122"/>
      <c r="DWI34" s="122"/>
      <c r="DWJ34" s="122"/>
      <c r="DWK34" s="122"/>
      <c r="DWL34" s="122"/>
      <c r="DWM34" s="122"/>
      <c r="DWN34" s="122"/>
      <c r="DWO34" s="122"/>
      <c r="DWP34" s="122"/>
      <c r="DWQ34" s="122"/>
      <c r="DWR34" s="122"/>
      <c r="DWS34" s="122"/>
      <c r="DWT34" s="122"/>
      <c r="DWU34" s="122"/>
      <c r="DWV34" s="122"/>
      <c r="DWW34" s="122"/>
      <c r="DWX34" s="122"/>
      <c r="DWY34" s="122"/>
      <c r="DWZ34" s="122"/>
      <c r="DXA34" s="122"/>
      <c r="DXB34" s="122"/>
      <c r="DXC34" s="122"/>
      <c r="DXD34" s="122"/>
      <c r="DXE34" s="122"/>
      <c r="DXF34" s="122"/>
      <c r="DXG34" s="122"/>
      <c r="DXH34" s="122"/>
      <c r="DXI34" s="122"/>
      <c r="DXJ34" s="122"/>
      <c r="DXK34" s="122"/>
      <c r="DXL34" s="122"/>
      <c r="DXM34" s="122"/>
      <c r="DXN34" s="122"/>
      <c r="DXO34" s="122"/>
      <c r="DXP34" s="122"/>
      <c r="DXQ34" s="122"/>
      <c r="DXR34" s="122"/>
      <c r="DXS34" s="122"/>
      <c r="DXT34" s="122"/>
      <c r="DXU34" s="122"/>
      <c r="DXV34" s="122"/>
      <c r="DXW34" s="122"/>
      <c r="DXX34" s="122"/>
      <c r="DXY34" s="122"/>
      <c r="DXZ34" s="122"/>
      <c r="DYA34" s="122"/>
      <c r="DYB34" s="122"/>
      <c r="DYC34" s="122"/>
      <c r="DYD34" s="122"/>
      <c r="DYE34" s="122"/>
      <c r="DYF34" s="122"/>
      <c r="DYG34" s="122"/>
      <c r="DYH34" s="122"/>
      <c r="DYI34" s="122"/>
      <c r="DYJ34" s="122"/>
      <c r="DYK34" s="122"/>
      <c r="DYL34" s="122"/>
      <c r="DYM34" s="122"/>
      <c r="DYN34" s="122"/>
      <c r="DYO34" s="122"/>
      <c r="DYP34" s="122"/>
      <c r="DYQ34" s="122"/>
      <c r="DYR34" s="122"/>
      <c r="DYS34" s="122"/>
      <c r="DYT34" s="122"/>
      <c r="DYU34" s="122"/>
      <c r="DYV34" s="122"/>
      <c r="DYW34" s="122"/>
      <c r="DYX34" s="122"/>
      <c r="DYY34" s="122"/>
      <c r="DYZ34" s="122"/>
      <c r="DZA34" s="122"/>
      <c r="DZB34" s="122"/>
      <c r="DZC34" s="122"/>
      <c r="DZD34" s="122"/>
      <c r="DZE34" s="122"/>
      <c r="DZF34" s="122"/>
      <c r="DZG34" s="122"/>
      <c r="DZH34" s="122"/>
      <c r="DZI34" s="122"/>
      <c r="DZJ34" s="122"/>
      <c r="DZK34" s="122"/>
      <c r="DZL34" s="122"/>
      <c r="DZM34" s="122"/>
      <c r="DZN34" s="122"/>
      <c r="DZO34" s="122"/>
      <c r="DZP34" s="122"/>
      <c r="DZQ34" s="122"/>
      <c r="DZR34" s="122"/>
      <c r="DZS34" s="122"/>
      <c r="DZT34" s="122"/>
      <c r="DZU34" s="122"/>
      <c r="DZV34" s="122"/>
      <c r="DZW34" s="122"/>
      <c r="DZX34" s="122"/>
      <c r="DZY34" s="122"/>
      <c r="DZZ34" s="122"/>
      <c r="EAA34" s="122"/>
      <c r="EAB34" s="122"/>
      <c r="EAC34" s="122"/>
      <c r="EAD34" s="122"/>
      <c r="EAE34" s="122"/>
      <c r="EAF34" s="122"/>
      <c r="EAG34" s="122"/>
      <c r="EAH34" s="122"/>
      <c r="EAI34" s="122"/>
      <c r="EAJ34" s="122"/>
      <c r="EAK34" s="122"/>
      <c r="EAL34" s="122"/>
      <c r="EAM34" s="122"/>
      <c r="EAN34" s="122"/>
      <c r="EAO34" s="122"/>
      <c r="EAP34" s="122"/>
      <c r="EAQ34" s="122"/>
      <c r="EAR34" s="122"/>
      <c r="EAS34" s="122"/>
      <c r="EAT34" s="122"/>
      <c r="EAU34" s="122"/>
      <c r="EAV34" s="122"/>
      <c r="EAW34" s="122"/>
      <c r="EAX34" s="122"/>
      <c r="EAY34" s="122"/>
      <c r="EAZ34" s="122"/>
      <c r="EBA34" s="122"/>
      <c r="EBB34" s="122"/>
      <c r="EBC34" s="122"/>
      <c r="EBD34" s="122"/>
      <c r="EBE34" s="122"/>
      <c r="EBF34" s="122"/>
      <c r="EBG34" s="122"/>
      <c r="EBH34" s="122"/>
      <c r="EBI34" s="122"/>
      <c r="EBJ34" s="122"/>
      <c r="EBK34" s="122"/>
      <c r="EBL34" s="122"/>
      <c r="EBM34" s="122"/>
      <c r="EBN34" s="122"/>
      <c r="EBO34" s="122"/>
      <c r="EBP34" s="122"/>
      <c r="EBQ34" s="122"/>
      <c r="EBR34" s="122"/>
      <c r="EBS34" s="122"/>
      <c r="EBT34" s="122"/>
      <c r="EBU34" s="122"/>
      <c r="EBV34" s="122"/>
      <c r="EBW34" s="122"/>
      <c r="EBX34" s="122"/>
      <c r="EBY34" s="122"/>
      <c r="EBZ34" s="122"/>
      <c r="ECA34" s="122"/>
      <c r="ECB34" s="122"/>
      <c r="ECC34" s="122"/>
      <c r="ECD34" s="122"/>
      <c r="ECE34" s="122"/>
      <c r="ECF34" s="122"/>
      <c r="ECG34" s="122"/>
      <c r="ECH34" s="122"/>
      <c r="ECI34" s="122"/>
      <c r="ECJ34" s="122"/>
      <c r="ECK34" s="122"/>
      <c r="ECL34" s="122"/>
      <c r="ECM34" s="122"/>
      <c r="ECN34" s="122"/>
      <c r="ECO34" s="122"/>
      <c r="ECP34" s="122"/>
      <c r="ECQ34" s="122"/>
      <c r="ECR34" s="122"/>
      <c r="ECS34" s="122"/>
      <c r="ECT34" s="122"/>
      <c r="ECU34" s="122"/>
      <c r="ECV34" s="122"/>
      <c r="ECW34" s="122"/>
      <c r="ECX34" s="122"/>
      <c r="ECY34" s="122"/>
      <c r="ECZ34" s="122"/>
      <c r="EDA34" s="122"/>
      <c r="EDB34" s="122"/>
      <c r="EDC34" s="122"/>
      <c r="EDD34" s="122"/>
      <c r="EDE34" s="122"/>
      <c r="EDF34" s="122"/>
      <c r="EDG34" s="122"/>
      <c r="EDH34" s="122"/>
      <c r="EDI34" s="122"/>
      <c r="EDJ34" s="122"/>
      <c r="EDK34" s="122"/>
      <c r="EDL34" s="122"/>
      <c r="EDM34" s="122"/>
      <c r="EDN34" s="122"/>
      <c r="EDO34" s="122"/>
      <c r="EDP34" s="122"/>
      <c r="EDQ34" s="122"/>
      <c r="EDR34" s="122"/>
      <c r="EDS34" s="122"/>
      <c r="EDT34" s="122"/>
      <c r="EDU34" s="122"/>
      <c r="EDV34" s="122"/>
      <c r="EDW34" s="122"/>
      <c r="EDX34" s="122"/>
      <c r="EDY34" s="122"/>
      <c r="EDZ34" s="122"/>
      <c r="EEA34" s="122"/>
      <c r="EEB34" s="122"/>
      <c r="EEC34" s="122"/>
      <c r="EED34" s="122"/>
      <c r="EEE34" s="122"/>
      <c r="EEF34" s="122"/>
      <c r="EEG34" s="122"/>
      <c r="EEH34" s="122"/>
      <c r="EEI34" s="122"/>
      <c r="EEJ34" s="122"/>
      <c r="EEK34" s="122"/>
      <c r="EEL34" s="122"/>
      <c r="EEM34" s="122"/>
      <c r="EEN34" s="122"/>
      <c r="EEO34" s="122"/>
      <c r="EEP34" s="122"/>
      <c r="EEQ34" s="122"/>
      <c r="EER34" s="122"/>
      <c r="EES34" s="122"/>
      <c r="EET34" s="122"/>
      <c r="EEU34" s="122"/>
      <c r="EEV34" s="122"/>
      <c r="EEW34" s="122"/>
      <c r="EEX34" s="122"/>
      <c r="EEY34" s="122"/>
      <c r="EEZ34" s="122"/>
      <c r="EFA34" s="122"/>
      <c r="EFB34" s="122"/>
      <c r="EFC34" s="122"/>
      <c r="EFD34" s="122"/>
      <c r="EFE34" s="122"/>
      <c r="EFF34" s="122"/>
      <c r="EFG34" s="122"/>
      <c r="EFH34" s="122"/>
      <c r="EFI34" s="122"/>
      <c r="EFJ34" s="122"/>
      <c r="EFK34" s="122"/>
      <c r="EFL34" s="122"/>
      <c r="EFM34" s="122"/>
      <c r="EFN34" s="122"/>
      <c r="EFO34" s="122"/>
      <c r="EFP34" s="122"/>
      <c r="EFQ34" s="122"/>
      <c r="EFR34" s="122"/>
      <c r="EFS34" s="122"/>
      <c r="EFT34" s="122"/>
      <c r="EFU34" s="122"/>
      <c r="EFV34" s="122"/>
      <c r="EFW34" s="122"/>
      <c r="EFX34" s="122"/>
      <c r="EFY34" s="122"/>
      <c r="EFZ34" s="122"/>
      <c r="EGA34" s="122"/>
      <c r="EGB34" s="122"/>
      <c r="EGC34" s="122"/>
      <c r="EGD34" s="122"/>
      <c r="EGE34" s="122"/>
      <c r="EGF34" s="122"/>
      <c r="EGG34" s="122"/>
      <c r="EGH34" s="122"/>
      <c r="EGI34" s="122"/>
      <c r="EGJ34" s="122"/>
      <c r="EGK34" s="122"/>
      <c r="EGL34" s="122"/>
      <c r="EGM34" s="122"/>
      <c r="EGN34" s="122"/>
      <c r="EGO34" s="122"/>
      <c r="EGP34" s="122"/>
      <c r="EGQ34" s="122"/>
      <c r="EGR34" s="122"/>
      <c r="EGS34" s="122"/>
      <c r="EGT34" s="122"/>
      <c r="EGU34" s="122"/>
      <c r="EGV34" s="122"/>
      <c r="EGW34" s="122"/>
      <c r="EGX34" s="122"/>
      <c r="EGY34" s="122"/>
      <c r="EGZ34" s="122"/>
      <c r="EHA34" s="122"/>
      <c r="EHB34" s="122"/>
      <c r="EHC34" s="122"/>
      <c r="EHD34" s="122"/>
      <c r="EHE34" s="122"/>
      <c r="EHF34" s="122"/>
      <c r="EHG34" s="122"/>
      <c r="EHH34" s="122"/>
      <c r="EHI34" s="122"/>
      <c r="EHJ34" s="122"/>
      <c r="EHK34" s="122"/>
      <c r="EHL34" s="122"/>
      <c r="EHM34" s="122"/>
      <c r="EHN34" s="122"/>
      <c r="EHO34" s="122"/>
      <c r="EHP34" s="122"/>
      <c r="EHQ34" s="122"/>
      <c r="EHR34" s="122"/>
      <c r="EHS34" s="122"/>
      <c r="EHT34" s="122"/>
      <c r="EHU34" s="122"/>
      <c r="EHV34" s="122"/>
      <c r="EHW34" s="122"/>
      <c r="EHX34" s="122"/>
      <c r="EHY34" s="122"/>
      <c r="EHZ34" s="122"/>
      <c r="EIA34" s="122"/>
      <c r="EIB34" s="122"/>
      <c r="EIC34" s="122"/>
      <c r="EID34" s="122"/>
      <c r="EIE34" s="122"/>
      <c r="EIF34" s="122"/>
      <c r="EIG34" s="122"/>
      <c r="EIH34" s="122"/>
      <c r="EII34" s="122"/>
      <c r="EIJ34" s="122"/>
      <c r="EIK34" s="122"/>
      <c r="EIL34" s="122"/>
      <c r="EIM34" s="122"/>
      <c r="EIN34" s="122"/>
      <c r="EIO34" s="122"/>
      <c r="EIP34" s="122"/>
      <c r="EIQ34" s="122"/>
      <c r="EIR34" s="122"/>
      <c r="EIS34" s="122"/>
      <c r="EIT34" s="122"/>
      <c r="EIU34" s="122"/>
      <c r="EIV34" s="122"/>
      <c r="EIW34" s="122"/>
      <c r="EIX34" s="122"/>
      <c r="EIY34" s="122"/>
      <c r="EIZ34" s="122"/>
      <c r="EJA34" s="122"/>
      <c r="EJB34" s="122"/>
      <c r="EJC34" s="122"/>
      <c r="EJD34" s="122"/>
      <c r="EJE34" s="122"/>
      <c r="EJF34" s="122"/>
      <c r="EJG34" s="122"/>
      <c r="EJH34" s="122"/>
      <c r="EJI34" s="122"/>
      <c r="EJJ34" s="122"/>
      <c r="EJK34" s="122"/>
      <c r="EJL34" s="122"/>
      <c r="EJM34" s="122"/>
      <c r="EJN34" s="122"/>
      <c r="EJO34" s="122"/>
      <c r="EJP34" s="122"/>
      <c r="EJQ34" s="122"/>
      <c r="EJR34" s="122"/>
      <c r="EJS34" s="122"/>
      <c r="EJT34" s="122"/>
      <c r="EJU34" s="122"/>
      <c r="EJV34" s="122"/>
      <c r="EJW34" s="122"/>
      <c r="EJX34" s="122"/>
      <c r="EJY34" s="122"/>
      <c r="EJZ34" s="122"/>
      <c r="EKA34" s="122"/>
      <c r="EKB34" s="122"/>
      <c r="EKC34" s="122"/>
      <c r="EKD34" s="122"/>
      <c r="EKE34" s="122"/>
      <c r="EKF34" s="122"/>
      <c r="EKG34" s="122"/>
      <c r="EKH34" s="122"/>
      <c r="EKI34" s="122"/>
      <c r="EKJ34" s="122"/>
      <c r="EKK34" s="122"/>
      <c r="EKL34" s="122"/>
      <c r="EKM34" s="122"/>
      <c r="EKN34" s="122"/>
      <c r="EKO34" s="122"/>
      <c r="EKP34" s="122"/>
      <c r="EKQ34" s="122"/>
      <c r="EKR34" s="122"/>
      <c r="EKS34" s="122"/>
      <c r="EKT34" s="122"/>
      <c r="EKU34" s="122"/>
      <c r="EKV34" s="122"/>
      <c r="EKW34" s="122"/>
      <c r="EKX34" s="122"/>
      <c r="EKY34" s="122"/>
      <c r="EKZ34" s="122"/>
      <c r="ELA34" s="122"/>
      <c r="ELB34" s="122"/>
      <c r="ELC34" s="122"/>
      <c r="ELD34" s="122"/>
      <c r="ELE34" s="122"/>
      <c r="ELF34" s="122"/>
      <c r="ELG34" s="122"/>
      <c r="ELH34" s="122"/>
      <c r="ELI34" s="122"/>
      <c r="ELJ34" s="122"/>
      <c r="ELK34" s="122"/>
      <c r="ELL34" s="122"/>
      <c r="ELM34" s="122"/>
      <c r="ELN34" s="122"/>
      <c r="ELO34" s="122"/>
      <c r="ELP34" s="122"/>
      <c r="ELQ34" s="122"/>
      <c r="ELR34" s="122"/>
      <c r="ELS34" s="122"/>
      <c r="ELT34" s="122"/>
      <c r="ELU34" s="122"/>
      <c r="ELV34" s="122"/>
      <c r="ELW34" s="122"/>
      <c r="ELX34" s="122"/>
      <c r="ELY34" s="122"/>
      <c r="ELZ34" s="122"/>
      <c r="EMA34" s="122"/>
      <c r="EMB34" s="122"/>
      <c r="EMC34" s="122"/>
      <c r="EMD34" s="122"/>
      <c r="EME34" s="122"/>
      <c r="EMF34" s="122"/>
      <c r="EMG34" s="122"/>
      <c r="EMH34" s="122"/>
      <c r="EMI34" s="122"/>
      <c r="EMJ34" s="122"/>
      <c r="EMK34" s="122"/>
      <c r="EML34" s="122"/>
      <c r="EMM34" s="122"/>
      <c r="EMN34" s="122"/>
      <c r="EMO34" s="122"/>
      <c r="EMP34" s="122"/>
      <c r="EMQ34" s="122"/>
      <c r="EMR34" s="122"/>
      <c r="EMS34" s="122"/>
      <c r="EMT34" s="122"/>
      <c r="EMU34" s="122"/>
      <c r="EMV34" s="122"/>
      <c r="EMW34" s="122"/>
      <c r="EMX34" s="122"/>
      <c r="EMY34" s="122"/>
      <c r="EMZ34" s="122"/>
      <c r="ENA34" s="122"/>
      <c r="ENB34" s="122"/>
      <c r="ENC34" s="122"/>
      <c r="END34" s="122"/>
      <c r="ENE34" s="122"/>
      <c r="ENF34" s="122"/>
      <c r="ENG34" s="122"/>
      <c r="ENH34" s="122"/>
      <c r="ENI34" s="122"/>
      <c r="ENJ34" s="122"/>
      <c r="ENK34" s="122"/>
      <c r="ENL34" s="122"/>
      <c r="ENM34" s="122"/>
      <c r="ENN34" s="122"/>
      <c r="ENO34" s="122"/>
      <c r="ENP34" s="122"/>
      <c r="ENQ34" s="122"/>
      <c r="ENR34" s="122"/>
      <c r="ENS34" s="122"/>
      <c r="ENT34" s="122"/>
      <c r="ENU34" s="122"/>
      <c r="ENV34" s="122"/>
      <c r="ENW34" s="122"/>
      <c r="ENX34" s="122"/>
      <c r="ENY34" s="122"/>
      <c r="ENZ34" s="122"/>
      <c r="EOA34" s="122"/>
      <c r="EOB34" s="122"/>
      <c r="EOC34" s="122"/>
      <c r="EOD34" s="122"/>
      <c r="EOE34" s="122"/>
      <c r="EOF34" s="122"/>
      <c r="EOG34" s="122"/>
      <c r="EOH34" s="122"/>
      <c r="EOI34" s="122"/>
      <c r="EOJ34" s="122"/>
      <c r="EOK34" s="122"/>
      <c r="EOL34" s="122"/>
      <c r="EOM34" s="122"/>
      <c r="EON34" s="122"/>
      <c r="EOO34" s="122"/>
      <c r="EOP34" s="122"/>
      <c r="EOQ34" s="122"/>
      <c r="EOR34" s="122"/>
      <c r="EOS34" s="122"/>
      <c r="EOT34" s="122"/>
      <c r="EOU34" s="122"/>
      <c r="EOV34" s="122"/>
      <c r="EOW34" s="122"/>
      <c r="EOX34" s="122"/>
      <c r="EOY34" s="122"/>
      <c r="EOZ34" s="122"/>
      <c r="EPA34" s="122"/>
      <c r="EPB34" s="122"/>
      <c r="EPC34" s="122"/>
      <c r="EPD34" s="122"/>
      <c r="EPE34" s="122"/>
      <c r="EPF34" s="122"/>
      <c r="EPG34" s="122"/>
      <c r="EPH34" s="122"/>
      <c r="EPI34" s="122"/>
      <c r="EPJ34" s="122"/>
      <c r="EPK34" s="122"/>
      <c r="EPL34" s="122"/>
      <c r="EPM34" s="122"/>
      <c r="EPN34" s="122"/>
      <c r="EPO34" s="122"/>
      <c r="EPP34" s="122"/>
      <c r="EPQ34" s="122"/>
      <c r="EPR34" s="122"/>
      <c r="EPS34" s="122"/>
      <c r="EPT34" s="122"/>
      <c r="EPU34" s="122"/>
      <c r="EPV34" s="122"/>
      <c r="EPW34" s="122"/>
      <c r="EPX34" s="122"/>
      <c r="EPY34" s="122"/>
      <c r="EPZ34" s="122"/>
      <c r="EQA34" s="122"/>
      <c r="EQB34" s="122"/>
      <c r="EQC34" s="122"/>
      <c r="EQD34" s="122"/>
      <c r="EQE34" s="122"/>
      <c r="EQF34" s="122"/>
      <c r="EQG34" s="122"/>
      <c r="EQH34" s="122"/>
      <c r="EQI34" s="122"/>
      <c r="EQJ34" s="122"/>
      <c r="EQK34" s="122"/>
      <c r="EQL34" s="122"/>
      <c r="EQM34" s="122"/>
      <c r="EQN34" s="122"/>
      <c r="EQO34" s="122"/>
      <c r="EQP34" s="122"/>
      <c r="EQQ34" s="122"/>
      <c r="EQR34" s="122"/>
      <c r="EQS34" s="122"/>
      <c r="EQT34" s="122"/>
      <c r="EQU34" s="122"/>
      <c r="EQV34" s="122"/>
      <c r="EQW34" s="122"/>
      <c r="EQX34" s="122"/>
      <c r="EQY34" s="122"/>
      <c r="EQZ34" s="122"/>
      <c r="ERA34" s="122"/>
      <c r="ERB34" s="122"/>
      <c r="ERC34" s="122"/>
      <c r="ERD34" s="122"/>
      <c r="ERE34" s="122"/>
      <c r="ERF34" s="122"/>
      <c r="ERG34" s="122"/>
      <c r="ERH34" s="122"/>
      <c r="ERI34" s="122"/>
      <c r="ERJ34" s="122"/>
      <c r="ERK34" s="122"/>
      <c r="ERL34" s="122"/>
      <c r="ERM34" s="122"/>
      <c r="ERN34" s="122"/>
      <c r="ERO34" s="122"/>
      <c r="ERP34" s="122"/>
      <c r="ERQ34" s="122"/>
      <c r="ERR34" s="122"/>
      <c r="ERS34" s="122"/>
      <c r="ERT34" s="122"/>
      <c r="ERU34" s="122"/>
      <c r="ERV34" s="122"/>
      <c r="ERW34" s="122"/>
      <c r="ERX34" s="122"/>
      <c r="ERY34" s="122"/>
      <c r="ERZ34" s="122"/>
      <c r="ESA34" s="122"/>
      <c r="ESB34" s="122"/>
      <c r="ESC34" s="122"/>
      <c r="ESD34" s="122"/>
      <c r="ESE34" s="122"/>
      <c r="ESF34" s="122"/>
      <c r="ESG34" s="122"/>
      <c r="ESH34" s="122"/>
      <c r="ESI34" s="122"/>
      <c r="ESJ34" s="122"/>
      <c r="ESK34" s="122"/>
      <c r="ESL34" s="122"/>
      <c r="ESM34" s="122"/>
      <c r="ESN34" s="122"/>
      <c r="ESO34" s="122"/>
      <c r="ESP34" s="122"/>
      <c r="ESQ34" s="122"/>
      <c r="ESR34" s="122"/>
      <c r="ESS34" s="122"/>
      <c r="EST34" s="122"/>
      <c r="ESU34" s="122"/>
      <c r="ESV34" s="122"/>
      <c r="ESW34" s="122"/>
      <c r="ESX34" s="122"/>
      <c r="ESY34" s="122"/>
      <c r="ESZ34" s="122"/>
      <c r="ETA34" s="122"/>
      <c r="ETB34" s="122"/>
      <c r="ETC34" s="122"/>
      <c r="ETD34" s="122"/>
      <c r="ETE34" s="122"/>
      <c r="ETF34" s="122"/>
      <c r="ETG34" s="122"/>
      <c r="ETH34" s="122"/>
      <c r="ETI34" s="122"/>
      <c r="ETJ34" s="122"/>
      <c r="ETK34" s="122"/>
      <c r="ETL34" s="122"/>
      <c r="ETM34" s="122"/>
      <c r="ETN34" s="122"/>
      <c r="ETO34" s="122"/>
      <c r="ETP34" s="122"/>
      <c r="ETQ34" s="122"/>
      <c r="ETR34" s="122"/>
      <c r="ETS34" s="122"/>
      <c r="ETT34" s="122"/>
      <c r="ETU34" s="122"/>
      <c r="ETV34" s="122"/>
      <c r="ETW34" s="122"/>
      <c r="ETX34" s="122"/>
      <c r="ETY34" s="122"/>
      <c r="ETZ34" s="122"/>
      <c r="EUA34" s="122"/>
      <c r="EUB34" s="122"/>
      <c r="EUC34" s="122"/>
      <c r="EUD34" s="122"/>
      <c r="EUE34" s="122"/>
      <c r="EUF34" s="122"/>
      <c r="EUG34" s="122"/>
      <c r="EUH34" s="122"/>
      <c r="EUI34" s="122"/>
      <c r="EUJ34" s="122"/>
      <c r="EUK34" s="122"/>
      <c r="EUL34" s="122"/>
      <c r="EUM34" s="122"/>
      <c r="EUN34" s="122"/>
      <c r="EUO34" s="122"/>
      <c r="EUP34" s="122"/>
      <c r="EUQ34" s="122"/>
      <c r="EUR34" s="122"/>
      <c r="EUS34" s="122"/>
      <c r="EUT34" s="122"/>
      <c r="EUU34" s="122"/>
      <c r="EUV34" s="122"/>
      <c r="EUW34" s="122"/>
      <c r="EUX34" s="122"/>
      <c r="EUY34" s="122"/>
      <c r="EUZ34" s="122"/>
      <c r="EVA34" s="122"/>
      <c r="EVB34" s="122"/>
      <c r="EVC34" s="122"/>
      <c r="EVD34" s="122"/>
      <c r="EVE34" s="122"/>
      <c r="EVF34" s="122"/>
      <c r="EVG34" s="122"/>
      <c r="EVH34" s="122"/>
      <c r="EVI34" s="122"/>
      <c r="EVJ34" s="122"/>
      <c r="EVK34" s="122"/>
      <c r="EVL34" s="122"/>
      <c r="EVM34" s="122"/>
      <c r="EVN34" s="122"/>
      <c r="EVO34" s="122"/>
      <c r="EVP34" s="122"/>
      <c r="EVQ34" s="122"/>
      <c r="EVR34" s="122"/>
      <c r="EVS34" s="122"/>
      <c r="EVT34" s="122"/>
      <c r="EVU34" s="122"/>
      <c r="EVV34" s="122"/>
      <c r="EVW34" s="122"/>
      <c r="EVX34" s="122"/>
      <c r="EVY34" s="122"/>
      <c r="EVZ34" s="122"/>
      <c r="EWA34" s="122"/>
      <c r="EWB34" s="122"/>
      <c r="EWC34" s="122"/>
      <c r="EWD34" s="122"/>
      <c r="EWE34" s="122"/>
      <c r="EWF34" s="122"/>
      <c r="EWG34" s="122"/>
      <c r="EWH34" s="122"/>
      <c r="EWI34" s="122"/>
      <c r="EWJ34" s="122"/>
      <c r="EWK34" s="122"/>
      <c r="EWL34" s="122"/>
      <c r="EWM34" s="122"/>
      <c r="EWN34" s="122"/>
      <c r="EWO34" s="122"/>
      <c r="EWP34" s="122"/>
      <c r="EWQ34" s="122"/>
      <c r="EWR34" s="122"/>
      <c r="EWS34" s="122"/>
      <c r="EWT34" s="122"/>
      <c r="EWU34" s="122"/>
      <c r="EWV34" s="122"/>
      <c r="EWW34" s="122"/>
      <c r="EWX34" s="122"/>
      <c r="EWY34" s="122"/>
      <c r="EWZ34" s="122"/>
      <c r="EXA34" s="122"/>
      <c r="EXB34" s="122"/>
      <c r="EXC34" s="122"/>
      <c r="EXD34" s="122"/>
      <c r="EXE34" s="122"/>
      <c r="EXF34" s="122"/>
      <c r="EXG34" s="122"/>
      <c r="EXH34" s="122"/>
      <c r="EXI34" s="122"/>
      <c r="EXJ34" s="122"/>
      <c r="EXK34" s="122"/>
      <c r="EXL34" s="122"/>
      <c r="EXM34" s="122"/>
      <c r="EXN34" s="122"/>
      <c r="EXO34" s="122"/>
      <c r="EXP34" s="122"/>
      <c r="EXQ34" s="122"/>
      <c r="EXR34" s="122"/>
      <c r="EXS34" s="122"/>
      <c r="EXT34" s="122"/>
      <c r="EXU34" s="122"/>
      <c r="EXV34" s="122"/>
      <c r="EXW34" s="122"/>
      <c r="EXX34" s="122"/>
      <c r="EXY34" s="122"/>
      <c r="EXZ34" s="122"/>
      <c r="EYA34" s="122"/>
      <c r="EYB34" s="122"/>
      <c r="EYC34" s="122"/>
      <c r="EYD34" s="122"/>
      <c r="EYE34" s="122"/>
      <c r="EYF34" s="122"/>
      <c r="EYG34" s="122"/>
      <c r="EYH34" s="122"/>
      <c r="EYI34" s="122"/>
      <c r="EYJ34" s="122"/>
      <c r="EYK34" s="122"/>
      <c r="EYL34" s="122"/>
      <c r="EYM34" s="122"/>
      <c r="EYN34" s="122"/>
      <c r="EYO34" s="122"/>
      <c r="EYP34" s="122"/>
      <c r="EYQ34" s="122"/>
      <c r="EYR34" s="122"/>
      <c r="EYS34" s="122"/>
      <c r="EYT34" s="122"/>
      <c r="EYU34" s="122"/>
      <c r="EYV34" s="122"/>
      <c r="EYW34" s="122"/>
      <c r="EYX34" s="122"/>
      <c r="EYY34" s="122"/>
      <c r="EYZ34" s="122"/>
      <c r="EZA34" s="122"/>
      <c r="EZB34" s="122"/>
      <c r="EZC34" s="122"/>
      <c r="EZD34" s="122"/>
      <c r="EZE34" s="122"/>
      <c r="EZF34" s="122"/>
      <c r="EZG34" s="122"/>
      <c r="EZH34" s="122"/>
      <c r="EZI34" s="122"/>
      <c r="EZJ34" s="122"/>
      <c r="EZK34" s="122"/>
      <c r="EZL34" s="122"/>
      <c r="EZM34" s="122"/>
      <c r="EZN34" s="122"/>
      <c r="EZO34" s="122"/>
      <c r="EZP34" s="122"/>
      <c r="EZQ34" s="122"/>
      <c r="EZR34" s="122"/>
      <c r="EZS34" s="122"/>
      <c r="EZT34" s="122"/>
      <c r="EZU34" s="122"/>
      <c r="EZV34" s="122"/>
      <c r="EZW34" s="122"/>
      <c r="EZX34" s="122"/>
      <c r="EZY34" s="122"/>
      <c r="EZZ34" s="122"/>
      <c r="FAA34" s="122"/>
      <c r="FAB34" s="122"/>
      <c r="FAC34" s="122"/>
      <c r="FAD34" s="122"/>
      <c r="FAE34" s="122"/>
      <c r="FAF34" s="122"/>
      <c r="FAG34" s="122"/>
      <c r="FAH34" s="122"/>
      <c r="FAI34" s="122"/>
      <c r="FAJ34" s="122"/>
      <c r="FAK34" s="122"/>
      <c r="FAL34" s="122"/>
      <c r="FAM34" s="122"/>
      <c r="FAN34" s="122"/>
      <c r="FAO34" s="122"/>
      <c r="FAP34" s="122"/>
      <c r="FAQ34" s="122"/>
      <c r="FAR34" s="122"/>
      <c r="FAS34" s="122"/>
      <c r="FAT34" s="122"/>
      <c r="FAU34" s="122"/>
      <c r="FAV34" s="122"/>
      <c r="FAW34" s="122"/>
      <c r="FAX34" s="122"/>
      <c r="FAY34" s="122"/>
      <c r="FAZ34" s="122"/>
      <c r="FBA34" s="122"/>
      <c r="FBB34" s="122"/>
      <c r="FBC34" s="122"/>
      <c r="FBD34" s="122"/>
      <c r="FBE34" s="122"/>
      <c r="FBF34" s="122"/>
      <c r="FBG34" s="122"/>
      <c r="FBH34" s="122"/>
      <c r="FBI34" s="122"/>
      <c r="FBJ34" s="122"/>
      <c r="FBK34" s="122"/>
      <c r="FBL34" s="122"/>
      <c r="FBM34" s="122"/>
      <c r="FBN34" s="122"/>
      <c r="FBO34" s="122"/>
      <c r="FBP34" s="122"/>
      <c r="FBQ34" s="122"/>
      <c r="FBR34" s="122"/>
      <c r="FBS34" s="122"/>
      <c r="FBT34" s="122"/>
      <c r="FBU34" s="122"/>
      <c r="FBV34" s="122"/>
      <c r="FBW34" s="122"/>
      <c r="FBX34" s="122"/>
      <c r="FBY34" s="122"/>
      <c r="FBZ34" s="122"/>
      <c r="FCA34" s="122"/>
      <c r="FCB34" s="122"/>
      <c r="FCC34" s="122"/>
      <c r="FCD34" s="122"/>
      <c r="FCE34" s="122"/>
      <c r="FCF34" s="122"/>
      <c r="FCG34" s="122"/>
      <c r="FCH34" s="122"/>
      <c r="FCI34" s="122"/>
      <c r="FCJ34" s="122"/>
      <c r="FCK34" s="122"/>
      <c r="FCL34" s="122"/>
      <c r="FCM34" s="122"/>
      <c r="FCN34" s="122"/>
      <c r="FCO34" s="122"/>
      <c r="FCP34" s="122"/>
      <c r="FCQ34" s="122"/>
      <c r="FCR34" s="122"/>
      <c r="FCS34" s="122"/>
      <c r="FCT34" s="122"/>
      <c r="FCU34" s="122"/>
      <c r="FCV34" s="122"/>
      <c r="FCW34" s="122"/>
      <c r="FCX34" s="122"/>
      <c r="FCY34" s="122"/>
      <c r="FCZ34" s="122"/>
      <c r="FDA34" s="122"/>
      <c r="FDB34" s="122"/>
      <c r="FDC34" s="122"/>
      <c r="FDD34" s="122"/>
      <c r="FDE34" s="122"/>
      <c r="FDF34" s="122"/>
      <c r="FDG34" s="122"/>
      <c r="FDH34" s="122"/>
      <c r="FDI34" s="122"/>
      <c r="FDJ34" s="122"/>
      <c r="FDK34" s="122"/>
      <c r="FDL34" s="122"/>
      <c r="FDM34" s="122"/>
      <c r="FDN34" s="122"/>
      <c r="FDO34" s="122"/>
      <c r="FDP34" s="122"/>
      <c r="FDQ34" s="122"/>
      <c r="FDR34" s="122"/>
      <c r="FDS34" s="122"/>
      <c r="FDT34" s="122"/>
      <c r="FDU34" s="122"/>
      <c r="FDV34" s="122"/>
      <c r="FDW34" s="122"/>
      <c r="FDX34" s="122"/>
      <c r="FDY34" s="122"/>
      <c r="FDZ34" s="122"/>
      <c r="FEA34" s="122"/>
      <c r="FEB34" s="122"/>
      <c r="FEC34" s="122"/>
      <c r="FED34" s="122"/>
      <c r="FEE34" s="122"/>
      <c r="FEF34" s="122"/>
      <c r="FEG34" s="122"/>
      <c r="FEH34" s="122"/>
      <c r="FEI34" s="122"/>
      <c r="FEJ34" s="122"/>
      <c r="FEK34" s="122"/>
      <c r="FEL34" s="122"/>
      <c r="FEM34" s="122"/>
      <c r="FEN34" s="122"/>
      <c r="FEO34" s="122"/>
      <c r="FEP34" s="122"/>
      <c r="FEQ34" s="122"/>
      <c r="FER34" s="122"/>
      <c r="FES34" s="122"/>
      <c r="FET34" s="122"/>
      <c r="FEU34" s="122"/>
      <c r="FEV34" s="122"/>
      <c r="FEW34" s="122"/>
      <c r="FEX34" s="122"/>
      <c r="FEY34" s="122"/>
      <c r="FEZ34" s="122"/>
      <c r="FFA34" s="122"/>
      <c r="FFB34" s="122"/>
      <c r="FFC34" s="122"/>
      <c r="FFD34" s="122"/>
      <c r="FFE34" s="122"/>
      <c r="FFF34" s="122"/>
      <c r="FFG34" s="122"/>
      <c r="FFH34" s="122"/>
      <c r="FFI34" s="122"/>
      <c r="FFJ34" s="122"/>
      <c r="FFK34" s="122"/>
      <c r="FFL34" s="122"/>
      <c r="FFM34" s="122"/>
      <c r="FFN34" s="122"/>
      <c r="FFO34" s="122"/>
      <c r="FFP34" s="122"/>
      <c r="FFQ34" s="122"/>
      <c r="FFR34" s="122"/>
      <c r="FFS34" s="122"/>
      <c r="FFT34" s="122"/>
      <c r="FFU34" s="122"/>
      <c r="FFV34" s="122"/>
      <c r="FFW34" s="122"/>
      <c r="FFX34" s="122"/>
      <c r="FFY34" s="122"/>
      <c r="FFZ34" s="122"/>
      <c r="FGA34" s="122"/>
      <c r="FGB34" s="122"/>
      <c r="FGC34" s="122"/>
      <c r="FGD34" s="122"/>
      <c r="FGE34" s="122"/>
      <c r="FGF34" s="122"/>
      <c r="FGG34" s="122"/>
      <c r="FGH34" s="122"/>
      <c r="FGI34" s="122"/>
      <c r="FGJ34" s="122"/>
      <c r="FGK34" s="122"/>
      <c r="FGL34" s="122"/>
      <c r="FGM34" s="122"/>
      <c r="FGN34" s="122"/>
      <c r="FGO34" s="122"/>
      <c r="FGP34" s="122"/>
      <c r="FGQ34" s="122"/>
      <c r="FGR34" s="122"/>
      <c r="FGS34" s="122"/>
      <c r="FGT34" s="122"/>
      <c r="FGU34" s="122"/>
      <c r="FGV34" s="122"/>
      <c r="FGW34" s="122"/>
      <c r="FGX34" s="122"/>
      <c r="FGY34" s="122"/>
      <c r="FGZ34" s="122"/>
      <c r="FHA34" s="122"/>
      <c r="FHB34" s="122"/>
      <c r="FHC34" s="122"/>
      <c r="FHD34" s="122"/>
      <c r="FHE34" s="122"/>
      <c r="FHF34" s="122"/>
      <c r="FHG34" s="122"/>
      <c r="FHH34" s="122"/>
      <c r="FHI34" s="122"/>
      <c r="FHJ34" s="122"/>
      <c r="FHK34" s="122"/>
      <c r="FHL34" s="122"/>
      <c r="FHM34" s="122"/>
      <c r="FHN34" s="122"/>
      <c r="FHO34" s="122"/>
      <c r="FHP34" s="122"/>
      <c r="FHQ34" s="122"/>
      <c r="FHR34" s="122"/>
      <c r="FHS34" s="122"/>
      <c r="FHT34" s="122"/>
      <c r="FHU34" s="122"/>
      <c r="FHV34" s="122"/>
      <c r="FHW34" s="122"/>
      <c r="FHX34" s="122"/>
      <c r="FHY34" s="122"/>
      <c r="FHZ34" s="122"/>
      <c r="FIA34" s="122"/>
      <c r="FIB34" s="122"/>
      <c r="FIC34" s="122"/>
      <c r="FID34" s="122"/>
      <c r="FIE34" s="122"/>
      <c r="FIF34" s="122"/>
      <c r="FIG34" s="122"/>
      <c r="FIH34" s="122"/>
      <c r="FII34" s="122"/>
      <c r="FIJ34" s="122"/>
      <c r="FIK34" s="122"/>
      <c r="FIL34" s="122"/>
      <c r="FIM34" s="122"/>
      <c r="FIN34" s="122"/>
      <c r="FIO34" s="122"/>
      <c r="FIP34" s="122"/>
      <c r="FIQ34" s="122"/>
      <c r="FIR34" s="122"/>
      <c r="FIS34" s="122"/>
      <c r="FIT34" s="122"/>
      <c r="FIU34" s="122"/>
      <c r="FIV34" s="122"/>
      <c r="FIW34" s="122"/>
      <c r="FIX34" s="122"/>
      <c r="FIY34" s="122"/>
      <c r="FIZ34" s="122"/>
      <c r="FJA34" s="122"/>
      <c r="FJB34" s="122"/>
      <c r="FJC34" s="122"/>
      <c r="FJD34" s="122"/>
      <c r="FJE34" s="122"/>
      <c r="FJF34" s="122"/>
      <c r="FJG34" s="122"/>
      <c r="FJH34" s="122"/>
      <c r="FJI34" s="122"/>
      <c r="FJJ34" s="122"/>
      <c r="FJK34" s="122"/>
      <c r="FJL34" s="122"/>
      <c r="FJM34" s="122"/>
      <c r="FJN34" s="122"/>
      <c r="FJO34" s="122"/>
      <c r="FJP34" s="122"/>
      <c r="FJQ34" s="122"/>
      <c r="FJR34" s="122"/>
      <c r="FJS34" s="122"/>
      <c r="FJT34" s="122"/>
      <c r="FJU34" s="122"/>
      <c r="FJV34" s="122"/>
      <c r="FJW34" s="122"/>
      <c r="FJX34" s="122"/>
      <c r="FJY34" s="122"/>
      <c r="FJZ34" s="122"/>
      <c r="FKA34" s="122"/>
      <c r="FKB34" s="122"/>
      <c r="FKC34" s="122"/>
      <c r="FKD34" s="122"/>
      <c r="FKE34" s="122"/>
      <c r="FKF34" s="122"/>
      <c r="FKG34" s="122"/>
      <c r="FKH34" s="122"/>
      <c r="FKI34" s="122"/>
      <c r="FKJ34" s="122"/>
      <c r="FKK34" s="122"/>
      <c r="FKL34" s="122"/>
      <c r="FKM34" s="122"/>
      <c r="FKN34" s="122"/>
      <c r="FKO34" s="122"/>
      <c r="FKP34" s="122"/>
      <c r="FKQ34" s="122"/>
      <c r="FKR34" s="122"/>
      <c r="FKS34" s="122"/>
      <c r="FKT34" s="122"/>
      <c r="FKU34" s="122"/>
      <c r="FKV34" s="122"/>
      <c r="FKW34" s="122"/>
      <c r="FKX34" s="122"/>
      <c r="FKY34" s="122"/>
      <c r="FKZ34" s="122"/>
      <c r="FLA34" s="122"/>
      <c r="FLB34" s="122"/>
      <c r="FLC34" s="122"/>
      <c r="FLD34" s="122"/>
      <c r="FLE34" s="122"/>
      <c r="FLF34" s="122"/>
      <c r="FLG34" s="122"/>
      <c r="FLH34" s="122"/>
      <c r="FLI34" s="122"/>
      <c r="FLJ34" s="122"/>
      <c r="FLK34" s="122"/>
      <c r="FLL34" s="122"/>
      <c r="FLM34" s="122"/>
      <c r="FLN34" s="122"/>
      <c r="FLO34" s="122"/>
      <c r="FLP34" s="122"/>
      <c r="FLQ34" s="122"/>
      <c r="FLR34" s="122"/>
      <c r="FLS34" s="122"/>
      <c r="FLT34" s="122"/>
      <c r="FLU34" s="122"/>
      <c r="FLV34" s="122"/>
      <c r="FLW34" s="122"/>
      <c r="FLX34" s="122"/>
      <c r="FLY34" s="122"/>
      <c r="FLZ34" s="122"/>
      <c r="FMA34" s="122"/>
      <c r="FMB34" s="122"/>
      <c r="FMC34" s="122"/>
      <c r="FMD34" s="122"/>
      <c r="FME34" s="122"/>
      <c r="FMF34" s="122"/>
      <c r="FMG34" s="122"/>
      <c r="FMH34" s="122"/>
      <c r="FMI34" s="122"/>
      <c r="FMJ34" s="122"/>
      <c r="FMK34" s="122"/>
      <c r="FML34" s="122"/>
      <c r="FMM34" s="122"/>
      <c r="FMN34" s="122"/>
      <c r="FMO34" s="122"/>
      <c r="FMP34" s="122"/>
      <c r="FMQ34" s="122"/>
      <c r="FMR34" s="122"/>
      <c r="FMS34" s="122"/>
      <c r="FMT34" s="122"/>
      <c r="FMU34" s="122"/>
      <c r="FMV34" s="122"/>
      <c r="FMW34" s="122"/>
      <c r="FMX34" s="122"/>
      <c r="FMY34" s="122"/>
      <c r="FMZ34" s="122"/>
      <c r="FNA34" s="122"/>
      <c r="FNB34" s="122"/>
      <c r="FNC34" s="122"/>
      <c r="FND34" s="122"/>
      <c r="FNE34" s="122"/>
      <c r="FNF34" s="122"/>
      <c r="FNG34" s="122"/>
      <c r="FNH34" s="122"/>
      <c r="FNI34" s="122"/>
      <c r="FNJ34" s="122"/>
      <c r="FNK34" s="122"/>
      <c r="FNL34" s="122"/>
      <c r="FNM34" s="122"/>
      <c r="FNN34" s="122"/>
      <c r="FNO34" s="122"/>
      <c r="FNP34" s="122"/>
      <c r="FNQ34" s="122"/>
      <c r="FNR34" s="122"/>
      <c r="FNS34" s="122"/>
      <c r="FNT34" s="122"/>
      <c r="FNU34" s="122"/>
      <c r="FNV34" s="122"/>
      <c r="FNW34" s="122"/>
      <c r="FNX34" s="122"/>
      <c r="FNY34" s="122"/>
      <c r="FNZ34" s="122"/>
      <c r="FOA34" s="122"/>
      <c r="FOB34" s="122"/>
      <c r="FOC34" s="122"/>
      <c r="FOD34" s="122"/>
      <c r="FOE34" s="122"/>
      <c r="FOF34" s="122"/>
      <c r="FOG34" s="122"/>
      <c r="FOH34" s="122"/>
      <c r="FOI34" s="122"/>
      <c r="FOJ34" s="122"/>
      <c r="FOK34" s="122"/>
      <c r="FOL34" s="122"/>
      <c r="FOM34" s="122"/>
      <c r="FON34" s="122"/>
      <c r="FOO34" s="122"/>
      <c r="FOP34" s="122"/>
      <c r="FOQ34" s="122"/>
      <c r="FOR34" s="122"/>
      <c r="FOS34" s="122"/>
      <c r="FOT34" s="122"/>
      <c r="FOU34" s="122"/>
      <c r="FOV34" s="122"/>
      <c r="FOW34" s="122"/>
      <c r="FOX34" s="122"/>
      <c r="FOY34" s="122"/>
      <c r="FOZ34" s="122"/>
      <c r="FPA34" s="122"/>
      <c r="FPB34" s="122"/>
      <c r="FPC34" s="122"/>
      <c r="FPD34" s="122"/>
      <c r="FPE34" s="122"/>
      <c r="FPF34" s="122"/>
      <c r="FPG34" s="122"/>
      <c r="FPH34" s="122"/>
      <c r="FPI34" s="122"/>
      <c r="FPJ34" s="122"/>
      <c r="FPK34" s="122"/>
      <c r="FPL34" s="122"/>
      <c r="FPM34" s="122"/>
      <c r="FPN34" s="122"/>
      <c r="FPO34" s="122"/>
      <c r="FPP34" s="122"/>
      <c r="FPQ34" s="122"/>
      <c r="FPR34" s="122"/>
      <c r="FPS34" s="122"/>
      <c r="FPT34" s="122"/>
      <c r="FPU34" s="122"/>
      <c r="FPV34" s="122"/>
      <c r="FPW34" s="122"/>
      <c r="FPX34" s="122"/>
      <c r="FPY34" s="122"/>
      <c r="FPZ34" s="122"/>
      <c r="FQA34" s="122"/>
      <c r="FQB34" s="122"/>
      <c r="FQC34" s="122"/>
      <c r="FQD34" s="122"/>
      <c r="FQE34" s="122"/>
      <c r="FQF34" s="122"/>
      <c r="FQG34" s="122"/>
      <c r="FQH34" s="122"/>
      <c r="FQI34" s="122"/>
      <c r="FQJ34" s="122"/>
      <c r="FQK34" s="122"/>
      <c r="FQL34" s="122"/>
      <c r="FQM34" s="122"/>
      <c r="FQN34" s="122"/>
      <c r="FQO34" s="122"/>
      <c r="FQP34" s="122"/>
      <c r="FQQ34" s="122"/>
      <c r="FQR34" s="122"/>
      <c r="FQS34" s="122"/>
      <c r="FQT34" s="122"/>
      <c r="FQU34" s="122"/>
      <c r="FQV34" s="122"/>
      <c r="FQW34" s="122"/>
      <c r="FQX34" s="122"/>
      <c r="FQY34" s="122"/>
      <c r="FQZ34" s="122"/>
      <c r="FRA34" s="122"/>
      <c r="FRB34" s="122"/>
      <c r="FRC34" s="122"/>
      <c r="FRD34" s="122"/>
      <c r="FRE34" s="122"/>
      <c r="FRF34" s="122"/>
      <c r="FRG34" s="122"/>
      <c r="FRH34" s="122"/>
      <c r="FRI34" s="122"/>
      <c r="FRJ34" s="122"/>
      <c r="FRK34" s="122"/>
      <c r="FRL34" s="122"/>
      <c r="FRM34" s="122"/>
      <c r="FRN34" s="122"/>
      <c r="FRO34" s="122"/>
      <c r="FRP34" s="122"/>
      <c r="FRQ34" s="122"/>
      <c r="FRR34" s="122"/>
      <c r="FRS34" s="122"/>
      <c r="FRT34" s="122"/>
      <c r="FRU34" s="122"/>
      <c r="FRV34" s="122"/>
      <c r="FRW34" s="122"/>
      <c r="FRX34" s="122"/>
      <c r="FRY34" s="122"/>
      <c r="FRZ34" s="122"/>
      <c r="FSA34" s="122"/>
      <c r="FSB34" s="122"/>
      <c r="FSC34" s="122"/>
      <c r="FSD34" s="122"/>
      <c r="FSE34" s="122"/>
      <c r="FSF34" s="122"/>
      <c r="FSG34" s="122"/>
      <c r="FSH34" s="122"/>
      <c r="FSI34" s="122"/>
      <c r="FSJ34" s="122"/>
      <c r="FSK34" s="122"/>
      <c r="FSL34" s="122"/>
      <c r="FSM34" s="122"/>
      <c r="FSN34" s="122"/>
      <c r="FSO34" s="122"/>
      <c r="FSP34" s="122"/>
      <c r="FSQ34" s="122"/>
      <c r="FSR34" s="122"/>
      <c r="FSS34" s="122"/>
      <c r="FST34" s="122"/>
      <c r="FSU34" s="122"/>
      <c r="FSV34" s="122"/>
      <c r="FSW34" s="122"/>
      <c r="FSX34" s="122"/>
      <c r="FSY34" s="122"/>
      <c r="FSZ34" s="122"/>
      <c r="FTA34" s="122"/>
      <c r="FTB34" s="122"/>
      <c r="FTC34" s="122"/>
      <c r="FTD34" s="122"/>
      <c r="FTE34" s="122"/>
      <c r="FTF34" s="122"/>
      <c r="FTG34" s="122"/>
      <c r="FTH34" s="122"/>
      <c r="FTI34" s="122"/>
      <c r="FTJ34" s="122"/>
      <c r="FTK34" s="122"/>
      <c r="FTL34" s="122"/>
      <c r="FTM34" s="122"/>
      <c r="FTN34" s="122"/>
      <c r="FTO34" s="122"/>
      <c r="FTP34" s="122"/>
      <c r="FTQ34" s="122"/>
      <c r="FTR34" s="122"/>
      <c r="FTS34" s="122"/>
      <c r="FTT34" s="122"/>
      <c r="FTU34" s="122"/>
      <c r="FTV34" s="122"/>
      <c r="FTW34" s="122"/>
      <c r="FTX34" s="122"/>
      <c r="FTY34" s="122"/>
      <c r="FTZ34" s="122"/>
      <c r="FUA34" s="122"/>
      <c r="FUB34" s="122"/>
      <c r="FUC34" s="122"/>
      <c r="FUD34" s="122"/>
      <c r="FUE34" s="122"/>
      <c r="FUF34" s="122"/>
      <c r="FUG34" s="122"/>
      <c r="FUH34" s="122"/>
      <c r="FUI34" s="122"/>
      <c r="FUJ34" s="122"/>
      <c r="FUK34" s="122"/>
      <c r="FUL34" s="122"/>
      <c r="FUM34" s="122"/>
      <c r="FUN34" s="122"/>
      <c r="FUO34" s="122"/>
      <c r="FUP34" s="122"/>
      <c r="FUQ34" s="122"/>
      <c r="FUR34" s="122"/>
      <c r="FUS34" s="122"/>
      <c r="FUT34" s="122"/>
      <c r="FUU34" s="122"/>
      <c r="FUV34" s="122"/>
      <c r="FUW34" s="122"/>
      <c r="FUX34" s="122"/>
      <c r="FUY34" s="122"/>
      <c r="FUZ34" s="122"/>
      <c r="FVA34" s="122"/>
      <c r="FVB34" s="122"/>
      <c r="FVC34" s="122"/>
      <c r="FVD34" s="122"/>
      <c r="FVE34" s="122"/>
      <c r="FVF34" s="122"/>
      <c r="FVG34" s="122"/>
      <c r="FVH34" s="122"/>
      <c r="FVI34" s="122"/>
      <c r="FVJ34" s="122"/>
      <c r="FVK34" s="122"/>
      <c r="FVL34" s="122"/>
      <c r="FVM34" s="122"/>
      <c r="FVN34" s="122"/>
      <c r="FVO34" s="122"/>
      <c r="FVP34" s="122"/>
      <c r="FVQ34" s="122"/>
      <c r="FVR34" s="122"/>
      <c r="FVS34" s="122"/>
      <c r="FVT34" s="122"/>
      <c r="FVU34" s="122"/>
      <c r="FVV34" s="122"/>
      <c r="FVW34" s="122"/>
      <c r="FVX34" s="122"/>
      <c r="FVY34" s="122"/>
      <c r="FVZ34" s="122"/>
      <c r="FWA34" s="122"/>
      <c r="FWB34" s="122"/>
      <c r="FWC34" s="122"/>
      <c r="FWD34" s="122"/>
      <c r="FWE34" s="122"/>
      <c r="FWF34" s="122"/>
      <c r="FWG34" s="122"/>
      <c r="FWH34" s="122"/>
      <c r="FWI34" s="122"/>
      <c r="FWJ34" s="122"/>
      <c r="FWK34" s="122"/>
      <c r="FWL34" s="122"/>
      <c r="FWM34" s="122"/>
      <c r="FWN34" s="122"/>
      <c r="FWO34" s="122"/>
      <c r="FWP34" s="122"/>
      <c r="FWQ34" s="122"/>
      <c r="FWR34" s="122"/>
      <c r="FWS34" s="122"/>
      <c r="FWT34" s="122"/>
      <c r="FWU34" s="122"/>
      <c r="FWV34" s="122"/>
      <c r="FWW34" s="122"/>
      <c r="FWX34" s="122"/>
      <c r="FWY34" s="122"/>
      <c r="FWZ34" s="122"/>
      <c r="FXA34" s="122"/>
      <c r="FXB34" s="122"/>
      <c r="FXC34" s="122"/>
      <c r="FXD34" s="122"/>
      <c r="FXE34" s="122"/>
      <c r="FXF34" s="122"/>
      <c r="FXG34" s="122"/>
      <c r="FXH34" s="122"/>
      <c r="FXI34" s="122"/>
      <c r="FXJ34" s="122"/>
      <c r="FXK34" s="122"/>
      <c r="FXL34" s="122"/>
      <c r="FXM34" s="122"/>
      <c r="FXN34" s="122"/>
      <c r="FXO34" s="122"/>
      <c r="FXP34" s="122"/>
      <c r="FXQ34" s="122"/>
      <c r="FXR34" s="122"/>
      <c r="FXS34" s="122"/>
      <c r="FXT34" s="122"/>
      <c r="FXU34" s="122"/>
      <c r="FXV34" s="122"/>
      <c r="FXW34" s="122"/>
      <c r="FXX34" s="122"/>
      <c r="FXY34" s="122"/>
      <c r="FXZ34" s="122"/>
      <c r="FYA34" s="122"/>
      <c r="FYB34" s="122"/>
      <c r="FYC34" s="122"/>
      <c r="FYD34" s="122"/>
      <c r="FYE34" s="122"/>
      <c r="FYF34" s="122"/>
      <c r="FYG34" s="122"/>
      <c r="FYH34" s="122"/>
      <c r="FYI34" s="122"/>
      <c r="FYJ34" s="122"/>
      <c r="FYK34" s="122"/>
      <c r="FYL34" s="122"/>
      <c r="FYM34" s="122"/>
      <c r="FYN34" s="122"/>
      <c r="FYO34" s="122"/>
      <c r="FYP34" s="122"/>
      <c r="FYQ34" s="122"/>
      <c r="FYR34" s="122"/>
      <c r="FYS34" s="122"/>
      <c r="FYT34" s="122"/>
      <c r="FYU34" s="122"/>
      <c r="FYV34" s="122"/>
      <c r="FYW34" s="122"/>
      <c r="FYX34" s="122"/>
      <c r="FYY34" s="122"/>
      <c r="FYZ34" s="122"/>
      <c r="FZA34" s="122"/>
      <c r="FZB34" s="122"/>
      <c r="FZC34" s="122"/>
      <c r="FZD34" s="122"/>
      <c r="FZE34" s="122"/>
      <c r="FZF34" s="122"/>
      <c r="FZG34" s="122"/>
      <c r="FZH34" s="122"/>
      <c r="FZI34" s="122"/>
      <c r="FZJ34" s="122"/>
      <c r="FZK34" s="122"/>
      <c r="FZL34" s="122"/>
      <c r="FZM34" s="122"/>
      <c r="FZN34" s="122"/>
      <c r="FZO34" s="122"/>
      <c r="FZP34" s="122"/>
      <c r="FZQ34" s="122"/>
      <c r="FZR34" s="122"/>
      <c r="FZS34" s="122"/>
      <c r="FZT34" s="122"/>
      <c r="FZU34" s="122"/>
      <c r="FZV34" s="122"/>
      <c r="FZW34" s="122"/>
      <c r="FZX34" s="122"/>
      <c r="FZY34" s="122"/>
      <c r="FZZ34" s="122"/>
      <c r="GAA34" s="122"/>
      <c r="GAB34" s="122"/>
      <c r="GAC34" s="122"/>
      <c r="GAD34" s="122"/>
      <c r="GAE34" s="122"/>
      <c r="GAF34" s="122"/>
      <c r="GAG34" s="122"/>
      <c r="GAH34" s="122"/>
      <c r="GAI34" s="122"/>
      <c r="GAJ34" s="122"/>
      <c r="GAK34" s="122"/>
      <c r="GAL34" s="122"/>
      <c r="GAM34" s="122"/>
      <c r="GAN34" s="122"/>
      <c r="GAO34" s="122"/>
      <c r="GAP34" s="122"/>
      <c r="GAQ34" s="122"/>
      <c r="GAR34" s="122"/>
      <c r="GAS34" s="122"/>
      <c r="GAT34" s="122"/>
      <c r="GAU34" s="122"/>
      <c r="GAV34" s="122"/>
      <c r="GAW34" s="122"/>
      <c r="GAX34" s="122"/>
      <c r="GAY34" s="122"/>
      <c r="GAZ34" s="122"/>
      <c r="GBA34" s="122"/>
      <c r="GBB34" s="122"/>
      <c r="GBC34" s="122"/>
      <c r="GBD34" s="122"/>
      <c r="GBE34" s="122"/>
      <c r="GBF34" s="122"/>
      <c r="GBG34" s="122"/>
      <c r="GBH34" s="122"/>
      <c r="GBI34" s="122"/>
      <c r="GBJ34" s="122"/>
      <c r="GBK34" s="122"/>
      <c r="GBL34" s="122"/>
      <c r="GBM34" s="122"/>
      <c r="GBN34" s="122"/>
      <c r="GBO34" s="122"/>
      <c r="GBP34" s="122"/>
      <c r="GBQ34" s="122"/>
      <c r="GBR34" s="122"/>
      <c r="GBS34" s="122"/>
      <c r="GBT34" s="122"/>
      <c r="GBU34" s="122"/>
      <c r="GBV34" s="122"/>
      <c r="GBW34" s="122"/>
      <c r="GBX34" s="122"/>
      <c r="GBY34" s="122"/>
      <c r="GBZ34" s="122"/>
      <c r="GCA34" s="122"/>
      <c r="GCB34" s="122"/>
      <c r="GCC34" s="122"/>
      <c r="GCD34" s="122"/>
      <c r="GCE34" s="122"/>
      <c r="GCF34" s="122"/>
      <c r="GCG34" s="122"/>
      <c r="GCH34" s="122"/>
      <c r="GCI34" s="122"/>
      <c r="GCJ34" s="122"/>
      <c r="GCK34" s="122"/>
      <c r="GCL34" s="122"/>
      <c r="GCM34" s="122"/>
      <c r="GCN34" s="122"/>
      <c r="GCO34" s="122"/>
      <c r="GCP34" s="122"/>
      <c r="GCQ34" s="122"/>
      <c r="GCR34" s="122"/>
      <c r="GCS34" s="122"/>
      <c r="GCT34" s="122"/>
      <c r="GCU34" s="122"/>
      <c r="GCV34" s="122"/>
      <c r="GCW34" s="122"/>
      <c r="GCX34" s="122"/>
      <c r="GCY34" s="122"/>
      <c r="GCZ34" s="122"/>
      <c r="GDA34" s="122"/>
      <c r="GDB34" s="122"/>
      <c r="GDC34" s="122"/>
      <c r="GDD34" s="122"/>
      <c r="GDE34" s="122"/>
      <c r="GDF34" s="122"/>
      <c r="GDG34" s="122"/>
      <c r="GDH34" s="122"/>
      <c r="GDI34" s="122"/>
      <c r="GDJ34" s="122"/>
      <c r="GDK34" s="122"/>
      <c r="GDL34" s="122"/>
      <c r="GDM34" s="122"/>
      <c r="GDN34" s="122"/>
      <c r="GDO34" s="122"/>
      <c r="GDP34" s="122"/>
      <c r="GDQ34" s="122"/>
      <c r="GDR34" s="122"/>
      <c r="GDS34" s="122"/>
      <c r="GDT34" s="122"/>
      <c r="GDU34" s="122"/>
      <c r="GDV34" s="122"/>
      <c r="GDW34" s="122"/>
      <c r="GDX34" s="122"/>
      <c r="GDY34" s="122"/>
      <c r="GDZ34" s="122"/>
      <c r="GEA34" s="122"/>
      <c r="GEB34" s="122"/>
      <c r="GEC34" s="122"/>
      <c r="GED34" s="122"/>
      <c r="GEE34" s="122"/>
      <c r="GEF34" s="122"/>
      <c r="GEG34" s="122"/>
      <c r="GEH34" s="122"/>
      <c r="GEI34" s="122"/>
      <c r="GEJ34" s="122"/>
      <c r="GEK34" s="122"/>
      <c r="GEL34" s="122"/>
      <c r="GEM34" s="122"/>
      <c r="GEN34" s="122"/>
      <c r="GEO34" s="122"/>
      <c r="GEP34" s="122"/>
      <c r="GEQ34" s="122"/>
      <c r="GER34" s="122"/>
      <c r="GES34" s="122"/>
      <c r="GET34" s="122"/>
      <c r="GEU34" s="122"/>
      <c r="GEV34" s="122"/>
      <c r="GEW34" s="122"/>
      <c r="GEX34" s="122"/>
      <c r="GEY34" s="122"/>
      <c r="GEZ34" s="122"/>
      <c r="GFA34" s="122"/>
      <c r="GFB34" s="122"/>
      <c r="GFC34" s="122"/>
      <c r="GFD34" s="122"/>
      <c r="GFE34" s="122"/>
      <c r="GFF34" s="122"/>
      <c r="GFG34" s="122"/>
      <c r="GFH34" s="122"/>
      <c r="GFI34" s="122"/>
      <c r="GFJ34" s="122"/>
      <c r="GFK34" s="122"/>
      <c r="GFL34" s="122"/>
      <c r="GFM34" s="122"/>
      <c r="GFN34" s="122"/>
      <c r="GFO34" s="122"/>
      <c r="GFP34" s="122"/>
      <c r="GFQ34" s="122"/>
      <c r="GFR34" s="122"/>
      <c r="GFS34" s="122"/>
      <c r="GFT34" s="122"/>
      <c r="GFU34" s="122"/>
      <c r="GFV34" s="122"/>
      <c r="GFW34" s="122"/>
      <c r="GFX34" s="122"/>
      <c r="GFY34" s="122"/>
      <c r="GFZ34" s="122"/>
      <c r="GGA34" s="122"/>
      <c r="GGB34" s="122"/>
      <c r="GGC34" s="122"/>
      <c r="GGD34" s="122"/>
      <c r="GGE34" s="122"/>
      <c r="GGF34" s="122"/>
      <c r="GGG34" s="122"/>
      <c r="GGH34" s="122"/>
      <c r="GGI34" s="122"/>
      <c r="GGJ34" s="122"/>
      <c r="GGK34" s="122"/>
      <c r="GGL34" s="122"/>
      <c r="GGM34" s="122"/>
      <c r="GGN34" s="122"/>
      <c r="GGO34" s="122"/>
      <c r="GGP34" s="122"/>
      <c r="GGQ34" s="122"/>
      <c r="GGR34" s="122"/>
      <c r="GGS34" s="122"/>
      <c r="GGT34" s="122"/>
      <c r="GGU34" s="122"/>
      <c r="GGV34" s="122"/>
      <c r="GGW34" s="122"/>
      <c r="GGX34" s="122"/>
      <c r="GGY34" s="122"/>
      <c r="GGZ34" s="122"/>
      <c r="GHA34" s="122"/>
      <c r="GHB34" s="122"/>
      <c r="GHC34" s="122"/>
      <c r="GHD34" s="122"/>
      <c r="GHE34" s="122"/>
      <c r="GHF34" s="122"/>
      <c r="GHG34" s="122"/>
      <c r="GHH34" s="122"/>
      <c r="GHI34" s="122"/>
      <c r="GHJ34" s="122"/>
      <c r="GHK34" s="122"/>
      <c r="GHL34" s="122"/>
      <c r="GHM34" s="122"/>
      <c r="GHN34" s="122"/>
      <c r="GHO34" s="122"/>
      <c r="GHP34" s="122"/>
      <c r="GHQ34" s="122"/>
      <c r="GHR34" s="122"/>
      <c r="GHS34" s="122"/>
      <c r="GHT34" s="122"/>
      <c r="GHU34" s="122"/>
      <c r="GHV34" s="122"/>
      <c r="GHW34" s="122"/>
      <c r="GHX34" s="122"/>
      <c r="GHY34" s="122"/>
      <c r="GHZ34" s="122"/>
      <c r="GIA34" s="122"/>
      <c r="GIB34" s="122"/>
      <c r="GIC34" s="122"/>
      <c r="GID34" s="122"/>
      <c r="GIE34" s="122"/>
      <c r="GIF34" s="122"/>
      <c r="GIG34" s="122"/>
      <c r="GIH34" s="122"/>
      <c r="GII34" s="122"/>
      <c r="GIJ34" s="122"/>
      <c r="GIK34" s="122"/>
      <c r="GIL34" s="122"/>
      <c r="GIM34" s="122"/>
      <c r="GIN34" s="122"/>
      <c r="GIO34" s="122"/>
      <c r="GIP34" s="122"/>
      <c r="GIQ34" s="122"/>
      <c r="GIR34" s="122"/>
      <c r="GIS34" s="122"/>
      <c r="GIT34" s="122"/>
      <c r="GIU34" s="122"/>
      <c r="GIV34" s="122"/>
      <c r="GIW34" s="122"/>
      <c r="GIX34" s="122"/>
      <c r="GIY34" s="122"/>
      <c r="GIZ34" s="122"/>
      <c r="GJA34" s="122"/>
      <c r="GJB34" s="122"/>
      <c r="GJC34" s="122"/>
      <c r="GJD34" s="122"/>
      <c r="GJE34" s="122"/>
      <c r="GJF34" s="122"/>
      <c r="GJG34" s="122"/>
      <c r="GJH34" s="122"/>
      <c r="GJI34" s="122"/>
      <c r="GJJ34" s="122"/>
      <c r="GJK34" s="122"/>
      <c r="GJL34" s="122"/>
      <c r="GJM34" s="122"/>
      <c r="GJN34" s="122"/>
      <c r="GJO34" s="122"/>
      <c r="GJP34" s="122"/>
      <c r="GJQ34" s="122"/>
      <c r="GJR34" s="122"/>
      <c r="GJS34" s="122"/>
      <c r="GJT34" s="122"/>
      <c r="GJU34" s="122"/>
      <c r="GJV34" s="122"/>
      <c r="GJW34" s="122"/>
      <c r="GJX34" s="122"/>
      <c r="GJY34" s="122"/>
      <c r="GJZ34" s="122"/>
      <c r="GKA34" s="122"/>
      <c r="GKB34" s="122"/>
      <c r="GKC34" s="122"/>
      <c r="GKD34" s="122"/>
      <c r="GKE34" s="122"/>
      <c r="GKF34" s="122"/>
      <c r="GKG34" s="122"/>
      <c r="GKH34" s="122"/>
      <c r="GKI34" s="122"/>
      <c r="GKJ34" s="122"/>
      <c r="GKK34" s="122"/>
      <c r="GKL34" s="122"/>
      <c r="GKM34" s="122"/>
      <c r="GKN34" s="122"/>
      <c r="GKO34" s="122"/>
      <c r="GKP34" s="122"/>
      <c r="GKQ34" s="122"/>
      <c r="GKR34" s="122"/>
      <c r="GKS34" s="122"/>
      <c r="GKT34" s="122"/>
      <c r="GKU34" s="122"/>
      <c r="GKV34" s="122"/>
      <c r="GKW34" s="122"/>
      <c r="GKX34" s="122"/>
      <c r="GKY34" s="122"/>
      <c r="GKZ34" s="122"/>
      <c r="GLA34" s="122"/>
      <c r="GLB34" s="122"/>
      <c r="GLC34" s="122"/>
      <c r="GLD34" s="122"/>
      <c r="GLE34" s="122"/>
      <c r="GLF34" s="122"/>
      <c r="GLG34" s="122"/>
      <c r="GLH34" s="122"/>
      <c r="GLI34" s="122"/>
      <c r="GLJ34" s="122"/>
      <c r="GLK34" s="122"/>
      <c r="GLL34" s="122"/>
      <c r="GLM34" s="122"/>
      <c r="GLN34" s="122"/>
      <c r="GLO34" s="122"/>
      <c r="GLP34" s="122"/>
      <c r="GLQ34" s="122"/>
      <c r="GLR34" s="122"/>
      <c r="GLS34" s="122"/>
      <c r="GLT34" s="122"/>
      <c r="GLU34" s="122"/>
      <c r="GLV34" s="122"/>
      <c r="GLW34" s="122"/>
      <c r="GLX34" s="122"/>
      <c r="GLY34" s="122"/>
      <c r="GLZ34" s="122"/>
      <c r="GMA34" s="122"/>
      <c r="GMB34" s="122"/>
      <c r="GMC34" s="122"/>
      <c r="GMD34" s="122"/>
      <c r="GME34" s="122"/>
      <c r="GMF34" s="122"/>
      <c r="GMG34" s="122"/>
      <c r="GMH34" s="122"/>
      <c r="GMI34" s="122"/>
      <c r="GMJ34" s="122"/>
      <c r="GMK34" s="122"/>
      <c r="GML34" s="122"/>
      <c r="GMM34" s="122"/>
      <c r="GMN34" s="122"/>
      <c r="GMO34" s="122"/>
      <c r="GMP34" s="122"/>
      <c r="GMQ34" s="122"/>
      <c r="GMR34" s="122"/>
      <c r="GMS34" s="122"/>
      <c r="GMT34" s="122"/>
      <c r="GMU34" s="122"/>
      <c r="GMV34" s="122"/>
      <c r="GMW34" s="122"/>
      <c r="GMX34" s="122"/>
      <c r="GMY34" s="122"/>
      <c r="GMZ34" s="122"/>
      <c r="GNA34" s="122"/>
      <c r="GNB34" s="122"/>
      <c r="GNC34" s="122"/>
      <c r="GND34" s="122"/>
      <c r="GNE34" s="122"/>
      <c r="GNF34" s="122"/>
      <c r="GNG34" s="122"/>
      <c r="GNH34" s="122"/>
      <c r="GNI34" s="122"/>
      <c r="GNJ34" s="122"/>
      <c r="GNK34" s="122"/>
      <c r="GNL34" s="122"/>
      <c r="GNM34" s="122"/>
      <c r="GNN34" s="122"/>
      <c r="GNO34" s="122"/>
      <c r="GNP34" s="122"/>
      <c r="GNQ34" s="122"/>
      <c r="GNR34" s="122"/>
      <c r="GNS34" s="122"/>
      <c r="GNT34" s="122"/>
      <c r="GNU34" s="122"/>
      <c r="GNV34" s="122"/>
      <c r="GNW34" s="122"/>
      <c r="GNX34" s="122"/>
      <c r="GNY34" s="122"/>
      <c r="GNZ34" s="122"/>
      <c r="GOA34" s="122"/>
      <c r="GOB34" s="122"/>
      <c r="GOC34" s="122"/>
      <c r="GOD34" s="122"/>
      <c r="GOE34" s="122"/>
      <c r="GOF34" s="122"/>
      <c r="GOG34" s="122"/>
      <c r="GOH34" s="122"/>
      <c r="GOI34" s="122"/>
      <c r="GOJ34" s="122"/>
      <c r="GOK34" s="122"/>
      <c r="GOL34" s="122"/>
      <c r="GOM34" s="122"/>
      <c r="GON34" s="122"/>
      <c r="GOO34" s="122"/>
      <c r="GOP34" s="122"/>
      <c r="GOQ34" s="122"/>
      <c r="GOR34" s="122"/>
      <c r="GOS34" s="122"/>
      <c r="GOT34" s="122"/>
      <c r="GOU34" s="122"/>
      <c r="GOV34" s="122"/>
      <c r="GOW34" s="122"/>
      <c r="GOX34" s="122"/>
      <c r="GOY34" s="122"/>
      <c r="GOZ34" s="122"/>
      <c r="GPA34" s="122"/>
      <c r="GPB34" s="122"/>
      <c r="GPC34" s="122"/>
      <c r="GPD34" s="122"/>
      <c r="GPE34" s="122"/>
      <c r="GPF34" s="122"/>
      <c r="GPG34" s="122"/>
      <c r="GPH34" s="122"/>
      <c r="GPI34" s="122"/>
      <c r="GPJ34" s="122"/>
      <c r="GPK34" s="122"/>
      <c r="GPL34" s="122"/>
      <c r="GPM34" s="122"/>
      <c r="GPN34" s="122"/>
      <c r="GPO34" s="122"/>
      <c r="GPP34" s="122"/>
      <c r="GPQ34" s="122"/>
      <c r="GPR34" s="122"/>
      <c r="GPS34" s="122"/>
      <c r="GPT34" s="122"/>
      <c r="GPU34" s="122"/>
      <c r="GPV34" s="122"/>
      <c r="GPW34" s="122"/>
      <c r="GPX34" s="122"/>
      <c r="GPY34" s="122"/>
      <c r="GPZ34" s="122"/>
      <c r="GQA34" s="122"/>
      <c r="GQB34" s="122"/>
      <c r="GQC34" s="122"/>
      <c r="GQD34" s="122"/>
      <c r="GQE34" s="122"/>
      <c r="GQF34" s="122"/>
      <c r="GQG34" s="122"/>
      <c r="GQH34" s="122"/>
      <c r="GQI34" s="122"/>
      <c r="GQJ34" s="122"/>
      <c r="GQK34" s="122"/>
      <c r="GQL34" s="122"/>
      <c r="GQM34" s="122"/>
      <c r="GQN34" s="122"/>
      <c r="GQO34" s="122"/>
      <c r="GQP34" s="122"/>
      <c r="GQQ34" s="122"/>
      <c r="GQR34" s="122"/>
      <c r="GQS34" s="122"/>
      <c r="GQT34" s="122"/>
      <c r="GQU34" s="122"/>
      <c r="GQV34" s="122"/>
      <c r="GQW34" s="122"/>
      <c r="GQX34" s="122"/>
      <c r="GQY34" s="122"/>
      <c r="GQZ34" s="122"/>
      <c r="GRA34" s="122"/>
      <c r="GRB34" s="122"/>
      <c r="GRC34" s="122"/>
      <c r="GRD34" s="122"/>
      <c r="GRE34" s="122"/>
      <c r="GRF34" s="122"/>
      <c r="GRG34" s="122"/>
      <c r="GRH34" s="122"/>
      <c r="GRI34" s="122"/>
      <c r="GRJ34" s="122"/>
      <c r="GRK34" s="122"/>
      <c r="GRL34" s="122"/>
      <c r="GRM34" s="122"/>
      <c r="GRN34" s="122"/>
      <c r="GRO34" s="122"/>
      <c r="GRP34" s="122"/>
      <c r="GRQ34" s="122"/>
      <c r="GRR34" s="122"/>
      <c r="GRS34" s="122"/>
      <c r="GRT34" s="122"/>
      <c r="GRU34" s="122"/>
      <c r="GRV34" s="122"/>
      <c r="GRW34" s="122"/>
      <c r="GRX34" s="122"/>
      <c r="GRY34" s="122"/>
      <c r="GRZ34" s="122"/>
      <c r="GSA34" s="122"/>
      <c r="GSB34" s="122"/>
      <c r="GSC34" s="122"/>
      <c r="GSD34" s="122"/>
      <c r="GSE34" s="122"/>
      <c r="GSF34" s="122"/>
      <c r="GSG34" s="122"/>
      <c r="GSH34" s="122"/>
      <c r="GSI34" s="122"/>
      <c r="GSJ34" s="122"/>
      <c r="GSK34" s="122"/>
      <c r="GSL34" s="122"/>
      <c r="GSM34" s="122"/>
      <c r="GSN34" s="122"/>
      <c r="GSO34" s="122"/>
      <c r="GSP34" s="122"/>
      <c r="GSQ34" s="122"/>
      <c r="GSR34" s="122"/>
      <c r="GSS34" s="122"/>
      <c r="GST34" s="122"/>
      <c r="GSU34" s="122"/>
      <c r="GSV34" s="122"/>
      <c r="GSW34" s="122"/>
      <c r="GSX34" s="122"/>
      <c r="GSY34" s="122"/>
      <c r="GSZ34" s="122"/>
      <c r="GTA34" s="122"/>
      <c r="GTB34" s="122"/>
      <c r="GTC34" s="122"/>
      <c r="GTD34" s="122"/>
      <c r="GTE34" s="122"/>
      <c r="GTF34" s="122"/>
      <c r="GTG34" s="122"/>
      <c r="GTH34" s="122"/>
      <c r="GTI34" s="122"/>
      <c r="GTJ34" s="122"/>
      <c r="GTK34" s="122"/>
      <c r="GTL34" s="122"/>
      <c r="GTM34" s="122"/>
      <c r="GTN34" s="122"/>
      <c r="GTO34" s="122"/>
      <c r="GTP34" s="122"/>
      <c r="GTQ34" s="122"/>
      <c r="GTR34" s="122"/>
      <c r="GTS34" s="122"/>
      <c r="GTT34" s="122"/>
      <c r="GTU34" s="122"/>
      <c r="GTV34" s="122"/>
      <c r="GTW34" s="122"/>
      <c r="GTX34" s="122"/>
      <c r="GTY34" s="122"/>
      <c r="GTZ34" s="122"/>
      <c r="GUA34" s="122"/>
      <c r="GUB34" s="122"/>
      <c r="GUC34" s="122"/>
      <c r="GUD34" s="122"/>
      <c r="GUE34" s="122"/>
      <c r="GUF34" s="122"/>
      <c r="GUG34" s="122"/>
      <c r="GUH34" s="122"/>
      <c r="GUI34" s="122"/>
      <c r="GUJ34" s="122"/>
      <c r="GUK34" s="122"/>
      <c r="GUL34" s="122"/>
      <c r="GUM34" s="122"/>
      <c r="GUN34" s="122"/>
      <c r="GUO34" s="122"/>
      <c r="GUP34" s="122"/>
      <c r="GUQ34" s="122"/>
      <c r="GUR34" s="122"/>
      <c r="GUS34" s="122"/>
      <c r="GUT34" s="122"/>
      <c r="GUU34" s="122"/>
      <c r="GUV34" s="122"/>
      <c r="GUW34" s="122"/>
      <c r="GUX34" s="122"/>
      <c r="GUY34" s="122"/>
      <c r="GUZ34" s="122"/>
      <c r="GVA34" s="122"/>
      <c r="GVB34" s="122"/>
      <c r="GVC34" s="122"/>
      <c r="GVD34" s="122"/>
      <c r="GVE34" s="122"/>
      <c r="GVF34" s="122"/>
      <c r="GVG34" s="122"/>
      <c r="GVH34" s="122"/>
      <c r="GVI34" s="122"/>
      <c r="GVJ34" s="122"/>
      <c r="GVK34" s="122"/>
      <c r="GVL34" s="122"/>
      <c r="GVM34" s="122"/>
      <c r="GVN34" s="122"/>
      <c r="GVO34" s="122"/>
      <c r="GVP34" s="122"/>
      <c r="GVQ34" s="122"/>
      <c r="GVR34" s="122"/>
      <c r="GVS34" s="122"/>
      <c r="GVT34" s="122"/>
      <c r="GVU34" s="122"/>
      <c r="GVV34" s="122"/>
      <c r="GVW34" s="122"/>
      <c r="GVX34" s="122"/>
      <c r="GVY34" s="122"/>
      <c r="GVZ34" s="122"/>
      <c r="GWA34" s="122"/>
      <c r="GWB34" s="122"/>
      <c r="GWC34" s="122"/>
      <c r="GWD34" s="122"/>
      <c r="GWE34" s="122"/>
      <c r="GWF34" s="122"/>
      <c r="GWG34" s="122"/>
      <c r="GWH34" s="122"/>
      <c r="GWI34" s="122"/>
      <c r="GWJ34" s="122"/>
      <c r="GWK34" s="122"/>
      <c r="GWL34" s="122"/>
      <c r="GWM34" s="122"/>
      <c r="GWN34" s="122"/>
      <c r="GWO34" s="122"/>
      <c r="GWP34" s="122"/>
      <c r="GWQ34" s="122"/>
      <c r="GWR34" s="122"/>
      <c r="GWS34" s="122"/>
      <c r="GWT34" s="122"/>
      <c r="GWU34" s="122"/>
      <c r="GWV34" s="122"/>
      <c r="GWW34" s="122"/>
      <c r="GWX34" s="122"/>
      <c r="GWY34" s="122"/>
      <c r="GWZ34" s="122"/>
      <c r="GXA34" s="122"/>
      <c r="GXB34" s="122"/>
      <c r="GXC34" s="122"/>
      <c r="GXD34" s="122"/>
      <c r="GXE34" s="122"/>
      <c r="GXF34" s="122"/>
      <c r="GXG34" s="122"/>
      <c r="GXH34" s="122"/>
      <c r="GXI34" s="122"/>
      <c r="GXJ34" s="122"/>
      <c r="GXK34" s="122"/>
      <c r="GXL34" s="122"/>
      <c r="GXM34" s="122"/>
      <c r="GXN34" s="122"/>
      <c r="GXO34" s="122"/>
      <c r="GXP34" s="122"/>
      <c r="GXQ34" s="122"/>
      <c r="GXR34" s="122"/>
      <c r="GXS34" s="122"/>
      <c r="GXT34" s="122"/>
      <c r="GXU34" s="122"/>
      <c r="GXV34" s="122"/>
      <c r="GXW34" s="122"/>
      <c r="GXX34" s="122"/>
      <c r="GXY34" s="122"/>
      <c r="GXZ34" s="122"/>
      <c r="GYA34" s="122"/>
      <c r="GYB34" s="122"/>
      <c r="GYC34" s="122"/>
      <c r="GYD34" s="122"/>
      <c r="GYE34" s="122"/>
      <c r="GYF34" s="122"/>
      <c r="GYG34" s="122"/>
      <c r="GYH34" s="122"/>
      <c r="GYI34" s="122"/>
      <c r="GYJ34" s="122"/>
      <c r="GYK34" s="122"/>
      <c r="GYL34" s="122"/>
      <c r="GYM34" s="122"/>
      <c r="GYN34" s="122"/>
      <c r="GYO34" s="122"/>
      <c r="GYP34" s="122"/>
      <c r="GYQ34" s="122"/>
      <c r="GYR34" s="122"/>
      <c r="GYS34" s="122"/>
      <c r="GYT34" s="122"/>
      <c r="GYU34" s="122"/>
      <c r="GYV34" s="122"/>
      <c r="GYW34" s="122"/>
      <c r="GYX34" s="122"/>
      <c r="GYY34" s="122"/>
      <c r="GYZ34" s="122"/>
      <c r="GZA34" s="122"/>
      <c r="GZB34" s="122"/>
      <c r="GZC34" s="122"/>
      <c r="GZD34" s="122"/>
      <c r="GZE34" s="122"/>
      <c r="GZF34" s="122"/>
      <c r="GZG34" s="122"/>
      <c r="GZH34" s="122"/>
      <c r="GZI34" s="122"/>
      <c r="GZJ34" s="122"/>
      <c r="GZK34" s="122"/>
      <c r="GZL34" s="122"/>
      <c r="GZM34" s="122"/>
      <c r="GZN34" s="122"/>
      <c r="GZO34" s="122"/>
      <c r="GZP34" s="122"/>
      <c r="GZQ34" s="122"/>
      <c r="GZR34" s="122"/>
      <c r="GZS34" s="122"/>
      <c r="GZT34" s="122"/>
      <c r="GZU34" s="122"/>
      <c r="GZV34" s="122"/>
      <c r="GZW34" s="122"/>
      <c r="GZX34" s="122"/>
      <c r="GZY34" s="122"/>
      <c r="GZZ34" s="122"/>
      <c r="HAA34" s="122"/>
      <c r="HAB34" s="122"/>
      <c r="HAC34" s="122"/>
      <c r="HAD34" s="122"/>
      <c r="HAE34" s="122"/>
      <c r="HAF34" s="122"/>
      <c r="HAG34" s="122"/>
      <c r="HAH34" s="122"/>
      <c r="HAI34" s="122"/>
      <c r="HAJ34" s="122"/>
      <c r="HAK34" s="122"/>
      <c r="HAL34" s="122"/>
      <c r="HAM34" s="122"/>
      <c r="HAN34" s="122"/>
      <c r="HAO34" s="122"/>
      <c r="HAP34" s="122"/>
      <c r="HAQ34" s="122"/>
      <c r="HAR34" s="122"/>
      <c r="HAS34" s="122"/>
      <c r="HAT34" s="122"/>
      <c r="HAU34" s="122"/>
      <c r="HAV34" s="122"/>
      <c r="HAW34" s="122"/>
      <c r="HAX34" s="122"/>
      <c r="HAY34" s="122"/>
      <c r="HAZ34" s="122"/>
      <c r="HBA34" s="122"/>
      <c r="HBB34" s="122"/>
      <c r="HBC34" s="122"/>
      <c r="HBD34" s="122"/>
      <c r="HBE34" s="122"/>
      <c r="HBF34" s="122"/>
      <c r="HBG34" s="122"/>
      <c r="HBH34" s="122"/>
      <c r="HBI34" s="122"/>
      <c r="HBJ34" s="122"/>
      <c r="HBK34" s="122"/>
      <c r="HBL34" s="122"/>
      <c r="HBM34" s="122"/>
      <c r="HBN34" s="122"/>
      <c r="HBO34" s="122"/>
      <c r="HBP34" s="122"/>
      <c r="HBQ34" s="122"/>
      <c r="HBR34" s="122"/>
      <c r="HBS34" s="122"/>
      <c r="HBT34" s="122"/>
      <c r="HBU34" s="122"/>
      <c r="HBV34" s="122"/>
      <c r="HBW34" s="122"/>
      <c r="HBX34" s="122"/>
      <c r="HBY34" s="122"/>
      <c r="HBZ34" s="122"/>
      <c r="HCA34" s="122"/>
      <c r="HCB34" s="122"/>
      <c r="HCC34" s="122"/>
      <c r="HCD34" s="122"/>
      <c r="HCE34" s="122"/>
      <c r="HCF34" s="122"/>
      <c r="HCG34" s="122"/>
      <c r="HCH34" s="122"/>
      <c r="HCI34" s="122"/>
      <c r="HCJ34" s="122"/>
      <c r="HCK34" s="122"/>
      <c r="HCL34" s="122"/>
      <c r="HCM34" s="122"/>
      <c r="HCN34" s="122"/>
      <c r="HCO34" s="122"/>
      <c r="HCP34" s="122"/>
      <c r="HCQ34" s="122"/>
      <c r="HCR34" s="122"/>
      <c r="HCS34" s="122"/>
      <c r="HCT34" s="122"/>
      <c r="HCU34" s="122"/>
      <c r="HCV34" s="122"/>
      <c r="HCW34" s="122"/>
      <c r="HCX34" s="122"/>
      <c r="HCY34" s="122"/>
      <c r="HCZ34" s="122"/>
      <c r="HDA34" s="122"/>
      <c r="HDB34" s="122"/>
      <c r="HDC34" s="122"/>
      <c r="HDD34" s="122"/>
      <c r="HDE34" s="122"/>
      <c r="HDF34" s="122"/>
      <c r="HDG34" s="122"/>
      <c r="HDH34" s="122"/>
      <c r="HDI34" s="122"/>
      <c r="HDJ34" s="122"/>
      <c r="HDK34" s="122"/>
      <c r="HDL34" s="122"/>
      <c r="HDM34" s="122"/>
      <c r="HDN34" s="122"/>
      <c r="HDO34" s="122"/>
      <c r="HDP34" s="122"/>
      <c r="HDQ34" s="122"/>
      <c r="HDR34" s="122"/>
      <c r="HDS34" s="122"/>
      <c r="HDT34" s="122"/>
      <c r="HDU34" s="122"/>
      <c r="HDV34" s="122"/>
      <c r="HDW34" s="122"/>
      <c r="HDX34" s="122"/>
      <c r="HDY34" s="122"/>
      <c r="HDZ34" s="122"/>
      <c r="HEA34" s="122"/>
      <c r="HEB34" s="122"/>
      <c r="HEC34" s="122"/>
      <c r="HED34" s="122"/>
      <c r="HEE34" s="122"/>
      <c r="HEF34" s="122"/>
      <c r="HEG34" s="122"/>
      <c r="HEH34" s="122"/>
      <c r="HEI34" s="122"/>
      <c r="HEJ34" s="122"/>
      <c r="HEK34" s="122"/>
      <c r="HEL34" s="122"/>
      <c r="HEM34" s="122"/>
      <c r="HEN34" s="122"/>
      <c r="HEO34" s="122"/>
      <c r="HEP34" s="122"/>
      <c r="HEQ34" s="122"/>
      <c r="HER34" s="122"/>
      <c r="HES34" s="122"/>
      <c r="HET34" s="122"/>
      <c r="HEU34" s="122"/>
      <c r="HEV34" s="122"/>
      <c r="HEW34" s="122"/>
      <c r="HEX34" s="122"/>
      <c r="HEY34" s="122"/>
      <c r="HEZ34" s="122"/>
      <c r="HFA34" s="122"/>
      <c r="HFB34" s="122"/>
      <c r="HFC34" s="122"/>
      <c r="HFD34" s="122"/>
      <c r="HFE34" s="122"/>
      <c r="HFF34" s="122"/>
      <c r="HFG34" s="122"/>
      <c r="HFH34" s="122"/>
      <c r="HFI34" s="122"/>
      <c r="HFJ34" s="122"/>
      <c r="HFK34" s="122"/>
      <c r="HFL34" s="122"/>
      <c r="HFM34" s="122"/>
      <c r="HFN34" s="122"/>
      <c r="HFO34" s="122"/>
      <c r="HFP34" s="122"/>
      <c r="HFQ34" s="122"/>
      <c r="HFR34" s="122"/>
      <c r="HFS34" s="122"/>
      <c r="HFT34" s="122"/>
      <c r="HFU34" s="122"/>
      <c r="HFV34" s="122"/>
      <c r="HFW34" s="122"/>
      <c r="HFX34" s="122"/>
      <c r="HFY34" s="122"/>
      <c r="HFZ34" s="122"/>
      <c r="HGA34" s="122"/>
      <c r="HGB34" s="122"/>
      <c r="HGC34" s="122"/>
      <c r="HGD34" s="122"/>
      <c r="HGE34" s="122"/>
      <c r="HGF34" s="122"/>
      <c r="HGG34" s="122"/>
      <c r="HGH34" s="122"/>
      <c r="HGI34" s="122"/>
      <c r="HGJ34" s="122"/>
      <c r="HGK34" s="122"/>
      <c r="HGL34" s="122"/>
      <c r="HGM34" s="122"/>
      <c r="HGN34" s="122"/>
      <c r="HGO34" s="122"/>
      <c r="HGP34" s="122"/>
      <c r="HGQ34" s="122"/>
      <c r="HGR34" s="122"/>
      <c r="HGS34" s="122"/>
      <c r="HGT34" s="122"/>
      <c r="HGU34" s="122"/>
      <c r="HGV34" s="122"/>
      <c r="HGW34" s="122"/>
      <c r="HGX34" s="122"/>
      <c r="HGY34" s="122"/>
      <c r="HGZ34" s="122"/>
      <c r="HHA34" s="122"/>
      <c r="HHB34" s="122"/>
      <c r="HHC34" s="122"/>
      <c r="HHD34" s="122"/>
      <c r="HHE34" s="122"/>
      <c r="HHF34" s="122"/>
      <c r="HHG34" s="122"/>
      <c r="HHH34" s="122"/>
      <c r="HHI34" s="122"/>
      <c r="HHJ34" s="122"/>
      <c r="HHK34" s="122"/>
      <c r="HHL34" s="122"/>
      <c r="HHM34" s="122"/>
      <c r="HHN34" s="122"/>
      <c r="HHO34" s="122"/>
      <c r="HHP34" s="122"/>
      <c r="HHQ34" s="122"/>
      <c r="HHR34" s="122"/>
      <c r="HHS34" s="122"/>
      <c r="HHT34" s="122"/>
      <c r="HHU34" s="122"/>
      <c r="HHV34" s="122"/>
      <c r="HHW34" s="122"/>
      <c r="HHX34" s="122"/>
      <c r="HHY34" s="122"/>
      <c r="HHZ34" s="122"/>
      <c r="HIA34" s="122"/>
      <c r="HIB34" s="122"/>
      <c r="HIC34" s="122"/>
      <c r="HID34" s="122"/>
      <c r="HIE34" s="122"/>
      <c r="HIF34" s="122"/>
      <c r="HIG34" s="122"/>
      <c r="HIH34" s="122"/>
      <c r="HII34" s="122"/>
      <c r="HIJ34" s="122"/>
      <c r="HIK34" s="122"/>
      <c r="HIL34" s="122"/>
      <c r="HIM34" s="122"/>
      <c r="HIN34" s="122"/>
      <c r="HIO34" s="122"/>
      <c r="HIP34" s="122"/>
      <c r="HIQ34" s="122"/>
      <c r="HIR34" s="122"/>
      <c r="HIS34" s="122"/>
      <c r="HIT34" s="122"/>
      <c r="HIU34" s="122"/>
      <c r="HIV34" s="122"/>
      <c r="HIW34" s="122"/>
      <c r="HIX34" s="122"/>
      <c r="HIY34" s="122"/>
      <c r="HIZ34" s="122"/>
      <c r="HJA34" s="122"/>
      <c r="HJB34" s="122"/>
      <c r="HJC34" s="122"/>
      <c r="HJD34" s="122"/>
      <c r="HJE34" s="122"/>
      <c r="HJF34" s="122"/>
      <c r="HJG34" s="122"/>
      <c r="HJH34" s="122"/>
      <c r="HJI34" s="122"/>
      <c r="HJJ34" s="122"/>
      <c r="HJK34" s="122"/>
      <c r="HJL34" s="122"/>
      <c r="HJM34" s="122"/>
      <c r="HJN34" s="122"/>
      <c r="HJO34" s="122"/>
      <c r="HJP34" s="122"/>
      <c r="HJQ34" s="122"/>
      <c r="HJR34" s="122"/>
      <c r="HJS34" s="122"/>
      <c r="HJT34" s="122"/>
      <c r="HJU34" s="122"/>
      <c r="HJV34" s="122"/>
      <c r="HJW34" s="122"/>
      <c r="HJX34" s="122"/>
      <c r="HJY34" s="122"/>
      <c r="HJZ34" s="122"/>
      <c r="HKA34" s="122"/>
      <c r="HKB34" s="122"/>
      <c r="HKC34" s="122"/>
      <c r="HKD34" s="122"/>
      <c r="HKE34" s="122"/>
      <c r="HKF34" s="122"/>
      <c r="HKG34" s="122"/>
      <c r="HKH34" s="122"/>
      <c r="HKI34" s="122"/>
      <c r="HKJ34" s="122"/>
      <c r="HKK34" s="122"/>
      <c r="HKL34" s="122"/>
      <c r="HKM34" s="122"/>
      <c r="HKN34" s="122"/>
      <c r="HKO34" s="122"/>
      <c r="HKP34" s="122"/>
      <c r="HKQ34" s="122"/>
      <c r="HKR34" s="122"/>
      <c r="HKS34" s="122"/>
      <c r="HKT34" s="122"/>
      <c r="HKU34" s="122"/>
      <c r="HKV34" s="122"/>
      <c r="HKW34" s="122"/>
      <c r="HKX34" s="122"/>
      <c r="HKY34" s="122"/>
      <c r="HKZ34" s="122"/>
      <c r="HLA34" s="122"/>
      <c r="HLB34" s="122"/>
      <c r="HLC34" s="122"/>
      <c r="HLD34" s="122"/>
      <c r="HLE34" s="122"/>
      <c r="HLF34" s="122"/>
      <c r="HLG34" s="122"/>
      <c r="HLH34" s="122"/>
      <c r="HLI34" s="122"/>
      <c r="HLJ34" s="122"/>
      <c r="HLK34" s="122"/>
      <c r="HLL34" s="122"/>
      <c r="HLM34" s="122"/>
      <c r="HLN34" s="122"/>
      <c r="HLO34" s="122"/>
      <c r="HLP34" s="122"/>
      <c r="HLQ34" s="122"/>
      <c r="HLR34" s="122"/>
      <c r="HLS34" s="122"/>
      <c r="HLT34" s="122"/>
      <c r="HLU34" s="122"/>
      <c r="HLV34" s="122"/>
      <c r="HLW34" s="122"/>
      <c r="HLX34" s="122"/>
      <c r="HLY34" s="122"/>
      <c r="HLZ34" s="122"/>
      <c r="HMA34" s="122"/>
      <c r="HMB34" s="122"/>
      <c r="HMC34" s="122"/>
      <c r="HMD34" s="122"/>
      <c r="HME34" s="122"/>
      <c r="HMF34" s="122"/>
      <c r="HMG34" s="122"/>
      <c r="HMH34" s="122"/>
      <c r="HMI34" s="122"/>
      <c r="HMJ34" s="122"/>
      <c r="HMK34" s="122"/>
      <c r="HML34" s="122"/>
      <c r="HMM34" s="122"/>
      <c r="HMN34" s="122"/>
      <c r="HMO34" s="122"/>
      <c r="HMP34" s="122"/>
      <c r="HMQ34" s="122"/>
      <c r="HMR34" s="122"/>
      <c r="HMS34" s="122"/>
      <c r="HMT34" s="122"/>
      <c r="HMU34" s="122"/>
      <c r="HMV34" s="122"/>
      <c r="HMW34" s="122"/>
      <c r="HMX34" s="122"/>
      <c r="HMY34" s="122"/>
      <c r="HMZ34" s="122"/>
      <c r="HNA34" s="122"/>
      <c r="HNB34" s="122"/>
      <c r="HNC34" s="122"/>
      <c r="HND34" s="122"/>
      <c r="HNE34" s="122"/>
      <c r="HNF34" s="122"/>
      <c r="HNG34" s="122"/>
      <c r="HNH34" s="122"/>
      <c r="HNI34" s="122"/>
      <c r="HNJ34" s="122"/>
      <c r="HNK34" s="122"/>
      <c r="HNL34" s="122"/>
      <c r="HNM34" s="122"/>
      <c r="HNN34" s="122"/>
      <c r="HNO34" s="122"/>
      <c r="HNP34" s="122"/>
      <c r="HNQ34" s="122"/>
      <c r="HNR34" s="122"/>
      <c r="HNS34" s="122"/>
      <c r="HNT34" s="122"/>
      <c r="HNU34" s="122"/>
      <c r="HNV34" s="122"/>
      <c r="HNW34" s="122"/>
      <c r="HNX34" s="122"/>
      <c r="HNY34" s="122"/>
      <c r="HNZ34" s="122"/>
      <c r="HOA34" s="122"/>
      <c r="HOB34" s="122"/>
      <c r="HOC34" s="122"/>
      <c r="HOD34" s="122"/>
      <c r="HOE34" s="122"/>
      <c r="HOF34" s="122"/>
      <c r="HOG34" s="122"/>
      <c r="HOH34" s="122"/>
      <c r="HOI34" s="122"/>
      <c r="HOJ34" s="122"/>
      <c r="HOK34" s="122"/>
      <c r="HOL34" s="122"/>
      <c r="HOM34" s="122"/>
      <c r="HON34" s="122"/>
      <c r="HOO34" s="122"/>
      <c r="HOP34" s="122"/>
      <c r="HOQ34" s="122"/>
      <c r="HOR34" s="122"/>
      <c r="HOS34" s="122"/>
      <c r="HOT34" s="122"/>
      <c r="HOU34" s="122"/>
      <c r="HOV34" s="122"/>
      <c r="HOW34" s="122"/>
      <c r="HOX34" s="122"/>
      <c r="HOY34" s="122"/>
      <c r="HOZ34" s="122"/>
      <c r="HPA34" s="122"/>
      <c r="HPB34" s="122"/>
      <c r="HPC34" s="122"/>
      <c r="HPD34" s="122"/>
      <c r="HPE34" s="122"/>
      <c r="HPF34" s="122"/>
      <c r="HPG34" s="122"/>
      <c r="HPH34" s="122"/>
      <c r="HPI34" s="122"/>
      <c r="HPJ34" s="122"/>
      <c r="HPK34" s="122"/>
      <c r="HPL34" s="122"/>
      <c r="HPM34" s="122"/>
      <c r="HPN34" s="122"/>
      <c r="HPO34" s="122"/>
      <c r="HPP34" s="122"/>
      <c r="HPQ34" s="122"/>
      <c r="HPR34" s="122"/>
      <c r="HPS34" s="122"/>
      <c r="HPT34" s="122"/>
      <c r="HPU34" s="122"/>
      <c r="HPV34" s="122"/>
      <c r="HPW34" s="122"/>
      <c r="HPX34" s="122"/>
      <c r="HPY34" s="122"/>
      <c r="HPZ34" s="122"/>
      <c r="HQA34" s="122"/>
      <c r="HQB34" s="122"/>
      <c r="HQC34" s="122"/>
      <c r="HQD34" s="122"/>
      <c r="HQE34" s="122"/>
      <c r="HQF34" s="122"/>
      <c r="HQG34" s="122"/>
      <c r="HQH34" s="122"/>
      <c r="HQI34" s="122"/>
      <c r="HQJ34" s="122"/>
      <c r="HQK34" s="122"/>
      <c r="HQL34" s="122"/>
      <c r="HQM34" s="122"/>
      <c r="HQN34" s="122"/>
      <c r="HQO34" s="122"/>
      <c r="HQP34" s="122"/>
      <c r="HQQ34" s="122"/>
      <c r="HQR34" s="122"/>
      <c r="HQS34" s="122"/>
      <c r="HQT34" s="122"/>
      <c r="HQU34" s="122"/>
      <c r="HQV34" s="122"/>
      <c r="HQW34" s="122"/>
      <c r="HQX34" s="122"/>
      <c r="HQY34" s="122"/>
      <c r="HQZ34" s="122"/>
      <c r="HRA34" s="122"/>
      <c r="HRB34" s="122"/>
      <c r="HRC34" s="122"/>
      <c r="HRD34" s="122"/>
      <c r="HRE34" s="122"/>
      <c r="HRF34" s="122"/>
      <c r="HRG34" s="122"/>
      <c r="HRH34" s="122"/>
      <c r="HRI34" s="122"/>
      <c r="HRJ34" s="122"/>
      <c r="HRK34" s="122"/>
      <c r="HRL34" s="122"/>
      <c r="HRM34" s="122"/>
      <c r="HRN34" s="122"/>
      <c r="HRO34" s="122"/>
      <c r="HRP34" s="122"/>
      <c r="HRQ34" s="122"/>
      <c r="HRR34" s="122"/>
      <c r="HRS34" s="122"/>
      <c r="HRT34" s="122"/>
      <c r="HRU34" s="122"/>
      <c r="HRV34" s="122"/>
      <c r="HRW34" s="122"/>
      <c r="HRX34" s="122"/>
      <c r="HRY34" s="122"/>
      <c r="HRZ34" s="122"/>
      <c r="HSA34" s="122"/>
      <c r="HSB34" s="122"/>
      <c r="HSC34" s="122"/>
      <c r="HSD34" s="122"/>
      <c r="HSE34" s="122"/>
      <c r="HSF34" s="122"/>
      <c r="HSG34" s="122"/>
      <c r="HSH34" s="122"/>
      <c r="HSI34" s="122"/>
      <c r="HSJ34" s="122"/>
      <c r="HSK34" s="122"/>
      <c r="HSL34" s="122"/>
      <c r="HSM34" s="122"/>
      <c r="HSN34" s="122"/>
      <c r="HSO34" s="122"/>
      <c r="HSP34" s="122"/>
      <c r="HSQ34" s="122"/>
      <c r="HSR34" s="122"/>
      <c r="HSS34" s="122"/>
      <c r="HST34" s="122"/>
      <c r="HSU34" s="122"/>
      <c r="HSV34" s="122"/>
      <c r="HSW34" s="122"/>
      <c r="HSX34" s="122"/>
      <c r="HSY34" s="122"/>
      <c r="HSZ34" s="122"/>
      <c r="HTA34" s="122"/>
      <c r="HTB34" s="122"/>
      <c r="HTC34" s="122"/>
      <c r="HTD34" s="122"/>
      <c r="HTE34" s="122"/>
      <c r="HTF34" s="122"/>
      <c r="HTG34" s="122"/>
      <c r="HTH34" s="122"/>
      <c r="HTI34" s="122"/>
      <c r="HTJ34" s="122"/>
      <c r="HTK34" s="122"/>
      <c r="HTL34" s="122"/>
      <c r="HTM34" s="122"/>
      <c r="HTN34" s="122"/>
      <c r="HTO34" s="122"/>
      <c r="HTP34" s="122"/>
      <c r="HTQ34" s="122"/>
      <c r="HTR34" s="122"/>
      <c r="HTS34" s="122"/>
      <c r="HTT34" s="122"/>
      <c r="HTU34" s="122"/>
      <c r="HTV34" s="122"/>
      <c r="HTW34" s="122"/>
      <c r="HTX34" s="122"/>
      <c r="HTY34" s="122"/>
      <c r="HTZ34" s="122"/>
      <c r="HUA34" s="122"/>
      <c r="HUB34" s="122"/>
      <c r="HUC34" s="122"/>
      <c r="HUD34" s="122"/>
      <c r="HUE34" s="122"/>
      <c r="HUF34" s="122"/>
      <c r="HUG34" s="122"/>
      <c r="HUH34" s="122"/>
      <c r="HUI34" s="122"/>
      <c r="HUJ34" s="122"/>
      <c r="HUK34" s="122"/>
      <c r="HUL34" s="122"/>
      <c r="HUM34" s="122"/>
      <c r="HUN34" s="122"/>
      <c r="HUO34" s="122"/>
      <c r="HUP34" s="122"/>
      <c r="HUQ34" s="122"/>
      <c r="HUR34" s="122"/>
      <c r="HUS34" s="122"/>
      <c r="HUT34" s="122"/>
      <c r="HUU34" s="122"/>
      <c r="HUV34" s="122"/>
      <c r="HUW34" s="122"/>
      <c r="HUX34" s="122"/>
      <c r="HUY34" s="122"/>
      <c r="HUZ34" s="122"/>
      <c r="HVA34" s="122"/>
      <c r="HVB34" s="122"/>
      <c r="HVC34" s="122"/>
      <c r="HVD34" s="122"/>
      <c r="HVE34" s="122"/>
      <c r="HVF34" s="122"/>
      <c r="HVG34" s="122"/>
      <c r="HVH34" s="122"/>
      <c r="HVI34" s="122"/>
      <c r="HVJ34" s="122"/>
      <c r="HVK34" s="122"/>
      <c r="HVL34" s="122"/>
      <c r="HVM34" s="122"/>
      <c r="HVN34" s="122"/>
      <c r="HVO34" s="122"/>
      <c r="HVP34" s="122"/>
      <c r="HVQ34" s="122"/>
      <c r="HVR34" s="122"/>
      <c r="HVS34" s="122"/>
      <c r="HVT34" s="122"/>
      <c r="HVU34" s="122"/>
      <c r="HVV34" s="122"/>
      <c r="HVW34" s="122"/>
      <c r="HVX34" s="122"/>
      <c r="HVY34" s="122"/>
      <c r="HVZ34" s="122"/>
      <c r="HWA34" s="122"/>
      <c r="HWB34" s="122"/>
      <c r="HWC34" s="122"/>
      <c r="HWD34" s="122"/>
      <c r="HWE34" s="122"/>
      <c r="HWF34" s="122"/>
      <c r="HWG34" s="122"/>
      <c r="HWH34" s="122"/>
      <c r="HWI34" s="122"/>
      <c r="HWJ34" s="122"/>
      <c r="HWK34" s="122"/>
      <c r="HWL34" s="122"/>
      <c r="HWM34" s="122"/>
      <c r="HWN34" s="122"/>
      <c r="HWO34" s="122"/>
      <c r="HWP34" s="122"/>
      <c r="HWQ34" s="122"/>
      <c r="HWR34" s="122"/>
      <c r="HWS34" s="122"/>
      <c r="HWT34" s="122"/>
      <c r="HWU34" s="122"/>
      <c r="HWV34" s="122"/>
      <c r="HWW34" s="122"/>
      <c r="HWX34" s="122"/>
      <c r="HWY34" s="122"/>
      <c r="HWZ34" s="122"/>
      <c r="HXA34" s="122"/>
      <c r="HXB34" s="122"/>
      <c r="HXC34" s="122"/>
      <c r="HXD34" s="122"/>
      <c r="HXE34" s="122"/>
      <c r="HXF34" s="122"/>
      <c r="HXG34" s="122"/>
      <c r="HXH34" s="122"/>
      <c r="HXI34" s="122"/>
      <c r="HXJ34" s="122"/>
      <c r="HXK34" s="122"/>
      <c r="HXL34" s="122"/>
      <c r="HXM34" s="122"/>
      <c r="HXN34" s="122"/>
      <c r="HXO34" s="122"/>
      <c r="HXP34" s="122"/>
      <c r="HXQ34" s="122"/>
      <c r="HXR34" s="122"/>
      <c r="HXS34" s="122"/>
      <c r="HXT34" s="122"/>
      <c r="HXU34" s="122"/>
      <c r="HXV34" s="122"/>
      <c r="HXW34" s="122"/>
      <c r="HXX34" s="122"/>
      <c r="HXY34" s="122"/>
      <c r="HXZ34" s="122"/>
      <c r="HYA34" s="122"/>
      <c r="HYB34" s="122"/>
      <c r="HYC34" s="122"/>
      <c r="HYD34" s="122"/>
      <c r="HYE34" s="122"/>
      <c r="HYF34" s="122"/>
      <c r="HYG34" s="122"/>
      <c r="HYH34" s="122"/>
      <c r="HYI34" s="122"/>
      <c r="HYJ34" s="122"/>
      <c r="HYK34" s="122"/>
      <c r="HYL34" s="122"/>
      <c r="HYM34" s="122"/>
      <c r="HYN34" s="122"/>
      <c r="HYO34" s="122"/>
      <c r="HYP34" s="122"/>
      <c r="HYQ34" s="122"/>
      <c r="HYR34" s="122"/>
      <c r="HYS34" s="122"/>
      <c r="HYT34" s="122"/>
      <c r="HYU34" s="122"/>
      <c r="HYV34" s="122"/>
      <c r="HYW34" s="122"/>
      <c r="HYX34" s="122"/>
      <c r="HYY34" s="122"/>
      <c r="HYZ34" s="122"/>
      <c r="HZA34" s="122"/>
      <c r="HZB34" s="122"/>
      <c r="HZC34" s="122"/>
      <c r="HZD34" s="122"/>
      <c r="HZE34" s="122"/>
      <c r="HZF34" s="122"/>
      <c r="HZG34" s="122"/>
      <c r="HZH34" s="122"/>
      <c r="HZI34" s="122"/>
      <c r="HZJ34" s="122"/>
      <c r="HZK34" s="122"/>
      <c r="HZL34" s="122"/>
      <c r="HZM34" s="122"/>
      <c r="HZN34" s="122"/>
      <c r="HZO34" s="122"/>
      <c r="HZP34" s="122"/>
      <c r="HZQ34" s="122"/>
      <c r="HZR34" s="122"/>
      <c r="HZS34" s="122"/>
      <c r="HZT34" s="122"/>
      <c r="HZU34" s="122"/>
      <c r="HZV34" s="122"/>
      <c r="HZW34" s="122"/>
      <c r="HZX34" s="122"/>
      <c r="HZY34" s="122"/>
      <c r="HZZ34" s="122"/>
      <c r="IAA34" s="122"/>
      <c r="IAB34" s="122"/>
      <c r="IAC34" s="122"/>
      <c r="IAD34" s="122"/>
      <c r="IAE34" s="122"/>
      <c r="IAF34" s="122"/>
      <c r="IAG34" s="122"/>
      <c r="IAH34" s="122"/>
      <c r="IAI34" s="122"/>
      <c r="IAJ34" s="122"/>
      <c r="IAK34" s="122"/>
      <c r="IAL34" s="122"/>
      <c r="IAM34" s="122"/>
      <c r="IAN34" s="122"/>
      <c r="IAO34" s="122"/>
      <c r="IAP34" s="122"/>
      <c r="IAQ34" s="122"/>
      <c r="IAR34" s="122"/>
      <c r="IAS34" s="122"/>
      <c r="IAT34" s="122"/>
      <c r="IAU34" s="122"/>
      <c r="IAV34" s="122"/>
      <c r="IAW34" s="122"/>
      <c r="IAX34" s="122"/>
      <c r="IAY34" s="122"/>
      <c r="IAZ34" s="122"/>
      <c r="IBA34" s="122"/>
      <c r="IBB34" s="122"/>
      <c r="IBC34" s="122"/>
      <c r="IBD34" s="122"/>
      <c r="IBE34" s="122"/>
      <c r="IBF34" s="122"/>
      <c r="IBG34" s="122"/>
      <c r="IBH34" s="122"/>
      <c r="IBI34" s="122"/>
      <c r="IBJ34" s="122"/>
      <c r="IBK34" s="122"/>
      <c r="IBL34" s="122"/>
      <c r="IBM34" s="122"/>
      <c r="IBN34" s="122"/>
      <c r="IBO34" s="122"/>
      <c r="IBP34" s="122"/>
      <c r="IBQ34" s="122"/>
      <c r="IBR34" s="122"/>
      <c r="IBS34" s="122"/>
      <c r="IBT34" s="122"/>
      <c r="IBU34" s="122"/>
      <c r="IBV34" s="122"/>
      <c r="IBW34" s="122"/>
      <c r="IBX34" s="122"/>
      <c r="IBY34" s="122"/>
      <c r="IBZ34" s="122"/>
      <c r="ICA34" s="122"/>
      <c r="ICB34" s="122"/>
      <c r="ICC34" s="122"/>
      <c r="ICD34" s="122"/>
      <c r="ICE34" s="122"/>
      <c r="ICF34" s="122"/>
      <c r="ICG34" s="122"/>
      <c r="ICH34" s="122"/>
      <c r="ICI34" s="122"/>
      <c r="ICJ34" s="122"/>
      <c r="ICK34" s="122"/>
      <c r="ICL34" s="122"/>
      <c r="ICM34" s="122"/>
      <c r="ICN34" s="122"/>
      <c r="ICO34" s="122"/>
      <c r="ICP34" s="122"/>
      <c r="ICQ34" s="122"/>
      <c r="ICR34" s="122"/>
      <c r="ICS34" s="122"/>
      <c r="ICT34" s="122"/>
      <c r="ICU34" s="122"/>
      <c r="ICV34" s="122"/>
      <c r="ICW34" s="122"/>
      <c r="ICX34" s="122"/>
      <c r="ICY34" s="122"/>
      <c r="ICZ34" s="122"/>
      <c r="IDA34" s="122"/>
      <c r="IDB34" s="122"/>
      <c r="IDC34" s="122"/>
      <c r="IDD34" s="122"/>
      <c r="IDE34" s="122"/>
      <c r="IDF34" s="122"/>
      <c r="IDG34" s="122"/>
      <c r="IDH34" s="122"/>
      <c r="IDI34" s="122"/>
      <c r="IDJ34" s="122"/>
      <c r="IDK34" s="122"/>
      <c r="IDL34" s="122"/>
      <c r="IDM34" s="122"/>
      <c r="IDN34" s="122"/>
      <c r="IDO34" s="122"/>
      <c r="IDP34" s="122"/>
      <c r="IDQ34" s="122"/>
      <c r="IDR34" s="122"/>
      <c r="IDS34" s="122"/>
      <c r="IDT34" s="122"/>
      <c r="IDU34" s="122"/>
      <c r="IDV34" s="122"/>
      <c r="IDW34" s="122"/>
      <c r="IDX34" s="122"/>
      <c r="IDY34" s="122"/>
      <c r="IDZ34" s="122"/>
      <c r="IEA34" s="122"/>
      <c r="IEB34" s="122"/>
      <c r="IEC34" s="122"/>
      <c r="IED34" s="122"/>
      <c r="IEE34" s="122"/>
      <c r="IEF34" s="122"/>
      <c r="IEG34" s="122"/>
      <c r="IEH34" s="122"/>
      <c r="IEI34" s="122"/>
      <c r="IEJ34" s="122"/>
      <c r="IEK34" s="122"/>
      <c r="IEL34" s="122"/>
      <c r="IEM34" s="122"/>
      <c r="IEN34" s="122"/>
      <c r="IEO34" s="122"/>
      <c r="IEP34" s="122"/>
      <c r="IEQ34" s="122"/>
      <c r="IER34" s="122"/>
      <c r="IES34" s="122"/>
      <c r="IET34" s="122"/>
      <c r="IEU34" s="122"/>
      <c r="IEV34" s="122"/>
      <c r="IEW34" s="122"/>
      <c r="IEX34" s="122"/>
      <c r="IEY34" s="122"/>
      <c r="IEZ34" s="122"/>
      <c r="IFA34" s="122"/>
      <c r="IFB34" s="122"/>
      <c r="IFC34" s="122"/>
      <c r="IFD34" s="122"/>
      <c r="IFE34" s="122"/>
      <c r="IFF34" s="122"/>
      <c r="IFG34" s="122"/>
      <c r="IFH34" s="122"/>
      <c r="IFI34" s="122"/>
      <c r="IFJ34" s="122"/>
      <c r="IFK34" s="122"/>
      <c r="IFL34" s="122"/>
      <c r="IFM34" s="122"/>
      <c r="IFN34" s="122"/>
      <c r="IFO34" s="122"/>
      <c r="IFP34" s="122"/>
      <c r="IFQ34" s="122"/>
      <c r="IFR34" s="122"/>
      <c r="IFS34" s="122"/>
      <c r="IFT34" s="122"/>
      <c r="IFU34" s="122"/>
      <c r="IFV34" s="122"/>
      <c r="IFW34" s="122"/>
      <c r="IFX34" s="122"/>
      <c r="IFY34" s="122"/>
      <c r="IFZ34" s="122"/>
      <c r="IGA34" s="122"/>
      <c r="IGB34" s="122"/>
      <c r="IGC34" s="122"/>
      <c r="IGD34" s="122"/>
      <c r="IGE34" s="122"/>
      <c r="IGF34" s="122"/>
      <c r="IGG34" s="122"/>
      <c r="IGH34" s="122"/>
      <c r="IGI34" s="122"/>
      <c r="IGJ34" s="122"/>
      <c r="IGK34" s="122"/>
      <c r="IGL34" s="122"/>
      <c r="IGM34" s="122"/>
      <c r="IGN34" s="122"/>
      <c r="IGO34" s="122"/>
      <c r="IGP34" s="122"/>
      <c r="IGQ34" s="122"/>
      <c r="IGR34" s="122"/>
      <c r="IGS34" s="122"/>
      <c r="IGT34" s="122"/>
      <c r="IGU34" s="122"/>
      <c r="IGV34" s="122"/>
      <c r="IGW34" s="122"/>
      <c r="IGX34" s="122"/>
      <c r="IGY34" s="122"/>
      <c r="IGZ34" s="122"/>
      <c r="IHA34" s="122"/>
      <c r="IHB34" s="122"/>
      <c r="IHC34" s="122"/>
      <c r="IHD34" s="122"/>
      <c r="IHE34" s="122"/>
      <c r="IHF34" s="122"/>
      <c r="IHG34" s="122"/>
      <c r="IHH34" s="122"/>
      <c r="IHI34" s="122"/>
      <c r="IHJ34" s="122"/>
      <c r="IHK34" s="122"/>
      <c r="IHL34" s="122"/>
      <c r="IHM34" s="122"/>
      <c r="IHN34" s="122"/>
      <c r="IHO34" s="122"/>
      <c r="IHP34" s="122"/>
      <c r="IHQ34" s="122"/>
      <c r="IHR34" s="122"/>
      <c r="IHS34" s="122"/>
      <c r="IHT34" s="122"/>
      <c r="IHU34" s="122"/>
      <c r="IHV34" s="122"/>
      <c r="IHW34" s="122"/>
      <c r="IHX34" s="122"/>
      <c r="IHY34" s="122"/>
      <c r="IHZ34" s="122"/>
      <c r="IIA34" s="122"/>
      <c r="IIB34" s="122"/>
      <c r="IIC34" s="122"/>
      <c r="IID34" s="122"/>
      <c r="IIE34" s="122"/>
      <c r="IIF34" s="122"/>
      <c r="IIG34" s="122"/>
      <c r="IIH34" s="122"/>
      <c r="III34" s="122"/>
      <c r="IIJ34" s="122"/>
      <c r="IIK34" s="122"/>
      <c r="IIL34" s="122"/>
      <c r="IIM34" s="122"/>
      <c r="IIN34" s="122"/>
      <c r="IIO34" s="122"/>
      <c r="IIP34" s="122"/>
      <c r="IIQ34" s="122"/>
      <c r="IIR34" s="122"/>
      <c r="IIS34" s="122"/>
      <c r="IIT34" s="122"/>
      <c r="IIU34" s="122"/>
      <c r="IIV34" s="122"/>
      <c r="IIW34" s="122"/>
      <c r="IIX34" s="122"/>
      <c r="IIY34" s="122"/>
      <c r="IIZ34" s="122"/>
      <c r="IJA34" s="122"/>
      <c r="IJB34" s="122"/>
      <c r="IJC34" s="122"/>
      <c r="IJD34" s="122"/>
      <c r="IJE34" s="122"/>
      <c r="IJF34" s="122"/>
      <c r="IJG34" s="122"/>
      <c r="IJH34" s="122"/>
      <c r="IJI34" s="122"/>
      <c r="IJJ34" s="122"/>
      <c r="IJK34" s="122"/>
      <c r="IJL34" s="122"/>
      <c r="IJM34" s="122"/>
      <c r="IJN34" s="122"/>
      <c r="IJO34" s="122"/>
      <c r="IJP34" s="122"/>
      <c r="IJQ34" s="122"/>
      <c r="IJR34" s="122"/>
      <c r="IJS34" s="122"/>
      <c r="IJT34" s="122"/>
      <c r="IJU34" s="122"/>
      <c r="IJV34" s="122"/>
      <c r="IJW34" s="122"/>
      <c r="IJX34" s="122"/>
      <c r="IJY34" s="122"/>
      <c r="IJZ34" s="122"/>
      <c r="IKA34" s="122"/>
      <c r="IKB34" s="122"/>
      <c r="IKC34" s="122"/>
      <c r="IKD34" s="122"/>
      <c r="IKE34" s="122"/>
      <c r="IKF34" s="122"/>
      <c r="IKG34" s="122"/>
      <c r="IKH34" s="122"/>
      <c r="IKI34" s="122"/>
      <c r="IKJ34" s="122"/>
      <c r="IKK34" s="122"/>
      <c r="IKL34" s="122"/>
      <c r="IKM34" s="122"/>
      <c r="IKN34" s="122"/>
      <c r="IKO34" s="122"/>
      <c r="IKP34" s="122"/>
      <c r="IKQ34" s="122"/>
      <c r="IKR34" s="122"/>
      <c r="IKS34" s="122"/>
      <c r="IKT34" s="122"/>
      <c r="IKU34" s="122"/>
      <c r="IKV34" s="122"/>
      <c r="IKW34" s="122"/>
      <c r="IKX34" s="122"/>
      <c r="IKY34" s="122"/>
      <c r="IKZ34" s="122"/>
      <c r="ILA34" s="122"/>
      <c r="ILB34" s="122"/>
      <c r="ILC34" s="122"/>
      <c r="ILD34" s="122"/>
      <c r="ILE34" s="122"/>
      <c r="ILF34" s="122"/>
      <c r="ILG34" s="122"/>
      <c r="ILH34" s="122"/>
      <c r="ILI34" s="122"/>
      <c r="ILJ34" s="122"/>
      <c r="ILK34" s="122"/>
      <c r="ILL34" s="122"/>
      <c r="ILM34" s="122"/>
      <c r="ILN34" s="122"/>
      <c r="ILO34" s="122"/>
      <c r="ILP34" s="122"/>
      <c r="ILQ34" s="122"/>
      <c r="ILR34" s="122"/>
      <c r="ILS34" s="122"/>
      <c r="ILT34" s="122"/>
      <c r="ILU34" s="122"/>
      <c r="ILV34" s="122"/>
      <c r="ILW34" s="122"/>
      <c r="ILX34" s="122"/>
      <c r="ILY34" s="122"/>
      <c r="ILZ34" s="122"/>
      <c r="IMA34" s="122"/>
      <c r="IMB34" s="122"/>
      <c r="IMC34" s="122"/>
      <c r="IMD34" s="122"/>
      <c r="IME34" s="122"/>
      <c r="IMF34" s="122"/>
      <c r="IMG34" s="122"/>
      <c r="IMH34" s="122"/>
      <c r="IMI34" s="122"/>
      <c r="IMJ34" s="122"/>
      <c r="IMK34" s="122"/>
      <c r="IML34" s="122"/>
      <c r="IMM34" s="122"/>
      <c r="IMN34" s="122"/>
      <c r="IMO34" s="122"/>
      <c r="IMP34" s="122"/>
      <c r="IMQ34" s="122"/>
      <c r="IMR34" s="122"/>
      <c r="IMS34" s="122"/>
      <c r="IMT34" s="122"/>
      <c r="IMU34" s="122"/>
      <c r="IMV34" s="122"/>
      <c r="IMW34" s="122"/>
      <c r="IMX34" s="122"/>
      <c r="IMY34" s="122"/>
      <c r="IMZ34" s="122"/>
      <c r="INA34" s="122"/>
      <c r="INB34" s="122"/>
      <c r="INC34" s="122"/>
      <c r="IND34" s="122"/>
      <c r="INE34" s="122"/>
      <c r="INF34" s="122"/>
      <c r="ING34" s="122"/>
      <c r="INH34" s="122"/>
      <c r="INI34" s="122"/>
      <c r="INJ34" s="122"/>
      <c r="INK34" s="122"/>
      <c r="INL34" s="122"/>
      <c r="INM34" s="122"/>
      <c r="INN34" s="122"/>
      <c r="INO34" s="122"/>
      <c r="INP34" s="122"/>
      <c r="INQ34" s="122"/>
      <c r="INR34" s="122"/>
      <c r="INS34" s="122"/>
      <c r="INT34" s="122"/>
      <c r="INU34" s="122"/>
      <c r="INV34" s="122"/>
      <c r="INW34" s="122"/>
      <c r="INX34" s="122"/>
      <c r="INY34" s="122"/>
      <c r="INZ34" s="122"/>
      <c r="IOA34" s="122"/>
      <c r="IOB34" s="122"/>
      <c r="IOC34" s="122"/>
      <c r="IOD34" s="122"/>
      <c r="IOE34" s="122"/>
      <c r="IOF34" s="122"/>
      <c r="IOG34" s="122"/>
      <c r="IOH34" s="122"/>
      <c r="IOI34" s="122"/>
      <c r="IOJ34" s="122"/>
      <c r="IOK34" s="122"/>
      <c r="IOL34" s="122"/>
      <c r="IOM34" s="122"/>
      <c r="ION34" s="122"/>
      <c r="IOO34" s="122"/>
      <c r="IOP34" s="122"/>
      <c r="IOQ34" s="122"/>
      <c r="IOR34" s="122"/>
      <c r="IOS34" s="122"/>
      <c r="IOT34" s="122"/>
      <c r="IOU34" s="122"/>
      <c r="IOV34" s="122"/>
      <c r="IOW34" s="122"/>
      <c r="IOX34" s="122"/>
      <c r="IOY34" s="122"/>
      <c r="IOZ34" s="122"/>
      <c r="IPA34" s="122"/>
      <c r="IPB34" s="122"/>
      <c r="IPC34" s="122"/>
      <c r="IPD34" s="122"/>
      <c r="IPE34" s="122"/>
      <c r="IPF34" s="122"/>
      <c r="IPG34" s="122"/>
      <c r="IPH34" s="122"/>
      <c r="IPI34" s="122"/>
      <c r="IPJ34" s="122"/>
      <c r="IPK34" s="122"/>
      <c r="IPL34" s="122"/>
      <c r="IPM34" s="122"/>
      <c r="IPN34" s="122"/>
      <c r="IPO34" s="122"/>
      <c r="IPP34" s="122"/>
      <c r="IPQ34" s="122"/>
      <c r="IPR34" s="122"/>
      <c r="IPS34" s="122"/>
      <c r="IPT34" s="122"/>
      <c r="IPU34" s="122"/>
      <c r="IPV34" s="122"/>
      <c r="IPW34" s="122"/>
      <c r="IPX34" s="122"/>
      <c r="IPY34" s="122"/>
      <c r="IPZ34" s="122"/>
      <c r="IQA34" s="122"/>
      <c r="IQB34" s="122"/>
      <c r="IQC34" s="122"/>
      <c r="IQD34" s="122"/>
      <c r="IQE34" s="122"/>
      <c r="IQF34" s="122"/>
      <c r="IQG34" s="122"/>
      <c r="IQH34" s="122"/>
      <c r="IQI34" s="122"/>
      <c r="IQJ34" s="122"/>
      <c r="IQK34" s="122"/>
      <c r="IQL34" s="122"/>
      <c r="IQM34" s="122"/>
      <c r="IQN34" s="122"/>
      <c r="IQO34" s="122"/>
      <c r="IQP34" s="122"/>
      <c r="IQQ34" s="122"/>
      <c r="IQR34" s="122"/>
      <c r="IQS34" s="122"/>
      <c r="IQT34" s="122"/>
      <c r="IQU34" s="122"/>
      <c r="IQV34" s="122"/>
      <c r="IQW34" s="122"/>
      <c r="IQX34" s="122"/>
      <c r="IQY34" s="122"/>
      <c r="IQZ34" s="122"/>
      <c r="IRA34" s="122"/>
      <c r="IRB34" s="122"/>
      <c r="IRC34" s="122"/>
      <c r="IRD34" s="122"/>
      <c r="IRE34" s="122"/>
      <c r="IRF34" s="122"/>
      <c r="IRG34" s="122"/>
      <c r="IRH34" s="122"/>
      <c r="IRI34" s="122"/>
      <c r="IRJ34" s="122"/>
      <c r="IRK34" s="122"/>
      <c r="IRL34" s="122"/>
      <c r="IRM34" s="122"/>
      <c r="IRN34" s="122"/>
      <c r="IRO34" s="122"/>
      <c r="IRP34" s="122"/>
      <c r="IRQ34" s="122"/>
      <c r="IRR34" s="122"/>
      <c r="IRS34" s="122"/>
      <c r="IRT34" s="122"/>
      <c r="IRU34" s="122"/>
      <c r="IRV34" s="122"/>
      <c r="IRW34" s="122"/>
      <c r="IRX34" s="122"/>
      <c r="IRY34" s="122"/>
      <c r="IRZ34" s="122"/>
      <c r="ISA34" s="122"/>
      <c r="ISB34" s="122"/>
      <c r="ISC34" s="122"/>
      <c r="ISD34" s="122"/>
      <c r="ISE34" s="122"/>
      <c r="ISF34" s="122"/>
      <c r="ISG34" s="122"/>
      <c r="ISH34" s="122"/>
      <c r="ISI34" s="122"/>
      <c r="ISJ34" s="122"/>
      <c r="ISK34" s="122"/>
      <c r="ISL34" s="122"/>
      <c r="ISM34" s="122"/>
      <c r="ISN34" s="122"/>
      <c r="ISO34" s="122"/>
      <c r="ISP34" s="122"/>
      <c r="ISQ34" s="122"/>
      <c r="ISR34" s="122"/>
      <c r="ISS34" s="122"/>
      <c r="IST34" s="122"/>
      <c r="ISU34" s="122"/>
      <c r="ISV34" s="122"/>
      <c r="ISW34" s="122"/>
      <c r="ISX34" s="122"/>
      <c r="ISY34" s="122"/>
      <c r="ISZ34" s="122"/>
      <c r="ITA34" s="122"/>
      <c r="ITB34" s="122"/>
      <c r="ITC34" s="122"/>
      <c r="ITD34" s="122"/>
      <c r="ITE34" s="122"/>
      <c r="ITF34" s="122"/>
      <c r="ITG34" s="122"/>
      <c r="ITH34" s="122"/>
      <c r="ITI34" s="122"/>
      <c r="ITJ34" s="122"/>
      <c r="ITK34" s="122"/>
      <c r="ITL34" s="122"/>
      <c r="ITM34" s="122"/>
      <c r="ITN34" s="122"/>
      <c r="ITO34" s="122"/>
      <c r="ITP34" s="122"/>
      <c r="ITQ34" s="122"/>
      <c r="ITR34" s="122"/>
      <c r="ITS34" s="122"/>
      <c r="ITT34" s="122"/>
      <c r="ITU34" s="122"/>
      <c r="ITV34" s="122"/>
      <c r="ITW34" s="122"/>
      <c r="ITX34" s="122"/>
      <c r="ITY34" s="122"/>
      <c r="ITZ34" s="122"/>
      <c r="IUA34" s="122"/>
      <c r="IUB34" s="122"/>
      <c r="IUC34" s="122"/>
      <c r="IUD34" s="122"/>
      <c r="IUE34" s="122"/>
      <c r="IUF34" s="122"/>
      <c r="IUG34" s="122"/>
      <c r="IUH34" s="122"/>
      <c r="IUI34" s="122"/>
      <c r="IUJ34" s="122"/>
      <c r="IUK34" s="122"/>
      <c r="IUL34" s="122"/>
      <c r="IUM34" s="122"/>
      <c r="IUN34" s="122"/>
      <c r="IUO34" s="122"/>
      <c r="IUP34" s="122"/>
      <c r="IUQ34" s="122"/>
      <c r="IUR34" s="122"/>
      <c r="IUS34" s="122"/>
      <c r="IUT34" s="122"/>
      <c r="IUU34" s="122"/>
      <c r="IUV34" s="122"/>
      <c r="IUW34" s="122"/>
      <c r="IUX34" s="122"/>
      <c r="IUY34" s="122"/>
      <c r="IUZ34" s="122"/>
      <c r="IVA34" s="122"/>
      <c r="IVB34" s="122"/>
      <c r="IVC34" s="122"/>
      <c r="IVD34" s="122"/>
      <c r="IVE34" s="122"/>
      <c r="IVF34" s="122"/>
      <c r="IVG34" s="122"/>
      <c r="IVH34" s="122"/>
      <c r="IVI34" s="122"/>
      <c r="IVJ34" s="122"/>
      <c r="IVK34" s="122"/>
      <c r="IVL34" s="122"/>
      <c r="IVM34" s="122"/>
      <c r="IVN34" s="122"/>
      <c r="IVO34" s="122"/>
      <c r="IVP34" s="122"/>
      <c r="IVQ34" s="122"/>
      <c r="IVR34" s="122"/>
      <c r="IVS34" s="122"/>
      <c r="IVT34" s="122"/>
      <c r="IVU34" s="122"/>
      <c r="IVV34" s="122"/>
      <c r="IVW34" s="122"/>
      <c r="IVX34" s="122"/>
      <c r="IVY34" s="122"/>
      <c r="IVZ34" s="122"/>
      <c r="IWA34" s="122"/>
      <c r="IWB34" s="122"/>
      <c r="IWC34" s="122"/>
      <c r="IWD34" s="122"/>
      <c r="IWE34" s="122"/>
      <c r="IWF34" s="122"/>
      <c r="IWG34" s="122"/>
      <c r="IWH34" s="122"/>
      <c r="IWI34" s="122"/>
      <c r="IWJ34" s="122"/>
      <c r="IWK34" s="122"/>
      <c r="IWL34" s="122"/>
      <c r="IWM34" s="122"/>
      <c r="IWN34" s="122"/>
      <c r="IWO34" s="122"/>
      <c r="IWP34" s="122"/>
      <c r="IWQ34" s="122"/>
      <c r="IWR34" s="122"/>
      <c r="IWS34" s="122"/>
      <c r="IWT34" s="122"/>
      <c r="IWU34" s="122"/>
      <c r="IWV34" s="122"/>
      <c r="IWW34" s="122"/>
      <c r="IWX34" s="122"/>
      <c r="IWY34" s="122"/>
      <c r="IWZ34" s="122"/>
      <c r="IXA34" s="122"/>
      <c r="IXB34" s="122"/>
      <c r="IXC34" s="122"/>
      <c r="IXD34" s="122"/>
      <c r="IXE34" s="122"/>
      <c r="IXF34" s="122"/>
      <c r="IXG34" s="122"/>
      <c r="IXH34" s="122"/>
      <c r="IXI34" s="122"/>
      <c r="IXJ34" s="122"/>
      <c r="IXK34" s="122"/>
      <c r="IXL34" s="122"/>
      <c r="IXM34" s="122"/>
      <c r="IXN34" s="122"/>
      <c r="IXO34" s="122"/>
      <c r="IXP34" s="122"/>
      <c r="IXQ34" s="122"/>
      <c r="IXR34" s="122"/>
      <c r="IXS34" s="122"/>
      <c r="IXT34" s="122"/>
      <c r="IXU34" s="122"/>
      <c r="IXV34" s="122"/>
      <c r="IXW34" s="122"/>
      <c r="IXX34" s="122"/>
      <c r="IXY34" s="122"/>
      <c r="IXZ34" s="122"/>
      <c r="IYA34" s="122"/>
      <c r="IYB34" s="122"/>
      <c r="IYC34" s="122"/>
      <c r="IYD34" s="122"/>
      <c r="IYE34" s="122"/>
      <c r="IYF34" s="122"/>
      <c r="IYG34" s="122"/>
      <c r="IYH34" s="122"/>
      <c r="IYI34" s="122"/>
      <c r="IYJ34" s="122"/>
      <c r="IYK34" s="122"/>
      <c r="IYL34" s="122"/>
      <c r="IYM34" s="122"/>
      <c r="IYN34" s="122"/>
      <c r="IYO34" s="122"/>
      <c r="IYP34" s="122"/>
      <c r="IYQ34" s="122"/>
      <c r="IYR34" s="122"/>
      <c r="IYS34" s="122"/>
      <c r="IYT34" s="122"/>
      <c r="IYU34" s="122"/>
      <c r="IYV34" s="122"/>
      <c r="IYW34" s="122"/>
      <c r="IYX34" s="122"/>
      <c r="IYY34" s="122"/>
      <c r="IYZ34" s="122"/>
      <c r="IZA34" s="122"/>
      <c r="IZB34" s="122"/>
      <c r="IZC34" s="122"/>
      <c r="IZD34" s="122"/>
      <c r="IZE34" s="122"/>
      <c r="IZF34" s="122"/>
      <c r="IZG34" s="122"/>
      <c r="IZH34" s="122"/>
      <c r="IZI34" s="122"/>
      <c r="IZJ34" s="122"/>
      <c r="IZK34" s="122"/>
      <c r="IZL34" s="122"/>
      <c r="IZM34" s="122"/>
      <c r="IZN34" s="122"/>
      <c r="IZO34" s="122"/>
      <c r="IZP34" s="122"/>
      <c r="IZQ34" s="122"/>
      <c r="IZR34" s="122"/>
      <c r="IZS34" s="122"/>
      <c r="IZT34" s="122"/>
      <c r="IZU34" s="122"/>
      <c r="IZV34" s="122"/>
      <c r="IZW34" s="122"/>
      <c r="IZX34" s="122"/>
      <c r="IZY34" s="122"/>
      <c r="IZZ34" s="122"/>
      <c r="JAA34" s="122"/>
      <c r="JAB34" s="122"/>
      <c r="JAC34" s="122"/>
      <c r="JAD34" s="122"/>
      <c r="JAE34" s="122"/>
      <c r="JAF34" s="122"/>
      <c r="JAG34" s="122"/>
      <c r="JAH34" s="122"/>
      <c r="JAI34" s="122"/>
      <c r="JAJ34" s="122"/>
      <c r="JAK34" s="122"/>
      <c r="JAL34" s="122"/>
      <c r="JAM34" s="122"/>
      <c r="JAN34" s="122"/>
      <c r="JAO34" s="122"/>
      <c r="JAP34" s="122"/>
      <c r="JAQ34" s="122"/>
      <c r="JAR34" s="122"/>
      <c r="JAS34" s="122"/>
      <c r="JAT34" s="122"/>
      <c r="JAU34" s="122"/>
      <c r="JAV34" s="122"/>
      <c r="JAW34" s="122"/>
      <c r="JAX34" s="122"/>
      <c r="JAY34" s="122"/>
      <c r="JAZ34" s="122"/>
      <c r="JBA34" s="122"/>
      <c r="JBB34" s="122"/>
      <c r="JBC34" s="122"/>
      <c r="JBD34" s="122"/>
      <c r="JBE34" s="122"/>
      <c r="JBF34" s="122"/>
      <c r="JBG34" s="122"/>
      <c r="JBH34" s="122"/>
      <c r="JBI34" s="122"/>
      <c r="JBJ34" s="122"/>
      <c r="JBK34" s="122"/>
      <c r="JBL34" s="122"/>
      <c r="JBM34" s="122"/>
      <c r="JBN34" s="122"/>
      <c r="JBO34" s="122"/>
      <c r="JBP34" s="122"/>
      <c r="JBQ34" s="122"/>
      <c r="JBR34" s="122"/>
      <c r="JBS34" s="122"/>
      <c r="JBT34" s="122"/>
      <c r="JBU34" s="122"/>
      <c r="JBV34" s="122"/>
      <c r="JBW34" s="122"/>
      <c r="JBX34" s="122"/>
      <c r="JBY34" s="122"/>
      <c r="JBZ34" s="122"/>
      <c r="JCA34" s="122"/>
      <c r="JCB34" s="122"/>
      <c r="JCC34" s="122"/>
      <c r="JCD34" s="122"/>
      <c r="JCE34" s="122"/>
      <c r="JCF34" s="122"/>
      <c r="JCG34" s="122"/>
      <c r="JCH34" s="122"/>
      <c r="JCI34" s="122"/>
      <c r="JCJ34" s="122"/>
      <c r="JCK34" s="122"/>
      <c r="JCL34" s="122"/>
      <c r="JCM34" s="122"/>
      <c r="JCN34" s="122"/>
      <c r="JCO34" s="122"/>
      <c r="JCP34" s="122"/>
      <c r="JCQ34" s="122"/>
      <c r="JCR34" s="122"/>
      <c r="JCS34" s="122"/>
      <c r="JCT34" s="122"/>
      <c r="JCU34" s="122"/>
      <c r="JCV34" s="122"/>
      <c r="JCW34" s="122"/>
      <c r="JCX34" s="122"/>
      <c r="JCY34" s="122"/>
      <c r="JCZ34" s="122"/>
      <c r="JDA34" s="122"/>
      <c r="JDB34" s="122"/>
      <c r="JDC34" s="122"/>
      <c r="JDD34" s="122"/>
      <c r="JDE34" s="122"/>
      <c r="JDF34" s="122"/>
      <c r="JDG34" s="122"/>
      <c r="JDH34" s="122"/>
      <c r="JDI34" s="122"/>
      <c r="JDJ34" s="122"/>
      <c r="JDK34" s="122"/>
      <c r="JDL34" s="122"/>
      <c r="JDM34" s="122"/>
      <c r="JDN34" s="122"/>
      <c r="JDO34" s="122"/>
      <c r="JDP34" s="122"/>
      <c r="JDQ34" s="122"/>
      <c r="JDR34" s="122"/>
      <c r="JDS34" s="122"/>
      <c r="JDT34" s="122"/>
      <c r="JDU34" s="122"/>
      <c r="JDV34" s="122"/>
      <c r="JDW34" s="122"/>
      <c r="JDX34" s="122"/>
      <c r="JDY34" s="122"/>
      <c r="JDZ34" s="122"/>
      <c r="JEA34" s="122"/>
      <c r="JEB34" s="122"/>
      <c r="JEC34" s="122"/>
      <c r="JED34" s="122"/>
      <c r="JEE34" s="122"/>
      <c r="JEF34" s="122"/>
      <c r="JEG34" s="122"/>
      <c r="JEH34" s="122"/>
      <c r="JEI34" s="122"/>
      <c r="JEJ34" s="122"/>
      <c r="JEK34" s="122"/>
      <c r="JEL34" s="122"/>
      <c r="JEM34" s="122"/>
      <c r="JEN34" s="122"/>
      <c r="JEO34" s="122"/>
      <c r="JEP34" s="122"/>
      <c r="JEQ34" s="122"/>
      <c r="JER34" s="122"/>
      <c r="JES34" s="122"/>
      <c r="JET34" s="122"/>
      <c r="JEU34" s="122"/>
      <c r="JEV34" s="122"/>
      <c r="JEW34" s="122"/>
      <c r="JEX34" s="122"/>
      <c r="JEY34" s="122"/>
      <c r="JEZ34" s="122"/>
      <c r="JFA34" s="122"/>
      <c r="JFB34" s="122"/>
      <c r="JFC34" s="122"/>
      <c r="JFD34" s="122"/>
      <c r="JFE34" s="122"/>
      <c r="JFF34" s="122"/>
      <c r="JFG34" s="122"/>
      <c r="JFH34" s="122"/>
      <c r="JFI34" s="122"/>
      <c r="JFJ34" s="122"/>
      <c r="JFK34" s="122"/>
      <c r="JFL34" s="122"/>
      <c r="JFM34" s="122"/>
      <c r="JFN34" s="122"/>
      <c r="JFO34" s="122"/>
      <c r="JFP34" s="122"/>
      <c r="JFQ34" s="122"/>
      <c r="JFR34" s="122"/>
      <c r="JFS34" s="122"/>
      <c r="JFT34" s="122"/>
      <c r="JFU34" s="122"/>
      <c r="JFV34" s="122"/>
      <c r="JFW34" s="122"/>
      <c r="JFX34" s="122"/>
      <c r="JFY34" s="122"/>
      <c r="JFZ34" s="122"/>
      <c r="JGA34" s="122"/>
      <c r="JGB34" s="122"/>
      <c r="JGC34" s="122"/>
      <c r="JGD34" s="122"/>
      <c r="JGE34" s="122"/>
      <c r="JGF34" s="122"/>
      <c r="JGG34" s="122"/>
      <c r="JGH34" s="122"/>
      <c r="JGI34" s="122"/>
      <c r="JGJ34" s="122"/>
      <c r="JGK34" s="122"/>
      <c r="JGL34" s="122"/>
      <c r="JGM34" s="122"/>
      <c r="JGN34" s="122"/>
      <c r="JGO34" s="122"/>
      <c r="JGP34" s="122"/>
      <c r="JGQ34" s="122"/>
      <c r="JGR34" s="122"/>
      <c r="JGS34" s="122"/>
      <c r="JGT34" s="122"/>
      <c r="JGU34" s="122"/>
      <c r="JGV34" s="122"/>
      <c r="JGW34" s="122"/>
      <c r="JGX34" s="122"/>
      <c r="JGY34" s="122"/>
      <c r="JGZ34" s="122"/>
      <c r="JHA34" s="122"/>
      <c r="JHB34" s="122"/>
      <c r="JHC34" s="122"/>
      <c r="JHD34" s="122"/>
      <c r="JHE34" s="122"/>
      <c r="JHF34" s="122"/>
      <c r="JHG34" s="122"/>
      <c r="JHH34" s="122"/>
      <c r="JHI34" s="122"/>
      <c r="JHJ34" s="122"/>
      <c r="JHK34" s="122"/>
      <c r="JHL34" s="122"/>
      <c r="JHM34" s="122"/>
      <c r="JHN34" s="122"/>
      <c r="JHO34" s="122"/>
      <c r="JHP34" s="122"/>
      <c r="JHQ34" s="122"/>
      <c r="JHR34" s="122"/>
      <c r="JHS34" s="122"/>
      <c r="JHT34" s="122"/>
      <c r="JHU34" s="122"/>
      <c r="JHV34" s="122"/>
      <c r="JHW34" s="122"/>
      <c r="JHX34" s="122"/>
      <c r="JHY34" s="122"/>
      <c r="JHZ34" s="122"/>
      <c r="JIA34" s="122"/>
      <c r="JIB34" s="122"/>
      <c r="JIC34" s="122"/>
      <c r="JID34" s="122"/>
      <c r="JIE34" s="122"/>
      <c r="JIF34" s="122"/>
      <c r="JIG34" s="122"/>
      <c r="JIH34" s="122"/>
      <c r="JII34" s="122"/>
      <c r="JIJ34" s="122"/>
      <c r="JIK34" s="122"/>
      <c r="JIL34" s="122"/>
      <c r="JIM34" s="122"/>
      <c r="JIN34" s="122"/>
      <c r="JIO34" s="122"/>
      <c r="JIP34" s="122"/>
      <c r="JIQ34" s="122"/>
      <c r="JIR34" s="122"/>
      <c r="JIS34" s="122"/>
      <c r="JIT34" s="122"/>
      <c r="JIU34" s="122"/>
      <c r="JIV34" s="122"/>
      <c r="JIW34" s="122"/>
      <c r="JIX34" s="122"/>
      <c r="JIY34" s="122"/>
      <c r="JIZ34" s="122"/>
      <c r="JJA34" s="122"/>
      <c r="JJB34" s="122"/>
      <c r="JJC34" s="122"/>
      <c r="JJD34" s="122"/>
      <c r="JJE34" s="122"/>
      <c r="JJF34" s="122"/>
      <c r="JJG34" s="122"/>
      <c r="JJH34" s="122"/>
      <c r="JJI34" s="122"/>
      <c r="JJJ34" s="122"/>
      <c r="JJK34" s="122"/>
      <c r="JJL34" s="122"/>
      <c r="JJM34" s="122"/>
      <c r="JJN34" s="122"/>
      <c r="JJO34" s="122"/>
      <c r="JJP34" s="122"/>
      <c r="JJQ34" s="122"/>
      <c r="JJR34" s="122"/>
      <c r="JJS34" s="122"/>
      <c r="JJT34" s="122"/>
      <c r="JJU34" s="122"/>
      <c r="JJV34" s="122"/>
      <c r="JJW34" s="122"/>
      <c r="JJX34" s="122"/>
      <c r="JJY34" s="122"/>
      <c r="JJZ34" s="122"/>
      <c r="JKA34" s="122"/>
      <c r="JKB34" s="122"/>
      <c r="JKC34" s="122"/>
      <c r="JKD34" s="122"/>
      <c r="JKE34" s="122"/>
      <c r="JKF34" s="122"/>
      <c r="JKG34" s="122"/>
      <c r="JKH34" s="122"/>
      <c r="JKI34" s="122"/>
      <c r="JKJ34" s="122"/>
      <c r="JKK34" s="122"/>
      <c r="JKL34" s="122"/>
      <c r="JKM34" s="122"/>
      <c r="JKN34" s="122"/>
      <c r="JKO34" s="122"/>
      <c r="JKP34" s="122"/>
      <c r="JKQ34" s="122"/>
      <c r="JKR34" s="122"/>
      <c r="JKS34" s="122"/>
      <c r="JKT34" s="122"/>
      <c r="JKU34" s="122"/>
      <c r="JKV34" s="122"/>
      <c r="JKW34" s="122"/>
      <c r="JKX34" s="122"/>
      <c r="JKY34" s="122"/>
      <c r="JKZ34" s="122"/>
      <c r="JLA34" s="122"/>
      <c r="JLB34" s="122"/>
      <c r="JLC34" s="122"/>
      <c r="JLD34" s="122"/>
      <c r="JLE34" s="122"/>
      <c r="JLF34" s="122"/>
      <c r="JLG34" s="122"/>
      <c r="JLH34" s="122"/>
      <c r="JLI34" s="122"/>
      <c r="JLJ34" s="122"/>
      <c r="JLK34" s="122"/>
      <c r="JLL34" s="122"/>
      <c r="JLM34" s="122"/>
      <c r="JLN34" s="122"/>
      <c r="JLO34" s="122"/>
      <c r="JLP34" s="122"/>
      <c r="JLQ34" s="122"/>
      <c r="JLR34" s="122"/>
      <c r="JLS34" s="122"/>
      <c r="JLT34" s="122"/>
      <c r="JLU34" s="122"/>
      <c r="JLV34" s="122"/>
      <c r="JLW34" s="122"/>
      <c r="JLX34" s="122"/>
      <c r="JLY34" s="122"/>
      <c r="JLZ34" s="122"/>
      <c r="JMA34" s="122"/>
      <c r="JMB34" s="122"/>
      <c r="JMC34" s="122"/>
      <c r="JMD34" s="122"/>
      <c r="JME34" s="122"/>
      <c r="JMF34" s="122"/>
      <c r="JMG34" s="122"/>
      <c r="JMH34" s="122"/>
      <c r="JMI34" s="122"/>
      <c r="JMJ34" s="122"/>
      <c r="JMK34" s="122"/>
      <c r="JML34" s="122"/>
      <c r="JMM34" s="122"/>
      <c r="JMN34" s="122"/>
      <c r="JMO34" s="122"/>
      <c r="JMP34" s="122"/>
      <c r="JMQ34" s="122"/>
      <c r="JMR34" s="122"/>
      <c r="JMS34" s="122"/>
      <c r="JMT34" s="122"/>
      <c r="JMU34" s="122"/>
      <c r="JMV34" s="122"/>
      <c r="JMW34" s="122"/>
      <c r="JMX34" s="122"/>
      <c r="JMY34" s="122"/>
      <c r="JMZ34" s="122"/>
      <c r="JNA34" s="122"/>
      <c r="JNB34" s="122"/>
      <c r="JNC34" s="122"/>
      <c r="JND34" s="122"/>
      <c r="JNE34" s="122"/>
      <c r="JNF34" s="122"/>
      <c r="JNG34" s="122"/>
      <c r="JNH34" s="122"/>
      <c r="JNI34" s="122"/>
      <c r="JNJ34" s="122"/>
      <c r="JNK34" s="122"/>
      <c r="JNL34" s="122"/>
      <c r="JNM34" s="122"/>
      <c r="JNN34" s="122"/>
      <c r="JNO34" s="122"/>
      <c r="JNP34" s="122"/>
      <c r="JNQ34" s="122"/>
      <c r="JNR34" s="122"/>
      <c r="JNS34" s="122"/>
      <c r="JNT34" s="122"/>
      <c r="JNU34" s="122"/>
      <c r="JNV34" s="122"/>
      <c r="JNW34" s="122"/>
      <c r="JNX34" s="122"/>
      <c r="JNY34" s="122"/>
      <c r="JNZ34" s="122"/>
      <c r="JOA34" s="122"/>
      <c r="JOB34" s="122"/>
      <c r="JOC34" s="122"/>
      <c r="JOD34" s="122"/>
      <c r="JOE34" s="122"/>
      <c r="JOF34" s="122"/>
      <c r="JOG34" s="122"/>
      <c r="JOH34" s="122"/>
      <c r="JOI34" s="122"/>
      <c r="JOJ34" s="122"/>
      <c r="JOK34" s="122"/>
      <c r="JOL34" s="122"/>
      <c r="JOM34" s="122"/>
      <c r="JON34" s="122"/>
      <c r="JOO34" s="122"/>
      <c r="JOP34" s="122"/>
      <c r="JOQ34" s="122"/>
      <c r="JOR34" s="122"/>
      <c r="JOS34" s="122"/>
      <c r="JOT34" s="122"/>
      <c r="JOU34" s="122"/>
      <c r="JOV34" s="122"/>
      <c r="JOW34" s="122"/>
      <c r="JOX34" s="122"/>
      <c r="JOY34" s="122"/>
      <c r="JOZ34" s="122"/>
      <c r="JPA34" s="122"/>
      <c r="JPB34" s="122"/>
      <c r="JPC34" s="122"/>
      <c r="JPD34" s="122"/>
      <c r="JPE34" s="122"/>
      <c r="JPF34" s="122"/>
      <c r="JPG34" s="122"/>
      <c r="JPH34" s="122"/>
      <c r="JPI34" s="122"/>
      <c r="JPJ34" s="122"/>
      <c r="JPK34" s="122"/>
      <c r="JPL34" s="122"/>
      <c r="JPM34" s="122"/>
      <c r="JPN34" s="122"/>
      <c r="JPO34" s="122"/>
      <c r="JPP34" s="122"/>
      <c r="JPQ34" s="122"/>
      <c r="JPR34" s="122"/>
      <c r="JPS34" s="122"/>
      <c r="JPT34" s="122"/>
      <c r="JPU34" s="122"/>
      <c r="JPV34" s="122"/>
      <c r="JPW34" s="122"/>
      <c r="JPX34" s="122"/>
      <c r="JPY34" s="122"/>
      <c r="JPZ34" s="122"/>
      <c r="JQA34" s="122"/>
      <c r="JQB34" s="122"/>
      <c r="JQC34" s="122"/>
      <c r="JQD34" s="122"/>
      <c r="JQE34" s="122"/>
      <c r="JQF34" s="122"/>
      <c r="JQG34" s="122"/>
      <c r="JQH34" s="122"/>
      <c r="JQI34" s="122"/>
      <c r="JQJ34" s="122"/>
      <c r="JQK34" s="122"/>
      <c r="JQL34" s="122"/>
      <c r="JQM34" s="122"/>
      <c r="JQN34" s="122"/>
      <c r="JQO34" s="122"/>
      <c r="JQP34" s="122"/>
      <c r="JQQ34" s="122"/>
      <c r="JQR34" s="122"/>
      <c r="JQS34" s="122"/>
      <c r="JQT34" s="122"/>
      <c r="JQU34" s="122"/>
      <c r="JQV34" s="122"/>
      <c r="JQW34" s="122"/>
      <c r="JQX34" s="122"/>
      <c r="JQY34" s="122"/>
      <c r="JQZ34" s="122"/>
      <c r="JRA34" s="122"/>
      <c r="JRB34" s="122"/>
      <c r="JRC34" s="122"/>
      <c r="JRD34" s="122"/>
      <c r="JRE34" s="122"/>
      <c r="JRF34" s="122"/>
      <c r="JRG34" s="122"/>
      <c r="JRH34" s="122"/>
      <c r="JRI34" s="122"/>
      <c r="JRJ34" s="122"/>
      <c r="JRK34" s="122"/>
      <c r="JRL34" s="122"/>
      <c r="JRM34" s="122"/>
      <c r="JRN34" s="122"/>
      <c r="JRO34" s="122"/>
      <c r="JRP34" s="122"/>
      <c r="JRQ34" s="122"/>
      <c r="JRR34" s="122"/>
      <c r="JRS34" s="122"/>
      <c r="JRT34" s="122"/>
      <c r="JRU34" s="122"/>
      <c r="JRV34" s="122"/>
      <c r="JRW34" s="122"/>
      <c r="JRX34" s="122"/>
      <c r="JRY34" s="122"/>
      <c r="JRZ34" s="122"/>
      <c r="JSA34" s="122"/>
      <c r="JSB34" s="122"/>
      <c r="JSC34" s="122"/>
      <c r="JSD34" s="122"/>
      <c r="JSE34" s="122"/>
      <c r="JSF34" s="122"/>
      <c r="JSG34" s="122"/>
      <c r="JSH34" s="122"/>
      <c r="JSI34" s="122"/>
      <c r="JSJ34" s="122"/>
      <c r="JSK34" s="122"/>
      <c r="JSL34" s="122"/>
      <c r="JSM34" s="122"/>
      <c r="JSN34" s="122"/>
      <c r="JSO34" s="122"/>
      <c r="JSP34" s="122"/>
      <c r="JSQ34" s="122"/>
      <c r="JSR34" s="122"/>
      <c r="JSS34" s="122"/>
      <c r="JST34" s="122"/>
      <c r="JSU34" s="122"/>
      <c r="JSV34" s="122"/>
      <c r="JSW34" s="122"/>
      <c r="JSX34" s="122"/>
      <c r="JSY34" s="122"/>
      <c r="JSZ34" s="122"/>
      <c r="JTA34" s="122"/>
      <c r="JTB34" s="122"/>
      <c r="JTC34" s="122"/>
      <c r="JTD34" s="122"/>
      <c r="JTE34" s="122"/>
      <c r="JTF34" s="122"/>
      <c r="JTG34" s="122"/>
      <c r="JTH34" s="122"/>
      <c r="JTI34" s="122"/>
      <c r="JTJ34" s="122"/>
      <c r="JTK34" s="122"/>
      <c r="JTL34" s="122"/>
      <c r="JTM34" s="122"/>
      <c r="JTN34" s="122"/>
      <c r="JTO34" s="122"/>
      <c r="JTP34" s="122"/>
      <c r="JTQ34" s="122"/>
      <c r="JTR34" s="122"/>
      <c r="JTS34" s="122"/>
      <c r="JTT34" s="122"/>
      <c r="JTU34" s="122"/>
      <c r="JTV34" s="122"/>
      <c r="JTW34" s="122"/>
      <c r="JTX34" s="122"/>
      <c r="JTY34" s="122"/>
      <c r="JTZ34" s="122"/>
      <c r="JUA34" s="122"/>
      <c r="JUB34" s="122"/>
      <c r="JUC34" s="122"/>
      <c r="JUD34" s="122"/>
      <c r="JUE34" s="122"/>
      <c r="JUF34" s="122"/>
      <c r="JUG34" s="122"/>
      <c r="JUH34" s="122"/>
      <c r="JUI34" s="122"/>
      <c r="JUJ34" s="122"/>
      <c r="JUK34" s="122"/>
      <c r="JUL34" s="122"/>
      <c r="JUM34" s="122"/>
      <c r="JUN34" s="122"/>
      <c r="JUO34" s="122"/>
      <c r="JUP34" s="122"/>
      <c r="JUQ34" s="122"/>
      <c r="JUR34" s="122"/>
      <c r="JUS34" s="122"/>
      <c r="JUT34" s="122"/>
      <c r="JUU34" s="122"/>
      <c r="JUV34" s="122"/>
      <c r="JUW34" s="122"/>
      <c r="JUX34" s="122"/>
      <c r="JUY34" s="122"/>
      <c r="JUZ34" s="122"/>
      <c r="JVA34" s="122"/>
      <c r="JVB34" s="122"/>
      <c r="JVC34" s="122"/>
      <c r="JVD34" s="122"/>
      <c r="JVE34" s="122"/>
      <c r="JVF34" s="122"/>
      <c r="JVG34" s="122"/>
      <c r="JVH34" s="122"/>
      <c r="JVI34" s="122"/>
      <c r="JVJ34" s="122"/>
      <c r="JVK34" s="122"/>
      <c r="JVL34" s="122"/>
      <c r="JVM34" s="122"/>
      <c r="JVN34" s="122"/>
      <c r="JVO34" s="122"/>
      <c r="JVP34" s="122"/>
      <c r="JVQ34" s="122"/>
      <c r="JVR34" s="122"/>
      <c r="JVS34" s="122"/>
      <c r="JVT34" s="122"/>
      <c r="JVU34" s="122"/>
      <c r="JVV34" s="122"/>
      <c r="JVW34" s="122"/>
      <c r="JVX34" s="122"/>
      <c r="JVY34" s="122"/>
      <c r="JVZ34" s="122"/>
      <c r="JWA34" s="122"/>
      <c r="JWB34" s="122"/>
      <c r="JWC34" s="122"/>
      <c r="JWD34" s="122"/>
      <c r="JWE34" s="122"/>
      <c r="JWF34" s="122"/>
      <c r="JWG34" s="122"/>
      <c r="JWH34" s="122"/>
      <c r="JWI34" s="122"/>
      <c r="JWJ34" s="122"/>
      <c r="JWK34" s="122"/>
      <c r="JWL34" s="122"/>
      <c r="JWM34" s="122"/>
      <c r="JWN34" s="122"/>
      <c r="JWO34" s="122"/>
      <c r="JWP34" s="122"/>
      <c r="JWQ34" s="122"/>
      <c r="JWR34" s="122"/>
      <c r="JWS34" s="122"/>
      <c r="JWT34" s="122"/>
      <c r="JWU34" s="122"/>
      <c r="JWV34" s="122"/>
      <c r="JWW34" s="122"/>
      <c r="JWX34" s="122"/>
      <c r="JWY34" s="122"/>
      <c r="JWZ34" s="122"/>
      <c r="JXA34" s="122"/>
      <c r="JXB34" s="122"/>
      <c r="JXC34" s="122"/>
      <c r="JXD34" s="122"/>
      <c r="JXE34" s="122"/>
      <c r="JXF34" s="122"/>
      <c r="JXG34" s="122"/>
      <c r="JXH34" s="122"/>
      <c r="JXI34" s="122"/>
      <c r="JXJ34" s="122"/>
      <c r="JXK34" s="122"/>
      <c r="JXL34" s="122"/>
      <c r="JXM34" s="122"/>
      <c r="JXN34" s="122"/>
      <c r="JXO34" s="122"/>
      <c r="JXP34" s="122"/>
      <c r="JXQ34" s="122"/>
      <c r="JXR34" s="122"/>
      <c r="JXS34" s="122"/>
      <c r="JXT34" s="122"/>
      <c r="JXU34" s="122"/>
      <c r="JXV34" s="122"/>
      <c r="JXW34" s="122"/>
      <c r="JXX34" s="122"/>
      <c r="JXY34" s="122"/>
      <c r="JXZ34" s="122"/>
      <c r="JYA34" s="122"/>
      <c r="JYB34" s="122"/>
      <c r="JYC34" s="122"/>
      <c r="JYD34" s="122"/>
      <c r="JYE34" s="122"/>
      <c r="JYF34" s="122"/>
      <c r="JYG34" s="122"/>
      <c r="JYH34" s="122"/>
      <c r="JYI34" s="122"/>
      <c r="JYJ34" s="122"/>
      <c r="JYK34" s="122"/>
      <c r="JYL34" s="122"/>
      <c r="JYM34" s="122"/>
      <c r="JYN34" s="122"/>
      <c r="JYO34" s="122"/>
      <c r="JYP34" s="122"/>
      <c r="JYQ34" s="122"/>
      <c r="JYR34" s="122"/>
      <c r="JYS34" s="122"/>
      <c r="JYT34" s="122"/>
      <c r="JYU34" s="122"/>
      <c r="JYV34" s="122"/>
      <c r="JYW34" s="122"/>
      <c r="JYX34" s="122"/>
      <c r="JYY34" s="122"/>
      <c r="JYZ34" s="122"/>
      <c r="JZA34" s="122"/>
      <c r="JZB34" s="122"/>
      <c r="JZC34" s="122"/>
      <c r="JZD34" s="122"/>
      <c r="JZE34" s="122"/>
      <c r="JZF34" s="122"/>
      <c r="JZG34" s="122"/>
      <c r="JZH34" s="122"/>
      <c r="JZI34" s="122"/>
      <c r="JZJ34" s="122"/>
      <c r="JZK34" s="122"/>
      <c r="JZL34" s="122"/>
      <c r="JZM34" s="122"/>
      <c r="JZN34" s="122"/>
      <c r="JZO34" s="122"/>
      <c r="JZP34" s="122"/>
      <c r="JZQ34" s="122"/>
      <c r="JZR34" s="122"/>
      <c r="JZS34" s="122"/>
      <c r="JZT34" s="122"/>
      <c r="JZU34" s="122"/>
      <c r="JZV34" s="122"/>
      <c r="JZW34" s="122"/>
      <c r="JZX34" s="122"/>
      <c r="JZY34" s="122"/>
      <c r="JZZ34" s="122"/>
      <c r="KAA34" s="122"/>
      <c r="KAB34" s="122"/>
      <c r="KAC34" s="122"/>
      <c r="KAD34" s="122"/>
      <c r="KAE34" s="122"/>
      <c r="KAF34" s="122"/>
      <c r="KAG34" s="122"/>
      <c r="KAH34" s="122"/>
      <c r="KAI34" s="122"/>
      <c r="KAJ34" s="122"/>
      <c r="KAK34" s="122"/>
      <c r="KAL34" s="122"/>
      <c r="KAM34" s="122"/>
      <c r="KAN34" s="122"/>
      <c r="KAO34" s="122"/>
      <c r="KAP34" s="122"/>
      <c r="KAQ34" s="122"/>
      <c r="KAR34" s="122"/>
      <c r="KAS34" s="122"/>
      <c r="KAT34" s="122"/>
      <c r="KAU34" s="122"/>
      <c r="KAV34" s="122"/>
      <c r="KAW34" s="122"/>
      <c r="KAX34" s="122"/>
      <c r="KAY34" s="122"/>
      <c r="KAZ34" s="122"/>
      <c r="KBA34" s="122"/>
      <c r="KBB34" s="122"/>
      <c r="KBC34" s="122"/>
      <c r="KBD34" s="122"/>
      <c r="KBE34" s="122"/>
      <c r="KBF34" s="122"/>
      <c r="KBG34" s="122"/>
      <c r="KBH34" s="122"/>
      <c r="KBI34" s="122"/>
      <c r="KBJ34" s="122"/>
      <c r="KBK34" s="122"/>
      <c r="KBL34" s="122"/>
      <c r="KBM34" s="122"/>
      <c r="KBN34" s="122"/>
      <c r="KBO34" s="122"/>
      <c r="KBP34" s="122"/>
      <c r="KBQ34" s="122"/>
      <c r="KBR34" s="122"/>
      <c r="KBS34" s="122"/>
      <c r="KBT34" s="122"/>
      <c r="KBU34" s="122"/>
      <c r="KBV34" s="122"/>
      <c r="KBW34" s="122"/>
      <c r="KBX34" s="122"/>
      <c r="KBY34" s="122"/>
      <c r="KBZ34" s="122"/>
      <c r="KCA34" s="122"/>
      <c r="KCB34" s="122"/>
      <c r="KCC34" s="122"/>
      <c r="KCD34" s="122"/>
      <c r="KCE34" s="122"/>
      <c r="KCF34" s="122"/>
      <c r="KCG34" s="122"/>
      <c r="KCH34" s="122"/>
      <c r="KCI34" s="122"/>
      <c r="KCJ34" s="122"/>
      <c r="KCK34" s="122"/>
      <c r="KCL34" s="122"/>
      <c r="KCM34" s="122"/>
      <c r="KCN34" s="122"/>
      <c r="KCO34" s="122"/>
      <c r="KCP34" s="122"/>
      <c r="KCQ34" s="122"/>
      <c r="KCR34" s="122"/>
      <c r="KCS34" s="122"/>
      <c r="KCT34" s="122"/>
      <c r="KCU34" s="122"/>
      <c r="KCV34" s="122"/>
      <c r="KCW34" s="122"/>
      <c r="KCX34" s="122"/>
      <c r="KCY34" s="122"/>
      <c r="KCZ34" s="122"/>
      <c r="KDA34" s="122"/>
      <c r="KDB34" s="122"/>
      <c r="KDC34" s="122"/>
      <c r="KDD34" s="122"/>
      <c r="KDE34" s="122"/>
      <c r="KDF34" s="122"/>
      <c r="KDG34" s="122"/>
      <c r="KDH34" s="122"/>
      <c r="KDI34" s="122"/>
      <c r="KDJ34" s="122"/>
      <c r="KDK34" s="122"/>
      <c r="KDL34" s="122"/>
      <c r="KDM34" s="122"/>
      <c r="KDN34" s="122"/>
      <c r="KDO34" s="122"/>
      <c r="KDP34" s="122"/>
      <c r="KDQ34" s="122"/>
      <c r="KDR34" s="122"/>
      <c r="KDS34" s="122"/>
      <c r="KDT34" s="122"/>
      <c r="KDU34" s="122"/>
      <c r="KDV34" s="122"/>
      <c r="KDW34" s="122"/>
      <c r="KDX34" s="122"/>
      <c r="KDY34" s="122"/>
      <c r="KDZ34" s="122"/>
      <c r="KEA34" s="122"/>
      <c r="KEB34" s="122"/>
      <c r="KEC34" s="122"/>
      <c r="KED34" s="122"/>
      <c r="KEE34" s="122"/>
      <c r="KEF34" s="122"/>
      <c r="KEG34" s="122"/>
      <c r="KEH34" s="122"/>
      <c r="KEI34" s="122"/>
      <c r="KEJ34" s="122"/>
      <c r="KEK34" s="122"/>
      <c r="KEL34" s="122"/>
      <c r="KEM34" s="122"/>
      <c r="KEN34" s="122"/>
      <c r="KEO34" s="122"/>
      <c r="KEP34" s="122"/>
      <c r="KEQ34" s="122"/>
      <c r="KER34" s="122"/>
      <c r="KES34" s="122"/>
      <c r="KET34" s="122"/>
      <c r="KEU34" s="122"/>
      <c r="KEV34" s="122"/>
      <c r="KEW34" s="122"/>
      <c r="KEX34" s="122"/>
      <c r="KEY34" s="122"/>
      <c r="KEZ34" s="122"/>
      <c r="KFA34" s="122"/>
      <c r="KFB34" s="122"/>
      <c r="KFC34" s="122"/>
      <c r="KFD34" s="122"/>
      <c r="KFE34" s="122"/>
      <c r="KFF34" s="122"/>
      <c r="KFG34" s="122"/>
      <c r="KFH34" s="122"/>
      <c r="KFI34" s="122"/>
      <c r="KFJ34" s="122"/>
      <c r="KFK34" s="122"/>
      <c r="KFL34" s="122"/>
      <c r="KFM34" s="122"/>
      <c r="KFN34" s="122"/>
      <c r="KFO34" s="122"/>
      <c r="KFP34" s="122"/>
      <c r="KFQ34" s="122"/>
      <c r="KFR34" s="122"/>
      <c r="KFS34" s="122"/>
      <c r="KFT34" s="122"/>
      <c r="KFU34" s="122"/>
      <c r="KFV34" s="122"/>
      <c r="KFW34" s="122"/>
      <c r="KFX34" s="122"/>
      <c r="KFY34" s="122"/>
      <c r="KFZ34" s="122"/>
      <c r="KGA34" s="122"/>
      <c r="KGB34" s="122"/>
      <c r="KGC34" s="122"/>
      <c r="KGD34" s="122"/>
      <c r="KGE34" s="122"/>
      <c r="KGF34" s="122"/>
      <c r="KGG34" s="122"/>
      <c r="KGH34" s="122"/>
      <c r="KGI34" s="122"/>
      <c r="KGJ34" s="122"/>
      <c r="KGK34" s="122"/>
      <c r="KGL34" s="122"/>
      <c r="KGM34" s="122"/>
      <c r="KGN34" s="122"/>
      <c r="KGO34" s="122"/>
      <c r="KGP34" s="122"/>
      <c r="KGQ34" s="122"/>
      <c r="KGR34" s="122"/>
      <c r="KGS34" s="122"/>
      <c r="KGT34" s="122"/>
      <c r="KGU34" s="122"/>
      <c r="KGV34" s="122"/>
      <c r="KGW34" s="122"/>
      <c r="KGX34" s="122"/>
      <c r="KGY34" s="122"/>
      <c r="KGZ34" s="122"/>
      <c r="KHA34" s="122"/>
      <c r="KHB34" s="122"/>
      <c r="KHC34" s="122"/>
      <c r="KHD34" s="122"/>
      <c r="KHE34" s="122"/>
      <c r="KHF34" s="122"/>
      <c r="KHG34" s="122"/>
      <c r="KHH34" s="122"/>
      <c r="KHI34" s="122"/>
      <c r="KHJ34" s="122"/>
      <c r="KHK34" s="122"/>
      <c r="KHL34" s="122"/>
      <c r="KHM34" s="122"/>
      <c r="KHN34" s="122"/>
      <c r="KHO34" s="122"/>
      <c r="KHP34" s="122"/>
      <c r="KHQ34" s="122"/>
      <c r="KHR34" s="122"/>
      <c r="KHS34" s="122"/>
      <c r="KHT34" s="122"/>
      <c r="KHU34" s="122"/>
      <c r="KHV34" s="122"/>
      <c r="KHW34" s="122"/>
      <c r="KHX34" s="122"/>
      <c r="KHY34" s="122"/>
      <c r="KHZ34" s="122"/>
      <c r="KIA34" s="122"/>
      <c r="KIB34" s="122"/>
      <c r="KIC34" s="122"/>
      <c r="KID34" s="122"/>
      <c r="KIE34" s="122"/>
      <c r="KIF34" s="122"/>
      <c r="KIG34" s="122"/>
      <c r="KIH34" s="122"/>
      <c r="KII34" s="122"/>
      <c r="KIJ34" s="122"/>
      <c r="KIK34" s="122"/>
      <c r="KIL34" s="122"/>
      <c r="KIM34" s="122"/>
      <c r="KIN34" s="122"/>
      <c r="KIO34" s="122"/>
      <c r="KIP34" s="122"/>
      <c r="KIQ34" s="122"/>
      <c r="KIR34" s="122"/>
      <c r="KIS34" s="122"/>
      <c r="KIT34" s="122"/>
      <c r="KIU34" s="122"/>
      <c r="KIV34" s="122"/>
      <c r="KIW34" s="122"/>
      <c r="KIX34" s="122"/>
      <c r="KIY34" s="122"/>
      <c r="KIZ34" s="122"/>
      <c r="KJA34" s="122"/>
      <c r="KJB34" s="122"/>
      <c r="KJC34" s="122"/>
      <c r="KJD34" s="122"/>
      <c r="KJE34" s="122"/>
      <c r="KJF34" s="122"/>
      <c r="KJG34" s="122"/>
      <c r="KJH34" s="122"/>
      <c r="KJI34" s="122"/>
      <c r="KJJ34" s="122"/>
      <c r="KJK34" s="122"/>
      <c r="KJL34" s="122"/>
      <c r="KJM34" s="122"/>
      <c r="KJN34" s="122"/>
      <c r="KJO34" s="122"/>
      <c r="KJP34" s="122"/>
      <c r="KJQ34" s="122"/>
      <c r="KJR34" s="122"/>
      <c r="KJS34" s="122"/>
      <c r="KJT34" s="122"/>
      <c r="KJU34" s="122"/>
      <c r="KJV34" s="122"/>
      <c r="KJW34" s="122"/>
      <c r="KJX34" s="122"/>
      <c r="KJY34" s="122"/>
      <c r="KJZ34" s="122"/>
      <c r="KKA34" s="122"/>
      <c r="KKB34" s="122"/>
      <c r="KKC34" s="122"/>
      <c r="KKD34" s="122"/>
      <c r="KKE34" s="122"/>
      <c r="KKF34" s="122"/>
      <c r="KKG34" s="122"/>
      <c r="KKH34" s="122"/>
      <c r="KKI34" s="122"/>
      <c r="KKJ34" s="122"/>
      <c r="KKK34" s="122"/>
      <c r="KKL34" s="122"/>
      <c r="KKM34" s="122"/>
      <c r="KKN34" s="122"/>
      <c r="KKO34" s="122"/>
      <c r="KKP34" s="122"/>
      <c r="KKQ34" s="122"/>
      <c r="KKR34" s="122"/>
      <c r="KKS34" s="122"/>
      <c r="KKT34" s="122"/>
      <c r="KKU34" s="122"/>
      <c r="KKV34" s="122"/>
      <c r="KKW34" s="122"/>
      <c r="KKX34" s="122"/>
      <c r="KKY34" s="122"/>
      <c r="KKZ34" s="122"/>
      <c r="KLA34" s="122"/>
      <c r="KLB34" s="122"/>
      <c r="KLC34" s="122"/>
      <c r="KLD34" s="122"/>
      <c r="KLE34" s="122"/>
      <c r="KLF34" s="122"/>
      <c r="KLG34" s="122"/>
      <c r="KLH34" s="122"/>
      <c r="KLI34" s="122"/>
      <c r="KLJ34" s="122"/>
      <c r="KLK34" s="122"/>
      <c r="KLL34" s="122"/>
      <c r="KLM34" s="122"/>
      <c r="KLN34" s="122"/>
      <c r="KLO34" s="122"/>
      <c r="KLP34" s="122"/>
      <c r="KLQ34" s="122"/>
      <c r="KLR34" s="122"/>
      <c r="KLS34" s="122"/>
      <c r="KLT34" s="122"/>
      <c r="KLU34" s="122"/>
      <c r="KLV34" s="122"/>
      <c r="KLW34" s="122"/>
      <c r="KLX34" s="122"/>
      <c r="KLY34" s="122"/>
      <c r="KLZ34" s="122"/>
      <c r="KMA34" s="122"/>
      <c r="KMB34" s="122"/>
      <c r="KMC34" s="122"/>
      <c r="KMD34" s="122"/>
      <c r="KME34" s="122"/>
      <c r="KMF34" s="122"/>
      <c r="KMG34" s="122"/>
      <c r="KMH34" s="122"/>
      <c r="KMI34" s="122"/>
      <c r="KMJ34" s="122"/>
      <c r="KMK34" s="122"/>
      <c r="KML34" s="122"/>
      <c r="KMM34" s="122"/>
      <c r="KMN34" s="122"/>
      <c r="KMO34" s="122"/>
      <c r="KMP34" s="122"/>
      <c r="KMQ34" s="122"/>
      <c r="KMR34" s="122"/>
      <c r="KMS34" s="122"/>
      <c r="KMT34" s="122"/>
      <c r="KMU34" s="122"/>
      <c r="KMV34" s="122"/>
      <c r="KMW34" s="122"/>
      <c r="KMX34" s="122"/>
      <c r="KMY34" s="122"/>
      <c r="KMZ34" s="122"/>
      <c r="KNA34" s="122"/>
      <c r="KNB34" s="122"/>
      <c r="KNC34" s="122"/>
      <c r="KND34" s="122"/>
      <c r="KNE34" s="122"/>
      <c r="KNF34" s="122"/>
      <c r="KNG34" s="122"/>
      <c r="KNH34" s="122"/>
      <c r="KNI34" s="122"/>
      <c r="KNJ34" s="122"/>
      <c r="KNK34" s="122"/>
      <c r="KNL34" s="122"/>
      <c r="KNM34" s="122"/>
      <c r="KNN34" s="122"/>
      <c r="KNO34" s="122"/>
      <c r="KNP34" s="122"/>
      <c r="KNQ34" s="122"/>
      <c r="KNR34" s="122"/>
      <c r="KNS34" s="122"/>
      <c r="KNT34" s="122"/>
      <c r="KNU34" s="122"/>
      <c r="KNV34" s="122"/>
      <c r="KNW34" s="122"/>
      <c r="KNX34" s="122"/>
      <c r="KNY34" s="122"/>
      <c r="KNZ34" s="122"/>
      <c r="KOA34" s="122"/>
      <c r="KOB34" s="122"/>
      <c r="KOC34" s="122"/>
      <c r="KOD34" s="122"/>
      <c r="KOE34" s="122"/>
      <c r="KOF34" s="122"/>
      <c r="KOG34" s="122"/>
      <c r="KOH34" s="122"/>
      <c r="KOI34" s="122"/>
      <c r="KOJ34" s="122"/>
      <c r="KOK34" s="122"/>
      <c r="KOL34" s="122"/>
      <c r="KOM34" s="122"/>
      <c r="KON34" s="122"/>
      <c r="KOO34" s="122"/>
      <c r="KOP34" s="122"/>
      <c r="KOQ34" s="122"/>
      <c r="KOR34" s="122"/>
      <c r="KOS34" s="122"/>
      <c r="KOT34" s="122"/>
      <c r="KOU34" s="122"/>
      <c r="KOV34" s="122"/>
      <c r="KOW34" s="122"/>
      <c r="KOX34" s="122"/>
      <c r="KOY34" s="122"/>
      <c r="KOZ34" s="122"/>
      <c r="KPA34" s="122"/>
      <c r="KPB34" s="122"/>
      <c r="KPC34" s="122"/>
      <c r="KPD34" s="122"/>
      <c r="KPE34" s="122"/>
      <c r="KPF34" s="122"/>
      <c r="KPG34" s="122"/>
      <c r="KPH34" s="122"/>
      <c r="KPI34" s="122"/>
      <c r="KPJ34" s="122"/>
      <c r="KPK34" s="122"/>
      <c r="KPL34" s="122"/>
      <c r="KPM34" s="122"/>
      <c r="KPN34" s="122"/>
      <c r="KPO34" s="122"/>
      <c r="KPP34" s="122"/>
      <c r="KPQ34" s="122"/>
      <c r="KPR34" s="122"/>
      <c r="KPS34" s="122"/>
      <c r="KPT34" s="122"/>
      <c r="KPU34" s="122"/>
      <c r="KPV34" s="122"/>
      <c r="KPW34" s="122"/>
      <c r="KPX34" s="122"/>
      <c r="KPY34" s="122"/>
      <c r="KPZ34" s="122"/>
      <c r="KQA34" s="122"/>
      <c r="KQB34" s="122"/>
      <c r="KQC34" s="122"/>
      <c r="KQD34" s="122"/>
      <c r="KQE34" s="122"/>
      <c r="KQF34" s="122"/>
      <c r="KQG34" s="122"/>
      <c r="KQH34" s="122"/>
      <c r="KQI34" s="122"/>
      <c r="KQJ34" s="122"/>
      <c r="KQK34" s="122"/>
      <c r="KQL34" s="122"/>
      <c r="KQM34" s="122"/>
      <c r="KQN34" s="122"/>
      <c r="KQO34" s="122"/>
      <c r="KQP34" s="122"/>
      <c r="KQQ34" s="122"/>
      <c r="KQR34" s="122"/>
      <c r="KQS34" s="122"/>
      <c r="KQT34" s="122"/>
      <c r="KQU34" s="122"/>
      <c r="KQV34" s="122"/>
      <c r="KQW34" s="122"/>
      <c r="KQX34" s="122"/>
      <c r="KQY34" s="122"/>
      <c r="KQZ34" s="122"/>
      <c r="KRA34" s="122"/>
      <c r="KRB34" s="122"/>
      <c r="KRC34" s="122"/>
      <c r="KRD34" s="122"/>
      <c r="KRE34" s="122"/>
      <c r="KRF34" s="122"/>
      <c r="KRG34" s="122"/>
      <c r="KRH34" s="122"/>
      <c r="KRI34" s="122"/>
      <c r="KRJ34" s="122"/>
      <c r="KRK34" s="122"/>
      <c r="KRL34" s="122"/>
      <c r="KRM34" s="122"/>
      <c r="KRN34" s="122"/>
      <c r="KRO34" s="122"/>
      <c r="KRP34" s="122"/>
      <c r="KRQ34" s="122"/>
      <c r="KRR34" s="122"/>
      <c r="KRS34" s="122"/>
      <c r="KRT34" s="122"/>
      <c r="KRU34" s="122"/>
      <c r="KRV34" s="122"/>
      <c r="KRW34" s="122"/>
      <c r="KRX34" s="122"/>
      <c r="KRY34" s="122"/>
      <c r="KRZ34" s="122"/>
      <c r="KSA34" s="122"/>
      <c r="KSB34" s="122"/>
      <c r="KSC34" s="122"/>
      <c r="KSD34" s="122"/>
      <c r="KSE34" s="122"/>
      <c r="KSF34" s="122"/>
      <c r="KSG34" s="122"/>
      <c r="KSH34" s="122"/>
      <c r="KSI34" s="122"/>
      <c r="KSJ34" s="122"/>
      <c r="KSK34" s="122"/>
      <c r="KSL34" s="122"/>
      <c r="KSM34" s="122"/>
      <c r="KSN34" s="122"/>
      <c r="KSO34" s="122"/>
      <c r="KSP34" s="122"/>
      <c r="KSQ34" s="122"/>
      <c r="KSR34" s="122"/>
      <c r="KSS34" s="122"/>
      <c r="KST34" s="122"/>
      <c r="KSU34" s="122"/>
      <c r="KSV34" s="122"/>
      <c r="KSW34" s="122"/>
      <c r="KSX34" s="122"/>
      <c r="KSY34" s="122"/>
      <c r="KSZ34" s="122"/>
      <c r="KTA34" s="122"/>
      <c r="KTB34" s="122"/>
      <c r="KTC34" s="122"/>
      <c r="KTD34" s="122"/>
      <c r="KTE34" s="122"/>
      <c r="KTF34" s="122"/>
      <c r="KTG34" s="122"/>
      <c r="KTH34" s="122"/>
      <c r="KTI34" s="122"/>
      <c r="KTJ34" s="122"/>
      <c r="KTK34" s="122"/>
      <c r="KTL34" s="122"/>
      <c r="KTM34" s="122"/>
      <c r="KTN34" s="122"/>
      <c r="KTO34" s="122"/>
      <c r="KTP34" s="122"/>
      <c r="KTQ34" s="122"/>
      <c r="KTR34" s="122"/>
      <c r="KTS34" s="122"/>
      <c r="KTT34" s="122"/>
      <c r="KTU34" s="122"/>
      <c r="KTV34" s="122"/>
      <c r="KTW34" s="122"/>
      <c r="KTX34" s="122"/>
      <c r="KTY34" s="122"/>
      <c r="KTZ34" s="122"/>
      <c r="KUA34" s="122"/>
      <c r="KUB34" s="122"/>
      <c r="KUC34" s="122"/>
      <c r="KUD34" s="122"/>
      <c r="KUE34" s="122"/>
      <c r="KUF34" s="122"/>
      <c r="KUG34" s="122"/>
      <c r="KUH34" s="122"/>
      <c r="KUI34" s="122"/>
      <c r="KUJ34" s="122"/>
      <c r="KUK34" s="122"/>
      <c r="KUL34" s="122"/>
      <c r="KUM34" s="122"/>
      <c r="KUN34" s="122"/>
      <c r="KUO34" s="122"/>
      <c r="KUP34" s="122"/>
      <c r="KUQ34" s="122"/>
      <c r="KUR34" s="122"/>
      <c r="KUS34" s="122"/>
      <c r="KUT34" s="122"/>
      <c r="KUU34" s="122"/>
      <c r="KUV34" s="122"/>
      <c r="KUW34" s="122"/>
      <c r="KUX34" s="122"/>
      <c r="KUY34" s="122"/>
      <c r="KUZ34" s="122"/>
      <c r="KVA34" s="122"/>
      <c r="KVB34" s="122"/>
      <c r="KVC34" s="122"/>
      <c r="KVD34" s="122"/>
      <c r="KVE34" s="122"/>
      <c r="KVF34" s="122"/>
      <c r="KVG34" s="122"/>
      <c r="KVH34" s="122"/>
      <c r="KVI34" s="122"/>
      <c r="KVJ34" s="122"/>
      <c r="KVK34" s="122"/>
      <c r="KVL34" s="122"/>
      <c r="KVM34" s="122"/>
      <c r="KVN34" s="122"/>
      <c r="KVO34" s="122"/>
      <c r="KVP34" s="122"/>
      <c r="KVQ34" s="122"/>
      <c r="KVR34" s="122"/>
      <c r="KVS34" s="122"/>
      <c r="KVT34" s="122"/>
      <c r="KVU34" s="122"/>
      <c r="KVV34" s="122"/>
      <c r="KVW34" s="122"/>
      <c r="KVX34" s="122"/>
      <c r="KVY34" s="122"/>
      <c r="KVZ34" s="122"/>
      <c r="KWA34" s="122"/>
      <c r="KWB34" s="122"/>
      <c r="KWC34" s="122"/>
      <c r="KWD34" s="122"/>
      <c r="KWE34" s="122"/>
      <c r="KWF34" s="122"/>
      <c r="KWG34" s="122"/>
      <c r="KWH34" s="122"/>
      <c r="KWI34" s="122"/>
      <c r="KWJ34" s="122"/>
      <c r="KWK34" s="122"/>
      <c r="KWL34" s="122"/>
      <c r="KWM34" s="122"/>
      <c r="KWN34" s="122"/>
      <c r="KWO34" s="122"/>
      <c r="KWP34" s="122"/>
      <c r="KWQ34" s="122"/>
      <c r="KWR34" s="122"/>
      <c r="KWS34" s="122"/>
      <c r="KWT34" s="122"/>
      <c r="KWU34" s="122"/>
      <c r="KWV34" s="122"/>
      <c r="KWW34" s="122"/>
      <c r="KWX34" s="122"/>
      <c r="KWY34" s="122"/>
      <c r="KWZ34" s="122"/>
      <c r="KXA34" s="122"/>
      <c r="KXB34" s="122"/>
      <c r="KXC34" s="122"/>
      <c r="KXD34" s="122"/>
      <c r="KXE34" s="122"/>
      <c r="KXF34" s="122"/>
      <c r="KXG34" s="122"/>
      <c r="KXH34" s="122"/>
      <c r="KXI34" s="122"/>
      <c r="KXJ34" s="122"/>
      <c r="KXK34" s="122"/>
      <c r="KXL34" s="122"/>
      <c r="KXM34" s="122"/>
      <c r="KXN34" s="122"/>
      <c r="KXO34" s="122"/>
      <c r="KXP34" s="122"/>
      <c r="KXQ34" s="122"/>
      <c r="KXR34" s="122"/>
      <c r="KXS34" s="122"/>
      <c r="KXT34" s="122"/>
      <c r="KXU34" s="122"/>
      <c r="KXV34" s="122"/>
      <c r="KXW34" s="122"/>
      <c r="KXX34" s="122"/>
      <c r="KXY34" s="122"/>
      <c r="KXZ34" s="122"/>
      <c r="KYA34" s="122"/>
      <c r="KYB34" s="122"/>
      <c r="KYC34" s="122"/>
      <c r="KYD34" s="122"/>
      <c r="KYE34" s="122"/>
      <c r="KYF34" s="122"/>
      <c r="KYG34" s="122"/>
      <c r="KYH34" s="122"/>
      <c r="KYI34" s="122"/>
      <c r="KYJ34" s="122"/>
      <c r="KYK34" s="122"/>
      <c r="KYL34" s="122"/>
      <c r="KYM34" s="122"/>
      <c r="KYN34" s="122"/>
      <c r="KYO34" s="122"/>
      <c r="KYP34" s="122"/>
      <c r="KYQ34" s="122"/>
      <c r="KYR34" s="122"/>
      <c r="KYS34" s="122"/>
      <c r="KYT34" s="122"/>
      <c r="KYU34" s="122"/>
      <c r="KYV34" s="122"/>
      <c r="KYW34" s="122"/>
      <c r="KYX34" s="122"/>
      <c r="KYY34" s="122"/>
      <c r="KYZ34" s="122"/>
      <c r="KZA34" s="122"/>
      <c r="KZB34" s="122"/>
      <c r="KZC34" s="122"/>
      <c r="KZD34" s="122"/>
      <c r="KZE34" s="122"/>
      <c r="KZF34" s="122"/>
      <c r="KZG34" s="122"/>
      <c r="KZH34" s="122"/>
      <c r="KZI34" s="122"/>
      <c r="KZJ34" s="122"/>
      <c r="KZK34" s="122"/>
      <c r="KZL34" s="122"/>
      <c r="KZM34" s="122"/>
      <c r="KZN34" s="122"/>
      <c r="KZO34" s="122"/>
      <c r="KZP34" s="122"/>
      <c r="KZQ34" s="122"/>
      <c r="KZR34" s="122"/>
      <c r="KZS34" s="122"/>
      <c r="KZT34" s="122"/>
      <c r="KZU34" s="122"/>
      <c r="KZV34" s="122"/>
      <c r="KZW34" s="122"/>
      <c r="KZX34" s="122"/>
      <c r="KZY34" s="122"/>
      <c r="KZZ34" s="122"/>
      <c r="LAA34" s="122"/>
      <c r="LAB34" s="122"/>
      <c r="LAC34" s="122"/>
      <c r="LAD34" s="122"/>
      <c r="LAE34" s="122"/>
      <c r="LAF34" s="122"/>
      <c r="LAG34" s="122"/>
      <c r="LAH34" s="122"/>
      <c r="LAI34" s="122"/>
      <c r="LAJ34" s="122"/>
      <c r="LAK34" s="122"/>
      <c r="LAL34" s="122"/>
      <c r="LAM34" s="122"/>
      <c r="LAN34" s="122"/>
      <c r="LAO34" s="122"/>
      <c r="LAP34" s="122"/>
      <c r="LAQ34" s="122"/>
      <c r="LAR34" s="122"/>
      <c r="LAS34" s="122"/>
      <c r="LAT34" s="122"/>
      <c r="LAU34" s="122"/>
      <c r="LAV34" s="122"/>
      <c r="LAW34" s="122"/>
      <c r="LAX34" s="122"/>
      <c r="LAY34" s="122"/>
      <c r="LAZ34" s="122"/>
      <c r="LBA34" s="122"/>
      <c r="LBB34" s="122"/>
      <c r="LBC34" s="122"/>
      <c r="LBD34" s="122"/>
      <c r="LBE34" s="122"/>
      <c r="LBF34" s="122"/>
      <c r="LBG34" s="122"/>
      <c r="LBH34" s="122"/>
      <c r="LBI34" s="122"/>
      <c r="LBJ34" s="122"/>
      <c r="LBK34" s="122"/>
      <c r="LBL34" s="122"/>
      <c r="LBM34" s="122"/>
      <c r="LBN34" s="122"/>
      <c r="LBO34" s="122"/>
      <c r="LBP34" s="122"/>
      <c r="LBQ34" s="122"/>
      <c r="LBR34" s="122"/>
      <c r="LBS34" s="122"/>
      <c r="LBT34" s="122"/>
      <c r="LBU34" s="122"/>
      <c r="LBV34" s="122"/>
      <c r="LBW34" s="122"/>
      <c r="LBX34" s="122"/>
      <c r="LBY34" s="122"/>
      <c r="LBZ34" s="122"/>
      <c r="LCA34" s="122"/>
      <c r="LCB34" s="122"/>
      <c r="LCC34" s="122"/>
      <c r="LCD34" s="122"/>
      <c r="LCE34" s="122"/>
      <c r="LCF34" s="122"/>
      <c r="LCG34" s="122"/>
      <c r="LCH34" s="122"/>
      <c r="LCI34" s="122"/>
      <c r="LCJ34" s="122"/>
      <c r="LCK34" s="122"/>
      <c r="LCL34" s="122"/>
      <c r="LCM34" s="122"/>
      <c r="LCN34" s="122"/>
      <c r="LCO34" s="122"/>
      <c r="LCP34" s="122"/>
      <c r="LCQ34" s="122"/>
      <c r="LCR34" s="122"/>
      <c r="LCS34" s="122"/>
      <c r="LCT34" s="122"/>
      <c r="LCU34" s="122"/>
      <c r="LCV34" s="122"/>
      <c r="LCW34" s="122"/>
      <c r="LCX34" s="122"/>
      <c r="LCY34" s="122"/>
      <c r="LCZ34" s="122"/>
      <c r="LDA34" s="122"/>
      <c r="LDB34" s="122"/>
      <c r="LDC34" s="122"/>
      <c r="LDD34" s="122"/>
      <c r="LDE34" s="122"/>
      <c r="LDF34" s="122"/>
      <c r="LDG34" s="122"/>
      <c r="LDH34" s="122"/>
      <c r="LDI34" s="122"/>
      <c r="LDJ34" s="122"/>
      <c r="LDK34" s="122"/>
      <c r="LDL34" s="122"/>
      <c r="LDM34" s="122"/>
      <c r="LDN34" s="122"/>
      <c r="LDO34" s="122"/>
      <c r="LDP34" s="122"/>
      <c r="LDQ34" s="122"/>
      <c r="LDR34" s="122"/>
      <c r="LDS34" s="122"/>
      <c r="LDT34" s="122"/>
      <c r="LDU34" s="122"/>
      <c r="LDV34" s="122"/>
      <c r="LDW34" s="122"/>
      <c r="LDX34" s="122"/>
      <c r="LDY34" s="122"/>
      <c r="LDZ34" s="122"/>
      <c r="LEA34" s="122"/>
      <c r="LEB34" s="122"/>
      <c r="LEC34" s="122"/>
      <c r="LED34" s="122"/>
      <c r="LEE34" s="122"/>
      <c r="LEF34" s="122"/>
      <c r="LEG34" s="122"/>
      <c r="LEH34" s="122"/>
      <c r="LEI34" s="122"/>
      <c r="LEJ34" s="122"/>
      <c r="LEK34" s="122"/>
      <c r="LEL34" s="122"/>
      <c r="LEM34" s="122"/>
      <c r="LEN34" s="122"/>
      <c r="LEO34" s="122"/>
      <c r="LEP34" s="122"/>
      <c r="LEQ34" s="122"/>
      <c r="LER34" s="122"/>
      <c r="LES34" s="122"/>
      <c r="LET34" s="122"/>
      <c r="LEU34" s="122"/>
      <c r="LEV34" s="122"/>
      <c r="LEW34" s="122"/>
      <c r="LEX34" s="122"/>
      <c r="LEY34" s="122"/>
      <c r="LEZ34" s="122"/>
      <c r="LFA34" s="122"/>
      <c r="LFB34" s="122"/>
      <c r="LFC34" s="122"/>
      <c r="LFD34" s="122"/>
      <c r="LFE34" s="122"/>
      <c r="LFF34" s="122"/>
      <c r="LFG34" s="122"/>
      <c r="LFH34" s="122"/>
      <c r="LFI34" s="122"/>
      <c r="LFJ34" s="122"/>
      <c r="LFK34" s="122"/>
      <c r="LFL34" s="122"/>
      <c r="LFM34" s="122"/>
      <c r="LFN34" s="122"/>
      <c r="LFO34" s="122"/>
      <c r="LFP34" s="122"/>
      <c r="LFQ34" s="122"/>
      <c r="LFR34" s="122"/>
      <c r="LFS34" s="122"/>
      <c r="LFT34" s="122"/>
      <c r="LFU34" s="122"/>
      <c r="LFV34" s="122"/>
      <c r="LFW34" s="122"/>
      <c r="LFX34" s="122"/>
      <c r="LFY34" s="122"/>
      <c r="LFZ34" s="122"/>
      <c r="LGA34" s="122"/>
      <c r="LGB34" s="122"/>
      <c r="LGC34" s="122"/>
      <c r="LGD34" s="122"/>
      <c r="LGE34" s="122"/>
      <c r="LGF34" s="122"/>
      <c r="LGG34" s="122"/>
      <c r="LGH34" s="122"/>
      <c r="LGI34" s="122"/>
      <c r="LGJ34" s="122"/>
      <c r="LGK34" s="122"/>
      <c r="LGL34" s="122"/>
      <c r="LGM34" s="122"/>
      <c r="LGN34" s="122"/>
      <c r="LGO34" s="122"/>
      <c r="LGP34" s="122"/>
      <c r="LGQ34" s="122"/>
      <c r="LGR34" s="122"/>
      <c r="LGS34" s="122"/>
      <c r="LGT34" s="122"/>
      <c r="LGU34" s="122"/>
      <c r="LGV34" s="122"/>
      <c r="LGW34" s="122"/>
      <c r="LGX34" s="122"/>
      <c r="LGY34" s="122"/>
      <c r="LGZ34" s="122"/>
      <c r="LHA34" s="122"/>
      <c r="LHB34" s="122"/>
      <c r="LHC34" s="122"/>
      <c r="LHD34" s="122"/>
      <c r="LHE34" s="122"/>
      <c r="LHF34" s="122"/>
      <c r="LHG34" s="122"/>
      <c r="LHH34" s="122"/>
      <c r="LHI34" s="122"/>
      <c r="LHJ34" s="122"/>
      <c r="LHK34" s="122"/>
      <c r="LHL34" s="122"/>
      <c r="LHM34" s="122"/>
      <c r="LHN34" s="122"/>
      <c r="LHO34" s="122"/>
      <c r="LHP34" s="122"/>
      <c r="LHQ34" s="122"/>
      <c r="LHR34" s="122"/>
      <c r="LHS34" s="122"/>
      <c r="LHT34" s="122"/>
      <c r="LHU34" s="122"/>
      <c r="LHV34" s="122"/>
      <c r="LHW34" s="122"/>
      <c r="LHX34" s="122"/>
      <c r="LHY34" s="122"/>
      <c r="LHZ34" s="122"/>
      <c r="LIA34" s="122"/>
      <c r="LIB34" s="122"/>
      <c r="LIC34" s="122"/>
      <c r="LID34" s="122"/>
      <c r="LIE34" s="122"/>
      <c r="LIF34" s="122"/>
      <c r="LIG34" s="122"/>
      <c r="LIH34" s="122"/>
      <c r="LII34" s="122"/>
      <c r="LIJ34" s="122"/>
      <c r="LIK34" s="122"/>
      <c r="LIL34" s="122"/>
      <c r="LIM34" s="122"/>
      <c r="LIN34" s="122"/>
      <c r="LIO34" s="122"/>
      <c r="LIP34" s="122"/>
      <c r="LIQ34" s="122"/>
      <c r="LIR34" s="122"/>
      <c r="LIS34" s="122"/>
      <c r="LIT34" s="122"/>
      <c r="LIU34" s="122"/>
      <c r="LIV34" s="122"/>
      <c r="LIW34" s="122"/>
      <c r="LIX34" s="122"/>
      <c r="LIY34" s="122"/>
      <c r="LIZ34" s="122"/>
      <c r="LJA34" s="122"/>
      <c r="LJB34" s="122"/>
      <c r="LJC34" s="122"/>
      <c r="LJD34" s="122"/>
      <c r="LJE34" s="122"/>
      <c r="LJF34" s="122"/>
      <c r="LJG34" s="122"/>
      <c r="LJH34" s="122"/>
      <c r="LJI34" s="122"/>
      <c r="LJJ34" s="122"/>
      <c r="LJK34" s="122"/>
      <c r="LJL34" s="122"/>
      <c r="LJM34" s="122"/>
      <c r="LJN34" s="122"/>
      <c r="LJO34" s="122"/>
      <c r="LJP34" s="122"/>
      <c r="LJQ34" s="122"/>
      <c r="LJR34" s="122"/>
      <c r="LJS34" s="122"/>
      <c r="LJT34" s="122"/>
      <c r="LJU34" s="122"/>
      <c r="LJV34" s="122"/>
      <c r="LJW34" s="122"/>
      <c r="LJX34" s="122"/>
      <c r="LJY34" s="122"/>
      <c r="LJZ34" s="122"/>
      <c r="LKA34" s="122"/>
      <c r="LKB34" s="122"/>
      <c r="LKC34" s="122"/>
      <c r="LKD34" s="122"/>
      <c r="LKE34" s="122"/>
      <c r="LKF34" s="122"/>
      <c r="LKG34" s="122"/>
      <c r="LKH34" s="122"/>
      <c r="LKI34" s="122"/>
      <c r="LKJ34" s="122"/>
      <c r="LKK34" s="122"/>
      <c r="LKL34" s="122"/>
      <c r="LKM34" s="122"/>
      <c r="LKN34" s="122"/>
      <c r="LKO34" s="122"/>
      <c r="LKP34" s="122"/>
      <c r="LKQ34" s="122"/>
      <c r="LKR34" s="122"/>
      <c r="LKS34" s="122"/>
      <c r="LKT34" s="122"/>
      <c r="LKU34" s="122"/>
      <c r="LKV34" s="122"/>
      <c r="LKW34" s="122"/>
      <c r="LKX34" s="122"/>
      <c r="LKY34" s="122"/>
      <c r="LKZ34" s="122"/>
      <c r="LLA34" s="122"/>
      <c r="LLB34" s="122"/>
      <c r="LLC34" s="122"/>
      <c r="LLD34" s="122"/>
      <c r="LLE34" s="122"/>
      <c r="LLF34" s="122"/>
      <c r="LLG34" s="122"/>
      <c r="LLH34" s="122"/>
      <c r="LLI34" s="122"/>
      <c r="LLJ34" s="122"/>
      <c r="LLK34" s="122"/>
      <c r="LLL34" s="122"/>
      <c r="LLM34" s="122"/>
      <c r="LLN34" s="122"/>
      <c r="LLO34" s="122"/>
      <c r="LLP34" s="122"/>
      <c r="LLQ34" s="122"/>
      <c r="LLR34" s="122"/>
      <c r="LLS34" s="122"/>
      <c r="LLT34" s="122"/>
      <c r="LLU34" s="122"/>
      <c r="LLV34" s="122"/>
      <c r="LLW34" s="122"/>
      <c r="LLX34" s="122"/>
      <c r="LLY34" s="122"/>
      <c r="LLZ34" s="122"/>
      <c r="LMA34" s="122"/>
      <c r="LMB34" s="122"/>
      <c r="LMC34" s="122"/>
      <c r="LMD34" s="122"/>
      <c r="LME34" s="122"/>
      <c r="LMF34" s="122"/>
      <c r="LMG34" s="122"/>
      <c r="LMH34" s="122"/>
      <c r="LMI34" s="122"/>
      <c r="LMJ34" s="122"/>
      <c r="LMK34" s="122"/>
      <c r="LML34" s="122"/>
      <c r="LMM34" s="122"/>
      <c r="LMN34" s="122"/>
      <c r="LMO34" s="122"/>
      <c r="LMP34" s="122"/>
      <c r="LMQ34" s="122"/>
      <c r="LMR34" s="122"/>
      <c r="LMS34" s="122"/>
      <c r="LMT34" s="122"/>
      <c r="LMU34" s="122"/>
      <c r="LMV34" s="122"/>
      <c r="LMW34" s="122"/>
      <c r="LMX34" s="122"/>
      <c r="LMY34" s="122"/>
      <c r="LMZ34" s="122"/>
      <c r="LNA34" s="122"/>
      <c r="LNB34" s="122"/>
      <c r="LNC34" s="122"/>
      <c r="LND34" s="122"/>
      <c r="LNE34" s="122"/>
      <c r="LNF34" s="122"/>
      <c r="LNG34" s="122"/>
      <c r="LNH34" s="122"/>
      <c r="LNI34" s="122"/>
      <c r="LNJ34" s="122"/>
      <c r="LNK34" s="122"/>
      <c r="LNL34" s="122"/>
      <c r="LNM34" s="122"/>
      <c r="LNN34" s="122"/>
      <c r="LNO34" s="122"/>
      <c r="LNP34" s="122"/>
      <c r="LNQ34" s="122"/>
      <c r="LNR34" s="122"/>
      <c r="LNS34" s="122"/>
      <c r="LNT34" s="122"/>
      <c r="LNU34" s="122"/>
      <c r="LNV34" s="122"/>
      <c r="LNW34" s="122"/>
      <c r="LNX34" s="122"/>
      <c r="LNY34" s="122"/>
      <c r="LNZ34" s="122"/>
      <c r="LOA34" s="122"/>
      <c r="LOB34" s="122"/>
      <c r="LOC34" s="122"/>
      <c r="LOD34" s="122"/>
      <c r="LOE34" s="122"/>
      <c r="LOF34" s="122"/>
      <c r="LOG34" s="122"/>
      <c r="LOH34" s="122"/>
      <c r="LOI34" s="122"/>
      <c r="LOJ34" s="122"/>
      <c r="LOK34" s="122"/>
      <c r="LOL34" s="122"/>
      <c r="LOM34" s="122"/>
      <c r="LON34" s="122"/>
      <c r="LOO34" s="122"/>
      <c r="LOP34" s="122"/>
      <c r="LOQ34" s="122"/>
      <c r="LOR34" s="122"/>
      <c r="LOS34" s="122"/>
      <c r="LOT34" s="122"/>
      <c r="LOU34" s="122"/>
      <c r="LOV34" s="122"/>
      <c r="LOW34" s="122"/>
      <c r="LOX34" s="122"/>
      <c r="LOY34" s="122"/>
      <c r="LOZ34" s="122"/>
      <c r="LPA34" s="122"/>
      <c r="LPB34" s="122"/>
      <c r="LPC34" s="122"/>
      <c r="LPD34" s="122"/>
      <c r="LPE34" s="122"/>
      <c r="LPF34" s="122"/>
      <c r="LPG34" s="122"/>
      <c r="LPH34" s="122"/>
      <c r="LPI34" s="122"/>
      <c r="LPJ34" s="122"/>
      <c r="LPK34" s="122"/>
      <c r="LPL34" s="122"/>
      <c r="LPM34" s="122"/>
      <c r="LPN34" s="122"/>
      <c r="LPO34" s="122"/>
      <c r="LPP34" s="122"/>
      <c r="LPQ34" s="122"/>
      <c r="LPR34" s="122"/>
      <c r="LPS34" s="122"/>
      <c r="LPT34" s="122"/>
      <c r="LPU34" s="122"/>
      <c r="LPV34" s="122"/>
      <c r="LPW34" s="122"/>
      <c r="LPX34" s="122"/>
      <c r="LPY34" s="122"/>
      <c r="LPZ34" s="122"/>
      <c r="LQA34" s="122"/>
      <c r="LQB34" s="122"/>
      <c r="LQC34" s="122"/>
      <c r="LQD34" s="122"/>
      <c r="LQE34" s="122"/>
      <c r="LQF34" s="122"/>
      <c r="LQG34" s="122"/>
      <c r="LQH34" s="122"/>
      <c r="LQI34" s="122"/>
      <c r="LQJ34" s="122"/>
      <c r="LQK34" s="122"/>
      <c r="LQL34" s="122"/>
      <c r="LQM34" s="122"/>
      <c r="LQN34" s="122"/>
      <c r="LQO34" s="122"/>
      <c r="LQP34" s="122"/>
      <c r="LQQ34" s="122"/>
      <c r="LQR34" s="122"/>
      <c r="LQS34" s="122"/>
      <c r="LQT34" s="122"/>
      <c r="LQU34" s="122"/>
      <c r="LQV34" s="122"/>
      <c r="LQW34" s="122"/>
      <c r="LQX34" s="122"/>
      <c r="LQY34" s="122"/>
      <c r="LQZ34" s="122"/>
      <c r="LRA34" s="122"/>
      <c r="LRB34" s="122"/>
      <c r="LRC34" s="122"/>
      <c r="LRD34" s="122"/>
      <c r="LRE34" s="122"/>
      <c r="LRF34" s="122"/>
      <c r="LRG34" s="122"/>
      <c r="LRH34" s="122"/>
      <c r="LRI34" s="122"/>
      <c r="LRJ34" s="122"/>
      <c r="LRK34" s="122"/>
      <c r="LRL34" s="122"/>
      <c r="LRM34" s="122"/>
      <c r="LRN34" s="122"/>
      <c r="LRO34" s="122"/>
      <c r="LRP34" s="122"/>
      <c r="LRQ34" s="122"/>
      <c r="LRR34" s="122"/>
      <c r="LRS34" s="122"/>
      <c r="LRT34" s="122"/>
      <c r="LRU34" s="122"/>
      <c r="LRV34" s="122"/>
      <c r="LRW34" s="122"/>
      <c r="LRX34" s="122"/>
      <c r="LRY34" s="122"/>
      <c r="LRZ34" s="122"/>
      <c r="LSA34" s="122"/>
      <c r="LSB34" s="122"/>
      <c r="LSC34" s="122"/>
      <c r="LSD34" s="122"/>
      <c r="LSE34" s="122"/>
      <c r="LSF34" s="122"/>
      <c r="LSG34" s="122"/>
      <c r="LSH34" s="122"/>
      <c r="LSI34" s="122"/>
      <c r="LSJ34" s="122"/>
      <c r="LSK34" s="122"/>
      <c r="LSL34" s="122"/>
      <c r="LSM34" s="122"/>
      <c r="LSN34" s="122"/>
      <c r="LSO34" s="122"/>
      <c r="LSP34" s="122"/>
      <c r="LSQ34" s="122"/>
      <c r="LSR34" s="122"/>
      <c r="LSS34" s="122"/>
      <c r="LST34" s="122"/>
      <c r="LSU34" s="122"/>
      <c r="LSV34" s="122"/>
      <c r="LSW34" s="122"/>
      <c r="LSX34" s="122"/>
      <c r="LSY34" s="122"/>
      <c r="LSZ34" s="122"/>
      <c r="LTA34" s="122"/>
      <c r="LTB34" s="122"/>
      <c r="LTC34" s="122"/>
      <c r="LTD34" s="122"/>
      <c r="LTE34" s="122"/>
      <c r="LTF34" s="122"/>
      <c r="LTG34" s="122"/>
      <c r="LTH34" s="122"/>
      <c r="LTI34" s="122"/>
      <c r="LTJ34" s="122"/>
      <c r="LTK34" s="122"/>
      <c r="LTL34" s="122"/>
      <c r="LTM34" s="122"/>
      <c r="LTN34" s="122"/>
      <c r="LTO34" s="122"/>
      <c r="LTP34" s="122"/>
      <c r="LTQ34" s="122"/>
      <c r="LTR34" s="122"/>
      <c r="LTS34" s="122"/>
      <c r="LTT34" s="122"/>
      <c r="LTU34" s="122"/>
      <c r="LTV34" s="122"/>
      <c r="LTW34" s="122"/>
      <c r="LTX34" s="122"/>
      <c r="LTY34" s="122"/>
      <c r="LTZ34" s="122"/>
      <c r="LUA34" s="122"/>
      <c r="LUB34" s="122"/>
      <c r="LUC34" s="122"/>
      <c r="LUD34" s="122"/>
      <c r="LUE34" s="122"/>
      <c r="LUF34" s="122"/>
      <c r="LUG34" s="122"/>
      <c r="LUH34" s="122"/>
      <c r="LUI34" s="122"/>
      <c r="LUJ34" s="122"/>
      <c r="LUK34" s="122"/>
      <c r="LUL34" s="122"/>
      <c r="LUM34" s="122"/>
      <c r="LUN34" s="122"/>
      <c r="LUO34" s="122"/>
      <c r="LUP34" s="122"/>
      <c r="LUQ34" s="122"/>
      <c r="LUR34" s="122"/>
      <c r="LUS34" s="122"/>
      <c r="LUT34" s="122"/>
      <c r="LUU34" s="122"/>
      <c r="LUV34" s="122"/>
      <c r="LUW34" s="122"/>
      <c r="LUX34" s="122"/>
      <c r="LUY34" s="122"/>
      <c r="LUZ34" s="122"/>
      <c r="LVA34" s="122"/>
      <c r="LVB34" s="122"/>
      <c r="LVC34" s="122"/>
      <c r="LVD34" s="122"/>
      <c r="LVE34" s="122"/>
      <c r="LVF34" s="122"/>
      <c r="LVG34" s="122"/>
      <c r="LVH34" s="122"/>
      <c r="LVI34" s="122"/>
      <c r="LVJ34" s="122"/>
      <c r="LVK34" s="122"/>
      <c r="LVL34" s="122"/>
      <c r="LVM34" s="122"/>
      <c r="LVN34" s="122"/>
      <c r="LVO34" s="122"/>
      <c r="LVP34" s="122"/>
      <c r="LVQ34" s="122"/>
      <c r="LVR34" s="122"/>
      <c r="LVS34" s="122"/>
      <c r="LVT34" s="122"/>
      <c r="LVU34" s="122"/>
      <c r="LVV34" s="122"/>
      <c r="LVW34" s="122"/>
      <c r="LVX34" s="122"/>
      <c r="LVY34" s="122"/>
      <c r="LVZ34" s="122"/>
      <c r="LWA34" s="122"/>
      <c r="LWB34" s="122"/>
      <c r="LWC34" s="122"/>
      <c r="LWD34" s="122"/>
      <c r="LWE34" s="122"/>
      <c r="LWF34" s="122"/>
      <c r="LWG34" s="122"/>
      <c r="LWH34" s="122"/>
      <c r="LWI34" s="122"/>
      <c r="LWJ34" s="122"/>
      <c r="LWK34" s="122"/>
      <c r="LWL34" s="122"/>
      <c r="LWM34" s="122"/>
      <c r="LWN34" s="122"/>
      <c r="LWO34" s="122"/>
      <c r="LWP34" s="122"/>
      <c r="LWQ34" s="122"/>
      <c r="LWR34" s="122"/>
      <c r="LWS34" s="122"/>
      <c r="LWT34" s="122"/>
      <c r="LWU34" s="122"/>
      <c r="LWV34" s="122"/>
      <c r="LWW34" s="122"/>
      <c r="LWX34" s="122"/>
      <c r="LWY34" s="122"/>
      <c r="LWZ34" s="122"/>
      <c r="LXA34" s="122"/>
      <c r="LXB34" s="122"/>
      <c r="LXC34" s="122"/>
      <c r="LXD34" s="122"/>
      <c r="LXE34" s="122"/>
      <c r="LXF34" s="122"/>
      <c r="LXG34" s="122"/>
      <c r="LXH34" s="122"/>
      <c r="LXI34" s="122"/>
      <c r="LXJ34" s="122"/>
      <c r="LXK34" s="122"/>
      <c r="LXL34" s="122"/>
      <c r="LXM34" s="122"/>
      <c r="LXN34" s="122"/>
      <c r="LXO34" s="122"/>
      <c r="LXP34" s="122"/>
      <c r="LXQ34" s="122"/>
      <c r="LXR34" s="122"/>
      <c r="LXS34" s="122"/>
      <c r="LXT34" s="122"/>
      <c r="LXU34" s="122"/>
      <c r="LXV34" s="122"/>
      <c r="LXW34" s="122"/>
      <c r="LXX34" s="122"/>
      <c r="LXY34" s="122"/>
      <c r="LXZ34" s="122"/>
      <c r="LYA34" s="122"/>
      <c r="LYB34" s="122"/>
      <c r="LYC34" s="122"/>
      <c r="LYD34" s="122"/>
      <c r="LYE34" s="122"/>
      <c r="LYF34" s="122"/>
      <c r="LYG34" s="122"/>
      <c r="LYH34" s="122"/>
      <c r="LYI34" s="122"/>
      <c r="LYJ34" s="122"/>
      <c r="LYK34" s="122"/>
      <c r="LYL34" s="122"/>
      <c r="LYM34" s="122"/>
      <c r="LYN34" s="122"/>
      <c r="LYO34" s="122"/>
      <c r="LYP34" s="122"/>
      <c r="LYQ34" s="122"/>
      <c r="LYR34" s="122"/>
      <c r="LYS34" s="122"/>
      <c r="LYT34" s="122"/>
      <c r="LYU34" s="122"/>
      <c r="LYV34" s="122"/>
      <c r="LYW34" s="122"/>
      <c r="LYX34" s="122"/>
      <c r="LYY34" s="122"/>
      <c r="LYZ34" s="122"/>
      <c r="LZA34" s="122"/>
      <c r="LZB34" s="122"/>
      <c r="LZC34" s="122"/>
      <c r="LZD34" s="122"/>
      <c r="LZE34" s="122"/>
      <c r="LZF34" s="122"/>
      <c r="LZG34" s="122"/>
      <c r="LZH34" s="122"/>
      <c r="LZI34" s="122"/>
      <c r="LZJ34" s="122"/>
      <c r="LZK34" s="122"/>
      <c r="LZL34" s="122"/>
      <c r="LZM34" s="122"/>
      <c r="LZN34" s="122"/>
      <c r="LZO34" s="122"/>
      <c r="LZP34" s="122"/>
      <c r="LZQ34" s="122"/>
      <c r="LZR34" s="122"/>
      <c r="LZS34" s="122"/>
      <c r="LZT34" s="122"/>
      <c r="LZU34" s="122"/>
      <c r="LZV34" s="122"/>
      <c r="LZW34" s="122"/>
      <c r="LZX34" s="122"/>
      <c r="LZY34" s="122"/>
      <c r="LZZ34" s="122"/>
      <c r="MAA34" s="122"/>
      <c r="MAB34" s="122"/>
      <c r="MAC34" s="122"/>
      <c r="MAD34" s="122"/>
      <c r="MAE34" s="122"/>
      <c r="MAF34" s="122"/>
      <c r="MAG34" s="122"/>
      <c r="MAH34" s="122"/>
      <c r="MAI34" s="122"/>
      <c r="MAJ34" s="122"/>
      <c r="MAK34" s="122"/>
      <c r="MAL34" s="122"/>
      <c r="MAM34" s="122"/>
      <c r="MAN34" s="122"/>
      <c r="MAO34" s="122"/>
      <c r="MAP34" s="122"/>
      <c r="MAQ34" s="122"/>
      <c r="MAR34" s="122"/>
      <c r="MAS34" s="122"/>
      <c r="MAT34" s="122"/>
      <c r="MAU34" s="122"/>
      <c r="MAV34" s="122"/>
      <c r="MAW34" s="122"/>
      <c r="MAX34" s="122"/>
      <c r="MAY34" s="122"/>
      <c r="MAZ34" s="122"/>
      <c r="MBA34" s="122"/>
      <c r="MBB34" s="122"/>
      <c r="MBC34" s="122"/>
      <c r="MBD34" s="122"/>
      <c r="MBE34" s="122"/>
      <c r="MBF34" s="122"/>
      <c r="MBG34" s="122"/>
      <c r="MBH34" s="122"/>
      <c r="MBI34" s="122"/>
      <c r="MBJ34" s="122"/>
      <c r="MBK34" s="122"/>
      <c r="MBL34" s="122"/>
      <c r="MBM34" s="122"/>
      <c r="MBN34" s="122"/>
      <c r="MBO34" s="122"/>
      <c r="MBP34" s="122"/>
      <c r="MBQ34" s="122"/>
      <c r="MBR34" s="122"/>
      <c r="MBS34" s="122"/>
      <c r="MBT34" s="122"/>
      <c r="MBU34" s="122"/>
      <c r="MBV34" s="122"/>
      <c r="MBW34" s="122"/>
      <c r="MBX34" s="122"/>
      <c r="MBY34" s="122"/>
      <c r="MBZ34" s="122"/>
      <c r="MCA34" s="122"/>
      <c r="MCB34" s="122"/>
      <c r="MCC34" s="122"/>
      <c r="MCD34" s="122"/>
      <c r="MCE34" s="122"/>
      <c r="MCF34" s="122"/>
      <c r="MCG34" s="122"/>
      <c r="MCH34" s="122"/>
      <c r="MCI34" s="122"/>
      <c r="MCJ34" s="122"/>
      <c r="MCK34" s="122"/>
      <c r="MCL34" s="122"/>
      <c r="MCM34" s="122"/>
      <c r="MCN34" s="122"/>
      <c r="MCO34" s="122"/>
      <c r="MCP34" s="122"/>
      <c r="MCQ34" s="122"/>
      <c r="MCR34" s="122"/>
      <c r="MCS34" s="122"/>
      <c r="MCT34" s="122"/>
      <c r="MCU34" s="122"/>
      <c r="MCV34" s="122"/>
      <c r="MCW34" s="122"/>
      <c r="MCX34" s="122"/>
      <c r="MCY34" s="122"/>
      <c r="MCZ34" s="122"/>
      <c r="MDA34" s="122"/>
      <c r="MDB34" s="122"/>
      <c r="MDC34" s="122"/>
      <c r="MDD34" s="122"/>
      <c r="MDE34" s="122"/>
      <c r="MDF34" s="122"/>
      <c r="MDG34" s="122"/>
      <c r="MDH34" s="122"/>
      <c r="MDI34" s="122"/>
      <c r="MDJ34" s="122"/>
      <c r="MDK34" s="122"/>
      <c r="MDL34" s="122"/>
      <c r="MDM34" s="122"/>
      <c r="MDN34" s="122"/>
      <c r="MDO34" s="122"/>
      <c r="MDP34" s="122"/>
      <c r="MDQ34" s="122"/>
      <c r="MDR34" s="122"/>
      <c r="MDS34" s="122"/>
      <c r="MDT34" s="122"/>
      <c r="MDU34" s="122"/>
      <c r="MDV34" s="122"/>
      <c r="MDW34" s="122"/>
      <c r="MDX34" s="122"/>
      <c r="MDY34" s="122"/>
      <c r="MDZ34" s="122"/>
      <c r="MEA34" s="122"/>
      <c r="MEB34" s="122"/>
      <c r="MEC34" s="122"/>
      <c r="MED34" s="122"/>
      <c r="MEE34" s="122"/>
      <c r="MEF34" s="122"/>
      <c r="MEG34" s="122"/>
      <c r="MEH34" s="122"/>
      <c r="MEI34" s="122"/>
      <c r="MEJ34" s="122"/>
      <c r="MEK34" s="122"/>
      <c r="MEL34" s="122"/>
      <c r="MEM34" s="122"/>
      <c r="MEN34" s="122"/>
      <c r="MEO34" s="122"/>
      <c r="MEP34" s="122"/>
      <c r="MEQ34" s="122"/>
      <c r="MER34" s="122"/>
      <c r="MES34" s="122"/>
      <c r="MET34" s="122"/>
      <c r="MEU34" s="122"/>
      <c r="MEV34" s="122"/>
      <c r="MEW34" s="122"/>
      <c r="MEX34" s="122"/>
      <c r="MEY34" s="122"/>
      <c r="MEZ34" s="122"/>
      <c r="MFA34" s="122"/>
      <c r="MFB34" s="122"/>
      <c r="MFC34" s="122"/>
      <c r="MFD34" s="122"/>
      <c r="MFE34" s="122"/>
      <c r="MFF34" s="122"/>
      <c r="MFG34" s="122"/>
      <c r="MFH34" s="122"/>
      <c r="MFI34" s="122"/>
      <c r="MFJ34" s="122"/>
      <c r="MFK34" s="122"/>
      <c r="MFL34" s="122"/>
      <c r="MFM34" s="122"/>
      <c r="MFN34" s="122"/>
      <c r="MFO34" s="122"/>
      <c r="MFP34" s="122"/>
      <c r="MFQ34" s="122"/>
      <c r="MFR34" s="122"/>
      <c r="MFS34" s="122"/>
      <c r="MFT34" s="122"/>
      <c r="MFU34" s="122"/>
      <c r="MFV34" s="122"/>
      <c r="MFW34" s="122"/>
      <c r="MFX34" s="122"/>
      <c r="MFY34" s="122"/>
      <c r="MFZ34" s="122"/>
      <c r="MGA34" s="122"/>
      <c r="MGB34" s="122"/>
      <c r="MGC34" s="122"/>
      <c r="MGD34" s="122"/>
      <c r="MGE34" s="122"/>
      <c r="MGF34" s="122"/>
      <c r="MGG34" s="122"/>
      <c r="MGH34" s="122"/>
      <c r="MGI34" s="122"/>
      <c r="MGJ34" s="122"/>
      <c r="MGK34" s="122"/>
      <c r="MGL34" s="122"/>
      <c r="MGM34" s="122"/>
      <c r="MGN34" s="122"/>
      <c r="MGO34" s="122"/>
      <c r="MGP34" s="122"/>
      <c r="MGQ34" s="122"/>
      <c r="MGR34" s="122"/>
      <c r="MGS34" s="122"/>
      <c r="MGT34" s="122"/>
      <c r="MGU34" s="122"/>
      <c r="MGV34" s="122"/>
      <c r="MGW34" s="122"/>
      <c r="MGX34" s="122"/>
      <c r="MGY34" s="122"/>
      <c r="MGZ34" s="122"/>
      <c r="MHA34" s="122"/>
      <c r="MHB34" s="122"/>
      <c r="MHC34" s="122"/>
      <c r="MHD34" s="122"/>
      <c r="MHE34" s="122"/>
      <c r="MHF34" s="122"/>
      <c r="MHG34" s="122"/>
      <c r="MHH34" s="122"/>
      <c r="MHI34" s="122"/>
      <c r="MHJ34" s="122"/>
      <c r="MHK34" s="122"/>
      <c r="MHL34" s="122"/>
      <c r="MHM34" s="122"/>
      <c r="MHN34" s="122"/>
      <c r="MHO34" s="122"/>
      <c r="MHP34" s="122"/>
      <c r="MHQ34" s="122"/>
      <c r="MHR34" s="122"/>
      <c r="MHS34" s="122"/>
      <c r="MHT34" s="122"/>
      <c r="MHU34" s="122"/>
      <c r="MHV34" s="122"/>
      <c r="MHW34" s="122"/>
      <c r="MHX34" s="122"/>
      <c r="MHY34" s="122"/>
      <c r="MHZ34" s="122"/>
      <c r="MIA34" s="122"/>
      <c r="MIB34" s="122"/>
      <c r="MIC34" s="122"/>
      <c r="MID34" s="122"/>
      <c r="MIE34" s="122"/>
      <c r="MIF34" s="122"/>
      <c r="MIG34" s="122"/>
      <c r="MIH34" s="122"/>
      <c r="MII34" s="122"/>
      <c r="MIJ34" s="122"/>
      <c r="MIK34" s="122"/>
      <c r="MIL34" s="122"/>
      <c r="MIM34" s="122"/>
      <c r="MIN34" s="122"/>
      <c r="MIO34" s="122"/>
      <c r="MIP34" s="122"/>
      <c r="MIQ34" s="122"/>
      <c r="MIR34" s="122"/>
      <c r="MIS34" s="122"/>
      <c r="MIT34" s="122"/>
      <c r="MIU34" s="122"/>
      <c r="MIV34" s="122"/>
      <c r="MIW34" s="122"/>
      <c r="MIX34" s="122"/>
      <c r="MIY34" s="122"/>
      <c r="MIZ34" s="122"/>
      <c r="MJA34" s="122"/>
      <c r="MJB34" s="122"/>
      <c r="MJC34" s="122"/>
      <c r="MJD34" s="122"/>
      <c r="MJE34" s="122"/>
      <c r="MJF34" s="122"/>
      <c r="MJG34" s="122"/>
      <c r="MJH34" s="122"/>
      <c r="MJI34" s="122"/>
      <c r="MJJ34" s="122"/>
      <c r="MJK34" s="122"/>
      <c r="MJL34" s="122"/>
      <c r="MJM34" s="122"/>
      <c r="MJN34" s="122"/>
      <c r="MJO34" s="122"/>
      <c r="MJP34" s="122"/>
      <c r="MJQ34" s="122"/>
      <c r="MJR34" s="122"/>
      <c r="MJS34" s="122"/>
      <c r="MJT34" s="122"/>
      <c r="MJU34" s="122"/>
      <c r="MJV34" s="122"/>
      <c r="MJW34" s="122"/>
      <c r="MJX34" s="122"/>
      <c r="MJY34" s="122"/>
      <c r="MJZ34" s="122"/>
      <c r="MKA34" s="122"/>
      <c r="MKB34" s="122"/>
      <c r="MKC34" s="122"/>
      <c r="MKD34" s="122"/>
      <c r="MKE34" s="122"/>
      <c r="MKF34" s="122"/>
      <c r="MKG34" s="122"/>
      <c r="MKH34" s="122"/>
      <c r="MKI34" s="122"/>
      <c r="MKJ34" s="122"/>
      <c r="MKK34" s="122"/>
      <c r="MKL34" s="122"/>
      <c r="MKM34" s="122"/>
      <c r="MKN34" s="122"/>
      <c r="MKO34" s="122"/>
      <c r="MKP34" s="122"/>
      <c r="MKQ34" s="122"/>
      <c r="MKR34" s="122"/>
      <c r="MKS34" s="122"/>
      <c r="MKT34" s="122"/>
      <c r="MKU34" s="122"/>
      <c r="MKV34" s="122"/>
      <c r="MKW34" s="122"/>
      <c r="MKX34" s="122"/>
      <c r="MKY34" s="122"/>
      <c r="MKZ34" s="122"/>
      <c r="MLA34" s="122"/>
      <c r="MLB34" s="122"/>
      <c r="MLC34" s="122"/>
      <c r="MLD34" s="122"/>
      <c r="MLE34" s="122"/>
      <c r="MLF34" s="122"/>
      <c r="MLG34" s="122"/>
      <c r="MLH34" s="122"/>
      <c r="MLI34" s="122"/>
      <c r="MLJ34" s="122"/>
      <c r="MLK34" s="122"/>
      <c r="MLL34" s="122"/>
      <c r="MLM34" s="122"/>
      <c r="MLN34" s="122"/>
      <c r="MLO34" s="122"/>
      <c r="MLP34" s="122"/>
      <c r="MLQ34" s="122"/>
      <c r="MLR34" s="122"/>
      <c r="MLS34" s="122"/>
      <c r="MLT34" s="122"/>
      <c r="MLU34" s="122"/>
      <c r="MLV34" s="122"/>
      <c r="MLW34" s="122"/>
      <c r="MLX34" s="122"/>
      <c r="MLY34" s="122"/>
      <c r="MLZ34" s="122"/>
      <c r="MMA34" s="122"/>
      <c r="MMB34" s="122"/>
      <c r="MMC34" s="122"/>
      <c r="MMD34" s="122"/>
      <c r="MME34" s="122"/>
      <c r="MMF34" s="122"/>
      <c r="MMG34" s="122"/>
      <c r="MMH34" s="122"/>
      <c r="MMI34" s="122"/>
      <c r="MMJ34" s="122"/>
      <c r="MMK34" s="122"/>
      <c r="MML34" s="122"/>
      <c r="MMM34" s="122"/>
      <c r="MMN34" s="122"/>
      <c r="MMO34" s="122"/>
      <c r="MMP34" s="122"/>
      <c r="MMQ34" s="122"/>
      <c r="MMR34" s="122"/>
      <c r="MMS34" s="122"/>
      <c r="MMT34" s="122"/>
      <c r="MMU34" s="122"/>
      <c r="MMV34" s="122"/>
      <c r="MMW34" s="122"/>
      <c r="MMX34" s="122"/>
      <c r="MMY34" s="122"/>
      <c r="MMZ34" s="122"/>
      <c r="MNA34" s="122"/>
      <c r="MNB34" s="122"/>
      <c r="MNC34" s="122"/>
      <c r="MND34" s="122"/>
      <c r="MNE34" s="122"/>
      <c r="MNF34" s="122"/>
      <c r="MNG34" s="122"/>
      <c r="MNH34" s="122"/>
      <c r="MNI34" s="122"/>
      <c r="MNJ34" s="122"/>
      <c r="MNK34" s="122"/>
      <c r="MNL34" s="122"/>
      <c r="MNM34" s="122"/>
      <c r="MNN34" s="122"/>
      <c r="MNO34" s="122"/>
      <c r="MNP34" s="122"/>
      <c r="MNQ34" s="122"/>
      <c r="MNR34" s="122"/>
      <c r="MNS34" s="122"/>
      <c r="MNT34" s="122"/>
      <c r="MNU34" s="122"/>
      <c r="MNV34" s="122"/>
      <c r="MNW34" s="122"/>
      <c r="MNX34" s="122"/>
      <c r="MNY34" s="122"/>
      <c r="MNZ34" s="122"/>
      <c r="MOA34" s="122"/>
      <c r="MOB34" s="122"/>
      <c r="MOC34" s="122"/>
      <c r="MOD34" s="122"/>
      <c r="MOE34" s="122"/>
      <c r="MOF34" s="122"/>
      <c r="MOG34" s="122"/>
      <c r="MOH34" s="122"/>
      <c r="MOI34" s="122"/>
      <c r="MOJ34" s="122"/>
      <c r="MOK34" s="122"/>
      <c r="MOL34" s="122"/>
      <c r="MOM34" s="122"/>
      <c r="MON34" s="122"/>
      <c r="MOO34" s="122"/>
      <c r="MOP34" s="122"/>
      <c r="MOQ34" s="122"/>
      <c r="MOR34" s="122"/>
      <c r="MOS34" s="122"/>
      <c r="MOT34" s="122"/>
      <c r="MOU34" s="122"/>
      <c r="MOV34" s="122"/>
      <c r="MOW34" s="122"/>
      <c r="MOX34" s="122"/>
      <c r="MOY34" s="122"/>
      <c r="MOZ34" s="122"/>
      <c r="MPA34" s="122"/>
      <c r="MPB34" s="122"/>
      <c r="MPC34" s="122"/>
      <c r="MPD34" s="122"/>
      <c r="MPE34" s="122"/>
      <c r="MPF34" s="122"/>
      <c r="MPG34" s="122"/>
      <c r="MPH34" s="122"/>
      <c r="MPI34" s="122"/>
      <c r="MPJ34" s="122"/>
      <c r="MPK34" s="122"/>
      <c r="MPL34" s="122"/>
      <c r="MPM34" s="122"/>
      <c r="MPN34" s="122"/>
      <c r="MPO34" s="122"/>
      <c r="MPP34" s="122"/>
      <c r="MPQ34" s="122"/>
      <c r="MPR34" s="122"/>
      <c r="MPS34" s="122"/>
      <c r="MPT34" s="122"/>
      <c r="MPU34" s="122"/>
      <c r="MPV34" s="122"/>
      <c r="MPW34" s="122"/>
      <c r="MPX34" s="122"/>
      <c r="MPY34" s="122"/>
      <c r="MPZ34" s="122"/>
      <c r="MQA34" s="122"/>
      <c r="MQB34" s="122"/>
      <c r="MQC34" s="122"/>
      <c r="MQD34" s="122"/>
      <c r="MQE34" s="122"/>
      <c r="MQF34" s="122"/>
      <c r="MQG34" s="122"/>
      <c r="MQH34" s="122"/>
      <c r="MQI34" s="122"/>
      <c r="MQJ34" s="122"/>
      <c r="MQK34" s="122"/>
      <c r="MQL34" s="122"/>
      <c r="MQM34" s="122"/>
      <c r="MQN34" s="122"/>
      <c r="MQO34" s="122"/>
      <c r="MQP34" s="122"/>
      <c r="MQQ34" s="122"/>
      <c r="MQR34" s="122"/>
      <c r="MQS34" s="122"/>
      <c r="MQT34" s="122"/>
      <c r="MQU34" s="122"/>
      <c r="MQV34" s="122"/>
      <c r="MQW34" s="122"/>
      <c r="MQX34" s="122"/>
      <c r="MQY34" s="122"/>
      <c r="MQZ34" s="122"/>
      <c r="MRA34" s="122"/>
      <c r="MRB34" s="122"/>
      <c r="MRC34" s="122"/>
      <c r="MRD34" s="122"/>
      <c r="MRE34" s="122"/>
      <c r="MRF34" s="122"/>
      <c r="MRG34" s="122"/>
      <c r="MRH34" s="122"/>
      <c r="MRI34" s="122"/>
      <c r="MRJ34" s="122"/>
      <c r="MRK34" s="122"/>
      <c r="MRL34" s="122"/>
      <c r="MRM34" s="122"/>
      <c r="MRN34" s="122"/>
      <c r="MRO34" s="122"/>
      <c r="MRP34" s="122"/>
      <c r="MRQ34" s="122"/>
      <c r="MRR34" s="122"/>
      <c r="MRS34" s="122"/>
      <c r="MRT34" s="122"/>
      <c r="MRU34" s="122"/>
      <c r="MRV34" s="122"/>
      <c r="MRW34" s="122"/>
      <c r="MRX34" s="122"/>
      <c r="MRY34" s="122"/>
      <c r="MRZ34" s="122"/>
      <c r="MSA34" s="122"/>
      <c r="MSB34" s="122"/>
      <c r="MSC34" s="122"/>
      <c r="MSD34" s="122"/>
      <c r="MSE34" s="122"/>
      <c r="MSF34" s="122"/>
      <c r="MSG34" s="122"/>
      <c r="MSH34" s="122"/>
      <c r="MSI34" s="122"/>
      <c r="MSJ34" s="122"/>
      <c r="MSK34" s="122"/>
      <c r="MSL34" s="122"/>
      <c r="MSM34" s="122"/>
      <c r="MSN34" s="122"/>
      <c r="MSO34" s="122"/>
      <c r="MSP34" s="122"/>
      <c r="MSQ34" s="122"/>
      <c r="MSR34" s="122"/>
      <c r="MSS34" s="122"/>
      <c r="MST34" s="122"/>
      <c r="MSU34" s="122"/>
      <c r="MSV34" s="122"/>
      <c r="MSW34" s="122"/>
      <c r="MSX34" s="122"/>
      <c r="MSY34" s="122"/>
      <c r="MSZ34" s="122"/>
      <c r="MTA34" s="122"/>
      <c r="MTB34" s="122"/>
      <c r="MTC34" s="122"/>
      <c r="MTD34" s="122"/>
      <c r="MTE34" s="122"/>
      <c r="MTF34" s="122"/>
      <c r="MTG34" s="122"/>
      <c r="MTH34" s="122"/>
      <c r="MTI34" s="122"/>
      <c r="MTJ34" s="122"/>
      <c r="MTK34" s="122"/>
      <c r="MTL34" s="122"/>
      <c r="MTM34" s="122"/>
      <c r="MTN34" s="122"/>
      <c r="MTO34" s="122"/>
      <c r="MTP34" s="122"/>
      <c r="MTQ34" s="122"/>
      <c r="MTR34" s="122"/>
      <c r="MTS34" s="122"/>
      <c r="MTT34" s="122"/>
      <c r="MTU34" s="122"/>
      <c r="MTV34" s="122"/>
      <c r="MTW34" s="122"/>
      <c r="MTX34" s="122"/>
      <c r="MTY34" s="122"/>
      <c r="MTZ34" s="122"/>
      <c r="MUA34" s="122"/>
      <c r="MUB34" s="122"/>
      <c r="MUC34" s="122"/>
      <c r="MUD34" s="122"/>
      <c r="MUE34" s="122"/>
      <c r="MUF34" s="122"/>
      <c r="MUG34" s="122"/>
      <c r="MUH34" s="122"/>
      <c r="MUI34" s="122"/>
      <c r="MUJ34" s="122"/>
      <c r="MUK34" s="122"/>
      <c r="MUL34" s="122"/>
      <c r="MUM34" s="122"/>
      <c r="MUN34" s="122"/>
      <c r="MUO34" s="122"/>
      <c r="MUP34" s="122"/>
      <c r="MUQ34" s="122"/>
      <c r="MUR34" s="122"/>
      <c r="MUS34" s="122"/>
      <c r="MUT34" s="122"/>
      <c r="MUU34" s="122"/>
      <c r="MUV34" s="122"/>
      <c r="MUW34" s="122"/>
      <c r="MUX34" s="122"/>
      <c r="MUY34" s="122"/>
      <c r="MUZ34" s="122"/>
      <c r="MVA34" s="122"/>
      <c r="MVB34" s="122"/>
      <c r="MVC34" s="122"/>
      <c r="MVD34" s="122"/>
      <c r="MVE34" s="122"/>
      <c r="MVF34" s="122"/>
      <c r="MVG34" s="122"/>
      <c r="MVH34" s="122"/>
      <c r="MVI34" s="122"/>
      <c r="MVJ34" s="122"/>
      <c r="MVK34" s="122"/>
      <c r="MVL34" s="122"/>
      <c r="MVM34" s="122"/>
      <c r="MVN34" s="122"/>
      <c r="MVO34" s="122"/>
      <c r="MVP34" s="122"/>
      <c r="MVQ34" s="122"/>
      <c r="MVR34" s="122"/>
      <c r="MVS34" s="122"/>
      <c r="MVT34" s="122"/>
      <c r="MVU34" s="122"/>
      <c r="MVV34" s="122"/>
      <c r="MVW34" s="122"/>
      <c r="MVX34" s="122"/>
      <c r="MVY34" s="122"/>
      <c r="MVZ34" s="122"/>
      <c r="MWA34" s="122"/>
      <c r="MWB34" s="122"/>
      <c r="MWC34" s="122"/>
      <c r="MWD34" s="122"/>
      <c r="MWE34" s="122"/>
      <c r="MWF34" s="122"/>
      <c r="MWG34" s="122"/>
      <c r="MWH34" s="122"/>
      <c r="MWI34" s="122"/>
      <c r="MWJ34" s="122"/>
      <c r="MWK34" s="122"/>
      <c r="MWL34" s="122"/>
      <c r="MWM34" s="122"/>
      <c r="MWN34" s="122"/>
      <c r="MWO34" s="122"/>
      <c r="MWP34" s="122"/>
      <c r="MWQ34" s="122"/>
      <c r="MWR34" s="122"/>
      <c r="MWS34" s="122"/>
      <c r="MWT34" s="122"/>
      <c r="MWU34" s="122"/>
      <c r="MWV34" s="122"/>
      <c r="MWW34" s="122"/>
      <c r="MWX34" s="122"/>
      <c r="MWY34" s="122"/>
      <c r="MWZ34" s="122"/>
      <c r="MXA34" s="122"/>
      <c r="MXB34" s="122"/>
      <c r="MXC34" s="122"/>
      <c r="MXD34" s="122"/>
      <c r="MXE34" s="122"/>
      <c r="MXF34" s="122"/>
      <c r="MXG34" s="122"/>
      <c r="MXH34" s="122"/>
      <c r="MXI34" s="122"/>
      <c r="MXJ34" s="122"/>
      <c r="MXK34" s="122"/>
      <c r="MXL34" s="122"/>
      <c r="MXM34" s="122"/>
      <c r="MXN34" s="122"/>
      <c r="MXO34" s="122"/>
      <c r="MXP34" s="122"/>
      <c r="MXQ34" s="122"/>
      <c r="MXR34" s="122"/>
      <c r="MXS34" s="122"/>
      <c r="MXT34" s="122"/>
      <c r="MXU34" s="122"/>
      <c r="MXV34" s="122"/>
      <c r="MXW34" s="122"/>
      <c r="MXX34" s="122"/>
      <c r="MXY34" s="122"/>
      <c r="MXZ34" s="122"/>
      <c r="MYA34" s="122"/>
      <c r="MYB34" s="122"/>
      <c r="MYC34" s="122"/>
      <c r="MYD34" s="122"/>
      <c r="MYE34" s="122"/>
      <c r="MYF34" s="122"/>
      <c r="MYG34" s="122"/>
      <c r="MYH34" s="122"/>
      <c r="MYI34" s="122"/>
      <c r="MYJ34" s="122"/>
      <c r="MYK34" s="122"/>
      <c r="MYL34" s="122"/>
      <c r="MYM34" s="122"/>
      <c r="MYN34" s="122"/>
      <c r="MYO34" s="122"/>
      <c r="MYP34" s="122"/>
      <c r="MYQ34" s="122"/>
      <c r="MYR34" s="122"/>
      <c r="MYS34" s="122"/>
      <c r="MYT34" s="122"/>
      <c r="MYU34" s="122"/>
      <c r="MYV34" s="122"/>
      <c r="MYW34" s="122"/>
      <c r="MYX34" s="122"/>
      <c r="MYY34" s="122"/>
      <c r="MYZ34" s="122"/>
      <c r="MZA34" s="122"/>
      <c r="MZB34" s="122"/>
      <c r="MZC34" s="122"/>
      <c r="MZD34" s="122"/>
      <c r="MZE34" s="122"/>
      <c r="MZF34" s="122"/>
      <c r="MZG34" s="122"/>
      <c r="MZH34" s="122"/>
      <c r="MZI34" s="122"/>
      <c r="MZJ34" s="122"/>
      <c r="MZK34" s="122"/>
      <c r="MZL34" s="122"/>
      <c r="MZM34" s="122"/>
      <c r="MZN34" s="122"/>
      <c r="MZO34" s="122"/>
      <c r="MZP34" s="122"/>
      <c r="MZQ34" s="122"/>
      <c r="MZR34" s="122"/>
      <c r="MZS34" s="122"/>
      <c r="MZT34" s="122"/>
      <c r="MZU34" s="122"/>
      <c r="MZV34" s="122"/>
      <c r="MZW34" s="122"/>
      <c r="MZX34" s="122"/>
      <c r="MZY34" s="122"/>
      <c r="MZZ34" s="122"/>
      <c r="NAA34" s="122"/>
      <c r="NAB34" s="122"/>
      <c r="NAC34" s="122"/>
      <c r="NAD34" s="122"/>
      <c r="NAE34" s="122"/>
      <c r="NAF34" s="122"/>
      <c r="NAG34" s="122"/>
      <c r="NAH34" s="122"/>
      <c r="NAI34" s="122"/>
      <c r="NAJ34" s="122"/>
      <c r="NAK34" s="122"/>
      <c r="NAL34" s="122"/>
      <c r="NAM34" s="122"/>
      <c r="NAN34" s="122"/>
      <c r="NAO34" s="122"/>
      <c r="NAP34" s="122"/>
      <c r="NAQ34" s="122"/>
      <c r="NAR34" s="122"/>
      <c r="NAS34" s="122"/>
      <c r="NAT34" s="122"/>
      <c r="NAU34" s="122"/>
      <c r="NAV34" s="122"/>
      <c r="NAW34" s="122"/>
      <c r="NAX34" s="122"/>
      <c r="NAY34" s="122"/>
      <c r="NAZ34" s="122"/>
      <c r="NBA34" s="122"/>
      <c r="NBB34" s="122"/>
      <c r="NBC34" s="122"/>
      <c r="NBD34" s="122"/>
      <c r="NBE34" s="122"/>
      <c r="NBF34" s="122"/>
      <c r="NBG34" s="122"/>
      <c r="NBH34" s="122"/>
      <c r="NBI34" s="122"/>
      <c r="NBJ34" s="122"/>
      <c r="NBK34" s="122"/>
      <c r="NBL34" s="122"/>
      <c r="NBM34" s="122"/>
      <c r="NBN34" s="122"/>
      <c r="NBO34" s="122"/>
      <c r="NBP34" s="122"/>
      <c r="NBQ34" s="122"/>
      <c r="NBR34" s="122"/>
      <c r="NBS34" s="122"/>
      <c r="NBT34" s="122"/>
      <c r="NBU34" s="122"/>
      <c r="NBV34" s="122"/>
      <c r="NBW34" s="122"/>
      <c r="NBX34" s="122"/>
      <c r="NBY34" s="122"/>
      <c r="NBZ34" s="122"/>
      <c r="NCA34" s="122"/>
      <c r="NCB34" s="122"/>
      <c r="NCC34" s="122"/>
      <c r="NCD34" s="122"/>
      <c r="NCE34" s="122"/>
      <c r="NCF34" s="122"/>
      <c r="NCG34" s="122"/>
      <c r="NCH34" s="122"/>
      <c r="NCI34" s="122"/>
      <c r="NCJ34" s="122"/>
      <c r="NCK34" s="122"/>
      <c r="NCL34" s="122"/>
      <c r="NCM34" s="122"/>
      <c r="NCN34" s="122"/>
      <c r="NCO34" s="122"/>
      <c r="NCP34" s="122"/>
      <c r="NCQ34" s="122"/>
      <c r="NCR34" s="122"/>
      <c r="NCS34" s="122"/>
      <c r="NCT34" s="122"/>
      <c r="NCU34" s="122"/>
      <c r="NCV34" s="122"/>
      <c r="NCW34" s="122"/>
      <c r="NCX34" s="122"/>
      <c r="NCY34" s="122"/>
      <c r="NCZ34" s="122"/>
      <c r="NDA34" s="122"/>
      <c r="NDB34" s="122"/>
      <c r="NDC34" s="122"/>
      <c r="NDD34" s="122"/>
      <c r="NDE34" s="122"/>
      <c r="NDF34" s="122"/>
      <c r="NDG34" s="122"/>
      <c r="NDH34" s="122"/>
      <c r="NDI34" s="122"/>
      <c r="NDJ34" s="122"/>
      <c r="NDK34" s="122"/>
      <c r="NDL34" s="122"/>
      <c r="NDM34" s="122"/>
      <c r="NDN34" s="122"/>
      <c r="NDO34" s="122"/>
      <c r="NDP34" s="122"/>
      <c r="NDQ34" s="122"/>
      <c r="NDR34" s="122"/>
      <c r="NDS34" s="122"/>
      <c r="NDT34" s="122"/>
      <c r="NDU34" s="122"/>
      <c r="NDV34" s="122"/>
      <c r="NDW34" s="122"/>
      <c r="NDX34" s="122"/>
      <c r="NDY34" s="122"/>
      <c r="NDZ34" s="122"/>
      <c r="NEA34" s="122"/>
      <c r="NEB34" s="122"/>
      <c r="NEC34" s="122"/>
      <c r="NED34" s="122"/>
      <c r="NEE34" s="122"/>
      <c r="NEF34" s="122"/>
      <c r="NEG34" s="122"/>
      <c r="NEH34" s="122"/>
      <c r="NEI34" s="122"/>
      <c r="NEJ34" s="122"/>
      <c r="NEK34" s="122"/>
      <c r="NEL34" s="122"/>
      <c r="NEM34" s="122"/>
      <c r="NEN34" s="122"/>
      <c r="NEO34" s="122"/>
      <c r="NEP34" s="122"/>
      <c r="NEQ34" s="122"/>
      <c r="NER34" s="122"/>
      <c r="NES34" s="122"/>
      <c r="NET34" s="122"/>
      <c r="NEU34" s="122"/>
      <c r="NEV34" s="122"/>
      <c r="NEW34" s="122"/>
      <c r="NEX34" s="122"/>
      <c r="NEY34" s="122"/>
      <c r="NEZ34" s="122"/>
      <c r="NFA34" s="122"/>
      <c r="NFB34" s="122"/>
      <c r="NFC34" s="122"/>
      <c r="NFD34" s="122"/>
      <c r="NFE34" s="122"/>
      <c r="NFF34" s="122"/>
      <c r="NFG34" s="122"/>
      <c r="NFH34" s="122"/>
      <c r="NFI34" s="122"/>
      <c r="NFJ34" s="122"/>
      <c r="NFK34" s="122"/>
      <c r="NFL34" s="122"/>
      <c r="NFM34" s="122"/>
      <c r="NFN34" s="122"/>
      <c r="NFO34" s="122"/>
      <c r="NFP34" s="122"/>
      <c r="NFQ34" s="122"/>
      <c r="NFR34" s="122"/>
      <c r="NFS34" s="122"/>
      <c r="NFT34" s="122"/>
      <c r="NFU34" s="122"/>
      <c r="NFV34" s="122"/>
      <c r="NFW34" s="122"/>
      <c r="NFX34" s="122"/>
      <c r="NFY34" s="122"/>
      <c r="NFZ34" s="122"/>
      <c r="NGA34" s="122"/>
      <c r="NGB34" s="122"/>
      <c r="NGC34" s="122"/>
      <c r="NGD34" s="122"/>
      <c r="NGE34" s="122"/>
      <c r="NGF34" s="122"/>
      <c r="NGG34" s="122"/>
      <c r="NGH34" s="122"/>
      <c r="NGI34" s="122"/>
      <c r="NGJ34" s="122"/>
      <c r="NGK34" s="122"/>
      <c r="NGL34" s="122"/>
      <c r="NGM34" s="122"/>
      <c r="NGN34" s="122"/>
      <c r="NGO34" s="122"/>
      <c r="NGP34" s="122"/>
      <c r="NGQ34" s="122"/>
      <c r="NGR34" s="122"/>
      <c r="NGS34" s="122"/>
      <c r="NGT34" s="122"/>
      <c r="NGU34" s="122"/>
      <c r="NGV34" s="122"/>
      <c r="NGW34" s="122"/>
      <c r="NGX34" s="122"/>
      <c r="NGY34" s="122"/>
      <c r="NGZ34" s="122"/>
      <c r="NHA34" s="122"/>
      <c r="NHB34" s="122"/>
      <c r="NHC34" s="122"/>
      <c r="NHD34" s="122"/>
      <c r="NHE34" s="122"/>
      <c r="NHF34" s="122"/>
      <c r="NHG34" s="122"/>
      <c r="NHH34" s="122"/>
      <c r="NHI34" s="122"/>
      <c r="NHJ34" s="122"/>
      <c r="NHK34" s="122"/>
      <c r="NHL34" s="122"/>
      <c r="NHM34" s="122"/>
      <c r="NHN34" s="122"/>
      <c r="NHO34" s="122"/>
      <c r="NHP34" s="122"/>
      <c r="NHQ34" s="122"/>
      <c r="NHR34" s="122"/>
      <c r="NHS34" s="122"/>
      <c r="NHT34" s="122"/>
      <c r="NHU34" s="122"/>
      <c r="NHV34" s="122"/>
      <c r="NHW34" s="122"/>
      <c r="NHX34" s="122"/>
      <c r="NHY34" s="122"/>
      <c r="NHZ34" s="122"/>
      <c r="NIA34" s="122"/>
      <c r="NIB34" s="122"/>
      <c r="NIC34" s="122"/>
      <c r="NID34" s="122"/>
      <c r="NIE34" s="122"/>
      <c r="NIF34" s="122"/>
      <c r="NIG34" s="122"/>
      <c r="NIH34" s="122"/>
      <c r="NII34" s="122"/>
      <c r="NIJ34" s="122"/>
      <c r="NIK34" s="122"/>
      <c r="NIL34" s="122"/>
      <c r="NIM34" s="122"/>
      <c r="NIN34" s="122"/>
      <c r="NIO34" s="122"/>
      <c r="NIP34" s="122"/>
      <c r="NIQ34" s="122"/>
      <c r="NIR34" s="122"/>
      <c r="NIS34" s="122"/>
      <c r="NIT34" s="122"/>
      <c r="NIU34" s="122"/>
      <c r="NIV34" s="122"/>
      <c r="NIW34" s="122"/>
      <c r="NIX34" s="122"/>
      <c r="NIY34" s="122"/>
      <c r="NIZ34" s="122"/>
      <c r="NJA34" s="122"/>
      <c r="NJB34" s="122"/>
      <c r="NJC34" s="122"/>
      <c r="NJD34" s="122"/>
      <c r="NJE34" s="122"/>
      <c r="NJF34" s="122"/>
      <c r="NJG34" s="122"/>
      <c r="NJH34" s="122"/>
      <c r="NJI34" s="122"/>
      <c r="NJJ34" s="122"/>
      <c r="NJK34" s="122"/>
      <c r="NJL34" s="122"/>
      <c r="NJM34" s="122"/>
      <c r="NJN34" s="122"/>
      <c r="NJO34" s="122"/>
      <c r="NJP34" s="122"/>
      <c r="NJQ34" s="122"/>
      <c r="NJR34" s="122"/>
      <c r="NJS34" s="122"/>
      <c r="NJT34" s="122"/>
      <c r="NJU34" s="122"/>
      <c r="NJV34" s="122"/>
      <c r="NJW34" s="122"/>
      <c r="NJX34" s="122"/>
      <c r="NJY34" s="122"/>
      <c r="NJZ34" s="122"/>
      <c r="NKA34" s="122"/>
      <c r="NKB34" s="122"/>
      <c r="NKC34" s="122"/>
      <c r="NKD34" s="122"/>
      <c r="NKE34" s="122"/>
      <c r="NKF34" s="122"/>
      <c r="NKG34" s="122"/>
      <c r="NKH34" s="122"/>
      <c r="NKI34" s="122"/>
      <c r="NKJ34" s="122"/>
      <c r="NKK34" s="122"/>
      <c r="NKL34" s="122"/>
      <c r="NKM34" s="122"/>
      <c r="NKN34" s="122"/>
      <c r="NKO34" s="122"/>
      <c r="NKP34" s="122"/>
      <c r="NKQ34" s="122"/>
      <c r="NKR34" s="122"/>
      <c r="NKS34" s="122"/>
      <c r="NKT34" s="122"/>
      <c r="NKU34" s="122"/>
      <c r="NKV34" s="122"/>
      <c r="NKW34" s="122"/>
      <c r="NKX34" s="122"/>
      <c r="NKY34" s="122"/>
      <c r="NKZ34" s="122"/>
      <c r="NLA34" s="122"/>
      <c r="NLB34" s="122"/>
      <c r="NLC34" s="122"/>
      <c r="NLD34" s="122"/>
      <c r="NLE34" s="122"/>
      <c r="NLF34" s="122"/>
      <c r="NLG34" s="122"/>
      <c r="NLH34" s="122"/>
      <c r="NLI34" s="122"/>
      <c r="NLJ34" s="122"/>
      <c r="NLK34" s="122"/>
      <c r="NLL34" s="122"/>
      <c r="NLM34" s="122"/>
      <c r="NLN34" s="122"/>
      <c r="NLO34" s="122"/>
      <c r="NLP34" s="122"/>
      <c r="NLQ34" s="122"/>
      <c r="NLR34" s="122"/>
      <c r="NLS34" s="122"/>
      <c r="NLT34" s="122"/>
      <c r="NLU34" s="122"/>
      <c r="NLV34" s="122"/>
      <c r="NLW34" s="122"/>
      <c r="NLX34" s="122"/>
      <c r="NLY34" s="122"/>
      <c r="NLZ34" s="122"/>
      <c r="NMA34" s="122"/>
      <c r="NMB34" s="122"/>
      <c r="NMC34" s="122"/>
      <c r="NMD34" s="122"/>
      <c r="NME34" s="122"/>
      <c r="NMF34" s="122"/>
      <c r="NMG34" s="122"/>
      <c r="NMH34" s="122"/>
      <c r="NMI34" s="122"/>
      <c r="NMJ34" s="122"/>
      <c r="NMK34" s="122"/>
      <c r="NML34" s="122"/>
      <c r="NMM34" s="122"/>
      <c r="NMN34" s="122"/>
      <c r="NMO34" s="122"/>
      <c r="NMP34" s="122"/>
      <c r="NMQ34" s="122"/>
      <c r="NMR34" s="122"/>
      <c r="NMS34" s="122"/>
      <c r="NMT34" s="122"/>
      <c r="NMU34" s="122"/>
      <c r="NMV34" s="122"/>
      <c r="NMW34" s="122"/>
      <c r="NMX34" s="122"/>
      <c r="NMY34" s="122"/>
      <c r="NMZ34" s="122"/>
      <c r="NNA34" s="122"/>
      <c r="NNB34" s="122"/>
      <c r="NNC34" s="122"/>
      <c r="NND34" s="122"/>
      <c r="NNE34" s="122"/>
      <c r="NNF34" s="122"/>
      <c r="NNG34" s="122"/>
      <c r="NNH34" s="122"/>
      <c r="NNI34" s="122"/>
      <c r="NNJ34" s="122"/>
      <c r="NNK34" s="122"/>
      <c r="NNL34" s="122"/>
      <c r="NNM34" s="122"/>
      <c r="NNN34" s="122"/>
      <c r="NNO34" s="122"/>
      <c r="NNP34" s="122"/>
      <c r="NNQ34" s="122"/>
      <c r="NNR34" s="122"/>
      <c r="NNS34" s="122"/>
      <c r="NNT34" s="122"/>
      <c r="NNU34" s="122"/>
      <c r="NNV34" s="122"/>
      <c r="NNW34" s="122"/>
      <c r="NNX34" s="122"/>
      <c r="NNY34" s="122"/>
      <c r="NNZ34" s="122"/>
      <c r="NOA34" s="122"/>
      <c r="NOB34" s="122"/>
      <c r="NOC34" s="122"/>
      <c r="NOD34" s="122"/>
      <c r="NOE34" s="122"/>
      <c r="NOF34" s="122"/>
      <c r="NOG34" s="122"/>
      <c r="NOH34" s="122"/>
      <c r="NOI34" s="122"/>
      <c r="NOJ34" s="122"/>
      <c r="NOK34" s="122"/>
      <c r="NOL34" s="122"/>
      <c r="NOM34" s="122"/>
      <c r="NON34" s="122"/>
      <c r="NOO34" s="122"/>
      <c r="NOP34" s="122"/>
      <c r="NOQ34" s="122"/>
      <c r="NOR34" s="122"/>
      <c r="NOS34" s="122"/>
      <c r="NOT34" s="122"/>
      <c r="NOU34" s="122"/>
      <c r="NOV34" s="122"/>
      <c r="NOW34" s="122"/>
      <c r="NOX34" s="122"/>
      <c r="NOY34" s="122"/>
      <c r="NOZ34" s="122"/>
      <c r="NPA34" s="122"/>
      <c r="NPB34" s="122"/>
      <c r="NPC34" s="122"/>
      <c r="NPD34" s="122"/>
      <c r="NPE34" s="122"/>
      <c r="NPF34" s="122"/>
      <c r="NPG34" s="122"/>
      <c r="NPH34" s="122"/>
      <c r="NPI34" s="122"/>
      <c r="NPJ34" s="122"/>
      <c r="NPK34" s="122"/>
      <c r="NPL34" s="122"/>
      <c r="NPM34" s="122"/>
      <c r="NPN34" s="122"/>
      <c r="NPO34" s="122"/>
      <c r="NPP34" s="122"/>
      <c r="NPQ34" s="122"/>
      <c r="NPR34" s="122"/>
      <c r="NPS34" s="122"/>
      <c r="NPT34" s="122"/>
      <c r="NPU34" s="122"/>
      <c r="NPV34" s="122"/>
      <c r="NPW34" s="122"/>
      <c r="NPX34" s="122"/>
      <c r="NPY34" s="122"/>
      <c r="NPZ34" s="122"/>
      <c r="NQA34" s="122"/>
      <c r="NQB34" s="122"/>
      <c r="NQC34" s="122"/>
      <c r="NQD34" s="122"/>
      <c r="NQE34" s="122"/>
      <c r="NQF34" s="122"/>
      <c r="NQG34" s="122"/>
      <c r="NQH34" s="122"/>
      <c r="NQI34" s="122"/>
      <c r="NQJ34" s="122"/>
      <c r="NQK34" s="122"/>
      <c r="NQL34" s="122"/>
      <c r="NQM34" s="122"/>
      <c r="NQN34" s="122"/>
      <c r="NQO34" s="122"/>
      <c r="NQP34" s="122"/>
      <c r="NQQ34" s="122"/>
      <c r="NQR34" s="122"/>
      <c r="NQS34" s="122"/>
      <c r="NQT34" s="122"/>
      <c r="NQU34" s="122"/>
      <c r="NQV34" s="122"/>
      <c r="NQW34" s="122"/>
      <c r="NQX34" s="122"/>
      <c r="NQY34" s="122"/>
      <c r="NQZ34" s="122"/>
      <c r="NRA34" s="122"/>
      <c r="NRB34" s="122"/>
      <c r="NRC34" s="122"/>
      <c r="NRD34" s="122"/>
      <c r="NRE34" s="122"/>
      <c r="NRF34" s="122"/>
      <c r="NRG34" s="122"/>
      <c r="NRH34" s="122"/>
      <c r="NRI34" s="122"/>
      <c r="NRJ34" s="122"/>
      <c r="NRK34" s="122"/>
      <c r="NRL34" s="122"/>
      <c r="NRM34" s="122"/>
      <c r="NRN34" s="122"/>
      <c r="NRO34" s="122"/>
      <c r="NRP34" s="122"/>
      <c r="NRQ34" s="122"/>
      <c r="NRR34" s="122"/>
      <c r="NRS34" s="122"/>
      <c r="NRT34" s="122"/>
      <c r="NRU34" s="122"/>
      <c r="NRV34" s="122"/>
      <c r="NRW34" s="122"/>
      <c r="NRX34" s="122"/>
      <c r="NRY34" s="122"/>
      <c r="NRZ34" s="122"/>
      <c r="NSA34" s="122"/>
      <c r="NSB34" s="122"/>
      <c r="NSC34" s="122"/>
      <c r="NSD34" s="122"/>
      <c r="NSE34" s="122"/>
      <c r="NSF34" s="122"/>
      <c r="NSG34" s="122"/>
      <c r="NSH34" s="122"/>
      <c r="NSI34" s="122"/>
      <c r="NSJ34" s="122"/>
      <c r="NSK34" s="122"/>
      <c r="NSL34" s="122"/>
      <c r="NSM34" s="122"/>
      <c r="NSN34" s="122"/>
      <c r="NSO34" s="122"/>
      <c r="NSP34" s="122"/>
      <c r="NSQ34" s="122"/>
      <c r="NSR34" s="122"/>
      <c r="NSS34" s="122"/>
      <c r="NST34" s="122"/>
      <c r="NSU34" s="122"/>
      <c r="NSV34" s="122"/>
      <c r="NSW34" s="122"/>
      <c r="NSX34" s="122"/>
      <c r="NSY34" s="122"/>
      <c r="NSZ34" s="122"/>
      <c r="NTA34" s="122"/>
      <c r="NTB34" s="122"/>
      <c r="NTC34" s="122"/>
      <c r="NTD34" s="122"/>
      <c r="NTE34" s="122"/>
      <c r="NTF34" s="122"/>
      <c r="NTG34" s="122"/>
      <c r="NTH34" s="122"/>
      <c r="NTI34" s="122"/>
      <c r="NTJ34" s="122"/>
      <c r="NTK34" s="122"/>
      <c r="NTL34" s="122"/>
      <c r="NTM34" s="122"/>
      <c r="NTN34" s="122"/>
      <c r="NTO34" s="122"/>
      <c r="NTP34" s="122"/>
      <c r="NTQ34" s="122"/>
      <c r="NTR34" s="122"/>
      <c r="NTS34" s="122"/>
      <c r="NTT34" s="122"/>
      <c r="NTU34" s="122"/>
      <c r="NTV34" s="122"/>
      <c r="NTW34" s="122"/>
      <c r="NTX34" s="122"/>
      <c r="NTY34" s="122"/>
      <c r="NTZ34" s="122"/>
      <c r="NUA34" s="122"/>
      <c r="NUB34" s="122"/>
      <c r="NUC34" s="122"/>
      <c r="NUD34" s="122"/>
      <c r="NUE34" s="122"/>
      <c r="NUF34" s="122"/>
      <c r="NUG34" s="122"/>
      <c r="NUH34" s="122"/>
      <c r="NUI34" s="122"/>
      <c r="NUJ34" s="122"/>
      <c r="NUK34" s="122"/>
      <c r="NUL34" s="122"/>
      <c r="NUM34" s="122"/>
      <c r="NUN34" s="122"/>
      <c r="NUO34" s="122"/>
      <c r="NUP34" s="122"/>
      <c r="NUQ34" s="122"/>
      <c r="NUR34" s="122"/>
      <c r="NUS34" s="122"/>
      <c r="NUT34" s="122"/>
      <c r="NUU34" s="122"/>
      <c r="NUV34" s="122"/>
      <c r="NUW34" s="122"/>
      <c r="NUX34" s="122"/>
      <c r="NUY34" s="122"/>
      <c r="NUZ34" s="122"/>
      <c r="NVA34" s="122"/>
      <c r="NVB34" s="122"/>
      <c r="NVC34" s="122"/>
      <c r="NVD34" s="122"/>
      <c r="NVE34" s="122"/>
      <c r="NVF34" s="122"/>
      <c r="NVG34" s="122"/>
      <c r="NVH34" s="122"/>
      <c r="NVI34" s="122"/>
      <c r="NVJ34" s="122"/>
      <c r="NVK34" s="122"/>
      <c r="NVL34" s="122"/>
      <c r="NVM34" s="122"/>
      <c r="NVN34" s="122"/>
      <c r="NVO34" s="122"/>
      <c r="NVP34" s="122"/>
      <c r="NVQ34" s="122"/>
      <c r="NVR34" s="122"/>
      <c r="NVS34" s="122"/>
      <c r="NVT34" s="122"/>
      <c r="NVU34" s="122"/>
      <c r="NVV34" s="122"/>
      <c r="NVW34" s="122"/>
      <c r="NVX34" s="122"/>
      <c r="NVY34" s="122"/>
      <c r="NVZ34" s="122"/>
      <c r="NWA34" s="122"/>
      <c r="NWB34" s="122"/>
      <c r="NWC34" s="122"/>
      <c r="NWD34" s="122"/>
      <c r="NWE34" s="122"/>
      <c r="NWF34" s="122"/>
      <c r="NWG34" s="122"/>
      <c r="NWH34" s="122"/>
      <c r="NWI34" s="122"/>
      <c r="NWJ34" s="122"/>
      <c r="NWK34" s="122"/>
      <c r="NWL34" s="122"/>
      <c r="NWM34" s="122"/>
      <c r="NWN34" s="122"/>
      <c r="NWO34" s="122"/>
      <c r="NWP34" s="122"/>
      <c r="NWQ34" s="122"/>
      <c r="NWR34" s="122"/>
      <c r="NWS34" s="122"/>
      <c r="NWT34" s="122"/>
      <c r="NWU34" s="122"/>
      <c r="NWV34" s="122"/>
      <c r="NWW34" s="122"/>
      <c r="NWX34" s="122"/>
      <c r="NWY34" s="122"/>
      <c r="NWZ34" s="122"/>
      <c r="NXA34" s="122"/>
      <c r="NXB34" s="122"/>
      <c r="NXC34" s="122"/>
      <c r="NXD34" s="122"/>
      <c r="NXE34" s="122"/>
      <c r="NXF34" s="122"/>
      <c r="NXG34" s="122"/>
      <c r="NXH34" s="122"/>
      <c r="NXI34" s="122"/>
      <c r="NXJ34" s="122"/>
      <c r="NXK34" s="122"/>
      <c r="NXL34" s="122"/>
      <c r="NXM34" s="122"/>
      <c r="NXN34" s="122"/>
      <c r="NXO34" s="122"/>
      <c r="NXP34" s="122"/>
      <c r="NXQ34" s="122"/>
      <c r="NXR34" s="122"/>
      <c r="NXS34" s="122"/>
      <c r="NXT34" s="122"/>
      <c r="NXU34" s="122"/>
      <c r="NXV34" s="122"/>
      <c r="NXW34" s="122"/>
      <c r="NXX34" s="122"/>
      <c r="NXY34" s="122"/>
      <c r="NXZ34" s="122"/>
      <c r="NYA34" s="122"/>
      <c r="NYB34" s="122"/>
      <c r="NYC34" s="122"/>
      <c r="NYD34" s="122"/>
      <c r="NYE34" s="122"/>
      <c r="NYF34" s="122"/>
      <c r="NYG34" s="122"/>
      <c r="NYH34" s="122"/>
      <c r="NYI34" s="122"/>
      <c r="NYJ34" s="122"/>
      <c r="NYK34" s="122"/>
      <c r="NYL34" s="122"/>
      <c r="NYM34" s="122"/>
      <c r="NYN34" s="122"/>
      <c r="NYO34" s="122"/>
      <c r="NYP34" s="122"/>
      <c r="NYQ34" s="122"/>
      <c r="NYR34" s="122"/>
      <c r="NYS34" s="122"/>
      <c r="NYT34" s="122"/>
      <c r="NYU34" s="122"/>
      <c r="NYV34" s="122"/>
      <c r="NYW34" s="122"/>
      <c r="NYX34" s="122"/>
      <c r="NYY34" s="122"/>
      <c r="NYZ34" s="122"/>
      <c r="NZA34" s="122"/>
      <c r="NZB34" s="122"/>
      <c r="NZC34" s="122"/>
      <c r="NZD34" s="122"/>
      <c r="NZE34" s="122"/>
      <c r="NZF34" s="122"/>
      <c r="NZG34" s="122"/>
      <c r="NZH34" s="122"/>
      <c r="NZI34" s="122"/>
      <c r="NZJ34" s="122"/>
      <c r="NZK34" s="122"/>
      <c r="NZL34" s="122"/>
      <c r="NZM34" s="122"/>
      <c r="NZN34" s="122"/>
      <c r="NZO34" s="122"/>
      <c r="NZP34" s="122"/>
      <c r="NZQ34" s="122"/>
      <c r="NZR34" s="122"/>
      <c r="NZS34" s="122"/>
      <c r="NZT34" s="122"/>
      <c r="NZU34" s="122"/>
      <c r="NZV34" s="122"/>
      <c r="NZW34" s="122"/>
      <c r="NZX34" s="122"/>
      <c r="NZY34" s="122"/>
      <c r="NZZ34" s="122"/>
      <c r="OAA34" s="122"/>
      <c r="OAB34" s="122"/>
      <c r="OAC34" s="122"/>
      <c r="OAD34" s="122"/>
      <c r="OAE34" s="122"/>
      <c r="OAF34" s="122"/>
      <c r="OAG34" s="122"/>
      <c r="OAH34" s="122"/>
      <c r="OAI34" s="122"/>
      <c r="OAJ34" s="122"/>
      <c r="OAK34" s="122"/>
      <c r="OAL34" s="122"/>
      <c r="OAM34" s="122"/>
      <c r="OAN34" s="122"/>
      <c r="OAO34" s="122"/>
      <c r="OAP34" s="122"/>
      <c r="OAQ34" s="122"/>
      <c r="OAR34" s="122"/>
      <c r="OAS34" s="122"/>
      <c r="OAT34" s="122"/>
      <c r="OAU34" s="122"/>
      <c r="OAV34" s="122"/>
      <c r="OAW34" s="122"/>
      <c r="OAX34" s="122"/>
      <c r="OAY34" s="122"/>
      <c r="OAZ34" s="122"/>
      <c r="OBA34" s="122"/>
      <c r="OBB34" s="122"/>
      <c r="OBC34" s="122"/>
      <c r="OBD34" s="122"/>
      <c r="OBE34" s="122"/>
      <c r="OBF34" s="122"/>
      <c r="OBG34" s="122"/>
      <c r="OBH34" s="122"/>
      <c r="OBI34" s="122"/>
      <c r="OBJ34" s="122"/>
      <c r="OBK34" s="122"/>
      <c r="OBL34" s="122"/>
      <c r="OBM34" s="122"/>
      <c r="OBN34" s="122"/>
      <c r="OBO34" s="122"/>
      <c r="OBP34" s="122"/>
      <c r="OBQ34" s="122"/>
      <c r="OBR34" s="122"/>
      <c r="OBS34" s="122"/>
      <c r="OBT34" s="122"/>
      <c r="OBU34" s="122"/>
      <c r="OBV34" s="122"/>
      <c r="OBW34" s="122"/>
      <c r="OBX34" s="122"/>
      <c r="OBY34" s="122"/>
      <c r="OBZ34" s="122"/>
      <c r="OCA34" s="122"/>
      <c r="OCB34" s="122"/>
      <c r="OCC34" s="122"/>
      <c r="OCD34" s="122"/>
      <c r="OCE34" s="122"/>
      <c r="OCF34" s="122"/>
      <c r="OCG34" s="122"/>
      <c r="OCH34" s="122"/>
      <c r="OCI34" s="122"/>
      <c r="OCJ34" s="122"/>
      <c r="OCK34" s="122"/>
      <c r="OCL34" s="122"/>
      <c r="OCM34" s="122"/>
      <c r="OCN34" s="122"/>
      <c r="OCO34" s="122"/>
      <c r="OCP34" s="122"/>
      <c r="OCQ34" s="122"/>
      <c r="OCR34" s="122"/>
      <c r="OCS34" s="122"/>
      <c r="OCT34" s="122"/>
      <c r="OCU34" s="122"/>
      <c r="OCV34" s="122"/>
      <c r="OCW34" s="122"/>
      <c r="OCX34" s="122"/>
      <c r="OCY34" s="122"/>
      <c r="OCZ34" s="122"/>
      <c r="ODA34" s="122"/>
      <c r="ODB34" s="122"/>
      <c r="ODC34" s="122"/>
      <c r="ODD34" s="122"/>
      <c r="ODE34" s="122"/>
      <c r="ODF34" s="122"/>
      <c r="ODG34" s="122"/>
      <c r="ODH34" s="122"/>
      <c r="ODI34" s="122"/>
      <c r="ODJ34" s="122"/>
      <c r="ODK34" s="122"/>
      <c r="ODL34" s="122"/>
      <c r="ODM34" s="122"/>
      <c r="ODN34" s="122"/>
      <c r="ODO34" s="122"/>
      <c r="ODP34" s="122"/>
      <c r="ODQ34" s="122"/>
      <c r="ODR34" s="122"/>
      <c r="ODS34" s="122"/>
      <c r="ODT34" s="122"/>
      <c r="ODU34" s="122"/>
      <c r="ODV34" s="122"/>
      <c r="ODW34" s="122"/>
      <c r="ODX34" s="122"/>
      <c r="ODY34" s="122"/>
      <c r="ODZ34" s="122"/>
      <c r="OEA34" s="122"/>
      <c r="OEB34" s="122"/>
      <c r="OEC34" s="122"/>
      <c r="OED34" s="122"/>
      <c r="OEE34" s="122"/>
      <c r="OEF34" s="122"/>
      <c r="OEG34" s="122"/>
      <c r="OEH34" s="122"/>
      <c r="OEI34" s="122"/>
      <c r="OEJ34" s="122"/>
      <c r="OEK34" s="122"/>
      <c r="OEL34" s="122"/>
      <c r="OEM34" s="122"/>
      <c r="OEN34" s="122"/>
      <c r="OEO34" s="122"/>
      <c r="OEP34" s="122"/>
      <c r="OEQ34" s="122"/>
      <c r="OER34" s="122"/>
      <c r="OES34" s="122"/>
      <c r="OET34" s="122"/>
      <c r="OEU34" s="122"/>
      <c r="OEV34" s="122"/>
      <c r="OEW34" s="122"/>
      <c r="OEX34" s="122"/>
      <c r="OEY34" s="122"/>
      <c r="OEZ34" s="122"/>
      <c r="OFA34" s="122"/>
      <c r="OFB34" s="122"/>
      <c r="OFC34" s="122"/>
      <c r="OFD34" s="122"/>
      <c r="OFE34" s="122"/>
      <c r="OFF34" s="122"/>
      <c r="OFG34" s="122"/>
      <c r="OFH34" s="122"/>
      <c r="OFI34" s="122"/>
      <c r="OFJ34" s="122"/>
      <c r="OFK34" s="122"/>
      <c r="OFL34" s="122"/>
      <c r="OFM34" s="122"/>
      <c r="OFN34" s="122"/>
      <c r="OFO34" s="122"/>
      <c r="OFP34" s="122"/>
      <c r="OFQ34" s="122"/>
      <c r="OFR34" s="122"/>
      <c r="OFS34" s="122"/>
      <c r="OFT34" s="122"/>
      <c r="OFU34" s="122"/>
      <c r="OFV34" s="122"/>
      <c r="OFW34" s="122"/>
      <c r="OFX34" s="122"/>
      <c r="OFY34" s="122"/>
      <c r="OFZ34" s="122"/>
      <c r="OGA34" s="122"/>
      <c r="OGB34" s="122"/>
      <c r="OGC34" s="122"/>
      <c r="OGD34" s="122"/>
      <c r="OGE34" s="122"/>
      <c r="OGF34" s="122"/>
      <c r="OGG34" s="122"/>
      <c r="OGH34" s="122"/>
      <c r="OGI34" s="122"/>
      <c r="OGJ34" s="122"/>
      <c r="OGK34" s="122"/>
      <c r="OGL34" s="122"/>
      <c r="OGM34" s="122"/>
      <c r="OGN34" s="122"/>
      <c r="OGO34" s="122"/>
      <c r="OGP34" s="122"/>
      <c r="OGQ34" s="122"/>
      <c r="OGR34" s="122"/>
      <c r="OGS34" s="122"/>
      <c r="OGT34" s="122"/>
      <c r="OGU34" s="122"/>
      <c r="OGV34" s="122"/>
      <c r="OGW34" s="122"/>
      <c r="OGX34" s="122"/>
      <c r="OGY34" s="122"/>
      <c r="OGZ34" s="122"/>
      <c r="OHA34" s="122"/>
      <c r="OHB34" s="122"/>
      <c r="OHC34" s="122"/>
      <c r="OHD34" s="122"/>
      <c r="OHE34" s="122"/>
      <c r="OHF34" s="122"/>
      <c r="OHG34" s="122"/>
      <c r="OHH34" s="122"/>
      <c r="OHI34" s="122"/>
      <c r="OHJ34" s="122"/>
      <c r="OHK34" s="122"/>
      <c r="OHL34" s="122"/>
      <c r="OHM34" s="122"/>
      <c r="OHN34" s="122"/>
      <c r="OHO34" s="122"/>
      <c r="OHP34" s="122"/>
      <c r="OHQ34" s="122"/>
      <c r="OHR34" s="122"/>
      <c r="OHS34" s="122"/>
      <c r="OHT34" s="122"/>
      <c r="OHU34" s="122"/>
      <c r="OHV34" s="122"/>
      <c r="OHW34" s="122"/>
      <c r="OHX34" s="122"/>
      <c r="OHY34" s="122"/>
      <c r="OHZ34" s="122"/>
      <c r="OIA34" s="122"/>
      <c r="OIB34" s="122"/>
      <c r="OIC34" s="122"/>
      <c r="OID34" s="122"/>
      <c r="OIE34" s="122"/>
      <c r="OIF34" s="122"/>
      <c r="OIG34" s="122"/>
      <c r="OIH34" s="122"/>
      <c r="OII34" s="122"/>
      <c r="OIJ34" s="122"/>
      <c r="OIK34" s="122"/>
      <c r="OIL34" s="122"/>
      <c r="OIM34" s="122"/>
      <c r="OIN34" s="122"/>
      <c r="OIO34" s="122"/>
      <c r="OIP34" s="122"/>
      <c r="OIQ34" s="122"/>
      <c r="OIR34" s="122"/>
      <c r="OIS34" s="122"/>
      <c r="OIT34" s="122"/>
      <c r="OIU34" s="122"/>
      <c r="OIV34" s="122"/>
      <c r="OIW34" s="122"/>
      <c r="OIX34" s="122"/>
      <c r="OIY34" s="122"/>
      <c r="OIZ34" s="122"/>
      <c r="OJA34" s="122"/>
      <c r="OJB34" s="122"/>
      <c r="OJC34" s="122"/>
      <c r="OJD34" s="122"/>
      <c r="OJE34" s="122"/>
      <c r="OJF34" s="122"/>
      <c r="OJG34" s="122"/>
      <c r="OJH34" s="122"/>
      <c r="OJI34" s="122"/>
      <c r="OJJ34" s="122"/>
      <c r="OJK34" s="122"/>
      <c r="OJL34" s="122"/>
      <c r="OJM34" s="122"/>
      <c r="OJN34" s="122"/>
      <c r="OJO34" s="122"/>
      <c r="OJP34" s="122"/>
      <c r="OJQ34" s="122"/>
      <c r="OJR34" s="122"/>
      <c r="OJS34" s="122"/>
      <c r="OJT34" s="122"/>
      <c r="OJU34" s="122"/>
      <c r="OJV34" s="122"/>
      <c r="OJW34" s="122"/>
      <c r="OJX34" s="122"/>
      <c r="OJY34" s="122"/>
      <c r="OJZ34" s="122"/>
      <c r="OKA34" s="122"/>
      <c r="OKB34" s="122"/>
      <c r="OKC34" s="122"/>
      <c r="OKD34" s="122"/>
      <c r="OKE34" s="122"/>
      <c r="OKF34" s="122"/>
      <c r="OKG34" s="122"/>
      <c r="OKH34" s="122"/>
      <c r="OKI34" s="122"/>
      <c r="OKJ34" s="122"/>
      <c r="OKK34" s="122"/>
      <c r="OKL34" s="122"/>
      <c r="OKM34" s="122"/>
      <c r="OKN34" s="122"/>
      <c r="OKO34" s="122"/>
      <c r="OKP34" s="122"/>
      <c r="OKQ34" s="122"/>
      <c r="OKR34" s="122"/>
      <c r="OKS34" s="122"/>
      <c r="OKT34" s="122"/>
      <c r="OKU34" s="122"/>
      <c r="OKV34" s="122"/>
      <c r="OKW34" s="122"/>
      <c r="OKX34" s="122"/>
      <c r="OKY34" s="122"/>
      <c r="OKZ34" s="122"/>
      <c r="OLA34" s="122"/>
      <c r="OLB34" s="122"/>
      <c r="OLC34" s="122"/>
      <c r="OLD34" s="122"/>
      <c r="OLE34" s="122"/>
      <c r="OLF34" s="122"/>
      <c r="OLG34" s="122"/>
      <c r="OLH34" s="122"/>
      <c r="OLI34" s="122"/>
      <c r="OLJ34" s="122"/>
      <c r="OLK34" s="122"/>
      <c r="OLL34" s="122"/>
      <c r="OLM34" s="122"/>
      <c r="OLN34" s="122"/>
      <c r="OLO34" s="122"/>
      <c r="OLP34" s="122"/>
      <c r="OLQ34" s="122"/>
      <c r="OLR34" s="122"/>
      <c r="OLS34" s="122"/>
      <c r="OLT34" s="122"/>
      <c r="OLU34" s="122"/>
      <c r="OLV34" s="122"/>
      <c r="OLW34" s="122"/>
      <c r="OLX34" s="122"/>
      <c r="OLY34" s="122"/>
      <c r="OLZ34" s="122"/>
      <c r="OMA34" s="122"/>
      <c r="OMB34" s="122"/>
      <c r="OMC34" s="122"/>
      <c r="OMD34" s="122"/>
      <c r="OME34" s="122"/>
      <c r="OMF34" s="122"/>
      <c r="OMG34" s="122"/>
      <c r="OMH34" s="122"/>
      <c r="OMI34" s="122"/>
      <c r="OMJ34" s="122"/>
      <c r="OMK34" s="122"/>
      <c r="OML34" s="122"/>
      <c r="OMM34" s="122"/>
      <c r="OMN34" s="122"/>
      <c r="OMO34" s="122"/>
      <c r="OMP34" s="122"/>
      <c r="OMQ34" s="122"/>
      <c r="OMR34" s="122"/>
      <c r="OMS34" s="122"/>
      <c r="OMT34" s="122"/>
      <c r="OMU34" s="122"/>
      <c r="OMV34" s="122"/>
      <c r="OMW34" s="122"/>
      <c r="OMX34" s="122"/>
      <c r="OMY34" s="122"/>
      <c r="OMZ34" s="122"/>
      <c r="ONA34" s="122"/>
      <c r="ONB34" s="122"/>
      <c r="ONC34" s="122"/>
      <c r="OND34" s="122"/>
      <c r="ONE34" s="122"/>
      <c r="ONF34" s="122"/>
      <c r="ONG34" s="122"/>
      <c r="ONH34" s="122"/>
      <c r="ONI34" s="122"/>
      <c r="ONJ34" s="122"/>
      <c r="ONK34" s="122"/>
      <c r="ONL34" s="122"/>
      <c r="ONM34" s="122"/>
      <c r="ONN34" s="122"/>
      <c r="ONO34" s="122"/>
      <c r="ONP34" s="122"/>
      <c r="ONQ34" s="122"/>
      <c r="ONR34" s="122"/>
      <c r="ONS34" s="122"/>
      <c r="ONT34" s="122"/>
      <c r="ONU34" s="122"/>
      <c r="ONV34" s="122"/>
      <c r="ONW34" s="122"/>
      <c r="ONX34" s="122"/>
      <c r="ONY34" s="122"/>
      <c r="ONZ34" s="122"/>
      <c r="OOA34" s="122"/>
      <c r="OOB34" s="122"/>
      <c r="OOC34" s="122"/>
      <c r="OOD34" s="122"/>
      <c r="OOE34" s="122"/>
      <c r="OOF34" s="122"/>
      <c r="OOG34" s="122"/>
      <c r="OOH34" s="122"/>
      <c r="OOI34" s="122"/>
      <c r="OOJ34" s="122"/>
      <c r="OOK34" s="122"/>
      <c r="OOL34" s="122"/>
      <c r="OOM34" s="122"/>
      <c r="OON34" s="122"/>
      <c r="OOO34" s="122"/>
      <c r="OOP34" s="122"/>
      <c r="OOQ34" s="122"/>
      <c r="OOR34" s="122"/>
      <c r="OOS34" s="122"/>
      <c r="OOT34" s="122"/>
      <c r="OOU34" s="122"/>
      <c r="OOV34" s="122"/>
      <c r="OOW34" s="122"/>
      <c r="OOX34" s="122"/>
      <c r="OOY34" s="122"/>
      <c r="OOZ34" s="122"/>
      <c r="OPA34" s="122"/>
      <c r="OPB34" s="122"/>
      <c r="OPC34" s="122"/>
      <c r="OPD34" s="122"/>
      <c r="OPE34" s="122"/>
      <c r="OPF34" s="122"/>
      <c r="OPG34" s="122"/>
      <c r="OPH34" s="122"/>
      <c r="OPI34" s="122"/>
      <c r="OPJ34" s="122"/>
      <c r="OPK34" s="122"/>
      <c r="OPL34" s="122"/>
      <c r="OPM34" s="122"/>
      <c r="OPN34" s="122"/>
      <c r="OPO34" s="122"/>
      <c r="OPP34" s="122"/>
      <c r="OPQ34" s="122"/>
      <c r="OPR34" s="122"/>
      <c r="OPS34" s="122"/>
      <c r="OPT34" s="122"/>
      <c r="OPU34" s="122"/>
      <c r="OPV34" s="122"/>
      <c r="OPW34" s="122"/>
      <c r="OPX34" s="122"/>
      <c r="OPY34" s="122"/>
      <c r="OPZ34" s="122"/>
      <c r="OQA34" s="122"/>
      <c r="OQB34" s="122"/>
      <c r="OQC34" s="122"/>
      <c r="OQD34" s="122"/>
      <c r="OQE34" s="122"/>
      <c r="OQF34" s="122"/>
      <c r="OQG34" s="122"/>
      <c r="OQH34" s="122"/>
      <c r="OQI34" s="122"/>
      <c r="OQJ34" s="122"/>
      <c r="OQK34" s="122"/>
      <c r="OQL34" s="122"/>
      <c r="OQM34" s="122"/>
      <c r="OQN34" s="122"/>
      <c r="OQO34" s="122"/>
      <c r="OQP34" s="122"/>
      <c r="OQQ34" s="122"/>
      <c r="OQR34" s="122"/>
      <c r="OQS34" s="122"/>
      <c r="OQT34" s="122"/>
      <c r="OQU34" s="122"/>
      <c r="OQV34" s="122"/>
      <c r="OQW34" s="122"/>
      <c r="OQX34" s="122"/>
      <c r="OQY34" s="122"/>
      <c r="OQZ34" s="122"/>
      <c r="ORA34" s="122"/>
      <c r="ORB34" s="122"/>
      <c r="ORC34" s="122"/>
      <c r="ORD34" s="122"/>
      <c r="ORE34" s="122"/>
      <c r="ORF34" s="122"/>
      <c r="ORG34" s="122"/>
      <c r="ORH34" s="122"/>
      <c r="ORI34" s="122"/>
      <c r="ORJ34" s="122"/>
      <c r="ORK34" s="122"/>
      <c r="ORL34" s="122"/>
      <c r="ORM34" s="122"/>
      <c r="ORN34" s="122"/>
      <c r="ORO34" s="122"/>
      <c r="ORP34" s="122"/>
      <c r="ORQ34" s="122"/>
      <c r="ORR34" s="122"/>
      <c r="ORS34" s="122"/>
      <c r="ORT34" s="122"/>
      <c r="ORU34" s="122"/>
      <c r="ORV34" s="122"/>
      <c r="ORW34" s="122"/>
      <c r="ORX34" s="122"/>
      <c r="ORY34" s="122"/>
      <c r="ORZ34" s="122"/>
      <c r="OSA34" s="122"/>
      <c r="OSB34" s="122"/>
      <c r="OSC34" s="122"/>
      <c r="OSD34" s="122"/>
      <c r="OSE34" s="122"/>
      <c r="OSF34" s="122"/>
      <c r="OSG34" s="122"/>
      <c r="OSH34" s="122"/>
      <c r="OSI34" s="122"/>
      <c r="OSJ34" s="122"/>
      <c r="OSK34" s="122"/>
      <c r="OSL34" s="122"/>
      <c r="OSM34" s="122"/>
      <c r="OSN34" s="122"/>
      <c r="OSO34" s="122"/>
      <c r="OSP34" s="122"/>
      <c r="OSQ34" s="122"/>
      <c r="OSR34" s="122"/>
      <c r="OSS34" s="122"/>
      <c r="OST34" s="122"/>
      <c r="OSU34" s="122"/>
      <c r="OSV34" s="122"/>
      <c r="OSW34" s="122"/>
      <c r="OSX34" s="122"/>
      <c r="OSY34" s="122"/>
      <c r="OSZ34" s="122"/>
      <c r="OTA34" s="122"/>
      <c r="OTB34" s="122"/>
      <c r="OTC34" s="122"/>
      <c r="OTD34" s="122"/>
      <c r="OTE34" s="122"/>
      <c r="OTF34" s="122"/>
      <c r="OTG34" s="122"/>
      <c r="OTH34" s="122"/>
      <c r="OTI34" s="122"/>
      <c r="OTJ34" s="122"/>
      <c r="OTK34" s="122"/>
      <c r="OTL34" s="122"/>
      <c r="OTM34" s="122"/>
      <c r="OTN34" s="122"/>
      <c r="OTO34" s="122"/>
      <c r="OTP34" s="122"/>
      <c r="OTQ34" s="122"/>
      <c r="OTR34" s="122"/>
      <c r="OTS34" s="122"/>
      <c r="OTT34" s="122"/>
      <c r="OTU34" s="122"/>
      <c r="OTV34" s="122"/>
      <c r="OTW34" s="122"/>
      <c r="OTX34" s="122"/>
      <c r="OTY34" s="122"/>
      <c r="OTZ34" s="122"/>
      <c r="OUA34" s="122"/>
      <c r="OUB34" s="122"/>
      <c r="OUC34" s="122"/>
      <c r="OUD34" s="122"/>
      <c r="OUE34" s="122"/>
      <c r="OUF34" s="122"/>
      <c r="OUG34" s="122"/>
      <c r="OUH34" s="122"/>
      <c r="OUI34" s="122"/>
      <c r="OUJ34" s="122"/>
      <c r="OUK34" s="122"/>
      <c r="OUL34" s="122"/>
      <c r="OUM34" s="122"/>
      <c r="OUN34" s="122"/>
      <c r="OUO34" s="122"/>
      <c r="OUP34" s="122"/>
      <c r="OUQ34" s="122"/>
      <c r="OUR34" s="122"/>
      <c r="OUS34" s="122"/>
      <c r="OUT34" s="122"/>
      <c r="OUU34" s="122"/>
      <c r="OUV34" s="122"/>
      <c r="OUW34" s="122"/>
      <c r="OUX34" s="122"/>
      <c r="OUY34" s="122"/>
      <c r="OUZ34" s="122"/>
      <c r="OVA34" s="122"/>
      <c r="OVB34" s="122"/>
      <c r="OVC34" s="122"/>
      <c r="OVD34" s="122"/>
      <c r="OVE34" s="122"/>
      <c r="OVF34" s="122"/>
      <c r="OVG34" s="122"/>
      <c r="OVH34" s="122"/>
      <c r="OVI34" s="122"/>
      <c r="OVJ34" s="122"/>
      <c r="OVK34" s="122"/>
      <c r="OVL34" s="122"/>
      <c r="OVM34" s="122"/>
      <c r="OVN34" s="122"/>
      <c r="OVO34" s="122"/>
      <c r="OVP34" s="122"/>
      <c r="OVQ34" s="122"/>
      <c r="OVR34" s="122"/>
      <c r="OVS34" s="122"/>
      <c r="OVT34" s="122"/>
      <c r="OVU34" s="122"/>
      <c r="OVV34" s="122"/>
      <c r="OVW34" s="122"/>
      <c r="OVX34" s="122"/>
      <c r="OVY34" s="122"/>
      <c r="OVZ34" s="122"/>
      <c r="OWA34" s="122"/>
      <c r="OWB34" s="122"/>
      <c r="OWC34" s="122"/>
      <c r="OWD34" s="122"/>
      <c r="OWE34" s="122"/>
      <c r="OWF34" s="122"/>
      <c r="OWG34" s="122"/>
      <c r="OWH34" s="122"/>
      <c r="OWI34" s="122"/>
      <c r="OWJ34" s="122"/>
      <c r="OWK34" s="122"/>
      <c r="OWL34" s="122"/>
      <c r="OWM34" s="122"/>
      <c r="OWN34" s="122"/>
      <c r="OWO34" s="122"/>
      <c r="OWP34" s="122"/>
      <c r="OWQ34" s="122"/>
      <c r="OWR34" s="122"/>
      <c r="OWS34" s="122"/>
      <c r="OWT34" s="122"/>
      <c r="OWU34" s="122"/>
      <c r="OWV34" s="122"/>
      <c r="OWW34" s="122"/>
      <c r="OWX34" s="122"/>
      <c r="OWY34" s="122"/>
      <c r="OWZ34" s="122"/>
      <c r="OXA34" s="122"/>
      <c r="OXB34" s="122"/>
      <c r="OXC34" s="122"/>
      <c r="OXD34" s="122"/>
      <c r="OXE34" s="122"/>
      <c r="OXF34" s="122"/>
      <c r="OXG34" s="122"/>
      <c r="OXH34" s="122"/>
      <c r="OXI34" s="122"/>
      <c r="OXJ34" s="122"/>
      <c r="OXK34" s="122"/>
      <c r="OXL34" s="122"/>
      <c r="OXM34" s="122"/>
      <c r="OXN34" s="122"/>
      <c r="OXO34" s="122"/>
      <c r="OXP34" s="122"/>
      <c r="OXQ34" s="122"/>
      <c r="OXR34" s="122"/>
      <c r="OXS34" s="122"/>
      <c r="OXT34" s="122"/>
      <c r="OXU34" s="122"/>
      <c r="OXV34" s="122"/>
      <c r="OXW34" s="122"/>
      <c r="OXX34" s="122"/>
      <c r="OXY34" s="122"/>
      <c r="OXZ34" s="122"/>
      <c r="OYA34" s="122"/>
      <c r="OYB34" s="122"/>
      <c r="OYC34" s="122"/>
      <c r="OYD34" s="122"/>
      <c r="OYE34" s="122"/>
      <c r="OYF34" s="122"/>
      <c r="OYG34" s="122"/>
      <c r="OYH34" s="122"/>
      <c r="OYI34" s="122"/>
      <c r="OYJ34" s="122"/>
      <c r="OYK34" s="122"/>
      <c r="OYL34" s="122"/>
      <c r="OYM34" s="122"/>
      <c r="OYN34" s="122"/>
      <c r="OYO34" s="122"/>
      <c r="OYP34" s="122"/>
      <c r="OYQ34" s="122"/>
      <c r="OYR34" s="122"/>
      <c r="OYS34" s="122"/>
      <c r="OYT34" s="122"/>
      <c r="OYU34" s="122"/>
      <c r="OYV34" s="122"/>
      <c r="OYW34" s="122"/>
      <c r="OYX34" s="122"/>
      <c r="OYY34" s="122"/>
      <c r="OYZ34" s="122"/>
      <c r="OZA34" s="122"/>
      <c r="OZB34" s="122"/>
      <c r="OZC34" s="122"/>
      <c r="OZD34" s="122"/>
      <c r="OZE34" s="122"/>
      <c r="OZF34" s="122"/>
      <c r="OZG34" s="122"/>
      <c r="OZH34" s="122"/>
      <c r="OZI34" s="122"/>
      <c r="OZJ34" s="122"/>
      <c r="OZK34" s="122"/>
      <c r="OZL34" s="122"/>
      <c r="OZM34" s="122"/>
      <c r="OZN34" s="122"/>
      <c r="OZO34" s="122"/>
      <c r="OZP34" s="122"/>
      <c r="OZQ34" s="122"/>
      <c r="OZR34" s="122"/>
      <c r="OZS34" s="122"/>
      <c r="OZT34" s="122"/>
      <c r="OZU34" s="122"/>
      <c r="OZV34" s="122"/>
      <c r="OZW34" s="122"/>
      <c r="OZX34" s="122"/>
      <c r="OZY34" s="122"/>
      <c r="OZZ34" s="122"/>
      <c r="PAA34" s="122"/>
      <c r="PAB34" s="122"/>
      <c r="PAC34" s="122"/>
      <c r="PAD34" s="122"/>
      <c r="PAE34" s="122"/>
      <c r="PAF34" s="122"/>
      <c r="PAG34" s="122"/>
      <c r="PAH34" s="122"/>
      <c r="PAI34" s="122"/>
      <c r="PAJ34" s="122"/>
      <c r="PAK34" s="122"/>
      <c r="PAL34" s="122"/>
      <c r="PAM34" s="122"/>
      <c r="PAN34" s="122"/>
      <c r="PAO34" s="122"/>
      <c r="PAP34" s="122"/>
      <c r="PAQ34" s="122"/>
      <c r="PAR34" s="122"/>
      <c r="PAS34" s="122"/>
      <c r="PAT34" s="122"/>
      <c r="PAU34" s="122"/>
      <c r="PAV34" s="122"/>
      <c r="PAW34" s="122"/>
      <c r="PAX34" s="122"/>
      <c r="PAY34" s="122"/>
      <c r="PAZ34" s="122"/>
      <c r="PBA34" s="122"/>
      <c r="PBB34" s="122"/>
      <c r="PBC34" s="122"/>
      <c r="PBD34" s="122"/>
      <c r="PBE34" s="122"/>
      <c r="PBF34" s="122"/>
      <c r="PBG34" s="122"/>
      <c r="PBH34" s="122"/>
      <c r="PBI34" s="122"/>
      <c r="PBJ34" s="122"/>
      <c r="PBK34" s="122"/>
      <c r="PBL34" s="122"/>
      <c r="PBM34" s="122"/>
      <c r="PBN34" s="122"/>
      <c r="PBO34" s="122"/>
      <c r="PBP34" s="122"/>
      <c r="PBQ34" s="122"/>
      <c r="PBR34" s="122"/>
      <c r="PBS34" s="122"/>
      <c r="PBT34" s="122"/>
      <c r="PBU34" s="122"/>
      <c r="PBV34" s="122"/>
      <c r="PBW34" s="122"/>
      <c r="PBX34" s="122"/>
      <c r="PBY34" s="122"/>
      <c r="PBZ34" s="122"/>
      <c r="PCA34" s="122"/>
      <c r="PCB34" s="122"/>
      <c r="PCC34" s="122"/>
      <c r="PCD34" s="122"/>
      <c r="PCE34" s="122"/>
      <c r="PCF34" s="122"/>
      <c r="PCG34" s="122"/>
      <c r="PCH34" s="122"/>
      <c r="PCI34" s="122"/>
      <c r="PCJ34" s="122"/>
      <c r="PCK34" s="122"/>
      <c r="PCL34" s="122"/>
      <c r="PCM34" s="122"/>
      <c r="PCN34" s="122"/>
      <c r="PCO34" s="122"/>
      <c r="PCP34" s="122"/>
      <c r="PCQ34" s="122"/>
      <c r="PCR34" s="122"/>
      <c r="PCS34" s="122"/>
      <c r="PCT34" s="122"/>
      <c r="PCU34" s="122"/>
      <c r="PCV34" s="122"/>
      <c r="PCW34" s="122"/>
      <c r="PCX34" s="122"/>
      <c r="PCY34" s="122"/>
      <c r="PCZ34" s="122"/>
      <c r="PDA34" s="122"/>
      <c r="PDB34" s="122"/>
      <c r="PDC34" s="122"/>
      <c r="PDD34" s="122"/>
      <c r="PDE34" s="122"/>
      <c r="PDF34" s="122"/>
      <c r="PDG34" s="122"/>
      <c r="PDH34" s="122"/>
      <c r="PDI34" s="122"/>
      <c r="PDJ34" s="122"/>
      <c r="PDK34" s="122"/>
      <c r="PDL34" s="122"/>
      <c r="PDM34" s="122"/>
      <c r="PDN34" s="122"/>
      <c r="PDO34" s="122"/>
      <c r="PDP34" s="122"/>
      <c r="PDQ34" s="122"/>
      <c r="PDR34" s="122"/>
      <c r="PDS34" s="122"/>
      <c r="PDT34" s="122"/>
      <c r="PDU34" s="122"/>
      <c r="PDV34" s="122"/>
      <c r="PDW34" s="122"/>
      <c r="PDX34" s="122"/>
      <c r="PDY34" s="122"/>
      <c r="PDZ34" s="122"/>
      <c r="PEA34" s="122"/>
      <c r="PEB34" s="122"/>
      <c r="PEC34" s="122"/>
      <c r="PED34" s="122"/>
      <c r="PEE34" s="122"/>
      <c r="PEF34" s="122"/>
      <c r="PEG34" s="122"/>
      <c r="PEH34" s="122"/>
      <c r="PEI34" s="122"/>
      <c r="PEJ34" s="122"/>
      <c r="PEK34" s="122"/>
      <c r="PEL34" s="122"/>
      <c r="PEM34" s="122"/>
      <c r="PEN34" s="122"/>
      <c r="PEO34" s="122"/>
      <c r="PEP34" s="122"/>
      <c r="PEQ34" s="122"/>
      <c r="PER34" s="122"/>
      <c r="PES34" s="122"/>
      <c r="PET34" s="122"/>
      <c r="PEU34" s="122"/>
      <c r="PEV34" s="122"/>
      <c r="PEW34" s="122"/>
      <c r="PEX34" s="122"/>
      <c r="PEY34" s="122"/>
      <c r="PEZ34" s="122"/>
      <c r="PFA34" s="122"/>
      <c r="PFB34" s="122"/>
      <c r="PFC34" s="122"/>
      <c r="PFD34" s="122"/>
      <c r="PFE34" s="122"/>
      <c r="PFF34" s="122"/>
      <c r="PFG34" s="122"/>
      <c r="PFH34" s="122"/>
      <c r="PFI34" s="122"/>
      <c r="PFJ34" s="122"/>
      <c r="PFK34" s="122"/>
      <c r="PFL34" s="122"/>
      <c r="PFM34" s="122"/>
      <c r="PFN34" s="122"/>
      <c r="PFO34" s="122"/>
      <c r="PFP34" s="122"/>
      <c r="PFQ34" s="122"/>
      <c r="PFR34" s="122"/>
      <c r="PFS34" s="122"/>
      <c r="PFT34" s="122"/>
      <c r="PFU34" s="122"/>
      <c r="PFV34" s="122"/>
      <c r="PFW34" s="122"/>
      <c r="PFX34" s="122"/>
      <c r="PFY34" s="122"/>
      <c r="PFZ34" s="122"/>
      <c r="PGA34" s="122"/>
      <c r="PGB34" s="122"/>
      <c r="PGC34" s="122"/>
      <c r="PGD34" s="122"/>
      <c r="PGE34" s="122"/>
      <c r="PGF34" s="122"/>
      <c r="PGG34" s="122"/>
      <c r="PGH34" s="122"/>
      <c r="PGI34" s="122"/>
      <c r="PGJ34" s="122"/>
      <c r="PGK34" s="122"/>
      <c r="PGL34" s="122"/>
      <c r="PGM34" s="122"/>
      <c r="PGN34" s="122"/>
      <c r="PGO34" s="122"/>
      <c r="PGP34" s="122"/>
      <c r="PGQ34" s="122"/>
      <c r="PGR34" s="122"/>
      <c r="PGS34" s="122"/>
      <c r="PGT34" s="122"/>
      <c r="PGU34" s="122"/>
      <c r="PGV34" s="122"/>
      <c r="PGW34" s="122"/>
      <c r="PGX34" s="122"/>
      <c r="PGY34" s="122"/>
      <c r="PGZ34" s="122"/>
      <c r="PHA34" s="122"/>
      <c r="PHB34" s="122"/>
      <c r="PHC34" s="122"/>
      <c r="PHD34" s="122"/>
      <c r="PHE34" s="122"/>
      <c r="PHF34" s="122"/>
      <c r="PHG34" s="122"/>
      <c r="PHH34" s="122"/>
      <c r="PHI34" s="122"/>
      <c r="PHJ34" s="122"/>
      <c r="PHK34" s="122"/>
      <c r="PHL34" s="122"/>
      <c r="PHM34" s="122"/>
      <c r="PHN34" s="122"/>
      <c r="PHO34" s="122"/>
      <c r="PHP34" s="122"/>
      <c r="PHQ34" s="122"/>
      <c r="PHR34" s="122"/>
      <c r="PHS34" s="122"/>
      <c r="PHT34" s="122"/>
      <c r="PHU34" s="122"/>
      <c r="PHV34" s="122"/>
      <c r="PHW34" s="122"/>
      <c r="PHX34" s="122"/>
      <c r="PHY34" s="122"/>
      <c r="PHZ34" s="122"/>
      <c r="PIA34" s="122"/>
      <c r="PIB34" s="122"/>
      <c r="PIC34" s="122"/>
      <c r="PID34" s="122"/>
      <c r="PIE34" s="122"/>
      <c r="PIF34" s="122"/>
      <c r="PIG34" s="122"/>
      <c r="PIH34" s="122"/>
      <c r="PII34" s="122"/>
      <c r="PIJ34" s="122"/>
      <c r="PIK34" s="122"/>
      <c r="PIL34" s="122"/>
      <c r="PIM34" s="122"/>
      <c r="PIN34" s="122"/>
      <c r="PIO34" s="122"/>
      <c r="PIP34" s="122"/>
      <c r="PIQ34" s="122"/>
      <c r="PIR34" s="122"/>
      <c r="PIS34" s="122"/>
      <c r="PIT34" s="122"/>
      <c r="PIU34" s="122"/>
      <c r="PIV34" s="122"/>
      <c r="PIW34" s="122"/>
      <c r="PIX34" s="122"/>
      <c r="PIY34" s="122"/>
      <c r="PIZ34" s="122"/>
      <c r="PJA34" s="122"/>
      <c r="PJB34" s="122"/>
      <c r="PJC34" s="122"/>
      <c r="PJD34" s="122"/>
      <c r="PJE34" s="122"/>
      <c r="PJF34" s="122"/>
      <c r="PJG34" s="122"/>
      <c r="PJH34" s="122"/>
      <c r="PJI34" s="122"/>
      <c r="PJJ34" s="122"/>
      <c r="PJK34" s="122"/>
      <c r="PJL34" s="122"/>
      <c r="PJM34" s="122"/>
      <c r="PJN34" s="122"/>
      <c r="PJO34" s="122"/>
      <c r="PJP34" s="122"/>
      <c r="PJQ34" s="122"/>
      <c r="PJR34" s="122"/>
      <c r="PJS34" s="122"/>
      <c r="PJT34" s="122"/>
      <c r="PJU34" s="122"/>
      <c r="PJV34" s="122"/>
      <c r="PJW34" s="122"/>
      <c r="PJX34" s="122"/>
      <c r="PJY34" s="122"/>
      <c r="PJZ34" s="122"/>
      <c r="PKA34" s="122"/>
      <c r="PKB34" s="122"/>
      <c r="PKC34" s="122"/>
      <c r="PKD34" s="122"/>
      <c r="PKE34" s="122"/>
      <c r="PKF34" s="122"/>
      <c r="PKG34" s="122"/>
      <c r="PKH34" s="122"/>
      <c r="PKI34" s="122"/>
      <c r="PKJ34" s="122"/>
      <c r="PKK34" s="122"/>
      <c r="PKL34" s="122"/>
      <c r="PKM34" s="122"/>
      <c r="PKN34" s="122"/>
      <c r="PKO34" s="122"/>
      <c r="PKP34" s="122"/>
      <c r="PKQ34" s="122"/>
      <c r="PKR34" s="122"/>
      <c r="PKS34" s="122"/>
      <c r="PKT34" s="122"/>
      <c r="PKU34" s="122"/>
      <c r="PKV34" s="122"/>
      <c r="PKW34" s="122"/>
      <c r="PKX34" s="122"/>
      <c r="PKY34" s="122"/>
      <c r="PKZ34" s="122"/>
      <c r="PLA34" s="122"/>
      <c r="PLB34" s="122"/>
      <c r="PLC34" s="122"/>
      <c r="PLD34" s="122"/>
      <c r="PLE34" s="122"/>
      <c r="PLF34" s="122"/>
      <c r="PLG34" s="122"/>
      <c r="PLH34" s="122"/>
      <c r="PLI34" s="122"/>
      <c r="PLJ34" s="122"/>
      <c r="PLK34" s="122"/>
      <c r="PLL34" s="122"/>
      <c r="PLM34" s="122"/>
      <c r="PLN34" s="122"/>
      <c r="PLO34" s="122"/>
      <c r="PLP34" s="122"/>
      <c r="PLQ34" s="122"/>
      <c r="PLR34" s="122"/>
      <c r="PLS34" s="122"/>
      <c r="PLT34" s="122"/>
      <c r="PLU34" s="122"/>
      <c r="PLV34" s="122"/>
      <c r="PLW34" s="122"/>
      <c r="PLX34" s="122"/>
      <c r="PLY34" s="122"/>
      <c r="PLZ34" s="122"/>
      <c r="PMA34" s="122"/>
      <c r="PMB34" s="122"/>
      <c r="PMC34" s="122"/>
      <c r="PMD34" s="122"/>
      <c r="PME34" s="122"/>
      <c r="PMF34" s="122"/>
      <c r="PMG34" s="122"/>
      <c r="PMH34" s="122"/>
      <c r="PMI34" s="122"/>
      <c r="PMJ34" s="122"/>
      <c r="PMK34" s="122"/>
      <c r="PML34" s="122"/>
      <c r="PMM34" s="122"/>
      <c r="PMN34" s="122"/>
      <c r="PMO34" s="122"/>
      <c r="PMP34" s="122"/>
      <c r="PMQ34" s="122"/>
      <c r="PMR34" s="122"/>
      <c r="PMS34" s="122"/>
      <c r="PMT34" s="122"/>
      <c r="PMU34" s="122"/>
      <c r="PMV34" s="122"/>
      <c r="PMW34" s="122"/>
      <c r="PMX34" s="122"/>
      <c r="PMY34" s="122"/>
      <c r="PMZ34" s="122"/>
      <c r="PNA34" s="122"/>
      <c r="PNB34" s="122"/>
      <c r="PNC34" s="122"/>
      <c r="PND34" s="122"/>
      <c r="PNE34" s="122"/>
      <c r="PNF34" s="122"/>
      <c r="PNG34" s="122"/>
      <c r="PNH34" s="122"/>
      <c r="PNI34" s="122"/>
      <c r="PNJ34" s="122"/>
      <c r="PNK34" s="122"/>
      <c r="PNL34" s="122"/>
      <c r="PNM34" s="122"/>
      <c r="PNN34" s="122"/>
      <c r="PNO34" s="122"/>
      <c r="PNP34" s="122"/>
      <c r="PNQ34" s="122"/>
      <c r="PNR34" s="122"/>
      <c r="PNS34" s="122"/>
      <c r="PNT34" s="122"/>
      <c r="PNU34" s="122"/>
      <c r="PNV34" s="122"/>
      <c r="PNW34" s="122"/>
      <c r="PNX34" s="122"/>
      <c r="PNY34" s="122"/>
      <c r="PNZ34" s="122"/>
      <c r="POA34" s="122"/>
      <c r="POB34" s="122"/>
      <c r="POC34" s="122"/>
      <c r="POD34" s="122"/>
      <c r="POE34" s="122"/>
      <c r="POF34" s="122"/>
      <c r="POG34" s="122"/>
      <c r="POH34" s="122"/>
      <c r="POI34" s="122"/>
      <c r="POJ34" s="122"/>
      <c r="POK34" s="122"/>
      <c r="POL34" s="122"/>
      <c r="POM34" s="122"/>
      <c r="PON34" s="122"/>
      <c r="POO34" s="122"/>
      <c r="POP34" s="122"/>
      <c r="POQ34" s="122"/>
      <c r="POR34" s="122"/>
      <c r="POS34" s="122"/>
      <c r="POT34" s="122"/>
      <c r="POU34" s="122"/>
      <c r="POV34" s="122"/>
      <c r="POW34" s="122"/>
      <c r="POX34" s="122"/>
      <c r="POY34" s="122"/>
      <c r="POZ34" s="122"/>
      <c r="PPA34" s="122"/>
      <c r="PPB34" s="122"/>
      <c r="PPC34" s="122"/>
      <c r="PPD34" s="122"/>
      <c r="PPE34" s="122"/>
      <c r="PPF34" s="122"/>
      <c r="PPG34" s="122"/>
      <c r="PPH34" s="122"/>
      <c r="PPI34" s="122"/>
      <c r="PPJ34" s="122"/>
      <c r="PPK34" s="122"/>
      <c r="PPL34" s="122"/>
      <c r="PPM34" s="122"/>
      <c r="PPN34" s="122"/>
      <c r="PPO34" s="122"/>
      <c r="PPP34" s="122"/>
      <c r="PPQ34" s="122"/>
      <c r="PPR34" s="122"/>
      <c r="PPS34" s="122"/>
      <c r="PPT34" s="122"/>
      <c r="PPU34" s="122"/>
      <c r="PPV34" s="122"/>
      <c r="PPW34" s="122"/>
      <c r="PPX34" s="122"/>
      <c r="PPY34" s="122"/>
      <c r="PPZ34" s="122"/>
      <c r="PQA34" s="122"/>
      <c r="PQB34" s="122"/>
      <c r="PQC34" s="122"/>
      <c r="PQD34" s="122"/>
      <c r="PQE34" s="122"/>
      <c r="PQF34" s="122"/>
      <c r="PQG34" s="122"/>
      <c r="PQH34" s="122"/>
      <c r="PQI34" s="122"/>
      <c r="PQJ34" s="122"/>
      <c r="PQK34" s="122"/>
      <c r="PQL34" s="122"/>
      <c r="PQM34" s="122"/>
      <c r="PQN34" s="122"/>
      <c r="PQO34" s="122"/>
      <c r="PQP34" s="122"/>
      <c r="PQQ34" s="122"/>
      <c r="PQR34" s="122"/>
      <c r="PQS34" s="122"/>
      <c r="PQT34" s="122"/>
      <c r="PQU34" s="122"/>
      <c r="PQV34" s="122"/>
      <c r="PQW34" s="122"/>
      <c r="PQX34" s="122"/>
      <c r="PQY34" s="122"/>
      <c r="PQZ34" s="122"/>
      <c r="PRA34" s="122"/>
      <c r="PRB34" s="122"/>
      <c r="PRC34" s="122"/>
      <c r="PRD34" s="122"/>
      <c r="PRE34" s="122"/>
      <c r="PRF34" s="122"/>
      <c r="PRG34" s="122"/>
      <c r="PRH34" s="122"/>
      <c r="PRI34" s="122"/>
      <c r="PRJ34" s="122"/>
      <c r="PRK34" s="122"/>
      <c r="PRL34" s="122"/>
      <c r="PRM34" s="122"/>
      <c r="PRN34" s="122"/>
      <c r="PRO34" s="122"/>
      <c r="PRP34" s="122"/>
      <c r="PRQ34" s="122"/>
      <c r="PRR34" s="122"/>
      <c r="PRS34" s="122"/>
      <c r="PRT34" s="122"/>
      <c r="PRU34" s="122"/>
      <c r="PRV34" s="122"/>
      <c r="PRW34" s="122"/>
      <c r="PRX34" s="122"/>
      <c r="PRY34" s="122"/>
      <c r="PRZ34" s="122"/>
      <c r="PSA34" s="122"/>
      <c r="PSB34" s="122"/>
      <c r="PSC34" s="122"/>
      <c r="PSD34" s="122"/>
      <c r="PSE34" s="122"/>
      <c r="PSF34" s="122"/>
      <c r="PSG34" s="122"/>
      <c r="PSH34" s="122"/>
      <c r="PSI34" s="122"/>
      <c r="PSJ34" s="122"/>
      <c r="PSK34" s="122"/>
      <c r="PSL34" s="122"/>
      <c r="PSM34" s="122"/>
      <c r="PSN34" s="122"/>
      <c r="PSO34" s="122"/>
      <c r="PSP34" s="122"/>
      <c r="PSQ34" s="122"/>
      <c r="PSR34" s="122"/>
      <c r="PSS34" s="122"/>
      <c r="PST34" s="122"/>
      <c r="PSU34" s="122"/>
      <c r="PSV34" s="122"/>
      <c r="PSW34" s="122"/>
      <c r="PSX34" s="122"/>
      <c r="PSY34" s="122"/>
      <c r="PSZ34" s="122"/>
      <c r="PTA34" s="122"/>
      <c r="PTB34" s="122"/>
      <c r="PTC34" s="122"/>
      <c r="PTD34" s="122"/>
      <c r="PTE34" s="122"/>
      <c r="PTF34" s="122"/>
      <c r="PTG34" s="122"/>
      <c r="PTH34" s="122"/>
      <c r="PTI34" s="122"/>
      <c r="PTJ34" s="122"/>
      <c r="PTK34" s="122"/>
      <c r="PTL34" s="122"/>
      <c r="PTM34" s="122"/>
      <c r="PTN34" s="122"/>
      <c r="PTO34" s="122"/>
      <c r="PTP34" s="122"/>
      <c r="PTQ34" s="122"/>
      <c r="PTR34" s="122"/>
      <c r="PTS34" s="122"/>
      <c r="PTT34" s="122"/>
      <c r="PTU34" s="122"/>
      <c r="PTV34" s="122"/>
      <c r="PTW34" s="122"/>
      <c r="PTX34" s="122"/>
      <c r="PTY34" s="122"/>
      <c r="PTZ34" s="122"/>
      <c r="PUA34" s="122"/>
      <c r="PUB34" s="122"/>
      <c r="PUC34" s="122"/>
      <c r="PUD34" s="122"/>
      <c r="PUE34" s="122"/>
      <c r="PUF34" s="122"/>
      <c r="PUG34" s="122"/>
      <c r="PUH34" s="122"/>
      <c r="PUI34" s="122"/>
      <c r="PUJ34" s="122"/>
      <c r="PUK34" s="122"/>
      <c r="PUL34" s="122"/>
      <c r="PUM34" s="122"/>
      <c r="PUN34" s="122"/>
      <c r="PUO34" s="122"/>
      <c r="PUP34" s="122"/>
      <c r="PUQ34" s="122"/>
      <c r="PUR34" s="122"/>
      <c r="PUS34" s="122"/>
      <c r="PUT34" s="122"/>
      <c r="PUU34" s="122"/>
      <c r="PUV34" s="122"/>
      <c r="PUW34" s="122"/>
      <c r="PUX34" s="122"/>
      <c r="PUY34" s="122"/>
      <c r="PUZ34" s="122"/>
      <c r="PVA34" s="122"/>
      <c r="PVB34" s="122"/>
      <c r="PVC34" s="122"/>
      <c r="PVD34" s="122"/>
      <c r="PVE34" s="122"/>
      <c r="PVF34" s="122"/>
      <c r="PVG34" s="122"/>
      <c r="PVH34" s="122"/>
      <c r="PVI34" s="122"/>
      <c r="PVJ34" s="122"/>
      <c r="PVK34" s="122"/>
      <c r="PVL34" s="122"/>
      <c r="PVM34" s="122"/>
      <c r="PVN34" s="122"/>
      <c r="PVO34" s="122"/>
      <c r="PVP34" s="122"/>
      <c r="PVQ34" s="122"/>
      <c r="PVR34" s="122"/>
      <c r="PVS34" s="122"/>
      <c r="PVT34" s="122"/>
      <c r="PVU34" s="122"/>
      <c r="PVV34" s="122"/>
      <c r="PVW34" s="122"/>
      <c r="PVX34" s="122"/>
      <c r="PVY34" s="122"/>
      <c r="PVZ34" s="122"/>
      <c r="PWA34" s="122"/>
      <c r="PWB34" s="122"/>
      <c r="PWC34" s="122"/>
      <c r="PWD34" s="122"/>
      <c r="PWE34" s="122"/>
      <c r="PWF34" s="122"/>
      <c r="PWG34" s="122"/>
      <c r="PWH34" s="122"/>
      <c r="PWI34" s="122"/>
      <c r="PWJ34" s="122"/>
      <c r="PWK34" s="122"/>
      <c r="PWL34" s="122"/>
      <c r="PWM34" s="122"/>
      <c r="PWN34" s="122"/>
      <c r="PWO34" s="122"/>
      <c r="PWP34" s="122"/>
      <c r="PWQ34" s="122"/>
      <c r="PWR34" s="122"/>
      <c r="PWS34" s="122"/>
      <c r="PWT34" s="122"/>
      <c r="PWU34" s="122"/>
      <c r="PWV34" s="122"/>
      <c r="PWW34" s="122"/>
      <c r="PWX34" s="122"/>
      <c r="PWY34" s="122"/>
      <c r="PWZ34" s="122"/>
      <c r="PXA34" s="122"/>
      <c r="PXB34" s="122"/>
      <c r="PXC34" s="122"/>
      <c r="PXD34" s="122"/>
      <c r="PXE34" s="122"/>
      <c r="PXF34" s="122"/>
      <c r="PXG34" s="122"/>
      <c r="PXH34" s="122"/>
      <c r="PXI34" s="122"/>
      <c r="PXJ34" s="122"/>
      <c r="PXK34" s="122"/>
      <c r="PXL34" s="122"/>
      <c r="PXM34" s="122"/>
      <c r="PXN34" s="122"/>
      <c r="PXO34" s="122"/>
      <c r="PXP34" s="122"/>
      <c r="PXQ34" s="122"/>
      <c r="PXR34" s="122"/>
      <c r="PXS34" s="122"/>
      <c r="PXT34" s="122"/>
      <c r="PXU34" s="122"/>
      <c r="PXV34" s="122"/>
      <c r="PXW34" s="122"/>
      <c r="PXX34" s="122"/>
      <c r="PXY34" s="122"/>
      <c r="PXZ34" s="122"/>
      <c r="PYA34" s="122"/>
      <c r="PYB34" s="122"/>
      <c r="PYC34" s="122"/>
      <c r="PYD34" s="122"/>
      <c r="PYE34" s="122"/>
      <c r="PYF34" s="122"/>
      <c r="PYG34" s="122"/>
      <c r="PYH34" s="122"/>
      <c r="PYI34" s="122"/>
      <c r="PYJ34" s="122"/>
      <c r="PYK34" s="122"/>
      <c r="PYL34" s="122"/>
      <c r="PYM34" s="122"/>
      <c r="PYN34" s="122"/>
      <c r="PYO34" s="122"/>
      <c r="PYP34" s="122"/>
      <c r="PYQ34" s="122"/>
      <c r="PYR34" s="122"/>
      <c r="PYS34" s="122"/>
      <c r="PYT34" s="122"/>
      <c r="PYU34" s="122"/>
      <c r="PYV34" s="122"/>
      <c r="PYW34" s="122"/>
      <c r="PYX34" s="122"/>
      <c r="PYY34" s="122"/>
      <c r="PYZ34" s="122"/>
      <c r="PZA34" s="122"/>
      <c r="PZB34" s="122"/>
      <c r="PZC34" s="122"/>
      <c r="PZD34" s="122"/>
      <c r="PZE34" s="122"/>
      <c r="PZF34" s="122"/>
      <c r="PZG34" s="122"/>
      <c r="PZH34" s="122"/>
      <c r="PZI34" s="122"/>
      <c r="PZJ34" s="122"/>
      <c r="PZK34" s="122"/>
      <c r="PZL34" s="122"/>
      <c r="PZM34" s="122"/>
      <c r="PZN34" s="122"/>
      <c r="PZO34" s="122"/>
      <c r="PZP34" s="122"/>
      <c r="PZQ34" s="122"/>
      <c r="PZR34" s="122"/>
      <c r="PZS34" s="122"/>
      <c r="PZT34" s="122"/>
      <c r="PZU34" s="122"/>
      <c r="PZV34" s="122"/>
      <c r="PZW34" s="122"/>
      <c r="PZX34" s="122"/>
      <c r="PZY34" s="122"/>
      <c r="PZZ34" s="122"/>
      <c r="QAA34" s="122"/>
      <c r="QAB34" s="122"/>
      <c r="QAC34" s="122"/>
      <c r="QAD34" s="122"/>
      <c r="QAE34" s="122"/>
      <c r="QAF34" s="122"/>
      <c r="QAG34" s="122"/>
      <c r="QAH34" s="122"/>
      <c r="QAI34" s="122"/>
      <c r="QAJ34" s="122"/>
      <c r="QAK34" s="122"/>
      <c r="QAL34" s="122"/>
      <c r="QAM34" s="122"/>
      <c r="QAN34" s="122"/>
      <c r="QAO34" s="122"/>
      <c r="QAP34" s="122"/>
      <c r="QAQ34" s="122"/>
      <c r="QAR34" s="122"/>
      <c r="QAS34" s="122"/>
      <c r="QAT34" s="122"/>
      <c r="QAU34" s="122"/>
      <c r="QAV34" s="122"/>
      <c r="QAW34" s="122"/>
      <c r="QAX34" s="122"/>
      <c r="QAY34" s="122"/>
      <c r="QAZ34" s="122"/>
      <c r="QBA34" s="122"/>
      <c r="QBB34" s="122"/>
      <c r="QBC34" s="122"/>
      <c r="QBD34" s="122"/>
      <c r="QBE34" s="122"/>
      <c r="QBF34" s="122"/>
      <c r="QBG34" s="122"/>
      <c r="QBH34" s="122"/>
      <c r="QBI34" s="122"/>
      <c r="QBJ34" s="122"/>
      <c r="QBK34" s="122"/>
      <c r="QBL34" s="122"/>
      <c r="QBM34" s="122"/>
      <c r="QBN34" s="122"/>
      <c r="QBO34" s="122"/>
      <c r="QBP34" s="122"/>
      <c r="QBQ34" s="122"/>
      <c r="QBR34" s="122"/>
      <c r="QBS34" s="122"/>
      <c r="QBT34" s="122"/>
      <c r="QBU34" s="122"/>
      <c r="QBV34" s="122"/>
      <c r="QBW34" s="122"/>
      <c r="QBX34" s="122"/>
      <c r="QBY34" s="122"/>
      <c r="QBZ34" s="122"/>
      <c r="QCA34" s="122"/>
      <c r="QCB34" s="122"/>
      <c r="QCC34" s="122"/>
      <c r="QCD34" s="122"/>
      <c r="QCE34" s="122"/>
      <c r="QCF34" s="122"/>
      <c r="QCG34" s="122"/>
      <c r="QCH34" s="122"/>
      <c r="QCI34" s="122"/>
      <c r="QCJ34" s="122"/>
      <c r="QCK34" s="122"/>
      <c r="QCL34" s="122"/>
      <c r="QCM34" s="122"/>
      <c r="QCN34" s="122"/>
      <c r="QCO34" s="122"/>
      <c r="QCP34" s="122"/>
      <c r="QCQ34" s="122"/>
      <c r="QCR34" s="122"/>
      <c r="QCS34" s="122"/>
      <c r="QCT34" s="122"/>
      <c r="QCU34" s="122"/>
      <c r="QCV34" s="122"/>
      <c r="QCW34" s="122"/>
      <c r="QCX34" s="122"/>
      <c r="QCY34" s="122"/>
      <c r="QCZ34" s="122"/>
      <c r="QDA34" s="122"/>
      <c r="QDB34" s="122"/>
      <c r="QDC34" s="122"/>
      <c r="QDD34" s="122"/>
      <c r="QDE34" s="122"/>
      <c r="QDF34" s="122"/>
      <c r="QDG34" s="122"/>
      <c r="QDH34" s="122"/>
      <c r="QDI34" s="122"/>
      <c r="QDJ34" s="122"/>
      <c r="QDK34" s="122"/>
      <c r="QDL34" s="122"/>
      <c r="QDM34" s="122"/>
      <c r="QDN34" s="122"/>
      <c r="QDO34" s="122"/>
      <c r="QDP34" s="122"/>
      <c r="QDQ34" s="122"/>
      <c r="QDR34" s="122"/>
      <c r="QDS34" s="122"/>
      <c r="QDT34" s="122"/>
      <c r="QDU34" s="122"/>
      <c r="QDV34" s="122"/>
      <c r="QDW34" s="122"/>
      <c r="QDX34" s="122"/>
      <c r="QDY34" s="122"/>
      <c r="QDZ34" s="122"/>
      <c r="QEA34" s="122"/>
      <c r="QEB34" s="122"/>
      <c r="QEC34" s="122"/>
      <c r="QED34" s="122"/>
      <c r="QEE34" s="122"/>
      <c r="QEF34" s="122"/>
      <c r="QEG34" s="122"/>
      <c r="QEH34" s="122"/>
      <c r="QEI34" s="122"/>
      <c r="QEJ34" s="122"/>
      <c r="QEK34" s="122"/>
      <c r="QEL34" s="122"/>
      <c r="QEM34" s="122"/>
      <c r="QEN34" s="122"/>
      <c r="QEO34" s="122"/>
      <c r="QEP34" s="122"/>
      <c r="QEQ34" s="122"/>
      <c r="QER34" s="122"/>
      <c r="QES34" s="122"/>
      <c r="QET34" s="122"/>
      <c r="QEU34" s="122"/>
      <c r="QEV34" s="122"/>
      <c r="QEW34" s="122"/>
      <c r="QEX34" s="122"/>
      <c r="QEY34" s="122"/>
      <c r="QEZ34" s="122"/>
      <c r="QFA34" s="122"/>
      <c r="QFB34" s="122"/>
      <c r="QFC34" s="122"/>
      <c r="QFD34" s="122"/>
      <c r="QFE34" s="122"/>
      <c r="QFF34" s="122"/>
      <c r="QFG34" s="122"/>
      <c r="QFH34" s="122"/>
      <c r="QFI34" s="122"/>
      <c r="QFJ34" s="122"/>
      <c r="QFK34" s="122"/>
      <c r="QFL34" s="122"/>
      <c r="QFM34" s="122"/>
      <c r="QFN34" s="122"/>
      <c r="QFO34" s="122"/>
      <c r="QFP34" s="122"/>
      <c r="QFQ34" s="122"/>
      <c r="QFR34" s="122"/>
      <c r="QFS34" s="122"/>
      <c r="QFT34" s="122"/>
      <c r="QFU34" s="122"/>
      <c r="QFV34" s="122"/>
      <c r="QFW34" s="122"/>
      <c r="QFX34" s="122"/>
      <c r="QFY34" s="122"/>
      <c r="QFZ34" s="122"/>
      <c r="QGA34" s="122"/>
      <c r="QGB34" s="122"/>
      <c r="QGC34" s="122"/>
      <c r="QGD34" s="122"/>
      <c r="QGE34" s="122"/>
      <c r="QGF34" s="122"/>
      <c r="QGG34" s="122"/>
      <c r="QGH34" s="122"/>
      <c r="QGI34" s="122"/>
      <c r="QGJ34" s="122"/>
      <c r="QGK34" s="122"/>
      <c r="QGL34" s="122"/>
      <c r="QGM34" s="122"/>
      <c r="QGN34" s="122"/>
      <c r="QGO34" s="122"/>
      <c r="QGP34" s="122"/>
      <c r="QGQ34" s="122"/>
      <c r="QGR34" s="122"/>
      <c r="QGS34" s="122"/>
      <c r="QGT34" s="122"/>
      <c r="QGU34" s="122"/>
      <c r="QGV34" s="122"/>
      <c r="QGW34" s="122"/>
      <c r="QGX34" s="122"/>
      <c r="QGY34" s="122"/>
      <c r="QGZ34" s="122"/>
      <c r="QHA34" s="122"/>
      <c r="QHB34" s="122"/>
      <c r="QHC34" s="122"/>
      <c r="QHD34" s="122"/>
      <c r="QHE34" s="122"/>
      <c r="QHF34" s="122"/>
      <c r="QHG34" s="122"/>
      <c r="QHH34" s="122"/>
      <c r="QHI34" s="122"/>
      <c r="QHJ34" s="122"/>
      <c r="QHK34" s="122"/>
      <c r="QHL34" s="122"/>
      <c r="QHM34" s="122"/>
      <c r="QHN34" s="122"/>
      <c r="QHO34" s="122"/>
      <c r="QHP34" s="122"/>
      <c r="QHQ34" s="122"/>
      <c r="QHR34" s="122"/>
      <c r="QHS34" s="122"/>
      <c r="QHT34" s="122"/>
      <c r="QHU34" s="122"/>
      <c r="QHV34" s="122"/>
      <c r="QHW34" s="122"/>
      <c r="QHX34" s="122"/>
      <c r="QHY34" s="122"/>
      <c r="QHZ34" s="122"/>
      <c r="QIA34" s="122"/>
      <c r="QIB34" s="122"/>
      <c r="QIC34" s="122"/>
      <c r="QID34" s="122"/>
      <c r="QIE34" s="122"/>
      <c r="QIF34" s="122"/>
      <c r="QIG34" s="122"/>
      <c r="QIH34" s="122"/>
      <c r="QII34" s="122"/>
      <c r="QIJ34" s="122"/>
      <c r="QIK34" s="122"/>
      <c r="QIL34" s="122"/>
      <c r="QIM34" s="122"/>
      <c r="QIN34" s="122"/>
      <c r="QIO34" s="122"/>
      <c r="QIP34" s="122"/>
      <c r="QIQ34" s="122"/>
      <c r="QIR34" s="122"/>
      <c r="QIS34" s="122"/>
      <c r="QIT34" s="122"/>
      <c r="QIU34" s="122"/>
      <c r="QIV34" s="122"/>
      <c r="QIW34" s="122"/>
      <c r="QIX34" s="122"/>
      <c r="QIY34" s="122"/>
      <c r="QIZ34" s="122"/>
      <c r="QJA34" s="122"/>
      <c r="QJB34" s="122"/>
      <c r="QJC34" s="122"/>
      <c r="QJD34" s="122"/>
      <c r="QJE34" s="122"/>
      <c r="QJF34" s="122"/>
      <c r="QJG34" s="122"/>
      <c r="QJH34" s="122"/>
      <c r="QJI34" s="122"/>
      <c r="QJJ34" s="122"/>
      <c r="QJK34" s="122"/>
      <c r="QJL34" s="122"/>
      <c r="QJM34" s="122"/>
      <c r="QJN34" s="122"/>
      <c r="QJO34" s="122"/>
      <c r="QJP34" s="122"/>
      <c r="QJQ34" s="122"/>
      <c r="QJR34" s="122"/>
      <c r="QJS34" s="122"/>
      <c r="QJT34" s="122"/>
      <c r="QJU34" s="122"/>
      <c r="QJV34" s="122"/>
      <c r="QJW34" s="122"/>
      <c r="QJX34" s="122"/>
      <c r="QJY34" s="122"/>
      <c r="QJZ34" s="122"/>
      <c r="QKA34" s="122"/>
      <c r="QKB34" s="122"/>
      <c r="QKC34" s="122"/>
      <c r="QKD34" s="122"/>
      <c r="QKE34" s="122"/>
      <c r="QKF34" s="122"/>
      <c r="QKG34" s="122"/>
      <c r="QKH34" s="122"/>
      <c r="QKI34" s="122"/>
      <c r="QKJ34" s="122"/>
      <c r="QKK34" s="122"/>
      <c r="QKL34" s="122"/>
      <c r="QKM34" s="122"/>
      <c r="QKN34" s="122"/>
      <c r="QKO34" s="122"/>
      <c r="QKP34" s="122"/>
      <c r="QKQ34" s="122"/>
      <c r="QKR34" s="122"/>
      <c r="QKS34" s="122"/>
      <c r="QKT34" s="122"/>
      <c r="QKU34" s="122"/>
      <c r="QKV34" s="122"/>
      <c r="QKW34" s="122"/>
      <c r="QKX34" s="122"/>
      <c r="QKY34" s="122"/>
      <c r="QKZ34" s="122"/>
      <c r="QLA34" s="122"/>
      <c r="QLB34" s="122"/>
      <c r="QLC34" s="122"/>
      <c r="QLD34" s="122"/>
      <c r="QLE34" s="122"/>
      <c r="QLF34" s="122"/>
      <c r="QLG34" s="122"/>
      <c r="QLH34" s="122"/>
      <c r="QLI34" s="122"/>
      <c r="QLJ34" s="122"/>
      <c r="QLK34" s="122"/>
      <c r="QLL34" s="122"/>
      <c r="QLM34" s="122"/>
      <c r="QLN34" s="122"/>
      <c r="QLO34" s="122"/>
      <c r="QLP34" s="122"/>
      <c r="QLQ34" s="122"/>
      <c r="QLR34" s="122"/>
      <c r="QLS34" s="122"/>
      <c r="QLT34" s="122"/>
      <c r="QLU34" s="122"/>
      <c r="QLV34" s="122"/>
      <c r="QLW34" s="122"/>
      <c r="QLX34" s="122"/>
      <c r="QLY34" s="122"/>
      <c r="QLZ34" s="122"/>
      <c r="QMA34" s="122"/>
      <c r="QMB34" s="122"/>
      <c r="QMC34" s="122"/>
      <c r="QMD34" s="122"/>
      <c r="QME34" s="122"/>
      <c r="QMF34" s="122"/>
      <c r="QMG34" s="122"/>
      <c r="QMH34" s="122"/>
      <c r="QMI34" s="122"/>
      <c r="QMJ34" s="122"/>
      <c r="QMK34" s="122"/>
      <c r="QML34" s="122"/>
      <c r="QMM34" s="122"/>
      <c r="QMN34" s="122"/>
      <c r="QMO34" s="122"/>
      <c r="QMP34" s="122"/>
      <c r="QMQ34" s="122"/>
      <c r="QMR34" s="122"/>
      <c r="QMS34" s="122"/>
      <c r="QMT34" s="122"/>
      <c r="QMU34" s="122"/>
      <c r="QMV34" s="122"/>
      <c r="QMW34" s="122"/>
      <c r="QMX34" s="122"/>
      <c r="QMY34" s="122"/>
      <c r="QMZ34" s="122"/>
      <c r="QNA34" s="122"/>
      <c r="QNB34" s="122"/>
      <c r="QNC34" s="122"/>
      <c r="QND34" s="122"/>
      <c r="QNE34" s="122"/>
      <c r="QNF34" s="122"/>
      <c r="QNG34" s="122"/>
      <c r="QNH34" s="122"/>
      <c r="QNI34" s="122"/>
      <c r="QNJ34" s="122"/>
      <c r="QNK34" s="122"/>
      <c r="QNL34" s="122"/>
      <c r="QNM34" s="122"/>
      <c r="QNN34" s="122"/>
      <c r="QNO34" s="122"/>
      <c r="QNP34" s="122"/>
      <c r="QNQ34" s="122"/>
      <c r="QNR34" s="122"/>
      <c r="QNS34" s="122"/>
      <c r="QNT34" s="122"/>
      <c r="QNU34" s="122"/>
      <c r="QNV34" s="122"/>
      <c r="QNW34" s="122"/>
      <c r="QNX34" s="122"/>
      <c r="QNY34" s="122"/>
      <c r="QNZ34" s="122"/>
      <c r="QOA34" s="122"/>
      <c r="QOB34" s="122"/>
      <c r="QOC34" s="122"/>
      <c r="QOD34" s="122"/>
      <c r="QOE34" s="122"/>
      <c r="QOF34" s="122"/>
      <c r="QOG34" s="122"/>
      <c r="QOH34" s="122"/>
      <c r="QOI34" s="122"/>
      <c r="QOJ34" s="122"/>
      <c r="QOK34" s="122"/>
      <c r="QOL34" s="122"/>
      <c r="QOM34" s="122"/>
      <c r="QON34" s="122"/>
      <c r="QOO34" s="122"/>
      <c r="QOP34" s="122"/>
      <c r="QOQ34" s="122"/>
      <c r="QOR34" s="122"/>
      <c r="QOS34" s="122"/>
      <c r="QOT34" s="122"/>
      <c r="QOU34" s="122"/>
      <c r="QOV34" s="122"/>
      <c r="QOW34" s="122"/>
      <c r="QOX34" s="122"/>
      <c r="QOY34" s="122"/>
      <c r="QOZ34" s="122"/>
      <c r="QPA34" s="122"/>
      <c r="QPB34" s="122"/>
      <c r="QPC34" s="122"/>
      <c r="QPD34" s="122"/>
      <c r="QPE34" s="122"/>
      <c r="QPF34" s="122"/>
      <c r="QPG34" s="122"/>
      <c r="QPH34" s="122"/>
      <c r="QPI34" s="122"/>
      <c r="QPJ34" s="122"/>
      <c r="QPK34" s="122"/>
      <c r="QPL34" s="122"/>
      <c r="QPM34" s="122"/>
      <c r="QPN34" s="122"/>
      <c r="QPO34" s="122"/>
      <c r="QPP34" s="122"/>
      <c r="QPQ34" s="122"/>
      <c r="QPR34" s="122"/>
      <c r="QPS34" s="122"/>
      <c r="QPT34" s="122"/>
      <c r="QPU34" s="122"/>
      <c r="QPV34" s="122"/>
      <c r="QPW34" s="122"/>
      <c r="QPX34" s="122"/>
      <c r="QPY34" s="122"/>
      <c r="QPZ34" s="122"/>
      <c r="QQA34" s="122"/>
      <c r="QQB34" s="122"/>
      <c r="QQC34" s="122"/>
      <c r="QQD34" s="122"/>
      <c r="QQE34" s="122"/>
      <c r="QQF34" s="122"/>
      <c r="QQG34" s="122"/>
      <c r="QQH34" s="122"/>
      <c r="QQI34" s="122"/>
      <c r="QQJ34" s="122"/>
      <c r="QQK34" s="122"/>
      <c r="QQL34" s="122"/>
      <c r="QQM34" s="122"/>
      <c r="QQN34" s="122"/>
      <c r="QQO34" s="122"/>
      <c r="QQP34" s="122"/>
      <c r="QQQ34" s="122"/>
      <c r="QQR34" s="122"/>
      <c r="QQS34" s="122"/>
      <c r="QQT34" s="122"/>
      <c r="QQU34" s="122"/>
      <c r="QQV34" s="122"/>
      <c r="QQW34" s="122"/>
      <c r="QQX34" s="122"/>
      <c r="QQY34" s="122"/>
      <c r="QQZ34" s="122"/>
      <c r="QRA34" s="122"/>
      <c r="QRB34" s="122"/>
      <c r="QRC34" s="122"/>
      <c r="QRD34" s="122"/>
      <c r="QRE34" s="122"/>
      <c r="QRF34" s="122"/>
      <c r="QRG34" s="122"/>
      <c r="QRH34" s="122"/>
      <c r="QRI34" s="122"/>
      <c r="QRJ34" s="122"/>
      <c r="QRK34" s="122"/>
      <c r="QRL34" s="122"/>
      <c r="QRM34" s="122"/>
      <c r="QRN34" s="122"/>
      <c r="QRO34" s="122"/>
      <c r="QRP34" s="122"/>
      <c r="QRQ34" s="122"/>
      <c r="QRR34" s="122"/>
      <c r="QRS34" s="122"/>
      <c r="QRT34" s="122"/>
      <c r="QRU34" s="122"/>
      <c r="QRV34" s="122"/>
      <c r="QRW34" s="122"/>
      <c r="QRX34" s="122"/>
      <c r="QRY34" s="122"/>
      <c r="QRZ34" s="122"/>
      <c r="QSA34" s="122"/>
      <c r="QSB34" s="122"/>
      <c r="QSC34" s="122"/>
      <c r="QSD34" s="122"/>
      <c r="QSE34" s="122"/>
      <c r="QSF34" s="122"/>
      <c r="QSG34" s="122"/>
      <c r="QSH34" s="122"/>
      <c r="QSI34" s="122"/>
      <c r="QSJ34" s="122"/>
      <c r="QSK34" s="122"/>
      <c r="QSL34" s="122"/>
      <c r="QSM34" s="122"/>
      <c r="QSN34" s="122"/>
      <c r="QSO34" s="122"/>
      <c r="QSP34" s="122"/>
      <c r="QSQ34" s="122"/>
      <c r="QSR34" s="122"/>
      <c r="QSS34" s="122"/>
      <c r="QST34" s="122"/>
      <c r="QSU34" s="122"/>
      <c r="QSV34" s="122"/>
      <c r="QSW34" s="122"/>
      <c r="QSX34" s="122"/>
      <c r="QSY34" s="122"/>
      <c r="QSZ34" s="122"/>
      <c r="QTA34" s="122"/>
      <c r="QTB34" s="122"/>
      <c r="QTC34" s="122"/>
      <c r="QTD34" s="122"/>
      <c r="QTE34" s="122"/>
      <c r="QTF34" s="122"/>
      <c r="QTG34" s="122"/>
      <c r="QTH34" s="122"/>
      <c r="QTI34" s="122"/>
      <c r="QTJ34" s="122"/>
      <c r="QTK34" s="122"/>
      <c r="QTL34" s="122"/>
      <c r="QTM34" s="122"/>
      <c r="QTN34" s="122"/>
      <c r="QTO34" s="122"/>
      <c r="QTP34" s="122"/>
      <c r="QTQ34" s="122"/>
      <c r="QTR34" s="122"/>
      <c r="QTS34" s="122"/>
      <c r="QTT34" s="122"/>
      <c r="QTU34" s="122"/>
      <c r="QTV34" s="122"/>
      <c r="QTW34" s="122"/>
      <c r="QTX34" s="122"/>
      <c r="QTY34" s="122"/>
      <c r="QTZ34" s="122"/>
      <c r="QUA34" s="122"/>
      <c r="QUB34" s="122"/>
      <c r="QUC34" s="122"/>
      <c r="QUD34" s="122"/>
      <c r="QUE34" s="122"/>
      <c r="QUF34" s="122"/>
      <c r="QUG34" s="122"/>
      <c r="QUH34" s="122"/>
      <c r="QUI34" s="122"/>
      <c r="QUJ34" s="122"/>
      <c r="QUK34" s="122"/>
      <c r="QUL34" s="122"/>
      <c r="QUM34" s="122"/>
      <c r="QUN34" s="122"/>
      <c r="QUO34" s="122"/>
      <c r="QUP34" s="122"/>
      <c r="QUQ34" s="122"/>
      <c r="QUR34" s="122"/>
      <c r="QUS34" s="122"/>
      <c r="QUT34" s="122"/>
      <c r="QUU34" s="122"/>
      <c r="QUV34" s="122"/>
      <c r="QUW34" s="122"/>
      <c r="QUX34" s="122"/>
      <c r="QUY34" s="122"/>
      <c r="QUZ34" s="122"/>
      <c r="QVA34" s="122"/>
      <c r="QVB34" s="122"/>
      <c r="QVC34" s="122"/>
      <c r="QVD34" s="122"/>
      <c r="QVE34" s="122"/>
      <c r="QVF34" s="122"/>
      <c r="QVG34" s="122"/>
      <c r="QVH34" s="122"/>
      <c r="QVI34" s="122"/>
      <c r="QVJ34" s="122"/>
      <c r="QVK34" s="122"/>
      <c r="QVL34" s="122"/>
      <c r="QVM34" s="122"/>
      <c r="QVN34" s="122"/>
      <c r="QVO34" s="122"/>
      <c r="QVP34" s="122"/>
      <c r="QVQ34" s="122"/>
      <c r="QVR34" s="122"/>
      <c r="QVS34" s="122"/>
      <c r="QVT34" s="122"/>
      <c r="QVU34" s="122"/>
      <c r="QVV34" s="122"/>
      <c r="QVW34" s="122"/>
      <c r="QVX34" s="122"/>
      <c r="QVY34" s="122"/>
      <c r="QVZ34" s="122"/>
      <c r="QWA34" s="122"/>
      <c r="QWB34" s="122"/>
      <c r="QWC34" s="122"/>
      <c r="QWD34" s="122"/>
      <c r="QWE34" s="122"/>
      <c r="QWF34" s="122"/>
      <c r="QWG34" s="122"/>
      <c r="QWH34" s="122"/>
      <c r="QWI34" s="122"/>
      <c r="QWJ34" s="122"/>
      <c r="QWK34" s="122"/>
      <c r="QWL34" s="122"/>
      <c r="QWM34" s="122"/>
      <c r="QWN34" s="122"/>
      <c r="QWO34" s="122"/>
      <c r="QWP34" s="122"/>
      <c r="QWQ34" s="122"/>
      <c r="QWR34" s="122"/>
      <c r="QWS34" s="122"/>
      <c r="QWT34" s="122"/>
      <c r="QWU34" s="122"/>
      <c r="QWV34" s="122"/>
      <c r="QWW34" s="122"/>
      <c r="QWX34" s="122"/>
      <c r="QWY34" s="122"/>
      <c r="QWZ34" s="122"/>
      <c r="QXA34" s="122"/>
      <c r="QXB34" s="122"/>
      <c r="QXC34" s="122"/>
      <c r="QXD34" s="122"/>
      <c r="QXE34" s="122"/>
      <c r="QXF34" s="122"/>
      <c r="QXG34" s="122"/>
      <c r="QXH34" s="122"/>
      <c r="QXI34" s="122"/>
      <c r="QXJ34" s="122"/>
      <c r="QXK34" s="122"/>
      <c r="QXL34" s="122"/>
      <c r="QXM34" s="122"/>
      <c r="QXN34" s="122"/>
      <c r="QXO34" s="122"/>
      <c r="QXP34" s="122"/>
      <c r="QXQ34" s="122"/>
      <c r="QXR34" s="122"/>
      <c r="QXS34" s="122"/>
      <c r="QXT34" s="122"/>
      <c r="QXU34" s="122"/>
      <c r="QXV34" s="122"/>
      <c r="QXW34" s="122"/>
      <c r="QXX34" s="122"/>
      <c r="QXY34" s="122"/>
      <c r="QXZ34" s="122"/>
      <c r="QYA34" s="122"/>
      <c r="QYB34" s="122"/>
      <c r="QYC34" s="122"/>
      <c r="QYD34" s="122"/>
      <c r="QYE34" s="122"/>
      <c r="QYF34" s="122"/>
      <c r="QYG34" s="122"/>
      <c r="QYH34" s="122"/>
      <c r="QYI34" s="122"/>
      <c r="QYJ34" s="122"/>
      <c r="QYK34" s="122"/>
      <c r="QYL34" s="122"/>
      <c r="QYM34" s="122"/>
      <c r="QYN34" s="122"/>
      <c r="QYO34" s="122"/>
      <c r="QYP34" s="122"/>
      <c r="QYQ34" s="122"/>
      <c r="QYR34" s="122"/>
      <c r="QYS34" s="122"/>
      <c r="QYT34" s="122"/>
      <c r="QYU34" s="122"/>
      <c r="QYV34" s="122"/>
      <c r="QYW34" s="122"/>
      <c r="QYX34" s="122"/>
      <c r="QYY34" s="122"/>
      <c r="QYZ34" s="122"/>
      <c r="QZA34" s="122"/>
      <c r="QZB34" s="122"/>
      <c r="QZC34" s="122"/>
      <c r="QZD34" s="122"/>
      <c r="QZE34" s="122"/>
      <c r="QZF34" s="122"/>
      <c r="QZG34" s="122"/>
      <c r="QZH34" s="122"/>
      <c r="QZI34" s="122"/>
      <c r="QZJ34" s="122"/>
      <c r="QZK34" s="122"/>
      <c r="QZL34" s="122"/>
      <c r="QZM34" s="122"/>
      <c r="QZN34" s="122"/>
      <c r="QZO34" s="122"/>
      <c r="QZP34" s="122"/>
      <c r="QZQ34" s="122"/>
      <c r="QZR34" s="122"/>
      <c r="QZS34" s="122"/>
      <c r="QZT34" s="122"/>
      <c r="QZU34" s="122"/>
      <c r="QZV34" s="122"/>
      <c r="QZW34" s="122"/>
      <c r="QZX34" s="122"/>
      <c r="QZY34" s="122"/>
      <c r="QZZ34" s="122"/>
      <c r="RAA34" s="122"/>
      <c r="RAB34" s="122"/>
      <c r="RAC34" s="122"/>
      <c r="RAD34" s="122"/>
      <c r="RAE34" s="122"/>
      <c r="RAF34" s="122"/>
      <c r="RAG34" s="122"/>
      <c r="RAH34" s="122"/>
      <c r="RAI34" s="122"/>
      <c r="RAJ34" s="122"/>
      <c r="RAK34" s="122"/>
      <c r="RAL34" s="122"/>
      <c r="RAM34" s="122"/>
      <c r="RAN34" s="122"/>
      <c r="RAO34" s="122"/>
      <c r="RAP34" s="122"/>
      <c r="RAQ34" s="122"/>
      <c r="RAR34" s="122"/>
      <c r="RAS34" s="122"/>
      <c r="RAT34" s="122"/>
      <c r="RAU34" s="122"/>
      <c r="RAV34" s="122"/>
      <c r="RAW34" s="122"/>
      <c r="RAX34" s="122"/>
      <c r="RAY34" s="122"/>
      <c r="RAZ34" s="122"/>
      <c r="RBA34" s="122"/>
      <c r="RBB34" s="122"/>
      <c r="RBC34" s="122"/>
      <c r="RBD34" s="122"/>
      <c r="RBE34" s="122"/>
      <c r="RBF34" s="122"/>
      <c r="RBG34" s="122"/>
      <c r="RBH34" s="122"/>
      <c r="RBI34" s="122"/>
      <c r="RBJ34" s="122"/>
      <c r="RBK34" s="122"/>
      <c r="RBL34" s="122"/>
      <c r="RBM34" s="122"/>
      <c r="RBN34" s="122"/>
      <c r="RBO34" s="122"/>
      <c r="RBP34" s="122"/>
      <c r="RBQ34" s="122"/>
      <c r="RBR34" s="122"/>
      <c r="RBS34" s="122"/>
      <c r="RBT34" s="122"/>
      <c r="RBU34" s="122"/>
      <c r="RBV34" s="122"/>
      <c r="RBW34" s="122"/>
      <c r="RBX34" s="122"/>
      <c r="RBY34" s="122"/>
      <c r="RBZ34" s="122"/>
      <c r="RCA34" s="122"/>
      <c r="RCB34" s="122"/>
      <c r="RCC34" s="122"/>
      <c r="RCD34" s="122"/>
      <c r="RCE34" s="122"/>
      <c r="RCF34" s="122"/>
      <c r="RCG34" s="122"/>
      <c r="RCH34" s="122"/>
      <c r="RCI34" s="122"/>
      <c r="RCJ34" s="122"/>
      <c r="RCK34" s="122"/>
      <c r="RCL34" s="122"/>
      <c r="RCM34" s="122"/>
      <c r="RCN34" s="122"/>
      <c r="RCO34" s="122"/>
      <c r="RCP34" s="122"/>
      <c r="RCQ34" s="122"/>
      <c r="RCR34" s="122"/>
      <c r="RCS34" s="122"/>
      <c r="RCT34" s="122"/>
      <c r="RCU34" s="122"/>
      <c r="RCV34" s="122"/>
      <c r="RCW34" s="122"/>
      <c r="RCX34" s="122"/>
      <c r="RCY34" s="122"/>
      <c r="RCZ34" s="122"/>
      <c r="RDA34" s="122"/>
      <c r="RDB34" s="122"/>
      <c r="RDC34" s="122"/>
      <c r="RDD34" s="122"/>
      <c r="RDE34" s="122"/>
      <c r="RDF34" s="122"/>
      <c r="RDG34" s="122"/>
      <c r="RDH34" s="122"/>
      <c r="RDI34" s="122"/>
      <c r="RDJ34" s="122"/>
      <c r="RDK34" s="122"/>
      <c r="RDL34" s="122"/>
      <c r="RDM34" s="122"/>
      <c r="RDN34" s="122"/>
      <c r="RDO34" s="122"/>
      <c r="RDP34" s="122"/>
      <c r="RDQ34" s="122"/>
      <c r="RDR34" s="122"/>
      <c r="RDS34" s="122"/>
      <c r="RDT34" s="122"/>
      <c r="RDU34" s="122"/>
      <c r="RDV34" s="122"/>
      <c r="RDW34" s="122"/>
      <c r="RDX34" s="122"/>
      <c r="RDY34" s="122"/>
      <c r="RDZ34" s="122"/>
      <c r="REA34" s="122"/>
      <c r="REB34" s="122"/>
      <c r="REC34" s="122"/>
      <c r="RED34" s="122"/>
      <c r="REE34" s="122"/>
      <c r="REF34" s="122"/>
      <c r="REG34" s="122"/>
      <c r="REH34" s="122"/>
      <c r="REI34" s="122"/>
      <c r="REJ34" s="122"/>
      <c r="REK34" s="122"/>
      <c r="REL34" s="122"/>
      <c r="REM34" s="122"/>
      <c r="REN34" s="122"/>
      <c r="REO34" s="122"/>
      <c r="REP34" s="122"/>
      <c r="REQ34" s="122"/>
      <c r="RER34" s="122"/>
      <c r="RES34" s="122"/>
      <c r="RET34" s="122"/>
      <c r="REU34" s="122"/>
      <c r="REV34" s="122"/>
      <c r="REW34" s="122"/>
      <c r="REX34" s="122"/>
      <c r="REY34" s="122"/>
      <c r="REZ34" s="122"/>
      <c r="RFA34" s="122"/>
      <c r="RFB34" s="122"/>
      <c r="RFC34" s="122"/>
      <c r="RFD34" s="122"/>
      <c r="RFE34" s="122"/>
      <c r="RFF34" s="122"/>
      <c r="RFG34" s="122"/>
      <c r="RFH34" s="122"/>
      <c r="RFI34" s="122"/>
      <c r="RFJ34" s="122"/>
      <c r="RFK34" s="122"/>
      <c r="RFL34" s="122"/>
      <c r="RFM34" s="122"/>
      <c r="RFN34" s="122"/>
      <c r="RFO34" s="122"/>
      <c r="RFP34" s="122"/>
      <c r="RFQ34" s="122"/>
      <c r="RFR34" s="122"/>
      <c r="RFS34" s="122"/>
      <c r="RFT34" s="122"/>
      <c r="RFU34" s="122"/>
      <c r="RFV34" s="122"/>
      <c r="RFW34" s="122"/>
      <c r="RFX34" s="122"/>
      <c r="RFY34" s="122"/>
      <c r="RFZ34" s="122"/>
      <c r="RGA34" s="122"/>
      <c r="RGB34" s="122"/>
      <c r="RGC34" s="122"/>
      <c r="RGD34" s="122"/>
      <c r="RGE34" s="122"/>
      <c r="RGF34" s="122"/>
      <c r="RGG34" s="122"/>
      <c r="RGH34" s="122"/>
      <c r="RGI34" s="122"/>
      <c r="RGJ34" s="122"/>
      <c r="RGK34" s="122"/>
      <c r="RGL34" s="122"/>
      <c r="RGM34" s="122"/>
      <c r="RGN34" s="122"/>
      <c r="RGO34" s="122"/>
      <c r="RGP34" s="122"/>
      <c r="RGQ34" s="122"/>
      <c r="RGR34" s="122"/>
      <c r="RGS34" s="122"/>
      <c r="RGT34" s="122"/>
      <c r="RGU34" s="122"/>
      <c r="RGV34" s="122"/>
      <c r="RGW34" s="122"/>
      <c r="RGX34" s="122"/>
      <c r="RGY34" s="122"/>
      <c r="RGZ34" s="122"/>
      <c r="RHA34" s="122"/>
      <c r="RHB34" s="122"/>
      <c r="RHC34" s="122"/>
      <c r="RHD34" s="122"/>
      <c r="RHE34" s="122"/>
      <c r="RHF34" s="122"/>
      <c r="RHG34" s="122"/>
      <c r="RHH34" s="122"/>
      <c r="RHI34" s="122"/>
      <c r="RHJ34" s="122"/>
      <c r="RHK34" s="122"/>
      <c r="RHL34" s="122"/>
      <c r="RHM34" s="122"/>
      <c r="RHN34" s="122"/>
      <c r="RHO34" s="122"/>
      <c r="RHP34" s="122"/>
      <c r="RHQ34" s="122"/>
      <c r="RHR34" s="122"/>
      <c r="RHS34" s="122"/>
      <c r="RHT34" s="122"/>
      <c r="RHU34" s="122"/>
      <c r="RHV34" s="122"/>
      <c r="RHW34" s="122"/>
      <c r="RHX34" s="122"/>
      <c r="RHY34" s="122"/>
      <c r="RHZ34" s="122"/>
      <c r="RIA34" s="122"/>
      <c r="RIB34" s="122"/>
      <c r="RIC34" s="122"/>
      <c r="RID34" s="122"/>
      <c r="RIE34" s="122"/>
      <c r="RIF34" s="122"/>
      <c r="RIG34" s="122"/>
      <c r="RIH34" s="122"/>
      <c r="RII34" s="122"/>
      <c r="RIJ34" s="122"/>
      <c r="RIK34" s="122"/>
      <c r="RIL34" s="122"/>
      <c r="RIM34" s="122"/>
      <c r="RIN34" s="122"/>
      <c r="RIO34" s="122"/>
      <c r="RIP34" s="122"/>
      <c r="RIQ34" s="122"/>
      <c r="RIR34" s="122"/>
      <c r="RIS34" s="122"/>
      <c r="RIT34" s="122"/>
      <c r="RIU34" s="122"/>
      <c r="RIV34" s="122"/>
      <c r="RIW34" s="122"/>
      <c r="RIX34" s="122"/>
      <c r="RIY34" s="122"/>
      <c r="RIZ34" s="122"/>
      <c r="RJA34" s="122"/>
      <c r="RJB34" s="122"/>
      <c r="RJC34" s="122"/>
      <c r="RJD34" s="122"/>
      <c r="RJE34" s="122"/>
      <c r="RJF34" s="122"/>
      <c r="RJG34" s="122"/>
      <c r="RJH34" s="122"/>
      <c r="RJI34" s="122"/>
      <c r="RJJ34" s="122"/>
      <c r="RJK34" s="122"/>
      <c r="RJL34" s="122"/>
      <c r="RJM34" s="122"/>
      <c r="RJN34" s="122"/>
      <c r="RJO34" s="122"/>
      <c r="RJP34" s="122"/>
      <c r="RJQ34" s="122"/>
      <c r="RJR34" s="122"/>
      <c r="RJS34" s="122"/>
      <c r="RJT34" s="122"/>
      <c r="RJU34" s="122"/>
      <c r="RJV34" s="122"/>
      <c r="RJW34" s="122"/>
      <c r="RJX34" s="122"/>
      <c r="RJY34" s="122"/>
      <c r="RJZ34" s="122"/>
      <c r="RKA34" s="122"/>
      <c r="RKB34" s="122"/>
      <c r="RKC34" s="122"/>
      <c r="RKD34" s="122"/>
      <c r="RKE34" s="122"/>
      <c r="RKF34" s="122"/>
      <c r="RKG34" s="122"/>
      <c r="RKH34" s="122"/>
      <c r="RKI34" s="122"/>
      <c r="RKJ34" s="122"/>
      <c r="RKK34" s="122"/>
      <c r="RKL34" s="122"/>
      <c r="RKM34" s="122"/>
      <c r="RKN34" s="122"/>
      <c r="RKO34" s="122"/>
      <c r="RKP34" s="122"/>
      <c r="RKQ34" s="122"/>
      <c r="RKR34" s="122"/>
      <c r="RKS34" s="122"/>
      <c r="RKT34" s="122"/>
      <c r="RKU34" s="122"/>
      <c r="RKV34" s="122"/>
      <c r="RKW34" s="122"/>
      <c r="RKX34" s="122"/>
      <c r="RKY34" s="122"/>
      <c r="RKZ34" s="122"/>
      <c r="RLA34" s="122"/>
      <c r="RLB34" s="122"/>
      <c r="RLC34" s="122"/>
      <c r="RLD34" s="122"/>
      <c r="RLE34" s="122"/>
      <c r="RLF34" s="122"/>
      <c r="RLG34" s="122"/>
      <c r="RLH34" s="122"/>
      <c r="RLI34" s="122"/>
      <c r="RLJ34" s="122"/>
      <c r="RLK34" s="122"/>
      <c r="RLL34" s="122"/>
      <c r="RLM34" s="122"/>
      <c r="RLN34" s="122"/>
      <c r="RLO34" s="122"/>
      <c r="RLP34" s="122"/>
      <c r="RLQ34" s="122"/>
      <c r="RLR34" s="122"/>
      <c r="RLS34" s="122"/>
      <c r="RLT34" s="122"/>
      <c r="RLU34" s="122"/>
      <c r="RLV34" s="122"/>
      <c r="RLW34" s="122"/>
      <c r="RLX34" s="122"/>
      <c r="RLY34" s="122"/>
      <c r="RLZ34" s="122"/>
      <c r="RMA34" s="122"/>
      <c r="RMB34" s="122"/>
      <c r="RMC34" s="122"/>
      <c r="RMD34" s="122"/>
      <c r="RME34" s="122"/>
      <c r="RMF34" s="122"/>
      <c r="RMG34" s="122"/>
      <c r="RMH34" s="122"/>
      <c r="RMI34" s="122"/>
      <c r="RMJ34" s="122"/>
      <c r="RMK34" s="122"/>
      <c r="RML34" s="122"/>
      <c r="RMM34" s="122"/>
      <c r="RMN34" s="122"/>
      <c r="RMO34" s="122"/>
      <c r="RMP34" s="122"/>
      <c r="RMQ34" s="122"/>
      <c r="RMR34" s="122"/>
      <c r="RMS34" s="122"/>
      <c r="RMT34" s="122"/>
      <c r="RMU34" s="122"/>
      <c r="RMV34" s="122"/>
      <c r="RMW34" s="122"/>
      <c r="RMX34" s="122"/>
      <c r="RMY34" s="122"/>
      <c r="RMZ34" s="122"/>
      <c r="RNA34" s="122"/>
      <c r="RNB34" s="122"/>
      <c r="RNC34" s="122"/>
      <c r="RND34" s="122"/>
      <c r="RNE34" s="122"/>
      <c r="RNF34" s="122"/>
      <c r="RNG34" s="122"/>
      <c r="RNH34" s="122"/>
      <c r="RNI34" s="122"/>
      <c r="RNJ34" s="122"/>
      <c r="RNK34" s="122"/>
      <c r="RNL34" s="122"/>
      <c r="RNM34" s="122"/>
      <c r="RNN34" s="122"/>
      <c r="RNO34" s="122"/>
      <c r="RNP34" s="122"/>
      <c r="RNQ34" s="122"/>
      <c r="RNR34" s="122"/>
      <c r="RNS34" s="122"/>
      <c r="RNT34" s="122"/>
      <c r="RNU34" s="122"/>
      <c r="RNV34" s="122"/>
      <c r="RNW34" s="122"/>
      <c r="RNX34" s="122"/>
      <c r="RNY34" s="122"/>
      <c r="RNZ34" s="122"/>
      <c r="ROA34" s="122"/>
      <c r="ROB34" s="122"/>
      <c r="ROC34" s="122"/>
      <c r="ROD34" s="122"/>
      <c r="ROE34" s="122"/>
      <c r="ROF34" s="122"/>
      <c r="ROG34" s="122"/>
      <c r="ROH34" s="122"/>
      <c r="ROI34" s="122"/>
      <c r="ROJ34" s="122"/>
      <c r="ROK34" s="122"/>
      <c r="ROL34" s="122"/>
      <c r="ROM34" s="122"/>
      <c r="RON34" s="122"/>
      <c r="ROO34" s="122"/>
      <c r="ROP34" s="122"/>
      <c r="ROQ34" s="122"/>
      <c r="ROR34" s="122"/>
      <c r="ROS34" s="122"/>
      <c r="ROT34" s="122"/>
      <c r="ROU34" s="122"/>
      <c r="ROV34" s="122"/>
      <c r="ROW34" s="122"/>
      <c r="ROX34" s="122"/>
      <c r="ROY34" s="122"/>
      <c r="ROZ34" s="122"/>
      <c r="RPA34" s="122"/>
      <c r="RPB34" s="122"/>
      <c r="RPC34" s="122"/>
      <c r="RPD34" s="122"/>
      <c r="RPE34" s="122"/>
      <c r="RPF34" s="122"/>
      <c r="RPG34" s="122"/>
      <c r="RPH34" s="122"/>
      <c r="RPI34" s="122"/>
      <c r="RPJ34" s="122"/>
      <c r="RPK34" s="122"/>
      <c r="RPL34" s="122"/>
      <c r="RPM34" s="122"/>
      <c r="RPN34" s="122"/>
      <c r="RPO34" s="122"/>
      <c r="RPP34" s="122"/>
      <c r="RPQ34" s="122"/>
      <c r="RPR34" s="122"/>
      <c r="RPS34" s="122"/>
      <c r="RPT34" s="122"/>
      <c r="RPU34" s="122"/>
      <c r="RPV34" s="122"/>
      <c r="RPW34" s="122"/>
      <c r="RPX34" s="122"/>
      <c r="RPY34" s="122"/>
      <c r="RPZ34" s="122"/>
      <c r="RQA34" s="122"/>
      <c r="RQB34" s="122"/>
      <c r="RQC34" s="122"/>
      <c r="RQD34" s="122"/>
      <c r="RQE34" s="122"/>
      <c r="RQF34" s="122"/>
      <c r="RQG34" s="122"/>
      <c r="RQH34" s="122"/>
      <c r="RQI34" s="122"/>
      <c r="RQJ34" s="122"/>
      <c r="RQK34" s="122"/>
      <c r="RQL34" s="122"/>
      <c r="RQM34" s="122"/>
      <c r="RQN34" s="122"/>
      <c r="RQO34" s="122"/>
      <c r="RQP34" s="122"/>
      <c r="RQQ34" s="122"/>
      <c r="RQR34" s="122"/>
      <c r="RQS34" s="122"/>
      <c r="RQT34" s="122"/>
      <c r="RQU34" s="122"/>
      <c r="RQV34" s="122"/>
      <c r="RQW34" s="122"/>
      <c r="RQX34" s="122"/>
      <c r="RQY34" s="122"/>
      <c r="RQZ34" s="122"/>
      <c r="RRA34" s="122"/>
      <c r="RRB34" s="122"/>
      <c r="RRC34" s="122"/>
      <c r="RRD34" s="122"/>
      <c r="RRE34" s="122"/>
      <c r="RRF34" s="122"/>
      <c r="RRG34" s="122"/>
      <c r="RRH34" s="122"/>
      <c r="RRI34" s="122"/>
      <c r="RRJ34" s="122"/>
      <c r="RRK34" s="122"/>
      <c r="RRL34" s="122"/>
      <c r="RRM34" s="122"/>
      <c r="RRN34" s="122"/>
      <c r="RRO34" s="122"/>
      <c r="RRP34" s="122"/>
      <c r="RRQ34" s="122"/>
      <c r="RRR34" s="122"/>
      <c r="RRS34" s="122"/>
      <c r="RRT34" s="122"/>
      <c r="RRU34" s="122"/>
      <c r="RRV34" s="122"/>
      <c r="RRW34" s="122"/>
      <c r="RRX34" s="122"/>
      <c r="RRY34" s="122"/>
      <c r="RRZ34" s="122"/>
      <c r="RSA34" s="122"/>
      <c r="RSB34" s="122"/>
      <c r="RSC34" s="122"/>
      <c r="RSD34" s="122"/>
      <c r="RSE34" s="122"/>
      <c r="RSF34" s="122"/>
      <c r="RSG34" s="122"/>
      <c r="RSH34" s="122"/>
      <c r="RSI34" s="122"/>
      <c r="RSJ34" s="122"/>
      <c r="RSK34" s="122"/>
      <c r="RSL34" s="122"/>
      <c r="RSM34" s="122"/>
      <c r="RSN34" s="122"/>
      <c r="RSO34" s="122"/>
      <c r="RSP34" s="122"/>
      <c r="RSQ34" s="122"/>
      <c r="RSR34" s="122"/>
      <c r="RSS34" s="122"/>
      <c r="RST34" s="122"/>
      <c r="RSU34" s="122"/>
      <c r="RSV34" s="122"/>
      <c r="RSW34" s="122"/>
      <c r="RSX34" s="122"/>
      <c r="RSY34" s="122"/>
      <c r="RSZ34" s="122"/>
      <c r="RTA34" s="122"/>
      <c r="RTB34" s="122"/>
      <c r="RTC34" s="122"/>
      <c r="RTD34" s="122"/>
      <c r="RTE34" s="122"/>
      <c r="RTF34" s="122"/>
      <c r="RTG34" s="122"/>
      <c r="RTH34" s="122"/>
      <c r="RTI34" s="122"/>
      <c r="RTJ34" s="122"/>
      <c r="RTK34" s="122"/>
      <c r="RTL34" s="122"/>
      <c r="RTM34" s="122"/>
      <c r="RTN34" s="122"/>
      <c r="RTO34" s="122"/>
      <c r="RTP34" s="122"/>
      <c r="RTQ34" s="122"/>
      <c r="RTR34" s="122"/>
      <c r="RTS34" s="122"/>
      <c r="RTT34" s="122"/>
      <c r="RTU34" s="122"/>
      <c r="RTV34" s="122"/>
      <c r="RTW34" s="122"/>
      <c r="RTX34" s="122"/>
      <c r="RTY34" s="122"/>
      <c r="RTZ34" s="122"/>
      <c r="RUA34" s="122"/>
      <c r="RUB34" s="122"/>
      <c r="RUC34" s="122"/>
      <c r="RUD34" s="122"/>
      <c r="RUE34" s="122"/>
      <c r="RUF34" s="122"/>
      <c r="RUG34" s="122"/>
      <c r="RUH34" s="122"/>
      <c r="RUI34" s="122"/>
      <c r="RUJ34" s="122"/>
      <c r="RUK34" s="122"/>
      <c r="RUL34" s="122"/>
      <c r="RUM34" s="122"/>
      <c r="RUN34" s="122"/>
      <c r="RUO34" s="122"/>
      <c r="RUP34" s="122"/>
      <c r="RUQ34" s="122"/>
      <c r="RUR34" s="122"/>
      <c r="RUS34" s="122"/>
      <c r="RUT34" s="122"/>
      <c r="RUU34" s="122"/>
      <c r="RUV34" s="122"/>
      <c r="RUW34" s="122"/>
      <c r="RUX34" s="122"/>
      <c r="RUY34" s="122"/>
      <c r="RUZ34" s="122"/>
      <c r="RVA34" s="122"/>
      <c r="RVB34" s="122"/>
      <c r="RVC34" s="122"/>
      <c r="RVD34" s="122"/>
      <c r="RVE34" s="122"/>
      <c r="RVF34" s="122"/>
      <c r="RVG34" s="122"/>
      <c r="RVH34" s="122"/>
      <c r="RVI34" s="122"/>
      <c r="RVJ34" s="122"/>
      <c r="RVK34" s="122"/>
      <c r="RVL34" s="122"/>
      <c r="RVM34" s="122"/>
      <c r="RVN34" s="122"/>
      <c r="RVO34" s="122"/>
      <c r="RVP34" s="122"/>
      <c r="RVQ34" s="122"/>
      <c r="RVR34" s="122"/>
      <c r="RVS34" s="122"/>
      <c r="RVT34" s="122"/>
      <c r="RVU34" s="122"/>
      <c r="RVV34" s="122"/>
      <c r="RVW34" s="122"/>
      <c r="RVX34" s="122"/>
      <c r="RVY34" s="122"/>
      <c r="RVZ34" s="122"/>
      <c r="RWA34" s="122"/>
      <c r="RWB34" s="122"/>
      <c r="RWC34" s="122"/>
      <c r="RWD34" s="122"/>
      <c r="RWE34" s="122"/>
      <c r="RWF34" s="122"/>
      <c r="RWG34" s="122"/>
      <c r="RWH34" s="122"/>
      <c r="RWI34" s="122"/>
      <c r="RWJ34" s="122"/>
      <c r="RWK34" s="122"/>
      <c r="RWL34" s="122"/>
      <c r="RWM34" s="122"/>
      <c r="RWN34" s="122"/>
      <c r="RWO34" s="122"/>
      <c r="RWP34" s="122"/>
      <c r="RWQ34" s="122"/>
      <c r="RWR34" s="122"/>
      <c r="RWS34" s="122"/>
      <c r="RWT34" s="122"/>
      <c r="RWU34" s="122"/>
      <c r="RWV34" s="122"/>
      <c r="RWW34" s="122"/>
      <c r="RWX34" s="122"/>
      <c r="RWY34" s="122"/>
      <c r="RWZ34" s="122"/>
      <c r="RXA34" s="122"/>
      <c r="RXB34" s="122"/>
      <c r="RXC34" s="122"/>
      <c r="RXD34" s="122"/>
      <c r="RXE34" s="122"/>
      <c r="RXF34" s="122"/>
      <c r="RXG34" s="122"/>
      <c r="RXH34" s="122"/>
      <c r="RXI34" s="122"/>
      <c r="RXJ34" s="122"/>
      <c r="RXK34" s="122"/>
      <c r="RXL34" s="122"/>
      <c r="RXM34" s="122"/>
      <c r="RXN34" s="122"/>
      <c r="RXO34" s="122"/>
      <c r="RXP34" s="122"/>
      <c r="RXQ34" s="122"/>
      <c r="RXR34" s="122"/>
      <c r="RXS34" s="122"/>
      <c r="RXT34" s="122"/>
      <c r="RXU34" s="122"/>
      <c r="RXV34" s="122"/>
      <c r="RXW34" s="122"/>
      <c r="RXX34" s="122"/>
      <c r="RXY34" s="122"/>
      <c r="RXZ34" s="122"/>
      <c r="RYA34" s="122"/>
      <c r="RYB34" s="122"/>
      <c r="RYC34" s="122"/>
      <c r="RYD34" s="122"/>
      <c r="RYE34" s="122"/>
      <c r="RYF34" s="122"/>
      <c r="RYG34" s="122"/>
      <c r="RYH34" s="122"/>
      <c r="RYI34" s="122"/>
      <c r="RYJ34" s="122"/>
      <c r="RYK34" s="122"/>
      <c r="RYL34" s="122"/>
      <c r="RYM34" s="122"/>
      <c r="RYN34" s="122"/>
      <c r="RYO34" s="122"/>
      <c r="RYP34" s="122"/>
      <c r="RYQ34" s="122"/>
      <c r="RYR34" s="122"/>
      <c r="RYS34" s="122"/>
      <c r="RYT34" s="122"/>
      <c r="RYU34" s="122"/>
      <c r="RYV34" s="122"/>
      <c r="RYW34" s="122"/>
      <c r="RYX34" s="122"/>
      <c r="RYY34" s="122"/>
      <c r="RYZ34" s="122"/>
      <c r="RZA34" s="122"/>
      <c r="RZB34" s="122"/>
      <c r="RZC34" s="122"/>
      <c r="RZD34" s="122"/>
      <c r="RZE34" s="122"/>
      <c r="RZF34" s="122"/>
      <c r="RZG34" s="122"/>
      <c r="RZH34" s="122"/>
      <c r="RZI34" s="122"/>
      <c r="RZJ34" s="122"/>
      <c r="RZK34" s="122"/>
      <c r="RZL34" s="122"/>
      <c r="RZM34" s="122"/>
      <c r="RZN34" s="122"/>
      <c r="RZO34" s="122"/>
      <c r="RZP34" s="122"/>
      <c r="RZQ34" s="122"/>
      <c r="RZR34" s="122"/>
      <c r="RZS34" s="122"/>
      <c r="RZT34" s="122"/>
      <c r="RZU34" s="122"/>
      <c r="RZV34" s="122"/>
      <c r="RZW34" s="122"/>
      <c r="RZX34" s="122"/>
      <c r="RZY34" s="122"/>
      <c r="RZZ34" s="122"/>
      <c r="SAA34" s="122"/>
      <c r="SAB34" s="122"/>
      <c r="SAC34" s="122"/>
      <c r="SAD34" s="122"/>
      <c r="SAE34" s="122"/>
      <c r="SAF34" s="122"/>
      <c r="SAG34" s="122"/>
      <c r="SAH34" s="122"/>
      <c r="SAI34" s="122"/>
      <c r="SAJ34" s="122"/>
      <c r="SAK34" s="122"/>
      <c r="SAL34" s="122"/>
      <c r="SAM34" s="122"/>
      <c r="SAN34" s="122"/>
      <c r="SAO34" s="122"/>
      <c r="SAP34" s="122"/>
      <c r="SAQ34" s="122"/>
      <c r="SAR34" s="122"/>
      <c r="SAS34" s="122"/>
      <c r="SAT34" s="122"/>
      <c r="SAU34" s="122"/>
      <c r="SAV34" s="122"/>
      <c r="SAW34" s="122"/>
      <c r="SAX34" s="122"/>
      <c r="SAY34" s="122"/>
      <c r="SAZ34" s="122"/>
      <c r="SBA34" s="122"/>
      <c r="SBB34" s="122"/>
      <c r="SBC34" s="122"/>
      <c r="SBD34" s="122"/>
      <c r="SBE34" s="122"/>
      <c r="SBF34" s="122"/>
      <c r="SBG34" s="122"/>
      <c r="SBH34" s="122"/>
      <c r="SBI34" s="122"/>
      <c r="SBJ34" s="122"/>
      <c r="SBK34" s="122"/>
      <c r="SBL34" s="122"/>
      <c r="SBM34" s="122"/>
      <c r="SBN34" s="122"/>
      <c r="SBO34" s="122"/>
      <c r="SBP34" s="122"/>
      <c r="SBQ34" s="122"/>
      <c r="SBR34" s="122"/>
      <c r="SBS34" s="122"/>
      <c r="SBT34" s="122"/>
      <c r="SBU34" s="122"/>
      <c r="SBV34" s="122"/>
      <c r="SBW34" s="122"/>
      <c r="SBX34" s="122"/>
      <c r="SBY34" s="122"/>
      <c r="SBZ34" s="122"/>
      <c r="SCA34" s="122"/>
      <c r="SCB34" s="122"/>
      <c r="SCC34" s="122"/>
      <c r="SCD34" s="122"/>
      <c r="SCE34" s="122"/>
      <c r="SCF34" s="122"/>
      <c r="SCG34" s="122"/>
      <c r="SCH34" s="122"/>
      <c r="SCI34" s="122"/>
      <c r="SCJ34" s="122"/>
      <c r="SCK34" s="122"/>
      <c r="SCL34" s="122"/>
      <c r="SCM34" s="122"/>
      <c r="SCN34" s="122"/>
      <c r="SCO34" s="122"/>
      <c r="SCP34" s="122"/>
      <c r="SCQ34" s="122"/>
      <c r="SCR34" s="122"/>
      <c r="SCS34" s="122"/>
      <c r="SCT34" s="122"/>
      <c r="SCU34" s="122"/>
      <c r="SCV34" s="122"/>
      <c r="SCW34" s="122"/>
      <c r="SCX34" s="122"/>
      <c r="SCY34" s="122"/>
      <c r="SCZ34" s="122"/>
      <c r="SDA34" s="122"/>
      <c r="SDB34" s="122"/>
      <c r="SDC34" s="122"/>
      <c r="SDD34" s="122"/>
      <c r="SDE34" s="122"/>
      <c r="SDF34" s="122"/>
      <c r="SDG34" s="122"/>
      <c r="SDH34" s="122"/>
      <c r="SDI34" s="122"/>
      <c r="SDJ34" s="122"/>
      <c r="SDK34" s="122"/>
      <c r="SDL34" s="122"/>
      <c r="SDM34" s="122"/>
      <c r="SDN34" s="122"/>
      <c r="SDO34" s="122"/>
      <c r="SDP34" s="122"/>
      <c r="SDQ34" s="122"/>
      <c r="SDR34" s="122"/>
      <c r="SDS34" s="122"/>
      <c r="SDT34" s="122"/>
      <c r="SDU34" s="122"/>
      <c r="SDV34" s="122"/>
      <c r="SDW34" s="122"/>
      <c r="SDX34" s="122"/>
      <c r="SDY34" s="122"/>
      <c r="SDZ34" s="122"/>
      <c r="SEA34" s="122"/>
      <c r="SEB34" s="122"/>
      <c r="SEC34" s="122"/>
      <c r="SED34" s="122"/>
      <c r="SEE34" s="122"/>
      <c r="SEF34" s="122"/>
      <c r="SEG34" s="122"/>
      <c r="SEH34" s="122"/>
      <c r="SEI34" s="122"/>
      <c r="SEJ34" s="122"/>
      <c r="SEK34" s="122"/>
      <c r="SEL34" s="122"/>
      <c r="SEM34" s="122"/>
      <c r="SEN34" s="122"/>
      <c r="SEO34" s="122"/>
      <c r="SEP34" s="122"/>
      <c r="SEQ34" s="122"/>
      <c r="SER34" s="122"/>
      <c r="SES34" s="122"/>
      <c r="SET34" s="122"/>
      <c r="SEU34" s="122"/>
      <c r="SEV34" s="122"/>
      <c r="SEW34" s="122"/>
      <c r="SEX34" s="122"/>
      <c r="SEY34" s="122"/>
      <c r="SEZ34" s="122"/>
      <c r="SFA34" s="122"/>
      <c r="SFB34" s="122"/>
      <c r="SFC34" s="122"/>
      <c r="SFD34" s="122"/>
      <c r="SFE34" s="122"/>
      <c r="SFF34" s="122"/>
      <c r="SFG34" s="122"/>
      <c r="SFH34" s="122"/>
      <c r="SFI34" s="122"/>
      <c r="SFJ34" s="122"/>
      <c r="SFK34" s="122"/>
      <c r="SFL34" s="122"/>
      <c r="SFM34" s="122"/>
      <c r="SFN34" s="122"/>
      <c r="SFO34" s="122"/>
      <c r="SFP34" s="122"/>
      <c r="SFQ34" s="122"/>
      <c r="SFR34" s="122"/>
      <c r="SFS34" s="122"/>
      <c r="SFT34" s="122"/>
      <c r="SFU34" s="122"/>
      <c r="SFV34" s="122"/>
      <c r="SFW34" s="122"/>
      <c r="SFX34" s="122"/>
      <c r="SFY34" s="122"/>
      <c r="SFZ34" s="122"/>
      <c r="SGA34" s="122"/>
      <c r="SGB34" s="122"/>
      <c r="SGC34" s="122"/>
      <c r="SGD34" s="122"/>
      <c r="SGE34" s="122"/>
      <c r="SGF34" s="122"/>
      <c r="SGG34" s="122"/>
      <c r="SGH34" s="122"/>
      <c r="SGI34" s="122"/>
      <c r="SGJ34" s="122"/>
      <c r="SGK34" s="122"/>
      <c r="SGL34" s="122"/>
      <c r="SGM34" s="122"/>
      <c r="SGN34" s="122"/>
      <c r="SGO34" s="122"/>
      <c r="SGP34" s="122"/>
      <c r="SGQ34" s="122"/>
      <c r="SGR34" s="122"/>
      <c r="SGS34" s="122"/>
      <c r="SGT34" s="122"/>
      <c r="SGU34" s="122"/>
      <c r="SGV34" s="122"/>
      <c r="SGW34" s="122"/>
      <c r="SGX34" s="122"/>
      <c r="SGY34" s="122"/>
      <c r="SGZ34" s="122"/>
      <c r="SHA34" s="122"/>
      <c r="SHB34" s="122"/>
      <c r="SHC34" s="122"/>
      <c r="SHD34" s="122"/>
      <c r="SHE34" s="122"/>
      <c r="SHF34" s="122"/>
      <c r="SHG34" s="122"/>
      <c r="SHH34" s="122"/>
      <c r="SHI34" s="122"/>
      <c r="SHJ34" s="122"/>
      <c r="SHK34" s="122"/>
      <c r="SHL34" s="122"/>
      <c r="SHM34" s="122"/>
      <c r="SHN34" s="122"/>
      <c r="SHO34" s="122"/>
      <c r="SHP34" s="122"/>
      <c r="SHQ34" s="122"/>
      <c r="SHR34" s="122"/>
      <c r="SHS34" s="122"/>
      <c r="SHT34" s="122"/>
      <c r="SHU34" s="122"/>
      <c r="SHV34" s="122"/>
      <c r="SHW34" s="122"/>
      <c r="SHX34" s="122"/>
      <c r="SHY34" s="122"/>
      <c r="SHZ34" s="122"/>
      <c r="SIA34" s="122"/>
      <c r="SIB34" s="122"/>
      <c r="SIC34" s="122"/>
      <c r="SID34" s="122"/>
      <c r="SIE34" s="122"/>
      <c r="SIF34" s="122"/>
      <c r="SIG34" s="122"/>
      <c r="SIH34" s="122"/>
      <c r="SII34" s="122"/>
      <c r="SIJ34" s="122"/>
      <c r="SIK34" s="122"/>
      <c r="SIL34" s="122"/>
      <c r="SIM34" s="122"/>
      <c r="SIN34" s="122"/>
      <c r="SIO34" s="122"/>
      <c r="SIP34" s="122"/>
      <c r="SIQ34" s="122"/>
      <c r="SIR34" s="122"/>
      <c r="SIS34" s="122"/>
      <c r="SIT34" s="122"/>
      <c r="SIU34" s="122"/>
      <c r="SIV34" s="122"/>
      <c r="SIW34" s="122"/>
      <c r="SIX34" s="122"/>
      <c r="SIY34" s="122"/>
      <c r="SIZ34" s="122"/>
      <c r="SJA34" s="122"/>
      <c r="SJB34" s="122"/>
      <c r="SJC34" s="122"/>
      <c r="SJD34" s="122"/>
      <c r="SJE34" s="122"/>
      <c r="SJF34" s="122"/>
      <c r="SJG34" s="122"/>
      <c r="SJH34" s="122"/>
      <c r="SJI34" s="122"/>
      <c r="SJJ34" s="122"/>
      <c r="SJK34" s="122"/>
      <c r="SJL34" s="122"/>
      <c r="SJM34" s="122"/>
      <c r="SJN34" s="122"/>
      <c r="SJO34" s="122"/>
      <c r="SJP34" s="122"/>
      <c r="SJQ34" s="122"/>
      <c r="SJR34" s="122"/>
      <c r="SJS34" s="122"/>
      <c r="SJT34" s="122"/>
      <c r="SJU34" s="122"/>
      <c r="SJV34" s="122"/>
      <c r="SJW34" s="122"/>
      <c r="SJX34" s="122"/>
      <c r="SJY34" s="122"/>
      <c r="SJZ34" s="122"/>
      <c r="SKA34" s="122"/>
      <c r="SKB34" s="122"/>
      <c r="SKC34" s="122"/>
      <c r="SKD34" s="122"/>
      <c r="SKE34" s="122"/>
      <c r="SKF34" s="122"/>
      <c r="SKG34" s="122"/>
      <c r="SKH34" s="122"/>
      <c r="SKI34" s="122"/>
      <c r="SKJ34" s="122"/>
      <c r="SKK34" s="122"/>
      <c r="SKL34" s="122"/>
      <c r="SKM34" s="122"/>
      <c r="SKN34" s="122"/>
      <c r="SKO34" s="122"/>
      <c r="SKP34" s="122"/>
      <c r="SKQ34" s="122"/>
      <c r="SKR34" s="122"/>
      <c r="SKS34" s="122"/>
      <c r="SKT34" s="122"/>
      <c r="SKU34" s="122"/>
      <c r="SKV34" s="122"/>
      <c r="SKW34" s="122"/>
      <c r="SKX34" s="122"/>
      <c r="SKY34" s="122"/>
      <c r="SKZ34" s="122"/>
      <c r="SLA34" s="122"/>
      <c r="SLB34" s="122"/>
      <c r="SLC34" s="122"/>
      <c r="SLD34" s="122"/>
      <c r="SLE34" s="122"/>
      <c r="SLF34" s="122"/>
      <c r="SLG34" s="122"/>
      <c r="SLH34" s="122"/>
      <c r="SLI34" s="122"/>
      <c r="SLJ34" s="122"/>
      <c r="SLK34" s="122"/>
      <c r="SLL34" s="122"/>
      <c r="SLM34" s="122"/>
      <c r="SLN34" s="122"/>
      <c r="SLO34" s="122"/>
      <c r="SLP34" s="122"/>
      <c r="SLQ34" s="122"/>
      <c r="SLR34" s="122"/>
      <c r="SLS34" s="122"/>
      <c r="SLT34" s="122"/>
      <c r="SLU34" s="122"/>
      <c r="SLV34" s="122"/>
      <c r="SLW34" s="122"/>
      <c r="SLX34" s="122"/>
      <c r="SLY34" s="122"/>
      <c r="SLZ34" s="122"/>
      <c r="SMA34" s="122"/>
      <c r="SMB34" s="122"/>
      <c r="SMC34" s="122"/>
      <c r="SMD34" s="122"/>
      <c r="SME34" s="122"/>
      <c r="SMF34" s="122"/>
      <c r="SMG34" s="122"/>
      <c r="SMH34" s="122"/>
      <c r="SMI34" s="122"/>
      <c r="SMJ34" s="122"/>
      <c r="SMK34" s="122"/>
      <c r="SML34" s="122"/>
      <c r="SMM34" s="122"/>
      <c r="SMN34" s="122"/>
      <c r="SMO34" s="122"/>
      <c r="SMP34" s="122"/>
      <c r="SMQ34" s="122"/>
      <c r="SMR34" s="122"/>
      <c r="SMS34" s="122"/>
      <c r="SMT34" s="122"/>
      <c r="SMU34" s="122"/>
      <c r="SMV34" s="122"/>
      <c r="SMW34" s="122"/>
      <c r="SMX34" s="122"/>
      <c r="SMY34" s="122"/>
      <c r="SMZ34" s="122"/>
      <c r="SNA34" s="122"/>
      <c r="SNB34" s="122"/>
      <c r="SNC34" s="122"/>
      <c r="SND34" s="122"/>
      <c r="SNE34" s="122"/>
      <c r="SNF34" s="122"/>
      <c r="SNG34" s="122"/>
      <c r="SNH34" s="122"/>
      <c r="SNI34" s="122"/>
      <c r="SNJ34" s="122"/>
      <c r="SNK34" s="122"/>
      <c r="SNL34" s="122"/>
      <c r="SNM34" s="122"/>
      <c r="SNN34" s="122"/>
      <c r="SNO34" s="122"/>
      <c r="SNP34" s="122"/>
      <c r="SNQ34" s="122"/>
      <c r="SNR34" s="122"/>
      <c r="SNS34" s="122"/>
      <c r="SNT34" s="122"/>
      <c r="SNU34" s="122"/>
      <c r="SNV34" s="122"/>
      <c r="SNW34" s="122"/>
      <c r="SNX34" s="122"/>
      <c r="SNY34" s="122"/>
      <c r="SNZ34" s="122"/>
      <c r="SOA34" s="122"/>
      <c r="SOB34" s="122"/>
      <c r="SOC34" s="122"/>
      <c r="SOD34" s="122"/>
      <c r="SOE34" s="122"/>
      <c r="SOF34" s="122"/>
      <c r="SOG34" s="122"/>
      <c r="SOH34" s="122"/>
      <c r="SOI34" s="122"/>
      <c r="SOJ34" s="122"/>
      <c r="SOK34" s="122"/>
      <c r="SOL34" s="122"/>
      <c r="SOM34" s="122"/>
      <c r="SON34" s="122"/>
      <c r="SOO34" s="122"/>
      <c r="SOP34" s="122"/>
      <c r="SOQ34" s="122"/>
      <c r="SOR34" s="122"/>
      <c r="SOS34" s="122"/>
      <c r="SOT34" s="122"/>
      <c r="SOU34" s="122"/>
      <c r="SOV34" s="122"/>
      <c r="SOW34" s="122"/>
      <c r="SOX34" s="122"/>
      <c r="SOY34" s="122"/>
      <c r="SOZ34" s="122"/>
      <c r="SPA34" s="122"/>
      <c r="SPB34" s="122"/>
      <c r="SPC34" s="122"/>
      <c r="SPD34" s="122"/>
      <c r="SPE34" s="122"/>
      <c r="SPF34" s="122"/>
      <c r="SPG34" s="122"/>
      <c r="SPH34" s="122"/>
      <c r="SPI34" s="122"/>
      <c r="SPJ34" s="122"/>
      <c r="SPK34" s="122"/>
      <c r="SPL34" s="122"/>
      <c r="SPM34" s="122"/>
      <c r="SPN34" s="122"/>
      <c r="SPO34" s="122"/>
      <c r="SPP34" s="122"/>
      <c r="SPQ34" s="122"/>
      <c r="SPR34" s="122"/>
      <c r="SPS34" s="122"/>
      <c r="SPT34" s="122"/>
      <c r="SPU34" s="122"/>
      <c r="SPV34" s="122"/>
      <c r="SPW34" s="122"/>
      <c r="SPX34" s="122"/>
      <c r="SPY34" s="122"/>
      <c r="SPZ34" s="122"/>
      <c r="SQA34" s="122"/>
      <c r="SQB34" s="122"/>
      <c r="SQC34" s="122"/>
      <c r="SQD34" s="122"/>
      <c r="SQE34" s="122"/>
      <c r="SQF34" s="122"/>
      <c r="SQG34" s="122"/>
      <c r="SQH34" s="122"/>
      <c r="SQI34" s="122"/>
      <c r="SQJ34" s="122"/>
      <c r="SQK34" s="122"/>
      <c r="SQL34" s="122"/>
      <c r="SQM34" s="122"/>
      <c r="SQN34" s="122"/>
      <c r="SQO34" s="122"/>
      <c r="SQP34" s="122"/>
      <c r="SQQ34" s="122"/>
      <c r="SQR34" s="122"/>
      <c r="SQS34" s="122"/>
      <c r="SQT34" s="122"/>
      <c r="SQU34" s="122"/>
      <c r="SQV34" s="122"/>
      <c r="SQW34" s="122"/>
      <c r="SQX34" s="122"/>
      <c r="SQY34" s="122"/>
      <c r="SQZ34" s="122"/>
      <c r="SRA34" s="122"/>
      <c r="SRB34" s="122"/>
      <c r="SRC34" s="122"/>
      <c r="SRD34" s="122"/>
      <c r="SRE34" s="122"/>
      <c r="SRF34" s="122"/>
      <c r="SRG34" s="122"/>
      <c r="SRH34" s="122"/>
      <c r="SRI34" s="122"/>
      <c r="SRJ34" s="122"/>
      <c r="SRK34" s="122"/>
      <c r="SRL34" s="122"/>
      <c r="SRM34" s="122"/>
      <c r="SRN34" s="122"/>
      <c r="SRO34" s="122"/>
      <c r="SRP34" s="122"/>
      <c r="SRQ34" s="122"/>
      <c r="SRR34" s="122"/>
      <c r="SRS34" s="122"/>
      <c r="SRT34" s="122"/>
      <c r="SRU34" s="122"/>
      <c r="SRV34" s="122"/>
      <c r="SRW34" s="122"/>
      <c r="SRX34" s="122"/>
      <c r="SRY34" s="122"/>
      <c r="SRZ34" s="122"/>
      <c r="SSA34" s="122"/>
      <c r="SSB34" s="122"/>
      <c r="SSC34" s="122"/>
      <c r="SSD34" s="122"/>
      <c r="SSE34" s="122"/>
      <c r="SSF34" s="122"/>
      <c r="SSG34" s="122"/>
      <c r="SSH34" s="122"/>
      <c r="SSI34" s="122"/>
      <c r="SSJ34" s="122"/>
      <c r="SSK34" s="122"/>
      <c r="SSL34" s="122"/>
      <c r="SSM34" s="122"/>
      <c r="SSN34" s="122"/>
      <c r="SSO34" s="122"/>
      <c r="SSP34" s="122"/>
      <c r="SSQ34" s="122"/>
      <c r="SSR34" s="122"/>
      <c r="SSS34" s="122"/>
      <c r="SST34" s="122"/>
      <c r="SSU34" s="122"/>
      <c r="SSV34" s="122"/>
      <c r="SSW34" s="122"/>
      <c r="SSX34" s="122"/>
      <c r="SSY34" s="122"/>
      <c r="SSZ34" s="122"/>
      <c r="STA34" s="122"/>
      <c r="STB34" s="122"/>
      <c r="STC34" s="122"/>
      <c r="STD34" s="122"/>
      <c r="STE34" s="122"/>
      <c r="STF34" s="122"/>
      <c r="STG34" s="122"/>
      <c r="STH34" s="122"/>
      <c r="STI34" s="122"/>
      <c r="STJ34" s="122"/>
      <c r="STK34" s="122"/>
      <c r="STL34" s="122"/>
      <c r="STM34" s="122"/>
      <c r="STN34" s="122"/>
      <c r="STO34" s="122"/>
      <c r="STP34" s="122"/>
      <c r="STQ34" s="122"/>
      <c r="STR34" s="122"/>
      <c r="STS34" s="122"/>
      <c r="STT34" s="122"/>
      <c r="STU34" s="122"/>
      <c r="STV34" s="122"/>
      <c r="STW34" s="122"/>
      <c r="STX34" s="122"/>
      <c r="STY34" s="122"/>
      <c r="STZ34" s="122"/>
      <c r="SUA34" s="122"/>
      <c r="SUB34" s="122"/>
      <c r="SUC34" s="122"/>
      <c r="SUD34" s="122"/>
      <c r="SUE34" s="122"/>
      <c r="SUF34" s="122"/>
      <c r="SUG34" s="122"/>
      <c r="SUH34" s="122"/>
      <c r="SUI34" s="122"/>
      <c r="SUJ34" s="122"/>
      <c r="SUK34" s="122"/>
      <c r="SUL34" s="122"/>
      <c r="SUM34" s="122"/>
      <c r="SUN34" s="122"/>
      <c r="SUO34" s="122"/>
      <c r="SUP34" s="122"/>
      <c r="SUQ34" s="122"/>
      <c r="SUR34" s="122"/>
      <c r="SUS34" s="122"/>
      <c r="SUT34" s="122"/>
      <c r="SUU34" s="122"/>
      <c r="SUV34" s="122"/>
      <c r="SUW34" s="122"/>
      <c r="SUX34" s="122"/>
      <c r="SUY34" s="122"/>
      <c r="SUZ34" s="122"/>
      <c r="SVA34" s="122"/>
      <c r="SVB34" s="122"/>
      <c r="SVC34" s="122"/>
      <c r="SVD34" s="122"/>
      <c r="SVE34" s="122"/>
      <c r="SVF34" s="122"/>
      <c r="SVG34" s="122"/>
      <c r="SVH34" s="122"/>
      <c r="SVI34" s="122"/>
      <c r="SVJ34" s="122"/>
      <c r="SVK34" s="122"/>
      <c r="SVL34" s="122"/>
      <c r="SVM34" s="122"/>
      <c r="SVN34" s="122"/>
      <c r="SVO34" s="122"/>
      <c r="SVP34" s="122"/>
      <c r="SVQ34" s="122"/>
      <c r="SVR34" s="122"/>
      <c r="SVS34" s="122"/>
      <c r="SVT34" s="122"/>
      <c r="SVU34" s="122"/>
      <c r="SVV34" s="122"/>
      <c r="SVW34" s="122"/>
      <c r="SVX34" s="122"/>
      <c r="SVY34" s="122"/>
      <c r="SVZ34" s="122"/>
      <c r="SWA34" s="122"/>
      <c r="SWB34" s="122"/>
      <c r="SWC34" s="122"/>
      <c r="SWD34" s="122"/>
      <c r="SWE34" s="122"/>
      <c r="SWF34" s="122"/>
      <c r="SWG34" s="122"/>
      <c r="SWH34" s="122"/>
      <c r="SWI34" s="122"/>
      <c r="SWJ34" s="122"/>
      <c r="SWK34" s="122"/>
      <c r="SWL34" s="122"/>
      <c r="SWM34" s="122"/>
      <c r="SWN34" s="122"/>
      <c r="SWO34" s="122"/>
      <c r="SWP34" s="122"/>
      <c r="SWQ34" s="122"/>
      <c r="SWR34" s="122"/>
      <c r="SWS34" s="122"/>
      <c r="SWT34" s="122"/>
      <c r="SWU34" s="122"/>
      <c r="SWV34" s="122"/>
      <c r="SWW34" s="122"/>
      <c r="SWX34" s="122"/>
      <c r="SWY34" s="122"/>
      <c r="SWZ34" s="122"/>
      <c r="SXA34" s="122"/>
      <c r="SXB34" s="122"/>
      <c r="SXC34" s="122"/>
      <c r="SXD34" s="122"/>
      <c r="SXE34" s="122"/>
      <c r="SXF34" s="122"/>
      <c r="SXG34" s="122"/>
      <c r="SXH34" s="122"/>
      <c r="SXI34" s="122"/>
      <c r="SXJ34" s="122"/>
      <c r="SXK34" s="122"/>
      <c r="SXL34" s="122"/>
      <c r="SXM34" s="122"/>
      <c r="SXN34" s="122"/>
      <c r="SXO34" s="122"/>
      <c r="SXP34" s="122"/>
      <c r="SXQ34" s="122"/>
      <c r="SXR34" s="122"/>
      <c r="SXS34" s="122"/>
      <c r="SXT34" s="122"/>
      <c r="SXU34" s="122"/>
      <c r="SXV34" s="122"/>
      <c r="SXW34" s="122"/>
      <c r="SXX34" s="122"/>
      <c r="SXY34" s="122"/>
      <c r="SXZ34" s="122"/>
      <c r="SYA34" s="122"/>
      <c r="SYB34" s="122"/>
      <c r="SYC34" s="122"/>
      <c r="SYD34" s="122"/>
      <c r="SYE34" s="122"/>
      <c r="SYF34" s="122"/>
      <c r="SYG34" s="122"/>
      <c r="SYH34" s="122"/>
      <c r="SYI34" s="122"/>
      <c r="SYJ34" s="122"/>
      <c r="SYK34" s="122"/>
      <c r="SYL34" s="122"/>
      <c r="SYM34" s="122"/>
      <c r="SYN34" s="122"/>
      <c r="SYO34" s="122"/>
      <c r="SYP34" s="122"/>
      <c r="SYQ34" s="122"/>
      <c r="SYR34" s="122"/>
      <c r="SYS34" s="122"/>
      <c r="SYT34" s="122"/>
      <c r="SYU34" s="122"/>
      <c r="SYV34" s="122"/>
      <c r="SYW34" s="122"/>
      <c r="SYX34" s="122"/>
      <c r="SYY34" s="122"/>
      <c r="SYZ34" s="122"/>
      <c r="SZA34" s="122"/>
      <c r="SZB34" s="122"/>
      <c r="SZC34" s="122"/>
      <c r="SZD34" s="122"/>
      <c r="SZE34" s="122"/>
      <c r="SZF34" s="122"/>
      <c r="SZG34" s="122"/>
      <c r="SZH34" s="122"/>
      <c r="SZI34" s="122"/>
      <c r="SZJ34" s="122"/>
      <c r="SZK34" s="122"/>
      <c r="SZL34" s="122"/>
      <c r="SZM34" s="122"/>
      <c r="SZN34" s="122"/>
      <c r="SZO34" s="122"/>
      <c r="SZP34" s="122"/>
      <c r="SZQ34" s="122"/>
      <c r="SZR34" s="122"/>
      <c r="SZS34" s="122"/>
      <c r="SZT34" s="122"/>
      <c r="SZU34" s="122"/>
      <c r="SZV34" s="122"/>
      <c r="SZW34" s="122"/>
      <c r="SZX34" s="122"/>
      <c r="SZY34" s="122"/>
      <c r="SZZ34" s="122"/>
      <c r="TAA34" s="122"/>
      <c r="TAB34" s="122"/>
      <c r="TAC34" s="122"/>
      <c r="TAD34" s="122"/>
      <c r="TAE34" s="122"/>
      <c r="TAF34" s="122"/>
      <c r="TAG34" s="122"/>
      <c r="TAH34" s="122"/>
      <c r="TAI34" s="122"/>
      <c r="TAJ34" s="122"/>
      <c r="TAK34" s="122"/>
      <c r="TAL34" s="122"/>
      <c r="TAM34" s="122"/>
      <c r="TAN34" s="122"/>
      <c r="TAO34" s="122"/>
      <c r="TAP34" s="122"/>
      <c r="TAQ34" s="122"/>
      <c r="TAR34" s="122"/>
      <c r="TAS34" s="122"/>
      <c r="TAT34" s="122"/>
      <c r="TAU34" s="122"/>
      <c r="TAV34" s="122"/>
      <c r="TAW34" s="122"/>
      <c r="TAX34" s="122"/>
      <c r="TAY34" s="122"/>
      <c r="TAZ34" s="122"/>
      <c r="TBA34" s="122"/>
      <c r="TBB34" s="122"/>
      <c r="TBC34" s="122"/>
      <c r="TBD34" s="122"/>
      <c r="TBE34" s="122"/>
      <c r="TBF34" s="122"/>
      <c r="TBG34" s="122"/>
      <c r="TBH34" s="122"/>
      <c r="TBI34" s="122"/>
      <c r="TBJ34" s="122"/>
      <c r="TBK34" s="122"/>
      <c r="TBL34" s="122"/>
      <c r="TBM34" s="122"/>
      <c r="TBN34" s="122"/>
      <c r="TBO34" s="122"/>
      <c r="TBP34" s="122"/>
      <c r="TBQ34" s="122"/>
      <c r="TBR34" s="122"/>
      <c r="TBS34" s="122"/>
      <c r="TBT34" s="122"/>
      <c r="TBU34" s="122"/>
      <c r="TBV34" s="122"/>
      <c r="TBW34" s="122"/>
      <c r="TBX34" s="122"/>
      <c r="TBY34" s="122"/>
      <c r="TBZ34" s="122"/>
      <c r="TCA34" s="122"/>
      <c r="TCB34" s="122"/>
      <c r="TCC34" s="122"/>
      <c r="TCD34" s="122"/>
      <c r="TCE34" s="122"/>
      <c r="TCF34" s="122"/>
      <c r="TCG34" s="122"/>
      <c r="TCH34" s="122"/>
      <c r="TCI34" s="122"/>
      <c r="TCJ34" s="122"/>
      <c r="TCK34" s="122"/>
      <c r="TCL34" s="122"/>
      <c r="TCM34" s="122"/>
      <c r="TCN34" s="122"/>
      <c r="TCO34" s="122"/>
      <c r="TCP34" s="122"/>
      <c r="TCQ34" s="122"/>
      <c r="TCR34" s="122"/>
      <c r="TCS34" s="122"/>
      <c r="TCT34" s="122"/>
      <c r="TCU34" s="122"/>
      <c r="TCV34" s="122"/>
      <c r="TCW34" s="122"/>
      <c r="TCX34" s="122"/>
      <c r="TCY34" s="122"/>
      <c r="TCZ34" s="122"/>
      <c r="TDA34" s="122"/>
      <c r="TDB34" s="122"/>
      <c r="TDC34" s="122"/>
      <c r="TDD34" s="122"/>
      <c r="TDE34" s="122"/>
      <c r="TDF34" s="122"/>
      <c r="TDG34" s="122"/>
      <c r="TDH34" s="122"/>
      <c r="TDI34" s="122"/>
      <c r="TDJ34" s="122"/>
      <c r="TDK34" s="122"/>
      <c r="TDL34" s="122"/>
      <c r="TDM34" s="122"/>
      <c r="TDN34" s="122"/>
      <c r="TDO34" s="122"/>
      <c r="TDP34" s="122"/>
      <c r="TDQ34" s="122"/>
      <c r="TDR34" s="122"/>
      <c r="TDS34" s="122"/>
      <c r="TDT34" s="122"/>
      <c r="TDU34" s="122"/>
      <c r="TDV34" s="122"/>
      <c r="TDW34" s="122"/>
      <c r="TDX34" s="122"/>
      <c r="TDY34" s="122"/>
      <c r="TDZ34" s="122"/>
      <c r="TEA34" s="122"/>
      <c r="TEB34" s="122"/>
      <c r="TEC34" s="122"/>
      <c r="TED34" s="122"/>
      <c r="TEE34" s="122"/>
      <c r="TEF34" s="122"/>
      <c r="TEG34" s="122"/>
      <c r="TEH34" s="122"/>
      <c r="TEI34" s="122"/>
      <c r="TEJ34" s="122"/>
      <c r="TEK34" s="122"/>
      <c r="TEL34" s="122"/>
      <c r="TEM34" s="122"/>
      <c r="TEN34" s="122"/>
      <c r="TEO34" s="122"/>
      <c r="TEP34" s="122"/>
      <c r="TEQ34" s="122"/>
      <c r="TER34" s="122"/>
      <c r="TES34" s="122"/>
      <c r="TET34" s="122"/>
      <c r="TEU34" s="122"/>
      <c r="TEV34" s="122"/>
      <c r="TEW34" s="122"/>
      <c r="TEX34" s="122"/>
      <c r="TEY34" s="122"/>
      <c r="TEZ34" s="122"/>
      <c r="TFA34" s="122"/>
      <c r="TFB34" s="122"/>
      <c r="TFC34" s="122"/>
      <c r="TFD34" s="122"/>
      <c r="TFE34" s="122"/>
      <c r="TFF34" s="122"/>
      <c r="TFG34" s="122"/>
      <c r="TFH34" s="122"/>
      <c r="TFI34" s="122"/>
      <c r="TFJ34" s="122"/>
      <c r="TFK34" s="122"/>
      <c r="TFL34" s="122"/>
      <c r="TFM34" s="122"/>
      <c r="TFN34" s="122"/>
      <c r="TFO34" s="122"/>
      <c r="TFP34" s="122"/>
      <c r="TFQ34" s="122"/>
      <c r="TFR34" s="122"/>
      <c r="TFS34" s="122"/>
      <c r="TFT34" s="122"/>
      <c r="TFU34" s="122"/>
      <c r="TFV34" s="122"/>
      <c r="TFW34" s="122"/>
      <c r="TFX34" s="122"/>
      <c r="TFY34" s="122"/>
      <c r="TFZ34" s="122"/>
      <c r="TGA34" s="122"/>
      <c r="TGB34" s="122"/>
      <c r="TGC34" s="122"/>
      <c r="TGD34" s="122"/>
      <c r="TGE34" s="122"/>
      <c r="TGF34" s="122"/>
      <c r="TGG34" s="122"/>
      <c r="TGH34" s="122"/>
      <c r="TGI34" s="122"/>
      <c r="TGJ34" s="122"/>
      <c r="TGK34" s="122"/>
      <c r="TGL34" s="122"/>
      <c r="TGM34" s="122"/>
      <c r="TGN34" s="122"/>
      <c r="TGO34" s="122"/>
      <c r="TGP34" s="122"/>
      <c r="TGQ34" s="122"/>
      <c r="TGR34" s="122"/>
      <c r="TGS34" s="122"/>
      <c r="TGT34" s="122"/>
      <c r="TGU34" s="122"/>
      <c r="TGV34" s="122"/>
      <c r="TGW34" s="122"/>
      <c r="TGX34" s="122"/>
      <c r="TGY34" s="122"/>
      <c r="TGZ34" s="122"/>
      <c r="THA34" s="122"/>
      <c r="THB34" s="122"/>
      <c r="THC34" s="122"/>
      <c r="THD34" s="122"/>
      <c r="THE34" s="122"/>
      <c r="THF34" s="122"/>
      <c r="THG34" s="122"/>
      <c r="THH34" s="122"/>
      <c r="THI34" s="122"/>
      <c r="THJ34" s="122"/>
      <c r="THK34" s="122"/>
      <c r="THL34" s="122"/>
      <c r="THM34" s="122"/>
      <c r="THN34" s="122"/>
      <c r="THO34" s="122"/>
      <c r="THP34" s="122"/>
      <c r="THQ34" s="122"/>
      <c r="THR34" s="122"/>
      <c r="THS34" s="122"/>
      <c r="THT34" s="122"/>
      <c r="THU34" s="122"/>
      <c r="THV34" s="122"/>
      <c r="THW34" s="122"/>
      <c r="THX34" s="122"/>
      <c r="THY34" s="122"/>
      <c r="THZ34" s="122"/>
      <c r="TIA34" s="122"/>
      <c r="TIB34" s="122"/>
      <c r="TIC34" s="122"/>
      <c r="TID34" s="122"/>
      <c r="TIE34" s="122"/>
      <c r="TIF34" s="122"/>
      <c r="TIG34" s="122"/>
      <c r="TIH34" s="122"/>
      <c r="TII34" s="122"/>
      <c r="TIJ34" s="122"/>
      <c r="TIK34" s="122"/>
      <c r="TIL34" s="122"/>
      <c r="TIM34" s="122"/>
      <c r="TIN34" s="122"/>
      <c r="TIO34" s="122"/>
      <c r="TIP34" s="122"/>
      <c r="TIQ34" s="122"/>
      <c r="TIR34" s="122"/>
      <c r="TIS34" s="122"/>
      <c r="TIT34" s="122"/>
      <c r="TIU34" s="122"/>
      <c r="TIV34" s="122"/>
      <c r="TIW34" s="122"/>
      <c r="TIX34" s="122"/>
      <c r="TIY34" s="122"/>
      <c r="TIZ34" s="122"/>
      <c r="TJA34" s="122"/>
      <c r="TJB34" s="122"/>
      <c r="TJC34" s="122"/>
      <c r="TJD34" s="122"/>
      <c r="TJE34" s="122"/>
      <c r="TJF34" s="122"/>
      <c r="TJG34" s="122"/>
      <c r="TJH34" s="122"/>
      <c r="TJI34" s="122"/>
      <c r="TJJ34" s="122"/>
      <c r="TJK34" s="122"/>
      <c r="TJL34" s="122"/>
      <c r="TJM34" s="122"/>
      <c r="TJN34" s="122"/>
      <c r="TJO34" s="122"/>
      <c r="TJP34" s="122"/>
      <c r="TJQ34" s="122"/>
      <c r="TJR34" s="122"/>
      <c r="TJS34" s="122"/>
      <c r="TJT34" s="122"/>
      <c r="TJU34" s="122"/>
      <c r="TJV34" s="122"/>
      <c r="TJW34" s="122"/>
      <c r="TJX34" s="122"/>
      <c r="TJY34" s="122"/>
      <c r="TJZ34" s="122"/>
      <c r="TKA34" s="122"/>
      <c r="TKB34" s="122"/>
      <c r="TKC34" s="122"/>
      <c r="TKD34" s="122"/>
      <c r="TKE34" s="122"/>
      <c r="TKF34" s="122"/>
      <c r="TKG34" s="122"/>
      <c r="TKH34" s="122"/>
      <c r="TKI34" s="122"/>
      <c r="TKJ34" s="122"/>
      <c r="TKK34" s="122"/>
      <c r="TKL34" s="122"/>
      <c r="TKM34" s="122"/>
      <c r="TKN34" s="122"/>
      <c r="TKO34" s="122"/>
      <c r="TKP34" s="122"/>
      <c r="TKQ34" s="122"/>
      <c r="TKR34" s="122"/>
      <c r="TKS34" s="122"/>
      <c r="TKT34" s="122"/>
      <c r="TKU34" s="122"/>
      <c r="TKV34" s="122"/>
      <c r="TKW34" s="122"/>
      <c r="TKX34" s="122"/>
      <c r="TKY34" s="122"/>
      <c r="TKZ34" s="122"/>
      <c r="TLA34" s="122"/>
      <c r="TLB34" s="122"/>
      <c r="TLC34" s="122"/>
      <c r="TLD34" s="122"/>
      <c r="TLE34" s="122"/>
      <c r="TLF34" s="122"/>
      <c r="TLG34" s="122"/>
      <c r="TLH34" s="122"/>
      <c r="TLI34" s="122"/>
      <c r="TLJ34" s="122"/>
      <c r="TLK34" s="122"/>
      <c r="TLL34" s="122"/>
      <c r="TLM34" s="122"/>
      <c r="TLN34" s="122"/>
      <c r="TLO34" s="122"/>
      <c r="TLP34" s="122"/>
      <c r="TLQ34" s="122"/>
      <c r="TLR34" s="122"/>
      <c r="TLS34" s="122"/>
      <c r="TLT34" s="122"/>
      <c r="TLU34" s="122"/>
      <c r="TLV34" s="122"/>
      <c r="TLW34" s="122"/>
      <c r="TLX34" s="122"/>
      <c r="TLY34" s="122"/>
      <c r="TLZ34" s="122"/>
      <c r="TMA34" s="122"/>
      <c r="TMB34" s="122"/>
      <c r="TMC34" s="122"/>
      <c r="TMD34" s="122"/>
      <c r="TME34" s="122"/>
      <c r="TMF34" s="122"/>
      <c r="TMG34" s="122"/>
      <c r="TMH34" s="122"/>
      <c r="TMI34" s="122"/>
      <c r="TMJ34" s="122"/>
      <c r="TMK34" s="122"/>
      <c r="TML34" s="122"/>
      <c r="TMM34" s="122"/>
      <c r="TMN34" s="122"/>
      <c r="TMO34" s="122"/>
      <c r="TMP34" s="122"/>
      <c r="TMQ34" s="122"/>
      <c r="TMR34" s="122"/>
      <c r="TMS34" s="122"/>
      <c r="TMT34" s="122"/>
      <c r="TMU34" s="122"/>
      <c r="TMV34" s="122"/>
      <c r="TMW34" s="122"/>
      <c r="TMX34" s="122"/>
      <c r="TMY34" s="122"/>
      <c r="TMZ34" s="122"/>
      <c r="TNA34" s="122"/>
      <c r="TNB34" s="122"/>
      <c r="TNC34" s="122"/>
      <c r="TND34" s="122"/>
      <c r="TNE34" s="122"/>
      <c r="TNF34" s="122"/>
      <c r="TNG34" s="122"/>
      <c r="TNH34" s="122"/>
      <c r="TNI34" s="122"/>
      <c r="TNJ34" s="122"/>
      <c r="TNK34" s="122"/>
      <c r="TNL34" s="122"/>
      <c r="TNM34" s="122"/>
      <c r="TNN34" s="122"/>
      <c r="TNO34" s="122"/>
      <c r="TNP34" s="122"/>
      <c r="TNQ34" s="122"/>
      <c r="TNR34" s="122"/>
      <c r="TNS34" s="122"/>
      <c r="TNT34" s="122"/>
      <c r="TNU34" s="122"/>
      <c r="TNV34" s="122"/>
      <c r="TNW34" s="122"/>
      <c r="TNX34" s="122"/>
      <c r="TNY34" s="122"/>
      <c r="TNZ34" s="122"/>
      <c r="TOA34" s="122"/>
      <c r="TOB34" s="122"/>
      <c r="TOC34" s="122"/>
      <c r="TOD34" s="122"/>
      <c r="TOE34" s="122"/>
      <c r="TOF34" s="122"/>
      <c r="TOG34" s="122"/>
      <c r="TOH34" s="122"/>
      <c r="TOI34" s="122"/>
      <c r="TOJ34" s="122"/>
      <c r="TOK34" s="122"/>
      <c r="TOL34" s="122"/>
      <c r="TOM34" s="122"/>
      <c r="TON34" s="122"/>
      <c r="TOO34" s="122"/>
      <c r="TOP34" s="122"/>
      <c r="TOQ34" s="122"/>
      <c r="TOR34" s="122"/>
      <c r="TOS34" s="122"/>
      <c r="TOT34" s="122"/>
      <c r="TOU34" s="122"/>
      <c r="TOV34" s="122"/>
      <c r="TOW34" s="122"/>
      <c r="TOX34" s="122"/>
      <c r="TOY34" s="122"/>
      <c r="TOZ34" s="122"/>
      <c r="TPA34" s="122"/>
      <c r="TPB34" s="122"/>
      <c r="TPC34" s="122"/>
      <c r="TPD34" s="122"/>
      <c r="TPE34" s="122"/>
      <c r="TPF34" s="122"/>
      <c r="TPG34" s="122"/>
      <c r="TPH34" s="122"/>
      <c r="TPI34" s="122"/>
      <c r="TPJ34" s="122"/>
      <c r="TPK34" s="122"/>
      <c r="TPL34" s="122"/>
      <c r="TPM34" s="122"/>
      <c r="TPN34" s="122"/>
      <c r="TPO34" s="122"/>
      <c r="TPP34" s="122"/>
      <c r="TPQ34" s="122"/>
      <c r="TPR34" s="122"/>
      <c r="TPS34" s="122"/>
      <c r="TPT34" s="122"/>
      <c r="TPU34" s="122"/>
      <c r="TPV34" s="122"/>
      <c r="TPW34" s="122"/>
      <c r="TPX34" s="122"/>
      <c r="TPY34" s="122"/>
      <c r="TPZ34" s="122"/>
      <c r="TQA34" s="122"/>
      <c r="TQB34" s="122"/>
      <c r="TQC34" s="122"/>
      <c r="TQD34" s="122"/>
      <c r="TQE34" s="122"/>
      <c r="TQF34" s="122"/>
      <c r="TQG34" s="122"/>
      <c r="TQH34" s="122"/>
      <c r="TQI34" s="122"/>
      <c r="TQJ34" s="122"/>
      <c r="TQK34" s="122"/>
      <c r="TQL34" s="122"/>
      <c r="TQM34" s="122"/>
      <c r="TQN34" s="122"/>
      <c r="TQO34" s="122"/>
      <c r="TQP34" s="122"/>
      <c r="TQQ34" s="122"/>
      <c r="TQR34" s="122"/>
      <c r="TQS34" s="122"/>
      <c r="TQT34" s="122"/>
      <c r="TQU34" s="122"/>
      <c r="TQV34" s="122"/>
      <c r="TQW34" s="122"/>
      <c r="TQX34" s="122"/>
      <c r="TQY34" s="122"/>
      <c r="TQZ34" s="122"/>
      <c r="TRA34" s="122"/>
      <c r="TRB34" s="122"/>
      <c r="TRC34" s="122"/>
      <c r="TRD34" s="122"/>
      <c r="TRE34" s="122"/>
      <c r="TRF34" s="122"/>
      <c r="TRG34" s="122"/>
      <c r="TRH34" s="122"/>
      <c r="TRI34" s="122"/>
      <c r="TRJ34" s="122"/>
      <c r="TRK34" s="122"/>
      <c r="TRL34" s="122"/>
      <c r="TRM34" s="122"/>
      <c r="TRN34" s="122"/>
      <c r="TRO34" s="122"/>
      <c r="TRP34" s="122"/>
      <c r="TRQ34" s="122"/>
      <c r="TRR34" s="122"/>
      <c r="TRS34" s="122"/>
      <c r="TRT34" s="122"/>
      <c r="TRU34" s="122"/>
      <c r="TRV34" s="122"/>
      <c r="TRW34" s="122"/>
      <c r="TRX34" s="122"/>
      <c r="TRY34" s="122"/>
      <c r="TRZ34" s="122"/>
      <c r="TSA34" s="122"/>
      <c r="TSB34" s="122"/>
      <c r="TSC34" s="122"/>
      <c r="TSD34" s="122"/>
      <c r="TSE34" s="122"/>
      <c r="TSF34" s="122"/>
      <c r="TSG34" s="122"/>
      <c r="TSH34" s="122"/>
      <c r="TSI34" s="122"/>
      <c r="TSJ34" s="122"/>
      <c r="TSK34" s="122"/>
      <c r="TSL34" s="122"/>
      <c r="TSM34" s="122"/>
      <c r="TSN34" s="122"/>
      <c r="TSO34" s="122"/>
      <c r="TSP34" s="122"/>
      <c r="TSQ34" s="122"/>
      <c r="TSR34" s="122"/>
      <c r="TSS34" s="122"/>
      <c r="TST34" s="122"/>
      <c r="TSU34" s="122"/>
      <c r="TSV34" s="122"/>
      <c r="TSW34" s="122"/>
      <c r="TSX34" s="122"/>
      <c r="TSY34" s="122"/>
      <c r="TSZ34" s="122"/>
      <c r="TTA34" s="122"/>
      <c r="TTB34" s="122"/>
      <c r="TTC34" s="122"/>
      <c r="TTD34" s="122"/>
      <c r="TTE34" s="122"/>
      <c r="TTF34" s="122"/>
      <c r="TTG34" s="122"/>
      <c r="TTH34" s="122"/>
      <c r="TTI34" s="122"/>
      <c r="TTJ34" s="122"/>
      <c r="TTK34" s="122"/>
      <c r="TTL34" s="122"/>
      <c r="TTM34" s="122"/>
      <c r="TTN34" s="122"/>
      <c r="TTO34" s="122"/>
      <c r="TTP34" s="122"/>
      <c r="TTQ34" s="122"/>
      <c r="TTR34" s="122"/>
      <c r="TTS34" s="122"/>
      <c r="TTT34" s="122"/>
      <c r="TTU34" s="122"/>
      <c r="TTV34" s="122"/>
      <c r="TTW34" s="122"/>
      <c r="TTX34" s="122"/>
      <c r="TTY34" s="122"/>
      <c r="TTZ34" s="122"/>
      <c r="TUA34" s="122"/>
      <c r="TUB34" s="122"/>
      <c r="TUC34" s="122"/>
      <c r="TUD34" s="122"/>
      <c r="TUE34" s="122"/>
      <c r="TUF34" s="122"/>
      <c r="TUG34" s="122"/>
      <c r="TUH34" s="122"/>
      <c r="TUI34" s="122"/>
      <c r="TUJ34" s="122"/>
      <c r="TUK34" s="122"/>
      <c r="TUL34" s="122"/>
      <c r="TUM34" s="122"/>
      <c r="TUN34" s="122"/>
      <c r="TUO34" s="122"/>
      <c r="TUP34" s="122"/>
      <c r="TUQ34" s="122"/>
      <c r="TUR34" s="122"/>
      <c r="TUS34" s="122"/>
      <c r="TUT34" s="122"/>
      <c r="TUU34" s="122"/>
      <c r="TUV34" s="122"/>
      <c r="TUW34" s="122"/>
      <c r="TUX34" s="122"/>
      <c r="TUY34" s="122"/>
      <c r="TUZ34" s="122"/>
      <c r="TVA34" s="122"/>
      <c r="TVB34" s="122"/>
      <c r="TVC34" s="122"/>
      <c r="TVD34" s="122"/>
      <c r="TVE34" s="122"/>
      <c r="TVF34" s="122"/>
      <c r="TVG34" s="122"/>
      <c r="TVH34" s="122"/>
      <c r="TVI34" s="122"/>
      <c r="TVJ34" s="122"/>
      <c r="TVK34" s="122"/>
      <c r="TVL34" s="122"/>
      <c r="TVM34" s="122"/>
      <c r="TVN34" s="122"/>
      <c r="TVO34" s="122"/>
      <c r="TVP34" s="122"/>
      <c r="TVQ34" s="122"/>
      <c r="TVR34" s="122"/>
      <c r="TVS34" s="122"/>
      <c r="TVT34" s="122"/>
      <c r="TVU34" s="122"/>
      <c r="TVV34" s="122"/>
      <c r="TVW34" s="122"/>
      <c r="TVX34" s="122"/>
      <c r="TVY34" s="122"/>
      <c r="TVZ34" s="122"/>
      <c r="TWA34" s="122"/>
      <c r="TWB34" s="122"/>
      <c r="TWC34" s="122"/>
      <c r="TWD34" s="122"/>
      <c r="TWE34" s="122"/>
      <c r="TWF34" s="122"/>
      <c r="TWG34" s="122"/>
      <c r="TWH34" s="122"/>
      <c r="TWI34" s="122"/>
      <c r="TWJ34" s="122"/>
      <c r="TWK34" s="122"/>
      <c r="TWL34" s="122"/>
      <c r="TWM34" s="122"/>
      <c r="TWN34" s="122"/>
      <c r="TWO34" s="122"/>
      <c r="TWP34" s="122"/>
      <c r="TWQ34" s="122"/>
      <c r="TWR34" s="122"/>
      <c r="TWS34" s="122"/>
      <c r="TWT34" s="122"/>
      <c r="TWU34" s="122"/>
      <c r="TWV34" s="122"/>
      <c r="TWW34" s="122"/>
      <c r="TWX34" s="122"/>
      <c r="TWY34" s="122"/>
      <c r="TWZ34" s="122"/>
      <c r="TXA34" s="122"/>
      <c r="TXB34" s="122"/>
      <c r="TXC34" s="122"/>
      <c r="TXD34" s="122"/>
      <c r="TXE34" s="122"/>
      <c r="TXF34" s="122"/>
      <c r="TXG34" s="122"/>
      <c r="TXH34" s="122"/>
      <c r="TXI34" s="122"/>
      <c r="TXJ34" s="122"/>
      <c r="TXK34" s="122"/>
      <c r="TXL34" s="122"/>
      <c r="TXM34" s="122"/>
      <c r="TXN34" s="122"/>
      <c r="TXO34" s="122"/>
      <c r="TXP34" s="122"/>
      <c r="TXQ34" s="122"/>
      <c r="TXR34" s="122"/>
      <c r="TXS34" s="122"/>
      <c r="TXT34" s="122"/>
      <c r="TXU34" s="122"/>
      <c r="TXV34" s="122"/>
      <c r="TXW34" s="122"/>
      <c r="TXX34" s="122"/>
      <c r="TXY34" s="122"/>
      <c r="TXZ34" s="122"/>
      <c r="TYA34" s="122"/>
      <c r="TYB34" s="122"/>
      <c r="TYC34" s="122"/>
      <c r="TYD34" s="122"/>
      <c r="TYE34" s="122"/>
      <c r="TYF34" s="122"/>
      <c r="TYG34" s="122"/>
      <c r="TYH34" s="122"/>
      <c r="TYI34" s="122"/>
      <c r="TYJ34" s="122"/>
      <c r="TYK34" s="122"/>
      <c r="TYL34" s="122"/>
      <c r="TYM34" s="122"/>
      <c r="TYN34" s="122"/>
      <c r="TYO34" s="122"/>
      <c r="TYP34" s="122"/>
      <c r="TYQ34" s="122"/>
      <c r="TYR34" s="122"/>
      <c r="TYS34" s="122"/>
      <c r="TYT34" s="122"/>
      <c r="TYU34" s="122"/>
      <c r="TYV34" s="122"/>
      <c r="TYW34" s="122"/>
      <c r="TYX34" s="122"/>
      <c r="TYY34" s="122"/>
      <c r="TYZ34" s="122"/>
      <c r="TZA34" s="122"/>
      <c r="TZB34" s="122"/>
      <c r="TZC34" s="122"/>
      <c r="TZD34" s="122"/>
      <c r="TZE34" s="122"/>
      <c r="TZF34" s="122"/>
      <c r="TZG34" s="122"/>
      <c r="TZH34" s="122"/>
      <c r="TZI34" s="122"/>
      <c r="TZJ34" s="122"/>
      <c r="TZK34" s="122"/>
      <c r="TZL34" s="122"/>
      <c r="TZM34" s="122"/>
      <c r="TZN34" s="122"/>
      <c r="TZO34" s="122"/>
      <c r="TZP34" s="122"/>
      <c r="TZQ34" s="122"/>
      <c r="TZR34" s="122"/>
      <c r="TZS34" s="122"/>
      <c r="TZT34" s="122"/>
      <c r="TZU34" s="122"/>
      <c r="TZV34" s="122"/>
      <c r="TZW34" s="122"/>
      <c r="TZX34" s="122"/>
      <c r="TZY34" s="122"/>
      <c r="TZZ34" s="122"/>
      <c r="UAA34" s="122"/>
      <c r="UAB34" s="122"/>
      <c r="UAC34" s="122"/>
      <c r="UAD34" s="122"/>
      <c r="UAE34" s="122"/>
      <c r="UAF34" s="122"/>
      <c r="UAG34" s="122"/>
      <c r="UAH34" s="122"/>
      <c r="UAI34" s="122"/>
      <c r="UAJ34" s="122"/>
      <c r="UAK34" s="122"/>
      <c r="UAL34" s="122"/>
      <c r="UAM34" s="122"/>
      <c r="UAN34" s="122"/>
      <c r="UAO34" s="122"/>
      <c r="UAP34" s="122"/>
      <c r="UAQ34" s="122"/>
      <c r="UAR34" s="122"/>
      <c r="UAS34" s="122"/>
      <c r="UAT34" s="122"/>
      <c r="UAU34" s="122"/>
      <c r="UAV34" s="122"/>
      <c r="UAW34" s="122"/>
      <c r="UAX34" s="122"/>
      <c r="UAY34" s="122"/>
      <c r="UAZ34" s="122"/>
      <c r="UBA34" s="122"/>
      <c r="UBB34" s="122"/>
      <c r="UBC34" s="122"/>
      <c r="UBD34" s="122"/>
      <c r="UBE34" s="122"/>
      <c r="UBF34" s="122"/>
      <c r="UBG34" s="122"/>
      <c r="UBH34" s="122"/>
      <c r="UBI34" s="122"/>
      <c r="UBJ34" s="122"/>
      <c r="UBK34" s="122"/>
      <c r="UBL34" s="122"/>
      <c r="UBM34" s="122"/>
      <c r="UBN34" s="122"/>
      <c r="UBO34" s="122"/>
      <c r="UBP34" s="122"/>
      <c r="UBQ34" s="122"/>
      <c r="UBR34" s="122"/>
      <c r="UBS34" s="122"/>
      <c r="UBT34" s="122"/>
      <c r="UBU34" s="122"/>
      <c r="UBV34" s="122"/>
      <c r="UBW34" s="122"/>
      <c r="UBX34" s="122"/>
      <c r="UBY34" s="122"/>
      <c r="UBZ34" s="122"/>
      <c r="UCA34" s="122"/>
      <c r="UCB34" s="122"/>
      <c r="UCC34" s="122"/>
      <c r="UCD34" s="122"/>
      <c r="UCE34" s="122"/>
      <c r="UCF34" s="122"/>
      <c r="UCG34" s="122"/>
      <c r="UCH34" s="122"/>
      <c r="UCI34" s="122"/>
      <c r="UCJ34" s="122"/>
      <c r="UCK34" s="122"/>
      <c r="UCL34" s="122"/>
      <c r="UCM34" s="122"/>
      <c r="UCN34" s="122"/>
      <c r="UCO34" s="122"/>
      <c r="UCP34" s="122"/>
      <c r="UCQ34" s="122"/>
      <c r="UCR34" s="122"/>
      <c r="UCS34" s="122"/>
      <c r="UCT34" s="122"/>
      <c r="UCU34" s="122"/>
      <c r="UCV34" s="122"/>
      <c r="UCW34" s="122"/>
      <c r="UCX34" s="122"/>
      <c r="UCY34" s="122"/>
      <c r="UCZ34" s="122"/>
      <c r="UDA34" s="122"/>
      <c r="UDB34" s="122"/>
      <c r="UDC34" s="122"/>
      <c r="UDD34" s="122"/>
      <c r="UDE34" s="122"/>
      <c r="UDF34" s="122"/>
      <c r="UDG34" s="122"/>
      <c r="UDH34" s="122"/>
      <c r="UDI34" s="122"/>
      <c r="UDJ34" s="122"/>
      <c r="UDK34" s="122"/>
      <c r="UDL34" s="122"/>
      <c r="UDM34" s="122"/>
      <c r="UDN34" s="122"/>
      <c r="UDO34" s="122"/>
      <c r="UDP34" s="122"/>
      <c r="UDQ34" s="122"/>
      <c r="UDR34" s="122"/>
      <c r="UDS34" s="122"/>
      <c r="UDT34" s="122"/>
      <c r="UDU34" s="122"/>
      <c r="UDV34" s="122"/>
      <c r="UDW34" s="122"/>
      <c r="UDX34" s="122"/>
      <c r="UDY34" s="122"/>
      <c r="UDZ34" s="122"/>
      <c r="UEA34" s="122"/>
      <c r="UEB34" s="122"/>
      <c r="UEC34" s="122"/>
      <c r="UED34" s="122"/>
      <c r="UEE34" s="122"/>
      <c r="UEF34" s="122"/>
      <c r="UEG34" s="122"/>
      <c r="UEH34" s="122"/>
      <c r="UEI34" s="122"/>
      <c r="UEJ34" s="122"/>
      <c r="UEK34" s="122"/>
      <c r="UEL34" s="122"/>
      <c r="UEM34" s="122"/>
      <c r="UEN34" s="122"/>
      <c r="UEO34" s="122"/>
      <c r="UEP34" s="122"/>
      <c r="UEQ34" s="122"/>
      <c r="UER34" s="122"/>
      <c r="UES34" s="122"/>
      <c r="UET34" s="122"/>
      <c r="UEU34" s="122"/>
      <c r="UEV34" s="122"/>
      <c r="UEW34" s="122"/>
      <c r="UEX34" s="122"/>
      <c r="UEY34" s="122"/>
      <c r="UEZ34" s="122"/>
      <c r="UFA34" s="122"/>
      <c r="UFB34" s="122"/>
      <c r="UFC34" s="122"/>
      <c r="UFD34" s="122"/>
      <c r="UFE34" s="122"/>
      <c r="UFF34" s="122"/>
      <c r="UFG34" s="122"/>
      <c r="UFH34" s="122"/>
      <c r="UFI34" s="122"/>
      <c r="UFJ34" s="122"/>
      <c r="UFK34" s="122"/>
      <c r="UFL34" s="122"/>
      <c r="UFM34" s="122"/>
      <c r="UFN34" s="122"/>
      <c r="UFO34" s="122"/>
      <c r="UFP34" s="122"/>
      <c r="UFQ34" s="122"/>
      <c r="UFR34" s="122"/>
      <c r="UFS34" s="122"/>
      <c r="UFT34" s="122"/>
      <c r="UFU34" s="122"/>
      <c r="UFV34" s="122"/>
      <c r="UFW34" s="122"/>
      <c r="UFX34" s="122"/>
      <c r="UFY34" s="122"/>
      <c r="UFZ34" s="122"/>
      <c r="UGA34" s="122"/>
      <c r="UGB34" s="122"/>
      <c r="UGC34" s="122"/>
      <c r="UGD34" s="122"/>
      <c r="UGE34" s="122"/>
      <c r="UGF34" s="122"/>
      <c r="UGG34" s="122"/>
      <c r="UGH34" s="122"/>
      <c r="UGI34" s="122"/>
      <c r="UGJ34" s="122"/>
      <c r="UGK34" s="122"/>
      <c r="UGL34" s="122"/>
      <c r="UGM34" s="122"/>
      <c r="UGN34" s="122"/>
      <c r="UGO34" s="122"/>
      <c r="UGP34" s="122"/>
      <c r="UGQ34" s="122"/>
      <c r="UGR34" s="122"/>
      <c r="UGS34" s="122"/>
      <c r="UGT34" s="122"/>
      <c r="UGU34" s="122"/>
      <c r="UGV34" s="122"/>
      <c r="UGW34" s="122"/>
      <c r="UGX34" s="122"/>
      <c r="UGY34" s="122"/>
      <c r="UGZ34" s="122"/>
      <c r="UHA34" s="122"/>
      <c r="UHB34" s="122"/>
      <c r="UHC34" s="122"/>
      <c r="UHD34" s="122"/>
      <c r="UHE34" s="122"/>
      <c r="UHF34" s="122"/>
      <c r="UHG34" s="122"/>
      <c r="UHH34" s="122"/>
      <c r="UHI34" s="122"/>
      <c r="UHJ34" s="122"/>
      <c r="UHK34" s="122"/>
      <c r="UHL34" s="122"/>
      <c r="UHM34" s="122"/>
      <c r="UHN34" s="122"/>
      <c r="UHO34" s="122"/>
      <c r="UHP34" s="122"/>
      <c r="UHQ34" s="122"/>
      <c r="UHR34" s="122"/>
      <c r="UHS34" s="122"/>
      <c r="UHT34" s="122"/>
      <c r="UHU34" s="122"/>
      <c r="UHV34" s="122"/>
      <c r="UHW34" s="122"/>
      <c r="UHX34" s="122"/>
      <c r="UHY34" s="122"/>
      <c r="UHZ34" s="122"/>
      <c r="UIA34" s="122"/>
      <c r="UIB34" s="122"/>
      <c r="UIC34" s="122"/>
      <c r="UID34" s="122"/>
      <c r="UIE34" s="122"/>
      <c r="UIF34" s="122"/>
      <c r="UIG34" s="122"/>
      <c r="UIH34" s="122"/>
      <c r="UII34" s="122"/>
      <c r="UIJ34" s="122"/>
      <c r="UIK34" s="122"/>
      <c r="UIL34" s="122"/>
      <c r="UIM34" s="122"/>
      <c r="UIN34" s="122"/>
      <c r="UIO34" s="122"/>
      <c r="UIP34" s="122"/>
      <c r="UIQ34" s="122"/>
      <c r="UIR34" s="122"/>
      <c r="UIS34" s="122"/>
      <c r="UIT34" s="122"/>
      <c r="UIU34" s="122"/>
      <c r="UIV34" s="122"/>
      <c r="UIW34" s="122"/>
      <c r="UIX34" s="122"/>
      <c r="UIY34" s="122"/>
      <c r="UIZ34" s="122"/>
      <c r="UJA34" s="122"/>
      <c r="UJB34" s="122"/>
      <c r="UJC34" s="122"/>
      <c r="UJD34" s="122"/>
      <c r="UJE34" s="122"/>
      <c r="UJF34" s="122"/>
      <c r="UJG34" s="122"/>
      <c r="UJH34" s="122"/>
      <c r="UJI34" s="122"/>
      <c r="UJJ34" s="122"/>
      <c r="UJK34" s="122"/>
      <c r="UJL34" s="122"/>
      <c r="UJM34" s="122"/>
      <c r="UJN34" s="122"/>
      <c r="UJO34" s="122"/>
      <c r="UJP34" s="122"/>
      <c r="UJQ34" s="122"/>
      <c r="UJR34" s="122"/>
      <c r="UJS34" s="122"/>
      <c r="UJT34" s="122"/>
      <c r="UJU34" s="122"/>
      <c r="UJV34" s="122"/>
      <c r="UJW34" s="122"/>
      <c r="UJX34" s="122"/>
      <c r="UJY34" s="122"/>
      <c r="UJZ34" s="122"/>
      <c r="UKA34" s="122"/>
      <c r="UKB34" s="122"/>
      <c r="UKC34" s="122"/>
      <c r="UKD34" s="122"/>
      <c r="UKE34" s="122"/>
      <c r="UKF34" s="122"/>
      <c r="UKG34" s="122"/>
      <c r="UKH34" s="122"/>
      <c r="UKI34" s="122"/>
      <c r="UKJ34" s="122"/>
      <c r="UKK34" s="122"/>
      <c r="UKL34" s="122"/>
      <c r="UKM34" s="122"/>
      <c r="UKN34" s="122"/>
      <c r="UKO34" s="122"/>
      <c r="UKP34" s="122"/>
      <c r="UKQ34" s="122"/>
      <c r="UKR34" s="122"/>
      <c r="UKS34" s="122"/>
      <c r="UKT34" s="122"/>
      <c r="UKU34" s="122"/>
      <c r="UKV34" s="122"/>
      <c r="UKW34" s="122"/>
      <c r="UKX34" s="122"/>
      <c r="UKY34" s="122"/>
      <c r="UKZ34" s="122"/>
      <c r="ULA34" s="122"/>
      <c r="ULB34" s="122"/>
      <c r="ULC34" s="122"/>
      <c r="ULD34" s="122"/>
      <c r="ULE34" s="122"/>
      <c r="ULF34" s="122"/>
      <c r="ULG34" s="122"/>
      <c r="ULH34" s="122"/>
      <c r="ULI34" s="122"/>
      <c r="ULJ34" s="122"/>
      <c r="ULK34" s="122"/>
      <c r="ULL34" s="122"/>
      <c r="ULM34" s="122"/>
      <c r="ULN34" s="122"/>
      <c r="ULO34" s="122"/>
      <c r="ULP34" s="122"/>
      <c r="ULQ34" s="122"/>
      <c r="ULR34" s="122"/>
      <c r="ULS34" s="122"/>
      <c r="ULT34" s="122"/>
      <c r="ULU34" s="122"/>
      <c r="ULV34" s="122"/>
      <c r="ULW34" s="122"/>
      <c r="ULX34" s="122"/>
      <c r="ULY34" s="122"/>
      <c r="ULZ34" s="122"/>
      <c r="UMA34" s="122"/>
      <c r="UMB34" s="122"/>
      <c r="UMC34" s="122"/>
      <c r="UMD34" s="122"/>
      <c r="UME34" s="122"/>
      <c r="UMF34" s="122"/>
      <c r="UMG34" s="122"/>
      <c r="UMH34" s="122"/>
      <c r="UMI34" s="122"/>
      <c r="UMJ34" s="122"/>
      <c r="UMK34" s="122"/>
      <c r="UML34" s="122"/>
      <c r="UMM34" s="122"/>
      <c r="UMN34" s="122"/>
      <c r="UMO34" s="122"/>
      <c r="UMP34" s="122"/>
      <c r="UMQ34" s="122"/>
      <c r="UMR34" s="122"/>
      <c r="UMS34" s="122"/>
      <c r="UMT34" s="122"/>
      <c r="UMU34" s="122"/>
      <c r="UMV34" s="122"/>
      <c r="UMW34" s="122"/>
      <c r="UMX34" s="122"/>
      <c r="UMY34" s="122"/>
      <c r="UMZ34" s="122"/>
      <c r="UNA34" s="122"/>
      <c r="UNB34" s="122"/>
      <c r="UNC34" s="122"/>
      <c r="UND34" s="122"/>
      <c r="UNE34" s="122"/>
      <c r="UNF34" s="122"/>
      <c r="UNG34" s="122"/>
      <c r="UNH34" s="122"/>
      <c r="UNI34" s="122"/>
      <c r="UNJ34" s="122"/>
      <c r="UNK34" s="122"/>
      <c r="UNL34" s="122"/>
      <c r="UNM34" s="122"/>
      <c r="UNN34" s="122"/>
      <c r="UNO34" s="122"/>
      <c r="UNP34" s="122"/>
      <c r="UNQ34" s="122"/>
      <c r="UNR34" s="122"/>
      <c r="UNS34" s="122"/>
      <c r="UNT34" s="122"/>
      <c r="UNU34" s="122"/>
      <c r="UNV34" s="122"/>
      <c r="UNW34" s="122"/>
      <c r="UNX34" s="122"/>
      <c r="UNY34" s="122"/>
      <c r="UNZ34" s="122"/>
      <c r="UOA34" s="122"/>
      <c r="UOB34" s="122"/>
      <c r="UOC34" s="122"/>
      <c r="UOD34" s="122"/>
      <c r="UOE34" s="122"/>
      <c r="UOF34" s="122"/>
      <c r="UOG34" s="122"/>
      <c r="UOH34" s="122"/>
      <c r="UOI34" s="122"/>
      <c r="UOJ34" s="122"/>
      <c r="UOK34" s="122"/>
      <c r="UOL34" s="122"/>
      <c r="UOM34" s="122"/>
      <c r="UON34" s="122"/>
      <c r="UOO34" s="122"/>
      <c r="UOP34" s="122"/>
      <c r="UOQ34" s="122"/>
      <c r="UOR34" s="122"/>
      <c r="UOS34" s="122"/>
      <c r="UOT34" s="122"/>
      <c r="UOU34" s="122"/>
      <c r="UOV34" s="122"/>
      <c r="UOW34" s="122"/>
      <c r="UOX34" s="122"/>
      <c r="UOY34" s="122"/>
      <c r="UOZ34" s="122"/>
      <c r="UPA34" s="122"/>
      <c r="UPB34" s="122"/>
      <c r="UPC34" s="122"/>
      <c r="UPD34" s="122"/>
      <c r="UPE34" s="122"/>
      <c r="UPF34" s="122"/>
      <c r="UPG34" s="122"/>
      <c r="UPH34" s="122"/>
      <c r="UPI34" s="122"/>
      <c r="UPJ34" s="122"/>
      <c r="UPK34" s="122"/>
      <c r="UPL34" s="122"/>
      <c r="UPM34" s="122"/>
      <c r="UPN34" s="122"/>
      <c r="UPO34" s="122"/>
      <c r="UPP34" s="122"/>
      <c r="UPQ34" s="122"/>
      <c r="UPR34" s="122"/>
      <c r="UPS34" s="122"/>
      <c r="UPT34" s="122"/>
      <c r="UPU34" s="122"/>
      <c r="UPV34" s="122"/>
      <c r="UPW34" s="122"/>
      <c r="UPX34" s="122"/>
      <c r="UPY34" s="122"/>
      <c r="UPZ34" s="122"/>
      <c r="UQA34" s="122"/>
      <c r="UQB34" s="122"/>
      <c r="UQC34" s="122"/>
      <c r="UQD34" s="122"/>
      <c r="UQE34" s="122"/>
      <c r="UQF34" s="122"/>
      <c r="UQG34" s="122"/>
      <c r="UQH34" s="122"/>
      <c r="UQI34" s="122"/>
      <c r="UQJ34" s="122"/>
      <c r="UQK34" s="122"/>
      <c r="UQL34" s="122"/>
      <c r="UQM34" s="122"/>
      <c r="UQN34" s="122"/>
      <c r="UQO34" s="122"/>
      <c r="UQP34" s="122"/>
      <c r="UQQ34" s="122"/>
      <c r="UQR34" s="122"/>
      <c r="UQS34" s="122"/>
      <c r="UQT34" s="122"/>
      <c r="UQU34" s="122"/>
      <c r="UQV34" s="122"/>
      <c r="UQW34" s="122"/>
      <c r="UQX34" s="122"/>
      <c r="UQY34" s="122"/>
      <c r="UQZ34" s="122"/>
      <c r="URA34" s="122"/>
      <c r="URB34" s="122"/>
      <c r="URC34" s="122"/>
      <c r="URD34" s="122"/>
      <c r="URE34" s="122"/>
      <c r="URF34" s="122"/>
      <c r="URG34" s="122"/>
      <c r="URH34" s="122"/>
      <c r="URI34" s="122"/>
      <c r="URJ34" s="122"/>
      <c r="URK34" s="122"/>
      <c r="URL34" s="122"/>
      <c r="URM34" s="122"/>
      <c r="URN34" s="122"/>
      <c r="URO34" s="122"/>
      <c r="URP34" s="122"/>
      <c r="URQ34" s="122"/>
      <c r="URR34" s="122"/>
      <c r="URS34" s="122"/>
      <c r="URT34" s="122"/>
      <c r="URU34" s="122"/>
      <c r="URV34" s="122"/>
      <c r="URW34" s="122"/>
      <c r="URX34" s="122"/>
      <c r="URY34" s="122"/>
      <c r="URZ34" s="122"/>
      <c r="USA34" s="122"/>
      <c r="USB34" s="122"/>
      <c r="USC34" s="122"/>
      <c r="USD34" s="122"/>
      <c r="USE34" s="122"/>
      <c r="USF34" s="122"/>
      <c r="USG34" s="122"/>
      <c r="USH34" s="122"/>
      <c r="USI34" s="122"/>
      <c r="USJ34" s="122"/>
      <c r="USK34" s="122"/>
      <c r="USL34" s="122"/>
      <c r="USM34" s="122"/>
      <c r="USN34" s="122"/>
      <c r="USO34" s="122"/>
      <c r="USP34" s="122"/>
      <c r="USQ34" s="122"/>
      <c r="USR34" s="122"/>
      <c r="USS34" s="122"/>
      <c r="UST34" s="122"/>
      <c r="USU34" s="122"/>
      <c r="USV34" s="122"/>
      <c r="USW34" s="122"/>
      <c r="USX34" s="122"/>
      <c r="USY34" s="122"/>
      <c r="USZ34" s="122"/>
      <c r="UTA34" s="122"/>
      <c r="UTB34" s="122"/>
      <c r="UTC34" s="122"/>
      <c r="UTD34" s="122"/>
      <c r="UTE34" s="122"/>
      <c r="UTF34" s="122"/>
      <c r="UTG34" s="122"/>
      <c r="UTH34" s="122"/>
      <c r="UTI34" s="122"/>
      <c r="UTJ34" s="122"/>
      <c r="UTK34" s="122"/>
      <c r="UTL34" s="122"/>
      <c r="UTM34" s="122"/>
      <c r="UTN34" s="122"/>
      <c r="UTO34" s="122"/>
      <c r="UTP34" s="122"/>
      <c r="UTQ34" s="122"/>
      <c r="UTR34" s="122"/>
      <c r="UTS34" s="122"/>
      <c r="UTT34" s="122"/>
      <c r="UTU34" s="122"/>
      <c r="UTV34" s="122"/>
      <c r="UTW34" s="122"/>
      <c r="UTX34" s="122"/>
      <c r="UTY34" s="122"/>
      <c r="UTZ34" s="122"/>
      <c r="UUA34" s="122"/>
      <c r="UUB34" s="122"/>
      <c r="UUC34" s="122"/>
      <c r="UUD34" s="122"/>
      <c r="UUE34" s="122"/>
      <c r="UUF34" s="122"/>
      <c r="UUG34" s="122"/>
      <c r="UUH34" s="122"/>
      <c r="UUI34" s="122"/>
      <c r="UUJ34" s="122"/>
      <c r="UUK34" s="122"/>
      <c r="UUL34" s="122"/>
      <c r="UUM34" s="122"/>
      <c r="UUN34" s="122"/>
      <c r="UUO34" s="122"/>
      <c r="UUP34" s="122"/>
      <c r="UUQ34" s="122"/>
      <c r="UUR34" s="122"/>
      <c r="UUS34" s="122"/>
      <c r="UUT34" s="122"/>
      <c r="UUU34" s="122"/>
      <c r="UUV34" s="122"/>
      <c r="UUW34" s="122"/>
      <c r="UUX34" s="122"/>
      <c r="UUY34" s="122"/>
      <c r="UUZ34" s="122"/>
      <c r="UVA34" s="122"/>
      <c r="UVB34" s="122"/>
      <c r="UVC34" s="122"/>
      <c r="UVD34" s="122"/>
      <c r="UVE34" s="122"/>
      <c r="UVF34" s="122"/>
      <c r="UVG34" s="122"/>
      <c r="UVH34" s="122"/>
      <c r="UVI34" s="122"/>
      <c r="UVJ34" s="122"/>
      <c r="UVK34" s="122"/>
      <c r="UVL34" s="122"/>
      <c r="UVM34" s="122"/>
      <c r="UVN34" s="122"/>
      <c r="UVO34" s="122"/>
      <c r="UVP34" s="122"/>
      <c r="UVQ34" s="122"/>
      <c r="UVR34" s="122"/>
      <c r="UVS34" s="122"/>
      <c r="UVT34" s="122"/>
      <c r="UVU34" s="122"/>
      <c r="UVV34" s="122"/>
      <c r="UVW34" s="122"/>
      <c r="UVX34" s="122"/>
      <c r="UVY34" s="122"/>
      <c r="UVZ34" s="122"/>
      <c r="UWA34" s="122"/>
      <c r="UWB34" s="122"/>
      <c r="UWC34" s="122"/>
      <c r="UWD34" s="122"/>
      <c r="UWE34" s="122"/>
      <c r="UWF34" s="122"/>
      <c r="UWG34" s="122"/>
      <c r="UWH34" s="122"/>
      <c r="UWI34" s="122"/>
      <c r="UWJ34" s="122"/>
      <c r="UWK34" s="122"/>
      <c r="UWL34" s="122"/>
      <c r="UWM34" s="122"/>
      <c r="UWN34" s="122"/>
      <c r="UWO34" s="122"/>
      <c r="UWP34" s="122"/>
      <c r="UWQ34" s="122"/>
      <c r="UWR34" s="122"/>
      <c r="UWS34" s="122"/>
      <c r="UWT34" s="122"/>
      <c r="UWU34" s="122"/>
      <c r="UWV34" s="122"/>
      <c r="UWW34" s="122"/>
      <c r="UWX34" s="122"/>
      <c r="UWY34" s="122"/>
      <c r="UWZ34" s="122"/>
      <c r="UXA34" s="122"/>
      <c r="UXB34" s="122"/>
      <c r="UXC34" s="122"/>
      <c r="UXD34" s="122"/>
      <c r="UXE34" s="122"/>
      <c r="UXF34" s="122"/>
      <c r="UXG34" s="122"/>
      <c r="UXH34" s="122"/>
      <c r="UXI34" s="122"/>
      <c r="UXJ34" s="122"/>
      <c r="UXK34" s="122"/>
      <c r="UXL34" s="122"/>
      <c r="UXM34" s="122"/>
      <c r="UXN34" s="122"/>
      <c r="UXO34" s="122"/>
      <c r="UXP34" s="122"/>
      <c r="UXQ34" s="122"/>
      <c r="UXR34" s="122"/>
      <c r="UXS34" s="122"/>
      <c r="UXT34" s="122"/>
      <c r="UXU34" s="122"/>
      <c r="UXV34" s="122"/>
      <c r="UXW34" s="122"/>
      <c r="UXX34" s="122"/>
      <c r="UXY34" s="122"/>
      <c r="UXZ34" s="122"/>
      <c r="UYA34" s="122"/>
      <c r="UYB34" s="122"/>
      <c r="UYC34" s="122"/>
      <c r="UYD34" s="122"/>
      <c r="UYE34" s="122"/>
      <c r="UYF34" s="122"/>
      <c r="UYG34" s="122"/>
      <c r="UYH34" s="122"/>
      <c r="UYI34" s="122"/>
      <c r="UYJ34" s="122"/>
      <c r="UYK34" s="122"/>
      <c r="UYL34" s="122"/>
      <c r="UYM34" s="122"/>
      <c r="UYN34" s="122"/>
      <c r="UYO34" s="122"/>
      <c r="UYP34" s="122"/>
      <c r="UYQ34" s="122"/>
      <c r="UYR34" s="122"/>
      <c r="UYS34" s="122"/>
      <c r="UYT34" s="122"/>
      <c r="UYU34" s="122"/>
      <c r="UYV34" s="122"/>
      <c r="UYW34" s="122"/>
      <c r="UYX34" s="122"/>
      <c r="UYY34" s="122"/>
      <c r="UYZ34" s="122"/>
      <c r="UZA34" s="122"/>
      <c r="UZB34" s="122"/>
      <c r="UZC34" s="122"/>
      <c r="UZD34" s="122"/>
      <c r="UZE34" s="122"/>
      <c r="UZF34" s="122"/>
      <c r="UZG34" s="122"/>
      <c r="UZH34" s="122"/>
      <c r="UZI34" s="122"/>
      <c r="UZJ34" s="122"/>
      <c r="UZK34" s="122"/>
      <c r="UZL34" s="122"/>
      <c r="UZM34" s="122"/>
      <c r="UZN34" s="122"/>
      <c r="UZO34" s="122"/>
      <c r="UZP34" s="122"/>
      <c r="UZQ34" s="122"/>
      <c r="UZR34" s="122"/>
      <c r="UZS34" s="122"/>
      <c r="UZT34" s="122"/>
      <c r="UZU34" s="122"/>
      <c r="UZV34" s="122"/>
      <c r="UZW34" s="122"/>
      <c r="UZX34" s="122"/>
      <c r="UZY34" s="122"/>
      <c r="UZZ34" s="122"/>
      <c r="VAA34" s="122"/>
      <c r="VAB34" s="122"/>
      <c r="VAC34" s="122"/>
      <c r="VAD34" s="122"/>
      <c r="VAE34" s="122"/>
      <c r="VAF34" s="122"/>
      <c r="VAG34" s="122"/>
      <c r="VAH34" s="122"/>
      <c r="VAI34" s="122"/>
      <c r="VAJ34" s="122"/>
      <c r="VAK34" s="122"/>
      <c r="VAL34" s="122"/>
      <c r="VAM34" s="122"/>
      <c r="VAN34" s="122"/>
      <c r="VAO34" s="122"/>
      <c r="VAP34" s="122"/>
      <c r="VAQ34" s="122"/>
      <c r="VAR34" s="122"/>
      <c r="VAS34" s="122"/>
      <c r="VAT34" s="122"/>
      <c r="VAU34" s="122"/>
      <c r="VAV34" s="122"/>
      <c r="VAW34" s="122"/>
      <c r="VAX34" s="122"/>
      <c r="VAY34" s="122"/>
      <c r="VAZ34" s="122"/>
      <c r="VBA34" s="122"/>
      <c r="VBB34" s="122"/>
      <c r="VBC34" s="122"/>
      <c r="VBD34" s="122"/>
      <c r="VBE34" s="122"/>
      <c r="VBF34" s="122"/>
      <c r="VBG34" s="122"/>
      <c r="VBH34" s="122"/>
      <c r="VBI34" s="122"/>
      <c r="VBJ34" s="122"/>
      <c r="VBK34" s="122"/>
      <c r="VBL34" s="122"/>
      <c r="VBM34" s="122"/>
      <c r="VBN34" s="122"/>
      <c r="VBO34" s="122"/>
      <c r="VBP34" s="122"/>
      <c r="VBQ34" s="122"/>
      <c r="VBR34" s="122"/>
      <c r="VBS34" s="122"/>
      <c r="VBT34" s="122"/>
      <c r="VBU34" s="122"/>
      <c r="VBV34" s="122"/>
      <c r="VBW34" s="122"/>
      <c r="VBX34" s="122"/>
      <c r="VBY34" s="122"/>
      <c r="VBZ34" s="122"/>
      <c r="VCA34" s="122"/>
      <c r="VCB34" s="122"/>
      <c r="VCC34" s="122"/>
      <c r="VCD34" s="122"/>
      <c r="VCE34" s="122"/>
      <c r="VCF34" s="122"/>
      <c r="VCG34" s="122"/>
      <c r="VCH34" s="122"/>
      <c r="VCI34" s="122"/>
      <c r="VCJ34" s="122"/>
      <c r="VCK34" s="122"/>
      <c r="VCL34" s="122"/>
      <c r="VCM34" s="122"/>
      <c r="VCN34" s="122"/>
      <c r="VCO34" s="122"/>
      <c r="VCP34" s="122"/>
      <c r="VCQ34" s="122"/>
      <c r="VCR34" s="122"/>
      <c r="VCS34" s="122"/>
      <c r="VCT34" s="122"/>
      <c r="VCU34" s="122"/>
      <c r="VCV34" s="122"/>
      <c r="VCW34" s="122"/>
      <c r="VCX34" s="122"/>
      <c r="VCY34" s="122"/>
      <c r="VCZ34" s="122"/>
      <c r="VDA34" s="122"/>
      <c r="VDB34" s="122"/>
      <c r="VDC34" s="122"/>
      <c r="VDD34" s="122"/>
      <c r="VDE34" s="122"/>
      <c r="VDF34" s="122"/>
      <c r="VDG34" s="122"/>
      <c r="VDH34" s="122"/>
      <c r="VDI34" s="122"/>
      <c r="VDJ34" s="122"/>
      <c r="VDK34" s="122"/>
      <c r="VDL34" s="122"/>
      <c r="VDM34" s="122"/>
      <c r="VDN34" s="122"/>
      <c r="VDO34" s="122"/>
      <c r="VDP34" s="122"/>
      <c r="VDQ34" s="122"/>
      <c r="VDR34" s="122"/>
      <c r="VDS34" s="122"/>
      <c r="VDT34" s="122"/>
      <c r="VDU34" s="122"/>
      <c r="VDV34" s="122"/>
      <c r="VDW34" s="122"/>
      <c r="VDX34" s="122"/>
      <c r="VDY34" s="122"/>
      <c r="VDZ34" s="122"/>
      <c r="VEA34" s="122"/>
      <c r="VEB34" s="122"/>
      <c r="VEC34" s="122"/>
      <c r="VED34" s="122"/>
      <c r="VEE34" s="122"/>
      <c r="VEF34" s="122"/>
      <c r="VEG34" s="122"/>
      <c r="VEH34" s="122"/>
      <c r="VEI34" s="122"/>
      <c r="VEJ34" s="122"/>
      <c r="VEK34" s="122"/>
      <c r="VEL34" s="122"/>
      <c r="VEM34" s="122"/>
      <c r="VEN34" s="122"/>
      <c r="VEO34" s="122"/>
      <c r="VEP34" s="122"/>
      <c r="VEQ34" s="122"/>
      <c r="VER34" s="122"/>
      <c r="VES34" s="122"/>
      <c r="VET34" s="122"/>
      <c r="VEU34" s="122"/>
      <c r="VEV34" s="122"/>
      <c r="VEW34" s="122"/>
      <c r="VEX34" s="122"/>
      <c r="VEY34" s="122"/>
      <c r="VEZ34" s="122"/>
      <c r="VFA34" s="122"/>
      <c r="VFB34" s="122"/>
      <c r="VFC34" s="122"/>
      <c r="VFD34" s="122"/>
      <c r="VFE34" s="122"/>
      <c r="VFF34" s="122"/>
      <c r="VFG34" s="122"/>
      <c r="VFH34" s="122"/>
      <c r="VFI34" s="122"/>
      <c r="VFJ34" s="122"/>
      <c r="VFK34" s="122"/>
      <c r="VFL34" s="122"/>
      <c r="VFM34" s="122"/>
      <c r="VFN34" s="122"/>
      <c r="VFO34" s="122"/>
      <c r="VFP34" s="122"/>
      <c r="VFQ34" s="122"/>
      <c r="VFR34" s="122"/>
      <c r="VFS34" s="122"/>
      <c r="VFT34" s="122"/>
      <c r="VFU34" s="122"/>
      <c r="VFV34" s="122"/>
      <c r="VFW34" s="122"/>
      <c r="VFX34" s="122"/>
      <c r="VFY34" s="122"/>
      <c r="VFZ34" s="122"/>
      <c r="VGA34" s="122"/>
      <c r="VGB34" s="122"/>
      <c r="VGC34" s="122"/>
      <c r="VGD34" s="122"/>
      <c r="VGE34" s="122"/>
      <c r="VGF34" s="122"/>
      <c r="VGG34" s="122"/>
      <c r="VGH34" s="122"/>
      <c r="VGI34" s="122"/>
      <c r="VGJ34" s="122"/>
      <c r="VGK34" s="122"/>
      <c r="VGL34" s="122"/>
      <c r="VGM34" s="122"/>
      <c r="VGN34" s="122"/>
      <c r="VGO34" s="122"/>
      <c r="VGP34" s="122"/>
      <c r="VGQ34" s="122"/>
      <c r="VGR34" s="122"/>
      <c r="VGS34" s="122"/>
      <c r="VGT34" s="122"/>
      <c r="VGU34" s="122"/>
      <c r="VGV34" s="122"/>
      <c r="VGW34" s="122"/>
      <c r="VGX34" s="122"/>
      <c r="VGY34" s="122"/>
      <c r="VGZ34" s="122"/>
      <c r="VHA34" s="122"/>
      <c r="VHB34" s="122"/>
      <c r="VHC34" s="122"/>
      <c r="VHD34" s="122"/>
      <c r="VHE34" s="122"/>
      <c r="VHF34" s="122"/>
      <c r="VHG34" s="122"/>
      <c r="VHH34" s="122"/>
      <c r="VHI34" s="122"/>
      <c r="VHJ34" s="122"/>
      <c r="VHK34" s="122"/>
      <c r="VHL34" s="122"/>
      <c r="VHM34" s="122"/>
      <c r="VHN34" s="122"/>
      <c r="VHO34" s="122"/>
      <c r="VHP34" s="122"/>
      <c r="VHQ34" s="122"/>
      <c r="VHR34" s="122"/>
      <c r="VHS34" s="122"/>
      <c r="VHT34" s="122"/>
      <c r="VHU34" s="122"/>
      <c r="VHV34" s="122"/>
      <c r="VHW34" s="122"/>
      <c r="VHX34" s="122"/>
      <c r="VHY34" s="122"/>
      <c r="VHZ34" s="122"/>
      <c r="VIA34" s="122"/>
      <c r="VIB34" s="122"/>
      <c r="VIC34" s="122"/>
      <c r="VID34" s="122"/>
      <c r="VIE34" s="122"/>
      <c r="VIF34" s="122"/>
      <c r="VIG34" s="122"/>
      <c r="VIH34" s="122"/>
      <c r="VII34" s="122"/>
      <c r="VIJ34" s="122"/>
      <c r="VIK34" s="122"/>
      <c r="VIL34" s="122"/>
      <c r="VIM34" s="122"/>
      <c r="VIN34" s="122"/>
      <c r="VIO34" s="122"/>
      <c r="VIP34" s="122"/>
      <c r="VIQ34" s="122"/>
      <c r="VIR34" s="122"/>
      <c r="VIS34" s="122"/>
      <c r="VIT34" s="122"/>
      <c r="VIU34" s="122"/>
      <c r="VIV34" s="122"/>
      <c r="VIW34" s="122"/>
      <c r="VIX34" s="122"/>
      <c r="VIY34" s="122"/>
      <c r="VIZ34" s="122"/>
      <c r="VJA34" s="122"/>
      <c r="VJB34" s="122"/>
      <c r="VJC34" s="122"/>
      <c r="VJD34" s="122"/>
      <c r="VJE34" s="122"/>
      <c r="VJF34" s="122"/>
      <c r="VJG34" s="122"/>
      <c r="VJH34" s="122"/>
      <c r="VJI34" s="122"/>
      <c r="VJJ34" s="122"/>
      <c r="VJK34" s="122"/>
      <c r="VJL34" s="122"/>
      <c r="VJM34" s="122"/>
      <c r="VJN34" s="122"/>
      <c r="VJO34" s="122"/>
      <c r="VJP34" s="122"/>
      <c r="VJQ34" s="122"/>
      <c r="VJR34" s="122"/>
      <c r="VJS34" s="122"/>
      <c r="VJT34" s="122"/>
      <c r="VJU34" s="122"/>
      <c r="VJV34" s="122"/>
      <c r="VJW34" s="122"/>
      <c r="VJX34" s="122"/>
      <c r="VJY34" s="122"/>
      <c r="VJZ34" s="122"/>
      <c r="VKA34" s="122"/>
      <c r="VKB34" s="122"/>
      <c r="VKC34" s="122"/>
      <c r="VKD34" s="122"/>
      <c r="VKE34" s="122"/>
      <c r="VKF34" s="122"/>
      <c r="VKG34" s="122"/>
      <c r="VKH34" s="122"/>
      <c r="VKI34" s="122"/>
      <c r="VKJ34" s="122"/>
      <c r="VKK34" s="122"/>
      <c r="VKL34" s="122"/>
      <c r="VKM34" s="122"/>
      <c r="VKN34" s="122"/>
      <c r="VKO34" s="122"/>
      <c r="VKP34" s="122"/>
      <c r="VKQ34" s="122"/>
      <c r="VKR34" s="122"/>
      <c r="VKS34" s="122"/>
      <c r="VKT34" s="122"/>
      <c r="VKU34" s="122"/>
      <c r="VKV34" s="122"/>
      <c r="VKW34" s="122"/>
      <c r="VKX34" s="122"/>
      <c r="VKY34" s="122"/>
      <c r="VKZ34" s="122"/>
      <c r="VLA34" s="122"/>
      <c r="VLB34" s="122"/>
      <c r="VLC34" s="122"/>
      <c r="VLD34" s="122"/>
      <c r="VLE34" s="122"/>
      <c r="VLF34" s="122"/>
      <c r="VLG34" s="122"/>
      <c r="VLH34" s="122"/>
      <c r="VLI34" s="122"/>
      <c r="VLJ34" s="122"/>
      <c r="VLK34" s="122"/>
      <c r="VLL34" s="122"/>
      <c r="VLM34" s="122"/>
      <c r="VLN34" s="122"/>
      <c r="VLO34" s="122"/>
      <c r="VLP34" s="122"/>
      <c r="VLQ34" s="122"/>
      <c r="VLR34" s="122"/>
      <c r="VLS34" s="122"/>
      <c r="VLT34" s="122"/>
      <c r="VLU34" s="122"/>
      <c r="VLV34" s="122"/>
      <c r="VLW34" s="122"/>
      <c r="VLX34" s="122"/>
      <c r="VLY34" s="122"/>
      <c r="VLZ34" s="122"/>
      <c r="VMA34" s="122"/>
      <c r="VMB34" s="122"/>
      <c r="VMC34" s="122"/>
      <c r="VMD34" s="122"/>
      <c r="VME34" s="122"/>
      <c r="VMF34" s="122"/>
      <c r="VMG34" s="122"/>
      <c r="VMH34" s="122"/>
      <c r="VMI34" s="122"/>
      <c r="VMJ34" s="122"/>
      <c r="VMK34" s="122"/>
      <c r="VML34" s="122"/>
      <c r="VMM34" s="122"/>
      <c r="VMN34" s="122"/>
      <c r="VMO34" s="122"/>
      <c r="VMP34" s="122"/>
      <c r="VMQ34" s="122"/>
      <c r="VMR34" s="122"/>
      <c r="VMS34" s="122"/>
      <c r="VMT34" s="122"/>
      <c r="VMU34" s="122"/>
      <c r="VMV34" s="122"/>
      <c r="VMW34" s="122"/>
      <c r="VMX34" s="122"/>
      <c r="VMY34" s="122"/>
      <c r="VMZ34" s="122"/>
      <c r="VNA34" s="122"/>
      <c r="VNB34" s="122"/>
      <c r="VNC34" s="122"/>
      <c r="VND34" s="122"/>
      <c r="VNE34" s="122"/>
      <c r="VNF34" s="122"/>
      <c r="VNG34" s="122"/>
      <c r="VNH34" s="122"/>
      <c r="VNI34" s="122"/>
      <c r="VNJ34" s="122"/>
      <c r="VNK34" s="122"/>
      <c r="VNL34" s="122"/>
      <c r="VNM34" s="122"/>
      <c r="VNN34" s="122"/>
      <c r="VNO34" s="122"/>
      <c r="VNP34" s="122"/>
      <c r="VNQ34" s="122"/>
      <c r="VNR34" s="122"/>
      <c r="VNS34" s="122"/>
      <c r="VNT34" s="122"/>
      <c r="VNU34" s="122"/>
      <c r="VNV34" s="122"/>
      <c r="VNW34" s="122"/>
      <c r="VNX34" s="122"/>
      <c r="VNY34" s="122"/>
      <c r="VNZ34" s="122"/>
      <c r="VOA34" s="122"/>
      <c r="VOB34" s="122"/>
      <c r="VOC34" s="122"/>
      <c r="VOD34" s="122"/>
      <c r="VOE34" s="122"/>
      <c r="VOF34" s="122"/>
      <c r="VOG34" s="122"/>
      <c r="VOH34" s="122"/>
      <c r="VOI34" s="122"/>
      <c r="VOJ34" s="122"/>
      <c r="VOK34" s="122"/>
      <c r="VOL34" s="122"/>
      <c r="VOM34" s="122"/>
      <c r="VON34" s="122"/>
      <c r="VOO34" s="122"/>
      <c r="VOP34" s="122"/>
      <c r="VOQ34" s="122"/>
      <c r="VOR34" s="122"/>
      <c r="VOS34" s="122"/>
      <c r="VOT34" s="122"/>
      <c r="VOU34" s="122"/>
      <c r="VOV34" s="122"/>
      <c r="VOW34" s="122"/>
      <c r="VOX34" s="122"/>
      <c r="VOY34" s="122"/>
      <c r="VOZ34" s="122"/>
      <c r="VPA34" s="122"/>
      <c r="VPB34" s="122"/>
      <c r="VPC34" s="122"/>
      <c r="VPD34" s="122"/>
      <c r="VPE34" s="122"/>
      <c r="VPF34" s="122"/>
      <c r="VPG34" s="122"/>
      <c r="VPH34" s="122"/>
      <c r="VPI34" s="122"/>
      <c r="VPJ34" s="122"/>
      <c r="VPK34" s="122"/>
      <c r="VPL34" s="122"/>
      <c r="VPM34" s="122"/>
      <c r="VPN34" s="122"/>
      <c r="VPO34" s="122"/>
      <c r="VPP34" s="122"/>
      <c r="VPQ34" s="122"/>
      <c r="VPR34" s="122"/>
      <c r="VPS34" s="122"/>
      <c r="VPT34" s="122"/>
      <c r="VPU34" s="122"/>
      <c r="VPV34" s="122"/>
      <c r="VPW34" s="122"/>
      <c r="VPX34" s="122"/>
      <c r="VPY34" s="122"/>
      <c r="VPZ34" s="122"/>
      <c r="VQA34" s="122"/>
      <c r="VQB34" s="122"/>
      <c r="VQC34" s="122"/>
      <c r="VQD34" s="122"/>
      <c r="VQE34" s="122"/>
      <c r="VQF34" s="122"/>
      <c r="VQG34" s="122"/>
      <c r="VQH34" s="122"/>
      <c r="VQI34" s="122"/>
      <c r="VQJ34" s="122"/>
      <c r="VQK34" s="122"/>
      <c r="VQL34" s="122"/>
      <c r="VQM34" s="122"/>
      <c r="VQN34" s="122"/>
      <c r="VQO34" s="122"/>
      <c r="VQP34" s="122"/>
      <c r="VQQ34" s="122"/>
      <c r="VQR34" s="122"/>
      <c r="VQS34" s="122"/>
      <c r="VQT34" s="122"/>
      <c r="VQU34" s="122"/>
      <c r="VQV34" s="122"/>
      <c r="VQW34" s="122"/>
      <c r="VQX34" s="122"/>
      <c r="VQY34" s="122"/>
      <c r="VQZ34" s="122"/>
      <c r="VRA34" s="122"/>
      <c r="VRB34" s="122"/>
      <c r="VRC34" s="122"/>
      <c r="VRD34" s="122"/>
      <c r="VRE34" s="122"/>
      <c r="VRF34" s="122"/>
      <c r="VRG34" s="122"/>
      <c r="VRH34" s="122"/>
      <c r="VRI34" s="122"/>
      <c r="VRJ34" s="122"/>
      <c r="VRK34" s="122"/>
      <c r="VRL34" s="122"/>
      <c r="VRM34" s="122"/>
      <c r="VRN34" s="122"/>
      <c r="VRO34" s="122"/>
      <c r="VRP34" s="122"/>
      <c r="VRQ34" s="122"/>
      <c r="VRR34" s="122"/>
      <c r="VRS34" s="122"/>
      <c r="VRT34" s="122"/>
      <c r="VRU34" s="122"/>
      <c r="VRV34" s="122"/>
      <c r="VRW34" s="122"/>
      <c r="VRX34" s="122"/>
      <c r="VRY34" s="122"/>
      <c r="VRZ34" s="122"/>
      <c r="VSA34" s="122"/>
      <c r="VSB34" s="122"/>
      <c r="VSC34" s="122"/>
      <c r="VSD34" s="122"/>
      <c r="VSE34" s="122"/>
      <c r="VSF34" s="122"/>
      <c r="VSG34" s="122"/>
      <c r="VSH34" s="122"/>
      <c r="VSI34" s="122"/>
      <c r="VSJ34" s="122"/>
      <c r="VSK34" s="122"/>
      <c r="VSL34" s="122"/>
      <c r="VSM34" s="122"/>
      <c r="VSN34" s="122"/>
      <c r="VSO34" s="122"/>
      <c r="VSP34" s="122"/>
      <c r="VSQ34" s="122"/>
      <c r="VSR34" s="122"/>
      <c r="VSS34" s="122"/>
      <c r="VST34" s="122"/>
      <c r="VSU34" s="122"/>
      <c r="VSV34" s="122"/>
      <c r="VSW34" s="122"/>
      <c r="VSX34" s="122"/>
      <c r="VSY34" s="122"/>
      <c r="VSZ34" s="122"/>
      <c r="VTA34" s="122"/>
      <c r="VTB34" s="122"/>
      <c r="VTC34" s="122"/>
      <c r="VTD34" s="122"/>
      <c r="VTE34" s="122"/>
      <c r="VTF34" s="122"/>
      <c r="VTG34" s="122"/>
      <c r="VTH34" s="122"/>
      <c r="VTI34" s="122"/>
      <c r="VTJ34" s="122"/>
      <c r="VTK34" s="122"/>
      <c r="VTL34" s="122"/>
      <c r="VTM34" s="122"/>
      <c r="VTN34" s="122"/>
      <c r="VTO34" s="122"/>
      <c r="VTP34" s="122"/>
      <c r="VTQ34" s="122"/>
      <c r="VTR34" s="122"/>
      <c r="VTS34" s="122"/>
      <c r="VTT34" s="122"/>
      <c r="VTU34" s="122"/>
      <c r="VTV34" s="122"/>
      <c r="VTW34" s="122"/>
      <c r="VTX34" s="122"/>
      <c r="VTY34" s="122"/>
      <c r="VTZ34" s="122"/>
      <c r="VUA34" s="122"/>
      <c r="VUB34" s="122"/>
      <c r="VUC34" s="122"/>
      <c r="VUD34" s="122"/>
      <c r="VUE34" s="122"/>
      <c r="VUF34" s="122"/>
      <c r="VUG34" s="122"/>
      <c r="VUH34" s="122"/>
      <c r="VUI34" s="122"/>
      <c r="VUJ34" s="122"/>
      <c r="VUK34" s="122"/>
      <c r="VUL34" s="122"/>
      <c r="VUM34" s="122"/>
      <c r="VUN34" s="122"/>
      <c r="VUO34" s="122"/>
      <c r="VUP34" s="122"/>
      <c r="VUQ34" s="122"/>
      <c r="VUR34" s="122"/>
      <c r="VUS34" s="122"/>
      <c r="VUT34" s="122"/>
      <c r="VUU34" s="122"/>
      <c r="VUV34" s="122"/>
      <c r="VUW34" s="122"/>
      <c r="VUX34" s="122"/>
      <c r="VUY34" s="122"/>
      <c r="VUZ34" s="122"/>
      <c r="VVA34" s="122"/>
      <c r="VVB34" s="122"/>
      <c r="VVC34" s="122"/>
      <c r="VVD34" s="122"/>
      <c r="VVE34" s="122"/>
      <c r="VVF34" s="122"/>
      <c r="VVG34" s="122"/>
      <c r="VVH34" s="122"/>
      <c r="VVI34" s="122"/>
      <c r="VVJ34" s="122"/>
      <c r="VVK34" s="122"/>
      <c r="VVL34" s="122"/>
      <c r="VVM34" s="122"/>
      <c r="VVN34" s="122"/>
      <c r="VVO34" s="122"/>
      <c r="VVP34" s="122"/>
      <c r="VVQ34" s="122"/>
      <c r="VVR34" s="122"/>
      <c r="VVS34" s="122"/>
      <c r="VVT34" s="122"/>
      <c r="VVU34" s="122"/>
      <c r="VVV34" s="122"/>
      <c r="VVW34" s="122"/>
      <c r="VVX34" s="122"/>
      <c r="VVY34" s="122"/>
      <c r="VVZ34" s="122"/>
      <c r="VWA34" s="122"/>
      <c r="VWB34" s="122"/>
      <c r="VWC34" s="122"/>
      <c r="VWD34" s="122"/>
      <c r="VWE34" s="122"/>
      <c r="VWF34" s="122"/>
      <c r="VWG34" s="122"/>
      <c r="VWH34" s="122"/>
      <c r="VWI34" s="122"/>
      <c r="VWJ34" s="122"/>
      <c r="VWK34" s="122"/>
      <c r="VWL34" s="122"/>
      <c r="VWM34" s="122"/>
      <c r="VWN34" s="122"/>
      <c r="VWO34" s="122"/>
      <c r="VWP34" s="122"/>
      <c r="VWQ34" s="122"/>
      <c r="VWR34" s="122"/>
      <c r="VWS34" s="122"/>
      <c r="VWT34" s="122"/>
      <c r="VWU34" s="122"/>
      <c r="VWV34" s="122"/>
      <c r="VWW34" s="122"/>
      <c r="VWX34" s="122"/>
      <c r="VWY34" s="122"/>
      <c r="VWZ34" s="122"/>
      <c r="VXA34" s="122"/>
      <c r="VXB34" s="122"/>
      <c r="VXC34" s="122"/>
      <c r="VXD34" s="122"/>
      <c r="VXE34" s="122"/>
      <c r="VXF34" s="122"/>
      <c r="VXG34" s="122"/>
      <c r="VXH34" s="122"/>
      <c r="VXI34" s="122"/>
      <c r="VXJ34" s="122"/>
      <c r="VXK34" s="122"/>
      <c r="VXL34" s="122"/>
      <c r="VXM34" s="122"/>
      <c r="VXN34" s="122"/>
      <c r="VXO34" s="122"/>
      <c r="VXP34" s="122"/>
      <c r="VXQ34" s="122"/>
      <c r="VXR34" s="122"/>
      <c r="VXS34" s="122"/>
      <c r="VXT34" s="122"/>
      <c r="VXU34" s="122"/>
      <c r="VXV34" s="122"/>
      <c r="VXW34" s="122"/>
      <c r="VXX34" s="122"/>
      <c r="VXY34" s="122"/>
      <c r="VXZ34" s="122"/>
      <c r="VYA34" s="122"/>
      <c r="VYB34" s="122"/>
      <c r="VYC34" s="122"/>
      <c r="VYD34" s="122"/>
      <c r="VYE34" s="122"/>
      <c r="VYF34" s="122"/>
      <c r="VYG34" s="122"/>
      <c r="VYH34" s="122"/>
      <c r="VYI34" s="122"/>
      <c r="VYJ34" s="122"/>
      <c r="VYK34" s="122"/>
      <c r="VYL34" s="122"/>
      <c r="VYM34" s="122"/>
      <c r="VYN34" s="122"/>
      <c r="VYO34" s="122"/>
      <c r="VYP34" s="122"/>
      <c r="VYQ34" s="122"/>
      <c r="VYR34" s="122"/>
      <c r="VYS34" s="122"/>
      <c r="VYT34" s="122"/>
      <c r="VYU34" s="122"/>
      <c r="VYV34" s="122"/>
      <c r="VYW34" s="122"/>
      <c r="VYX34" s="122"/>
      <c r="VYY34" s="122"/>
      <c r="VYZ34" s="122"/>
      <c r="VZA34" s="122"/>
      <c r="VZB34" s="122"/>
      <c r="VZC34" s="122"/>
      <c r="VZD34" s="122"/>
      <c r="VZE34" s="122"/>
      <c r="VZF34" s="122"/>
      <c r="VZG34" s="122"/>
      <c r="VZH34" s="122"/>
      <c r="VZI34" s="122"/>
      <c r="VZJ34" s="122"/>
      <c r="VZK34" s="122"/>
      <c r="VZL34" s="122"/>
      <c r="VZM34" s="122"/>
      <c r="VZN34" s="122"/>
      <c r="VZO34" s="122"/>
      <c r="VZP34" s="122"/>
      <c r="VZQ34" s="122"/>
      <c r="VZR34" s="122"/>
      <c r="VZS34" s="122"/>
      <c r="VZT34" s="122"/>
      <c r="VZU34" s="122"/>
      <c r="VZV34" s="122"/>
      <c r="VZW34" s="122"/>
      <c r="VZX34" s="122"/>
      <c r="VZY34" s="122"/>
      <c r="VZZ34" s="122"/>
      <c r="WAA34" s="122"/>
      <c r="WAB34" s="122"/>
      <c r="WAC34" s="122"/>
      <c r="WAD34" s="122"/>
      <c r="WAE34" s="122"/>
      <c r="WAF34" s="122"/>
      <c r="WAG34" s="122"/>
      <c r="WAH34" s="122"/>
      <c r="WAI34" s="122"/>
      <c r="WAJ34" s="122"/>
      <c r="WAK34" s="122"/>
      <c r="WAL34" s="122"/>
      <c r="WAM34" s="122"/>
      <c r="WAN34" s="122"/>
      <c r="WAO34" s="122"/>
      <c r="WAP34" s="122"/>
      <c r="WAQ34" s="122"/>
      <c r="WAR34" s="122"/>
      <c r="WAS34" s="122"/>
      <c r="WAT34" s="122"/>
      <c r="WAU34" s="122"/>
      <c r="WAV34" s="122"/>
      <c r="WAW34" s="122"/>
      <c r="WAX34" s="122"/>
      <c r="WAY34" s="122"/>
      <c r="WAZ34" s="122"/>
      <c r="WBA34" s="122"/>
      <c r="WBB34" s="122"/>
      <c r="WBC34" s="122"/>
      <c r="WBD34" s="122"/>
      <c r="WBE34" s="122"/>
      <c r="WBF34" s="122"/>
      <c r="WBG34" s="122"/>
      <c r="WBH34" s="122"/>
      <c r="WBI34" s="122"/>
      <c r="WBJ34" s="122"/>
      <c r="WBK34" s="122"/>
      <c r="WBL34" s="122"/>
      <c r="WBM34" s="122"/>
      <c r="WBN34" s="122"/>
      <c r="WBO34" s="122"/>
      <c r="WBP34" s="122"/>
      <c r="WBQ34" s="122"/>
      <c r="WBR34" s="122"/>
      <c r="WBS34" s="122"/>
      <c r="WBT34" s="122"/>
      <c r="WBU34" s="122"/>
      <c r="WBV34" s="122"/>
      <c r="WBW34" s="122"/>
      <c r="WBX34" s="122"/>
      <c r="WBY34" s="122"/>
      <c r="WBZ34" s="122"/>
      <c r="WCA34" s="122"/>
      <c r="WCB34" s="122"/>
      <c r="WCC34" s="122"/>
      <c r="WCD34" s="122"/>
      <c r="WCE34" s="122"/>
      <c r="WCF34" s="122"/>
      <c r="WCG34" s="122"/>
      <c r="WCH34" s="122"/>
      <c r="WCI34" s="122"/>
      <c r="WCJ34" s="122"/>
      <c r="WCK34" s="122"/>
      <c r="WCL34" s="122"/>
      <c r="WCM34" s="122"/>
      <c r="WCN34" s="122"/>
      <c r="WCO34" s="122"/>
      <c r="WCP34" s="122"/>
      <c r="WCQ34" s="122"/>
      <c r="WCR34" s="122"/>
      <c r="WCS34" s="122"/>
      <c r="WCT34" s="122"/>
      <c r="WCU34" s="122"/>
      <c r="WCV34" s="122"/>
      <c r="WCW34" s="122"/>
      <c r="WCX34" s="122"/>
      <c r="WCY34" s="122"/>
      <c r="WCZ34" s="122"/>
      <c r="WDA34" s="122"/>
      <c r="WDB34" s="122"/>
      <c r="WDC34" s="122"/>
      <c r="WDD34" s="122"/>
      <c r="WDE34" s="122"/>
      <c r="WDF34" s="122"/>
      <c r="WDG34" s="122"/>
      <c r="WDH34" s="122"/>
      <c r="WDI34" s="122"/>
      <c r="WDJ34" s="122"/>
      <c r="WDK34" s="122"/>
      <c r="WDL34" s="122"/>
      <c r="WDM34" s="122"/>
      <c r="WDN34" s="122"/>
      <c r="WDO34" s="122"/>
      <c r="WDP34" s="122"/>
      <c r="WDQ34" s="122"/>
      <c r="WDR34" s="122"/>
      <c r="WDS34" s="122"/>
      <c r="WDT34" s="122"/>
      <c r="WDU34" s="122"/>
      <c r="WDV34" s="122"/>
      <c r="WDW34" s="122"/>
      <c r="WDX34" s="122"/>
      <c r="WDY34" s="122"/>
      <c r="WDZ34" s="122"/>
      <c r="WEA34" s="122"/>
      <c r="WEB34" s="122"/>
      <c r="WEC34" s="122"/>
      <c r="WED34" s="122"/>
      <c r="WEE34" s="122"/>
      <c r="WEF34" s="122"/>
      <c r="WEG34" s="122"/>
      <c r="WEH34" s="122"/>
      <c r="WEI34" s="122"/>
      <c r="WEJ34" s="122"/>
      <c r="WEK34" s="122"/>
      <c r="WEL34" s="122"/>
      <c r="WEM34" s="122"/>
      <c r="WEN34" s="122"/>
      <c r="WEO34" s="122"/>
      <c r="WEP34" s="122"/>
      <c r="WEQ34" s="122"/>
      <c r="WER34" s="122"/>
      <c r="WES34" s="122"/>
      <c r="WET34" s="122"/>
      <c r="WEU34" s="122"/>
      <c r="WEV34" s="122"/>
      <c r="WEW34" s="122"/>
      <c r="WEX34" s="122"/>
      <c r="WEY34" s="122"/>
      <c r="WEZ34" s="122"/>
      <c r="WFA34" s="122"/>
      <c r="WFB34" s="122"/>
      <c r="WFC34" s="122"/>
      <c r="WFD34" s="122"/>
      <c r="WFE34" s="122"/>
      <c r="WFF34" s="122"/>
      <c r="WFG34" s="122"/>
      <c r="WFH34" s="122"/>
      <c r="WFI34" s="122"/>
      <c r="WFJ34" s="122"/>
      <c r="WFK34" s="122"/>
      <c r="WFL34" s="122"/>
      <c r="WFM34" s="122"/>
      <c r="WFN34" s="122"/>
      <c r="WFO34" s="122"/>
      <c r="WFP34" s="122"/>
      <c r="WFQ34" s="122"/>
      <c r="WFR34" s="122"/>
      <c r="WFS34" s="122"/>
      <c r="WFT34" s="122"/>
      <c r="WFU34" s="122"/>
      <c r="WFV34" s="122"/>
      <c r="WFW34" s="122"/>
      <c r="WFX34" s="122"/>
      <c r="WFY34" s="122"/>
      <c r="WFZ34" s="122"/>
      <c r="WGA34" s="122"/>
      <c r="WGB34" s="122"/>
      <c r="WGC34" s="122"/>
      <c r="WGD34" s="122"/>
      <c r="WGE34" s="122"/>
      <c r="WGF34" s="122"/>
      <c r="WGG34" s="122"/>
      <c r="WGH34" s="122"/>
      <c r="WGI34" s="122"/>
      <c r="WGJ34" s="122"/>
      <c r="WGK34" s="122"/>
      <c r="WGL34" s="122"/>
      <c r="WGM34" s="122"/>
      <c r="WGN34" s="122"/>
      <c r="WGO34" s="122"/>
      <c r="WGP34" s="122"/>
      <c r="WGQ34" s="122"/>
      <c r="WGR34" s="122"/>
      <c r="WGS34" s="122"/>
      <c r="WGT34" s="122"/>
      <c r="WGU34" s="122"/>
      <c r="WGV34" s="122"/>
      <c r="WGW34" s="122"/>
      <c r="WGX34" s="122"/>
      <c r="WGY34" s="122"/>
      <c r="WGZ34" s="122"/>
      <c r="WHA34" s="122"/>
      <c r="WHB34" s="122"/>
      <c r="WHC34" s="122"/>
      <c r="WHD34" s="122"/>
      <c r="WHE34" s="122"/>
      <c r="WHF34" s="122"/>
      <c r="WHG34" s="122"/>
      <c r="WHH34" s="122"/>
      <c r="WHI34" s="122"/>
      <c r="WHJ34" s="122"/>
      <c r="WHK34" s="122"/>
      <c r="WHL34" s="122"/>
      <c r="WHM34" s="122"/>
      <c r="WHN34" s="122"/>
      <c r="WHO34" s="122"/>
      <c r="WHP34" s="122"/>
      <c r="WHQ34" s="122"/>
      <c r="WHR34" s="122"/>
      <c r="WHS34" s="122"/>
      <c r="WHT34" s="122"/>
      <c r="WHU34" s="122"/>
      <c r="WHV34" s="122"/>
      <c r="WHW34" s="122"/>
      <c r="WHX34" s="122"/>
      <c r="WHY34" s="122"/>
      <c r="WHZ34" s="122"/>
      <c r="WIA34" s="122"/>
      <c r="WIB34" s="122"/>
      <c r="WIC34" s="122"/>
      <c r="WID34" s="122"/>
      <c r="WIE34" s="122"/>
      <c r="WIF34" s="122"/>
      <c r="WIG34" s="122"/>
      <c r="WIH34" s="122"/>
      <c r="WII34" s="122"/>
      <c r="WIJ34" s="122"/>
      <c r="WIK34" s="122"/>
      <c r="WIL34" s="122"/>
      <c r="WIM34" s="122"/>
      <c r="WIN34" s="122"/>
      <c r="WIO34" s="122"/>
      <c r="WIP34" s="122"/>
      <c r="WIQ34" s="122"/>
      <c r="WIR34" s="122"/>
      <c r="WIS34" s="122"/>
      <c r="WIT34" s="122"/>
      <c r="WIU34" s="122"/>
      <c r="WIV34" s="122"/>
      <c r="WIW34" s="122"/>
      <c r="WIX34" s="122"/>
      <c r="WIY34" s="122"/>
      <c r="WIZ34" s="122"/>
      <c r="WJA34" s="122"/>
      <c r="WJB34" s="122"/>
      <c r="WJC34" s="122"/>
      <c r="WJD34" s="122"/>
      <c r="WJE34" s="122"/>
      <c r="WJF34" s="122"/>
      <c r="WJG34" s="122"/>
      <c r="WJH34" s="122"/>
      <c r="WJI34" s="122"/>
      <c r="WJJ34" s="122"/>
      <c r="WJK34" s="122"/>
      <c r="WJL34" s="122"/>
      <c r="WJM34" s="122"/>
      <c r="WJN34" s="122"/>
      <c r="WJO34" s="122"/>
      <c r="WJP34" s="122"/>
      <c r="WJQ34" s="122"/>
      <c r="WJR34" s="122"/>
      <c r="WJS34" s="122"/>
      <c r="WJT34" s="122"/>
      <c r="WJU34" s="122"/>
      <c r="WJV34" s="122"/>
      <c r="WJW34" s="122"/>
      <c r="WJX34" s="122"/>
      <c r="WJY34" s="122"/>
      <c r="WJZ34" s="122"/>
      <c r="WKA34" s="122"/>
      <c r="WKB34" s="122"/>
      <c r="WKC34" s="122"/>
      <c r="WKD34" s="122"/>
      <c r="WKE34" s="122"/>
      <c r="WKF34" s="122"/>
      <c r="WKG34" s="122"/>
      <c r="WKH34" s="122"/>
      <c r="WKI34" s="122"/>
      <c r="WKJ34" s="122"/>
      <c r="WKK34" s="122"/>
      <c r="WKL34" s="122"/>
      <c r="WKM34" s="122"/>
      <c r="WKN34" s="122"/>
      <c r="WKO34" s="122"/>
      <c r="WKP34" s="122"/>
      <c r="WKQ34" s="122"/>
      <c r="WKR34" s="122"/>
      <c r="WKS34" s="122"/>
      <c r="WKT34" s="122"/>
      <c r="WKU34" s="122"/>
      <c r="WKV34" s="122"/>
      <c r="WKW34" s="122"/>
      <c r="WKX34" s="122"/>
      <c r="WKY34" s="122"/>
      <c r="WKZ34" s="122"/>
      <c r="WLA34" s="122"/>
      <c r="WLB34" s="122"/>
      <c r="WLC34" s="122"/>
      <c r="WLD34" s="122"/>
      <c r="WLE34" s="122"/>
      <c r="WLF34" s="122"/>
      <c r="WLG34" s="122"/>
      <c r="WLH34" s="122"/>
      <c r="WLI34" s="122"/>
      <c r="WLJ34" s="122"/>
      <c r="WLK34" s="122"/>
      <c r="WLL34" s="122"/>
      <c r="WLM34" s="122"/>
      <c r="WLN34" s="122"/>
      <c r="WLO34" s="122"/>
      <c r="WLP34" s="122"/>
      <c r="WLQ34" s="122"/>
      <c r="WLR34" s="122"/>
      <c r="WLS34" s="122"/>
      <c r="WLT34" s="122"/>
      <c r="WLU34" s="122"/>
      <c r="WLV34" s="122"/>
      <c r="WLW34" s="122"/>
      <c r="WLX34" s="122"/>
      <c r="WLY34" s="122"/>
      <c r="WLZ34" s="122"/>
      <c r="WMA34" s="122"/>
      <c r="WMB34" s="122"/>
      <c r="WMC34" s="122"/>
      <c r="WMD34" s="122"/>
      <c r="WME34" s="122"/>
      <c r="WMF34" s="122"/>
      <c r="WMG34" s="122"/>
      <c r="WMH34" s="122"/>
      <c r="WMI34" s="122"/>
      <c r="WMJ34" s="122"/>
      <c r="WMK34" s="122"/>
      <c r="WML34" s="122"/>
      <c r="WMM34" s="122"/>
      <c r="WMN34" s="122"/>
      <c r="WMO34" s="122"/>
      <c r="WMP34" s="122"/>
      <c r="WMQ34" s="122"/>
      <c r="WMR34" s="122"/>
      <c r="WMS34" s="122"/>
      <c r="WMT34" s="122"/>
      <c r="WMU34" s="122"/>
      <c r="WMV34" s="122"/>
      <c r="WMW34" s="122"/>
      <c r="WMX34" s="122"/>
      <c r="WMY34" s="122"/>
      <c r="WMZ34" s="122"/>
      <c r="WNA34" s="122"/>
      <c r="WNB34" s="122"/>
      <c r="WNC34" s="122"/>
      <c r="WND34" s="122"/>
      <c r="WNE34" s="122"/>
      <c r="WNF34" s="122"/>
      <c r="WNG34" s="122"/>
      <c r="WNH34" s="122"/>
      <c r="WNI34" s="122"/>
      <c r="WNJ34" s="122"/>
      <c r="WNK34" s="122"/>
      <c r="WNL34" s="122"/>
      <c r="WNM34" s="122"/>
      <c r="WNN34" s="122"/>
      <c r="WNO34" s="122"/>
      <c r="WNP34" s="122"/>
      <c r="WNQ34" s="122"/>
      <c r="WNR34" s="122"/>
      <c r="WNS34" s="122"/>
      <c r="WNT34" s="122"/>
      <c r="WNU34" s="122"/>
      <c r="WNV34" s="122"/>
      <c r="WNW34" s="122"/>
      <c r="WNX34" s="122"/>
      <c r="WNY34" s="122"/>
      <c r="WNZ34" s="122"/>
      <c r="WOA34" s="122"/>
      <c r="WOB34" s="122"/>
      <c r="WOC34" s="122"/>
      <c r="WOD34" s="122"/>
      <c r="WOE34" s="122"/>
      <c r="WOF34" s="122"/>
      <c r="WOG34" s="122"/>
      <c r="WOH34" s="122"/>
      <c r="WOI34" s="122"/>
      <c r="WOJ34" s="122"/>
      <c r="WOK34" s="122"/>
      <c r="WOL34" s="122"/>
      <c r="WOM34" s="122"/>
      <c r="WON34" s="122"/>
      <c r="WOO34" s="122"/>
      <c r="WOP34" s="122"/>
      <c r="WOQ34" s="122"/>
      <c r="WOR34" s="122"/>
      <c r="WOS34" s="122"/>
      <c r="WOT34" s="122"/>
      <c r="WOU34" s="122"/>
      <c r="WOV34" s="122"/>
      <c r="WOW34" s="122"/>
      <c r="WOX34" s="122"/>
      <c r="WOY34" s="122"/>
      <c r="WOZ34" s="122"/>
      <c r="WPA34" s="122"/>
      <c r="WPB34" s="122"/>
      <c r="WPC34" s="122"/>
      <c r="WPD34" s="122"/>
      <c r="WPE34" s="122"/>
      <c r="WPF34" s="122"/>
      <c r="WPG34" s="122"/>
      <c r="WPH34" s="122"/>
      <c r="WPI34" s="122"/>
      <c r="WPJ34" s="122"/>
      <c r="WPK34" s="122"/>
      <c r="WPL34" s="122"/>
      <c r="WPM34" s="122"/>
      <c r="WPN34" s="122"/>
      <c r="WPO34" s="122"/>
      <c r="WPP34" s="122"/>
      <c r="WPQ34" s="122"/>
      <c r="WPR34" s="122"/>
      <c r="WPS34" s="122"/>
      <c r="WPT34" s="122"/>
      <c r="WPU34" s="122"/>
      <c r="WPV34" s="122"/>
      <c r="WPW34" s="122"/>
      <c r="WPX34" s="122"/>
      <c r="WPY34" s="122"/>
      <c r="WPZ34" s="122"/>
      <c r="WQA34" s="122"/>
      <c r="WQB34" s="122"/>
      <c r="WQC34" s="122"/>
      <c r="WQD34" s="122"/>
      <c r="WQE34" s="122"/>
      <c r="WQF34" s="122"/>
      <c r="WQG34" s="122"/>
      <c r="WQH34" s="122"/>
      <c r="WQI34" s="122"/>
      <c r="WQJ34" s="122"/>
      <c r="WQK34" s="122"/>
      <c r="WQL34" s="122"/>
      <c r="WQM34" s="122"/>
      <c r="WQN34" s="122"/>
      <c r="WQO34" s="122"/>
      <c r="WQP34" s="122"/>
      <c r="WQQ34" s="122"/>
      <c r="WQR34" s="122"/>
      <c r="WQS34" s="122"/>
      <c r="WQT34" s="122"/>
      <c r="WQU34" s="122"/>
      <c r="WQV34" s="122"/>
      <c r="WQW34" s="122"/>
      <c r="WQX34" s="122"/>
      <c r="WQY34" s="122"/>
      <c r="WQZ34" s="122"/>
      <c r="WRA34" s="122"/>
      <c r="WRB34" s="122"/>
      <c r="WRC34" s="122"/>
      <c r="WRD34" s="122"/>
      <c r="WRE34" s="122"/>
      <c r="WRF34" s="122"/>
      <c r="WRG34" s="122"/>
      <c r="WRH34" s="122"/>
      <c r="WRI34" s="122"/>
      <c r="WRJ34" s="122"/>
      <c r="WRK34" s="122"/>
      <c r="WRL34" s="122"/>
      <c r="WRM34" s="122"/>
      <c r="WRN34" s="122"/>
      <c r="WRO34" s="122"/>
      <c r="WRP34" s="122"/>
      <c r="WRQ34" s="122"/>
      <c r="WRR34" s="122"/>
      <c r="WRS34" s="122"/>
      <c r="WRT34" s="122"/>
      <c r="WRU34" s="122"/>
      <c r="WRV34" s="122"/>
      <c r="WRW34" s="122"/>
      <c r="WRX34" s="122"/>
      <c r="WRY34" s="122"/>
      <c r="WRZ34" s="122"/>
      <c r="WSA34" s="122"/>
      <c r="WSB34" s="122"/>
      <c r="WSC34" s="122"/>
      <c r="WSD34" s="122"/>
      <c r="WSE34" s="122"/>
      <c r="WSF34" s="122"/>
      <c r="WSG34" s="122"/>
      <c r="WSH34" s="122"/>
      <c r="WSI34" s="122"/>
      <c r="WSJ34" s="122"/>
      <c r="WSK34" s="122"/>
      <c r="WSL34" s="122"/>
      <c r="WSM34" s="122"/>
      <c r="WSN34" s="122"/>
      <c r="WSO34" s="122"/>
      <c r="WSP34" s="122"/>
      <c r="WSQ34" s="122"/>
      <c r="WSR34" s="122"/>
      <c r="WSS34" s="122"/>
      <c r="WST34" s="122"/>
      <c r="WSU34" s="122"/>
      <c r="WSV34" s="122"/>
      <c r="WSW34" s="122"/>
      <c r="WSX34" s="122"/>
      <c r="WSY34" s="122"/>
      <c r="WSZ34" s="122"/>
      <c r="WTA34" s="122"/>
      <c r="WTB34" s="122"/>
      <c r="WTC34" s="122"/>
      <c r="WTD34" s="122"/>
      <c r="WTE34" s="122"/>
      <c r="WTF34" s="122"/>
      <c r="WTG34" s="122"/>
      <c r="WTH34" s="122"/>
      <c r="WTI34" s="122"/>
      <c r="WTJ34" s="122"/>
      <c r="WTK34" s="122"/>
      <c r="WTL34" s="122"/>
      <c r="WTM34" s="122"/>
      <c r="WTN34" s="122"/>
      <c r="WTO34" s="122"/>
      <c r="WTP34" s="122"/>
      <c r="WTQ34" s="122"/>
      <c r="WTR34" s="122"/>
      <c r="WTS34" s="122"/>
      <c r="WTT34" s="122"/>
      <c r="WTU34" s="122"/>
      <c r="WTV34" s="122"/>
      <c r="WTW34" s="122"/>
      <c r="WTX34" s="122"/>
      <c r="WTY34" s="122"/>
      <c r="WTZ34" s="122"/>
      <c r="WUA34" s="122"/>
      <c r="WUB34" s="122"/>
      <c r="WUC34" s="122"/>
      <c r="WUD34" s="122"/>
      <c r="WUE34" s="122"/>
      <c r="WUF34" s="122"/>
      <c r="WUG34" s="122"/>
      <c r="WUH34" s="122"/>
      <c r="WUI34" s="122"/>
      <c r="WUJ34" s="122"/>
      <c r="WUK34" s="122"/>
      <c r="WUL34" s="122"/>
      <c r="WUM34" s="122"/>
      <c r="WUN34" s="122"/>
      <c r="WUO34" s="122"/>
      <c r="WUP34" s="122"/>
      <c r="WUQ34" s="122"/>
      <c r="WUR34" s="122"/>
      <c r="WUS34" s="122"/>
      <c r="WUT34" s="122"/>
      <c r="WUU34" s="122"/>
      <c r="WUV34" s="122"/>
      <c r="WUW34" s="122"/>
      <c r="WUX34" s="122"/>
      <c r="WUY34" s="122"/>
      <c r="WUZ34" s="122"/>
      <c r="WVA34" s="122"/>
      <c r="WVB34" s="122"/>
      <c r="WVC34" s="122"/>
      <c r="WVD34" s="122"/>
      <c r="WVE34" s="122"/>
      <c r="WVF34" s="122"/>
      <c r="WVG34" s="122"/>
      <c r="WVH34" s="122"/>
      <c r="WVI34" s="122"/>
      <c r="WVJ34" s="122"/>
      <c r="WVK34" s="122"/>
      <c r="WVL34" s="122"/>
      <c r="WVM34" s="122"/>
      <c r="WVN34" s="122"/>
      <c r="WVO34" s="122"/>
      <c r="WVP34" s="122"/>
      <c r="WVQ34" s="122"/>
      <c r="WVR34" s="122"/>
      <c r="WVS34" s="122"/>
      <c r="WVT34" s="122"/>
      <c r="WVU34" s="122"/>
      <c r="WVV34" s="122"/>
      <c r="WVW34" s="122"/>
      <c r="WVX34" s="122"/>
      <c r="WVY34" s="122"/>
      <c r="WVZ34" s="122"/>
      <c r="WWA34" s="122"/>
      <c r="WWB34" s="122"/>
      <c r="WWC34" s="122"/>
      <c r="WWD34" s="122"/>
      <c r="WWE34" s="122"/>
      <c r="WWF34" s="122"/>
      <c r="WWG34" s="122"/>
      <c r="WWH34" s="122"/>
      <c r="WWI34" s="122"/>
      <c r="WWJ34" s="122"/>
      <c r="WWK34" s="122"/>
      <c r="WWL34" s="122"/>
      <c r="WWM34" s="122"/>
      <c r="WWN34" s="122"/>
      <c r="WWO34" s="122"/>
      <c r="WWP34" s="122"/>
      <c r="WWQ34" s="122"/>
      <c r="WWR34" s="122"/>
      <c r="WWS34" s="122"/>
      <c r="WWT34" s="122"/>
      <c r="WWU34" s="122"/>
      <c r="WWV34" s="122"/>
      <c r="WWW34" s="122"/>
      <c r="WWX34" s="122"/>
      <c r="WWY34" s="122"/>
      <c r="WWZ34" s="122"/>
      <c r="WXA34" s="122"/>
      <c r="WXB34" s="122"/>
      <c r="WXC34" s="122"/>
      <c r="WXD34" s="122"/>
      <c r="WXE34" s="122"/>
      <c r="WXF34" s="122"/>
      <c r="WXG34" s="122"/>
      <c r="WXH34" s="122"/>
      <c r="WXI34" s="122"/>
      <c r="WXJ34" s="122"/>
      <c r="WXK34" s="122"/>
      <c r="WXL34" s="122"/>
      <c r="WXM34" s="122"/>
      <c r="WXN34" s="122"/>
      <c r="WXO34" s="122"/>
      <c r="WXP34" s="122"/>
      <c r="WXQ34" s="122"/>
      <c r="WXR34" s="122"/>
      <c r="WXS34" s="122"/>
      <c r="WXT34" s="122"/>
      <c r="WXU34" s="122"/>
      <c r="WXV34" s="122"/>
      <c r="WXW34" s="122"/>
      <c r="WXX34" s="122"/>
      <c r="WXY34" s="122"/>
      <c r="WXZ34" s="122"/>
      <c r="WYA34" s="122"/>
      <c r="WYB34" s="122"/>
      <c r="WYC34" s="122"/>
      <c r="WYD34" s="122"/>
      <c r="WYE34" s="122"/>
      <c r="WYF34" s="122"/>
      <c r="WYG34" s="122"/>
      <c r="WYH34" s="122"/>
      <c r="WYI34" s="122"/>
      <c r="WYJ34" s="122"/>
      <c r="WYK34" s="122"/>
      <c r="WYL34" s="122"/>
      <c r="WYM34" s="122"/>
      <c r="WYN34" s="122"/>
      <c r="WYO34" s="122"/>
      <c r="WYP34" s="122"/>
      <c r="WYQ34" s="122"/>
      <c r="WYR34" s="122"/>
      <c r="WYS34" s="122"/>
      <c r="WYT34" s="122"/>
      <c r="WYU34" s="122"/>
      <c r="WYV34" s="122"/>
      <c r="WYW34" s="122"/>
      <c r="WYX34" s="122"/>
      <c r="WYY34" s="122"/>
      <c r="WYZ34" s="122"/>
      <c r="WZA34" s="122"/>
      <c r="WZB34" s="122"/>
      <c r="WZC34" s="122"/>
      <c r="WZD34" s="122"/>
      <c r="WZE34" s="122"/>
      <c r="WZF34" s="122"/>
      <c r="WZG34" s="122"/>
      <c r="WZH34" s="122"/>
      <c r="WZI34" s="122"/>
      <c r="WZJ34" s="122"/>
      <c r="WZK34" s="122"/>
      <c r="WZL34" s="122"/>
      <c r="WZM34" s="122"/>
      <c r="WZN34" s="122"/>
      <c r="WZO34" s="122"/>
      <c r="WZP34" s="122"/>
      <c r="WZQ34" s="122"/>
      <c r="WZR34" s="122"/>
      <c r="WZS34" s="122"/>
      <c r="WZT34" s="122"/>
      <c r="WZU34" s="122"/>
      <c r="WZV34" s="122"/>
      <c r="WZW34" s="122"/>
      <c r="WZX34" s="122"/>
      <c r="WZY34" s="122"/>
      <c r="WZZ34" s="122"/>
      <c r="XAA34" s="122"/>
      <c r="XAB34" s="122"/>
      <c r="XAC34" s="122"/>
      <c r="XAD34" s="122"/>
      <c r="XAE34" s="122"/>
      <c r="XAF34" s="122"/>
      <c r="XAG34" s="122"/>
      <c r="XAH34" s="122"/>
      <c r="XAI34" s="122"/>
      <c r="XAJ34" s="122"/>
      <c r="XAK34" s="122"/>
      <c r="XAL34" s="122"/>
      <c r="XAM34" s="122"/>
      <c r="XAN34" s="122"/>
      <c r="XAO34" s="122"/>
      <c r="XAP34" s="122"/>
      <c r="XAQ34" s="122"/>
      <c r="XAR34" s="122"/>
      <c r="XAS34" s="122"/>
      <c r="XAT34" s="122"/>
      <c r="XAU34" s="122"/>
      <c r="XAV34" s="122"/>
      <c r="XAW34" s="122"/>
      <c r="XAX34" s="122"/>
      <c r="XAY34" s="122"/>
      <c r="XAZ34" s="122"/>
      <c r="XBA34" s="122"/>
      <c r="XBB34" s="122"/>
      <c r="XBC34" s="122"/>
      <c r="XBD34" s="122"/>
      <c r="XBE34" s="122"/>
      <c r="XBF34" s="122"/>
      <c r="XBG34" s="122"/>
      <c r="XBH34" s="122"/>
      <c r="XBI34" s="122"/>
      <c r="XBJ34" s="122"/>
      <c r="XBK34" s="122"/>
      <c r="XBL34" s="122"/>
      <c r="XBM34" s="122"/>
      <c r="XBN34" s="122"/>
      <c r="XBO34" s="122"/>
      <c r="XBP34" s="122"/>
      <c r="XBQ34" s="122"/>
      <c r="XBR34" s="122"/>
      <c r="XBS34" s="122"/>
      <c r="XBT34" s="122"/>
      <c r="XBU34" s="122"/>
      <c r="XBV34" s="122"/>
      <c r="XBW34" s="122"/>
      <c r="XBX34" s="122"/>
      <c r="XBY34" s="122"/>
      <c r="XBZ34" s="122"/>
      <c r="XCA34" s="122"/>
      <c r="XCB34" s="122"/>
      <c r="XCC34" s="122"/>
      <c r="XCD34" s="122"/>
      <c r="XCE34" s="122"/>
      <c r="XCF34" s="122"/>
      <c r="XCG34" s="122"/>
      <c r="XCH34" s="122"/>
      <c r="XCI34" s="122"/>
      <c r="XCJ34" s="122"/>
      <c r="XCK34" s="122"/>
      <c r="XCL34" s="122"/>
      <c r="XCM34" s="122"/>
      <c r="XCN34" s="122"/>
      <c r="XCO34" s="122"/>
      <c r="XCP34" s="122"/>
      <c r="XCQ34" s="122"/>
      <c r="XCR34" s="122"/>
      <c r="XCS34" s="122"/>
      <c r="XCT34" s="122"/>
      <c r="XCU34" s="122"/>
      <c r="XCV34" s="122"/>
      <c r="XCW34" s="122"/>
      <c r="XCX34" s="122"/>
      <c r="XCY34" s="122"/>
      <c r="XCZ34" s="122"/>
      <c r="XDA34" s="122"/>
      <c r="XDB34" s="122"/>
      <c r="XDC34" s="122"/>
      <c r="XDD34" s="122"/>
      <c r="XDE34" s="122"/>
      <c r="XDF34" s="122"/>
      <c r="XDG34" s="122"/>
      <c r="XDH34" s="122"/>
      <c r="XDI34" s="122"/>
      <c r="XDJ34" s="122"/>
      <c r="XDK34" s="122"/>
      <c r="XDL34" s="122"/>
      <c r="XDM34" s="122"/>
      <c r="XDN34" s="122"/>
      <c r="XDO34" s="122"/>
      <c r="XDP34" s="122"/>
      <c r="XDQ34" s="122"/>
      <c r="XDR34" s="122"/>
      <c r="XDS34" s="122"/>
      <c r="XDT34" s="122"/>
      <c r="XDU34" s="122"/>
      <c r="XDV34" s="122"/>
      <c r="XDW34" s="122"/>
      <c r="XDX34" s="122"/>
      <c r="XDY34" s="122"/>
      <c r="XDZ34" s="122"/>
      <c r="XEA34" s="122"/>
      <c r="XEB34" s="122"/>
      <c r="XEC34" s="122"/>
      <c r="XED34" s="122"/>
      <c r="XEE34" s="122"/>
      <c r="XEF34" s="122"/>
      <c r="XEG34" s="122"/>
      <c r="XEH34" s="122"/>
      <c r="XEI34" s="122"/>
      <c r="XEJ34" s="122"/>
      <c r="XEK34" s="122"/>
      <c r="XEL34" s="122"/>
      <c r="XEM34" s="122"/>
      <c r="XEN34" s="122"/>
      <c r="XEO34" s="122"/>
      <c r="XEP34" s="122"/>
      <c r="XEQ34" s="122"/>
      <c r="XER34" s="122"/>
      <c r="XES34" s="122"/>
      <c r="XET34" s="122"/>
      <c r="XEU34" s="122"/>
      <c r="XEV34" s="122"/>
      <c r="XEW34" s="122"/>
      <c r="XEX34" s="122"/>
      <c r="XEY34" s="122"/>
      <c r="XEZ34" s="122"/>
      <c r="XFA34" s="122"/>
      <c r="XFB34" s="122"/>
      <c r="XFC34" s="122"/>
      <c r="XFD34" s="122"/>
    </row>
    <row r="35" spans="1:16384" ht="11.25" customHeight="1" x14ac:dyDescent="0.15">
      <c r="B35" s="2" t="s">
        <v>247</v>
      </c>
      <c r="M35" s="58"/>
      <c r="Q35" s="2" t="s">
        <v>415</v>
      </c>
      <c r="CE35" s="53">
        <f t="shared" ref="CE35" si="241">BowlSplit(C35:BC35,InnsBowledIn)</f>
        <v>1</v>
      </c>
      <c r="CF35" s="53">
        <f t="shared" ref="CF35" si="242">BowlSplit(C35:CC35,BallsBowled)</f>
        <v>24</v>
      </c>
      <c r="CG35" s="55">
        <f t="shared" ref="CG35" si="243">BowlSplit(C35:CC35,OversBowled)</f>
        <v>4</v>
      </c>
      <c r="CH35" s="53">
        <f t="shared" ref="CH35" si="244">BowlSplit(C35:CC35,Maidens)</f>
        <v>0</v>
      </c>
      <c r="CI35" s="53">
        <f t="shared" ref="CI35" si="245">BowlSplit(C35:CC35,RunsConceded)</f>
        <v>34</v>
      </c>
      <c r="CJ35" s="53">
        <f t="shared" ref="CJ35" si="246">BowlSplit(C35:CC35,WicketsTaken)</f>
        <v>0</v>
      </c>
      <c r="CK35" s="56" t="str">
        <f t="shared" ref="CK35" si="247">IF(CJ35&gt;0,ROUND(CI35/CJ35,2),"")</f>
        <v/>
      </c>
      <c r="CL35" s="57" t="str">
        <f t="shared" ref="CL35" si="248">IF(CJ35&gt;0,CF35/CJ35,"")</f>
        <v/>
      </c>
      <c r="CM35" s="57">
        <f t="shared" ref="CM35" si="249">IF(CF35&gt;0,6*CI35/CF35,"")</f>
        <v>8.5</v>
      </c>
      <c r="CN35" s="48" t="str">
        <f t="shared" ref="CN35" si="250">BowlSplit(C35:CC35,BestBowling)</f>
        <v>0-34</v>
      </c>
      <c r="CO35" s="53">
        <f t="shared" ref="CO35" si="251">BowlSplit(C35:CC35,BowlPts)</f>
        <v>-5</v>
      </c>
      <c r="CP35" s="53">
        <f t="shared" ref="CP35" si="252">BowlSplit(C35:CC35,Wides)</f>
        <v>0</v>
      </c>
      <c r="CQ35" s="53">
        <f t="shared" ref="CQ35" si="253">BowlSplit(C35:CC35,NoBalls)</f>
        <v>0</v>
      </c>
      <c r="CR35" s="58">
        <f t="shared" ref="CR35" si="254">IF(CJ35&gt;0,CK35,IF(CF35&gt;0,CF35+1000,99999))+ROW(CQ35)/10000</f>
        <v>1024.0035</v>
      </c>
      <c r="CS35" s="2">
        <f t="shared" si="14"/>
        <v>26</v>
      </c>
      <c r="CT35" s="106" t="str">
        <f t="shared" ref="CT35" si="255">IF(CF35&gt;=120,CH35/CF35*6,"")</f>
        <v/>
      </c>
      <c r="CU35" s="2">
        <f t="shared" ref="CU35" si="256">BowlSplit(C35:CC35,FiveFors)</f>
        <v>0</v>
      </c>
    </row>
    <row r="36" spans="1:16384" ht="11.25" customHeight="1" x14ac:dyDescent="0.15">
      <c r="B36" s="2" t="s">
        <v>314</v>
      </c>
      <c r="E36" s="2" t="s">
        <v>264</v>
      </c>
      <c r="M36" s="58"/>
      <c r="CE36" s="53">
        <f t="shared" si="17"/>
        <v>1</v>
      </c>
      <c r="CF36" s="53">
        <f t="shared" si="18"/>
        <v>24</v>
      </c>
      <c r="CG36" s="55">
        <f t="shared" si="19"/>
        <v>4</v>
      </c>
      <c r="CH36" s="53">
        <f t="shared" si="20"/>
        <v>0</v>
      </c>
      <c r="CI36" s="53">
        <f t="shared" si="21"/>
        <v>10</v>
      </c>
      <c r="CJ36" s="53">
        <f t="shared" si="22"/>
        <v>0</v>
      </c>
      <c r="CK36" s="56" t="str">
        <f t="shared" si="23"/>
        <v/>
      </c>
      <c r="CL36" s="57" t="str">
        <f t="shared" si="24"/>
        <v/>
      </c>
      <c r="CM36" s="57">
        <f t="shared" si="25"/>
        <v>2.5</v>
      </c>
      <c r="CN36" s="48" t="str">
        <f t="shared" si="26"/>
        <v>0-10</v>
      </c>
      <c r="CO36" s="53">
        <f t="shared" si="27"/>
        <v>10</v>
      </c>
      <c r="CP36" s="53">
        <f t="shared" si="28"/>
        <v>0</v>
      </c>
      <c r="CQ36" s="53">
        <f t="shared" si="29"/>
        <v>0</v>
      </c>
      <c r="CR36" s="58">
        <f t="shared" si="30"/>
        <v>1024.0036</v>
      </c>
      <c r="CS36" s="2">
        <f t="shared" si="14"/>
        <v>27</v>
      </c>
      <c r="CT36" s="106" t="str">
        <f t="shared" si="31"/>
        <v/>
      </c>
      <c r="CU36" s="2">
        <f t="shared" si="32"/>
        <v>0</v>
      </c>
    </row>
    <row r="38" spans="1:16384" x14ac:dyDescent="0.15">
      <c r="B38" s="2" t="s">
        <v>118</v>
      </c>
      <c r="C38" s="2">
        <f t="shared" ref="C38:AH38" si="257">BowlSplit(C5:C36,RunsConceded)</f>
        <v>129</v>
      </c>
      <c r="D38" s="2">
        <f t="shared" si="257"/>
        <v>184</v>
      </c>
      <c r="E38" s="2">
        <f t="shared" si="257"/>
        <v>113</v>
      </c>
      <c r="F38" s="2">
        <f t="shared" si="257"/>
        <v>117</v>
      </c>
      <c r="G38" s="2">
        <f t="shared" si="257"/>
        <v>166</v>
      </c>
      <c r="H38" s="2">
        <f t="shared" si="257"/>
        <v>99</v>
      </c>
      <c r="I38" s="2">
        <f t="shared" si="257"/>
        <v>158</v>
      </c>
      <c r="J38" s="2">
        <f t="shared" si="257"/>
        <v>179</v>
      </c>
      <c r="K38" s="2">
        <f t="shared" si="257"/>
        <v>166</v>
      </c>
      <c r="L38" s="2">
        <f t="shared" si="257"/>
        <v>278</v>
      </c>
      <c r="M38" s="2">
        <f t="shared" si="257"/>
        <v>210</v>
      </c>
      <c r="N38" s="2">
        <f t="shared" si="257"/>
        <v>192</v>
      </c>
      <c r="O38" s="2">
        <f t="shared" si="257"/>
        <v>120</v>
      </c>
      <c r="P38" s="2">
        <f t="shared" si="257"/>
        <v>166</v>
      </c>
      <c r="Q38" s="2">
        <f t="shared" si="257"/>
        <v>175</v>
      </c>
      <c r="R38" s="2">
        <f t="shared" si="257"/>
        <v>201</v>
      </c>
      <c r="S38" s="2">
        <f t="shared" si="257"/>
        <v>114</v>
      </c>
      <c r="T38" s="2">
        <f t="shared" si="257"/>
        <v>163</v>
      </c>
      <c r="U38" s="2">
        <f t="shared" si="257"/>
        <v>143</v>
      </c>
      <c r="V38" s="2">
        <f t="shared" si="257"/>
        <v>113</v>
      </c>
      <c r="W38" s="2">
        <f t="shared" si="257"/>
        <v>176</v>
      </c>
      <c r="X38" s="2">
        <f t="shared" si="257"/>
        <v>194</v>
      </c>
      <c r="Y38" s="2">
        <f t="shared" si="257"/>
        <v>96</v>
      </c>
      <c r="Z38" s="2">
        <f t="shared" si="257"/>
        <v>0</v>
      </c>
      <c r="AA38" s="2">
        <f t="shared" si="257"/>
        <v>0</v>
      </c>
      <c r="AB38" s="2">
        <f t="shared" si="257"/>
        <v>0</v>
      </c>
      <c r="AC38" s="2">
        <f t="shared" si="257"/>
        <v>0</v>
      </c>
      <c r="AD38" s="2">
        <f t="shared" si="257"/>
        <v>0</v>
      </c>
      <c r="AE38" s="2">
        <f t="shared" si="257"/>
        <v>0</v>
      </c>
      <c r="AF38" s="2">
        <f t="shared" si="257"/>
        <v>0</v>
      </c>
      <c r="AG38" s="2">
        <f t="shared" si="257"/>
        <v>0</v>
      </c>
      <c r="AH38" s="2">
        <f t="shared" si="257"/>
        <v>0</v>
      </c>
      <c r="AI38" s="2">
        <f t="shared" ref="AI38:BF38" si="258">BowlSplit(AI5:AI36,RunsConceded)</f>
        <v>0</v>
      </c>
      <c r="AJ38" s="2">
        <f t="shared" si="258"/>
        <v>0</v>
      </c>
      <c r="AK38" s="2">
        <f t="shared" si="258"/>
        <v>0</v>
      </c>
      <c r="AL38" s="2">
        <f t="shared" si="258"/>
        <v>0</v>
      </c>
      <c r="AM38" s="2">
        <f t="shared" si="258"/>
        <v>0</v>
      </c>
      <c r="AN38" s="2">
        <f t="shared" si="258"/>
        <v>0</v>
      </c>
      <c r="AO38" s="2">
        <f t="shared" si="258"/>
        <v>0</v>
      </c>
      <c r="AP38" s="2">
        <f t="shared" si="258"/>
        <v>0</v>
      </c>
      <c r="AQ38" s="2">
        <f t="shared" si="258"/>
        <v>0</v>
      </c>
      <c r="AR38" s="2">
        <f t="shared" si="258"/>
        <v>0</v>
      </c>
      <c r="AS38" s="2">
        <f t="shared" si="258"/>
        <v>0</v>
      </c>
      <c r="AT38" s="2">
        <f t="shared" si="258"/>
        <v>0</v>
      </c>
      <c r="AU38" s="2">
        <f t="shared" si="258"/>
        <v>0</v>
      </c>
      <c r="AV38" s="2">
        <f t="shared" si="258"/>
        <v>0</v>
      </c>
      <c r="AW38" s="2">
        <f t="shared" si="258"/>
        <v>0</v>
      </c>
      <c r="AX38" s="2">
        <f t="shared" si="258"/>
        <v>0</v>
      </c>
      <c r="AY38" s="2">
        <f t="shared" si="258"/>
        <v>0</v>
      </c>
      <c r="AZ38" s="2">
        <f t="shared" si="258"/>
        <v>0</v>
      </c>
      <c r="BA38" s="2">
        <f t="shared" si="258"/>
        <v>0</v>
      </c>
      <c r="BB38" s="2">
        <f t="shared" si="258"/>
        <v>0</v>
      </c>
      <c r="BC38" s="2">
        <f t="shared" si="258"/>
        <v>0</v>
      </c>
      <c r="BD38" s="2">
        <f t="shared" si="258"/>
        <v>0</v>
      </c>
      <c r="BE38" s="2">
        <f t="shared" si="258"/>
        <v>0</v>
      </c>
      <c r="BF38" s="2">
        <f t="shared" si="258"/>
        <v>0</v>
      </c>
      <c r="CE38" s="53">
        <f>SUM(C38:BF38)</f>
        <v>3652</v>
      </c>
      <c r="CF38" s="53">
        <f>SUM(CF5:CF36)</f>
        <v>4969</v>
      </c>
      <c r="CJ38" s="53">
        <f>SUM(CJ5:CJ36)</f>
        <v>154</v>
      </c>
    </row>
    <row r="39" spans="1:16384" x14ac:dyDescent="0.15">
      <c r="B39" s="2" t="s">
        <v>119</v>
      </c>
      <c r="C39" s="2">
        <f t="array" ref="C39:BE40">TRANSPOSE(Matches!S5:T59)</f>
        <v>2</v>
      </c>
      <c r="D39" s="2">
        <v>2</v>
      </c>
      <c r="E39" s="2">
        <v>7</v>
      </c>
      <c r="F39" s="2">
        <v>10</v>
      </c>
      <c r="G39" s="2">
        <v>3</v>
      </c>
      <c r="H39" s="2">
        <v>1</v>
      </c>
      <c r="I39" s="2">
        <v>8</v>
      </c>
      <c r="J39" s="2">
        <v>5</v>
      </c>
      <c r="K39" s="2">
        <v>4</v>
      </c>
      <c r="L39" s="2">
        <v>9</v>
      </c>
      <c r="M39" s="2">
        <v>10</v>
      </c>
      <c r="N39" s="2">
        <v>0</v>
      </c>
      <c r="O39" s="2">
        <v>2</v>
      </c>
      <c r="P39" s="2">
        <v>8</v>
      </c>
      <c r="Q39" s="2">
        <v>12</v>
      </c>
      <c r="R39" s="2">
        <v>2</v>
      </c>
      <c r="S39" s="2">
        <v>11</v>
      </c>
      <c r="T39" s="2">
        <v>5</v>
      </c>
      <c r="U39" s="2">
        <v>5</v>
      </c>
      <c r="V39" s="2">
        <v>9</v>
      </c>
      <c r="W39" s="2">
        <v>17</v>
      </c>
      <c r="X39" s="2">
        <v>0</v>
      </c>
      <c r="Y39" s="2">
        <v>10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3">
        <f>SUM(C39:BF39)</f>
        <v>142</v>
      </c>
    </row>
    <row r="40" spans="1:16384" x14ac:dyDescent="0.15">
      <c r="B40" s="2" t="s">
        <v>120</v>
      </c>
      <c r="C40" s="2">
        <v>0</v>
      </c>
      <c r="D40" s="2">
        <v>2</v>
      </c>
      <c r="E40" s="2">
        <v>5</v>
      </c>
      <c r="F40" s="2">
        <v>0</v>
      </c>
      <c r="G40" s="2">
        <v>0</v>
      </c>
      <c r="H40" s="2">
        <v>3</v>
      </c>
      <c r="I40" s="2">
        <v>2</v>
      </c>
      <c r="J40" s="2">
        <v>4</v>
      </c>
      <c r="K40" s="2">
        <v>0</v>
      </c>
      <c r="L40" s="2">
        <v>1</v>
      </c>
      <c r="M40" s="2">
        <v>2</v>
      </c>
      <c r="N40" s="2">
        <v>0</v>
      </c>
      <c r="O40" s="2">
        <v>1</v>
      </c>
      <c r="P40" s="2">
        <v>1</v>
      </c>
      <c r="Q40" s="2">
        <v>5</v>
      </c>
      <c r="R40" s="2">
        <v>0</v>
      </c>
      <c r="S40" s="2">
        <v>1</v>
      </c>
      <c r="T40" s="2">
        <v>1</v>
      </c>
      <c r="U40" s="2">
        <v>1</v>
      </c>
      <c r="V40" s="2">
        <v>2</v>
      </c>
      <c r="W40" s="2">
        <v>3</v>
      </c>
      <c r="X40" s="2">
        <v>7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3">
        <f>SUM(C40:BF40)</f>
        <v>41</v>
      </c>
      <c r="CG40" s="53" t="s">
        <v>152</v>
      </c>
      <c r="CH40" s="53" t="s">
        <v>153</v>
      </c>
    </row>
    <row r="41" spans="1:16384" s="54" customFormat="1" x14ac:dyDescent="0.15">
      <c r="B41" s="54" t="s">
        <v>117</v>
      </c>
      <c r="C41" s="54">
        <f>SUM(C38:C40)</f>
        <v>131</v>
      </c>
      <c r="D41" s="54">
        <f t="shared" ref="D41:BE41" si="259">SUM(D38:D40)</f>
        <v>188</v>
      </c>
      <c r="E41" s="54">
        <f t="shared" si="259"/>
        <v>125</v>
      </c>
      <c r="F41" s="54">
        <f t="shared" si="259"/>
        <v>127</v>
      </c>
      <c r="G41" s="54">
        <f t="shared" si="259"/>
        <v>169</v>
      </c>
      <c r="H41" s="54">
        <f t="shared" si="259"/>
        <v>103</v>
      </c>
      <c r="I41" s="54">
        <f t="shared" si="259"/>
        <v>168</v>
      </c>
      <c r="J41" s="54">
        <f t="shared" si="259"/>
        <v>188</v>
      </c>
      <c r="K41" s="54">
        <f t="shared" si="259"/>
        <v>170</v>
      </c>
      <c r="L41" s="54">
        <f t="shared" si="259"/>
        <v>288</v>
      </c>
      <c r="M41" s="54">
        <f t="shared" si="259"/>
        <v>222</v>
      </c>
      <c r="N41" s="54">
        <f t="shared" si="259"/>
        <v>192</v>
      </c>
      <c r="O41" s="54">
        <f t="shared" si="259"/>
        <v>123</v>
      </c>
      <c r="P41" s="54">
        <f t="shared" si="259"/>
        <v>175</v>
      </c>
      <c r="Q41" s="54">
        <f t="shared" si="259"/>
        <v>192</v>
      </c>
      <c r="R41" s="54">
        <f t="shared" si="259"/>
        <v>203</v>
      </c>
      <c r="S41" s="54">
        <f t="shared" si="259"/>
        <v>126</v>
      </c>
      <c r="T41" s="54">
        <f t="shared" si="259"/>
        <v>169</v>
      </c>
      <c r="U41" s="54">
        <f t="shared" si="259"/>
        <v>149</v>
      </c>
      <c r="V41" s="54">
        <f t="shared" si="259"/>
        <v>124</v>
      </c>
      <c r="W41" s="54">
        <f t="shared" si="259"/>
        <v>196</v>
      </c>
      <c r="X41" s="54">
        <f t="shared" si="259"/>
        <v>201</v>
      </c>
      <c r="Y41" s="54">
        <f t="shared" si="259"/>
        <v>106</v>
      </c>
      <c r="Z41" s="54">
        <f t="shared" si="259"/>
        <v>0</v>
      </c>
      <c r="AA41" s="54">
        <f t="shared" si="259"/>
        <v>0</v>
      </c>
      <c r="AB41" s="54">
        <f t="shared" si="259"/>
        <v>0</v>
      </c>
      <c r="AC41" s="54">
        <f t="shared" si="259"/>
        <v>0</v>
      </c>
      <c r="AD41" s="54">
        <f t="shared" si="259"/>
        <v>0</v>
      </c>
      <c r="AE41" s="54">
        <f t="shared" si="259"/>
        <v>0</v>
      </c>
      <c r="AF41" s="54">
        <f t="shared" si="259"/>
        <v>0</v>
      </c>
      <c r="AG41" s="54">
        <f t="shared" si="259"/>
        <v>0</v>
      </c>
      <c r="AH41" s="54">
        <f t="shared" si="259"/>
        <v>0</v>
      </c>
      <c r="AI41" s="54">
        <f t="shared" si="259"/>
        <v>0</v>
      </c>
      <c r="AJ41" s="54">
        <f t="shared" si="259"/>
        <v>0</v>
      </c>
      <c r="AK41" s="54">
        <f t="shared" si="259"/>
        <v>0</v>
      </c>
      <c r="AL41" s="54">
        <f t="shared" si="259"/>
        <v>0</v>
      </c>
      <c r="AM41" s="54">
        <f t="shared" si="259"/>
        <v>0</v>
      </c>
      <c r="AN41" s="54">
        <f t="shared" si="259"/>
        <v>0</v>
      </c>
      <c r="AO41" s="54">
        <f t="shared" si="259"/>
        <v>0</v>
      </c>
      <c r="AP41" s="54">
        <f t="shared" si="259"/>
        <v>0</v>
      </c>
      <c r="AQ41" s="54">
        <f t="shared" si="259"/>
        <v>0</v>
      </c>
      <c r="AR41" s="54">
        <f t="shared" si="259"/>
        <v>0</v>
      </c>
      <c r="AS41" s="54">
        <f t="shared" si="259"/>
        <v>0</v>
      </c>
      <c r="AT41" s="54">
        <f t="shared" si="259"/>
        <v>0</v>
      </c>
      <c r="AU41" s="54">
        <f t="shared" si="259"/>
        <v>0</v>
      </c>
      <c r="AV41" s="54">
        <f t="shared" si="259"/>
        <v>0</v>
      </c>
      <c r="AW41" s="54">
        <f t="shared" si="259"/>
        <v>0</v>
      </c>
      <c r="AX41" s="54">
        <f t="shared" si="259"/>
        <v>0</v>
      </c>
      <c r="AY41" s="54">
        <f t="shared" si="259"/>
        <v>0</v>
      </c>
      <c r="AZ41" s="54">
        <f t="shared" si="259"/>
        <v>0</v>
      </c>
      <c r="BA41" s="54">
        <f t="shared" si="259"/>
        <v>0</v>
      </c>
      <c r="BB41" s="54">
        <f t="shared" si="259"/>
        <v>0</v>
      </c>
      <c r="BC41" s="54">
        <f t="shared" si="259"/>
        <v>0</v>
      </c>
      <c r="BD41" s="54">
        <f t="shared" si="259"/>
        <v>0</v>
      </c>
      <c r="BE41" s="54">
        <f t="shared" si="259"/>
        <v>0</v>
      </c>
      <c r="CE41" s="54">
        <f>SUM(C41:BF41)</f>
        <v>3835</v>
      </c>
      <c r="CG41" s="54">
        <f>MAX(C41:CB41)</f>
        <v>288</v>
      </c>
      <c r="CH41" s="54">
        <f t="array" ref="CH41">MIN(IF(C41:CB41&gt;0,C41:CB41,9999))</f>
        <v>103</v>
      </c>
      <c r="CN41" s="59"/>
    </row>
    <row r="42" spans="1:16384" x14ac:dyDescent="0.15">
      <c r="B42" s="2" t="s">
        <v>32</v>
      </c>
      <c r="C42" s="2">
        <f t="shared" ref="C42:AH42" si="260">BowlSplit(C5:C36,OversBowled)</f>
        <v>37.200000000000003</v>
      </c>
      <c r="D42" s="2">
        <f t="shared" si="260"/>
        <v>35</v>
      </c>
      <c r="E42" s="2">
        <f t="shared" si="260"/>
        <v>38</v>
      </c>
      <c r="F42" s="2">
        <f t="shared" si="260"/>
        <v>34.1</v>
      </c>
      <c r="G42" s="2">
        <f t="shared" si="260"/>
        <v>35</v>
      </c>
      <c r="H42" s="2">
        <f t="shared" si="260"/>
        <v>30.1</v>
      </c>
      <c r="I42" s="2">
        <f t="shared" si="260"/>
        <v>35</v>
      </c>
      <c r="J42" s="2">
        <f t="shared" si="260"/>
        <v>26.2</v>
      </c>
      <c r="K42" s="2">
        <f t="shared" si="260"/>
        <v>40</v>
      </c>
      <c r="L42" s="2">
        <f t="shared" si="260"/>
        <v>34.5</v>
      </c>
      <c r="M42" s="2">
        <f t="shared" si="260"/>
        <v>40</v>
      </c>
      <c r="N42" s="2">
        <f t="shared" si="260"/>
        <v>40</v>
      </c>
      <c r="O42" s="2">
        <f t="shared" si="260"/>
        <v>37</v>
      </c>
      <c r="P42" s="2">
        <f t="shared" si="260"/>
        <v>40</v>
      </c>
      <c r="Q42" s="2">
        <f t="shared" si="260"/>
        <v>37</v>
      </c>
      <c r="R42" s="2">
        <f t="shared" si="260"/>
        <v>40</v>
      </c>
      <c r="S42" s="2">
        <f t="shared" si="260"/>
        <v>29.5</v>
      </c>
      <c r="T42" s="2">
        <f t="shared" si="260"/>
        <v>40</v>
      </c>
      <c r="U42" s="2">
        <f t="shared" si="260"/>
        <v>35</v>
      </c>
      <c r="V42" s="2">
        <f t="shared" si="260"/>
        <v>25.1</v>
      </c>
      <c r="W42" s="2">
        <f t="shared" si="260"/>
        <v>40</v>
      </c>
      <c r="X42" s="2">
        <f t="shared" si="260"/>
        <v>40</v>
      </c>
      <c r="Y42" s="2">
        <f t="shared" si="260"/>
        <v>38.200000000000003</v>
      </c>
      <c r="Z42" s="2">
        <f t="shared" si="260"/>
        <v>0</v>
      </c>
      <c r="AA42" s="2">
        <f t="shared" si="260"/>
        <v>0</v>
      </c>
      <c r="AB42" s="2">
        <f t="shared" si="260"/>
        <v>0</v>
      </c>
      <c r="AC42" s="2">
        <f t="shared" si="260"/>
        <v>0</v>
      </c>
      <c r="AD42" s="2">
        <f t="shared" si="260"/>
        <v>0</v>
      </c>
      <c r="AE42" s="2">
        <f t="shared" si="260"/>
        <v>0</v>
      </c>
      <c r="AF42" s="2">
        <f t="shared" si="260"/>
        <v>0</v>
      </c>
      <c r="AG42" s="2">
        <f t="shared" si="260"/>
        <v>0</v>
      </c>
      <c r="AH42" s="2">
        <f t="shared" si="260"/>
        <v>0</v>
      </c>
      <c r="AI42" s="2">
        <f t="shared" ref="AI42:BF42" si="261">BowlSplit(AI5:AI36,OversBowled)</f>
        <v>0</v>
      </c>
      <c r="AJ42" s="2">
        <f t="shared" si="261"/>
        <v>0</v>
      </c>
      <c r="AK42" s="2">
        <f t="shared" si="261"/>
        <v>0</v>
      </c>
      <c r="AL42" s="2">
        <f t="shared" si="261"/>
        <v>0</v>
      </c>
      <c r="AM42" s="2">
        <f t="shared" si="261"/>
        <v>0</v>
      </c>
      <c r="AN42" s="2">
        <f t="shared" si="261"/>
        <v>0</v>
      </c>
      <c r="AO42" s="2">
        <f t="shared" si="261"/>
        <v>0</v>
      </c>
      <c r="AP42" s="2">
        <f t="shared" si="261"/>
        <v>0</v>
      </c>
      <c r="AQ42" s="2">
        <f t="shared" si="261"/>
        <v>0</v>
      </c>
      <c r="AR42" s="2">
        <f t="shared" si="261"/>
        <v>0</v>
      </c>
      <c r="AS42" s="2">
        <f t="shared" si="261"/>
        <v>0</v>
      </c>
      <c r="AT42" s="2">
        <f t="shared" si="261"/>
        <v>0</v>
      </c>
      <c r="AU42" s="2">
        <f t="shared" si="261"/>
        <v>0</v>
      </c>
      <c r="AV42" s="2">
        <f t="shared" si="261"/>
        <v>0</v>
      </c>
      <c r="AW42" s="2">
        <f t="shared" si="261"/>
        <v>0</v>
      </c>
      <c r="AX42" s="2">
        <f t="shared" si="261"/>
        <v>0</v>
      </c>
      <c r="AY42" s="2">
        <f t="shared" si="261"/>
        <v>0</v>
      </c>
      <c r="AZ42" s="2">
        <f t="shared" si="261"/>
        <v>0</v>
      </c>
      <c r="BA42" s="2">
        <f t="shared" si="261"/>
        <v>0</v>
      </c>
      <c r="BB42" s="2">
        <f t="shared" si="261"/>
        <v>0</v>
      </c>
      <c r="BC42" s="2">
        <f t="shared" si="261"/>
        <v>0</v>
      </c>
      <c r="BD42" s="2">
        <f t="shared" si="261"/>
        <v>0</v>
      </c>
      <c r="BE42" s="2">
        <f t="shared" si="261"/>
        <v>0</v>
      </c>
      <c r="BF42" s="2">
        <f t="shared" si="261"/>
        <v>0</v>
      </c>
      <c r="CE42" s="53">
        <f>MAX(C42:CC42)</f>
        <v>40</v>
      </c>
    </row>
    <row r="43" spans="1:16384" x14ac:dyDescent="0.15">
      <c r="B43" s="2" t="s">
        <v>31</v>
      </c>
      <c r="C43" s="2">
        <f t="shared" ref="C43:N43" si="262">BowlSplit(C5:C36,BallsBowled)</f>
        <v>224</v>
      </c>
      <c r="D43" s="2">
        <f t="shared" si="262"/>
        <v>210</v>
      </c>
      <c r="E43" s="2">
        <f t="shared" si="262"/>
        <v>228</v>
      </c>
      <c r="F43" s="2">
        <f t="shared" si="262"/>
        <v>205</v>
      </c>
      <c r="G43" s="2">
        <f t="shared" si="262"/>
        <v>210</v>
      </c>
      <c r="H43" s="2">
        <f t="shared" si="262"/>
        <v>181</v>
      </c>
      <c r="I43" s="2">
        <f t="shared" si="262"/>
        <v>210</v>
      </c>
      <c r="J43" s="2">
        <f t="shared" si="262"/>
        <v>158</v>
      </c>
      <c r="K43" s="2">
        <f t="shared" si="262"/>
        <v>240</v>
      </c>
      <c r="L43" s="2">
        <f t="shared" si="262"/>
        <v>209</v>
      </c>
      <c r="M43" s="2">
        <f t="shared" si="262"/>
        <v>240</v>
      </c>
      <c r="N43" s="2">
        <f t="shared" si="262"/>
        <v>240</v>
      </c>
      <c r="O43" s="2">
        <f>BowlSplit(T5:T36,BallsBowled)</f>
        <v>240</v>
      </c>
      <c r="P43" s="2">
        <f t="shared" ref="P43:BF43" si="263">BowlSplit(P5:P36,BallsBowled)</f>
        <v>240</v>
      </c>
      <c r="Q43" s="2">
        <f t="shared" si="263"/>
        <v>222</v>
      </c>
      <c r="R43" s="2">
        <f t="shared" si="263"/>
        <v>240</v>
      </c>
      <c r="S43" s="2">
        <f t="shared" si="263"/>
        <v>179</v>
      </c>
      <c r="T43" s="2">
        <f t="shared" si="263"/>
        <v>240</v>
      </c>
      <c r="U43" s="2">
        <f t="shared" si="263"/>
        <v>210</v>
      </c>
      <c r="V43" s="2">
        <f t="shared" si="263"/>
        <v>151</v>
      </c>
      <c r="W43" s="2">
        <f t="shared" si="263"/>
        <v>240</v>
      </c>
      <c r="X43" s="2">
        <f t="shared" si="263"/>
        <v>240</v>
      </c>
      <c r="Y43" s="2">
        <f t="shared" si="263"/>
        <v>230</v>
      </c>
      <c r="Z43" s="2">
        <f t="shared" si="263"/>
        <v>0</v>
      </c>
      <c r="AA43" s="2">
        <f t="shared" si="263"/>
        <v>0</v>
      </c>
      <c r="AB43" s="2">
        <f t="shared" si="263"/>
        <v>0</v>
      </c>
      <c r="AC43" s="2">
        <f t="shared" si="263"/>
        <v>0</v>
      </c>
      <c r="AD43" s="2">
        <f t="shared" si="263"/>
        <v>0</v>
      </c>
      <c r="AE43" s="2">
        <f t="shared" si="263"/>
        <v>0</v>
      </c>
      <c r="AF43" s="2">
        <f t="shared" si="263"/>
        <v>0</v>
      </c>
      <c r="AG43" s="2">
        <f t="shared" si="263"/>
        <v>0</v>
      </c>
      <c r="AH43" s="2">
        <f t="shared" si="263"/>
        <v>0</v>
      </c>
      <c r="AI43" s="2">
        <f t="shared" si="263"/>
        <v>0</v>
      </c>
      <c r="AJ43" s="2">
        <f t="shared" si="263"/>
        <v>0</v>
      </c>
      <c r="AK43" s="2">
        <f t="shared" si="263"/>
        <v>0</v>
      </c>
      <c r="AL43" s="2">
        <f t="shared" si="263"/>
        <v>0</v>
      </c>
      <c r="AM43" s="2">
        <f t="shared" si="263"/>
        <v>0</v>
      </c>
      <c r="AN43" s="2">
        <f t="shared" si="263"/>
        <v>0</v>
      </c>
      <c r="AO43" s="2">
        <f t="shared" si="263"/>
        <v>0</v>
      </c>
      <c r="AP43" s="2">
        <f t="shared" si="263"/>
        <v>0</v>
      </c>
      <c r="AQ43" s="2">
        <f t="shared" si="263"/>
        <v>0</v>
      </c>
      <c r="AR43" s="2">
        <f t="shared" si="263"/>
        <v>0</v>
      </c>
      <c r="AS43" s="2">
        <f t="shared" si="263"/>
        <v>0</v>
      </c>
      <c r="AT43" s="2">
        <f t="shared" si="263"/>
        <v>0</v>
      </c>
      <c r="AU43" s="2">
        <f t="shared" si="263"/>
        <v>0</v>
      </c>
      <c r="AV43" s="2">
        <f t="shared" si="263"/>
        <v>0</v>
      </c>
      <c r="AW43" s="2">
        <f t="shared" si="263"/>
        <v>0</v>
      </c>
      <c r="AX43" s="2">
        <f t="shared" si="263"/>
        <v>0</v>
      </c>
      <c r="AY43" s="2">
        <f t="shared" si="263"/>
        <v>0</v>
      </c>
      <c r="AZ43" s="2">
        <f t="shared" si="263"/>
        <v>0</v>
      </c>
      <c r="BA43" s="2">
        <f t="shared" si="263"/>
        <v>0</v>
      </c>
      <c r="BB43" s="2">
        <f t="shared" si="263"/>
        <v>0</v>
      </c>
      <c r="BC43" s="2">
        <f t="shared" si="263"/>
        <v>0</v>
      </c>
      <c r="BD43" s="2">
        <f t="shared" si="263"/>
        <v>0</v>
      </c>
      <c r="BE43" s="2">
        <f t="shared" si="263"/>
        <v>0</v>
      </c>
      <c r="BF43" s="2">
        <f t="shared" si="263"/>
        <v>0</v>
      </c>
      <c r="CE43" s="53">
        <f>SUM(C43:BF43)</f>
        <v>4987</v>
      </c>
      <c r="CF43" s="53">
        <f>INT(CE43/6)</f>
        <v>831</v>
      </c>
      <c r="CG43" s="53">
        <f>CE43-CF43*6</f>
        <v>1</v>
      </c>
      <c r="CH43" s="53">
        <f>CF43+CG43/10</f>
        <v>831.1</v>
      </c>
    </row>
    <row r="44" spans="1:16384" x14ac:dyDescent="0.15">
      <c r="B44" s="2" t="s">
        <v>160</v>
      </c>
      <c r="C44" s="2">
        <f t="array" ref="C44:CC44">TRANSPOSE(Matches!P5:P59)</f>
        <v>37.200000000000003</v>
      </c>
      <c r="D44" s="2">
        <v>35</v>
      </c>
      <c r="E44" s="2">
        <v>39</v>
      </c>
      <c r="F44" s="2">
        <v>34.1</v>
      </c>
      <c r="G44" s="2">
        <v>35</v>
      </c>
      <c r="H44" s="2">
        <v>30.1</v>
      </c>
      <c r="I44" s="2">
        <v>35</v>
      </c>
      <c r="J44" s="2">
        <v>26.2</v>
      </c>
      <c r="K44" s="2">
        <v>40</v>
      </c>
      <c r="L44" s="2">
        <v>34.5</v>
      </c>
      <c r="M44" s="2">
        <v>40</v>
      </c>
      <c r="N44" s="2">
        <v>40</v>
      </c>
      <c r="O44" s="2">
        <v>37</v>
      </c>
      <c r="P44" s="2">
        <v>40</v>
      </c>
      <c r="Q44" s="2">
        <v>37</v>
      </c>
      <c r="R44" s="2">
        <v>40</v>
      </c>
      <c r="S44" s="2">
        <v>29.5</v>
      </c>
      <c r="T44" s="2">
        <v>40</v>
      </c>
      <c r="U44" s="2">
        <v>35</v>
      </c>
      <c r="V44" s="2">
        <v>32.1</v>
      </c>
      <c r="W44" s="2">
        <v>40</v>
      </c>
      <c r="X44" s="2">
        <v>40</v>
      </c>
      <c r="Y44" s="2">
        <v>36.200000000000003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6" spans="1:16384" x14ac:dyDescent="0.15">
      <c r="B46" s="2">
        <f>MAX(C46:X78)</f>
        <v>66</v>
      </c>
      <c r="C46" s="2">
        <f t="shared" ref="C46:X46" si="264">BowlSplit(C5,RunsConceded)</f>
        <v>0</v>
      </c>
      <c r="D46" s="2">
        <f t="shared" si="264"/>
        <v>0</v>
      </c>
      <c r="E46" s="2">
        <f t="shared" si="264"/>
        <v>0</v>
      </c>
      <c r="F46" s="2">
        <f t="shared" si="264"/>
        <v>0</v>
      </c>
      <c r="G46" s="2">
        <f t="shared" si="264"/>
        <v>0</v>
      </c>
      <c r="H46" s="2">
        <f t="shared" si="264"/>
        <v>9</v>
      </c>
      <c r="I46" s="2">
        <f t="shared" si="264"/>
        <v>0</v>
      </c>
      <c r="J46" s="2">
        <f t="shared" si="264"/>
        <v>0</v>
      </c>
      <c r="K46" s="2">
        <f t="shared" si="264"/>
        <v>0</v>
      </c>
      <c r="L46" s="2">
        <f t="shared" si="264"/>
        <v>0</v>
      </c>
      <c r="M46" s="2">
        <f t="shared" si="264"/>
        <v>0</v>
      </c>
      <c r="N46" s="2">
        <f t="shared" si="264"/>
        <v>0</v>
      </c>
      <c r="O46" s="2">
        <f t="shared" si="264"/>
        <v>0</v>
      </c>
      <c r="P46" s="2">
        <f t="shared" si="264"/>
        <v>0</v>
      </c>
      <c r="Q46" s="2">
        <f t="shared" si="264"/>
        <v>0</v>
      </c>
      <c r="R46" s="2">
        <f t="shared" si="264"/>
        <v>0</v>
      </c>
      <c r="S46" s="2">
        <f t="shared" si="264"/>
        <v>0</v>
      </c>
      <c r="T46" s="2">
        <f t="shared" si="264"/>
        <v>0</v>
      </c>
      <c r="U46" s="2">
        <f t="shared" si="264"/>
        <v>0</v>
      </c>
      <c r="V46" s="2">
        <f t="shared" si="264"/>
        <v>0</v>
      </c>
      <c r="W46" s="2">
        <f t="shared" si="264"/>
        <v>0</v>
      </c>
      <c r="X46" s="2">
        <f t="shared" si="264"/>
        <v>0</v>
      </c>
    </row>
    <row r="47" spans="1:16384" x14ac:dyDescent="0.15">
      <c r="C47" s="2">
        <f t="shared" ref="C47:X47" si="265">BowlSplit(C6,RunsConceded)</f>
        <v>20</v>
      </c>
      <c r="D47" s="2">
        <f t="shared" si="265"/>
        <v>20</v>
      </c>
      <c r="E47" s="2">
        <f t="shared" si="265"/>
        <v>0</v>
      </c>
      <c r="F47" s="2">
        <f t="shared" si="265"/>
        <v>10</v>
      </c>
      <c r="G47" s="2">
        <f t="shared" si="265"/>
        <v>29</v>
      </c>
      <c r="H47" s="2">
        <f t="shared" si="265"/>
        <v>11</v>
      </c>
      <c r="I47" s="2">
        <f t="shared" si="265"/>
        <v>0</v>
      </c>
      <c r="J47" s="2">
        <f t="shared" si="265"/>
        <v>16</v>
      </c>
      <c r="K47" s="2">
        <f t="shared" si="265"/>
        <v>20</v>
      </c>
      <c r="L47" s="2">
        <f t="shared" si="265"/>
        <v>43</v>
      </c>
      <c r="M47" s="2">
        <f t="shared" si="265"/>
        <v>23</v>
      </c>
      <c r="N47" s="2">
        <f t="shared" si="265"/>
        <v>29</v>
      </c>
      <c r="O47" s="2">
        <f t="shared" si="265"/>
        <v>0</v>
      </c>
      <c r="P47" s="2">
        <f t="shared" si="265"/>
        <v>21</v>
      </c>
      <c r="Q47" s="2">
        <f t="shared" si="265"/>
        <v>0</v>
      </c>
      <c r="R47" s="2">
        <f t="shared" si="265"/>
        <v>21</v>
      </c>
      <c r="S47" s="2">
        <f t="shared" si="265"/>
        <v>0</v>
      </c>
      <c r="T47" s="2">
        <f t="shared" si="265"/>
        <v>34</v>
      </c>
      <c r="U47" s="2">
        <f t="shared" si="265"/>
        <v>21</v>
      </c>
      <c r="V47" s="2">
        <f t="shared" si="265"/>
        <v>16</v>
      </c>
      <c r="W47" s="2">
        <f t="shared" si="265"/>
        <v>0</v>
      </c>
      <c r="X47" s="2">
        <f t="shared" si="265"/>
        <v>0</v>
      </c>
    </row>
    <row r="48" spans="1:16384" x14ac:dyDescent="0.15">
      <c r="C48" s="2">
        <f t="shared" ref="C48:X48" si="266">BowlSplit(C7,RunsConceded)</f>
        <v>0</v>
      </c>
      <c r="D48" s="2">
        <f t="shared" si="266"/>
        <v>25</v>
      </c>
      <c r="E48" s="2">
        <f t="shared" si="266"/>
        <v>0</v>
      </c>
      <c r="F48" s="2">
        <f t="shared" si="266"/>
        <v>0</v>
      </c>
      <c r="G48" s="2">
        <f t="shared" si="266"/>
        <v>0</v>
      </c>
      <c r="H48" s="2">
        <f t="shared" si="266"/>
        <v>0</v>
      </c>
      <c r="I48" s="2">
        <f t="shared" si="266"/>
        <v>0</v>
      </c>
      <c r="J48" s="2">
        <f t="shared" si="266"/>
        <v>0</v>
      </c>
      <c r="K48" s="2">
        <f t="shared" si="266"/>
        <v>0</v>
      </c>
      <c r="L48" s="2">
        <f t="shared" si="266"/>
        <v>0</v>
      </c>
      <c r="M48" s="2">
        <f t="shared" si="266"/>
        <v>0</v>
      </c>
      <c r="N48" s="2">
        <f t="shared" si="266"/>
        <v>0</v>
      </c>
      <c r="O48" s="2">
        <f t="shared" si="266"/>
        <v>0</v>
      </c>
      <c r="P48" s="2">
        <f t="shared" si="266"/>
        <v>0</v>
      </c>
      <c r="Q48" s="2">
        <f t="shared" si="266"/>
        <v>0</v>
      </c>
      <c r="R48" s="2">
        <f t="shared" si="266"/>
        <v>0</v>
      </c>
      <c r="S48" s="2">
        <f t="shared" si="266"/>
        <v>0</v>
      </c>
      <c r="T48" s="2">
        <f t="shared" si="266"/>
        <v>0</v>
      </c>
      <c r="U48" s="2">
        <f t="shared" si="266"/>
        <v>0</v>
      </c>
      <c r="V48" s="2">
        <f t="shared" si="266"/>
        <v>0</v>
      </c>
      <c r="W48" s="2">
        <f t="shared" si="266"/>
        <v>25</v>
      </c>
      <c r="X48" s="2">
        <f t="shared" si="266"/>
        <v>20</v>
      </c>
    </row>
    <row r="49" spans="3:24" x14ac:dyDescent="0.15">
      <c r="C49" s="2">
        <f t="shared" ref="C49:X49" si="267">BowlSplit(C8,RunsConceded)</f>
        <v>20</v>
      </c>
      <c r="D49" s="2">
        <f t="shared" si="267"/>
        <v>21</v>
      </c>
      <c r="E49" s="2">
        <f t="shared" si="267"/>
        <v>24</v>
      </c>
      <c r="F49" s="2">
        <f t="shared" si="267"/>
        <v>0</v>
      </c>
      <c r="G49" s="2">
        <f t="shared" si="267"/>
        <v>18</v>
      </c>
      <c r="H49" s="2">
        <f t="shared" si="267"/>
        <v>7</v>
      </c>
      <c r="I49" s="2">
        <f t="shared" si="267"/>
        <v>25</v>
      </c>
      <c r="J49" s="2">
        <f t="shared" si="267"/>
        <v>0</v>
      </c>
      <c r="K49" s="2">
        <f t="shared" si="267"/>
        <v>13</v>
      </c>
      <c r="L49" s="2">
        <f t="shared" si="267"/>
        <v>0</v>
      </c>
      <c r="M49" s="2">
        <f t="shared" si="267"/>
        <v>0</v>
      </c>
      <c r="N49" s="2">
        <f t="shared" si="267"/>
        <v>0</v>
      </c>
      <c r="O49" s="2">
        <f t="shared" si="267"/>
        <v>0</v>
      </c>
      <c r="P49" s="2">
        <f t="shared" si="267"/>
        <v>0</v>
      </c>
      <c r="Q49" s="2">
        <f t="shared" si="267"/>
        <v>0</v>
      </c>
      <c r="R49" s="2">
        <f t="shared" si="267"/>
        <v>0</v>
      </c>
      <c r="S49" s="2">
        <f t="shared" si="267"/>
        <v>0</v>
      </c>
      <c r="T49" s="2">
        <f t="shared" si="267"/>
        <v>0</v>
      </c>
      <c r="U49" s="2">
        <f t="shared" si="267"/>
        <v>0</v>
      </c>
      <c r="V49" s="2">
        <f t="shared" si="267"/>
        <v>0</v>
      </c>
      <c r="W49" s="2">
        <f t="shared" si="267"/>
        <v>0</v>
      </c>
      <c r="X49" s="2">
        <f t="shared" si="267"/>
        <v>0</v>
      </c>
    </row>
    <row r="50" spans="3:24" x14ac:dyDescent="0.15">
      <c r="C50" s="2">
        <f t="shared" ref="C50:X50" si="268">BowlSplit(C9,RunsConceded)</f>
        <v>0</v>
      </c>
      <c r="D50" s="2">
        <f t="shared" si="268"/>
        <v>0</v>
      </c>
      <c r="E50" s="2">
        <f t="shared" si="268"/>
        <v>0</v>
      </c>
      <c r="F50" s="2">
        <f t="shared" si="268"/>
        <v>0</v>
      </c>
      <c r="G50" s="2">
        <f t="shared" si="268"/>
        <v>0</v>
      </c>
      <c r="H50" s="2">
        <f t="shared" si="268"/>
        <v>0</v>
      </c>
      <c r="I50" s="2">
        <f t="shared" si="268"/>
        <v>0</v>
      </c>
      <c r="J50" s="2">
        <f t="shared" si="268"/>
        <v>0</v>
      </c>
      <c r="K50" s="2">
        <f t="shared" si="268"/>
        <v>0</v>
      </c>
      <c r="L50" s="2">
        <f t="shared" si="268"/>
        <v>0</v>
      </c>
      <c r="M50" s="2">
        <f t="shared" si="268"/>
        <v>0</v>
      </c>
      <c r="N50" s="2">
        <f t="shared" si="268"/>
        <v>0</v>
      </c>
      <c r="O50" s="2">
        <f t="shared" si="268"/>
        <v>40</v>
      </c>
      <c r="P50" s="2">
        <f t="shared" si="268"/>
        <v>10</v>
      </c>
      <c r="Q50" s="2">
        <f t="shared" si="268"/>
        <v>18</v>
      </c>
      <c r="R50" s="2">
        <f t="shared" si="268"/>
        <v>0</v>
      </c>
      <c r="S50" s="2">
        <f t="shared" si="268"/>
        <v>0</v>
      </c>
      <c r="T50" s="2">
        <f t="shared" si="268"/>
        <v>0</v>
      </c>
      <c r="U50" s="2">
        <f t="shared" si="268"/>
        <v>0</v>
      </c>
      <c r="V50" s="2">
        <f t="shared" si="268"/>
        <v>0</v>
      </c>
      <c r="W50" s="2">
        <f t="shared" si="268"/>
        <v>0</v>
      </c>
      <c r="X50" s="2">
        <f t="shared" si="268"/>
        <v>0</v>
      </c>
    </row>
    <row r="51" spans="3:24" x14ac:dyDescent="0.15">
      <c r="C51" s="2">
        <f t="shared" ref="C51:X51" si="269">BowlSplit(C10,RunsConceded)</f>
        <v>0</v>
      </c>
      <c r="D51" s="2">
        <f t="shared" si="269"/>
        <v>0</v>
      </c>
      <c r="E51" s="2">
        <f t="shared" si="269"/>
        <v>0</v>
      </c>
      <c r="F51" s="2">
        <f t="shared" si="269"/>
        <v>0</v>
      </c>
      <c r="G51" s="2">
        <f t="shared" si="269"/>
        <v>0</v>
      </c>
      <c r="H51" s="2">
        <f t="shared" si="269"/>
        <v>0</v>
      </c>
      <c r="I51" s="2">
        <f t="shared" si="269"/>
        <v>0</v>
      </c>
      <c r="J51" s="2">
        <f t="shared" si="269"/>
        <v>0</v>
      </c>
      <c r="K51" s="2">
        <f t="shared" si="269"/>
        <v>0</v>
      </c>
      <c r="L51" s="2">
        <f t="shared" si="269"/>
        <v>0</v>
      </c>
      <c r="M51" s="2">
        <f t="shared" si="269"/>
        <v>0</v>
      </c>
      <c r="N51" s="2">
        <f t="shared" si="269"/>
        <v>41</v>
      </c>
      <c r="O51" s="2">
        <f t="shared" si="269"/>
        <v>0</v>
      </c>
      <c r="P51" s="2">
        <f t="shared" si="269"/>
        <v>18</v>
      </c>
      <c r="Q51" s="2">
        <f t="shared" si="269"/>
        <v>0</v>
      </c>
      <c r="R51" s="2">
        <f t="shared" si="269"/>
        <v>0</v>
      </c>
      <c r="S51" s="2">
        <f t="shared" si="269"/>
        <v>0</v>
      </c>
      <c r="T51" s="2">
        <f t="shared" si="269"/>
        <v>0</v>
      </c>
      <c r="U51" s="2">
        <f t="shared" si="269"/>
        <v>0</v>
      </c>
      <c r="V51" s="2">
        <f t="shared" si="269"/>
        <v>0</v>
      </c>
      <c r="W51" s="2">
        <f t="shared" si="269"/>
        <v>0</v>
      </c>
      <c r="X51" s="2">
        <f t="shared" si="269"/>
        <v>0</v>
      </c>
    </row>
    <row r="52" spans="3:24" x14ac:dyDescent="0.15">
      <c r="C52" s="2">
        <f t="shared" ref="C52:X52" si="270">BowlSplit(C11,RunsConceded)</f>
        <v>0</v>
      </c>
      <c r="D52" s="2">
        <f t="shared" si="270"/>
        <v>0</v>
      </c>
      <c r="E52" s="2">
        <f t="shared" si="270"/>
        <v>0</v>
      </c>
      <c r="F52" s="2">
        <f t="shared" si="270"/>
        <v>0</v>
      </c>
      <c r="G52" s="2">
        <f t="shared" si="270"/>
        <v>0</v>
      </c>
      <c r="H52" s="2">
        <f t="shared" si="270"/>
        <v>0</v>
      </c>
      <c r="I52" s="2">
        <f t="shared" si="270"/>
        <v>0</v>
      </c>
      <c r="J52" s="2">
        <f t="shared" si="270"/>
        <v>0</v>
      </c>
      <c r="K52" s="2">
        <f t="shared" si="270"/>
        <v>0</v>
      </c>
      <c r="L52" s="2">
        <f t="shared" si="270"/>
        <v>0</v>
      </c>
      <c r="M52" s="2">
        <f t="shared" si="270"/>
        <v>0</v>
      </c>
      <c r="N52" s="2">
        <f t="shared" si="270"/>
        <v>0</v>
      </c>
      <c r="O52" s="2">
        <f t="shared" si="270"/>
        <v>0</v>
      </c>
      <c r="P52" s="2">
        <f t="shared" si="270"/>
        <v>0</v>
      </c>
      <c r="Q52" s="2">
        <f t="shared" si="270"/>
        <v>0</v>
      </c>
      <c r="R52" s="2">
        <f t="shared" si="270"/>
        <v>0</v>
      </c>
      <c r="S52" s="2">
        <f t="shared" si="270"/>
        <v>0</v>
      </c>
      <c r="T52" s="2">
        <f t="shared" si="270"/>
        <v>17</v>
      </c>
      <c r="U52" s="2">
        <f t="shared" si="270"/>
        <v>0</v>
      </c>
      <c r="V52" s="2">
        <f t="shared" si="270"/>
        <v>0</v>
      </c>
      <c r="W52" s="2">
        <f t="shared" si="270"/>
        <v>0</v>
      </c>
      <c r="X52" s="2">
        <f t="shared" si="270"/>
        <v>0</v>
      </c>
    </row>
    <row r="53" spans="3:24" x14ac:dyDescent="0.15">
      <c r="C53" s="2">
        <f t="shared" ref="C53:X53" si="271">BowlSplit(C12,RunsConceded)</f>
        <v>0</v>
      </c>
      <c r="D53" s="2">
        <f t="shared" si="271"/>
        <v>0</v>
      </c>
      <c r="E53" s="2">
        <f t="shared" si="271"/>
        <v>0</v>
      </c>
      <c r="F53" s="2">
        <f t="shared" si="271"/>
        <v>0</v>
      </c>
      <c r="G53" s="2">
        <f t="shared" si="271"/>
        <v>0</v>
      </c>
      <c r="H53" s="2">
        <f t="shared" si="271"/>
        <v>0</v>
      </c>
      <c r="I53" s="2">
        <f t="shared" si="271"/>
        <v>0</v>
      </c>
      <c r="J53" s="2">
        <f t="shared" si="271"/>
        <v>28</v>
      </c>
      <c r="K53" s="2">
        <f t="shared" si="271"/>
        <v>0</v>
      </c>
      <c r="L53" s="2">
        <f t="shared" si="271"/>
        <v>0</v>
      </c>
      <c r="M53" s="2">
        <f t="shared" si="271"/>
        <v>0</v>
      </c>
      <c r="N53" s="2">
        <f t="shared" si="271"/>
        <v>0</v>
      </c>
      <c r="O53" s="2">
        <f t="shared" si="271"/>
        <v>0</v>
      </c>
      <c r="P53" s="2">
        <f t="shared" si="271"/>
        <v>0</v>
      </c>
      <c r="Q53" s="2">
        <f t="shared" si="271"/>
        <v>0</v>
      </c>
      <c r="R53" s="2">
        <f t="shared" si="271"/>
        <v>0</v>
      </c>
      <c r="S53" s="2">
        <f t="shared" si="271"/>
        <v>0</v>
      </c>
      <c r="T53" s="2">
        <f t="shared" si="271"/>
        <v>0</v>
      </c>
      <c r="U53" s="2">
        <f t="shared" si="271"/>
        <v>0</v>
      </c>
      <c r="V53" s="2">
        <f t="shared" si="271"/>
        <v>0</v>
      </c>
      <c r="W53" s="2">
        <f t="shared" si="271"/>
        <v>0</v>
      </c>
      <c r="X53" s="2">
        <f t="shared" si="271"/>
        <v>0</v>
      </c>
    </row>
    <row r="54" spans="3:24" x14ac:dyDescent="0.15">
      <c r="C54" s="2">
        <f t="shared" ref="C54:X54" si="272">BowlSplit(C13,RunsConceded)</f>
        <v>0</v>
      </c>
      <c r="D54" s="2">
        <f t="shared" si="272"/>
        <v>0</v>
      </c>
      <c r="E54" s="2">
        <f t="shared" si="272"/>
        <v>0</v>
      </c>
      <c r="F54" s="2">
        <f t="shared" si="272"/>
        <v>0</v>
      </c>
      <c r="G54" s="2">
        <f t="shared" si="272"/>
        <v>0</v>
      </c>
      <c r="H54" s="2">
        <f t="shared" si="272"/>
        <v>0</v>
      </c>
      <c r="I54" s="2">
        <f t="shared" si="272"/>
        <v>0</v>
      </c>
      <c r="J54" s="2">
        <f t="shared" si="272"/>
        <v>0</v>
      </c>
      <c r="K54" s="2">
        <f t="shared" si="272"/>
        <v>0</v>
      </c>
      <c r="L54" s="2">
        <f t="shared" si="272"/>
        <v>0</v>
      </c>
      <c r="M54" s="2">
        <f t="shared" si="272"/>
        <v>0</v>
      </c>
      <c r="N54" s="2">
        <f t="shared" si="272"/>
        <v>28</v>
      </c>
      <c r="O54" s="2">
        <f t="shared" si="272"/>
        <v>0</v>
      </c>
      <c r="P54" s="2">
        <f t="shared" si="272"/>
        <v>0</v>
      </c>
      <c r="Q54" s="2">
        <f t="shared" si="272"/>
        <v>0</v>
      </c>
      <c r="R54" s="2">
        <f t="shared" si="272"/>
        <v>0</v>
      </c>
      <c r="S54" s="2">
        <f t="shared" si="272"/>
        <v>0</v>
      </c>
      <c r="T54" s="2">
        <f t="shared" si="272"/>
        <v>0</v>
      </c>
      <c r="U54" s="2">
        <f t="shared" si="272"/>
        <v>0</v>
      </c>
      <c r="V54" s="2">
        <f t="shared" si="272"/>
        <v>0</v>
      </c>
      <c r="W54" s="2">
        <f t="shared" si="272"/>
        <v>0</v>
      </c>
      <c r="X54" s="2">
        <f t="shared" si="272"/>
        <v>0</v>
      </c>
    </row>
    <row r="55" spans="3:24" x14ac:dyDescent="0.15">
      <c r="C55" s="2">
        <f t="shared" ref="C55:X55" si="273">BowlSplit(C14,RunsConceded)</f>
        <v>0</v>
      </c>
      <c r="D55" s="2">
        <f t="shared" si="273"/>
        <v>36</v>
      </c>
      <c r="E55" s="2">
        <f t="shared" si="273"/>
        <v>0</v>
      </c>
      <c r="F55" s="2">
        <f t="shared" si="273"/>
        <v>19</v>
      </c>
      <c r="G55" s="2">
        <f t="shared" si="273"/>
        <v>25</v>
      </c>
      <c r="H55" s="2">
        <f t="shared" si="273"/>
        <v>15</v>
      </c>
      <c r="I55" s="2">
        <f t="shared" si="273"/>
        <v>0</v>
      </c>
      <c r="J55" s="2">
        <f t="shared" si="273"/>
        <v>0</v>
      </c>
      <c r="K55" s="2">
        <f t="shared" si="273"/>
        <v>16</v>
      </c>
      <c r="L55" s="2">
        <f t="shared" si="273"/>
        <v>0</v>
      </c>
      <c r="M55" s="2">
        <f t="shared" si="273"/>
        <v>37</v>
      </c>
      <c r="N55" s="2">
        <f t="shared" si="273"/>
        <v>0</v>
      </c>
      <c r="O55" s="2">
        <f t="shared" si="273"/>
        <v>0</v>
      </c>
      <c r="P55" s="2">
        <f t="shared" si="273"/>
        <v>0</v>
      </c>
      <c r="Q55" s="2">
        <f t="shared" si="273"/>
        <v>14</v>
      </c>
      <c r="R55" s="2">
        <f t="shared" si="273"/>
        <v>0</v>
      </c>
      <c r="S55" s="2">
        <f t="shared" si="273"/>
        <v>35</v>
      </c>
      <c r="T55" s="2">
        <f t="shared" si="273"/>
        <v>0</v>
      </c>
      <c r="U55" s="2">
        <f t="shared" si="273"/>
        <v>8</v>
      </c>
      <c r="V55" s="2">
        <f t="shared" si="273"/>
        <v>29</v>
      </c>
      <c r="W55" s="2">
        <f t="shared" si="273"/>
        <v>12</v>
      </c>
      <c r="X55" s="2">
        <f t="shared" si="273"/>
        <v>62</v>
      </c>
    </row>
    <row r="56" spans="3:24" x14ac:dyDescent="0.15">
      <c r="C56" s="2">
        <f t="shared" ref="C56:X56" si="274">BowlSplit(C15,RunsConceded)</f>
        <v>0</v>
      </c>
      <c r="D56" s="2">
        <f t="shared" si="274"/>
        <v>0</v>
      </c>
      <c r="E56" s="2">
        <f t="shared" si="274"/>
        <v>0</v>
      </c>
      <c r="F56" s="2">
        <f t="shared" si="274"/>
        <v>0</v>
      </c>
      <c r="G56" s="2">
        <f t="shared" si="274"/>
        <v>0</v>
      </c>
      <c r="H56" s="2">
        <f t="shared" si="274"/>
        <v>0</v>
      </c>
      <c r="I56" s="2">
        <f t="shared" si="274"/>
        <v>0</v>
      </c>
      <c r="J56" s="2">
        <f t="shared" si="274"/>
        <v>0</v>
      </c>
      <c r="K56" s="2">
        <f t="shared" si="274"/>
        <v>0</v>
      </c>
      <c r="L56" s="2">
        <f t="shared" si="274"/>
        <v>0</v>
      </c>
      <c r="M56" s="2">
        <f t="shared" si="274"/>
        <v>0</v>
      </c>
      <c r="N56" s="2">
        <f t="shared" si="274"/>
        <v>0</v>
      </c>
      <c r="O56" s="2">
        <f t="shared" si="274"/>
        <v>0</v>
      </c>
      <c r="P56" s="2">
        <f t="shared" si="274"/>
        <v>0</v>
      </c>
      <c r="Q56" s="2">
        <f t="shared" si="274"/>
        <v>0</v>
      </c>
      <c r="R56" s="2">
        <f t="shared" si="274"/>
        <v>0</v>
      </c>
      <c r="S56" s="2">
        <f t="shared" si="274"/>
        <v>0</v>
      </c>
      <c r="T56" s="2">
        <f t="shared" si="274"/>
        <v>0</v>
      </c>
      <c r="U56" s="2">
        <f t="shared" si="274"/>
        <v>0</v>
      </c>
      <c r="V56" s="2">
        <f t="shared" si="274"/>
        <v>0</v>
      </c>
      <c r="W56" s="2">
        <f t="shared" si="274"/>
        <v>32</v>
      </c>
      <c r="X56" s="2">
        <f t="shared" si="274"/>
        <v>0</v>
      </c>
    </row>
    <row r="57" spans="3:24" x14ac:dyDescent="0.15">
      <c r="C57" s="2">
        <f t="shared" ref="C57:X57" si="275">BowlSplit(C16,RunsConceded)</f>
        <v>0</v>
      </c>
      <c r="D57" s="2">
        <f t="shared" si="275"/>
        <v>0</v>
      </c>
      <c r="E57" s="2">
        <f t="shared" si="275"/>
        <v>0</v>
      </c>
      <c r="F57" s="2">
        <f t="shared" si="275"/>
        <v>0</v>
      </c>
      <c r="G57" s="2">
        <f t="shared" si="275"/>
        <v>0</v>
      </c>
      <c r="H57" s="2">
        <f t="shared" si="275"/>
        <v>0</v>
      </c>
      <c r="I57" s="2">
        <f t="shared" si="275"/>
        <v>0</v>
      </c>
      <c r="J57" s="2">
        <f t="shared" si="275"/>
        <v>0</v>
      </c>
      <c r="K57" s="2">
        <f t="shared" si="275"/>
        <v>0</v>
      </c>
      <c r="L57" s="2">
        <f t="shared" si="275"/>
        <v>0</v>
      </c>
      <c r="M57" s="2">
        <f t="shared" si="275"/>
        <v>0</v>
      </c>
      <c r="N57" s="2">
        <f t="shared" si="275"/>
        <v>0</v>
      </c>
      <c r="O57" s="2">
        <f t="shared" si="275"/>
        <v>0</v>
      </c>
      <c r="P57" s="2">
        <f t="shared" si="275"/>
        <v>0</v>
      </c>
      <c r="Q57" s="2">
        <f t="shared" si="275"/>
        <v>0</v>
      </c>
      <c r="R57" s="2">
        <f t="shared" si="275"/>
        <v>0</v>
      </c>
      <c r="S57" s="2">
        <f t="shared" si="275"/>
        <v>0</v>
      </c>
      <c r="T57" s="2">
        <f t="shared" si="275"/>
        <v>0</v>
      </c>
      <c r="U57" s="2">
        <f t="shared" si="275"/>
        <v>0</v>
      </c>
      <c r="V57" s="2">
        <f t="shared" si="275"/>
        <v>0</v>
      </c>
      <c r="W57" s="2">
        <f t="shared" si="275"/>
        <v>28</v>
      </c>
      <c r="X57" s="2">
        <f t="shared" si="275"/>
        <v>0</v>
      </c>
    </row>
    <row r="58" spans="3:24" x14ac:dyDescent="0.15">
      <c r="C58" s="2">
        <f t="shared" ref="C58:X58" si="276">BowlSplit(C17,RunsConceded)</f>
        <v>0</v>
      </c>
      <c r="D58" s="2">
        <f t="shared" si="276"/>
        <v>30</v>
      </c>
      <c r="E58" s="2">
        <f t="shared" si="276"/>
        <v>0</v>
      </c>
      <c r="F58" s="2">
        <f t="shared" si="276"/>
        <v>0</v>
      </c>
      <c r="G58" s="2">
        <f t="shared" si="276"/>
        <v>27</v>
      </c>
      <c r="H58" s="2">
        <f t="shared" si="276"/>
        <v>0</v>
      </c>
      <c r="I58" s="2">
        <f t="shared" si="276"/>
        <v>14</v>
      </c>
      <c r="J58" s="2">
        <f t="shared" si="276"/>
        <v>37</v>
      </c>
      <c r="K58" s="2">
        <f t="shared" si="276"/>
        <v>0</v>
      </c>
      <c r="L58" s="2">
        <f t="shared" si="276"/>
        <v>0</v>
      </c>
      <c r="M58" s="2">
        <f t="shared" si="276"/>
        <v>0</v>
      </c>
      <c r="N58" s="2">
        <f t="shared" si="276"/>
        <v>0</v>
      </c>
      <c r="O58" s="2">
        <f t="shared" si="276"/>
        <v>19</v>
      </c>
      <c r="P58" s="2">
        <f t="shared" si="276"/>
        <v>23</v>
      </c>
      <c r="Q58" s="2">
        <f t="shared" si="276"/>
        <v>23</v>
      </c>
      <c r="R58" s="2">
        <f t="shared" si="276"/>
        <v>27</v>
      </c>
      <c r="S58" s="2">
        <f t="shared" si="276"/>
        <v>0</v>
      </c>
      <c r="T58" s="2">
        <f t="shared" si="276"/>
        <v>0</v>
      </c>
      <c r="U58" s="2">
        <f t="shared" si="276"/>
        <v>0</v>
      </c>
      <c r="V58" s="2">
        <f t="shared" si="276"/>
        <v>0</v>
      </c>
      <c r="W58" s="2">
        <f t="shared" si="276"/>
        <v>0</v>
      </c>
      <c r="X58" s="2">
        <f t="shared" si="276"/>
        <v>12</v>
      </c>
    </row>
    <row r="59" spans="3:24" x14ac:dyDescent="0.15">
      <c r="C59" s="2">
        <f t="shared" ref="C59:X59" si="277">BowlSplit(C18,RunsConceded)</f>
        <v>13</v>
      </c>
      <c r="D59" s="2">
        <f t="shared" si="277"/>
        <v>0</v>
      </c>
      <c r="E59" s="2">
        <f t="shared" si="277"/>
        <v>0</v>
      </c>
      <c r="F59" s="2">
        <f t="shared" si="277"/>
        <v>0</v>
      </c>
      <c r="G59" s="2">
        <f t="shared" si="277"/>
        <v>0</v>
      </c>
      <c r="H59" s="2">
        <f t="shared" si="277"/>
        <v>0</v>
      </c>
      <c r="I59" s="2">
        <f t="shared" si="277"/>
        <v>23</v>
      </c>
      <c r="J59" s="2">
        <f t="shared" si="277"/>
        <v>0</v>
      </c>
      <c r="K59" s="2">
        <f t="shared" si="277"/>
        <v>0</v>
      </c>
      <c r="L59" s="2">
        <f t="shared" si="277"/>
        <v>0</v>
      </c>
      <c r="M59" s="2">
        <f t="shared" si="277"/>
        <v>0</v>
      </c>
      <c r="N59" s="2">
        <f t="shared" si="277"/>
        <v>0</v>
      </c>
      <c r="O59" s="2">
        <f t="shared" si="277"/>
        <v>26</v>
      </c>
      <c r="P59" s="2">
        <f t="shared" si="277"/>
        <v>0</v>
      </c>
      <c r="Q59" s="2">
        <f t="shared" si="277"/>
        <v>0</v>
      </c>
      <c r="R59" s="2">
        <f t="shared" si="277"/>
        <v>0</v>
      </c>
      <c r="S59" s="2">
        <f t="shared" si="277"/>
        <v>0</v>
      </c>
      <c r="T59" s="2">
        <f t="shared" si="277"/>
        <v>0</v>
      </c>
      <c r="U59" s="2">
        <f t="shared" si="277"/>
        <v>0</v>
      </c>
      <c r="V59" s="2">
        <f t="shared" si="277"/>
        <v>0</v>
      </c>
      <c r="W59" s="2">
        <f t="shared" si="277"/>
        <v>0</v>
      </c>
      <c r="X59" s="2">
        <f t="shared" si="277"/>
        <v>0</v>
      </c>
    </row>
    <row r="60" spans="3:24" x14ac:dyDescent="0.15">
      <c r="C60" s="2">
        <f t="shared" ref="C60:X60" si="278">BowlSplit(C19,RunsConceded)</f>
        <v>0</v>
      </c>
      <c r="D60" s="2">
        <f t="shared" si="278"/>
        <v>0</v>
      </c>
      <c r="E60" s="2">
        <f t="shared" si="278"/>
        <v>0</v>
      </c>
      <c r="F60" s="2">
        <f t="shared" si="278"/>
        <v>0</v>
      </c>
      <c r="G60" s="2">
        <f t="shared" si="278"/>
        <v>0</v>
      </c>
      <c r="H60" s="2">
        <f t="shared" si="278"/>
        <v>0</v>
      </c>
      <c r="I60" s="2">
        <f t="shared" si="278"/>
        <v>0</v>
      </c>
      <c r="J60" s="2">
        <f t="shared" si="278"/>
        <v>0</v>
      </c>
      <c r="K60" s="2">
        <f t="shared" si="278"/>
        <v>0</v>
      </c>
      <c r="L60" s="2">
        <f t="shared" si="278"/>
        <v>0</v>
      </c>
      <c r="M60" s="2">
        <f t="shared" si="278"/>
        <v>0</v>
      </c>
      <c r="N60" s="2">
        <f t="shared" si="278"/>
        <v>0</v>
      </c>
      <c r="O60" s="2">
        <f t="shared" si="278"/>
        <v>0</v>
      </c>
      <c r="P60" s="2">
        <f t="shared" si="278"/>
        <v>0</v>
      </c>
      <c r="Q60" s="2">
        <f t="shared" si="278"/>
        <v>0</v>
      </c>
      <c r="R60" s="2">
        <f t="shared" si="278"/>
        <v>0</v>
      </c>
      <c r="S60" s="2">
        <f t="shared" si="278"/>
        <v>0</v>
      </c>
      <c r="T60" s="2">
        <f t="shared" si="278"/>
        <v>0</v>
      </c>
      <c r="U60" s="2">
        <f t="shared" si="278"/>
        <v>25</v>
      </c>
      <c r="V60" s="2">
        <f t="shared" si="278"/>
        <v>0</v>
      </c>
      <c r="W60" s="2">
        <f t="shared" si="278"/>
        <v>0</v>
      </c>
      <c r="X60" s="2">
        <f t="shared" si="278"/>
        <v>0</v>
      </c>
    </row>
    <row r="61" spans="3:24" x14ac:dyDescent="0.15">
      <c r="C61" s="2">
        <f t="shared" ref="C61:X61" si="279">BowlSplit(C20,RunsConceded)</f>
        <v>0</v>
      </c>
      <c r="D61" s="2">
        <f t="shared" si="279"/>
        <v>0</v>
      </c>
      <c r="E61" s="2">
        <f t="shared" si="279"/>
        <v>0</v>
      </c>
      <c r="F61" s="2">
        <f t="shared" si="279"/>
        <v>0</v>
      </c>
      <c r="G61" s="2">
        <f t="shared" si="279"/>
        <v>0</v>
      </c>
      <c r="H61" s="2">
        <f t="shared" si="279"/>
        <v>0</v>
      </c>
      <c r="I61" s="2">
        <f t="shared" si="279"/>
        <v>0</v>
      </c>
      <c r="J61" s="2">
        <f t="shared" si="279"/>
        <v>0</v>
      </c>
      <c r="K61" s="2">
        <f t="shared" si="279"/>
        <v>0</v>
      </c>
      <c r="L61" s="2">
        <f t="shared" si="279"/>
        <v>0</v>
      </c>
      <c r="M61" s="2">
        <f t="shared" si="279"/>
        <v>0</v>
      </c>
      <c r="N61" s="2">
        <f t="shared" si="279"/>
        <v>0</v>
      </c>
      <c r="O61" s="2">
        <f t="shared" si="279"/>
        <v>0</v>
      </c>
      <c r="P61" s="2">
        <f t="shared" si="279"/>
        <v>0</v>
      </c>
      <c r="Q61" s="2">
        <f t="shared" si="279"/>
        <v>0</v>
      </c>
      <c r="R61" s="2">
        <f t="shared" si="279"/>
        <v>0</v>
      </c>
      <c r="S61" s="2">
        <f t="shared" si="279"/>
        <v>0</v>
      </c>
      <c r="T61" s="2">
        <f t="shared" si="279"/>
        <v>0</v>
      </c>
      <c r="U61" s="2">
        <f t="shared" si="279"/>
        <v>0</v>
      </c>
      <c r="V61" s="2">
        <f t="shared" si="279"/>
        <v>0</v>
      </c>
      <c r="W61" s="2">
        <f t="shared" si="279"/>
        <v>22</v>
      </c>
      <c r="X61" s="2">
        <f t="shared" si="279"/>
        <v>0</v>
      </c>
    </row>
    <row r="62" spans="3:24" x14ac:dyDescent="0.15">
      <c r="C62" s="2">
        <f t="shared" ref="C62:X62" si="280">BowlSplit(C21,RunsConceded)</f>
        <v>0</v>
      </c>
      <c r="D62" s="2">
        <f t="shared" si="280"/>
        <v>0</v>
      </c>
      <c r="E62" s="2">
        <f t="shared" si="280"/>
        <v>0</v>
      </c>
      <c r="F62" s="2">
        <f t="shared" si="280"/>
        <v>14</v>
      </c>
      <c r="G62" s="2">
        <f t="shared" si="280"/>
        <v>0</v>
      </c>
      <c r="H62" s="2">
        <f t="shared" si="280"/>
        <v>0</v>
      </c>
      <c r="I62" s="2">
        <f t="shared" si="280"/>
        <v>0</v>
      </c>
      <c r="J62" s="2">
        <f t="shared" si="280"/>
        <v>0</v>
      </c>
      <c r="K62" s="2">
        <f t="shared" si="280"/>
        <v>40</v>
      </c>
      <c r="L62" s="2">
        <f t="shared" si="280"/>
        <v>0</v>
      </c>
      <c r="M62" s="2">
        <f t="shared" si="280"/>
        <v>24</v>
      </c>
      <c r="N62" s="2">
        <f t="shared" si="280"/>
        <v>0</v>
      </c>
      <c r="O62" s="2">
        <f t="shared" si="280"/>
        <v>0</v>
      </c>
      <c r="P62" s="2">
        <f t="shared" si="280"/>
        <v>0</v>
      </c>
      <c r="Q62" s="2">
        <f t="shared" si="280"/>
        <v>0</v>
      </c>
      <c r="R62" s="2">
        <f t="shared" si="280"/>
        <v>0</v>
      </c>
      <c r="S62" s="2">
        <f t="shared" si="280"/>
        <v>0</v>
      </c>
      <c r="T62" s="2">
        <f t="shared" si="280"/>
        <v>0</v>
      </c>
      <c r="U62" s="2">
        <f t="shared" si="280"/>
        <v>0</v>
      </c>
      <c r="V62" s="2">
        <f t="shared" si="280"/>
        <v>0</v>
      </c>
      <c r="W62" s="2">
        <f t="shared" si="280"/>
        <v>0</v>
      </c>
      <c r="X62" s="2">
        <f t="shared" si="280"/>
        <v>0</v>
      </c>
    </row>
    <row r="63" spans="3:24" x14ac:dyDescent="0.15">
      <c r="C63" s="2">
        <f t="shared" ref="C63:X63" si="281">BowlSplit(C22,RunsConceded)</f>
        <v>0</v>
      </c>
      <c r="D63" s="2">
        <f t="shared" si="281"/>
        <v>0</v>
      </c>
      <c r="E63" s="2">
        <f t="shared" si="281"/>
        <v>0</v>
      </c>
      <c r="F63" s="2">
        <f t="shared" si="281"/>
        <v>11</v>
      </c>
      <c r="G63" s="2">
        <f t="shared" si="281"/>
        <v>0</v>
      </c>
      <c r="H63" s="2">
        <f t="shared" si="281"/>
        <v>31</v>
      </c>
      <c r="I63" s="2">
        <f t="shared" si="281"/>
        <v>0</v>
      </c>
      <c r="J63" s="2">
        <f t="shared" si="281"/>
        <v>45</v>
      </c>
      <c r="K63" s="2">
        <f t="shared" si="281"/>
        <v>0</v>
      </c>
      <c r="L63" s="2">
        <f t="shared" si="281"/>
        <v>66</v>
      </c>
      <c r="M63" s="2">
        <f t="shared" si="281"/>
        <v>0</v>
      </c>
      <c r="N63" s="2">
        <f t="shared" si="281"/>
        <v>0</v>
      </c>
      <c r="O63" s="2">
        <f t="shared" si="281"/>
        <v>4</v>
      </c>
      <c r="P63" s="2">
        <f t="shared" si="281"/>
        <v>0</v>
      </c>
      <c r="Q63" s="2">
        <f t="shared" si="281"/>
        <v>0</v>
      </c>
      <c r="R63" s="2">
        <f t="shared" si="281"/>
        <v>46</v>
      </c>
      <c r="S63" s="2">
        <f t="shared" si="281"/>
        <v>0</v>
      </c>
      <c r="T63" s="2">
        <f t="shared" si="281"/>
        <v>0</v>
      </c>
      <c r="U63" s="2">
        <f t="shared" si="281"/>
        <v>20</v>
      </c>
      <c r="V63" s="2">
        <f t="shared" si="281"/>
        <v>16</v>
      </c>
      <c r="W63" s="2">
        <f t="shared" si="281"/>
        <v>0</v>
      </c>
      <c r="X63" s="2">
        <f t="shared" si="281"/>
        <v>24</v>
      </c>
    </row>
    <row r="64" spans="3:24" x14ac:dyDescent="0.15">
      <c r="C64" s="2">
        <f t="shared" ref="C64:X64" si="282">BowlSplit(C23,RunsConceded)</f>
        <v>33</v>
      </c>
      <c r="D64" s="2">
        <f t="shared" si="282"/>
        <v>31</v>
      </c>
      <c r="E64" s="2">
        <f t="shared" si="282"/>
        <v>22</v>
      </c>
      <c r="F64" s="2">
        <f t="shared" si="282"/>
        <v>24</v>
      </c>
      <c r="G64" s="2">
        <f t="shared" si="282"/>
        <v>33</v>
      </c>
      <c r="H64" s="2">
        <f t="shared" si="282"/>
        <v>7</v>
      </c>
      <c r="I64" s="2">
        <f t="shared" si="282"/>
        <v>25</v>
      </c>
      <c r="J64" s="2">
        <f t="shared" si="282"/>
        <v>34</v>
      </c>
      <c r="K64" s="2">
        <f t="shared" si="282"/>
        <v>11</v>
      </c>
      <c r="L64" s="2">
        <f t="shared" si="282"/>
        <v>61</v>
      </c>
      <c r="M64" s="2">
        <f t="shared" si="282"/>
        <v>59</v>
      </c>
      <c r="N64" s="2">
        <f t="shared" si="282"/>
        <v>43</v>
      </c>
      <c r="O64" s="2">
        <f t="shared" si="282"/>
        <v>26</v>
      </c>
      <c r="P64" s="2">
        <f t="shared" si="282"/>
        <v>23</v>
      </c>
      <c r="Q64" s="2">
        <f t="shared" si="282"/>
        <v>35</v>
      </c>
      <c r="R64" s="2">
        <f t="shared" si="282"/>
        <v>19</v>
      </c>
      <c r="S64" s="2">
        <f t="shared" si="282"/>
        <v>20</v>
      </c>
      <c r="T64" s="2">
        <f t="shared" si="282"/>
        <v>14</v>
      </c>
      <c r="U64" s="2">
        <f t="shared" si="282"/>
        <v>34</v>
      </c>
      <c r="V64" s="2">
        <f t="shared" si="282"/>
        <v>0</v>
      </c>
      <c r="W64" s="2">
        <f t="shared" si="282"/>
        <v>0</v>
      </c>
      <c r="X64" s="2">
        <f t="shared" si="282"/>
        <v>42</v>
      </c>
    </row>
    <row r="65" spans="3:24" x14ac:dyDescent="0.15">
      <c r="C65" s="2">
        <f t="shared" ref="C65:X65" si="283">BowlSplit(C24,RunsConceded)</f>
        <v>6</v>
      </c>
      <c r="D65" s="2">
        <f t="shared" si="283"/>
        <v>21</v>
      </c>
      <c r="E65" s="2">
        <f t="shared" si="283"/>
        <v>0</v>
      </c>
      <c r="F65" s="2">
        <f t="shared" si="283"/>
        <v>29</v>
      </c>
      <c r="G65" s="2">
        <f t="shared" si="283"/>
        <v>0</v>
      </c>
      <c r="H65" s="2">
        <f t="shared" si="283"/>
        <v>0</v>
      </c>
      <c r="I65" s="2">
        <f t="shared" si="283"/>
        <v>0</v>
      </c>
      <c r="J65" s="2">
        <f t="shared" si="283"/>
        <v>0</v>
      </c>
      <c r="K65" s="2">
        <f t="shared" si="283"/>
        <v>0</v>
      </c>
      <c r="L65" s="2">
        <f t="shared" si="283"/>
        <v>0</v>
      </c>
      <c r="M65" s="2">
        <f t="shared" si="283"/>
        <v>0</v>
      </c>
      <c r="N65" s="2">
        <f t="shared" si="283"/>
        <v>0</v>
      </c>
      <c r="O65" s="2">
        <f t="shared" si="283"/>
        <v>0</v>
      </c>
      <c r="P65" s="2">
        <f t="shared" si="283"/>
        <v>0</v>
      </c>
      <c r="Q65" s="2">
        <f t="shared" si="283"/>
        <v>0</v>
      </c>
      <c r="R65" s="2">
        <f t="shared" si="283"/>
        <v>0</v>
      </c>
      <c r="S65" s="2">
        <f t="shared" si="283"/>
        <v>0</v>
      </c>
      <c r="T65" s="2">
        <f t="shared" si="283"/>
        <v>0</v>
      </c>
      <c r="U65" s="2">
        <f t="shared" si="283"/>
        <v>0</v>
      </c>
      <c r="V65" s="2">
        <f t="shared" si="283"/>
        <v>0</v>
      </c>
      <c r="W65" s="2">
        <f t="shared" si="283"/>
        <v>0</v>
      </c>
      <c r="X65" s="2">
        <f t="shared" si="283"/>
        <v>0</v>
      </c>
    </row>
    <row r="66" spans="3:24" x14ac:dyDescent="0.15">
      <c r="C66" s="2">
        <f t="shared" ref="C66:X66" si="284">BowlSplit(C25,RunsConceded)</f>
        <v>0</v>
      </c>
      <c r="D66" s="2">
        <f t="shared" si="284"/>
        <v>0</v>
      </c>
      <c r="E66" s="2">
        <f t="shared" si="284"/>
        <v>0</v>
      </c>
      <c r="F66" s="2">
        <f t="shared" si="284"/>
        <v>0</v>
      </c>
      <c r="G66" s="2">
        <f t="shared" si="284"/>
        <v>0</v>
      </c>
      <c r="H66" s="2">
        <f t="shared" si="284"/>
        <v>0</v>
      </c>
      <c r="I66" s="2">
        <f t="shared" si="284"/>
        <v>0</v>
      </c>
      <c r="J66" s="2">
        <f t="shared" si="284"/>
        <v>0</v>
      </c>
      <c r="K66" s="2">
        <f t="shared" si="284"/>
        <v>0</v>
      </c>
      <c r="L66" s="2">
        <f t="shared" si="284"/>
        <v>0</v>
      </c>
      <c r="M66" s="2">
        <f t="shared" si="284"/>
        <v>0</v>
      </c>
      <c r="N66" s="2">
        <f t="shared" si="284"/>
        <v>0</v>
      </c>
      <c r="O66" s="2">
        <f t="shared" si="284"/>
        <v>0</v>
      </c>
      <c r="P66" s="2">
        <f t="shared" si="284"/>
        <v>0</v>
      </c>
      <c r="Q66" s="2">
        <f t="shared" si="284"/>
        <v>0</v>
      </c>
      <c r="R66" s="2">
        <f t="shared" si="284"/>
        <v>47</v>
      </c>
      <c r="S66" s="2">
        <f t="shared" si="284"/>
        <v>31</v>
      </c>
      <c r="T66" s="2">
        <f t="shared" si="284"/>
        <v>0</v>
      </c>
      <c r="U66" s="2">
        <f t="shared" si="284"/>
        <v>0</v>
      </c>
      <c r="V66" s="2">
        <f t="shared" si="284"/>
        <v>0</v>
      </c>
      <c r="W66" s="2">
        <f t="shared" si="284"/>
        <v>0</v>
      </c>
      <c r="X66" s="2">
        <f t="shared" si="284"/>
        <v>0</v>
      </c>
    </row>
    <row r="67" spans="3:24" x14ac:dyDescent="0.15">
      <c r="C67" s="2">
        <f t="shared" ref="C67:X67" si="285">BowlSplit(C26,RunsConceded)</f>
        <v>23</v>
      </c>
      <c r="D67" s="2">
        <f t="shared" si="285"/>
        <v>0</v>
      </c>
      <c r="E67" s="2">
        <f t="shared" si="285"/>
        <v>0</v>
      </c>
      <c r="F67" s="2">
        <f t="shared" si="285"/>
        <v>0</v>
      </c>
      <c r="G67" s="2">
        <f t="shared" si="285"/>
        <v>0</v>
      </c>
      <c r="H67" s="2">
        <f t="shared" si="285"/>
        <v>0</v>
      </c>
      <c r="I67" s="2">
        <f t="shared" si="285"/>
        <v>0</v>
      </c>
      <c r="J67" s="2">
        <f t="shared" si="285"/>
        <v>0</v>
      </c>
      <c r="K67" s="2">
        <f t="shared" si="285"/>
        <v>0</v>
      </c>
      <c r="L67" s="2">
        <f t="shared" si="285"/>
        <v>0</v>
      </c>
      <c r="M67" s="2">
        <f t="shared" si="285"/>
        <v>0</v>
      </c>
      <c r="N67" s="2">
        <f t="shared" si="285"/>
        <v>0</v>
      </c>
      <c r="O67" s="2">
        <f t="shared" si="285"/>
        <v>0</v>
      </c>
      <c r="P67" s="2">
        <f t="shared" si="285"/>
        <v>0</v>
      </c>
      <c r="Q67" s="2">
        <f t="shared" si="285"/>
        <v>0</v>
      </c>
      <c r="R67" s="2">
        <f t="shared" si="285"/>
        <v>0</v>
      </c>
      <c r="S67" s="2">
        <f t="shared" si="285"/>
        <v>0</v>
      </c>
      <c r="T67" s="2">
        <f t="shared" si="285"/>
        <v>0</v>
      </c>
      <c r="U67" s="2">
        <f t="shared" si="285"/>
        <v>0</v>
      </c>
      <c r="V67" s="2">
        <f t="shared" si="285"/>
        <v>0</v>
      </c>
      <c r="W67" s="2">
        <f t="shared" si="285"/>
        <v>0</v>
      </c>
      <c r="X67" s="2">
        <f t="shared" si="285"/>
        <v>0</v>
      </c>
    </row>
    <row r="68" spans="3:24" x14ac:dyDescent="0.15">
      <c r="C68" s="2">
        <f t="shared" ref="C68:X68" si="286">BowlSplit(C27,RunsConceded)</f>
        <v>0</v>
      </c>
      <c r="D68" s="2">
        <f t="shared" si="286"/>
        <v>0</v>
      </c>
      <c r="E68" s="2">
        <f t="shared" si="286"/>
        <v>0</v>
      </c>
      <c r="F68" s="2">
        <f t="shared" si="286"/>
        <v>0</v>
      </c>
      <c r="G68" s="2">
        <f t="shared" si="286"/>
        <v>7</v>
      </c>
      <c r="H68" s="2">
        <f t="shared" si="286"/>
        <v>0</v>
      </c>
      <c r="I68" s="2">
        <f t="shared" si="286"/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0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ref="C69:X69" si="287">BowlSplit(C28,RunsConceded)</f>
        <v>0</v>
      </c>
      <c r="D69" s="2">
        <f t="shared" si="287"/>
        <v>0</v>
      </c>
      <c r="E69" s="2">
        <f t="shared" si="287"/>
        <v>0</v>
      </c>
      <c r="F69" s="2">
        <f t="shared" si="287"/>
        <v>0</v>
      </c>
      <c r="G69" s="2">
        <f t="shared" si="287"/>
        <v>0</v>
      </c>
      <c r="H69" s="2">
        <f t="shared" si="287"/>
        <v>0</v>
      </c>
      <c r="I69" s="2">
        <f t="shared" si="287"/>
        <v>0</v>
      </c>
      <c r="J69" s="2">
        <f t="shared" si="287"/>
        <v>0</v>
      </c>
      <c r="K69" s="2">
        <f t="shared" si="287"/>
        <v>0</v>
      </c>
      <c r="L69" s="2">
        <f t="shared" si="287"/>
        <v>0</v>
      </c>
      <c r="M69" s="2">
        <f t="shared" si="287"/>
        <v>0</v>
      </c>
      <c r="N69" s="2">
        <f t="shared" si="287"/>
        <v>0</v>
      </c>
      <c r="O69" s="2">
        <f t="shared" si="287"/>
        <v>0</v>
      </c>
      <c r="P69" s="2">
        <f t="shared" si="287"/>
        <v>0</v>
      </c>
      <c r="Q69" s="2">
        <f t="shared" si="287"/>
        <v>0</v>
      </c>
      <c r="R69" s="2">
        <f t="shared" si="287"/>
        <v>0</v>
      </c>
      <c r="S69" s="2">
        <f t="shared" si="287"/>
        <v>0</v>
      </c>
      <c r="T69" s="2">
        <f t="shared" si="287"/>
        <v>24</v>
      </c>
      <c r="U69" s="2">
        <f t="shared" si="287"/>
        <v>0</v>
      </c>
      <c r="V69" s="2">
        <f t="shared" si="287"/>
        <v>0</v>
      </c>
      <c r="W69" s="2">
        <f t="shared" si="287"/>
        <v>0</v>
      </c>
      <c r="X69" s="2">
        <f t="shared" si="287"/>
        <v>0</v>
      </c>
    </row>
    <row r="70" spans="3:24" x14ac:dyDescent="0.15">
      <c r="C70" s="2">
        <f t="shared" ref="C70:X70" si="288">BowlSplit(C29,RunsConceded)</f>
        <v>0</v>
      </c>
      <c r="D70" s="2">
        <f t="shared" si="288"/>
        <v>0</v>
      </c>
      <c r="E70" s="2">
        <f t="shared" si="288"/>
        <v>0</v>
      </c>
      <c r="F70" s="2">
        <f t="shared" si="288"/>
        <v>0</v>
      </c>
      <c r="G70" s="2">
        <f t="shared" si="288"/>
        <v>0</v>
      </c>
      <c r="H70" s="2">
        <f t="shared" si="288"/>
        <v>0</v>
      </c>
      <c r="I70" s="2">
        <f t="shared" si="288"/>
        <v>0</v>
      </c>
      <c r="J70" s="2">
        <f t="shared" si="288"/>
        <v>0</v>
      </c>
      <c r="K70" s="2">
        <f t="shared" si="288"/>
        <v>0</v>
      </c>
      <c r="L70" s="2">
        <f t="shared" si="288"/>
        <v>0</v>
      </c>
      <c r="M70" s="2">
        <f t="shared" si="288"/>
        <v>0</v>
      </c>
      <c r="N70" s="2">
        <f t="shared" si="288"/>
        <v>0</v>
      </c>
      <c r="O70" s="2">
        <f t="shared" si="288"/>
        <v>0</v>
      </c>
      <c r="P70" s="2">
        <f t="shared" si="288"/>
        <v>0</v>
      </c>
      <c r="Q70" s="2">
        <f t="shared" si="288"/>
        <v>0</v>
      </c>
      <c r="R70" s="2">
        <f t="shared" si="288"/>
        <v>0</v>
      </c>
      <c r="S70" s="2">
        <f t="shared" si="288"/>
        <v>0</v>
      </c>
      <c r="T70" s="2">
        <f t="shared" si="288"/>
        <v>33</v>
      </c>
      <c r="U70" s="2">
        <f t="shared" si="288"/>
        <v>0</v>
      </c>
      <c r="V70" s="2">
        <f t="shared" si="288"/>
        <v>0</v>
      </c>
      <c r="W70" s="2">
        <f t="shared" si="288"/>
        <v>0</v>
      </c>
      <c r="X70" s="2">
        <f t="shared" si="288"/>
        <v>0</v>
      </c>
    </row>
    <row r="71" spans="3:24" x14ac:dyDescent="0.15">
      <c r="C71" s="2">
        <f t="shared" ref="C71:X71" si="289">BowlSplit(C30,RunsConceded)</f>
        <v>14</v>
      </c>
      <c r="D71" s="2">
        <f t="shared" si="289"/>
        <v>0</v>
      </c>
      <c r="E71" s="2">
        <f t="shared" si="289"/>
        <v>18</v>
      </c>
      <c r="F71" s="2">
        <f t="shared" si="289"/>
        <v>10</v>
      </c>
      <c r="G71" s="2">
        <f t="shared" si="289"/>
        <v>27</v>
      </c>
      <c r="H71" s="2">
        <f t="shared" si="289"/>
        <v>19</v>
      </c>
      <c r="I71" s="2">
        <f t="shared" si="289"/>
        <v>32</v>
      </c>
      <c r="J71" s="2">
        <f t="shared" si="289"/>
        <v>0</v>
      </c>
      <c r="K71" s="2">
        <f t="shared" si="289"/>
        <v>30</v>
      </c>
      <c r="L71" s="2">
        <f t="shared" si="289"/>
        <v>61</v>
      </c>
      <c r="M71" s="2">
        <f t="shared" si="289"/>
        <v>0</v>
      </c>
      <c r="N71" s="2">
        <f t="shared" si="289"/>
        <v>29</v>
      </c>
      <c r="O71" s="2">
        <f t="shared" si="289"/>
        <v>5</v>
      </c>
      <c r="P71" s="2">
        <f t="shared" si="289"/>
        <v>37</v>
      </c>
      <c r="Q71" s="2">
        <f t="shared" si="289"/>
        <v>9</v>
      </c>
      <c r="R71" s="2">
        <f t="shared" si="289"/>
        <v>19</v>
      </c>
      <c r="S71" s="2">
        <f t="shared" si="289"/>
        <v>15</v>
      </c>
      <c r="T71" s="2">
        <f t="shared" si="289"/>
        <v>6</v>
      </c>
      <c r="U71" s="2">
        <f t="shared" si="289"/>
        <v>20</v>
      </c>
      <c r="V71" s="2">
        <f t="shared" si="289"/>
        <v>18</v>
      </c>
      <c r="W71" s="2">
        <f t="shared" si="289"/>
        <v>39</v>
      </c>
      <c r="X71" s="2">
        <f t="shared" si="289"/>
        <v>34</v>
      </c>
    </row>
    <row r="72" spans="3:24" x14ac:dyDescent="0.15">
      <c r="C72" s="2">
        <f t="shared" ref="C72:X72" si="290">BowlSplit(C31,RunsConceded)</f>
        <v>0</v>
      </c>
      <c r="D72" s="2">
        <f t="shared" si="290"/>
        <v>0</v>
      </c>
      <c r="E72" s="2">
        <f t="shared" si="290"/>
        <v>12</v>
      </c>
      <c r="F72" s="2">
        <f t="shared" si="290"/>
        <v>0</v>
      </c>
      <c r="G72" s="2">
        <f t="shared" si="290"/>
        <v>0</v>
      </c>
      <c r="H72" s="2">
        <f t="shared" si="290"/>
        <v>0</v>
      </c>
      <c r="I72" s="2">
        <f t="shared" si="290"/>
        <v>0</v>
      </c>
      <c r="J72" s="2">
        <f t="shared" si="290"/>
        <v>0</v>
      </c>
      <c r="K72" s="2">
        <f t="shared" si="290"/>
        <v>0</v>
      </c>
      <c r="L72" s="2">
        <f t="shared" si="290"/>
        <v>0</v>
      </c>
      <c r="M72" s="2">
        <f t="shared" si="290"/>
        <v>0</v>
      </c>
      <c r="N72" s="2">
        <f t="shared" si="290"/>
        <v>0</v>
      </c>
      <c r="O72" s="2">
        <f t="shared" si="290"/>
        <v>0</v>
      </c>
      <c r="P72" s="2">
        <f t="shared" si="290"/>
        <v>0</v>
      </c>
      <c r="Q72" s="2">
        <f t="shared" si="290"/>
        <v>0</v>
      </c>
      <c r="R72" s="2">
        <f t="shared" si="290"/>
        <v>0</v>
      </c>
      <c r="S72" s="2">
        <f t="shared" si="290"/>
        <v>0</v>
      </c>
      <c r="T72" s="2">
        <f t="shared" si="290"/>
        <v>0</v>
      </c>
      <c r="U72" s="2">
        <f t="shared" si="290"/>
        <v>0</v>
      </c>
      <c r="V72" s="2">
        <f t="shared" si="290"/>
        <v>0</v>
      </c>
      <c r="W72" s="2">
        <f t="shared" si="290"/>
        <v>0</v>
      </c>
      <c r="X72" s="2">
        <f t="shared" si="290"/>
        <v>0</v>
      </c>
    </row>
    <row r="73" spans="3:24" x14ac:dyDescent="0.15">
      <c r="C73" s="2">
        <f t="shared" ref="C73:X73" si="291">BowlSplit(C32,RunsConceded)</f>
        <v>0</v>
      </c>
      <c r="D73" s="2">
        <f t="shared" si="291"/>
        <v>0</v>
      </c>
      <c r="E73" s="2">
        <f t="shared" si="291"/>
        <v>27</v>
      </c>
      <c r="F73" s="2">
        <f t="shared" si="291"/>
        <v>0</v>
      </c>
      <c r="G73" s="2">
        <f t="shared" si="291"/>
        <v>0</v>
      </c>
      <c r="H73" s="2">
        <f t="shared" si="291"/>
        <v>0</v>
      </c>
      <c r="I73" s="2">
        <f t="shared" si="291"/>
        <v>39</v>
      </c>
      <c r="J73" s="2">
        <f t="shared" si="291"/>
        <v>19</v>
      </c>
      <c r="K73" s="2">
        <f t="shared" si="291"/>
        <v>36</v>
      </c>
      <c r="L73" s="2">
        <f t="shared" si="291"/>
        <v>47</v>
      </c>
      <c r="M73" s="2">
        <f t="shared" si="291"/>
        <v>26</v>
      </c>
      <c r="N73" s="2">
        <f t="shared" si="291"/>
        <v>22</v>
      </c>
      <c r="O73" s="2">
        <f t="shared" si="291"/>
        <v>0</v>
      </c>
      <c r="P73" s="2">
        <f t="shared" si="291"/>
        <v>34</v>
      </c>
      <c r="Q73" s="2">
        <f t="shared" si="291"/>
        <v>42</v>
      </c>
      <c r="R73" s="2">
        <f t="shared" si="291"/>
        <v>22</v>
      </c>
      <c r="S73" s="2">
        <f t="shared" si="291"/>
        <v>13</v>
      </c>
      <c r="T73" s="2">
        <f t="shared" si="291"/>
        <v>35</v>
      </c>
      <c r="U73" s="2">
        <f t="shared" si="291"/>
        <v>15</v>
      </c>
      <c r="V73" s="2">
        <f t="shared" si="291"/>
        <v>16</v>
      </c>
      <c r="W73" s="2">
        <f t="shared" si="291"/>
        <v>0</v>
      </c>
      <c r="X73" s="2">
        <f t="shared" si="291"/>
        <v>0</v>
      </c>
    </row>
    <row r="74" spans="3:24" x14ac:dyDescent="0.15">
      <c r="C74" s="2">
        <f t="shared" ref="C74:X74" si="292">BowlSplit(C33,RunsConceded)</f>
        <v>0</v>
      </c>
      <c r="D74" s="2">
        <f t="shared" si="292"/>
        <v>0</v>
      </c>
      <c r="E74" s="2">
        <f t="shared" si="292"/>
        <v>0</v>
      </c>
      <c r="F74" s="2">
        <f t="shared" si="292"/>
        <v>0</v>
      </c>
      <c r="G74" s="2">
        <f t="shared" si="292"/>
        <v>0</v>
      </c>
      <c r="H74" s="2">
        <f t="shared" si="292"/>
        <v>0</v>
      </c>
      <c r="I74" s="2">
        <f t="shared" si="292"/>
        <v>0</v>
      </c>
      <c r="J74" s="2">
        <f t="shared" si="292"/>
        <v>0</v>
      </c>
      <c r="K74" s="2">
        <f t="shared" si="292"/>
        <v>0</v>
      </c>
      <c r="L74" s="2">
        <f t="shared" si="292"/>
        <v>0</v>
      </c>
      <c r="M74" s="2">
        <f t="shared" si="292"/>
        <v>41</v>
      </c>
      <c r="N74" s="2">
        <f t="shared" si="292"/>
        <v>0</v>
      </c>
      <c r="O74" s="2">
        <f t="shared" si="292"/>
        <v>0</v>
      </c>
      <c r="P74" s="2">
        <f t="shared" si="292"/>
        <v>0</v>
      </c>
      <c r="Q74" s="2">
        <f t="shared" si="292"/>
        <v>0</v>
      </c>
      <c r="R74" s="2">
        <f t="shared" si="292"/>
        <v>0</v>
      </c>
      <c r="S74" s="2">
        <f t="shared" si="292"/>
        <v>0</v>
      </c>
      <c r="T74" s="2">
        <f t="shared" si="292"/>
        <v>0</v>
      </c>
      <c r="U74" s="2">
        <f t="shared" si="292"/>
        <v>0</v>
      </c>
      <c r="V74" s="2">
        <f t="shared" si="292"/>
        <v>0</v>
      </c>
      <c r="W74" s="2">
        <f t="shared" si="292"/>
        <v>0</v>
      </c>
      <c r="X74" s="2">
        <f t="shared" si="292"/>
        <v>0</v>
      </c>
    </row>
    <row r="75" spans="3:24" x14ac:dyDescent="0.15">
      <c r="C75" s="2">
        <f t="shared" ref="C75:X75" si="293">BowlSplit(C34,RunsConceded)</f>
        <v>0</v>
      </c>
      <c r="D75" s="2">
        <f t="shared" si="293"/>
        <v>0</v>
      </c>
      <c r="E75" s="2">
        <f t="shared" si="293"/>
        <v>0</v>
      </c>
      <c r="F75" s="2">
        <f t="shared" si="293"/>
        <v>0</v>
      </c>
      <c r="G75" s="2">
        <f t="shared" si="293"/>
        <v>0</v>
      </c>
      <c r="H75" s="2">
        <f t="shared" si="293"/>
        <v>0</v>
      </c>
      <c r="I75" s="2">
        <f t="shared" si="293"/>
        <v>0</v>
      </c>
      <c r="J75" s="2">
        <f t="shared" si="293"/>
        <v>0</v>
      </c>
      <c r="K75" s="2">
        <f t="shared" si="293"/>
        <v>0</v>
      </c>
      <c r="L75" s="2">
        <f t="shared" si="293"/>
        <v>0</v>
      </c>
      <c r="M75" s="2">
        <f t="shared" si="293"/>
        <v>0</v>
      </c>
      <c r="N75" s="2">
        <f t="shared" si="293"/>
        <v>0</v>
      </c>
      <c r="O75" s="2">
        <f t="shared" si="293"/>
        <v>0</v>
      </c>
      <c r="P75" s="2">
        <f t="shared" si="293"/>
        <v>0</v>
      </c>
      <c r="Q75" s="2">
        <f t="shared" si="293"/>
        <v>0</v>
      </c>
      <c r="R75" s="2">
        <f t="shared" si="293"/>
        <v>0</v>
      </c>
      <c r="S75" s="2">
        <f t="shared" si="293"/>
        <v>0</v>
      </c>
      <c r="T75" s="2">
        <f t="shared" si="293"/>
        <v>0</v>
      </c>
      <c r="U75" s="2">
        <f t="shared" si="293"/>
        <v>0</v>
      </c>
      <c r="V75" s="2">
        <f t="shared" si="293"/>
        <v>18</v>
      </c>
      <c r="W75" s="2">
        <f t="shared" si="293"/>
        <v>18</v>
      </c>
      <c r="X75" s="2">
        <f t="shared" si="293"/>
        <v>0</v>
      </c>
    </row>
    <row r="76" spans="3:24" x14ac:dyDescent="0.15">
      <c r="C76" s="2">
        <f t="shared" ref="C76:X76" si="294">BowlSplit(C35,RunsConceded)</f>
        <v>0</v>
      </c>
      <c r="D76" s="2">
        <f t="shared" si="294"/>
        <v>0</v>
      </c>
      <c r="E76" s="2">
        <f t="shared" si="294"/>
        <v>0</v>
      </c>
      <c r="F76" s="2">
        <f t="shared" si="294"/>
        <v>0</v>
      </c>
      <c r="G76" s="2">
        <f t="shared" si="294"/>
        <v>0</v>
      </c>
      <c r="H76" s="2">
        <f t="shared" si="294"/>
        <v>0</v>
      </c>
      <c r="I76" s="2">
        <f t="shared" si="294"/>
        <v>0</v>
      </c>
      <c r="J76" s="2">
        <f t="shared" si="294"/>
        <v>0</v>
      </c>
      <c r="K76" s="2">
        <f t="shared" si="294"/>
        <v>0</v>
      </c>
      <c r="L76" s="2">
        <f t="shared" si="294"/>
        <v>0</v>
      </c>
      <c r="M76" s="2">
        <f t="shared" si="294"/>
        <v>0</v>
      </c>
      <c r="N76" s="2">
        <f t="shared" si="294"/>
        <v>0</v>
      </c>
      <c r="O76" s="2">
        <f t="shared" si="294"/>
        <v>0</v>
      </c>
      <c r="P76" s="2">
        <f t="shared" si="294"/>
        <v>0</v>
      </c>
      <c r="Q76" s="2">
        <f t="shared" si="294"/>
        <v>34</v>
      </c>
      <c r="R76" s="2">
        <f t="shared" si="294"/>
        <v>0</v>
      </c>
      <c r="S76" s="2">
        <f t="shared" si="294"/>
        <v>0</v>
      </c>
      <c r="T76" s="2">
        <f t="shared" si="294"/>
        <v>0</v>
      </c>
      <c r="U76" s="2">
        <f t="shared" si="294"/>
        <v>0</v>
      </c>
      <c r="V76" s="2">
        <f t="shared" si="294"/>
        <v>0</v>
      </c>
      <c r="W76" s="2">
        <f t="shared" si="294"/>
        <v>0</v>
      </c>
      <c r="X76" s="2">
        <f t="shared" si="294"/>
        <v>0</v>
      </c>
    </row>
    <row r="77" spans="3:24" x14ac:dyDescent="0.15">
      <c r="C77" s="2">
        <f t="shared" ref="C77:X77" si="295">BowlSplit(C36,RunsConceded)</f>
        <v>0</v>
      </c>
      <c r="D77" s="2">
        <f t="shared" si="295"/>
        <v>0</v>
      </c>
      <c r="E77" s="2">
        <f t="shared" si="295"/>
        <v>10</v>
      </c>
      <c r="F77" s="2">
        <f t="shared" si="295"/>
        <v>0</v>
      </c>
      <c r="G77" s="2">
        <f t="shared" si="295"/>
        <v>0</v>
      </c>
      <c r="H77" s="2">
        <f t="shared" si="295"/>
        <v>0</v>
      </c>
      <c r="I77" s="2">
        <f t="shared" si="295"/>
        <v>0</v>
      </c>
      <c r="J77" s="2">
        <f t="shared" si="295"/>
        <v>0</v>
      </c>
      <c r="K77" s="2">
        <f t="shared" si="295"/>
        <v>0</v>
      </c>
      <c r="L77" s="2">
        <f t="shared" si="295"/>
        <v>0</v>
      </c>
      <c r="M77" s="2">
        <f t="shared" si="295"/>
        <v>0</v>
      </c>
      <c r="N77" s="2">
        <f t="shared" si="295"/>
        <v>0</v>
      </c>
      <c r="O77" s="2">
        <f t="shared" si="295"/>
        <v>0</v>
      </c>
      <c r="P77" s="2">
        <f t="shared" si="295"/>
        <v>0</v>
      </c>
      <c r="Q77" s="2">
        <f t="shared" si="295"/>
        <v>0</v>
      </c>
      <c r="R77" s="2">
        <f t="shared" si="295"/>
        <v>0</v>
      </c>
      <c r="S77" s="2">
        <f t="shared" si="295"/>
        <v>0</v>
      </c>
      <c r="T77" s="2">
        <f t="shared" si="295"/>
        <v>0</v>
      </c>
      <c r="U77" s="2">
        <f t="shared" si="295"/>
        <v>0</v>
      </c>
      <c r="V77" s="2">
        <f t="shared" si="295"/>
        <v>0</v>
      </c>
      <c r="W77" s="2">
        <f t="shared" si="295"/>
        <v>0</v>
      </c>
      <c r="X77" s="2">
        <f t="shared" si="295"/>
        <v>0</v>
      </c>
    </row>
    <row r="78" spans="3:24" x14ac:dyDescent="0.15">
      <c r="C78" s="2">
        <f t="shared" ref="C78:X78" si="296">BowlSplit(C37,RunsConceded)</f>
        <v>0</v>
      </c>
      <c r="D78" s="2">
        <f t="shared" si="296"/>
        <v>0</v>
      </c>
      <c r="E78" s="2">
        <f t="shared" si="296"/>
        <v>0</v>
      </c>
      <c r="F78" s="2">
        <f t="shared" si="296"/>
        <v>0</v>
      </c>
      <c r="G78" s="2">
        <f t="shared" si="296"/>
        <v>0</v>
      </c>
      <c r="H78" s="2">
        <f t="shared" si="296"/>
        <v>0</v>
      </c>
      <c r="I78" s="2">
        <f t="shared" si="296"/>
        <v>0</v>
      </c>
      <c r="J78" s="2">
        <f t="shared" si="296"/>
        <v>0</v>
      </c>
      <c r="K78" s="2">
        <f t="shared" si="296"/>
        <v>0</v>
      </c>
      <c r="L78" s="2">
        <f t="shared" si="296"/>
        <v>0</v>
      </c>
      <c r="M78" s="2">
        <f t="shared" si="296"/>
        <v>0</v>
      </c>
      <c r="N78" s="2">
        <f t="shared" si="296"/>
        <v>0</v>
      </c>
      <c r="O78" s="2">
        <f t="shared" si="296"/>
        <v>0</v>
      </c>
      <c r="P78" s="2">
        <f t="shared" si="296"/>
        <v>0</v>
      </c>
      <c r="Q78" s="2">
        <f t="shared" si="296"/>
        <v>0</v>
      </c>
      <c r="R78" s="2">
        <f t="shared" si="296"/>
        <v>0</v>
      </c>
      <c r="S78" s="2">
        <f t="shared" si="296"/>
        <v>0</v>
      </c>
      <c r="T78" s="2">
        <f t="shared" si="296"/>
        <v>0</v>
      </c>
      <c r="U78" s="2">
        <f t="shared" si="296"/>
        <v>0</v>
      </c>
      <c r="V78" s="2">
        <f t="shared" si="296"/>
        <v>0</v>
      </c>
      <c r="W78" s="2">
        <f t="shared" si="296"/>
        <v>0</v>
      </c>
      <c r="X78" s="2">
        <f t="shared" si="296"/>
        <v>0</v>
      </c>
    </row>
    <row r="80" spans="3:24" x14ac:dyDescent="0.15">
      <c r="C80" s="2">
        <f>MAX(C46:C78)</f>
        <v>33</v>
      </c>
      <c r="D80" s="2">
        <f t="shared" ref="D80:X80" si="297">MAX(D46:D78)</f>
        <v>36</v>
      </c>
      <c r="E80" s="2">
        <f t="shared" si="297"/>
        <v>27</v>
      </c>
      <c r="F80" s="2">
        <f t="shared" si="297"/>
        <v>29</v>
      </c>
      <c r="G80" s="2">
        <f t="shared" si="297"/>
        <v>33</v>
      </c>
      <c r="H80" s="2">
        <f t="shared" si="297"/>
        <v>31</v>
      </c>
      <c r="I80" s="2">
        <f t="shared" si="297"/>
        <v>39</v>
      </c>
      <c r="J80" s="2">
        <f t="shared" si="297"/>
        <v>45</v>
      </c>
      <c r="K80" s="2">
        <f t="shared" si="297"/>
        <v>40</v>
      </c>
      <c r="L80" s="2">
        <f t="shared" si="297"/>
        <v>66</v>
      </c>
      <c r="M80" s="2">
        <f t="shared" si="297"/>
        <v>59</v>
      </c>
      <c r="N80" s="2">
        <f t="shared" si="297"/>
        <v>43</v>
      </c>
      <c r="O80" s="2">
        <f t="shared" si="297"/>
        <v>40</v>
      </c>
      <c r="P80" s="2">
        <f t="shared" si="297"/>
        <v>37</v>
      </c>
      <c r="Q80" s="2">
        <f t="shared" si="297"/>
        <v>42</v>
      </c>
      <c r="R80" s="2">
        <f t="shared" si="297"/>
        <v>47</v>
      </c>
      <c r="S80" s="2">
        <f t="shared" si="297"/>
        <v>35</v>
      </c>
      <c r="T80" s="2">
        <f t="shared" si="297"/>
        <v>35</v>
      </c>
      <c r="U80" s="2">
        <f t="shared" si="297"/>
        <v>34</v>
      </c>
      <c r="V80" s="2">
        <f t="shared" si="297"/>
        <v>29</v>
      </c>
      <c r="W80" s="2">
        <f t="shared" si="297"/>
        <v>39</v>
      </c>
      <c r="X80" s="2">
        <f t="shared" si="297"/>
        <v>62</v>
      </c>
    </row>
  </sheetData>
  <phoneticPr fontId="0" type="noConversion"/>
  <conditionalFormatting sqref="AG74:AG83 AU46:BB63 AS46:AT71 AT46:AT73">
    <cfRule type="cellIs" dxfId="1" priority="12" operator="greaterThan">
      <formula>5</formula>
    </cfRule>
  </conditionalFormatting>
  <conditionalFormatting sqref="C44:CC44">
    <cfRule type="cellIs" dxfId="0" priority="13" stopIfTrue="1" operator="notEqual">
      <formula>C42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" zoomScaleNormal="100" workbookViewId="0">
      <selection activeCell="N63" sqref="N6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205</v>
      </c>
      <c r="M1" s="68">
        <f t="array" aca="1" ref="M1" ca="1">SUM(IF(NOT(ISNA(B2:B60)),1,0))</f>
        <v>44</v>
      </c>
      <c r="N1" s="128"/>
      <c r="O1" s="131" t="s">
        <v>79</v>
      </c>
      <c r="P1" s="129" t="s">
        <v>7</v>
      </c>
      <c r="Q1" s="129" t="s">
        <v>215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Patel H</v>
      </c>
      <c r="C2" s="72">
        <f ca="1">OFFSET(Batting!$CF$4,BatAves!$I2,0)</f>
        <v>4</v>
      </c>
      <c r="D2" s="72">
        <f ca="1">OFFSET(Batting!$CH$4,BatAves!$I2,0)</f>
        <v>4</v>
      </c>
      <c r="E2" s="72">
        <f ca="1">OFFSET(Batting!$CI$4,BatAves!$I2,0)</f>
        <v>3</v>
      </c>
      <c r="F2" s="72" t="str">
        <f ca="1">OFFSET(Batting!$CK$4,BatAves!$I2,0)</f>
        <v>26*</v>
      </c>
      <c r="G2" s="72">
        <f ca="1">OFFSET(Batting!$CL$4,BatAves!$I2,0)</f>
        <v>59</v>
      </c>
      <c r="H2" s="76">
        <f ca="1">OFFSET(Batting!$CM$4,BatAves!$I2,0)</f>
        <v>59</v>
      </c>
      <c r="I2" s="68">
        <f>MATCH(A2,Batting!$DH$5:$DH$48,0)</f>
        <v>28</v>
      </c>
      <c r="J2" s="68">
        <f ca="1">IF(D2&gt;=5,A2,1000+A2)</f>
        <v>1001</v>
      </c>
      <c r="K2" s="68">
        <f ca="1">RANK(J2,OFFSET($J$2,0,0,$M$1,1),-1)</f>
        <v>15</v>
      </c>
      <c r="L2" s="68" t="str">
        <f ca="1">IF(D2&lt;5,B2&amp;" "&amp;D2&amp;"-"&amp;E2&amp;"-"&amp;F2&amp;"-"&amp;G2,"")</f>
        <v>Patel H 4-3-26*-59</v>
      </c>
      <c r="M2" s="68">
        <f ca="1">MATCH(N2,OFFSET($K$2,0,0,$M$1,1),0)</f>
        <v>2</v>
      </c>
      <c r="N2" s="180">
        <v>1</v>
      </c>
      <c r="O2" s="180" t="str">
        <f ca="1">OFFSET(B$1,$M2,0)</f>
        <v>Sharpe D</v>
      </c>
      <c r="P2" s="180">
        <f ca="1">OFFSET(D$1,$M2,0)</f>
        <v>9</v>
      </c>
      <c r="Q2" s="180">
        <f ca="1">OFFSET(E$1,$M2,0)</f>
        <v>1</v>
      </c>
      <c r="R2" s="180" t="str">
        <f ca="1">OFFSET(F$1,$M2,0)</f>
        <v>109*</v>
      </c>
      <c r="S2" s="180">
        <f ca="1">OFFSET(G$1,$M2,0)</f>
        <v>419</v>
      </c>
      <c r="T2" s="181">
        <f ca="1">OFFSET(H$1,$M2,0)</f>
        <v>52.375</v>
      </c>
      <c r="U2" s="72"/>
      <c r="V2" s="68" t="s">
        <v>204</v>
      </c>
      <c r="W2" s="68" t="s">
        <v>204</v>
      </c>
    </row>
    <row r="3" spans="1:23" ht="12.75" x14ac:dyDescent="0.15">
      <c r="A3" s="68">
        <v>2</v>
      </c>
      <c r="B3" s="68" t="str">
        <f ca="1">OFFSET(Batting!$C$4,BatAves!$I3,0)</f>
        <v>Sharpe D</v>
      </c>
      <c r="C3" s="72">
        <f ca="1">OFFSET(Batting!$CF$4,BatAves!$I3,0)</f>
        <v>10</v>
      </c>
      <c r="D3" s="72">
        <f ca="1">OFFSET(Batting!$CH$4,BatAves!$I3,0)</f>
        <v>9</v>
      </c>
      <c r="E3" s="72">
        <f ca="1">OFFSET(Batting!$CI$4,BatAves!$I3,0)</f>
        <v>1</v>
      </c>
      <c r="F3" s="72" t="str">
        <f ca="1">OFFSET(Batting!$CK$4,BatAves!$I3,0)</f>
        <v>109*</v>
      </c>
      <c r="G3" s="72">
        <f ca="1">OFFSET(Batting!$CL$4,BatAves!$I3,0)</f>
        <v>419</v>
      </c>
      <c r="H3" s="76">
        <f ca="1">OFFSET(Batting!$CM$4,BatAves!$I3,0)</f>
        <v>52.375</v>
      </c>
      <c r="I3" s="68">
        <f>MATCH(A3,Batting!$DH$5:$DH$48,0)</f>
        <v>32</v>
      </c>
      <c r="J3" s="68">
        <f t="shared" ref="J3:J60" ca="1" si="0">IF(D3&gt;=5,A3,1000+A3)</f>
        <v>2</v>
      </c>
      <c r="K3" s="68">
        <f t="shared" ref="K3:K60" ca="1" si="1">RANK(J3,OFFSET($J$2,0,0,$M$1,1),-1)</f>
        <v>1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3</v>
      </c>
      <c r="N3" s="180">
        <v>2</v>
      </c>
      <c r="O3" s="180" t="str">
        <f t="shared" ref="O3:O43" ca="1" si="3">OFFSET(B$1,$M3,0)</f>
        <v>Springer T</v>
      </c>
      <c r="P3" s="180">
        <f t="shared" ref="P3:P43" ca="1" si="4">OFFSET(D$1,$M3,0)</f>
        <v>18</v>
      </c>
      <c r="Q3" s="180">
        <f t="shared" ref="Q3:Q43" ca="1" si="5">OFFSET(E$1,$M3,0)</f>
        <v>2</v>
      </c>
      <c r="R3" s="180">
        <f t="shared" ref="R3:R43" ca="1" si="6">OFFSET(F$1,$M3,0)</f>
        <v>93</v>
      </c>
      <c r="S3" s="180">
        <f t="shared" ref="S3:S43" ca="1" si="7">OFFSET(G$1,$M3,0)</f>
        <v>558</v>
      </c>
      <c r="T3" s="181">
        <f t="shared" ref="T3:T43" ca="1" si="8">OFFSET(H$1,$M3,0)</f>
        <v>34.875</v>
      </c>
      <c r="V3" s="68" t="s">
        <v>204</v>
      </c>
      <c r="W3" s="68" t="s">
        <v>204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OFFSET(Batting!$CF$4,BatAves!$I4,0)</f>
        <v>20</v>
      </c>
      <c r="D4" s="72">
        <f ca="1">OFFSET(Batting!$CH$4,BatAves!$I4,0)</f>
        <v>18</v>
      </c>
      <c r="E4" s="72">
        <f ca="1">OFFSET(Batting!$CI$4,BatAves!$I4,0)</f>
        <v>2</v>
      </c>
      <c r="F4" s="72">
        <f ca="1">OFFSET(Batting!$CK$4,BatAves!$I4,0)</f>
        <v>93</v>
      </c>
      <c r="G4" s="72">
        <f ca="1">OFFSET(Batting!$CL$4,BatAves!$I4,0)</f>
        <v>558</v>
      </c>
      <c r="H4" s="76">
        <f ca="1">OFFSET(Batting!$CM$4,BatAves!$I4,0)</f>
        <v>34.875</v>
      </c>
      <c r="I4" s="68">
        <f>MATCH(A4,Batting!$DH$5:$DH$48,0)</f>
        <v>37</v>
      </c>
      <c r="J4" s="68">
        <f t="shared" ca="1" si="0"/>
        <v>3</v>
      </c>
      <c r="K4" s="68">
        <f t="shared" ca="1" si="1"/>
        <v>2</v>
      </c>
      <c r="L4" s="68" t="str">
        <f t="shared" ca="1" si="2"/>
        <v/>
      </c>
      <c r="M4" s="68">
        <f t="shared" ref="M4:M43" ca="1" si="9">MATCH(N4,OFFSET($K$2,0,0,$M$1,1),0)</f>
        <v>5</v>
      </c>
      <c r="N4" s="180">
        <v>3</v>
      </c>
      <c r="O4" s="180" t="str">
        <f t="shared" ca="1" si="3"/>
        <v>Middleton J</v>
      </c>
      <c r="P4" s="180">
        <f t="shared" ca="1" si="4"/>
        <v>12</v>
      </c>
      <c r="Q4" s="180">
        <f t="shared" ca="1" si="5"/>
        <v>3</v>
      </c>
      <c r="R4" s="180" t="str">
        <f t="shared" ca="1" si="6"/>
        <v>77*</v>
      </c>
      <c r="S4" s="180">
        <f t="shared" ca="1" si="7"/>
        <v>283</v>
      </c>
      <c r="T4" s="181">
        <f t="shared" ca="1" si="8"/>
        <v>31.444444444444443</v>
      </c>
      <c r="V4" s="68" t="s">
        <v>204</v>
      </c>
      <c r="W4" s="68" t="s">
        <v>204</v>
      </c>
    </row>
    <row r="5" spans="1:23" ht="12.75" x14ac:dyDescent="0.15">
      <c r="A5" s="68">
        <v>4</v>
      </c>
      <c r="B5" s="68" t="str">
        <f ca="1">OFFSET(Batting!$C$4,BatAves!$I5,0)</f>
        <v>Street</v>
      </c>
      <c r="C5" s="72">
        <f ca="1">OFFSET(Batting!$CF$4,BatAves!$I5,0)</f>
        <v>1</v>
      </c>
      <c r="D5" s="72">
        <f ca="1">OFFSET(Batting!$CH$4,BatAves!$I5,0)</f>
        <v>1</v>
      </c>
      <c r="E5" s="72">
        <f ca="1">OFFSET(Batting!$CI$4,BatAves!$I5,0)</f>
        <v>0</v>
      </c>
      <c r="F5" s="72">
        <f ca="1">OFFSET(Batting!$CK$4,BatAves!$I5,0)</f>
        <v>33</v>
      </c>
      <c r="G5" s="72">
        <f ca="1">OFFSET(Batting!$CL$4,BatAves!$I5,0)</f>
        <v>33</v>
      </c>
      <c r="H5" s="76">
        <f ca="1">OFFSET(Batting!$CM$4,BatAves!$I5,0)</f>
        <v>33</v>
      </c>
      <c r="I5" s="68">
        <f>MATCH(A5,Batting!$DH$5:$DH$48,0)</f>
        <v>39</v>
      </c>
      <c r="J5" s="68">
        <f t="shared" ca="1" si="0"/>
        <v>1004</v>
      </c>
      <c r="K5" s="68">
        <f t="shared" ca="1" si="1"/>
        <v>16</v>
      </c>
      <c r="L5" s="68" t="str">
        <f t="shared" ca="1" si="2"/>
        <v>Street 1-0-33-33</v>
      </c>
      <c r="M5" s="68">
        <f t="shared" ca="1" si="9"/>
        <v>6</v>
      </c>
      <c r="N5" s="180">
        <v>4</v>
      </c>
      <c r="O5" s="180" t="str">
        <f t="shared" ca="1" si="3"/>
        <v>Viveganandan R</v>
      </c>
      <c r="P5" s="180">
        <f t="shared" ca="1" si="4"/>
        <v>13</v>
      </c>
      <c r="Q5" s="180">
        <f t="shared" ca="1" si="5"/>
        <v>2</v>
      </c>
      <c r="R5" s="180">
        <f t="shared" ca="1" si="6"/>
        <v>66</v>
      </c>
      <c r="S5" s="180">
        <f t="shared" ca="1" si="7"/>
        <v>315</v>
      </c>
      <c r="T5" s="181">
        <f t="shared" ca="1" si="8"/>
        <v>28.636363636363637</v>
      </c>
      <c r="V5" s="68" t="s">
        <v>204</v>
      </c>
      <c r="W5" s="68" t="s">
        <v>204</v>
      </c>
    </row>
    <row r="6" spans="1:23" ht="12.75" x14ac:dyDescent="0.15">
      <c r="A6" s="68">
        <v>5</v>
      </c>
      <c r="B6" s="68" t="str">
        <f ca="1">OFFSET(Batting!$C$4,BatAves!$I6,0)</f>
        <v>Middleton J</v>
      </c>
      <c r="C6" s="72">
        <f ca="1">OFFSET(Batting!$CF$4,BatAves!$I6,0)</f>
        <v>14</v>
      </c>
      <c r="D6" s="72">
        <f ca="1">OFFSET(Batting!$CH$4,BatAves!$I6,0)</f>
        <v>12</v>
      </c>
      <c r="E6" s="72">
        <f ca="1">OFFSET(Batting!$CI$4,BatAves!$I6,0)</f>
        <v>3</v>
      </c>
      <c r="F6" s="72" t="str">
        <f ca="1">OFFSET(Batting!$CK$4,BatAves!$I6,0)</f>
        <v>77*</v>
      </c>
      <c r="G6" s="72">
        <f ca="1">OFFSET(Batting!$CL$4,BatAves!$I6,0)</f>
        <v>283</v>
      </c>
      <c r="H6" s="76">
        <f ca="1">OFFSET(Batting!$CM$4,BatAves!$I6,0)</f>
        <v>31.444444444444443</v>
      </c>
      <c r="I6" s="68">
        <f>MATCH(A6,Batting!$DH$5:$DH$48,0)</f>
        <v>22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7</v>
      </c>
      <c r="N6" s="180">
        <v>5</v>
      </c>
      <c r="O6" s="180" t="str">
        <f t="shared" ca="1" si="3"/>
        <v>Tapadar S</v>
      </c>
      <c r="P6" s="180">
        <f t="shared" ca="1" si="4"/>
        <v>16</v>
      </c>
      <c r="Q6" s="180">
        <f t="shared" ca="1" si="5"/>
        <v>1</v>
      </c>
      <c r="R6" s="180">
        <f t="shared" ca="1" si="6"/>
        <v>51</v>
      </c>
      <c r="S6" s="180">
        <f t="shared" ca="1" si="7"/>
        <v>405</v>
      </c>
      <c r="T6" s="181">
        <f t="shared" ca="1" si="8"/>
        <v>27</v>
      </c>
      <c r="V6" s="68" t="s">
        <v>204</v>
      </c>
      <c r="W6" s="68" t="s">
        <v>204</v>
      </c>
    </row>
    <row r="7" spans="1:23" ht="12.75" x14ac:dyDescent="0.15">
      <c r="A7" s="68">
        <v>6</v>
      </c>
      <c r="B7" s="68" t="str">
        <f ca="1">OFFSET(Batting!$C$4,BatAves!$I7,0)</f>
        <v>Viveganandan R</v>
      </c>
      <c r="C7" s="72">
        <f ca="1">OFFSET(Batting!$CF$4,BatAves!$I7,0)</f>
        <v>14</v>
      </c>
      <c r="D7" s="72">
        <f ca="1">OFFSET(Batting!$CH$4,BatAves!$I7,0)</f>
        <v>13</v>
      </c>
      <c r="E7" s="72">
        <f ca="1">OFFSET(Batting!$CI$4,BatAves!$I7,0)</f>
        <v>2</v>
      </c>
      <c r="F7" s="72">
        <f ca="1">OFFSET(Batting!$CK$4,BatAves!$I7,0)</f>
        <v>66</v>
      </c>
      <c r="G7" s="72">
        <f ca="1">OFFSET(Batting!$CL$4,BatAves!$I7,0)</f>
        <v>315</v>
      </c>
      <c r="H7" s="76">
        <f ca="1">OFFSET(Batting!$CM$4,BatAves!$I7,0)</f>
        <v>28.636363636363637</v>
      </c>
      <c r="I7" s="68">
        <f>MATCH(A7,Batting!$DH$5:$DH$48,0)</f>
        <v>41</v>
      </c>
      <c r="J7" s="68">
        <f t="shared" ca="1" si="0"/>
        <v>6</v>
      </c>
      <c r="K7" s="68">
        <f t="shared" ca="1" si="1"/>
        <v>4</v>
      </c>
      <c r="L7" s="68" t="str">
        <f t="shared" ca="1" si="2"/>
        <v/>
      </c>
      <c r="M7" s="68">
        <f t="shared" ca="1" si="9"/>
        <v>10</v>
      </c>
      <c r="N7" s="180">
        <v>6</v>
      </c>
      <c r="O7" s="180" t="str">
        <f t="shared" ca="1" si="3"/>
        <v>Brocks D</v>
      </c>
      <c r="P7" s="180">
        <f t="shared" ca="1" si="4"/>
        <v>7</v>
      </c>
      <c r="Q7" s="180">
        <f t="shared" ca="1" si="5"/>
        <v>1</v>
      </c>
      <c r="R7" s="180" t="str">
        <f t="shared" ca="1" si="6"/>
        <v>67*</v>
      </c>
      <c r="S7" s="180">
        <f t="shared" ca="1" si="7"/>
        <v>131</v>
      </c>
      <c r="T7" s="181">
        <f t="shared" ca="1" si="8"/>
        <v>21.833333333333332</v>
      </c>
      <c r="V7" s="68" t="s">
        <v>204</v>
      </c>
      <c r="W7" s="68" t="s">
        <v>204</v>
      </c>
    </row>
    <row r="8" spans="1:23" ht="12.75" x14ac:dyDescent="0.15">
      <c r="A8" s="68">
        <v>7</v>
      </c>
      <c r="B8" s="68" t="str">
        <f ca="1">OFFSET(Batting!$C$4,BatAves!$I8,0)</f>
        <v>Tapadar S</v>
      </c>
      <c r="C8" s="72">
        <f ca="1">OFFSET(Batting!$CF$4,BatAves!$I8,0)</f>
        <v>17</v>
      </c>
      <c r="D8" s="72">
        <f ca="1">OFFSET(Batting!$CH$4,BatAves!$I8,0)</f>
        <v>16</v>
      </c>
      <c r="E8" s="72">
        <f ca="1">OFFSET(Batting!$CI$4,BatAves!$I8,0)</f>
        <v>1</v>
      </c>
      <c r="F8" s="72">
        <f ca="1">OFFSET(Batting!$CK$4,BatAves!$I8,0)</f>
        <v>51</v>
      </c>
      <c r="G8" s="72">
        <f ca="1">OFFSET(Batting!$CL$4,BatAves!$I8,0)</f>
        <v>405</v>
      </c>
      <c r="H8" s="76">
        <f ca="1">OFFSET(Batting!$CM$4,BatAves!$I8,0)</f>
        <v>27</v>
      </c>
      <c r="I8" s="68">
        <f>MATCH(A8,Batting!$DH$5:$DH$48,0)</f>
        <v>40</v>
      </c>
      <c r="J8" s="68">
        <f t="shared" ca="1" si="0"/>
        <v>7</v>
      </c>
      <c r="K8" s="68">
        <f t="shared" ca="1" si="1"/>
        <v>5</v>
      </c>
      <c r="L8" s="68" t="str">
        <f t="shared" ca="1" si="2"/>
        <v/>
      </c>
      <c r="M8" s="68">
        <f t="shared" ca="1" si="9"/>
        <v>11</v>
      </c>
      <c r="N8" s="180">
        <v>7</v>
      </c>
      <c r="O8" s="180" t="str">
        <f t="shared" ca="1" si="3"/>
        <v>Seymour C</v>
      </c>
      <c r="P8" s="180">
        <f t="shared" ca="1" si="4"/>
        <v>21</v>
      </c>
      <c r="Q8" s="180">
        <f t="shared" ca="1" si="5"/>
        <v>3</v>
      </c>
      <c r="R8" s="180" t="str">
        <f t="shared" ca="1" si="6"/>
        <v>50*</v>
      </c>
      <c r="S8" s="180">
        <f t="shared" ca="1" si="7"/>
        <v>391</v>
      </c>
      <c r="T8" s="181">
        <f t="shared" ca="1" si="8"/>
        <v>21.722222222222221</v>
      </c>
      <c r="V8" s="103" t="s">
        <v>204</v>
      </c>
      <c r="W8" s="68" t="s">
        <v>204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OFFSET(Batting!$CF$4,BatAves!$I9,0)</f>
        <v>3</v>
      </c>
      <c r="D9" s="72">
        <f ca="1">OFFSET(Batting!$CH$4,BatAves!$I9,0)</f>
        <v>2</v>
      </c>
      <c r="E9" s="72">
        <f ca="1">OFFSET(Batting!$CI$4,BatAves!$I9,0)</f>
        <v>0</v>
      </c>
      <c r="F9" s="72">
        <f ca="1">OFFSET(Batting!$CK$4,BatAves!$I9,0)</f>
        <v>47</v>
      </c>
      <c r="G9" s="72">
        <f ca="1">OFFSET(Batting!$CL$4,BatAves!$I9,0)</f>
        <v>47</v>
      </c>
      <c r="H9" s="76">
        <f ca="1">OFFSET(Batting!$CM$4,BatAves!$I9,0)</f>
        <v>23.5</v>
      </c>
      <c r="I9" s="68">
        <f>MATCH(A9,Batting!$DH$5:$DH$48,0)</f>
        <v>9</v>
      </c>
      <c r="J9" s="68">
        <f t="shared" ca="1" si="0"/>
        <v>1008</v>
      </c>
      <c r="K9" s="68">
        <f t="shared" ca="1" si="1"/>
        <v>17</v>
      </c>
      <c r="L9" s="68" t="str">
        <f t="shared" ca="1" si="2"/>
        <v>Driver S 2-0-47-47</v>
      </c>
      <c r="M9" s="68">
        <f t="shared" ca="1" si="9"/>
        <v>12</v>
      </c>
      <c r="N9" s="180">
        <v>8</v>
      </c>
      <c r="O9" s="180" t="str">
        <f t="shared" ca="1" si="3"/>
        <v>Clarkson M</v>
      </c>
      <c r="P9" s="180">
        <f t="shared" ca="1" si="4"/>
        <v>7</v>
      </c>
      <c r="Q9" s="180">
        <f t="shared" ca="1" si="5"/>
        <v>1</v>
      </c>
      <c r="R9" s="180" t="str">
        <f t="shared" ca="1" si="6"/>
        <v>71*</v>
      </c>
      <c r="S9" s="180">
        <f t="shared" ca="1" si="7"/>
        <v>122</v>
      </c>
      <c r="T9" s="181">
        <f t="shared" ca="1" si="8"/>
        <v>20.333333333333332</v>
      </c>
      <c r="V9" s="103" t="s">
        <v>204</v>
      </c>
      <c r="W9" s="68" t="s">
        <v>204</v>
      </c>
    </row>
    <row r="10" spans="1:23" ht="12.75" x14ac:dyDescent="0.15">
      <c r="A10" s="68">
        <v>9</v>
      </c>
      <c r="B10" s="68" t="str">
        <f ca="1">OFFSET(Batting!$C$4,BatAves!$I10,0)</f>
        <v>Freira J</v>
      </c>
      <c r="C10" s="72">
        <f ca="1">OFFSET(Batting!$CF$4,BatAves!$I10,0)</f>
        <v>2</v>
      </c>
      <c r="D10" s="72">
        <f ca="1">OFFSET(Batting!$CH$4,BatAves!$I10,0)</f>
        <v>2</v>
      </c>
      <c r="E10" s="72">
        <f ca="1">OFFSET(Batting!$CI$4,BatAves!$I10,0)</f>
        <v>1</v>
      </c>
      <c r="F10" s="72" t="str">
        <f ca="1">OFFSET(Batting!$CK$4,BatAves!$I10,0)</f>
        <v>13*</v>
      </c>
      <c r="G10" s="72">
        <f ca="1">OFFSET(Batting!$CL$4,BatAves!$I10,0)</f>
        <v>22</v>
      </c>
      <c r="H10" s="76">
        <f ca="1">OFFSET(Batting!$CM$4,BatAves!$I10,0)</f>
        <v>22</v>
      </c>
      <c r="I10" s="68">
        <f>MATCH(A10,Batting!$DH$5:$DH$48,0)</f>
        <v>12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Freira J 2-1-13*-22</v>
      </c>
      <c r="M10" s="68">
        <f t="shared" ca="1" si="9"/>
        <v>17</v>
      </c>
      <c r="N10" s="180">
        <v>9</v>
      </c>
      <c r="O10" s="180" t="str">
        <f t="shared" ca="1" si="3"/>
        <v>Edghill C</v>
      </c>
      <c r="P10" s="180">
        <f t="shared" ca="1" si="4"/>
        <v>7</v>
      </c>
      <c r="Q10" s="180">
        <f t="shared" ca="1" si="5"/>
        <v>1</v>
      </c>
      <c r="R10" s="180">
        <f t="shared" ca="1" si="6"/>
        <v>21</v>
      </c>
      <c r="S10" s="180">
        <f t="shared" ca="1" si="7"/>
        <v>82</v>
      </c>
      <c r="T10" s="181">
        <f t="shared" ca="1" si="8"/>
        <v>13.666666666666666</v>
      </c>
      <c r="V10" s="103" t="s">
        <v>204</v>
      </c>
    </row>
    <row r="11" spans="1:23" ht="12.75" x14ac:dyDescent="0.15">
      <c r="A11" s="68">
        <v>10</v>
      </c>
      <c r="B11" s="68" t="str">
        <f ca="1">OFFSET(Batting!$C$4,BatAves!$I11,0)</f>
        <v>Brocks D</v>
      </c>
      <c r="C11" s="72">
        <f ca="1">OFFSET(Batting!$CF$4,BatAves!$I11,0)</f>
        <v>8</v>
      </c>
      <c r="D11" s="72">
        <f ca="1">OFFSET(Batting!$CH$4,BatAves!$I11,0)</f>
        <v>7</v>
      </c>
      <c r="E11" s="72">
        <f ca="1">OFFSET(Batting!$CI$4,BatAves!$I11,0)</f>
        <v>1</v>
      </c>
      <c r="F11" s="72" t="str">
        <f ca="1">OFFSET(Batting!$CK$4,BatAves!$I11,0)</f>
        <v>67*</v>
      </c>
      <c r="G11" s="72">
        <f ca="1">OFFSET(Batting!$CL$4,BatAves!$I11,0)</f>
        <v>131</v>
      </c>
      <c r="H11" s="76">
        <f ca="1">OFFSET(Batting!$CM$4,BatAves!$I11,0)</f>
        <v>21.833333333333332</v>
      </c>
      <c r="I11" s="68">
        <f>MATCH(A11,Batting!$DH$5:$DH$48,0)</f>
        <v>4</v>
      </c>
      <c r="J11" s="68">
        <f t="shared" ca="1" si="0"/>
        <v>10</v>
      </c>
      <c r="K11" s="68">
        <f t="shared" ca="1" si="1"/>
        <v>6</v>
      </c>
      <c r="L11" s="68" t="str">
        <f t="shared" ca="1" si="2"/>
        <v/>
      </c>
      <c r="M11" s="68">
        <f t="shared" ca="1" si="9"/>
        <v>20</v>
      </c>
      <c r="N11" s="180">
        <v>10</v>
      </c>
      <c r="O11" s="180" t="str">
        <f t="shared" ca="1" si="3"/>
        <v>Rathi N</v>
      </c>
      <c r="P11" s="180">
        <f t="shared" ca="1" si="4"/>
        <v>6</v>
      </c>
      <c r="Q11" s="180">
        <f t="shared" ca="1" si="5"/>
        <v>1</v>
      </c>
      <c r="R11" s="180" t="str">
        <f t="shared" ca="1" si="6"/>
        <v>25*</v>
      </c>
      <c r="S11" s="180">
        <f t="shared" ca="1" si="7"/>
        <v>49</v>
      </c>
      <c r="T11" s="181">
        <f t="shared" ca="1" si="8"/>
        <v>9.8000000000000007</v>
      </c>
      <c r="V11" s="103" t="s">
        <v>204</v>
      </c>
    </row>
    <row r="12" spans="1:23" ht="12.75" x14ac:dyDescent="0.15">
      <c r="A12" s="68">
        <v>11</v>
      </c>
      <c r="B12" s="68" t="str">
        <f ca="1">OFFSET(Batting!$C$4,BatAves!$I12,0)</f>
        <v>Seymour C</v>
      </c>
      <c r="C12" s="72">
        <f ca="1">OFFSET(Batting!$CF$4,BatAves!$I12,0)</f>
        <v>21</v>
      </c>
      <c r="D12" s="72">
        <f ca="1">OFFSET(Batting!$CH$4,BatAves!$I12,0)</f>
        <v>21</v>
      </c>
      <c r="E12" s="72">
        <f ca="1">OFFSET(Batting!$CI$4,BatAves!$I12,0)</f>
        <v>3</v>
      </c>
      <c r="F12" s="72" t="str">
        <f ca="1">OFFSET(Batting!$CK$4,BatAves!$I12,0)</f>
        <v>50*</v>
      </c>
      <c r="G12" s="72">
        <f ca="1">OFFSET(Batting!$CL$4,BatAves!$I12,0)</f>
        <v>391</v>
      </c>
      <c r="H12" s="76">
        <f ca="1">OFFSET(Batting!$CM$4,BatAves!$I12,0)</f>
        <v>21.722222222222221</v>
      </c>
      <c r="I12" s="68">
        <f>MATCH(A12,Batting!$DH$5:$DH$48,0)</f>
        <v>30</v>
      </c>
      <c r="J12" s="68">
        <f t="shared" ca="1" si="0"/>
        <v>11</v>
      </c>
      <c r="K12" s="68">
        <f t="shared" ca="1" si="1"/>
        <v>7</v>
      </c>
      <c r="L12" s="68" t="str">
        <f t="shared" ca="1" si="2"/>
        <v/>
      </c>
      <c r="M12" s="68">
        <f t="shared" ca="1" si="9"/>
        <v>21</v>
      </c>
      <c r="N12" s="180">
        <v>11</v>
      </c>
      <c r="O12" s="180" t="str">
        <f t="shared" ca="1" si="3"/>
        <v>Castle I</v>
      </c>
      <c r="P12" s="180">
        <f t="shared" ca="1" si="4"/>
        <v>8</v>
      </c>
      <c r="Q12" s="180">
        <f t="shared" ca="1" si="5"/>
        <v>0</v>
      </c>
      <c r="R12" s="180">
        <f t="shared" ca="1" si="6"/>
        <v>19</v>
      </c>
      <c r="S12" s="180">
        <f t="shared" ca="1" si="7"/>
        <v>78</v>
      </c>
      <c r="T12" s="181">
        <f t="shared" ca="1" si="8"/>
        <v>9.75</v>
      </c>
      <c r="V12" s="103" t="s">
        <v>204</v>
      </c>
    </row>
    <row r="13" spans="1:23" ht="12.75" x14ac:dyDescent="0.15">
      <c r="A13" s="68">
        <v>12</v>
      </c>
      <c r="B13" s="68" t="str">
        <f ca="1">OFFSET(Batting!$C$4,BatAves!$I13,0)</f>
        <v>Clarkson M</v>
      </c>
      <c r="C13" s="72">
        <f ca="1">OFFSET(Batting!$CF$4,BatAves!$I13,0)</f>
        <v>9</v>
      </c>
      <c r="D13" s="72">
        <f ca="1">OFFSET(Batting!$CH$4,BatAves!$I13,0)</f>
        <v>7</v>
      </c>
      <c r="E13" s="72">
        <f ca="1">OFFSET(Batting!$CI$4,BatAves!$I13,0)</f>
        <v>1</v>
      </c>
      <c r="F13" s="72" t="str">
        <f ca="1">OFFSET(Batting!$CK$4,BatAves!$I13,0)</f>
        <v>71*</v>
      </c>
      <c r="G13" s="72">
        <f ca="1">OFFSET(Batting!$CL$4,BatAves!$I13,0)</f>
        <v>122</v>
      </c>
      <c r="H13" s="76">
        <f ca="1">OFFSET(Batting!$CM$4,BatAves!$I13,0)</f>
        <v>20.333333333333332</v>
      </c>
      <c r="I13" s="68">
        <f>MATCH(A13,Batting!$DH$5:$DH$48,0)</f>
        <v>7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28</v>
      </c>
      <c r="N13" s="128">
        <v>12</v>
      </c>
      <c r="O13" s="128" t="str">
        <f t="shared" ca="1" si="3"/>
        <v>Smith C</v>
      </c>
      <c r="P13" s="128">
        <f t="shared" ca="1" si="4"/>
        <v>11</v>
      </c>
      <c r="Q13" s="128">
        <f t="shared" ca="1" si="5"/>
        <v>2</v>
      </c>
      <c r="R13" s="128" t="str">
        <f t="shared" ca="1" si="6"/>
        <v>11*</v>
      </c>
      <c r="S13" s="128">
        <f t="shared" ca="1" si="7"/>
        <v>52</v>
      </c>
      <c r="T13" s="130">
        <f t="shared" ca="1" si="8"/>
        <v>5.7777777777777777</v>
      </c>
      <c r="V13" s="103" t="s">
        <v>204</v>
      </c>
    </row>
    <row r="14" spans="1:23" ht="12.75" x14ac:dyDescent="0.15">
      <c r="A14" s="68">
        <v>13</v>
      </c>
      <c r="B14" s="68" t="str">
        <f ca="1">OFFSET(Batting!$C$4,BatAves!$I14,0)</f>
        <v>Niran N</v>
      </c>
      <c r="C14" s="72">
        <f ca="1">OFFSET(Batting!$CF$4,BatAves!$I14,0)</f>
        <v>4</v>
      </c>
      <c r="D14" s="72">
        <f ca="1">OFFSET(Batting!$CH$4,BatAves!$I14,0)</f>
        <v>3</v>
      </c>
      <c r="E14" s="72">
        <f ca="1">OFFSET(Batting!$CI$4,BatAves!$I14,0)</f>
        <v>0</v>
      </c>
      <c r="F14" s="72">
        <f ca="1">OFFSET(Batting!$CK$4,BatAves!$I14,0)</f>
        <v>27</v>
      </c>
      <c r="G14" s="72">
        <f ca="1">OFFSET(Batting!$CL$4,BatAves!$I14,0)</f>
        <v>58</v>
      </c>
      <c r="H14" s="76">
        <f ca="1">OFFSET(Batting!$CM$4,BatAves!$I14,0)</f>
        <v>19.333333333333332</v>
      </c>
      <c r="I14" s="68">
        <f>MATCH(A14,Batting!$DH$5:$DH$48,0)</f>
        <v>25</v>
      </c>
      <c r="J14" s="68">
        <f t="shared" ca="1" si="0"/>
        <v>1013</v>
      </c>
      <c r="K14" s="68">
        <f t="shared" ca="1" si="1"/>
        <v>19</v>
      </c>
      <c r="L14" s="68" t="str">
        <f t="shared" ca="1" si="2"/>
        <v>Niran N 3-0-27-58</v>
      </c>
      <c r="M14" s="68">
        <f t="shared" ca="1" si="9"/>
        <v>30</v>
      </c>
      <c r="N14" s="128">
        <v>13</v>
      </c>
      <c r="O14" s="128" t="str">
        <f t="shared" ca="1" si="3"/>
        <v>Mander A</v>
      </c>
      <c r="P14" s="128">
        <f t="shared" ca="1" si="4"/>
        <v>7</v>
      </c>
      <c r="Q14" s="128">
        <f t="shared" ca="1" si="5"/>
        <v>4</v>
      </c>
      <c r="R14" s="128">
        <f t="shared" ca="1" si="6"/>
        <v>5</v>
      </c>
      <c r="S14" s="128">
        <f t="shared" ca="1" si="7"/>
        <v>13</v>
      </c>
      <c r="T14" s="130">
        <f t="shared" ca="1" si="8"/>
        <v>4.333333333333333</v>
      </c>
      <c r="V14" s="103" t="s">
        <v>204</v>
      </c>
    </row>
    <row r="15" spans="1:23" ht="12.75" x14ac:dyDescent="0.15">
      <c r="A15" s="68">
        <v>14</v>
      </c>
      <c r="B15" s="68" t="str">
        <f ca="1">OFFSET(Batting!$C$4,BatAves!$I15,0)</f>
        <v>Azfar S</v>
      </c>
      <c r="C15" s="72">
        <f ca="1">OFFSET(Batting!$CF$4,BatAves!$I15,0)</f>
        <v>3</v>
      </c>
      <c r="D15" s="72">
        <f ca="1">OFFSET(Batting!$CH$4,BatAves!$I15,0)</f>
        <v>3</v>
      </c>
      <c r="E15" s="72">
        <f ca="1">OFFSET(Batting!$CI$4,BatAves!$I15,0)</f>
        <v>0</v>
      </c>
      <c r="F15" s="72">
        <f ca="1">OFFSET(Batting!$CK$4,BatAves!$I15,0)</f>
        <v>22</v>
      </c>
      <c r="G15" s="72">
        <f ca="1">OFFSET(Batting!$CL$4,BatAves!$I15,0)</f>
        <v>42</v>
      </c>
      <c r="H15" s="76">
        <f ca="1">OFFSET(Batting!$CM$4,BatAves!$I15,0)</f>
        <v>14</v>
      </c>
      <c r="I15" s="68">
        <f>MATCH(A15,Batting!$DH$5:$DH$48,0)</f>
        <v>1</v>
      </c>
      <c r="J15" s="68">
        <f t="shared" ca="1" si="0"/>
        <v>1014</v>
      </c>
      <c r="K15" s="68">
        <f t="shared" ca="1" si="1"/>
        <v>20</v>
      </c>
      <c r="L15" s="68" t="str">
        <f t="shared" ca="1" si="2"/>
        <v>Azfar S 3-0-22-42</v>
      </c>
      <c r="M15" s="68">
        <f t="shared" ca="1" si="9"/>
        <v>31</v>
      </c>
      <c r="N15" s="128">
        <v>14</v>
      </c>
      <c r="O15" s="128" t="str">
        <f t="shared" ca="1" si="3"/>
        <v>Bowers M</v>
      </c>
      <c r="P15" s="128">
        <f t="shared" ca="1" si="4"/>
        <v>5</v>
      </c>
      <c r="Q15" s="128">
        <f t="shared" ca="1" si="5"/>
        <v>1</v>
      </c>
      <c r="R15" s="128">
        <f t="shared" ca="1" si="6"/>
        <v>10</v>
      </c>
      <c r="S15" s="128">
        <f t="shared" ca="1" si="7"/>
        <v>16</v>
      </c>
      <c r="T15" s="130">
        <f t="shared" ca="1" si="8"/>
        <v>4</v>
      </c>
      <c r="V15" s="103" t="s">
        <v>204</v>
      </c>
      <c r="W15" s="136"/>
    </row>
    <row r="16" spans="1:23" ht="12.75" x14ac:dyDescent="0.15">
      <c r="A16" s="68">
        <v>15</v>
      </c>
      <c r="B16" s="68" t="str">
        <f ca="1">OFFSET(Batting!$C$4,BatAves!$I16,0)</f>
        <v>Snell</v>
      </c>
      <c r="C16" s="72">
        <f ca="1">OFFSET(Batting!$CF$4,BatAves!$I16,0)</f>
        <v>1</v>
      </c>
      <c r="D16" s="72">
        <f ca="1">OFFSET(Batting!$CH$4,BatAves!$I16,0)</f>
        <v>1</v>
      </c>
      <c r="E16" s="72">
        <f ca="1">OFFSET(Batting!$CI$4,BatAves!$I16,0)</f>
        <v>0</v>
      </c>
      <c r="F16" s="72">
        <f ca="1">OFFSET(Batting!$CK$4,BatAves!$I16,0)</f>
        <v>14</v>
      </c>
      <c r="G16" s="72">
        <f ca="1">OFFSET(Batting!$CL$4,BatAves!$I16,0)</f>
        <v>14</v>
      </c>
      <c r="H16" s="76">
        <f ca="1">OFFSET(Batting!$CM$4,BatAves!$I16,0)</f>
        <v>14</v>
      </c>
      <c r="I16" s="68">
        <f>MATCH(A16,Batting!$DH$5:$DH$48,0)</f>
        <v>34</v>
      </c>
      <c r="J16" s="68">
        <f t="shared" ca="1" si="0"/>
        <v>1015</v>
      </c>
      <c r="K16" s="68">
        <f t="shared" ca="1" si="1"/>
        <v>21</v>
      </c>
      <c r="L16" s="68" t="str">
        <f t="shared" ca="1" si="2"/>
        <v>Snell 1-0-14-14</v>
      </c>
      <c r="M16" s="68">
        <f t="shared" ca="1" si="9"/>
        <v>1</v>
      </c>
      <c r="N16" s="128">
        <v>15</v>
      </c>
      <c r="O16" s="128" t="str">
        <f t="shared" ca="1" si="3"/>
        <v>Patel H</v>
      </c>
      <c r="P16" s="128">
        <f t="shared" ca="1" si="4"/>
        <v>4</v>
      </c>
      <c r="Q16" s="128">
        <f t="shared" ca="1" si="5"/>
        <v>3</v>
      </c>
      <c r="R16" s="128" t="str">
        <f t="shared" ca="1" si="6"/>
        <v>26*</v>
      </c>
      <c r="S16" s="128">
        <f t="shared" ca="1" si="7"/>
        <v>59</v>
      </c>
      <c r="T16" s="130">
        <f t="shared" ca="1" si="8"/>
        <v>59</v>
      </c>
      <c r="V16" s="68" t="s">
        <v>204</v>
      </c>
      <c r="W16" s="136"/>
    </row>
    <row r="17" spans="1:23" ht="12.75" x14ac:dyDescent="0.15">
      <c r="A17" s="68">
        <v>16</v>
      </c>
      <c r="B17" s="68" t="str">
        <f ca="1">OFFSET(Batting!$C$4,BatAves!$I17,0)</f>
        <v>Bartram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14</v>
      </c>
      <c r="G17" s="72">
        <f ca="1">OFFSET(Batting!$CL$4,BatAves!$I17,0)</f>
        <v>14</v>
      </c>
      <c r="H17" s="76">
        <f ca="1">OFFSET(Batting!$CM$4,BatAves!$I17,0)</f>
        <v>14</v>
      </c>
      <c r="I17" s="68">
        <f>MATCH(A17,Batting!$DH$5:$DH$48,0)</f>
        <v>2</v>
      </c>
      <c r="J17" s="68">
        <f t="shared" ca="1" si="0"/>
        <v>1016</v>
      </c>
      <c r="K17" s="68">
        <f t="shared" ca="1" si="1"/>
        <v>22</v>
      </c>
      <c r="L17" s="68" t="str">
        <f t="shared" ca="1" si="2"/>
        <v>Bartram 1-0-14-14</v>
      </c>
      <c r="M17" s="68">
        <f t="shared" ca="1" si="9"/>
        <v>4</v>
      </c>
      <c r="N17" s="128">
        <v>16</v>
      </c>
      <c r="O17" s="128" t="str">
        <f t="shared" ca="1" si="3"/>
        <v>Street</v>
      </c>
      <c r="P17" s="128">
        <f t="shared" ca="1" si="4"/>
        <v>1</v>
      </c>
      <c r="Q17" s="128">
        <f t="shared" ca="1" si="5"/>
        <v>0</v>
      </c>
      <c r="R17" s="128">
        <f t="shared" ca="1" si="6"/>
        <v>33</v>
      </c>
      <c r="S17" s="128">
        <f t="shared" ca="1" si="7"/>
        <v>33</v>
      </c>
      <c r="T17" s="130">
        <f t="shared" ca="1" si="8"/>
        <v>33</v>
      </c>
      <c r="V17" s="68" t="s">
        <v>204</v>
      </c>
      <c r="W17" s="136"/>
    </row>
    <row r="18" spans="1:23" ht="12.75" x14ac:dyDescent="0.15">
      <c r="A18" s="68">
        <v>17</v>
      </c>
      <c r="B18" s="68" t="str">
        <f ca="1">OFFSET(Batting!$C$4,BatAves!$I18,0)</f>
        <v>Edghill C</v>
      </c>
      <c r="C18" s="72">
        <f ca="1">OFFSET(Batting!$CF$4,BatAves!$I18,0)</f>
        <v>12</v>
      </c>
      <c r="D18" s="72">
        <f ca="1">OFFSET(Batting!$CH$4,BatAves!$I18,0)</f>
        <v>7</v>
      </c>
      <c r="E18" s="72">
        <f ca="1">OFFSET(Batting!$CI$4,BatAves!$I18,0)</f>
        <v>1</v>
      </c>
      <c r="F18" s="72">
        <f ca="1">OFFSET(Batting!$CK$4,BatAves!$I18,0)</f>
        <v>21</v>
      </c>
      <c r="G18" s="72">
        <f ca="1">OFFSET(Batting!$CL$4,BatAves!$I18,0)</f>
        <v>82</v>
      </c>
      <c r="H18" s="76">
        <f ca="1">OFFSET(Batting!$CM$4,BatAves!$I18,0)</f>
        <v>13.666666666666666</v>
      </c>
      <c r="I18" s="68">
        <f>MATCH(A18,Batting!$DH$5:$DH$48,0)</f>
        <v>11</v>
      </c>
      <c r="J18" s="68">
        <f t="shared" ca="1" si="0"/>
        <v>17</v>
      </c>
      <c r="K18" s="68">
        <f t="shared" ca="1" si="1"/>
        <v>9</v>
      </c>
      <c r="L18" s="68" t="str">
        <f t="shared" ca="1" si="2"/>
        <v/>
      </c>
      <c r="M18" s="68">
        <f t="shared" ca="1" si="9"/>
        <v>8</v>
      </c>
      <c r="N18" s="128">
        <v>17</v>
      </c>
      <c r="O18" s="128" t="str">
        <f t="shared" ca="1" si="3"/>
        <v>Driver S</v>
      </c>
      <c r="P18" s="128">
        <f t="shared" ca="1" si="4"/>
        <v>2</v>
      </c>
      <c r="Q18" s="128">
        <f t="shared" ca="1" si="5"/>
        <v>0</v>
      </c>
      <c r="R18" s="128">
        <f t="shared" ca="1" si="6"/>
        <v>47</v>
      </c>
      <c r="S18" s="128">
        <f t="shared" ca="1" si="7"/>
        <v>47</v>
      </c>
      <c r="T18" s="130">
        <f t="shared" ca="1" si="8"/>
        <v>23.5</v>
      </c>
      <c r="V18" s="163"/>
      <c r="W18" s="136"/>
    </row>
    <row r="19" spans="1:23" ht="12.75" x14ac:dyDescent="0.15">
      <c r="A19" s="68">
        <v>18</v>
      </c>
      <c r="B19" s="68" t="str">
        <f ca="1">OFFSET(Batting!$C$4,BatAves!$I19,0)</f>
        <v>Wilson A</v>
      </c>
      <c r="C19" s="72">
        <f ca="1">OFFSET(Batting!$CF$4,BatAves!$I19,0)</f>
        <v>4</v>
      </c>
      <c r="D19" s="72">
        <f ca="1">OFFSET(Batting!$CH$4,BatAves!$I19,0)</f>
        <v>3</v>
      </c>
      <c r="E19" s="72">
        <f ca="1">OFFSET(Batting!$CI$4,BatAves!$I19,0)</f>
        <v>1</v>
      </c>
      <c r="F19" s="72">
        <f ca="1">OFFSET(Batting!$CK$4,BatAves!$I19,0)</f>
        <v>9</v>
      </c>
      <c r="G19" s="72">
        <f ca="1">OFFSET(Batting!$CL$4,BatAves!$I19,0)</f>
        <v>25</v>
      </c>
      <c r="H19" s="76">
        <f ca="1">OFFSET(Batting!$CM$4,BatAves!$I19,0)</f>
        <v>12.5</v>
      </c>
      <c r="I19" s="68">
        <f>MATCH(A19,Batting!$DH$5:$DH$48,0)</f>
        <v>42</v>
      </c>
      <c r="J19" s="68">
        <f t="shared" ca="1" si="0"/>
        <v>1018</v>
      </c>
      <c r="K19" s="68">
        <f t="shared" ca="1" si="1"/>
        <v>23</v>
      </c>
      <c r="L19" s="68" t="str">
        <f t="shared" ca="1" si="2"/>
        <v>Wilson A 3-1-9-25</v>
      </c>
      <c r="M19" s="68">
        <f t="shared" ca="1" si="9"/>
        <v>9</v>
      </c>
      <c r="N19" s="128">
        <v>18</v>
      </c>
      <c r="O19" s="128" t="str">
        <f t="shared" ca="1" si="3"/>
        <v>Freira J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13*</v>
      </c>
      <c r="S19" s="128">
        <f t="shared" ca="1" si="7"/>
        <v>22</v>
      </c>
      <c r="T19" s="130">
        <f t="shared" ca="1" si="8"/>
        <v>22</v>
      </c>
      <c r="V19" s="163"/>
      <c r="W19" s="136" t="s">
        <v>204</v>
      </c>
    </row>
    <row r="20" spans="1:23" ht="12.75" x14ac:dyDescent="0.15">
      <c r="A20" s="68">
        <v>19</v>
      </c>
      <c r="B20" s="68" t="str">
        <f ca="1">OFFSET(Batting!$C$4,BatAves!$I20,0)</f>
        <v>Mander N</v>
      </c>
      <c r="C20" s="72">
        <f ca="1">OFFSET(Batting!$CF$4,BatAves!$I20,0)</f>
        <v>1</v>
      </c>
      <c r="D20" s="72">
        <f ca="1">OFFSET(Batting!$CH$4,BatAves!$I20,0)</f>
        <v>1</v>
      </c>
      <c r="E20" s="72">
        <f ca="1">OFFSET(Batting!$CI$4,BatAves!$I20,0)</f>
        <v>0</v>
      </c>
      <c r="F20" s="72">
        <f ca="1">OFFSET(Batting!$CK$4,BatAves!$I20,0)</f>
        <v>10</v>
      </c>
      <c r="G20" s="72">
        <f ca="1">OFFSET(Batting!$CL$4,BatAves!$I20,0)</f>
        <v>10</v>
      </c>
      <c r="H20" s="76">
        <f ca="1">OFFSET(Batting!$CM$4,BatAves!$I20,0)</f>
        <v>10</v>
      </c>
      <c r="I20" s="68">
        <f>MATCH(A20,Batting!$DH$5:$DH$48,0)</f>
        <v>21</v>
      </c>
      <c r="J20" s="68">
        <f t="shared" ca="1" si="0"/>
        <v>1019</v>
      </c>
      <c r="K20" s="68">
        <f t="shared" ca="1" si="1"/>
        <v>24</v>
      </c>
      <c r="L20" s="68" t="str">
        <f t="shared" ca="1" si="2"/>
        <v>Mander N 1-0-10-10</v>
      </c>
      <c r="M20" s="68">
        <f t="shared" ca="1" si="9"/>
        <v>13</v>
      </c>
      <c r="N20" s="128">
        <v>19</v>
      </c>
      <c r="O20" s="128" t="str">
        <f t="shared" ca="1" si="3"/>
        <v>Niran N</v>
      </c>
      <c r="P20" s="128">
        <f t="shared" ca="1" si="4"/>
        <v>3</v>
      </c>
      <c r="Q20" s="128">
        <f t="shared" ca="1" si="5"/>
        <v>0</v>
      </c>
      <c r="R20" s="128">
        <f t="shared" ca="1" si="6"/>
        <v>27</v>
      </c>
      <c r="S20" s="128">
        <f t="shared" ca="1" si="7"/>
        <v>58</v>
      </c>
      <c r="T20" s="130">
        <f t="shared" ca="1" si="8"/>
        <v>19.333333333333332</v>
      </c>
      <c r="V20" s="163"/>
      <c r="W20" s="68" t="s">
        <v>204</v>
      </c>
    </row>
    <row r="21" spans="1:23" ht="12.75" x14ac:dyDescent="0.15">
      <c r="A21" s="68">
        <v>20</v>
      </c>
      <c r="B21" s="68" t="str">
        <f ca="1">OFFSET(Batting!$C$4,BatAves!$I21,0)</f>
        <v>Rathi N</v>
      </c>
      <c r="C21" s="72">
        <f ca="1">OFFSET(Batting!$CF$4,BatAves!$I21,0)</f>
        <v>10</v>
      </c>
      <c r="D21" s="72">
        <f ca="1">OFFSET(Batting!$CH$4,BatAves!$I21,0)</f>
        <v>6</v>
      </c>
      <c r="E21" s="72">
        <f ca="1">OFFSET(Batting!$CI$4,BatAves!$I21,0)</f>
        <v>1</v>
      </c>
      <c r="F21" s="72" t="str">
        <f ca="1">OFFSET(Batting!$CK$4,BatAves!$I21,0)</f>
        <v>25*</v>
      </c>
      <c r="G21" s="72">
        <f ca="1">OFFSET(Batting!$CL$4,BatAves!$I21,0)</f>
        <v>49</v>
      </c>
      <c r="H21" s="76">
        <f ca="1">OFFSET(Batting!$CM$4,BatAves!$I21,0)</f>
        <v>9.8000000000000007</v>
      </c>
      <c r="I21" s="68">
        <f>MATCH(A21,Batting!$DH$5:$DH$48,0)</f>
        <v>29</v>
      </c>
      <c r="J21" s="68">
        <f t="shared" ca="1" si="0"/>
        <v>20</v>
      </c>
      <c r="K21" s="68">
        <f t="shared" ca="1" si="1"/>
        <v>10</v>
      </c>
      <c r="L21" s="68" t="str">
        <f t="shared" ca="1" si="2"/>
        <v/>
      </c>
      <c r="M21" s="68">
        <f t="shared" ca="1" si="9"/>
        <v>14</v>
      </c>
      <c r="N21" s="128">
        <v>20</v>
      </c>
      <c r="O21" s="128" t="str">
        <f t="shared" ca="1" si="3"/>
        <v>Azfar S</v>
      </c>
      <c r="P21" s="128">
        <f t="shared" ca="1" si="4"/>
        <v>3</v>
      </c>
      <c r="Q21" s="128">
        <f t="shared" ca="1" si="5"/>
        <v>0</v>
      </c>
      <c r="R21" s="128">
        <f t="shared" ca="1" si="6"/>
        <v>22</v>
      </c>
      <c r="S21" s="128">
        <f t="shared" ca="1" si="7"/>
        <v>42</v>
      </c>
      <c r="T21" s="130">
        <f t="shared" ca="1" si="8"/>
        <v>14</v>
      </c>
      <c r="V21" s="163"/>
      <c r="W21" s="68" t="s">
        <v>204</v>
      </c>
    </row>
    <row r="22" spans="1:23" ht="12.75" x14ac:dyDescent="0.15">
      <c r="A22" s="68">
        <v>21</v>
      </c>
      <c r="B22" s="68" t="str">
        <f ca="1">OFFSET(Batting!$C$4,BatAves!$I22,0)</f>
        <v>Castle I</v>
      </c>
      <c r="C22" s="72">
        <f ca="1">OFFSET(Batting!$CF$4,BatAves!$I22,0)</f>
        <v>8</v>
      </c>
      <c r="D22" s="72">
        <f ca="1">OFFSET(Batting!$CH$4,BatAves!$I22,0)</f>
        <v>8</v>
      </c>
      <c r="E22" s="72">
        <f ca="1">OFFSET(Batting!$CI$4,BatAves!$I22,0)</f>
        <v>0</v>
      </c>
      <c r="F22" s="72">
        <f ca="1">OFFSET(Batting!$CK$4,BatAves!$I22,0)</f>
        <v>19</v>
      </c>
      <c r="G22" s="72">
        <f ca="1">OFFSET(Batting!$CL$4,BatAves!$I22,0)</f>
        <v>78</v>
      </c>
      <c r="H22" s="76">
        <f ca="1">OFFSET(Batting!$CM$4,BatAves!$I22,0)</f>
        <v>9.75</v>
      </c>
      <c r="I22" s="68">
        <f>MATCH(A22,Batting!$DH$5:$DH$48,0)</f>
        <v>6</v>
      </c>
      <c r="J22" s="68">
        <f t="shared" ca="1" si="0"/>
        <v>21</v>
      </c>
      <c r="K22" s="68">
        <f t="shared" ca="1" si="1"/>
        <v>11</v>
      </c>
      <c r="L22" s="68" t="str">
        <f t="shared" ca="1" si="2"/>
        <v/>
      </c>
      <c r="M22" s="68">
        <f t="shared" ca="1" si="9"/>
        <v>15</v>
      </c>
      <c r="N22" s="128">
        <v>21</v>
      </c>
      <c r="O22" s="128" t="str">
        <f t="shared" ca="1" si="3"/>
        <v>Snell</v>
      </c>
      <c r="P22" s="128">
        <f t="shared" ca="1" si="4"/>
        <v>1</v>
      </c>
      <c r="Q22" s="128">
        <f t="shared" ca="1" si="5"/>
        <v>0</v>
      </c>
      <c r="R22" s="128">
        <f t="shared" ca="1" si="6"/>
        <v>14</v>
      </c>
      <c r="S22" s="128">
        <f t="shared" ca="1" si="7"/>
        <v>14</v>
      </c>
      <c r="T22" s="130">
        <f t="shared" ca="1" si="8"/>
        <v>14</v>
      </c>
      <c r="V22" s="163"/>
      <c r="W22" s="68" t="s">
        <v>204</v>
      </c>
    </row>
    <row r="23" spans="1:23" ht="12.75" x14ac:dyDescent="0.15">
      <c r="A23" s="68">
        <v>22</v>
      </c>
      <c r="B23" s="68" t="str">
        <f ca="1">OFFSET(Batting!$C$4,BatAves!$I23,0)</f>
        <v>Shahid A</v>
      </c>
      <c r="C23" s="72">
        <f ca="1">OFFSET(Batting!$CF$4,BatAves!$I23,0)</f>
        <v>5</v>
      </c>
      <c r="D23" s="72">
        <f ca="1">OFFSET(Batting!$CH$4,BatAves!$I23,0)</f>
        <v>4</v>
      </c>
      <c r="E23" s="72">
        <f ca="1">OFFSET(Batting!$CI$4,BatAves!$I23,0)</f>
        <v>0</v>
      </c>
      <c r="F23" s="72">
        <f ca="1">OFFSET(Batting!$CK$4,BatAves!$I23,0)</f>
        <v>18</v>
      </c>
      <c r="G23" s="72">
        <f ca="1">OFFSET(Batting!$CL$4,BatAves!$I23,0)</f>
        <v>28</v>
      </c>
      <c r="H23" s="76">
        <f ca="1">OFFSET(Batting!$CM$4,BatAves!$I23,0)</f>
        <v>7</v>
      </c>
      <c r="I23" s="68">
        <f>MATCH(A23,Batting!$DH$5:$DH$48,0)</f>
        <v>31</v>
      </c>
      <c r="J23" s="68">
        <f t="shared" ca="1" si="0"/>
        <v>1022</v>
      </c>
      <c r="K23" s="68">
        <f t="shared" ca="1" si="1"/>
        <v>25</v>
      </c>
      <c r="L23" s="68" t="str">
        <f t="shared" ca="1" si="2"/>
        <v>Shahid A 4-0-18-28</v>
      </c>
      <c r="M23" s="68">
        <f t="shared" ca="1" si="9"/>
        <v>16</v>
      </c>
      <c r="N23" s="128">
        <v>22</v>
      </c>
      <c r="O23" s="128" t="str">
        <f t="shared" ca="1" si="3"/>
        <v>Bartram</v>
      </c>
      <c r="P23" s="128">
        <f t="shared" ca="1" si="4"/>
        <v>1</v>
      </c>
      <c r="Q23" s="128">
        <f t="shared" ca="1" si="5"/>
        <v>0</v>
      </c>
      <c r="R23" s="128">
        <f t="shared" ca="1" si="6"/>
        <v>14</v>
      </c>
      <c r="S23" s="128">
        <f t="shared" ca="1" si="7"/>
        <v>14</v>
      </c>
      <c r="T23" s="130">
        <f t="shared" ca="1" si="8"/>
        <v>14</v>
      </c>
      <c r="V23" s="163"/>
      <c r="W23" s="136"/>
    </row>
    <row r="24" spans="1:23" ht="12.75" x14ac:dyDescent="0.15">
      <c r="A24" s="68">
        <v>23</v>
      </c>
      <c r="B24" s="68" t="str">
        <f ca="1">OFFSET(Batting!$C$4,BatAves!$I24,0)</f>
        <v>Foxworthy P</v>
      </c>
      <c r="C24" s="72">
        <f ca="1">OFFSET(Batting!$CF$4,BatAves!$I24,0)</f>
        <v>3</v>
      </c>
      <c r="D24" s="72">
        <f ca="1">OFFSET(Batting!$CH$4,BatAves!$I24,0)</f>
        <v>3</v>
      </c>
      <c r="E24" s="72">
        <f ca="1">OFFSET(Batting!$CI$4,BatAves!$I24,0)</f>
        <v>0</v>
      </c>
      <c r="F24" s="72">
        <f ca="1">OFFSET(Batting!$CK$4,BatAves!$I24,0)</f>
        <v>11</v>
      </c>
      <c r="G24" s="72">
        <f ca="1">OFFSET(Batting!$CL$4,BatAves!$I24,0)</f>
        <v>21</v>
      </c>
      <c r="H24" s="76">
        <f ca="1">OFFSET(Batting!$CM$4,BatAves!$I24,0)</f>
        <v>7</v>
      </c>
      <c r="I24" s="68">
        <f>MATCH(A24,Batting!$DH$5:$DH$48,0)</f>
        <v>13</v>
      </c>
      <c r="J24" s="68">
        <f t="shared" ca="1" si="0"/>
        <v>1023</v>
      </c>
      <c r="K24" s="68">
        <f t="shared" ca="1" si="1"/>
        <v>26</v>
      </c>
      <c r="L24" s="68" t="str">
        <f t="shared" ca="1" si="2"/>
        <v>Foxworthy P 3-0-11-21</v>
      </c>
      <c r="M24" s="68">
        <f t="shared" ca="1" si="9"/>
        <v>18</v>
      </c>
      <c r="N24" s="128">
        <v>23</v>
      </c>
      <c r="O24" s="128" t="str">
        <f t="shared" ca="1" si="3"/>
        <v>Wilson A</v>
      </c>
      <c r="P24" s="128">
        <f t="shared" ca="1" si="4"/>
        <v>3</v>
      </c>
      <c r="Q24" s="128">
        <f t="shared" ca="1" si="5"/>
        <v>1</v>
      </c>
      <c r="R24" s="128">
        <f t="shared" ca="1" si="6"/>
        <v>9</v>
      </c>
      <c r="S24" s="128">
        <f t="shared" ca="1" si="7"/>
        <v>25</v>
      </c>
      <c r="T24" s="130">
        <f t="shared" ca="1" si="8"/>
        <v>12.5</v>
      </c>
      <c r="V24" s="163"/>
      <c r="W24" s="136"/>
    </row>
    <row r="25" spans="1:23" ht="12.75" x14ac:dyDescent="0.15">
      <c r="A25" s="68">
        <v>24</v>
      </c>
      <c r="B25" s="68" t="str">
        <f ca="1">OFFSET(Batting!$C$4,BatAves!$I25,0)</f>
        <v>Lestrelle A</v>
      </c>
      <c r="C25" s="72">
        <f ca="1">OFFSET(Batting!$CF$4,BatAves!$I25,0)</f>
        <v>3</v>
      </c>
      <c r="D25" s="72">
        <f ca="1">OFFSET(Batting!$CH$4,BatAves!$I25,0)</f>
        <v>2</v>
      </c>
      <c r="E25" s="72">
        <f ca="1">OFFSET(Batting!$CI$4,BatAves!$I25,0)</f>
        <v>1</v>
      </c>
      <c r="F25" s="72" t="str">
        <f ca="1">OFFSET(Batting!$CK$4,BatAves!$I25,0)</f>
        <v>4*</v>
      </c>
      <c r="G25" s="72">
        <f ca="1">OFFSET(Batting!$CL$4,BatAves!$I25,0)</f>
        <v>7</v>
      </c>
      <c r="H25" s="76">
        <f ca="1">OFFSET(Batting!$CM$4,BatAves!$I25,0)</f>
        <v>7</v>
      </c>
      <c r="I25" s="68">
        <f>MATCH(A25,Batting!$DH$5:$DH$48,0)</f>
        <v>17</v>
      </c>
      <c r="J25" s="68">
        <f t="shared" ca="1" si="0"/>
        <v>1024</v>
      </c>
      <c r="K25" s="68">
        <f t="shared" ca="1" si="1"/>
        <v>27</v>
      </c>
      <c r="L25" s="68" t="str">
        <f t="shared" ca="1" si="2"/>
        <v>Lestrelle A 2-1-4*-7</v>
      </c>
      <c r="M25" s="68">
        <f t="shared" ca="1" si="9"/>
        <v>19</v>
      </c>
      <c r="N25" s="128">
        <v>24</v>
      </c>
      <c r="O25" s="128" t="str">
        <f t="shared" ca="1" si="3"/>
        <v>Mander N</v>
      </c>
      <c r="P25" s="128">
        <f t="shared" ca="1" si="4"/>
        <v>1</v>
      </c>
      <c r="Q25" s="128">
        <f t="shared" ca="1" si="5"/>
        <v>0</v>
      </c>
      <c r="R25" s="128">
        <f t="shared" ca="1" si="6"/>
        <v>10</v>
      </c>
      <c r="S25" s="128">
        <f t="shared" ca="1" si="7"/>
        <v>10</v>
      </c>
      <c r="T25" s="130">
        <f t="shared" ca="1" si="8"/>
        <v>10</v>
      </c>
      <c r="V25" s="163"/>
      <c r="W25" s="68" t="s">
        <v>204</v>
      </c>
    </row>
    <row r="26" spans="1:23" ht="12.75" x14ac:dyDescent="0.15">
      <c r="A26" s="68">
        <v>25</v>
      </c>
      <c r="B26" s="68" t="str">
        <f ca="1">OFFSET(Batting!$C$4,BatAves!$I26,0)</f>
        <v>Parboo R</v>
      </c>
      <c r="C26" s="72">
        <f ca="1">OFFSET(Batting!$CF$4,BatAves!$I26,0)</f>
        <v>2</v>
      </c>
      <c r="D26" s="72">
        <f ca="1">OFFSET(Batting!$CH$4,BatAves!$I26,0)</f>
        <v>1</v>
      </c>
      <c r="E26" s="72">
        <f ca="1">OFFSET(Batting!$CI$4,BatAves!$I26,0)</f>
        <v>0</v>
      </c>
      <c r="F26" s="72">
        <f ca="1">OFFSET(Batting!$CK$4,BatAves!$I26,0)</f>
        <v>6</v>
      </c>
      <c r="G26" s="72">
        <f ca="1">OFFSET(Batting!$CL$4,BatAves!$I26,0)</f>
        <v>6</v>
      </c>
      <c r="H26" s="76">
        <f ca="1">OFFSET(Batting!$CM$4,BatAves!$I26,0)</f>
        <v>6</v>
      </c>
      <c r="I26" s="68">
        <f>MATCH(A26,Batting!$DH$5:$DH$48,0)</f>
        <v>27</v>
      </c>
      <c r="J26" s="68">
        <f t="shared" ca="1" si="0"/>
        <v>1025</v>
      </c>
      <c r="K26" s="68">
        <f t="shared" ca="1" si="1"/>
        <v>28</v>
      </c>
      <c r="L26" s="68" t="str">
        <f t="shared" ca="1" si="2"/>
        <v>Parboo R 1-0-6-6</v>
      </c>
      <c r="M26" s="68">
        <f t="shared" ca="1" si="9"/>
        <v>22</v>
      </c>
      <c r="N26" s="128">
        <v>25</v>
      </c>
      <c r="O26" s="128" t="str">
        <f t="shared" ca="1" si="3"/>
        <v>Shahid A</v>
      </c>
      <c r="P26" s="128">
        <f t="shared" ca="1" si="4"/>
        <v>4</v>
      </c>
      <c r="Q26" s="128">
        <f t="shared" ca="1" si="5"/>
        <v>0</v>
      </c>
      <c r="R26" s="128">
        <f t="shared" ca="1" si="6"/>
        <v>18</v>
      </c>
      <c r="S26" s="128">
        <f t="shared" ca="1" si="7"/>
        <v>28</v>
      </c>
      <c r="T26" s="130">
        <f t="shared" ca="1" si="8"/>
        <v>7</v>
      </c>
      <c r="V26" s="163"/>
      <c r="W26" s="136"/>
    </row>
    <row r="27" spans="1:23" ht="12.75" x14ac:dyDescent="0.15">
      <c r="A27" s="68">
        <v>26</v>
      </c>
      <c r="B27" s="68" t="str">
        <f ca="1">OFFSET(Batting!$C$4,BatAves!$I27,0)</f>
        <v>Wright J</v>
      </c>
      <c r="C27" s="72">
        <f ca="1">OFFSET(Batting!$CF$4,BatAves!$I27,0)</f>
        <v>1</v>
      </c>
      <c r="D27" s="72">
        <f ca="1">OFFSET(Batting!$CH$4,BatAves!$I27,0)</f>
        <v>1</v>
      </c>
      <c r="E27" s="72">
        <f ca="1">OFFSET(Batting!$CI$4,BatAves!$I27,0)</f>
        <v>0</v>
      </c>
      <c r="F27" s="72">
        <f ca="1">OFFSET(Batting!$CK$4,BatAves!$I27,0)</f>
        <v>6</v>
      </c>
      <c r="G27" s="72">
        <f ca="1">OFFSET(Batting!$CL$4,BatAves!$I27,0)</f>
        <v>6</v>
      </c>
      <c r="H27" s="76">
        <f ca="1">OFFSET(Batting!$CM$4,BatAves!$I27,0)</f>
        <v>6</v>
      </c>
      <c r="I27" s="68">
        <f>MATCH(A27,Batting!$DH$5:$DH$48,0)</f>
        <v>44</v>
      </c>
      <c r="J27" s="68">
        <f t="shared" ca="1" si="0"/>
        <v>1026</v>
      </c>
      <c r="K27" s="68">
        <f t="shared" ca="1" si="1"/>
        <v>29</v>
      </c>
      <c r="L27" s="68" t="str">
        <f t="shared" ca="1" si="2"/>
        <v>Wright J 1-0-6-6</v>
      </c>
      <c r="M27" s="68">
        <f t="shared" ca="1" si="9"/>
        <v>23</v>
      </c>
      <c r="N27" s="128">
        <v>26</v>
      </c>
      <c r="O27" s="128" t="str">
        <f t="shared" ca="1" si="3"/>
        <v>Foxworthy P</v>
      </c>
      <c r="P27" s="128">
        <f t="shared" ca="1" si="4"/>
        <v>3</v>
      </c>
      <c r="Q27" s="128">
        <f t="shared" ca="1" si="5"/>
        <v>0</v>
      </c>
      <c r="R27" s="128">
        <f t="shared" ca="1" si="6"/>
        <v>11</v>
      </c>
      <c r="S27" s="128">
        <f t="shared" ca="1" si="7"/>
        <v>21</v>
      </c>
      <c r="T27" s="130">
        <f t="shared" ca="1" si="8"/>
        <v>7</v>
      </c>
      <c r="V27" s="163"/>
      <c r="W27" s="68" t="s">
        <v>204</v>
      </c>
    </row>
    <row r="28" spans="1:23" ht="12.75" x14ac:dyDescent="0.15">
      <c r="A28" s="68">
        <v>27</v>
      </c>
      <c r="B28" s="68" t="str">
        <f ca="1">OFFSET(Batting!$C$4,BatAves!$I28,0)</f>
        <v>Southey J</v>
      </c>
      <c r="C28" s="72">
        <f ca="1">OFFSET(Batting!$CF$4,BatAves!$I28,0)</f>
        <v>1</v>
      </c>
      <c r="D28" s="72">
        <f ca="1">OFFSET(Batting!$CH$4,BatAves!$I28,0)</f>
        <v>1</v>
      </c>
      <c r="E28" s="72">
        <f ca="1">OFFSET(Batting!$CI$4,BatAves!$I28,0)</f>
        <v>0</v>
      </c>
      <c r="F28" s="72">
        <f ca="1">OFFSET(Batting!$CK$4,BatAves!$I28,0)</f>
        <v>6</v>
      </c>
      <c r="G28" s="72">
        <f ca="1">OFFSET(Batting!$CL$4,BatAves!$I28,0)</f>
        <v>6</v>
      </c>
      <c r="H28" s="76">
        <f ca="1">OFFSET(Batting!$CM$4,BatAves!$I28,0)</f>
        <v>6</v>
      </c>
      <c r="I28" s="68">
        <f>MATCH(A28,Batting!$DH$5:$DH$48,0)</f>
        <v>35</v>
      </c>
      <c r="J28" s="68">
        <f t="shared" ca="1" si="0"/>
        <v>1027</v>
      </c>
      <c r="K28" s="68">
        <f t="shared" ca="1" si="1"/>
        <v>30</v>
      </c>
      <c r="L28" s="68" t="str">
        <f t="shared" ca="1" si="2"/>
        <v>Southey J 1-0-6-6</v>
      </c>
      <c r="M28" s="68">
        <f t="shared" ca="1" si="9"/>
        <v>24</v>
      </c>
      <c r="N28" s="128">
        <v>27</v>
      </c>
      <c r="O28" s="128" t="str">
        <f t="shared" ca="1" si="3"/>
        <v>Lestrelle A</v>
      </c>
      <c r="P28" s="128">
        <f t="shared" ca="1" si="4"/>
        <v>2</v>
      </c>
      <c r="Q28" s="128">
        <f t="shared" ca="1" si="5"/>
        <v>1</v>
      </c>
      <c r="R28" s="128" t="str">
        <f t="shared" ca="1" si="6"/>
        <v>4*</v>
      </c>
      <c r="S28" s="128">
        <f t="shared" ca="1" si="7"/>
        <v>7</v>
      </c>
      <c r="T28" s="130">
        <f t="shared" ca="1" si="8"/>
        <v>7</v>
      </c>
      <c r="V28" s="163"/>
    </row>
    <row r="29" spans="1:23" ht="12.75" x14ac:dyDescent="0.15">
      <c r="A29" s="68">
        <v>28</v>
      </c>
      <c r="B29" s="68" t="str">
        <f ca="1">OFFSET(Batting!$C$4,BatAves!$I29,0)</f>
        <v>Smith C</v>
      </c>
      <c r="C29" s="72">
        <f ca="1">OFFSET(Batting!$CF$4,BatAves!$I29,0)</f>
        <v>16</v>
      </c>
      <c r="D29" s="72">
        <f ca="1">OFFSET(Batting!$CH$4,BatAves!$I29,0)</f>
        <v>11</v>
      </c>
      <c r="E29" s="72">
        <f ca="1">OFFSET(Batting!$CI$4,BatAves!$I29,0)</f>
        <v>2</v>
      </c>
      <c r="F29" s="72" t="str">
        <f ca="1">OFFSET(Batting!$CK$4,BatAves!$I29,0)</f>
        <v>11*</v>
      </c>
      <c r="G29" s="72">
        <f ca="1">OFFSET(Batting!$CL$4,BatAves!$I29,0)</f>
        <v>52</v>
      </c>
      <c r="H29" s="76">
        <f ca="1">OFFSET(Batting!$CM$4,BatAves!$I29,0)</f>
        <v>5.7777777777777777</v>
      </c>
      <c r="I29" s="68">
        <f>MATCH(A29,Batting!$DH$5:$DH$48,0)</f>
        <v>33</v>
      </c>
      <c r="J29" s="68">
        <f t="shared" ca="1" si="0"/>
        <v>28</v>
      </c>
      <c r="K29" s="68">
        <f t="shared" ca="1" si="1"/>
        <v>12</v>
      </c>
      <c r="L29" s="68" t="str">
        <f t="shared" ca="1" si="2"/>
        <v/>
      </c>
      <c r="M29" s="68">
        <f t="shared" ca="1" si="9"/>
        <v>25</v>
      </c>
      <c r="N29" s="128">
        <v>28</v>
      </c>
      <c r="O29" s="128" t="str">
        <f t="shared" ca="1" si="3"/>
        <v>Parboo R</v>
      </c>
      <c r="P29" s="128">
        <f t="shared" ca="1" si="4"/>
        <v>1</v>
      </c>
      <c r="Q29" s="128">
        <f t="shared" ca="1" si="5"/>
        <v>0</v>
      </c>
      <c r="R29" s="128">
        <f t="shared" ca="1" si="6"/>
        <v>6</v>
      </c>
      <c r="S29" s="128">
        <f t="shared" ca="1" si="7"/>
        <v>6</v>
      </c>
      <c r="T29" s="130">
        <f t="shared" ca="1" si="8"/>
        <v>6</v>
      </c>
      <c r="V29" s="163"/>
    </row>
    <row r="30" spans="1:23" ht="12.75" x14ac:dyDescent="0.15">
      <c r="A30" s="68">
        <v>29</v>
      </c>
      <c r="B30" s="68" t="str">
        <f ca="1">OFFSET(Batting!$C$4,BatAves!$I30,0)</f>
        <v>Murray ?</v>
      </c>
      <c r="C30" s="72">
        <f ca="1">OFFSET(Batting!$CF$4,BatAves!$I30,0)</f>
        <v>1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5</v>
      </c>
      <c r="G30" s="72">
        <f ca="1">OFFSET(Batting!$CL$4,BatAves!$I30,0)</f>
        <v>5</v>
      </c>
      <c r="H30" s="76">
        <f ca="1">OFFSET(Batting!$CM$4,BatAves!$I30,0)</f>
        <v>5</v>
      </c>
      <c r="I30" s="68">
        <f>MATCH(A30,Batting!$DH$5:$DH$48,0)</f>
        <v>23</v>
      </c>
      <c r="J30" s="68">
        <f t="shared" ca="1" si="0"/>
        <v>1029</v>
      </c>
      <c r="K30" s="68">
        <f t="shared" ca="1" si="1"/>
        <v>31</v>
      </c>
      <c r="L30" s="68" t="str">
        <f t="shared" ca="1" si="2"/>
        <v>Murray ? 1-0-5-5</v>
      </c>
      <c r="M30" s="68">
        <f t="shared" ca="1" si="9"/>
        <v>26</v>
      </c>
      <c r="N30" s="128">
        <v>29</v>
      </c>
      <c r="O30" s="128" t="str">
        <f t="shared" ca="1" si="3"/>
        <v>Wright J</v>
      </c>
      <c r="P30" s="128">
        <f t="shared" ca="1" si="4"/>
        <v>1</v>
      </c>
      <c r="Q30" s="128">
        <f t="shared" ca="1" si="5"/>
        <v>0</v>
      </c>
      <c r="R30" s="128">
        <f t="shared" ca="1" si="6"/>
        <v>6</v>
      </c>
      <c r="S30" s="128">
        <f t="shared" ca="1" si="7"/>
        <v>6</v>
      </c>
      <c r="T30" s="130">
        <f t="shared" ca="1" si="8"/>
        <v>6</v>
      </c>
      <c r="V30" s="163"/>
      <c r="W30" s="68" t="s">
        <v>204</v>
      </c>
    </row>
    <row r="31" spans="1:23" ht="12.75" x14ac:dyDescent="0.15">
      <c r="A31" s="68">
        <v>30</v>
      </c>
      <c r="B31" s="68" t="str">
        <f ca="1">OFFSET(Batting!$C$4,BatAves!$I31,0)</f>
        <v>Mander A</v>
      </c>
      <c r="C31" s="72">
        <f ca="1">OFFSET(Batting!$CF$4,BatAves!$I31,0)</f>
        <v>12</v>
      </c>
      <c r="D31" s="72">
        <f ca="1">OFFSET(Batting!$CH$4,BatAves!$I31,0)</f>
        <v>7</v>
      </c>
      <c r="E31" s="72">
        <f ca="1">OFFSET(Batting!$CI$4,BatAves!$I31,0)</f>
        <v>4</v>
      </c>
      <c r="F31" s="72">
        <f ca="1">OFFSET(Batting!$CK$4,BatAves!$I31,0)</f>
        <v>5</v>
      </c>
      <c r="G31" s="72">
        <f ca="1">OFFSET(Batting!$CL$4,BatAves!$I31,0)</f>
        <v>13</v>
      </c>
      <c r="H31" s="76">
        <f ca="1">OFFSET(Batting!$CM$4,BatAves!$I31,0)</f>
        <v>4.333333333333333</v>
      </c>
      <c r="I31" s="68">
        <f>MATCH(A31,Batting!$DH$5:$DH$48,0)</f>
        <v>19</v>
      </c>
      <c r="J31" s="68">
        <f t="shared" ca="1" si="0"/>
        <v>30</v>
      </c>
      <c r="K31" s="68">
        <f t="shared" ca="1" si="1"/>
        <v>13</v>
      </c>
      <c r="L31" s="68" t="str">
        <f t="shared" ca="1" si="2"/>
        <v/>
      </c>
      <c r="M31" s="68">
        <f t="shared" ca="1" si="9"/>
        <v>27</v>
      </c>
      <c r="N31" s="128">
        <v>30</v>
      </c>
      <c r="O31" s="128" t="str">
        <f t="shared" ca="1" si="3"/>
        <v>Southey J</v>
      </c>
      <c r="P31" s="128">
        <f t="shared" ca="1" si="4"/>
        <v>1</v>
      </c>
      <c r="Q31" s="128">
        <f t="shared" ca="1" si="5"/>
        <v>0</v>
      </c>
      <c r="R31" s="128">
        <f t="shared" ca="1" si="6"/>
        <v>6</v>
      </c>
      <c r="S31" s="128">
        <f t="shared" ca="1" si="7"/>
        <v>6</v>
      </c>
      <c r="T31" s="130">
        <f t="shared" ca="1" si="8"/>
        <v>6</v>
      </c>
      <c r="V31" s="163"/>
      <c r="W31" s="68" t="s">
        <v>204</v>
      </c>
    </row>
    <row r="32" spans="1:23" ht="12.75" x14ac:dyDescent="0.15">
      <c r="A32" s="68">
        <v>31</v>
      </c>
      <c r="B32" s="68" t="str">
        <f ca="1">OFFSET(Batting!$C$4,BatAves!$I32,0)</f>
        <v>Bowers M</v>
      </c>
      <c r="C32" s="72">
        <f ca="1">OFFSET(Batting!$CF$4,BatAves!$I32,0)</f>
        <v>17</v>
      </c>
      <c r="D32" s="72">
        <f ca="1">OFFSET(Batting!$CH$4,BatAves!$I32,0)</f>
        <v>5</v>
      </c>
      <c r="E32" s="72">
        <f ca="1">OFFSET(Batting!$CI$4,BatAves!$I32,0)</f>
        <v>1</v>
      </c>
      <c r="F32" s="72">
        <f ca="1">OFFSET(Batting!$CK$4,BatAves!$I32,0)</f>
        <v>10</v>
      </c>
      <c r="G32" s="72">
        <f ca="1">OFFSET(Batting!$CL$4,BatAves!$I32,0)</f>
        <v>16</v>
      </c>
      <c r="H32" s="76">
        <f ca="1">OFFSET(Batting!$CM$4,BatAves!$I32,0)</f>
        <v>4</v>
      </c>
      <c r="I32" s="68">
        <f>MATCH(A32,Batting!$DH$5:$DH$48,0)</f>
        <v>3</v>
      </c>
      <c r="J32" s="68">
        <f t="shared" ca="1" si="0"/>
        <v>31</v>
      </c>
      <c r="K32" s="68">
        <f t="shared" ca="1" si="1"/>
        <v>14</v>
      </c>
      <c r="L32" s="68" t="str">
        <f t="shared" ca="1" si="2"/>
        <v/>
      </c>
      <c r="M32" s="68">
        <f t="shared" ca="1" si="9"/>
        <v>29</v>
      </c>
      <c r="N32" s="128">
        <v>31</v>
      </c>
      <c r="O32" s="128" t="str">
        <f t="shared" ca="1" si="3"/>
        <v>Murray ?</v>
      </c>
      <c r="P32" s="128">
        <f t="shared" ca="1" si="4"/>
        <v>1</v>
      </c>
      <c r="Q32" s="128">
        <f t="shared" ca="1" si="5"/>
        <v>0</v>
      </c>
      <c r="R32" s="128">
        <f t="shared" ca="1" si="6"/>
        <v>5</v>
      </c>
      <c r="S32" s="128">
        <f t="shared" ca="1" si="7"/>
        <v>5</v>
      </c>
      <c r="T32" s="130">
        <f t="shared" ca="1" si="8"/>
        <v>5</v>
      </c>
      <c r="V32" s="163"/>
    </row>
    <row r="33" spans="1:23" ht="12.75" x14ac:dyDescent="0.15">
      <c r="A33" s="68">
        <v>32</v>
      </c>
      <c r="B33" s="68" t="str">
        <f ca="1">OFFSET(Batting!$C$4,BatAves!$I33,0)</f>
        <v>Stevenson R</v>
      </c>
      <c r="C33" s="72">
        <f ca="1">OFFSET(Batting!$CF$4,BatAves!$I33,0)</f>
        <v>1</v>
      </c>
      <c r="D33" s="72">
        <f ca="1">OFFSET(Batting!$CH$4,BatAves!$I33,0)</f>
        <v>1</v>
      </c>
      <c r="E33" s="72">
        <f ca="1">OFFSET(Batting!$CI$4,BatAves!$I33,0)</f>
        <v>0</v>
      </c>
      <c r="F33" s="72">
        <f ca="1">OFFSET(Batting!$CK$4,BatAves!$I33,0)</f>
        <v>4</v>
      </c>
      <c r="G33" s="72">
        <f ca="1">OFFSET(Batting!$CL$4,BatAves!$I33,0)</f>
        <v>4</v>
      </c>
      <c r="H33" s="76">
        <f ca="1">OFFSET(Batting!$CM$4,BatAves!$I33,0)</f>
        <v>4</v>
      </c>
      <c r="I33" s="68">
        <f>MATCH(A33,Batting!$DH$5:$DH$48,0)</f>
        <v>38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Stevenson R 1-0-4-4</v>
      </c>
      <c r="M33" s="68">
        <f t="shared" ca="1" si="9"/>
        <v>32</v>
      </c>
      <c r="N33" s="128">
        <v>32</v>
      </c>
      <c r="O33" s="128" t="str">
        <f t="shared" ca="1" si="3"/>
        <v>Stevenson R</v>
      </c>
      <c r="P33" s="128">
        <f t="shared" ca="1" si="4"/>
        <v>1</v>
      </c>
      <c r="Q33" s="128">
        <f t="shared" ca="1" si="5"/>
        <v>0</v>
      </c>
      <c r="R33" s="128">
        <f t="shared" ca="1" si="6"/>
        <v>4</v>
      </c>
      <c r="S33" s="128">
        <f t="shared" ca="1" si="7"/>
        <v>4</v>
      </c>
      <c r="T33" s="130">
        <f t="shared" ca="1" si="8"/>
        <v>4</v>
      </c>
      <c r="V33" s="163"/>
    </row>
    <row r="34" spans="1:23" ht="12.75" x14ac:dyDescent="0.15">
      <c r="A34" s="68">
        <v>33</v>
      </c>
      <c r="B34" s="68" t="str">
        <f ca="1">OFFSET(Batting!$C$4,BatAves!$I34,0)</f>
        <v>Mander C</v>
      </c>
      <c r="C34" s="72">
        <f ca="1">OFFSET(Batting!$CF$4,BatAves!$I34,0)</f>
        <v>1</v>
      </c>
      <c r="D34" s="72">
        <f ca="1">OFFSET(Batting!$CH$4,BatAves!$I34,0)</f>
        <v>1</v>
      </c>
      <c r="E34" s="72">
        <f ca="1">OFFSET(Batting!$CI$4,BatAves!$I34,0)</f>
        <v>0</v>
      </c>
      <c r="F34" s="72">
        <f ca="1">OFFSET(Batting!$CK$4,BatAves!$I34,0)</f>
        <v>4</v>
      </c>
      <c r="G34" s="72">
        <f ca="1">OFFSET(Batting!$CL$4,BatAves!$I34,0)</f>
        <v>4</v>
      </c>
      <c r="H34" s="76">
        <f ca="1">OFFSET(Batting!$CM$4,BatAves!$I34,0)</f>
        <v>4</v>
      </c>
      <c r="I34" s="68">
        <f>MATCH(A34,Batting!$DH$5:$DH$48,0)</f>
        <v>20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Mander C 1-0-4-4</v>
      </c>
      <c r="M34" s="68">
        <f t="shared" ca="1" si="9"/>
        <v>33</v>
      </c>
      <c r="N34" s="128">
        <v>33</v>
      </c>
      <c r="O34" s="128" t="str">
        <f t="shared" ca="1" si="3"/>
        <v>Mander C</v>
      </c>
      <c r="P34" s="128">
        <f t="shared" ca="1" si="4"/>
        <v>1</v>
      </c>
      <c r="Q34" s="128">
        <f t="shared" ca="1" si="5"/>
        <v>0</v>
      </c>
      <c r="R34" s="128">
        <f t="shared" ca="1" si="6"/>
        <v>4</v>
      </c>
      <c r="S34" s="128">
        <f t="shared" ca="1" si="7"/>
        <v>4</v>
      </c>
      <c r="T34" s="130">
        <f t="shared" ca="1" si="8"/>
        <v>4</v>
      </c>
      <c r="V34" s="163"/>
    </row>
    <row r="35" spans="1:23" ht="12.75" x14ac:dyDescent="0.15">
      <c r="A35" s="68">
        <v>34</v>
      </c>
      <c r="B35" s="68" t="str">
        <f ca="1">OFFSET(Batting!$C$4,BatAves!$I35,0)</f>
        <v>Locke K</v>
      </c>
      <c r="C35" s="72">
        <f ca="1">OFFSET(Batting!$CF$4,BatAves!$I35,0)</f>
        <v>1</v>
      </c>
      <c r="D35" s="72">
        <f ca="1">OFFSET(Batting!$CH$4,BatAves!$I35,0)</f>
        <v>1</v>
      </c>
      <c r="E35" s="72">
        <f ca="1">OFFSET(Batting!$CI$4,BatAves!$I35,0)</f>
        <v>0</v>
      </c>
      <c r="F35" s="72">
        <f ca="1">OFFSET(Batting!$CK$4,BatAves!$I35,0)</f>
        <v>4</v>
      </c>
      <c r="G35" s="72">
        <f ca="1">OFFSET(Batting!$CL$4,BatAves!$I35,0)</f>
        <v>4</v>
      </c>
      <c r="H35" s="76">
        <f ca="1">OFFSET(Batting!$CM$4,BatAves!$I35,0)</f>
        <v>4</v>
      </c>
      <c r="I35" s="68">
        <f>MATCH(A35,Batting!$DH$5:$DH$48,0)</f>
        <v>18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Locke K 1-0-4-4</v>
      </c>
      <c r="M35" s="68">
        <f t="shared" ca="1" si="9"/>
        <v>34</v>
      </c>
      <c r="N35" s="128">
        <v>34</v>
      </c>
      <c r="O35" s="128" t="str">
        <f t="shared" ca="1" si="3"/>
        <v>Locke K</v>
      </c>
      <c r="P35" s="128">
        <f t="shared" ca="1" si="4"/>
        <v>1</v>
      </c>
      <c r="Q35" s="128">
        <f t="shared" ca="1" si="5"/>
        <v>0</v>
      </c>
      <c r="R35" s="128">
        <f t="shared" ca="1" si="6"/>
        <v>4</v>
      </c>
      <c r="S35" s="128">
        <f t="shared" ca="1" si="7"/>
        <v>4</v>
      </c>
      <c r="T35" s="130">
        <f t="shared" ca="1" si="8"/>
        <v>4</v>
      </c>
      <c r="V35" s="163"/>
    </row>
    <row r="36" spans="1:23" ht="12.75" x14ac:dyDescent="0.15">
      <c r="A36" s="68">
        <v>35</v>
      </c>
      <c r="B36" s="68" t="str">
        <f ca="1">OFFSET(Batting!$C$4,BatAves!$I36,0)</f>
        <v>Gardezi S</v>
      </c>
      <c r="C36" s="72">
        <f ca="1">OFFSET(Batting!$CF$4,BatAves!$I36,0)</f>
        <v>1</v>
      </c>
      <c r="D36" s="72">
        <f ca="1">OFFSET(Batting!$CH$4,BatAves!$I36,0)</f>
        <v>1</v>
      </c>
      <c r="E36" s="72">
        <f ca="1">OFFSET(Batting!$CI$4,BatAves!$I36,0)</f>
        <v>0</v>
      </c>
      <c r="F36" s="72">
        <f ca="1">OFFSET(Batting!$CK$4,BatAves!$I36,0)</f>
        <v>4</v>
      </c>
      <c r="G36" s="72">
        <f ca="1">OFFSET(Batting!$CL$4,BatAves!$I36,0)</f>
        <v>4</v>
      </c>
      <c r="H36" s="76">
        <f ca="1">OFFSET(Batting!$CM$4,BatAves!$I36,0)</f>
        <v>4</v>
      </c>
      <c r="I36" s="68">
        <f>MATCH(A36,Batting!$DH$5:$DH$48,0)</f>
        <v>14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Gardezi S 1-0-4-4</v>
      </c>
      <c r="M36" s="68">
        <f t="shared" ca="1" si="9"/>
        <v>35</v>
      </c>
      <c r="N36" s="128">
        <v>35</v>
      </c>
      <c r="O36" s="128" t="str">
        <f t="shared" ca="1" si="3"/>
        <v>Gardezi S</v>
      </c>
      <c r="P36" s="128">
        <f t="shared" ca="1" si="4"/>
        <v>1</v>
      </c>
      <c r="Q36" s="128">
        <f t="shared" ca="1" si="5"/>
        <v>0</v>
      </c>
      <c r="R36" s="128">
        <f t="shared" ca="1" si="6"/>
        <v>4</v>
      </c>
      <c r="S36" s="128">
        <f t="shared" ca="1" si="7"/>
        <v>4</v>
      </c>
      <c r="T36" s="130">
        <f t="shared" ca="1" si="8"/>
        <v>4</v>
      </c>
      <c r="V36" s="163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OFFSET(Batting!$CF$4,BatAves!$I37,0)</f>
        <v>4</v>
      </c>
      <c r="D37" s="72">
        <f ca="1">OFFSET(Batting!$CH$4,BatAves!$I37,0)</f>
        <v>2</v>
      </c>
      <c r="E37" s="72">
        <f ca="1">OFFSET(Batting!$CI$4,BatAves!$I37,0)</f>
        <v>2</v>
      </c>
      <c r="F37" s="72" t="str">
        <f ca="1">OFFSET(Batting!$CK$4,BatAves!$I37,0)</f>
        <v>3*</v>
      </c>
      <c r="G37" s="72">
        <f ca="1">OFFSET(Batting!$CL$4,BatAves!$I37,0)</f>
        <v>3</v>
      </c>
      <c r="H37" s="76">
        <f ca="1">OFFSET(Batting!$CM$4,BatAves!$I37,0)</f>
        <v>0</v>
      </c>
      <c r="I37" s="68">
        <f>MATCH(A37,Batting!$DH$5:$DH$48,0)</f>
        <v>16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2-2-3*-3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2</v>
      </c>
      <c r="Q37" s="128">
        <f t="shared" ca="1" si="5"/>
        <v>2</v>
      </c>
      <c r="R37" s="128" t="str">
        <f t="shared" ca="1" si="6"/>
        <v>3*</v>
      </c>
      <c r="S37" s="128">
        <f t="shared" ca="1" si="7"/>
        <v>3</v>
      </c>
      <c r="T37" s="130">
        <f t="shared" ca="1" si="8"/>
        <v>0</v>
      </c>
      <c r="V37" s="163"/>
      <c r="W37" s="136"/>
    </row>
    <row r="38" spans="1:23" ht="12.75" x14ac:dyDescent="0.15">
      <c r="A38" s="68">
        <v>37</v>
      </c>
      <c r="B38" s="68" t="str">
        <f ca="1">OFFSET(Batting!$C$4,BatAves!$I38,0)</f>
        <v>Nair S</v>
      </c>
      <c r="C38" s="72">
        <f ca="1">OFFSET(Batting!$CF$4,BatAves!$I38,0)</f>
        <v>3</v>
      </c>
      <c r="D38" s="72">
        <f ca="1">OFFSET(Batting!$CH$4,BatAves!$I38,0)</f>
        <v>2</v>
      </c>
      <c r="E38" s="72">
        <f ca="1">OFFSET(Batting!$CI$4,BatAves!$I38,0)</f>
        <v>2</v>
      </c>
      <c r="F38" s="72" t="str">
        <f ca="1">OFFSET(Batting!$CK$4,BatAves!$I38,0)</f>
        <v>26*</v>
      </c>
      <c r="G38" s="72">
        <f ca="1">OFFSET(Batting!$CL$4,BatAves!$I38,0)</f>
        <v>50</v>
      </c>
      <c r="H38" s="76">
        <f ca="1">OFFSET(Batting!$CM$4,BatAves!$I38,0)</f>
        <v>0</v>
      </c>
      <c r="I38" s="68">
        <f>MATCH(A38,Batting!$DH$5:$DH$48,0)</f>
        <v>24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Nair S 2-2-26*-50</v>
      </c>
      <c r="M38" s="68">
        <f t="shared" ca="1" si="9"/>
        <v>37</v>
      </c>
      <c r="N38" s="128">
        <v>37</v>
      </c>
      <c r="O38" s="128" t="str">
        <f t="shared" ca="1" si="3"/>
        <v>Nair S</v>
      </c>
      <c r="P38" s="128">
        <f t="shared" ca="1" si="4"/>
        <v>2</v>
      </c>
      <c r="Q38" s="128">
        <f t="shared" ca="1" si="5"/>
        <v>2</v>
      </c>
      <c r="R38" s="128" t="str">
        <f t="shared" ca="1" si="6"/>
        <v>26*</v>
      </c>
      <c r="S38" s="128">
        <f t="shared" ca="1" si="7"/>
        <v>50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Ottey A</v>
      </c>
      <c r="C39" s="72">
        <f ca="1">OFFSET(Batting!$CF$4,BatAves!$I39,0)</f>
        <v>2</v>
      </c>
      <c r="D39" s="72">
        <f ca="1">OFFSET(Batting!$CH$4,BatAves!$I39,0)</f>
        <v>1</v>
      </c>
      <c r="E39" s="72">
        <f ca="1">OFFSET(Batting!$CI$4,BatAves!$I39,0)</f>
        <v>1</v>
      </c>
      <c r="F39" s="72" t="str">
        <f ca="1">OFFSET(Batting!$CK$4,BatAves!$I39,0)</f>
        <v>24*</v>
      </c>
      <c r="G39" s="72">
        <f ca="1">OFFSET(Batting!$CL$4,BatAves!$I39,0)</f>
        <v>24</v>
      </c>
      <c r="H39" s="76">
        <f ca="1">OFFSET(Batting!$CM$4,BatAves!$I39,0)</f>
        <v>0</v>
      </c>
      <c r="I39" s="68">
        <f>MATCH(A39,Batting!$DH$5:$DH$48,0)</f>
        <v>26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Ottey A 1-1-24*-24</v>
      </c>
      <c r="M39" s="68">
        <f t="shared" ca="1" si="9"/>
        <v>38</v>
      </c>
      <c r="N39" s="128">
        <v>38</v>
      </c>
      <c r="O39" s="128" t="str">
        <f t="shared" ca="1" si="3"/>
        <v>Ottey A</v>
      </c>
      <c r="P39" s="128">
        <f t="shared" ca="1" si="4"/>
        <v>1</v>
      </c>
      <c r="Q39" s="128">
        <f t="shared" ca="1" si="5"/>
        <v>1</v>
      </c>
      <c r="R39" s="128" t="str">
        <f t="shared" ca="1" si="6"/>
        <v>24*</v>
      </c>
      <c r="S39" s="128">
        <f t="shared" ca="1" si="7"/>
        <v>24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Giles M</v>
      </c>
      <c r="C40" s="72">
        <f ca="1">OFFSET(Batting!$CF$4,BatAves!$I40,0)</f>
        <v>1</v>
      </c>
      <c r="D40" s="72">
        <f ca="1">OFFSET(Batting!$CH$4,BatAves!$I40,0)</f>
        <v>1</v>
      </c>
      <c r="E40" s="72">
        <f ca="1">OFFSET(Batting!$CI$4,BatAves!$I40,0)</f>
        <v>1</v>
      </c>
      <c r="F40" s="72" t="str">
        <f ca="1">OFFSET(Batting!$CK$4,BatAves!$I40,0)</f>
        <v>4*</v>
      </c>
      <c r="G40" s="72">
        <f ca="1">OFFSET(Batting!$CL$4,BatAves!$I40,0)</f>
        <v>4</v>
      </c>
      <c r="H40" s="76">
        <f ca="1">OFFSET(Batting!$CM$4,BatAves!$I40,0)</f>
        <v>0</v>
      </c>
      <c r="I40" s="68">
        <f>MATCH(A40,Batting!$DH$5:$DH$48,0)</f>
        <v>15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Giles M 1-1-4*-4</v>
      </c>
      <c r="M40" s="68">
        <f t="shared" ca="1" si="9"/>
        <v>39</v>
      </c>
      <c r="N40" s="128">
        <v>39</v>
      </c>
      <c r="O40" s="128" t="str">
        <f t="shared" ca="1" si="3"/>
        <v>Giles M</v>
      </c>
      <c r="P40" s="128">
        <f t="shared" ca="1" si="4"/>
        <v>1</v>
      </c>
      <c r="Q40" s="128">
        <f t="shared" ca="1" si="5"/>
        <v>1</v>
      </c>
      <c r="R40" s="128" t="str">
        <f t="shared" ca="1" si="6"/>
        <v>4*</v>
      </c>
      <c r="S40" s="128">
        <f t="shared" ca="1" si="7"/>
        <v>4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Winter T</v>
      </c>
      <c r="C41" s="72">
        <f ca="1">OFFSET(Batting!$CF$4,BatAves!$I41,0)</f>
        <v>1</v>
      </c>
      <c r="D41" s="72">
        <f ca="1">OFFSET(Batting!$CH$4,BatAves!$I41,0)</f>
        <v>1</v>
      </c>
      <c r="E41" s="72">
        <f ca="1">OFFSET(Batting!$CI$4,BatAves!$I41,0)</f>
        <v>1</v>
      </c>
      <c r="F41" s="72" t="str">
        <f ca="1">OFFSET(Batting!$CK$4,BatAves!$I41,0)</f>
        <v>1*</v>
      </c>
      <c r="G41" s="72">
        <f ca="1">OFFSET(Batting!$CL$4,BatAves!$I41,0)</f>
        <v>1</v>
      </c>
      <c r="H41" s="76">
        <f ca="1">OFFSET(Batting!$CM$4,BatAves!$I41,0)</f>
        <v>0</v>
      </c>
      <c r="I41" s="68">
        <f>MATCH(A41,Batting!$DH$5:$DH$48,0)</f>
        <v>43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Winter T 1-1-1*-1</v>
      </c>
      <c r="M41" s="68">
        <f t="shared" ca="1" si="9"/>
        <v>40</v>
      </c>
      <c r="N41" s="128">
        <v>40</v>
      </c>
      <c r="O41" s="128" t="str">
        <f t="shared" ca="1" si="3"/>
        <v>Winter T</v>
      </c>
      <c r="P41" s="128">
        <f t="shared" ca="1" si="4"/>
        <v>1</v>
      </c>
      <c r="Q41" s="128">
        <f t="shared" ca="1" si="5"/>
        <v>1</v>
      </c>
      <c r="R41" s="128" t="str">
        <f t="shared" ca="1" si="6"/>
        <v>1*</v>
      </c>
      <c r="S41" s="128">
        <f t="shared" ca="1" si="7"/>
        <v>1</v>
      </c>
      <c r="T41" s="130">
        <f t="shared" ca="1" si="8"/>
        <v>0</v>
      </c>
      <c r="V41" s="68" t="s">
        <v>204</v>
      </c>
    </row>
    <row r="42" spans="1:23" x14ac:dyDescent="0.15">
      <c r="A42" s="68">
        <v>41</v>
      </c>
      <c r="B42" s="68" t="str">
        <f ca="1">OFFSET(Batting!$C$4,BatAves!$I42,0)</f>
        <v>Southey M</v>
      </c>
      <c r="C42" s="72">
        <f ca="1">OFFSET(Batting!$CF$4,BatAves!$I42,0)</f>
        <v>1</v>
      </c>
      <c r="D42" s="72">
        <f ca="1">OFFSET(Batting!$CH$4,BatAves!$I42,0)</f>
        <v>1</v>
      </c>
      <c r="E42" s="72">
        <f ca="1">OFFSET(Batting!$CI$4,BatAves!$I42,0)</f>
        <v>0</v>
      </c>
      <c r="F42" s="72">
        <f ca="1">OFFSET(Batting!$CK$4,BatAves!$I42,0)</f>
        <v>0</v>
      </c>
      <c r="G42" s="72">
        <f ca="1">OFFSET(Batting!$CL$4,BatAves!$I42,0)</f>
        <v>0</v>
      </c>
      <c r="H42" s="76">
        <f ca="1">OFFSET(Batting!$CM$4,BatAves!$I42,0)</f>
        <v>0</v>
      </c>
      <c r="I42" s="68">
        <f>MATCH(A42,Batting!$DH$5:$DH$48,0)</f>
        <v>36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Southey M 1-0-0-0</v>
      </c>
      <c r="M42" s="68">
        <f t="shared" ca="1" si="9"/>
        <v>41</v>
      </c>
      <c r="N42" s="124">
        <v>41</v>
      </c>
      <c r="O42" s="124" t="str">
        <f t="shared" ca="1" si="3"/>
        <v>Southey M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204</v>
      </c>
    </row>
    <row r="43" spans="1:23" x14ac:dyDescent="0.15">
      <c r="A43" s="68">
        <v>42</v>
      </c>
      <c r="B43" s="68" t="str">
        <f ca="1">OFFSET(Batting!$C$4,BatAves!$I43,0)</f>
        <v>Dean J</v>
      </c>
      <c r="C43" s="72">
        <f ca="1">OFFSET(Batting!$CF$4,BatAves!$I43,0)</f>
        <v>1</v>
      </c>
      <c r="D43" s="72">
        <f ca="1">OFFSET(Batting!$CH$4,BatAves!$I43,0)</f>
        <v>1</v>
      </c>
      <c r="E43" s="72">
        <f ca="1">OFFSET(Batting!$CI$4,BatAves!$I43,0)</f>
        <v>0</v>
      </c>
      <c r="F43" s="72">
        <f ca="1">OFFSET(Batting!$CK$4,BatAves!$I43,0)</f>
        <v>0</v>
      </c>
      <c r="G43" s="72">
        <f ca="1">OFFSET(Batting!$CL$4,BatAves!$I43,0)</f>
        <v>0</v>
      </c>
      <c r="H43" s="76">
        <f ca="1">OFFSET(Batting!$CM$4,BatAves!$I43,0)</f>
        <v>0</v>
      </c>
      <c r="I43" s="68">
        <f>MATCH(A43,Batting!$DH$5:$DH$48,0)</f>
        <v>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Dean J 1-0-0-0</v>
      </c>
      <c r="M43" s="68">
        <f t="shared" ca="1" si="9"/>
        <v>42</v>
      </c>
      <c r="N43" s="124">
        <v>42</v>
      </c>
      <c r="O43" s="124" t="str">
        <f t="shared" ca="1" si="3"/>
        <v>Dean J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204</v>
      </c>
    </row>
    <row r="44" spans="1:23" x14ac:dyDescent="0.15">
      <c r="A44" s="68">
        <v>43</v>
      </c>
      <c r="B44" s="68" t="str">
        <f ca="1">OFFSET(Batting!$C$4,BatAves!$I44,0)</f>
        <v>Edghill R</v>
      </c>
      <c r="C44" s="72">
        <f ca="1">OFFSET(Batting!$CF$4,BatAves!$I44,0)</f>
        <v>2</v>
      </c>
      <c r="D44" s="72">
        <f ca="1">OFFSET(Batting!$CH$4,BatAves!$I44,0)</f>
        <v>0</v>
      </c>
      <c r="E44" s="72">
        <f ca="1">OFFSET(Batting!$CI$4,BatAves!$I44,0)</f>
        <v>0</v>
      </c>
      <c r="F44" s="72">
        <f ca="1">OFFSET(Batting!$CK$4,BatAves!$I44,0)</f>
        <v>0</v>
      </c>
      <c r="G44" s="72">
        <f ca="1">OFFSET(Batting!$CL$4,BatAves!$I44,0)</f>
        <v>0</v>
      </c>
      <c r="H44" s="76">
        <f ca="1">OFFSET(Batting!$CM$4,BatAves!$I44,0)</f>
        <v>0</v>
      </c>
      <c r="I44" s="68">
        <f>MATCH(A44,Batting!$DH$5:$DH$48,0)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Edghill R 0-0-0-0</v>
      </c>
      <c r="V44" s="68" t="s">
        <v>204</v>
      </c>
    </row>
    <row r="45" spans="1:23" x14ac:dyDescent="0.15">
      <c r="A45" s="68">
        <v>44</v>
      </c>
      <c r="B45" s="68" t="str">
        <f ca="1">OFFSET(Batting!$C$4,BatAves!$I45,0)</f>
        <v>Broody</v>
      </c>
      <c r="C45" s="72">
        <f ca="1">OFFSET(Batting!$CF$4,BatAves!$I45,0)</f>
        <v>1</v>
      </c>
      <c r="D45" s="72">
        <f ca="1">OFFSET(Batting!$CH$4,BatAves!$I45,0)</f>
        <v>0</v>
      </c>
      <c r="E45" s="72">
        <f ca="1">OFFSET(Batting!$CI$4,BatAves!$I45,0)</f>
        <v>0</v>
      </c>
      <c r="F45" s="72">
        <f ca="1">OFFSET(Batting!$CK$4,BatAves!$I45,0)</f>
        <v>0</v>
      </c>
      <c r="G45" s="72">
        <f ca="1">OFFSET(Batting!$CL$4,BatAves!$I45,0)</f>
        <v>0</v>
      </c>
      <c r="H45" s="76">
        <f ca="1">OFFSET(Batting!$CM$4,BatAves!$I45,0)</f>
        <v>0</v>
      </c>
      <c r="I45" s="68">
        <f>MATCH(A45,Batting!$DH$5:$DH$48,0)</f>
        <v>5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Broody 0-0-0-0</v>
      </c>
      <c r="V45" s="68" t="s">
        <v>204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MATCH(A46,Batting!$DH$5:$DH$48,0)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V46" s="68" t="s">
        <v>204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MATCH(A47,Batting!$DH$5:$DH$48,0)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204</v>
      </c>
      <c r="V47" s="68" t="s">
        <v>204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MATCH(A48,Batting!$DH$5:$DH$48,0)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204</v>
      </c>
      <c r="V48" s="68" t="s">
        <v>204</v>
      </c>
    </row>
    <row r="49" spans="1:22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MATCH(A49,Batting!$DH$5:$DH$48,0)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204</v>
      </c>
      <c r="V49" s="68" t="s">
        <v>204</v>
      </c>
    </row>
    <row r="50" spans="1:22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MATCH(A50,Batting!$DH$5:$DH$48,0)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204</v>
      </c>
      <c r="V50" s="68" t="s">
        <v>204</v>
      </c>
    </row>
    <row r="51" spans="1:22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MATCH(A51,Batting!$DH$5:$DH$48,0)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204</v>
      </c>
      <c r="O51" s="126" t="s">
        <v>204</v>
      </c>
      <c r="V51" s="68" t="s">
        <v>204</v>
      </c>
    </row>
    <row r="52" spans="1:22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MATCH(A52,Batting!$DH$5:$DH$48,0)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204</v>
      </c>
      <c r="O52" s="126" t="s">
        <v>204</v>
      </c>
    </row>
    <row r="53" spans="1:22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MATCH(A53,Batting!$DH$5:$DH$48,0)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204</v>
      </c>
      <c r="O53" s="126" t="s">
        <v>204</v>
      </c>
    </row>
    <row r="54" spans="1:22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MATCH(A54,Batting!$DH$5:$DH$48,0)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204</v>
      </c>
      <c r="O54" s="126" t="s">
        <v>204</v>
      </c>
    </row>
    <row r="55" spans="1:22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MATCH(A55,Batting!$DH$5:$DH$48,0)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204</v>
      </c>
      <c r="O55" s="126" t="s">
        <v>204</v>
      </c>
    </row>
    <row r="56" spans="1:22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MATCH(A56,Batting!$DH$5:$DH$48,0)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204</v>
      </c>
      <c r="O56" s="126" t="s">
        <v>204</v>
      </c>
    </row>
    <row r="57" spans="1:22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MATCH(A57,Batting!$DH$5:$DH$48,0)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N57" s="124" t="s">
        <v>204</v>
      </c>
      <c r="O57" s="126" t="s">
        <v>204</v>
      </c>
    </row>
    <row r="58" spans="1:22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MATCH(A58,Batting!$DH$5:$DH$48,0)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N58" s="124" t="s">
        <v>204</v>
      </c>
      <c r="O58" s="126" t="s">
        <v>204</v>
      </c>
    </row>
    <row r="59" spans="1:22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MATCH(A59,Batting!$DH$5:$DH$48,0)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N59" s="124" t="s">
        <v>204</v>
      </c>
      <c r="O59" s="126" t="s">
        <v>204</v>
      </c>
    </row>
    <row r="60" spans="1:22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MATCH(A60,Batting!$DH$5:$DH$48,0)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N60" s="124" t="s">
        <v>204</v>
      </c>
      <c r="O60" s="126" t="s">
        <v>204</v>
      </c>
    </row>
    <row r="61" spans="1:22" x14ac:dyDescent="0.15">
      <c r="N61" s="124" t="s">
        <v>204</v>
      </c>
      <c r="O61" s="126" t="s">
        <v>204</v>
      </c>
    </row>
    <row r="62" spans="1:22" x14ac:dyDescent="0.15">
      <c r="O62" s="126" t="s">
        <v>204</v>
      </c>
    </row>
    <row r="63" spans="1:22" x14ac:dyDescent="0.15">
      <c r="O63" s="126" t="s">
        <v>204</v>
      </c>
    </row>
    <row r="64" spans="1:22" x14ac:dyDescent="0.15">
      <c r="O64" s="126" t="s">
        <v>204</v>
      </c>
    </row>
    <row r="65" spans="15:15" x14ac:dyDescent="0.15">
      <c r="O65" s="126" t="s">
        <v>204</v>
      </c>
    </row>
    <row r="66" spans="15:15" x14ac:dyDescent="0.15">
      <c r="O66" s="126" t="s">
        <v>204</v>
      </c>
    </row>
    <row r="67" spans="15:15" x14ac:dyDescent="0.15">
      <c r="O67" s="126" t="s">
        <v>204</v>
      </c>
    </row>
    <row r="68" spans="15:15" x14ac:dyDescent="0.15">
      <c r="O68" s="126" t="s">
        <v>204</v>
      </c>
    </row>
    <row r="69" spans="15:15" x14ac:dyDescent="0.15">
      <c r="O69" s="126" t="s">
        <v>204</v>
      </c>
    </row>
    <row r="70" spans="15:15" x14ac:dyDescent="0.15">
      <c r="O70" s="126" t="s">
        <v>204</v>
      </c>
    </row>
    <row r="71" spans="15:15" x14ac:dyDescent="0.15">
      <c r="O71" s="126" t="s">
        <v>204</v>
      </c>
    </row>
    <row r="72" spans="15:15" x14ac:dyDescent="0.15">
      <c r="O72" s="126" t="s">
        <v>204</v>
      </c>
    </row>
    <row r="73" spans="15:15" x14ac:dyDescent="0.15">
      <c r="O73" s="126" t="s">
        <v>204</v>
      </c>
    </row>
    <row r="74" spans="15:15" x14ac:dyDescent="0.15">
      <c r="O74" s="126" t="s">
        <v>204</v>
      </c>
    </row>
    <row r="75" spans="15:15" x14ac:dyDescent="0.15">
      <c r="O75" s="126" t="s">
        <v>204</v>
      </c>
    </row>
    <row r="76" spans="15:15" x14ac:dyDescent="0.15">
      <c r="O76" s="126" t="s">
        <v>204</v>
      </c>
    </row>
    <row r="77" spans="15:15" x14ac:dyDescent="0.15">
      <c r="O77" s="126" t="s">
        <v>204</v>
      </c>
    </row>
    <row r="78" spans="15:15" x14ac:dyDescent="0.15">
      <c r="O78" s="126" t="s">
        <v>204</v>
      </c>
    </row>
    <row r="79" spans="15:15" x14ac:dyDescent="0.15">
      <c r="O79" s="126" t="s">
        <v>204</v>
      </c>
    </row>
    <row r="80" spans="15:15" x14ac:dyDescent="0.15">
      <c r="O80" s="126" t="s">
        <v>204</v>
      </c>
    </row>
    <row r="81" spans="15:15" x14ac:dyDescent="0.15">
      <c r="O81" s="126" t="s">
        <v>204</v>
      </c>
    </row>
    <row r="82" spans="15:15" x14ac:dyDescent="0.15">
      <c r="O82" s="126" t="s">
        <v>204</v>
      </c>
    </row>
    <row r="83" spans="15:15" x14ac:dyDescent="0.15">
      <c r="O83" s="126" t="s">
        <v>204</v>
      </c>
    </row>
    <row r="84" spans="15:15" x14ac:dyDescent="0.15">
      <c r="O84" s="126" t="s">
        <v>204</v>
      </c>
    </row>
    <row r="85" spans="15:15" x14ac:dyDescent="0.15">
      <c r="O85" s="126" t="s">
        <v>204</v>
      </c>
    </row>
  </sheetData>
  <sortState ref="N51:N90">
    <sortCondition ref="N51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66"/>
  <sheetViews>
    <sheetView topLeftCell="J1" workbookViewId="0">
      <selection activeCell="AA9" sqref="AA9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3" bestFit="1" customWidth="1"/>
    <col min="5" max="5" width="5.140625" style="154" bestFit="1" customWidth="1"/>
    <col min="6" max="6" width="5" style="154" bestFit="1" customWidth="1"/>
    <col min="7" max="7" width="7.28515625" style="154" bestFit="1" customWidth="1"/>
    <col min="8" max="8" width="7.28515625" style="76" bestFit="1" customWidth="1"/>
    <col min="9" max="9" width="6.5703125" style="158" bestFit="1" customWidth="1"/>
    <col min="10" max="10" width="5.5703125" style="158" bestFit="1" customWidth="1"/>
    <col min="11" max="11" width="4.7109375" style="154" bestFit="1" customWidth="1"/>
    <col min="12" max="12" width="5.28515625" style="154" bestFit="1" customWidth="1"/>
    <col min="13" max="13" width="5.85546875" style="154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7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3" t="s">
        <v>32</v>
      </c>
      <c r="E1" s="154" t="s">
        <v>33</v>
      </c>
      <c r="F1" s="154" t="s">
        <v>9</v>
      </c>
      <c r="G1" s="154" t="s">
        <v>140</v>
      </c>
      <c r="H1" s="75" t="s">
        <v>35</v>
      </c>
      <c r="I1" s="155" t="s">
        <v>36</v>
      </c>
      <c r="J1" s="155" t="s">
        <v>37</v>
      </c>
      <c r="K1" s="156" t="s">
        <v>93</v>
      </c>
      <c r="L1" s="156"/>
      <c r="M1" s="156"/>
      <c r="O1" s="122" t="s">
        <v>202</v>
      </c>
      <c r="P1" s="122">
        <f t="array" aca="1" ref="P1" ca="1">SUM(IF(NOT(ISNA(C2:C51)),1,0))</f>
        <v>32</v>
      </c>
      <c r="Q1" s="122" t="s">
        <v>203</v>
      </c>
      <c r="R1" s="122">
        <f t="array" aca="1" ref="R1" ca="1">SUM(IF(OFFSET(G2,0,0,P1,1)&gt;=10,1,0))</f>
        <v>5</v>
      </c>
    </row>
    <row r="2" spans="1:28" x14ac:dyDescent="0.15">
      <c r="A2" s="122">
        <v>1</v>
      </c>
      <c r="B2" s="122">
        <f>MATCH(A2,Bowling!$CS$5:$CS$36,0)</f>
        <v>27</v>
      </c>
      <c r="C2" s="122" t="str">
        <f ca="1">OFFSET(Bowling!$B$4,BowlAves!B2,0)</f>
        <v>Stevenson R</v>
      </c>
      <c r="D2" s="153">
        <f t="array" aca="1" ref="D2:K2" ca="1">OFFSET(Bowling!$CG$4,BowlAves!B2,0,1,8)</f>
        <v>4</v>
      </c>
      <c r="E2" s="154">
        <f ca="1"/>
        <v>1</v>
      </c>
      <c r="F2" s="154">
        <f ca="1"/>
        <v>12</v>
      </c>
      <c r="G2" s="154">
        <f ca="1"/>
        <v>2</v>
      </c>
      <c r="H2" s="76">
        <f ca="1"/>
        <v>6</v>
      </c>
      <c r="I2" s="158">
        <f ca="1"/>
        <v>12</v>
      </c>
      <c r="J2" s="158">
        <f ca="1"/>
        <v>3</v>
      </c>
      <c r="K2" s="159" t="str">
        <f ca="1"/>
        <v>2-12</v>
      </c>
      <c r="L2" s="159">
        <f ca="1">IF(G2&gt;=10,A2,1000+A2)</f>
        <v>1001</v>
      </c>
      <c r="M2" s="159">
        <f ca="1">RANK(L2,OFFSET($L$2,0,0,$P$1,1),-1)</f>
        <v>6</v>
      </c>
      <c r="N2" s="122" t="str">
        <f ca="1">IF(G2&gt;=10,"",C2&amp;" "&amp;D2&amp;"-"&amp;E2&amp;"-"&amp;F2&amp;"-"&amp;G2)</f>
        <v>Stevenson R 4-1-12-2</v>
      </c>
      <c r="Q2" s="160" t="s">
        <v>79</v>
      </c>
      <c r="R2" s="161" t="s">
        <v>32</v>
      </c>
      <c r="S2" s="162" t="s">
        <v>33</v>
      </c>
      <c r="T2" s="161" t="s">
        <v>9</v>
      </c>
      <c r="U2" s="161" t="s">
        <v>140</v>
      </c>
      <c r="V2" s="161" t="s">
        <v>35</v>
      </c>
      <c r="W2" s="161" t="s">
        <v>36</v>
      </c>
      <c r="X2" s="161" t="s">
        <v>37</v>
      </c>
      <c r="Y2" s="161" t="s">
        <v>93</v>
      </c>
      <c r="Z2" s="161" t="s">
        <v>230</v>
      </c>
    </row>
    <row r="3" spans="1:28" ht="11.25" x14ac:dyDescent="0.2">
      <c r="A3" s="122">
        <v>2</v>
      </c>
      <c r="B3" s="122">
        <f>MATCH(A3,Bowling!$CS$5:$CS$36,0)</f>
        <v>5</v>
      </c>
      <c r="C3" s="122" t="str">
        <f ca="1">OFFSET(Bowling!$B$4,BowlAves!B3,0)</f>
        <v>Driver S</v>
      </c>
      <c r="D3" s="153">
        <f t="array" aca="1" ref="D3:K3" ca="1">OFFSET(Bowling!$CG$4,BowlAves!B3,0,1,8)</f>
        <v>20</v>
      </c>
      <c r="E3" s="154">
        <f ca="1"/>
        <v>4</v>
      </c>
      <c r="F3" s="154">
        <f ca="1"/>
        <v>68</v>
      </c>
      <c r="G3" s="154">
        <f ca="1"/>
        <v>8</v>
      </c>
      <c r="H3" s="76">
        <f ca="1"/>
        <v>8.5</v>
      </c>
      <c r="I3" s="158">
        <f ca="1"/>
        <v>15</v>
      </c>
      <c r="J3" s="158">
        <f ca="1"/>
        <v>3.4</v>
      </c>
      <c r="K3" s="159" t="str">
        <f ca="1"/>
        <v>4-18</v>
      </c>
      <c r="L3" s="159">
        <f t="shared" ref="L3:L51" ca="1" si="0">IF(G3&gt;=10,A3,1000+A3)</f>
        <v>1002</v>
      </c>
      <c r="M3" s="159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"&amp;D3&amp;"-"&amp;E3&amp;"-"&amp;F3&amp;"-"&amp;G3)</f>
        <v>Driver S 20-4-68-8</v>
      </c>
      <c r="P3" s="163">
        <v>1</v>
      </c>
      <c r="Q3" s="164" t="str">
        <f t="array" aca="1" ref="Q3:Y3" ca="1">OFFSET($C$2,MATCH(P3,$M$2:$M$51,0)-1,0,1,9)</f>
        <v>Springer T</v>
      </c>
      <c r="R3" s="165">
        <f ca="1"/>
        <v>120</v>
      </c>
      <c r="S3" s="166">
        <f ca="1"/>
        <v>21</v>
      </c>
      <c r="T3" s="165">
        <f ca="1"/>
        <v>444</v>
      </c>
      <c r="U3" s="165">
        <f ca="1"/>
        <v>31</v>
      </c>
      <c r="V3" s="167">
        <f ca="1"/>
        <v>14.32</v>
      </c>
      <c r="W3" s="168">
        <f ca="1"/>
        <v>23.225806451612904</v>
      </c>
      <c r="X3" s="168">
        <f ca="1"/>
        <v>3.7</v>
      </c>
      <c r="Y3" s="168" t="str">
        <f ca="1"/>
        <v>5-10</v>
      </c>
      <c r="Z3" s="182">
        <f ca="1">S3/R3</f>
        <v>0.17499999999999999</v>
      </c>
      <c r="AA3" s="182">
        <f ca="1">IF(R3&gt;=20,Z3,"")</f>
        <v>0.17499999999999999</v>
      </c>
      <c r="AB3" s="122" t="s">
        <v>204</v>
      </c>
    </row>
    <row r="4" spans="1:28" ht="11.25" x14ac:dyDescent="0.2">
      <c r="A4" s="122">
        <v>3</v>
      </c>
      <c r="B4" s="122">
        <f>MATCH(A4,Bowling!$CS$5:$CS$36,0)</f>
        <v>14</v>
      </c>
      <c r="C4" s="122" t="str">
        <f ca="1">OFFSET(Bowling!$B$4,BowlAves!B4,0)</f>
        <v>Nair S</v>
      </c>
      <c r="D4" s="153">
        <f t="array" aca="1" ref="D4:K4" ca="1">OFFSET(Bowling!$CG$4,BowlAves!B4,0,1,8)</f>
        <v>20</v>
      </c>
      <c r="E4" s="154">
        <f ca="1"/>
        <v>3</v>
      </c>
      <c r="F4" s="154">
        <f ca="1"/>
        <v>62</v>
      </c>
      <c r="G4" s="154">
        <f ca="1"/>
        <v>7</v>
      </c>
      <c r="H4" s="76">
        <f ca="1"/>
        <v>8.86</v>
      </c>
      <c r="I4" s="158">
        <f ca="1"/>
        <v>17.142857142857142</v>
      </c>
      <c r="J4" s="158">
        <f ca="1"/>
        <v>3.1</v>
      </c>
      <c r="K4" s="159" t="str">
        <f ca="1"/>
        <v>3-23</v>
      </c>
      <c r="L4" s="159">
        <f t="shared" ca="1" si="0"/>
        <v>1003</v>
      </c>
      <c r="M4" s="159">
        <f t="shared" ca="1" si="1"/>
        <v>8</v>
      </c>
      <c r="N4" s="122" t="str">
        <f t="shared" ca="1" si="2"/>
        <v>Nair S 20-3-62-7</v>
      </c>
      <c r="P4" s="163">
        <v>2</v>
      </c>
      <c r="Q4" s="164" t="str">
        <f t="array" aca="1" ref="Q4:Y4" ca="1">OFFSET($C$2,MATCH(P4,$M$2:$M$51,0)-1,0,1,9)</f>
        <v>Mander A</v>
      </c>
      <c r="R4" s="165">
        <f ca="1"/>
        <v>96</v>
      </c>
      <c r="S4" s="166">
        <f ca="1"/>
        <v>21</v>
      </c>
      <c r="T4" s="165">
        <f ca="1"/>
        <v>308</v>
      </c>
      <c r="U4" s="165">
        <f ca="1"/>
        <v>16</v>
      </c>
      <c r="V4" s="167">
        <f ca="1"/>
        <v>19.25</v>
      </c>
      <c r="W4" s="168">
        <f ca="1"/>
        <v>36</v>
      </c>
      <c r="X4" s="168">
        <f ca="1"/>
        <v>3.2083333333333335</v>
      </c>
      <c r="Y4" s="168" t="str">
        <f ca="1"/>
        <v>4-29</v>
      </c>
      <c r="Z4" s="182">
        <f t="shared" ref="Z4:Z25" ca="1" si="3">S4/R4</f>
        <v>0.21875</v>
      </c>
      <c r="AA4" s="182">
        <f t="shared" ref="AA4:AA25" ca="1" si="4">IF(R4&gt;=20,Z4,"")</f>
        <v>0.21875</v>
      </c>
      <c r="AB4" s="122" t="s">
        <v>204</v>
      </c>
    </row>
    <row r="5" spans="1:28" ht="11.25" x14ac:dyDescent="0.2">
      <c r="A5" s="122">
        <v>4</v>
      </c>
      <c r="B5" s="122">
        <f>MATCH(A5,Bowling!$CS$5:$CS$36,0)</f>
        <v>3</v>
      </c>
      <c r="C5" s="122" t="str">
        <f ca="1">OFFSET(Bowling!$B$4,BowlAves!B5,0)</f>
        <v>Brocks D</v>
      </c>
      <c r="D5" s="153">
        <f t="array" aca="1" ref="D5:K5" ca="1">OFFSET(Bowling!$CG$4,BowlAves!B5,0,1,8)</f>
        <v>17</v>
      </c>
      <c r="E5" s="154">
        <f ca="1"/>
        <v>4</v>
      </c>
      <c r="F5" s="154">
        <f ca="1"/>
        <v>70</v>
      </c>
      <c r="G5" s="154">
        <f ca="1"/>
        <v>7</v>
      </c>
      <c r="H5" s="76">
        <f ca="1"/>
        <v>10</v>
      </c>
      <c r="I5" s="158">
        <f ca="1"/>
        <v>14.571428571428571</v>
      </c>
      <c r="J5" s="158">
        <f ca="1"/>
        <v>4.117647058823529</v>
      </c>
      <c r="K5" s="159" t="str">
        <f ca="1"/>
        <v>5-0</v>
      </c>
      <c r="L5" s="159">
        <f t="shared" ca="1" si="0"/>
        <v>1004</v>
      </c>
      <c r="M5" s="159">
        <f t="shared" ca="1" si="1"/>
        <v>9</v>
      </c>
      <c r="N5" s="122" t="str">
        <f t="shared" ca="1" si="2"/>
        <v>Brocks D 17-4-70-7</v>
      </c>
      <c r="P5" s="163">
        <v>3</v>
      </c>
      <c r="Q5" s="164" t="str">
        <f t="array" aca="1" ref="Q5:Y5" ca="1">OFFSET($C$2,MATCH(P5,$M$2:$M$51,0)-1,0,1,9)</f>
        <v>Rathi N</v>
      </c>
      <c r="R5" s="165">
        <f ca="1"/>
        <v>52.2</v>
      </c>
      <c r="S5" s="166">
        <f ca="1"/>
        <v>2</v>
      </c>
      <c r="T5" s="165">
        <f ca="1"/>
        <v>266</v>
      </c>
      <c r="U5" s="165">
        <f ca="1"/>
        <v>13</v>
      </c>
      <c r="V5" s="167">
        <f ca="1"/>
        <v>20.46</v>
      </c>
      <c r="W5" s="168">
        <f ca="1"/>
        <v>24.153846153846153</v>
      </c>
      <c r="X5" s="168">
        <f ca="1"/>
        <v>5.0828025477707008</v>
      </c>
      <c r="Y5" s="168" t="str">
        <f ca="1"/>
        <v>3-4</v>
      </c>
      <c r="Z5" s="182">
        <f t="shared" ca="1" si="3"/>
        <v>3.8314176245210725E-2</v>
      </c>
      <c r="AA5" s="182">
        <f t="shared" ca="1" si="4"/>
        <v>3.8314176245210725E-2</v>
      </c>
      <c r="AB5" s="122" t="s">
        <v>204</v>
      </c>
    </row>
    <row r="6" spans="1:28" ht="11.25" x14ac:dyDescent="0.2">
      <c r="A6" s="122">
        <v>5</v>
      </c>
      <c r="B6" s="122">
        <f>MATCH(A6,Bowling!$CS$5:$CS$36,0)</f>
        <v>24</v>
      </c>
      <c r="C6" s="122" t="str">
        <f ca="1">OFFSET(Bowling!$B$4,BowlAves!B6,0)</f>
        <v>Southey J</v>
      </c>
      <c r="D6" s="153">
        <f t="array" aca="1" ref="D6:K6" ca="1">OFFSET(Bowling!$CG$4,BowlAves!B6,0,1,8)</f>
        <v>4</v>
      </c>
      <c r="E6" s="154">
        <f ca="1"/>
        <v>0</v>
      </c>
      <c r="F6" s="154">
        <f ca="1"/>
        <v>24</v>
      </c>
      <c r="G6" s="154">
        <f ca="1"/>
        <v>2</v>
      </c>
      <c r="H6" s="76">
        <f ca="1"/>
        <v>12</v>
      </c>
      <c r="I6" s="158">
        <f ca="1"/>
        <v>12</v>
      </c>
      <c r="J6" s="158">
        <f ca="1"/>
        <v>6</v>
      </c>
      <c r="K6" s="159" t="str">
        <f ca="1"/>
        <v>2-24</v>
      </c>
      <c r="L6" s="159">
        <f t="shared" ca="1" si="0"/>
        <v>1005</v>
      </c>
      <c r="M6" s="159">
        <f t="shared" ca="1" si="1"/>
        <v>10</v>
      </c>
      <c r="N6" s="122" t="str">
        <f t="shared" ca="1" si="2"/>
        <v>Southey J 4-0-24-2</v>
      </c>
      <c r="P6" s="163">
        <v>4</v>
      </c>
      <c r="Q6" s="164" t="str">
        <f t="array" aca="1" ref="Q6:Y6" ca="1">OFFSET($C$2,MATCH(P6,$M$2:$M$51,0)-1,0,1,9)</f>
        <v>Seymour C</v>
      </c>
      <c r="R6" s="165">
        <f ca="1"/>
        <v>129.30000000000001</v>
      </c>
      <c r="S6" s="166">
        <f ca="1"/>
        <v>13</v>
      </c>
      <c r="T6" s="165">
        <f ca="1"/>
        <v>619</v>
      </c>
      <c r="U6" s="165">
        <f ca="1"/>
        <v>20</v>
      </c>
      <c r="V6" s="167">
        <f ca="1"/>
        <v>30.95</v>
      </c>
      <c r="W6" s="168">
        <f ca="1"/>
        <v>38.85</v>
      </c>
      <c r="X6" s="168">
        <f ca="1"/>
        <v>4.7799227799227797</v>
      </c>
      <c r="Y6" s="168" t="str">
        <f ca="1"/>
        <v>3-33</v>
      </c>
      <c r="Z6" s="182">
        <f t="shared" ca="1" si="3"/>
        <v>0.1005413766434648</v>
      </c>
      <c r="AA6" s="182">
        <f t="shared" ca="1" si="4"/>
        <v>0.1005413766434648</v>
      </c>
      <c r="AB6" s="122" t="s">
        <v>204</v>
      </c>
    </row>
    <row r="7" spans="1:28" ht="11.25" x14ac:dyDescent="0.2">
      <c r="A7" s="122">
        <v>6</v>
      </c>
      <c r="B7" s="122">
        <f>MATCH(A7,Bowling!$CS$5:$CS$36,0)</f>
        <v>26</v>
      </c>
      <c r="C7" s="122" t="str">
        <f ca="1">OFFSET(Bowling!$B$4,BowlAves!B7,0)</f>
        <v>Springer T</v>
      </c>
      <c r="D7" s="153">
        <f t="array" aca="1" ref="D7:K7" ca="1">OFFSET(Bowling!$CG$4,BowlAves!B7,0,1,8)</f>
        <v>120</v>
      </c>
      <c r="E7" s="154">
        <f ca="1"/>
        <v>21</v>
      </c>
      <c r="F7" s="154">
        <f ca="1"/>
        <v>444</v>
      </c>
      <c r="G7" s="154">
        <f ca="1"/>
        <v>31</v>
      </c>
      <c r="H7" s="76">
        <f ca="1"/>
        <v>14.32</v>
      </c>
      <c r="I7" s="158">
        <f ca="1"/>
        <v>23.225806451612904</v>
      </c>
      <c r="J7" s="158">
        <f ca="1"/>
        <v>3.7</v>
      </c>
      <c r="K7" s="159" t="str">
        <f ca="1"/>
        <v>5-10</v>
      </c>
      <c r="L7" s="159">
        <f t="shared" ca="1" si="0"/>
        <v>6</v>
      </c>
      <c r="M7" s="159">
        <f t="shared" ca="1" si="1"/>
        <v>1</v>
      </c>
      <c r="N7" s="122" t="str">
        <f t="shared" ca="1" si="2"/>
        <v/>
      </c>
      <c r="P7" s="163">
        <v>5</v>
      </c>
      <c r="Q7" s="164" t="str">
        <f t="array" aca="1" ref="Q7:Y7" ca="1">OFFSET($C$2,MATCH(P7,$M$2:$M$51,0)-1,0,1,9)</f>
        <v>Tapadar S</v>
      </c>
      <c r="R7" s="165">
        <f ca="1"/>
        <v>88</v>
      </c>
      <c r="S7" s="166">
        <f ca="1"/>
        <v>8</v>
      </c>
      <c r="T7" s="165">
        <f ca="1"/>
        <v>420</v>
      </c>
      <c r="U7" s="165">
        <f ca="1"/>
        <v>12</v>
      </c>
      <c r="V7" s="167">
        <f ca="1"/>
        <v>35</v>
      </c>
      <c r="W7" s="168">
        <f ca="1"/>
        <v>44</v>
      </c>
      <c r="X7" s="168">
        <f ca="1"/>
        <v>4.7727272727272725</v>
      </c>
      <c r="Y7" s="168" t="str">
        <f ca="1"/>
        <v>3-22</v>
      </c>
      <c r="Z7" s="182">
        <f t="shared" ca="1" si="3"/>
        <v>9.0909090909090912E-2</v>
      </c>
      <c r="AA7" s="182">
        <f t="shared" ca="1" si="4"/>
        <v>9.0909090909090912E-2</v>
      </c>
      <c r="AB7" s="122" t="s">
        <v>204</v>
      </c>
    </row>
    <row r="8" spans="1:28" ht="12.75" x14ac:dyDescent="0.2">
      <c r="A8" s="122">
        <v>7</v>
      </c>
      <c r="B8" s="122">
        <f>MATCH(A8,Bowling!$CS$5:$CS$36,0)</f>
        <v>7</v>
      </c>
      <c r="C8" s="122" t="str">
        <f ca="1">OFFSET(Bowling!$B$4,BowlAves!B8,0)</f>
        <v>Foxworthy</v>
      </c>
      <c r="D8" s="153">
        <f t="array" aca="1" ref="D8:K8" ca="1">OFFSET(Bowling!$CG$4,BowlAves!B8,0,1,8)</f>
        <v>2</v>
      </c>
      <c r="E8" s="154">
        <f ca="1"/>
        <v>0</v>
      </c>
      <c r="F8" s="154">
        <f ca="1"/>
        <v>17</v>
      </c>
      <c r="G8" s="154">
        <f ca="1"/>
        <v>1</v>
      </c>
      <c r="H8" s="76">
        <f ca="1"/>
        <v>17</v>
      </c>
      <c r="I8" s="158">
        <f ca="1"/>
        <v>12</v>
      </c>
      <c r="J8" s="158">
        <f ca="1"/>
        <v>8.5</v>
      </c>
      <c r="K8" s="159" t="str">
        <f ca="1"/>
        <v>1-17</v>
      </c>
      <c r="L8" s="159">
        <f t="shared" ca="1" si="0"/>
        <v>1007</v>
      </c>
      <c r="M8" s="159">
        <f t="shared" ca="1" si="1"/>
        <v>11</v>
      </c>
      <c r="N8" s="122" t="str">
        <f t="shared" ca="1" si="2"/>
        <v>Foxworthy 2-0-17-1</v>
      </c>
      <c r="P8" s="163">
        <v>6</v>
      </c>
      <c r="Q8" s="164" t="str">
        <f t="array" aca="1" ref="Q8:Y8" ca="1">OFFSET($C$2,MATCH(P8,$M$2:$M$51,0)-1,0,1,9)</f>
        <v>Stevenson R</v>
      </c>
      <c r="R8" s="165">
        <f ca="1"/>
        <v>4</v>
      </c>
      <c r="S8" s="166">
        <f ca="1"/>
        <v>1</v>
      </c>
      <c r="T8" s="165">
        <f ca="1"/>
        <v>12</v>
      </c>
      <c r="U8" s="165">
        <f ca="1"/>
        <v>2</v>
      </c>
      <c r="V8" s="167">
        <f ca="1"/>
        <v>6</v>
      </c>
      <c r="W8" s="168">
        <f ca="1"/>
        <v>12</v>
      </c>
      <c r="X8" s="168">
        <f ca="1"/>
        <v>3</v>
      </c>
      <c r="Y8" s="168" t="str">
        <f ca="1"/>
        <v>2-12</v>
      </c>
      <c r="Z8" s="182">
        <f t="shared" ca="1" si="3"/>
        <v>0.25</v>
      </c>
      <c r="AA8" s="182" t="str">
        <f t="shared" ca="1" si="4"/>
        <v/>
      </c>
      <c r="AB8" s="103"/>
    </row>
    <row r="9" spans="1:28" ht="12.75" x14ac:dyDescent="0.2">
      <c r="A9" s="122">
        <v>8</v>
      </c>
      <c r="B9" s="122">
        <f>MATCH(A9,Bowling!$CS$5:$CS$36,0)</f>
        <v>20</v>
      </c>
      <c r="C9" s="122" t="str">
        <f ca="1">OFFSET(Bowling!$B$4,BowlAves!B9,0)</f>
        <v>Shahid A</v>
      </c>
      <c r="D9" s="153">
        <f t="array" aca="1" ref="D9:K9" ca="1">OFFSET(Bowling!$CG$4,BowlAves!B9,0,1,8)</f>
        <v>11.3</v>
      </c>
      <c r="E9" s="154">
        <f ca="1"/>
        <v>1</v>
      </c>
      <c r="F9" s="154">
        <f ca="1"/>
        <v>56</v>
      </c>
      <c r="G9" s="154">
        <f ca="1"/>
        <v>3</v>
      </c>
      <c r="H9" s="76">
        <f ca="1"/>
        <v>18.670000000000002</v>
      </c>
      <c r="I9" s="158">
        <f ca="1"/>
        <v>23</v>
      </c>
      <c r="J9" s="158">
        <f ca="1"/>
        <v>4.8695652173913047</v>
      </c>
      <c r="K9" s="159" t="str">
        <f ca="1"/>
        <v>3-21</v>
      </c>
      <c r="L9" s="159">
        <f t="shared" ca="1" si="0"/>
        <v>1008</v>
      </c>
      <c r="M9" s="159">
        <f t="shared" ca="1" si="1"/>
        <v>12</v>
      </c>
      <c r="N9" s="122" t="str">
        <f t="shared" ca="1" si="2"/>
        <v>Shahid A 11.3-1-56-3</v>
      </c>
      <c r="P9" s="163">
        <v>7</v>
      </c>
      <c r="Q9" s="164" t="str">
        <f t="array" aca="1" ref="Q9:Y9" ca="1">OFFSET($C$2,MATCH(P9,$M$2:$M$51,0)-1,0,1,9)</f>
        <v>Driver S</v>
      </c>
      <c r="R9" s="165">
        <f ca="1"/>
        <v>20</v>
      </c>
      <c r="S9" s="166">
        <f ca="1"/>
        <v>4</v>
      </c>
      <c r="T9" s="165">
        <f ca="1"/>
        <v>68</v>
      </c>
      <c r="U9" s="165">
        <f ca="1"/>
        <v>8</v>
      </c>
      <c r="V9" s="167">
        <f ca="1"/>
        <v>8.5</v>
      </c>
      <c r="W9" s="168">
        <f ca="1"/>
        <v>15</v>
      </c>
      <c r="X9" s="168">
        <f ca="1"/>
        <v>3.4</v>
      </c>
      <c r="Y9" s="168" t="str">
        <f ca="1"/>
        <v>4-18</v>
      </c>
      <c r="Z9" s="182">
        <f t="shared" ca="1" si="3"/>
        <v>0.2</v>
      </c>
      <c r="AA9" s="182">
        <f t="shared" ca="1" si="4"/>
        <v>0.2</v>
      </c>
      <c r="AB9" s="103"/>
    </row>
    <row r="10" spans="1:28" ht="12.75" x14ac:dyDescent="0.2">
      <c r="A10" s="122">
        <v>9</v>
      </c>
      <c r="B10" s="122">
        <f>MATCH(A10,Bowling!$CS$5:$CS$36,0)</f>
        <v>10</v>
      </c>
      <c r="C10" s="122" t="str">
        <f ca="1">OFFSET(Bowling!$B$4,BowlAves!B10,0)</f>
        <v>Mander A</v>
      </c>
      <c r="D10" s="153">
        <f t="array" aca="1" ref="D10:K10" ca="1">OFFSET(Bowling!$CG$4,BowlAves!B10,0,1,8)</f>
        <v>96</v>
      </c>
      <c r="E10" s="154">
        <f ca="1"/>
        <v>21</v>
      </c>
      <c r="F10" s="154">
        <f ca="1"/>
        <v>308</v>
      </c>
      <c r="G10" s="154">
        <f ca="1"/>
        <v>16</v>
      </c>
      <c r="H10" s="76">
        <f ca="1"/>
        <v>19.25</v>
      </c>
      <c r="I10" s="158">
        <f ca="1"/>
        <v>36</v>
      </c>
      <c r="J10" s="158">
        <f ca="1"/>
        <v>3.2083333333333335</v>
      </c>
      <c r="K10" s="159" t="str">
        <f ca="1"/>
        <v>4-29</v>
      </c>
      <c r="L10" s="159">
        <f t="shared" ca="1" si="0"/>
        <v>9</v>
      </c>
      <c r="M10" s="159">
        <f t="shared" ca="1" si="1"/>
        <v>2</v>
      </c>
      <c r="N10" s="122" t="str">
        <f t="shared" ca="1" si="2"/>
        <v/>
      </c>
      <c r="P10" s="163">
        <v>8</v>
      </c>
      <c r="Q10" s="164" t="str">
        <f t="array" aca="1" ref="Q10:Y10" ca="1">OFFSET($C$2,MATCH(P10,$M$2:$M$51,0)-1,0,1,9)</f>
        <v>Nair S</v>
      </c>
      <c r="R10" s="165">
        <f ca="1"/>
        <v>20</v>
      </c>
      <c r="S10" s="166">
        <f ca="1"/>
        <v>3</v>
      </c>
      <c r="T10" s="165">
        <f ca="1"/>
        <v>62</v>
      </c>
      <c r="U10" s="165">
        <f ca="1"/>
        <v>7</v>
      </c>
      <c r="V10" s="167">
        <f ca="1"/>
        <v>8.86</v>
      </c>
      <c r="W10" s="168">
        <f ca="1"/>
        <v>17.142857142857142</v>
      </c>
      <c r="X10" s="168">
        <f ca="1"/>
        <v>3.1</v>
      </c>
      <c r="Y10" s="168" t="str">
        <f ca="1"/>
        <v>3-23</v>
      </c>
      <c r="Z10" s="182">
        <f t="shared" ca="1" si="3"/>
        <v>0.15</v>
      </c>
      <c r="AA10" s="182">
        <f t="shared" ca="1" si="4"/>
        <v>0.15</v>
      </c>
      <c r="AB10" s="103"/>
    </row>
    <row r="11" spans="1:28" ht="12.75" x14ac:dyDescent="0.2">
      <c r="A11" s="122">
        <v>10</v>
      </c>
      <c r="B11" s="122">
        <f>MATCH(A11,Bowling!$CS$5:$CS$36,0)</f>
        <v>18</v>
      </c>
      <c r="C11" s="122" t="str">
        <f ca="1">OFFSET(Bowling!$B$4,BowlAves!B11,0)</f>
        <v>Rathi N</v>
      </c>
      <c r="D11" s="153">
        <f t="array" aca="1" ref="D11:K11" ca="1">OFFSET(Bowling!$CG$4,BowlAves!B11,0,1,8)</f>
        <v>52.2</v>
      </c>
      <c r="E11" s="154">
        <f ca="1"/>
        <v>2</v>
      </c>
      <c r="F11" s="154">
        <f ca="1"/>
        <v>266</v>
      </c>
      <c r="G11" s="154">
        <f ca="1"/>
        <v>13</v>
      </c>
      <c r="H11" s="76">
        <f ca="1"/>
        <v>20.46</v>
      </c>
      <c r="I11" s="158">
        <f ca="1"/>
        <v>24.153846153846153</v>
      </c>
      <c r="J11" s="158">
        <f ca="1"/>
        <v>5.0828025477707008</v>
      </c>
      <c r="K11" s="159" t="str">
        <f ca="1"/>
        <v>3-4</v>
      </c>
      <c r="L11" s="159">
        <f t="shared" ca="1" si="0"/>
        <v>10</v>
      </c>
      <c r="M11" s="159">
        <f t="shared" ca="1" si="1"/>
        <v>3</v>
      </c>
      <c r="N11" s="122" t="str">
        <f t="shared" ca="1" si="2"/>
        <v/>
      </c>
      <c r="P11" s="163">
        <v>9</v>
      </c>
      <c r="Q11" s="164" t="str">
        <f t="array" aca="1" ref="Q11:Y11" ca="1">OFFSET($C$2,MATCH(P11,$M$2:$M$51,0)-1,0,1,9)</f>
        <v>Brocks D</v>
      </c>
      <c r="R11" s="165">
        <f ca="1"/>
        <v>17</v>
      </c>
      <c r="S11" s="166">
        <f ca="1"/>
        <v>4</v>
      </c>
      <c r="T11" s="165">
        <f ca="1"/>
        <v>70</v>
      </c>
      <c r="U11" s="165">
        <f ca="1"/>
        <v>7</v>
      </c>
      <c r="V11" s="167">
        <f ca="1"/>
        <v>10</v>
      </c>
      <c r="W11" s="168">
        <f ca="1"/>
        <v>14.571428571428571</v>
      </c>
      <c r="X11" s="168">
        <f ca="1"/>
        <v>4.117647058823529</v>
      </c>
      <c r="Y11" s="168" t="str">
        <f ca="1"/>
        <v>5-0</v>
      </c>
      <c r="Z11" s="182">
        <f t="shared" ca="1" si="3"/>
        <v>0.23529411764705882</v>
      </c>
      <c r="AA11" s="182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MATCH(A12,Bowling!$CS$5:$CS$36,0)</f>
        <v>22</v>
      </c>
      <c r="C12" s="122" t="str">
        <f ca="1">OFFSET(Bowling!$B$4,BowlAves!B12,0)</f>
        <v>Smith C</v>
      </c>
      <c r="D12" s="153">
        <f t="array" aca="1" ref="D12:K12" ca="1">OFFSET(Bowling!$CG$4,BowlAves!B12,0,1,8)</f>
        <v>3</v>
      </c>
      <c r="E12" s="154">
        <f ca="1"/>
        <v>0</v>
      </c>
      <c r="F12" s="154">
        <f ca="1"/>
        <v>23</v>
      </c>
      <c r="G12" s="154">
        <f ca="1"/>
        <v>1</v>
      </c>
      <c r="H12" s="76">
        <f ca="1"/>
        <v>23</v>
      </c>
      <c r="I12" s="158">
        <f ca="1"/>
        <v>18</v>
      </c>
      <c r="J12" s="158">
        <f ca="1"/>
        <v>7.666666666666667</v>
      </c>
      <c r="K12" s="159" t="str">
        <f ca="1"/>
        <v>1-23</v>
      </c>
      <c r="L12" s="159">
        <f t="shared" ca="1" si="0"/>
        <v>1011</v>
      </c>
      <c r="M12" s="159">
        <f t="shared" ca="1" si="1"/>
        <v>13</v>
      </c>
      <c r="N12" s="122" t="str">
        <f t="shared" ca="1" si="2"/>
        <v>Smith C 3-0-23-1</v>
      </c>
      <c r="P12" s="163">
        <v>10</v>
      </c>
      <c r="Q12" s="164" t="str">
        <f t="array" aca="1" ref="Q12:Y12" ca="1">OFFSET($C$2,MATCH(P12,$M$2:$M$51,0)-1,0,1,9)</f>
        <v>Southey J</v>
      </c>
      <c r="R12" s="165">
        <f ca="1"/>
        <v>4</v>
      </c>
      <c r="S12" s="166">
        <f ca="1"/>
        <v>0</v>
      </c>
      <c r="T12" s="165">
        <f ca="1"/>
        <v>24</v>
      </c>
      <c r="U12" s="165">
        <f ca="1"/>
        <v>2</v>
      </c>
      <c r="V12" s="167">
        <f ca="1"/>
        <v>12</v>
      </c>
      <c r="W12" s="168">
        <f ca="1"/>
        <v>12</v>
      </c>
      <c r="X12" s="168">
        <f ca="1"/>
        <v>6</v>
      </c>
      <c r="Y12" s="168" t="str">
        <f ca="1"/>
        <v>2-24</v>
      </c>
      <c r="Z12" s="182">
        <f t="shared" ca="1" si="3"/>
        <v>0</v>
      </c>
      <c r="AA12" s="182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MATCH(A13,Bowling!$CS$5:$CS$36,0)</f>
        <v>13</v>
      </c>
      <c r="C13" s="122" t="str">
        <f ca="1">OFFSET(Bowling!$B$4,BowlAves!B13,0)</f>
        <v>Middleton J</v>
      </c>
      <c r="D13" s="153">
        <f t="array" aca="1" ref="D13:K13" ca="1">OFFSET(Bowling!$CG$4,BowlAves!B13,0,1,8)</f>
        <v>51.4</v>
      </c>
      <c r="E13" s="154">
        <f ca="1"/>
        <v>10</v>
      </c>
      <c r="F13" s="154">
        <f ca="1"/>
        <v>212</v>
      </c>
      <c r="G13" s="154">
        <f ca="1"/>
        <v>9</v>
      </c>
      <c r="H13" s="76">
        <f ca="1"/>
        <v>23.56</v>
      </c>
      <c r="I13" s="158">
        <f ca="1"/>
        <v>34.444444444444443</v>
      </c>
      <c r="J13" s="158">
        <f ca="1"/>
        <v>4.1032258064516132</v>
      </c>
      <c r="K13" s="159" t="str">
        <f ca="1"/>
        <v>3-19</v>
      </c>
      <c r="L13" s="159">
        <f t="shared" ca="1" si="0"/>
        <v>1012</v>
      </c>
      <c r="M13" s="159">
        <f t="shared" ca="1" si="1"/>
        <v>14</v>
      </c>
      <c r="N13" s="122" t="str">
        <f t="shared" ca="1" si="2"/>
        <v>Middleton J 51.4-10-212-9</v>
      </c>
      <c r="P13" s="163">
        <v>11</v>
      </c>
      <c r="Q13" s="164" t="str">
        <f t="array" aca="1" ref="Q13:Y13" ca="1">OFFSET($C$2,MATCH(P13,$M$2:$M$51,0)-1,0,1,9)</f>
        <v>Foxworthy</v>
      </c>
      <c r="R13" s="165">
        <f ca="1"/>
        <v>2</v>
      </c>
      <c r="S13" s="166">
        <f ca="1"/>
        <v>0</v>
      </c>
      <c r="T13" s="165">
        <f ca="1"/>
        <v>17</v>
      </c>
      <c r="U13" s="165">
        <f ca="1"/>
        <v>1</v>
      </c>
      <c r="V13" s="167">
        <f ca="1"/>
        <v>17</v>
      </c>
      <c r="W13" s="168">
        <f ca="1"/>
        <v>12</v>
      </c>
      <c r="X13" s="168">
        <f ca="1"/>
        <v>8.5</v>
      </c>
      <c r="Y13" s="168" t="str">
        <f ca="1"/>
        <v>1-17</v>
      </c>
      <c r="Z13" s="182">
        <f t="shared" ca="1" si="3"/>
        <v>0</v>
      </c>
      <c r="AA13" s="182" t="str">
        <f t="shared" ca="1" si="4"/>
        <v/>
      </c>
      <c r="AB13" s="103"/>
    </row>
    <row r="14" spans="1:28" ht="12.75" x14ac:dyDescent="0.2">
      <c r="A14" s="122">
        <v>13</v>
      </c>
      <c r="B14" s="122">
        <f>MATCH(A14,Bowling!$CS$5:$CS$36,0)</f>
        <v>15</v>
      </c>
      <c r="C14" s="122" t="str">
        <f ca="1">OFFSET(Bowling!$B$4,BowlAves!B14,0)</f>
        <v>Ottey A</v>
      </c>
      <c r="D14" s="153">
        <f t="array" aca="1" ref="D14:K14" ca="1">OFFSET(Bowling!$CG$4,BowlAves!B14,0,1,8)</f>
        <v>4</v>
      </c>
      <c r="E14" s="154">
        <f ca="1"/>
        <v>0</v>
      </c>
      <c r="F14" s="154">
        <f ca="1"/>
        <v>25</v>
      </c>
      <c r="G14" s="154">
        <f ca="1"/>
        <v>1</v>
      </c>
      <c r="H14" s="76">
        <f ca="1"/>
        <v>25</v>
      </c>
      <c r="I14" s="158">
        <f ca="1"/>
        <v>24</v>
      </c>
      <c r="J14" s="158">
        <f ca="1"/>
        <v>6.25</v>
      </c>
      <c r="K14" s="159" t="str">
        <f ca="1"/>
        <v>1-25</v>
      </c>
      <c r="L14" s="159">
        <f t="shared" ca="1" si="0"/>
        <v>1013</v>
      </c>
      <c r="M14" s="159">
        <f t="shared" ca="1" si="1"/>
        <v>15</v>
      </c>
      <c r="N14" s="122" t="str">
        <f t="shared" ca="1" si="2"/>
        <v>Ottey A 4-0-25-1</v>
      </c>
      <c r="P14" s="163">
        <v>12</v>
      </c>
      <c r="Q14" s="164" t="str">
        <f t="array" aca="1" ref="Q14:Y14" ca="1">OFFSET($C$2,MATCH(P14,$M$2:$M$51,0)-1,0,1,9)</f>
        <v>Shahid A</v>
      </c>
      <c r="R14" s="165">
        <f ca="1"/>
        <v>11.3</v>
      </c>
      <c r="S14" s="166">
        <f ca="1"/>
        <v>1</v>
      </c>
      <c r="T14" s="165">
        <f ca="1"/>
        <v>56</v>
      </c>
      <c r="U14" s="165">
        <f ca="1"/>
        <v>3</v>
      </c>
      <c r="V14" s="167">
        <f ca="1"/>
        <v>18.670000000000002</v>
      </c>
      <c r="W14" s="168">
        <f ca="1"/>
        <v>23</v>
      </c>
      <c r="X14" s="168">
        <f ca="1"/>
        <v>4.8695652173913047</v>
      </c>
      <c r="Y14" s="168" t="str">
        <f ca="1"/>
        <v>3-21</v>
      </c>
      <c r="Z14" s="182">
        <f t="shared" ca="1" si="3"/>
        <v>8.8495575221238937E-2</v>
      </c>
      <c r="AA14" s="182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MATCH(A15,Bowling!$CS$5:$CS$36,0)</f>
        <v>16</v>
      </c>
      <c r="C15" s="122" t="str">
        <f ca="1">OFFSET(Bowling!$B$4,BowlAves!B15,0)</f>
        <v>Parboo R</v>
      </c>
      <c r="D15" s="153">
        <f t="array" aca="1" ref="D15:K15" ca="1">OFFSET(Bowling!$CG$4,BowlAves!B15,0,1,8)</f>
        <v>13</v>
      </c>
      <c r="E15" s="154">
        <f ca="1"/>
        <v>1</v>
      </c>
      <c r="F15" s="154">
        <f ca="1"/>
        <v>50</v>
      </c>
      <c r="G15" s="154">
        <f ca="1"/>
        <v>2</v>
      </c>
      <c r="H15" s="76">
        <f ca="1"/>
        <v>25</v>
      </c>
      <c r="I15" s="158">
        <f ca="1"/>
        <v>39</v>
      </c>
      <c r="J15" s="158">
        <f ca="1"/>
        <v>3.8461538461538463</v>
      </c>
      <c r="K15" s="159" t="str">
        <f ca="1"/>
        <v>2-28</v>
      </c>
      <c r="L15" s="159">
        <f t="shared" ca="1" si="0"/>
        <v>1014</v>
      </c>
      <c r="M15" s="159">
        <f t="shared" ca="1" si="1"/>
        <v>16</v>
      </c>
      <c r="N15" s="122" t="str">
        <f t="shared" ca="1" si="2"/>
        <v>Parboo R 13-1-50-2</v>
      </c>
      <c r="P15" s="163">
        <v>13</v>
      </c>
      <c r="Q15" s="164" t="str">
        <f t="array" aca="1" ref="Q15:Y15" ca="1">OFFSET($C$2,MATCH(P15,$M$2:$M$51,0)-1,0,1,9)</f>
        <v>Smith C</v>
      </c>
      <c r="R15" s="165">
        <f ca="1"/>
        <v>3</v>
      </c>
      <c r="S15" s="166">
        <f ca="1"/>
        <v>0</v>
      </c>
      <c r="T15" s="165">
        <f ca="1"/>
        <v>23</v>
      </c>
      <c r="U15" s="165">
        <f ca="1"/>
        <v>1</v>
      </c>
      <c r="V15" s="167">
        <f ca="1"/>
        <v>23</v>
      </c>
      <c r="W15" s="168">
        <f ca="1"/>
        <v>18</v>
      </c>
      <c r="X15" s="168">
        <f ca="1"/>
        <v>7.666666666666667</v>
      </c>
      <c r="Y15" s="168" t="str">
        <f ca="1"/>
        <v>1-23</v>
      </c>
      <c r="Z15" s="182">
        <f t="shared" ca="1" si="3"/>
        <v>0</v>
      </c>
      <c r="AA15" s="182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MATCH(A16,Bowling!$CS$5:$CS$36,0)</f>
        <v>17</v>
      </c>
      <c r="C16" s="122" t="str">
        <f ca="1">OFFSET(Bowling!$B$4,BowlAves!B16,0)</f>
        <v>Patel H</v>
      </c>
      <c r="D16" s="153">
        <f t="array" aca="1" ref="D16:K16" ca="1">OFFSET(Bowling!$CG$4,BowlAves!B16,0,1,8)</f>
        <v>14.1</v>
      </c>
      <c r="E16" s="154">
        <f ca="1"/>
        <v>1</v>
      </c>
      <c r="F16" s="154">
        <f ca="1"/>
        <v>78</v>
      </c>
      <c r="G16" s="154">
        <f ca="1"/>
        <v>3</v>
      </c>
      <c r="H16" s="76">
        <f ca="1"/>
        <v>26</v>
      </c>
      <c r="I16" s="158">
        <f ca="1"/>
        <v>28.333333333333332</v>
      </c>
      <c r="J16" s="158">
        <f ca="1"/>
        <v>5.5058823529411764</v>
      </c>
      <c r="K16" s="159" t="str">
        <f ca="1"/>
        <v>2-24</v>
      </c>
      <c r="L16" s="159">
        <f t="shared" ca="1" si="0"/>
        <v>1015</v>
      </c>
      <c r="M16" s="159">
        <f t="shared" ca="1" si="1"/>
        <v>17</v>
      </c>
      <c r="N16" s="122" t="str">
        <f t="shared" ca="1" si="2"/>
        <v>Patel H 14.1-1-78-3</v>
      </c>
      <c r="P16" s="163">
        <v>14</v>
      </c>
      <c r="Q16" s="164" t="str">
        <f t="array" aca="1" ref="Q16:Y16" ca="1">OFFSET($C$2,MATCH(P16,$M$2:$M$51,0)-1,0,1,9)</f>
        <v>Middleton J</v>
      </c>
      <c r="R16" s="165">
        <f ca="1"/>
        <v>51.4</v>
      </c>
      <c r="S16" s="166">
        <f ca="1"/>
        <v>10</v>
      </c>
      <c r="T16" s="165">
        <f ca="1"/>
        <v>212</v>
      </c>
      <c r="U16" s="165">
        <f ca="1"/>
        <v>9</v>
      </c>
      <c r="V16" s="167">
        <f ca="1"/>
        <v>23.56</v>
      </c>
      <c r="W16" s="168">
        <f ca="1"/>
        <v>34.444444444444443</v>
      </c>
      <c r="X16" s="168">
        <f ca="1"/>
        <v>4.1032258064516132</v>
      </c>
      <c r="Y16" s="168" t="str">
        <f ca="1"/>
        <v>3-19</v>
      </c>
      <c r="Z16" s="182">
        <f t="shared" ca="1" si="3"/>
        <v>0.19455252918287938</v>
      </c>
      <c r="AA16" s="182">
        <f t="shared" ca="1" si="4"/>
        <v>0.19455252918287938</v>
      </c>
      <c r="AB16" s="103"/>
    </row>
    <row r="17" spans="1:28" ht="12.75" x14ac:dyDescent="0.2">
      <c r="A17" s="122">
        <v>16</v>
      </c>
      <c r="B17" s="122">
        <f>MATCH(A17,Bowling!$CS$5:$CS$36,0)</f>
        <v>21</v>
      </c>
      <c r="C17" s="122" t="str">
        <f ca="1">OFFSET(Bowling!$B$4,BowlAves!B17,0)</f>
        <v>Sharpe D</v>
      </c>
      <c r="D17" s="153">
        <f t="array" aca="1" ref="D17:K17" ca="1">OFFSET(Bowling!$CG$4,BowlAves!B17,0,1,8)</f>
        <v>9</v>
      </c>
      <c r="E17" s="154">
        <f ca="1"/>
        <v>0</v>
      </c>
      <c r="F17" s="154">
        <f ca="1"/>
        <v>78</v>
      </c>
      <c r="G17" s="154">
        <f ca="1"/>
        <v>3</v>
      </c>
      <c r="H17" s="76">
        <f ca="1"/>
        <v>26</v>
      </c>
      <c r="I17" s="158">
        <f ca="1"/>
        <v>18</v>
      </c>
      <c r="J17" s="158">
        <f ca="1"/>
        <v>8.6666666666666661</v>
      </c>
      <c r="K17" s="159" t="str">
        <f ca="1"/>
        <v>2-47</v>
      </c>
      <c r="L17" s="159">
        <f t="shared" ca="1" si="0"/>
        <v>1016</v>
      </c>
      <c r="M17" s="159">
        <f t="shared" ca="1" si="1"/>
        <v>18</v>
      </c>
      <c r="N17" s="122" t="str">
        <f t="shared" ca="1" si="2"/>
        <v>Sharpe D 9-0-78-3</v>
      </c>
      <c r="P17" s="163">
        <v>15</v>
      </c>
      <c r="Q17" s="164" t="str">
        <f t="array" aca="1" ref="Q17:Y17" ca="1">OFFSET($C$2,MATCH(P17,$M$2:$M$51,0)-1,0,1,9)</f>
        <v>Ottey A</v>
      </c>
      <c r="R17" s="165">
        <f ca="1"/>
        <v>4</v>
      </c>
      <c r="S17" s="166">
        <f ca="1"/>
        <v>0</v>
      </c>
      <c r="T17" s="165">
        <f ca="1"/>
        <v>25</v>
      </c>
      <c r="U17" s="165">
        <f ca="1"/>
        <v>1</v>
      </c>
      <c r="V17" s="167">
        <f ca="1"/>
        <v>25</v>
      </c>
      <c r="W17" s="168">
        <f ca="1"/>
        <v>24</v>
      </c>
      <c r="X17" s="168">
        <f ca="1"/>
        <v>6.25</v>
      </c>
      <c r="Y17" s="168" t="str">
        <f ca="1"/>
        <v>1-25</v>
      </c>
      <c r="Z17" s="182">
        <f t="shared" ca="1" si="3"/>
        <v>0</v>
      </c>
      <c r="AA17" s="182" t="str">
        <f t="shared" ca="1" si="4"/>
        <v/>
      </c>
      <c r="AB17" s="103"/>
    </row>
    <row r="18" spans="1:28" ht="12.75" x14ac:dyDescent="0.2">
      <c r="A18" s="122">
        <v>17</v>
      </c>
      <c r="B18" s="122">
        <f>MATCH(A18,Bowling!$CS$5:$CS$36,0)</f>
        <v>6</v>
      </c>
      <c r="C18" s="122" t="str">
        <f ca="1">OFFSET(Bowling!$B$4,BowlAves!B18,0)</f>
        <v>Edghill R</v>
      </c>
      <c r="D18" s="153">
        <f t="array" aca="1" ref="D18:K18" ca="1">OFFSET(Bowling!$CG$4,BowlAves!B18,0,1,8)</f>
        <v>11</v>
      </c>
      <c r="E18" s="154">
        <f ca="1"/>
        <v>0</v>
      </c>
      <c r="F18" s="154">
        <f ca="1"/>
        <v>59</v>
      </c>
      <c r="G18" s="154">
        <f ca="1"/>
        <v>2</v>
      </c>
      <c r="H18" s="76">
        <f ca="1"/>
        <v>29.5</v>
      </c>
      <c r="I18" s="158">
        <f ca="1"/>
        <v>33</v>
      </c>
      <c r="J18" s="158">
        <f ca="1"/>
        <v>5.3636363636363633</v>
      </c>
      <c r="K18" s="159" t="str">
        <f ca="1"/>
        <v>1-18</v>
      </c>
      <c r="L18" s="159">
        <f t="shared" ca="1" si="0"/>
        <v>1017</v>
      </c>
      <c r="M18" s="159">
        <f t="shared" ca="1" si="1"/>
        <v>19</v>
      </c>
      <c r="N18" s="122" t="str">
        <f t="shared" ca="1" si="2"/>
        <v>Edghill R 11-0-59-2</v>
      </c>
      <c r="P18" s="163">
        <v>16</v>
      </c>
      <c r="Q18" s="164" t="str">
        <f t="array" aca="1" ref="Q18:Y18" ca="1">OFFSET($C$2,MATCH(P18,$M$2:$M$51,0)-1,0,1,9)</f>
        <v>Parboo R</v>
      </c>
      <c r="R18" s="165">
        <f ca="1"/>
        <v>13</v>
      </c>
      <c r="S18" s="166">
        <f ca="1"/>
        <v>1</v>
      </c>
      <c r="T18" s="165">
        <f ca="1"/>
        <v>50</v>
      </c>
      <c r="U18" s="165">
        <f ca="1"/>
        <v>2</v>
      </c>
      <c r="V18" s="167">
        <f ca="1"/>
        <v>25</v>
      </c>
      <c r="W18" s="168">
        <f ca="1"/>
        <v>39</v>
      </c>
      <c r="X18" s="168">
        <f ca="1"/>
        <v>3.8461538461538463</v>
      </c>
      <c r="Y18" s="168" t="str">
        <f ca="1"/>
        <v>2-28</v>
      </c>
      <c r="Z18" s="182">
        <f t="shared" ca="1" si="3"/>
        <v>7.6923076923076927E-2</v>
      </c>
      <c r="AA18" s="182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MATCH(A19,Bowling!$CS$5:$CS$36,0)</f>
        <v>19</v>
      </c>
      <c r="C19" s="122" t="str">
        <f ca="1">OFFSET(Bowling!$B$4,BowlAves!B19,0)</f>
        <v>Seymour C</v>
      </c>
      <c r="D19" s="153">
        <f t="array" aca="1" ref="D19:K19" ca="1">OFFSET(Bowling!$CG$4,BowlAves!B19,0,1,8)</f>
        <v>129.30000000000001</v>
      </c>
      <c r="E19" s="154">
        <f ca="1"/>
        <v>13</v>
      </c>
      <c r="F19" s="154">
        <f ca="1"/>
        <v>619</v>
      </c>
      <c r="G19" s="154">
        <f ca="1"/>
        <v>20</v>
      </c>
      <c r="H19" s="76">
        <f ca="1"/>
        <v>30.95</v>
      </c>
      <c r="I19" s="158">
        <f ca="1"/>
        <v>38.85</v>
      </c>
      <c r="J19" s="158">
        <f ca="1"/>
        <v>4.7799227799227797</v>
      </c>
      <c r="K19" s="159" t="str">
        <f ca="1"/>
        <v>3-33</v>
      </c>
      <c r="L19" s="159">
        <f t="shared" ca="1" si="0"/>
        <v>18</v>
      </c>
      <c r="M19" s="159">
        <f t="shared" ca="1" si="1"/>
        <v>4</v>
      </c>
      <c r="N19" s="122" t="str">
        <f t="shared" ca="1" si="2"/>
        <v/>
      </c>
      <c r="P19" s="163">
        <v>17</v>
      </c>
      <c r="Q19" s="164" t="str">
        <f t="array" aca="1" ref="Q19:Y19" ca="1">OFFSET($C$2,MATCH(P19,$M$2:$M$51,0)-1,0,1,9)</f>
        <v>Patel H</v>
      </c>
      <c r="R19" s="165">
        <f ca="1"/>
        <v>14.1</v>
      </c>
      <c r="S19" s="166">
        <f ca="1"/>
        <v>1</v>
      </c>
      <c r="T19" s="165">
        <f ca="1"/>
        <v>78</v>
      </c>
      <c r="U19" s="165">
        <f ca="1"/>
        <v>3</v>
      </c>
      <c r="V19" s="167">
        <f ca="1"/>
        <v>26</v>
      </c>
      <c r="W19" s="168">
        <f ca="1"/>
        <v>28.333333333333332</v>
      </c>
      <c r="X19" s="168">
        <f ca="1"/>
        <v>5.5058823529411764</v>
      </c>
      <c r="Y19" s="168" t="str">
        <f ca="1"/>
        <v>2-24</v>
      </c>
      <c r="Z19" s="182">
        <f t="shared" ca="1" si="3"/>
        <v>7.0921985815602842E-2</v>
      </c>
      <c r="AA19" s="182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MATCH(A20,Bowling!$CS$5:$CS$36,0)</f>
        <v>4</v>
      </c>
      <c r="C20" s="122" t="str">
        <f ca="1">OFFSET(Bowling!$B$4,BowlAves!B20,0)</f>
        <v>Clarkson M</v>
      </c>
      <c r="D20" s="153">
        <f t="array" aca="1" ref="D20:K20" ca="1">OFFSET(Bowling!$CG$4,BowlAves!B20,0,1,8)</f>
        <v>32</v>
      </c>
      <c r="E20" s="154">
        <f ca="1"/>
        <v>2</v>
      </c>
      <c r="F20" s="154">
        <f ca="1"/>
        <v>128</v>
      </c>
      <c r="G20" s="154">
        <f ca="1"/>
        <v>4</v>
      </c>
      <c r="H20" s="76">
        <f ca="1"/>
        <v>32</v>
      </c>
      <c r="I20" s="158">
        <f ca="1"/>
        <v>48</v>
      </c>
      <c r="J20" s="158">
        <f ca="1"/>
        <v>4</v>
      </c>
      <c r="K20" s="159" t="str">
        <f ca="1"/>
        <v>1-18</v>
      </c>
      <c r="L20" s="159">
        <f t="shared" ca="1" si="0"/>
        <v>1019</v>
      </c>
      <c r="M20" s="159">
        <f t="shared" ca="1" si="1"/>
        <v>20</v>
      </c>
      <c r="N20" s="122" t="str">
        <f t="shared" ca="1" si="2"/>
        <v>Clarkson M 32-2-128-4</v>
      </c>
      <c r="P20" s="163">
        <v>18</v>
      </c>
      <c r="Q20" s="164" t="str">
        <f t="array" aca="1" ref="Q20:Y20" ca="1">OFFSET($C$2,MATCH(P20,$M$2:$M$51,0)-1,0,1,9)</f>
        <v>Sharpe D</v>
      </c>
      <c r="R20" s="165">
        <f ca="1"/>
        <v>9</v>
      </c>
      <c r="S20" s="166">
        <f ca="1"/>
        <v>0</v>
      </c>
      <c r="T20" s="165">
        <f ca="1"/>
        <v>78</v>
      </c>
      <c r="U20" s="165">
        <f ca="1"/>
        <v>3</v>
      </c>
      <c r="V20" s="167">
        <f ca="1"/>
        <v>26</v>
      </c>
      <c r="W20" s="168">
        <f ca="1"/>
        <v>18</v>
      </c>
      <c r="X20" s="168">
        <f ca="1"/>
        <v>8.6666666666666661</v>
      </c>
      <c r="Y20" s="168" t="str">
        <f ca="1"/>
        <v>2-47</v>
      </c>
      <c r="Z20" s="182">
        <f t="shared" ca="1" si="3"/>
        <v>0</v>
      </c>
      <c r="AA20" s="182" t="str">
        <f t="shared" ca="1" si="4"/>
        <v/>
      </c>
      <c r="AB20" s="103"/>
    </row>
    <row r="21" spans="1:28" ht="12.75" x14ac:dyDescent="0.2">
      <c r="A21" s="122">
        <v>20</v>
      </c>
      <c r="B21" s="122">
        <f>MATCH(A21,Bowling!$CS$5:$CS$36,0)</f>
        <v>28</v>
      </c>
      <c r="C21" s="122" t="str">
        <f ca="1">OFFSET(Bowling!$B$4,BowlAves!B21,0)</f>
        <v>Tapadar S</v>
      </c>
      <c r="D21" s="153">
        <f t="array" aca="1" ref="D21:K21" ca="1">OFFSET(Bowling!$CG$4,BowlAves!B21,0,1,8)</f>
        <v>88</v>
      </c>
      <c r="E21" s="154">
        <f ca="1"/>
        <v>8</v>
      </c>
      <c r="F21" s="154">
        <f ca="1"/>
        <v>420</v>
      </c>
      <c r="G21" s="154">
        <f ca="1"/>
        <v>12</v>
      </c>
      <c r="H21" s="76">
        <f ca="1"/>
        <v>35</v>
      </c>
      <c r="I21" s="158">
        <f ca="1"/>
        <v>44</v>
      </c>
      <c r="J21" s="158">
        <f ca="1"/>
        <v>4.7727272727272725</v>
      </c>
      <c r="K21" s="159" t="str">
        <f ca="1"/>
        <v>3-22</v>
      </c>
      <c r="L21" s="159">
        <f t="shared" ca="1" si="0"/>
        <v>20</v>
      </c>
      <c r="M21" s="159">
        <f t="shared" ca="1" si="1"/>
        <v>5</v>
      </c>
      <c r="N21" s="122" t="str">
        <f t="shared" ca="1" si="2"/>
        <v/>
      </c>
      <c r="P21" s="163">
        <v>19</v>
      </c>
      <c r="Q21" s="164" t="str">
        <f t="array" aca="1" ref="Q21:Y21" ca="1">OFFSET($C$2,MATCH(P21,$M$2:$M$51,0)-1,0,1,9)</f>
        <v>Edghill R</v>
      </c>
      <c r="R21" s="165">
        <f ca="1"/>
        <v>11</v>
      </c>
      <c r="S21" s="166">
        <f ca="1"/>
        <v>0</v>
      </c>
      <c r="T21" s="165">
        <f ca="1"/>
        <v>59</v>
      </c>
      <c r="U21" s="165">
        <f ca="1"/>
        <v>2</v>
      </c>
      <c r="V21" s="167">
        <f ca="1"/>
        <v>29.5</v>
      </c>
      <c r="W21" s="168">
        <f ca="1"/>
        <v>33</v>
      </c>
      <c r="X21" s="168">
        <f ca="1"/>
        <v>5.3636363636363633</v>
      </c>
      <c r="Y21" s="168" t="str">
        <f ca="1"/>
        <v>1-18</v>
      </c>
      <c r="Z21" s="182">
        <f t="shared" ca="1" si="3"/>
        <v>0</v>
      </c>
      <c r="AA21" s="182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MATCH(A22,Bowling!$CS$5:$CS$36,0)</f>
        <v>2</v>
      </c>
      <c r="C22" s="122" t="str">
        <f ca="1">OFFSET(Bowling!$B$4,BowlAves!B22,0)</f>
        <v>Bowers M</v>
      </c>
      <c r="D22" s="153">
        <f t="array" aca="1" ref="D22:K22" ca="1">OFFSET(Bowling!$CG$4,BowlAves!B22,0,1,8)</f>
        <v>71</v>
      </c>
      <c r="E22" s="154">
        <f ca="1"/>
        <v>3</v>
      </c>
      <c r="F22" s="154">
        <f ca="1"/>
        <v>341</v>
      </c>
      <c r="G22" s="154">
        <f ca="1"/>
        <v>7</v>
      </c>
      <c r="H22" s="76">
        <f ca="1"/>
        <v>48.71</v>
      </c>
      <c r="I22" s="158">
        <f ca="1"/>
        <v>60.857142857142854</v>
      </c>
      <c r="J22" s="158">
        <f ca="1"/>
        <v>4.802816901408451</v>
      </c>
      <c r="K22" s="159" t="str">
        <f ca="1"/>
        <v>2-7</v>
      </c>
      <c r="L22" s="159">
        <f t="shared" ca="1" si="0"/>
        <v>1021</v>
      </c>
      <c r="M22" s="159">
        <f t="shared" ca="1" si="1"/>
        <v>21</v>
      </c>
      <c r="N22" s="122" t="str">
        <f t="shared" ca="1" si="2"/>
        <v>Bowers M 71-3-341-7</v>
      </c>
      <c r="P22" s="163">
        <v>20</v>
      </c>
      <c r="Q22" s="164" t="str">
        <f t="array" aca="1" ref="Q22:Y22" ca="1">OFFSET($C$2,MATCH(P22,$M$2:$M$51,0)-1,0,1,9)</f>
        <v>Clarkson M</v>
      </c>
      <c r="R22" s="165">
        <f ca="1"/>
        <v>32</v>
      </c>
      <c r="S22" s="166">
        <f ca="1"/>
        <v>2</v>
      </c>
      <c r="T22" s="165">
        <f ca="1"/>
        <v>128</v>
      </c>
      <c r="U22" s="165">
        <f ca="1"/>
        <v>4</v>
      </c>
      <c r="V22" s="167">
        <f ca="1"/>
        <v>32</v>
      </c>
      <c r="W22" s="168">
        <f ca="1"/>
        <v>48</v>
      </c>
      <c r="X22" s="168">
        <f ca="1"/>
        <v>4</v>
      </c>
      <c r="Y22" s="168" t="str">
        <f ca="1"/>
        <v>1-18</v>
      </c>
      <c r="Z22" s="182">
        <f t="shared" ca="1" si="3"/>
        <v>6.25E-2</v>
      </c>
      <c r="AA22" s="182">
        <f t="shared" ca="1" si="4"/>
        <v>6.25E-2</v>
      </c>
      <c r="AB22" s="103"/>
    </row>
    <row r="23" spans="1:28" ht="11.25" x14ac:dyDescent="0.2">
      <c r="A23" s="122">
        <v>22</v>
      </c>
      <c r="B23" s="122">
        <f>MATCH(A23,Bowling!$CS$5:$CS$36,0)</f>
        <v>1</v>
      </c>
      <c r="C23" s="122" t="str">
        <f ca="1">OFFSET(Bowling!$B$4,BowlAves!B23,0)</f>
        <v>Azfar S</v>
      </c>
      <c r="D23" s="153">
        <f t="array" aca="1" ref="D23:K23" ca="1">OFFSET(Bowling!$CG$4,BowlAves!B23,0,1,8)</f>
        <v>1</v>
      </c>
      <c r="E23" s="154">
        <f ca="1"/>
        <v>0</v>
      </c>
      <c r="F23" s="154">
        <f ca="1"/>
        <v>9</v>
      </c>
      <c r="G23" s="154">
        <f ca="1"/>
        <v>0</v>
      </c>
      <c r="H23" s="76" t="str">
        <f ca="1"/>
        <v/>
      </c>
      <c r="I23" s="158" t="str">
        <f ca="1"/>
        <v/>
      </c>
      <c r="J23" s="158">
        <f ca="1"/>
        <v>9</v>
      </c>
      <c r="K23" s="159" t="str">
        <f ca="1"/>
        <v>0-9</v>
      </c>
      <c r="L23" s="159">
        <f t="shared" ca="1" si="0"/>
        <v>1022</v>
      </c>
      <c r="M23" s="159">
        <f t="shared" ca="1" si="1"/>
        <v>22</v>
      </c>
      <c r="N23" s="122" t="str">
        <f t="shared" ca="1" si="2"/>
        <v>Azfar S 1-0-9-0</v>
      </c>
      <c r="P23" s="163">
        <v>21</v>
      </c>
      <c r="Q23" s="164" t="str">
        <f t="array" aca="1" ref="Q23:Y23" ca="1">OFFSET($C$2,MATCH(P23,$M$2:$M$51,0)-1,0,1,9)</f>
        <v>Bowers M</v>
      </c>
      <c r="R23" s="165">
        <f ca="1"/>
        <v>71</v>
      </c>
      <c r="S23" s="166">
        <f ca="1"/>
        <v>3</v>
      </c>
      <c r="T23" s="165">
        <f ca="1"/>
        <v>341</v>
      </c>
      <c r="U23" s="165">
        <f ca="1"/>
        <v>7</v>
      </c>
      <c r="V23" s="167">
        <f ca="1"/>
        <v>48.71</v>
      </c>
      <c r="W23" s="168">
        <f ca="1"/>
        <v>60.857142857142854</v>
      </c>
      <c r="X23" s="168">
        <f ca="1"/>
        <v>4.802816901408451</v>
      </c>
      <c r="Y23" s="168" t="str">
        <f ca="1"/>
        <v>2-7</v>
      </c>
      <c r="Z23" s="182">
        <f t="shared" ca="1" si="3"/>
        <v>4.2253521126760563E-2</v>
      </c>
      <c r="AA23" s="182">
        <f t="shared" ca="1" si="4"/>
        <v>4.2253521126760563E-2</v>
      </c>
    </row>
    <row r="24" spans="1:28" ht="11.25" x14ac:dyDescent="0.2">
      <c r="A24" s="122">
        <v>23</v>
      </c>
      <c r="B24" s="122">
        <f>MATCH(A24,Bowling!$CS$5:$CS$36,0)</f>
        <v>23</v>
      </c>
      <c r="C24" s="122" t="str">
        <f ca="1">OFFSET(Bowling!$B$4,BowlAves!B24,0)</f>
        <v>Snell</v>
      </c>
      <c r="D24" s="153">
        <f t="array" aca="1" ref="D24:K24" ca="1">OFFSET(Bowling!$CG$4,BowlAves!B24,0,1,8)</f>
        <v>1</v>
      </c>
      <c r="E24" s="154">
        <f ca="1"/>
        <v>0</v>
      </c>
      <c r="F24" s="154">
        <f ca="1"/>
        <v>7</v>
      </c>
      <c r="G24" s="154">
        <f ca="1"/>
        <v>0</v>
      </c>
      <c r="H24" s="76" t="str">
        <f ca="1"/>
        <v/>
      </c>
      <c r="I24" s="158" t="str">
        <f ca="1"/>
        <v/>
      </c>
      <c r="J24" s="158">
        <f ca="1"/>
        <v>7</v>
      </c>
      <c r="K24" s="159" t="str">
        <f ca="1"/>
        <v>0-7</v>
      </c>
      <c r="L24" s="159">
        <f t="shared" ca="1" si="0"/>
        <v>1023</v>
      </c>
      <c r="M24" s="159">
        <f t="shared" ca="1" si="1"/>
        <v>23</v>
      </c>
      <c r="N24" s="122" t="str">
        <f t="shared" ca="1" si="2"/>
        <v>Snell 1-0-7-0</v>
      </c>
      <c r="P24" s="163">
        <v>22</v>
      </c>
      <c r="Q24" s="164" t="str">
        <f t="array" aca="1" ref="Q24:Y24" ca="1">OFFSET($C$2,MATCH(P24,$M$2:$M$51,0)-1,0,1,9)</f>
        <v>Azfar S</v>
      </c>
      <c r="R24" s="165">
        <f ca="1"/>
        <v>1</v>
      </c>
      <c r="S24" s="166">
        <f ca="1"/>
        <v>0</v>
      </c>
      <c r="T24" s="165">
        <f ca="1"/>
        <v>9</v>
      </c>
      <c r="U24" s="165">
        <f ca="1"/>
        <v>0</v>
      </c>
      <c r="V24" s="167" t="str">
        <f ca="1"/>
        <v/>
      </c>
      <c r="W24" s="168" t="str">
        <f ca="1"/>
        <v/>
      </c>
      <c r="X24" s="168">
        <f ca="1"/>
        <v>9</v>
      </c>
      <c r="Y24" s="168" t="str">
        <f ca="1"/>
        <v>0-9</v>
      </c>
      <c r="Z24" s="182">
        <f t="shared" ca="1" si="3"/>
        <v>0</v>
      </c>
      <c r="AA24" s="182" t="str">
        <f t="shared" ca="1" si="4"/>
        <v/>
      </c>
    </row>
    <row r="25" spans="1:28" ht="11.25" x14ac:dyDescent="0.2">
      <c r="A25" s="122">
        <v>24</v>
      </c>
      <c r="B25" s="122">
        <f>MATCH(A25,Bowling!$CS$5:$CS$36,0)</f>
        <v>11</v>
      </c>
      <c r="C25" s="122" t="str">
        <f ca="1">OFFSET(Bowling!$B$4,BowlAves!B25,0)</f>
        <v>Mander C</v>
      </c>
      <c r="D25" s="153">
        <f t="array" aca="1" ref="D25:K25" ca="1">OFFSET(Bowling!$CG$4,BowlAves!B25,0,1,8)</f>
        <v>3</v>
      </c>
      <c r="E25" s="154">
        <f ca="1"/>
        <v>0</v>
      </c>
      <c r="F25" s="154">
        <f ca="1"/>
        <v>32</v>
      </c>
      <c r="G25" s="154">
        <f ca="1"/>
        <v>0</v>
      </c>
      <c r="H25" s="76" t="str">
        <f ca="1"/>
        <v/>
      </c>
      <c r="I25" s="158" t="str">
        <f ca="1"/>
        <v/>
      </c>
      <c r="J25" s="158">
        <f ca="1"/>
        <v>10.666666666666666</v>
      </c>
      <c r="K25" s="159" t="str">
        <f ca="1"/>
        <v>0-32</v>
      </c>
      <c r="L25" s="159">
        <f t="shared" ca="1" si="0"/>
        <v>1024</v>
      </c>
      <c r="M25" s="159">
        <f t="shared" ca="1" si="1"/>
        <v>24</v>
      </c>
      <c r="N25" s="122" t="str">
        <f t="shared" ca="1" si="2"/>
        <v>Mander C 3-0-32-0</v>
      </c>
      <c r="P25" s="163">
        <v>23</v>
      </c>
      <c r="Q25" s="164" t="str">
        <f t="array" aca="1" ref="Q25:Y25" ca="1">OFFSET($C$2,MATCH(P25,$M$2:$M$51,0)-1,0,1,9)</f>
        <v>Snell</v>
      </c>
      <c r="R25" s="165">
        <f ca="1"/>
        <v>1</v>
      </c>
      <c r="S25" s="166">
        <f ca="1"/>
        <v>0</v>
      </c>
      <c r="T25" s="165">
        <f ca="1"/>
        <v>7</v>
      </c>
      <c r="U25" s="165">
        <f ca="1"/>
        <v>0</v>
      </c>
      <c r="V25" s="167" t="str">
        <f ca="1"/>
        <v/>
      </c>
      <c r="W25" s="168" t="str">
        <f ca="1"/>
        <v/>
      </c>
      <c r="X25" s="168">
        <f ca="1"/>
        <v>7</v>
      </c>
      <c r="Y25" s="168" t="str">
        <f ca="1"/>
        <v>0-7</v>
      </c>
      <c r="Z25" s="182">
        <f t="shared" ca="1" si="3"/>
        <v>0</v>
      </c>
      <c r="AA25" s="182" t="str">
        <f t="shared" ca="1" si="4"/>
        <v/>
      </c>
    </row>
    <row r="26" spans="1:28" x14ac:dyDescent="0.15">
      <c r="A26" s="122">
        <v>25</v>
      </c>
      <c r="B26" s="122">
        <f>MATCH(A26,Bowling!$CS$5:$CS$36,0)</f>
        <v>8</v>
      </c>
      <c r="C26" s="122" t="str">
        <f ca="1">OFFSET(Bowling!$B$4,BowlAves!B26,0)</f>
        <v>Gardezi S</v>
      </c>
      <c r="D26" s="153">
        <f t="array" aca="1" ref="D26:K26" ca="1">OFFSET(Bowling!$CG$4,BowlAves!B26,0,1,8)</f>
        <v>4</v>
      </c>
      <c r="E26" s="154">
        <f ca="1"/>
        <v>0</v>
      </c>
      <c r="F26" s="154">
        <f ca="1"/>
        <v>28</v>
      </c>
      <c r="G26" s="154">
        <f ca="1"/>
        <v>0</v>
      </c>
      <c r="H26" s="76" t="str">
        <f ca="1"/>
        <v/>
      </c>
      <c r="I26" s="158" t="str">
        <f ca="1"/>
        <v/>
      </c>
      <c r="J26" s="158">
        <f ca="1"/>
        <v>7</v>
      </c>
      <c r="K26" s="159" t="str">
        <f ca="1"/>
        <v>0-28</v>
      </c>
      <c r="L26" s="159">
        <f t="shared" ca="1" si="0"/>
        <v>1025</v>
      </c>
      <c r="M26" s="159">
        <f t="shared" ca="1" si="1"/>
        <v>25</v>
      </c>
      <c r="N26" s="122" t="str">
        <f t="shared" ca="1" si="2"/>
        <v>Gardezi S 4-0-28-0</v>
      </c>
      <c r="Q26" s="159"/>
      <c r="R26" s="159"/>
      <c r="S26" s="169"/>
      <c r="T26" s="159"/>
      <c r="U26" s="159"/>
      <c r="V26" s="133"/>
      <c r="W26" s="132"/>
      <c r="X26" s="132"/>
      <c r="Y26" s="132"/>
      <c r="Z26" s="159"/>
    </row>
    <row r="27" spans="1:28" x14ac:dyDescent="0.15">
      <c r="A27" s="122">
        <v>26</v>
      </c>
      <c r="B27" s="122">
        <f>MATCH(A27,Bowling!$CS$5:$CS$36,0)</f>
        <v>31</v>
      </c>
      <c r="C27" s="122" t="str">
        <f ca="1">OFFSET(Bowling!$B$4,BowlAves!B27,0)</f>
        <v>Winter T</v>
      </c>
      <c r="D27" s="153">
        <f t="array" aca="1" ref="D27:K27" ca="1">OFFSET(Bowling!$CG$4,BowlAves!B27,0,1,8)</f>
        <v>4</v>
      </c>
      <c r="E27" s="154">
        <f ca="1"/>
        <v>0</v>
      </c>
      <c r="F27" s="154">
        <f ca="1"/>
        <v>34</v>
      </c>
      <c r="G27" s="154">
        <f ca="1"/>
        <v>0</v>
      </c>
      <c r="H27" s="76" t="str">
        <f ca="1"/>
        <v/>
      </c>
      <c r="I27" s="158" t="str">
        <f ca="1"/>
        <v/>
      </c>
      <c r="J27" s="158">
        <f ca="1"/>
        <v>8.5</v>
      </c>
      <c r="K27" s="159" t="str">
        <f ca="1"/>
        <v>0-34</v>
      </c>
      <c r="L27" s="159">
        <f t="shared" ca="1" si="0"/>
        <v>1026</v>
      </c>
      <c r="M27" s="159">
        <f t="shared" ca="1" si="1"/>
        <v>26</v>
      </c>
      <c r="N27" s="122" t="str">
        <f t="shared" ca="1" si="2"/>
        <v>Winter T 4-0-34-0</v>
      </c>
      <c r="Q27" s="159"/>
      <c r="R27" s="159"/>
      <c r="S27" s="169"/>
      <c r="T27" s="159"/>
      <c r="U27" s="159"/>
      <c r="V27" s="133"/>
      <c r="W27" s="132"/>
      <c r="X27" s="132"/>
      <c r="Y27" s="132"/>
      <c r="Z27" s="159"/>
    </row>
    <row r="28" spans="1:28" x14ac:dyDescent="0.15">
      <c r="A28" s="122">
        <v>27</v>
      </c>
      <c r="B28" s="122">
        <f>MATCH(A28,Bowling!$CS$5:$CS$36,0)</f>
        <v>32</v>
      </c>
      <c r="C28" s="122" t="str">
        <f ca="1">OFFSET(Bowling!$B$4,BowlAves!B28,0)</f>
        <v>Wright J</v>
      </c>
      <c r="D28" s="153">
        <f t="array" aca="1" ref="D28:K28" ca="1">OFFSET(Bowling!$CG$4,BowlAves!B28,0,1,8)</f>
        <v>4</v>
      </c>
      <c r="E28" s="154">
        <f ca="1"/>
        <v>0</v>
      </c>
      <c r="F28" s="154">
        <f ca="1"/>
        <v>10</v>
      </c>
      <c r="G28" s="154">
        <f ca="1"/>
        <v>0</v>
      </c>
      <c r="H28" s="76" t="str">
        <f ca="1"/>
        <v/>
      </c>
      <c r="I28" s="158" t="str">
        <f ca="1"/>
        <v/>
      </c>
      <c r="J28" s="158">
        <f ca="1"/>
        <v>2.5</v>
      </c>
      <c r="K28" s="159" t="str">
        <f ca="1"/>
        <v>0-10</v>
      </c>
      <c r="L28" s="159">
        <f t="shared" ca="1" si="0"/>
        <v>1027</v>
      </c>
      <c r="M28" s="159">
        <f t="shared" ca="1" si="1"/>
        <v>27</v>
      </c>
      <c r="N28" s="122" t="str">
        <f t="shared" ca="1" si="2"/>
        <v>Wright J 4-0-10-0</v>
      </c>
      <c r="Q28" s="159"/>
      <c r="R28" s="159"/>
      <c r="S28" s="169"/>
      <c r="T28" s="159"/>
      <c r="U28" s="159"/>
      <c r="V28" s="133"/>
      <c r="W28" s="132"/>
      <c r="X28" s="132"/>
      <c r="Y28" s="132"/>
      <c r="Z28" s="159"/>
    </row>
    <row r="29" spans="1:28" x14ac:dyDescent="0.15">
      <c r="A29" s="122">
        <v>28</v>
      </c>
      <c r="B29" s="122">
        <f>MATCH(A29,Bowling!$CS$5:$CS$36,0)</f>
        <v>9</v>
      </c>
      <c r="C29" s="122" t="str">
        <f ca="1">OFFSET(Bowling!$B$4,BowlAves!B29,0)</f>
        <v>Lestrelle A</v>
      </c>
      <c r="D29" s="153">
        <f t="array" aca="1" ref="D29:K29" ca="1">OFFSET(Bowling!$CG$4,BowlAves!B29,0,1,8)</f>
        <v>5</v>
      </c>
      <c r="E29" s="154">
        <f ca="1"/>
        <v>0</v>
      </c>
      <c r="F29" s="154">
        <f ca="1"/>
        <v>28</v>
      </c>
      <c r="G29" s="154">
        <f ca="1"/>
        <v>0</v>
      </c>
      <c r="H29" s="76" t="str">
        <f ca="1"/>
        <v/>
      </c>
      <c r="I29" s="158" t="str">
        <f ca="1"/>
        <v/>
      </c>
      <c r="J29" s="158">
        <f ca="1"/>
        <v>5.6</v>
      </c>
      <c r="K29" s="159" t="str">
        <f ca="1"/>
        <v>0-28</v>
      </c>
      <c r="L29" s="159">
        <f t="shared" ca="1" si="0"/>
        <v>1028</v>
      </c>
      <c r="M29" s="159">
        <f t="shared" ca="1" si="1"/>
        <v>28</v>
      </c>
      <c r="N29" s="122" t="str">
        <f t="shared" ca="1" si="2"/>
        <v>Lestrelle A 5-0-28-0</v>
      </c>
      <c r="Q29" s="159"/>
      <c r="R29" s="159"/>
      <c r="S29" s="169"/>
      <c r="T29" s="159"/>
      <c r="U29" s="159"/>
      <c r="V29" s="133"/>
      <c r="W29" s="132"/>
      <c r="X29" s="132"/>
      <c r="Y29" s="132"/>
      <c r="Z29" s="159"/>
    </row>
    <row r="30" spans="1:28" x14ac:dyDescent="0.15">
      <c r="A30" s="122">
        <v>29</v>
      </c>
      <c r="B30" s="122">
        <f>MATCH(A30,Bowling!$CS$5:$CS$36,0)</f>
        <v>30</v>
      </c>
      <c r="C30" s="122" t="str">
        <f ca="1">OFFSET(Bowling!$B$4,BowlAves!B30,0)</f>
        <v>Wilson A</v>
      </c>
      <c r="D30" s="153">
        <f t="array" aca="1" ref="D30:K30" ca="1">OFFSET(Bowling!$CG$4,BowlAves!B30,0,1,8)</f>
        <v>5</v>
      </c>
      <c r="E30" s="154">
        <f ca="1"/>
        <v>0</v>
      </c>
      <c r="F30" s="154">
        <f ca="1"/>
        <v>36</v>
      </c>
      <c r="G30" s="154">
        <f ca="1"/>
        <v>0</v>
      </c>
      <c r="H30" s="76" t="str">
        <f ca="1"/>
        <v/>
      </c>
      <c r="I30" s="158" t="str">
        <f ca="1"/>
        <v/>
      </c>
      <c r="J30" s="158">
        <f ca="1"/>
        <v>7.2</v>
      </c>
      <c r="K30" s="159" t="str">
        <f ca="1"/>
        <v>0-18</v>
      </c>
      <c r="L30" s="159">
        <f t="shared" ca="1" si="0"/>
        <v>1029</v>
      </c>
      <c r="M30" s="159">
        <f t="shared" ca="1" si="1"/>
        <v>29</v>
      </c>
      <c r="N30" s="122" t="str">
        <f t="shared" ca="1" si="2"/>
        <v>Wilson A 5-0-36-0</v>
      </c>
    </row>
    <row r="31" spans="1:28" x14ac:dyDescent="0.15">
      <c r="A31" s="122">
        <v>30</v>
      </c>
      <c r="B31" s="122">
        <f>MATCH(A31,Bowling!$CS$5:$CS$36,0)</f>
        <v>12</v>
      </c>
      <c r="C31" s="122" t="str">
        <f ca="1">OFFSET(Bowling!$B$4,BowlAves!B31,0)</f>
        <v>Mander N</v>
      </c>
      <c r="D31" s="153">
        <f t="array" aca="1" ref="D31:K31" ca="1">OFFSET(Bowling!$CG$4,BowlAves!B31,0,1,8)</f>
        <v>8</v>
      </c>
      <c r="E31" s="154">
        <f ca="1"/>
        <v>1</v>
      </c>
      <c r="F31" s="154">
        <f ca="1"/>
        <v>28</v>
      </c>
      <c r="G31" s="154">
        <f ca="1"/>
        <v>0</v>
      </c>
      <c r="H31" s="76" t="str">
        <f ca="1"/>
        <v/>
      </c>
      <c r="I31" s="158" t="str">
        <f ca="1"/>
        <v/>
      </c>
      <c r="J31" s="158">
        <f ca="1"/>
        <v>3.5</v>
      </c>
      <c r="K31" s="159" t="str">
        <f ca="1"/>
        <v>0-28</v>
      </c>
      <c r="L31" s="159">
        <f t="shared" ca="1" si="0"/>
        <v>1030</v>
      </c>
      <c r="M31" s="159">
        <f t="shared" ca="1" si="1"/>
        <v>30</v>
      </c>
      <c r="N31" s="122" t="str">
        <f t="shared" ca="1" si="2"/>
        <v>Mander N 8-1-28-0</v>
      </c>
      <c r="W31" s="122" t="s">
        <v>204</v>
      </c>
    </row>
    <row r="32" spans="1:28" x14ac:dyDescent="0.15">
      <c r="A32" s="122">
        <v>31</v>
      </c>
      <c r="B32" s="122">
        <f>MATCH(A32,Bowling!$CS$5:$CS$36,0)</f>
        <v>25</v>
      </c>
      <c r="C32" s="122" t="str">
        <f ca="1">OFFSET(Bowling!$B$4,BowlAves!B32,0)</f>
        <v>Southey M</v>
      </c>
      <c r="D32" s="153">
        <f t="array" aca="1" ref="D32:K32" ca="1">OFFSET(Bowling!$CG$4,BowlAves!B32,0,1,8)</f>
        <v>8</v>
      </c>
      <c r="E32" s="154">
        <f ca="1"/>
        <v>0</v>
      </c>
      <c r="F32" s="154">
        <f ca="1"/>
        <v>33</v>
      </c>
      <c r="G32" s="154">
        <f ca="1"/>
        <v>0</v>
      </c>
      <c r="H32" s="76" t="str">
        <f ca="1"/>
        <v/>
      </c>
      <c r="I32" s="158" t="str">
        <f ca="1"/>
        <v/>
      </c>
      <c r="J32" s="158">
        <f ca="1"/>
        <v>4.125</v>
      </c>
      <c r="K32" s="159" t="str">
        <f ca="1"/>
        <v>0-33</v>
      </c>
      <c r="L32" s="159">
        <f t="shared" ca="1" si="0"/>
        <v>1031</v>
      </c>
      <c r="M32" s="159">
        <f t="shared" ca="1" si="1"/>
        <v>31</v>
      </c>
      <c r="N32" s="122" t="str">
        <f t="shared" ca="1" si="2"/>
        <v>Southey M 8-0-33-0</v>
      </c>
      <c r="W32" s="122" t="s">
        <v>204</v>
      </c>
    </row>
    <row r="33" spans="1:24" x14ac:dyDescent="0.15">
      <c r="A33" s="122">
        <v>32</v>
      </c>
      <c r="B33" s="122">
        <f>MATCH(A33,Bowling!$CS$5:$CS$36,0)</f>
        <v>29</v>
      </c>
      <c r="C33" s="122" t="str">
        <f ca="1">OFFSET(Bowling!$B$4,BowlAves!B33,0)</f>
        <v>Viveganandan R</v>
      </c>
      <c r="D33" s="153">
        <f t="array" aca="1" ref="D33:K33" ca="1">OFFSET(Bowling!$CG$4,BowlAves!B33,0,1,8)</f>
        <v>12</v>
      </c>
      <c r="E33" s="154">
        <f ca="1"/>
        <v>1</v>
      </c>
      <c r="F33" s="154">
        <f ca="1"/>
        <v>47</v>
      </c>
      <c r="G33" s="154">
        <f ca="1"/>
        <v>0</v>
      </c>
      <c r="H33" s="76" t="str">
        <f ca="1"/>
        <v/>
      </c>
      <c r="I33" s="158" t="str">
        <f ca="1"/>
        <v/>
      </c>
      <c r="J33" s="158">
        <f ca="1"/>
        <v>3.9166666666666665</v>
      </c>
      <c r="K33" s="159" t="str">
        <f ca="1"/>
        <v>0-6</v>
      </c>
      <c r="L33" s="159">
        <f t="shared" ca="1" si="0"/>
        <v>1032</v>
      </c>
      <c r="M33" s="159">
        <f t="shared" ca="1" si="1"/>
        <v>32</v>
      </c>
      <c r="N33" s="122" t="str">
        <f t="shared" ca="1" si="2"/>
        <v>Viveganandan R 12-1-47-0</v>
      </c>
    </row>
    <row r="34" spans="1:24" x14ac:dyDescent="0.15">
      <c r="A34" s="122">
        <v>33</v>
      </c>
      <c r="B34" s="122" t="e">
        <f>MATCH(A34,Bowling!$CS$5:$CS$36,0)</f>
        <v>#N/A</v>
      </c>
      <c r="C34" s="122" t="e">
        <f ca="1">OFFSET(Bowling!$B$4,BowlAves!B34,0)</f>
        <v>#N/A</v>
      </c>
      <c r="D34" s="153" t="e">
        <f t="array" aca="1" ref="D34:K34" ca="1">OFFSET(Bowling!$CG$4,BowlAves!B34,0,1,8)</f>
        <v>#N/A</v>
      </c>
      <c r="E34" s="154" t="e">
        <f ca="1"/>
        <v>#N/A</v>
      </c>
      <c r="F34" s="154" t="e">
        <f ca="1"/>
        <v>#N/A</v>
      </c>
      <c r="G34" s="154" t="e">
        <f ca="1"/>
        <v>#N/A</v>
      </c>
      <c r="H34" s="76" t="e">
        <f ca="1"/>
        <v>#N/A</v>
      </c>
      <c r="I34" s="158" t="e">
        <f ca="1"/>
        <v>#N/A</v>
      </c>
      <c r="J34" s="158" t="e">
        <f ca="1"/>
        <v>#N/A</v>
      </c>
      <c r="K34" s="159" t="e">
        <f ca="1"/>
        <v>#N/A</v>
      </c>
      <c r="L34" s="159" t="e">
        <f t="shared" ca="1" si="0"/>
        <v>#N/A</v>
      </c>
      <c r="M34" s="159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MATCH(A35,Bowling!$CS$5:$CS$36,0)</f>
        <v>#N/A</v>
      </c>
      <c r="C35" s="122" t="e">
        <f ca="1">OFFSET(Bowling!$B$4,BowlAves!B35,0)</f>
        <v>#N/A</v>
      </c>
      <c r="D35" s="153" t="e">
        <f t="array" aca="1" ref="D35:K35" ca="1">OFFSET(Bowling!$CG$4,BowlAves!B35,0,1,8)</f>
        <v>#N/A</v>
      </c>
      <c r="E35" s="154" t="e">
        <f ca="1"/>
        <v>#N/A</v>
      </c>
      <c r="F35" s="154" t="e">
        <f ca="1"/>
        <v>#N/A</v>
      </c>
      <c r="G35" s="154" t="e">
        <f ca="1"/>
        <v>#N/A</v>
      </c>
      <c r="H35" s="76" t="e">
        <f ca="1"/>
        <v>#N/A</v>
      </c>
      <c r="I35" s="158" t="e">
        <f ca="1"/>
        <v>#N/A</v>
      </c>
      <c r="J35" s="158" t="e">
        <f ca="1"/>
        <v>#N/A</v>
      </c>
      <c r="K35" s="159" t="e">
        <f ca="1"/>
        <v>#N/A</v>
      </c>
      <c r="L35" s="159" t="e">
        <f t="shared" ca="1" si="0"/>
        <v>#N/A</v>
      </c>
      <c r="M35" s="159" t="e">
        <f t="shared" ca="1" si="1"/>
        <v>#N/A</v>
      </c>
      <c r="N35" s="122" t="e">
        <f t="shared" ca="1" si="2"/>
        <v>#N/A</v>
      </c>
      <c r="R35" s="122" t="s">
        <v>204</v>
      </c>
    </row>
    <row r="36" spans="1:24" x14ac:dyDescent="0.15">
      <c r="A36" s="122">
        <v>35</v>
      </c>
      <c r="B36" s="122" t="e">
        <f>MATCH(A36,Bowling!$CS$5:$CS$36,0)</f>
        <v>#N/A</v>
      </c>
      <c r="C36" s="122" t="e">
        <f ca="1">OFFSET(Bowling!$B$4,BowlAves!B36,0)</f>
        <v>#N/A</v>
      </c>
      <c r="D36" s="153" t="e">
        <f t="array" aca="1" ref="D36:K36" ca="1">OFFSET(Bowling!$CG$4,BowlAves!B36,0,1,8)</f>
        <v>#N/A</v>
      </c>
      <c r="E36" s="154" t="e">
        <f ca="1"/>
        <v>#N/A</v>
      </c>
      <c r="F36" s="154" t="e">
        <f ca="1"/>
        <v>#N/A</v>
      </c>
      <c r="G36" s="154" t="e">
        <f ca="1"/>
        <v>#N/A</v>
      </c>
      <c r="H36" s="76" t="e">
        <f ca="1"/>
        <v>#N/A</v>
      </c>
      <c r="I36" s="158" t="e">
        <f ca="1"/>
        <v>#N/A</v>
      </c>
      <c r="J36" s="158" t="e">
        <f ca="1"/>
        <v>#N/A</v>
      </c>
      <c r="K36" s="159" t="e">
        <f ca="1"/>
        <v>#N/A</v>
      </c>
      <c r="L36" s="159" t="e">
        <f t="shared" ca="1" si="0"/>
        <v>#N/A</v>
      </c>
      <c r="M36" s="159" t="e">
        <f t="shared" ca="1" si="1"/>
        <v>#N/A</v>
      </c>
      <c r="N36" s="122" t="e">
        <f t="shared" ca="1" si="2"/>
        <v>#N/A</v>
      </c>
      <c r="Q36" s="122" t="s">
        <v>204</v>
      </c>
      <c r="R36" s="122" t="s">
        <v>204</v>
      </c>
    </row>
    <row r="37" spans="1:24" ht="11.25" x14ac:dyDescent="0.15">
      <c r="A37" s="122">
        <v>36</v>
      </c>
      <c r="B37" s="122" t="e">
        <f>MATCH(A37,Bowling!$CS$5:$CS$36,0)</f>
        <v>#N/A</v>
      </c>
      <c r="C37" s="122" t="e">
        <f ca="1">OFFSET(Bowling!$B$4,BowlAves!B37,0)</f>
        <v>#N/A</v>
      </c>
      <c r="D37" s="153" t="e">
        <f t="array" aca="1" ref="D37:K37" ca="1">OFFSET(Bowling!$CG$4,BowlAves!B37,0,1,8)</f>
        <v>#N/A</v>
      </c>
      <c r="E37" s="154" t="e">
        <f ca="1"/>
        <v>#N/A</v>
      </c>
      <c r="F37" s="154" t="e">
        <f ca="1"/>
        <v>#N/A</v>
      </c>
      <c r="G37" s="154" t="e">
        <f ca="1"/>
        <v>#N/A</v>
      </c>
      <c r="H37" s="76" t="e">
        <f ca="1"/>
        <v>#N/A</v>
      </c>
      <c r="I37" s="158" t="e">
        <f ca="1"/>
        <v>#N/A</v>
      </c>
      <c r="J37" s="158" t="e">
        <f ca="1"/>
        <v>#N/A</v>
      </c>
      <c r="K37" s="159" t="e">
        <f ca="1"/>
        <v>#N/A</v>
      </c>
      <c r="L37" s="159" t="e">
        <f t="shared" ca="1" si="0"/>
        <v>#N/A</v>
      </c>
      <c r="M37" s="159" t="e">
        <f t="shared" ca="1" si="1"/>
        <v>#N/A</v>
      </c>
      <c r="N37" s="122" t="e">
        <f t="shared" ca="1" si="2"/>
        <v>#N/A</v>
      </c>
      <c r="Q37" s="122" t="s">
        <v>204</v>
      </c>
      <c r="R37" s="122" t="str">
        <f>[1]!rangejoin(R40:R66,",",FALSE,FALSE)</f>
        <v>Azfar S 1-0-9-0,Bowers M 71-3-341-7,Brocks D 13-4-50-6,Clarkson M 32-2-128-4,Driver S 20-4-68-8,Edghill R 11-0-59-2,Foxworthy 2-0-17-1,Gardezi S 4-0-28-0,Lestrelle A 5-0-28-0,Mander C 3-0-32-0,Mander N 8-1-28-0,Middleton J 48.4-10-200-7,Nair S 20-3-62-7,Ottey A 4-0-25-1,Parboo R 13-1-50-2,Patel H 14.1-1-78-3,Shahid A 11.3-1-56-3,Sharpe D 9-0-78-3,Smith C 3-0-23-1,Snell 1-0-7-0,Southey J 4-0-24-2,Southey M 8-0-33-0,Stevenson R 4-1-12-2,Viveganandan R 12-1-47-0,Wilson A 5-0-36-0,Winter T 4-0-34-0,Wright J 4-0-10-0</v>
      </c>
      <c r="W37" s="163"/>
    </row>
    <row r="38" spans="1:24" ht="11.25" x14ac:dyDescent="0.15">
      <c r="A38" s="122">
        <v>37</v>
      </c>
      <c r="B38" s="122" t="e">
        <f>MATCH(A38,Bowling!$CS$5:$CS$36,0)</f>
        <v>#N/A</v>
      </c>
      <c r="C38" s="122" t="e">
        <f ca="1">OFFSET(Bowling!$B$4,BowlAves!B38,0)</f>
        <v>#N/A</v>
      </c>
      <c r="D38" s="153" t="e">
        <f t="array" aca="1" ref="D38:K38" ca="1">OFFSET(Bowling!$CG$4,BowlAves!B38,0,1,8)</f>
        <v>#N/A</v>
      </c>
      <c r="E38" s="154" t="e">
        <f ca="1"/>
        <v>#N/A</v>
      </c>
      <c r="F38" s="154" t="e">
        <f ca="1"/>
        <v>#N/A</v>
      </c>
      <c r="G38" s="154" t="e">
        <f ca="1"/>
        <v>#N/A</v>
      </c>
      <c r="H38" s="76" t="e">
        <f ca="1"/>
        <v>#N/A</v>
      </c>
      <c r="I38" s="158" t="e">
        <f ca="1"/>
        <v>#N/A</v>
      </c>
      <c r="J38" s="158" t="e">
        <f ca="1"/>
        <v>#N/A</v>
      </c>
      <c r="K38" s="159" t="e">
        <f ca="1"/>
        <v>#N/A</v>
      </c>
      <c r="L38" s="159" t="e">
        <f t="shared" ca="1" si="0"/>
        <v>#N/A</v>
      </c>
      <c r="M38" s="159" t="e">
        <f t="shared" ca="1" si="1"/>
        <v>#N/A</v>
      </c>
      <c r="N38" s="122" t="e">
        <f t="shared" ca="1" si="2"/>
        <v>#N/A</v>
      </c>
      <c r="Q38" s="122" t="s">
        <v>204</v>
      </c>
      <c r="R38" s="122" t="s">
        <v>204</v>
      </c>
      <c r="W38" s="163"/>
    </row>
    <row r="39" spans="1:24" ht="11.25" x14ac:dyDescent="0.15">
      <c r="A39" s="122">
        <v>38</v>
      </c>
      <c r="B39" s="122" t="e">
        <f>MATCH(A39,Bowling!$CS$5:$CS$36,0)</f>
        <v>#N/A</v>
      </c>
      <c r="C39" s="122" t="e">
        <f ca="1">OFFSET(Bowling!$B$4,BowlAves!B39,0)</f>
        <v>#N/A</v>
      </c>
      <c r="D39" s="153" t="e">
        <f t="array" aca="1" ref="D39:K39" ca="1">OFFSET(Bowling!$CG$4,BowlAves!B39,0,1,8)</f>
        <v>#N/A</v>
      </c>
      <c r="E39" s="154" t="e">
        <f ca="1"/>
        <v>#N/A</v>
      </c>
      <c r="F39" s="154" t="e">
        <f ca="1"/>
        <v>#N/A</v>
      </c>
      <c r="G39" s="154" t="e">
        <f ca="1"/>
        <v>#N/A</v>
      </c>
      <c r="H39" s="76" t="e">
        <f ca="1"/>
        <v>#N/A</v>
      </c>
      <c r="I39" s="158" t="e">
        <f ca="1"/>
        <v>#N/A</v>
      </c>
      <c r="J39" s="158" t="e">
        <f ca="1"/>
        <v>#N/A</v>
      </c>
      <c r="K39" s="159" t="e">
        <f ca="1"/>
        <v>#N/A</v>
      </c>
      <c r="L39" s="159" t="e">
        <f t="shared" ca="1" si="0"/>
        <v>#N/A</v>
      </c>
      <c r="M39" s="159" t="e">
        <f t="shared" ca="1" si="1"/>
        <v>#N/A</v>
      </c>
      <c r="N39" s="122" t="e">
        <f t="shared" ca="1" si="2"/>
        <v>#N/A</v>
      </c>
      <c r="Q39" s="122" t="s">
        <v>204</v>
      </c>
      <c r="R39" s="122" t="s">
        <v>204</v>
      </c>
      <c r="W39" s="163"/>
    </row>
    <row r="40" spans="1:24" ht="11.25" x14ac:dyDescent="0.15">
      <c r="A40" s="122">
        <v>39</v>
      </c>
      <c r="B40" s="122" t="e">
        <f>MATCH(A40,Bowling!$CS$5:$CS$36,0)</f>
        <v>#N/A</v>
      </c>
      <c r="C40" s="122" t="e">
        <f ca="1">OFFSET(Bowling!$B$4,BowlAves!B40,0)</f>
        <v>#N/A</v>
      </c>
      <c r="D40" s="153" t="e">
        <f t="array" aca="1" ref="D40:K40" ca="1">OFFSET(Bowling!$CG$4,BowlAves!B40,0,1,8)</f>
        <v>#N/A</v>
      </c>
      <c r="E40" s="154" t="e">
        <f ca="1"/>
        <v>#N/A</v>
      </c>
      <c r="F40" s="154" t="e">
        <f ca="1"/>
        <v>#N/A</v>
      </c>
      <c r="G40" s="154" t="e">
        <f ca="1"/>
        <v>#N/A</v>
      </c>
      <c r="H40" s="76" t="e">
        <f ca="1"/>
        <v>#N/A</v>
      </c>
      <c r="I40" s="158" t="e">
        <f ca="1"/>
        <v>#N/A</v>
      </c>
      <c r="J40" s="158" t="e">
        <f ca="1"/>
        <v>#N/A</v>
      </c>
      <c r="K40" s="159" t="e">
        <f ca="1"/>
        <v>#N/A</v>
      </c>
      <c r="L40" s="159" t="e">
        <f t="shared" ca="1" si="0"/>
        <v>#N/A</v>
      </c>
      <c r="M40" s="159" t="e">
        <f t="shared" ca="1" si="1"/>
        <v>#N/A</v>
      </c>
      <c r="N40" s="122" t="e">
        <f t="shared" ca="1" si="2"/>
        <v>#N/A</v>
      </c>
      <c r="Q40" s="122" t="s">
        <v>204</v>
      </c>
      <c r="R40" s="122" t="s">
        <v>689</v>
      </c>
      <c r="W40" s="163"/>
    </row>
    <row r="41" spans="1:24" ht="11.25" x14ac:dyDescent="0.15">
      <c r="A41" s="122">
        <v>40</v>
      </c>
      <c r="B41" s="122" t="e">
        <f>MATCH(A41,Bowling!$CS$5:$CS$36,0)</f>
        <v>#N/A</v>
      </c>
      <c r="C41" s="122" t="e">
        <f ca="1">OFFSET(Bowling!$B$4,BowlAves!B41,0)</f>
        <v>#N/A</v>
      </c>
      <c r="D41" s="153" t="e">
        <f t="array" aca="1" ref="D41:K41" ca="1">OFFSET(Bowling!$CG$4,BowlAves!B41,0,1,8)</f>
        <v>#N/A</v>
      </c>
      <c r="E41" s="154" t="e">
        <f ca="1"/>
        <v>#N/A</v>
      </c>
      <c r="F41" s="154" t="e">
        <f ca="1"/>
        <v>#N/A</v>
      </c>
      <c r="G41" s="154" t="e">
        <f ca="1"/>
        <v>#N/A</v>
      </c>
      <c r="H41" s="76" t="e">
        <f ca="1"/>
        <v>#N/A</v>
      </c>
      <c r="I41" s="158" t="e">
        <f ca="1"/>
        <v>#N/A</v>
      </c>
      <c r="J41" s="158" t="e">
        <f ca="1"/>
        <v>#N/A</v>
      </c>
      <c r="K41" s="159" t="e">
        <f ca="1"/>
        <v>#N/A</v>
      </c>
      <c r="L41" s="159" t="e">
        <f t="shared" ca="1" si="0"/>
        <v>#N/A</v>
      </c>
      <c r="M41" s="159" t="e">
        <f t="shared" ca="1" si="1"/>
        <v>#N/A</v>
      </c>
      <c r="N41" s="122" t="e">
        <f t="shared" ca="1" si="2"/>
        <v>#N/A</v>
      </c>
      <c r="Q41" s="122" t="s">
        <v>204</v>
      </c>
      <c r="R41" s="122" t="s">
        <v>688</v>
      </c>
      <c r="W41" s="163"/>
    </row>
    <row r="42" spans="1:24" ht="11.25" x14ac:dyDescent="0.15">
      <c r="A42" s="122">
        <v>41</v>
      </c>
      <c r="B42" s="122" t="e">
        <f>MATCH(A42,Bowling!$CS$5:$CS$36,0)</f>
        <v>#N/A</v>
      </c>
      <c r="C42" s="122" t="e">
        <f ca="1">OFFSET(Bowling!$B$4,BowlAves!B42,0)</f>
        <v>#N/A</v>
      </c>
      <c r="D42" s="153" t="e">
        <f t="array" aca="1" ref="D42:K42" ca="1">OFFSET(Bowling!$CG$4,BowlAves!B42,0,1,8)</f>
        <v>#N/A</v>
      </c>
      <c r="E42" s="154" t="e">
        <f ca="1"/>
        <v>#N/A</v>
      </c>
      <c r="F42" s="154" t="e">
        <f ca="1"/>
        <v>#N/A</v>
      </c>
      <c r="G42" s="154" t="e">
        <f ca="1"/>
        <v>#N/A</v>
      </c>
      <c r="H42" s="76" t="e">
        <f ca="1"/>
        <v>#N/A</v>
      </c>
      <c r="I42" s="158" t="e">
        <f ca="1"/>
        <v>#N/A</v>
      </c>
      <c r="J42" s="158" t="e">
        <f ca="1"/>
        <v>#N/A</v>
      </c>
      <c r="K42" s="159" t="e">
        <f ca="1"/>
        <v>#N/A</v>
      </c>
      <c r="L42" s="159" t="e">
        <f t="shared" ca="1" si="0"/>
        <v>#N/A</v>
      </c>
      <c r="M42" s="159" t="e">
        <f t="shared" ca="1" si="1"/>
        <v>#N/A</v>
      </c>
      <c r="N42" s="122" t="e">
        <f t="shared" ca="1" si="2"/>
        <v>#N/A</v>
      </c>
      <c r="Q42" s="122" t="s">
        <v>204</v>
      </c>
      <c r="R42" s="122" t="s">
        <v>674</v>
      </c>
      <c r="W42" s="163"/>
      <c r="X42" s="122" t="s">
        <v>204</v>
      </c>
    </row>
    <row r="43" spans="1:24" ht="11.25" x14ac:dyDescent="0.15">
      <c r="A43" s="122">
        <v>42</v>
      </c>
      <c r="B43" s="122" t="e">
        <f>MATCH(A43,Bowling!$CS$5:$CS$36,0)</f>
        <v>#N/A</v>
      </c>
      <c r="C43" s="122" t="e">
        <f ca="1">OFFSET(Bowling!$B$4,BowlAves!B43,0)</f>
        <v>#N/A</v>
      </c>
      <c r="D43" s="153" t="e">
        <f t="array" aca="1" ref="D43:K43" ca="1">OFFSET(Bowling!$CG$4,BowlAves!B43,0,1,8)</f>
        <v>#N/A</v>
      </c>
      <c r="E43" s="154" t="e">
        <f ca="1"/>
        <v>#N/A</v>
      </c>
      <c r="F43" s="154" t="e">
        <f ca="1"/>
        <v>#N/A</v>
      </c>
      <c r="G43" s="154" t="e">
        <f ca="1"/>
        <v>#N/A</v>
      </c>
      <c r="H43" s="76" t="e">
        <f ca="1"/>
        <v>#N/A</v>
      </c>
      <c r="I43" s="158" t="e">
        <f ca="1"/>
        <v>#N/A</v>
      </c>
      <c r="J43" s="158" t="e">
        <f ca="1"/>
        <v>#N/A</v>
      </c>
      <c r="K43" s="159" t="e">
        <f ca="1"/>
        <v>#N/A</v>
      </c>
      <c r="L43" s="159" t="e">
        <f t="shared" ca="1" si="0"/>
        <v>#N/A</v>
      </c>
      <c r="M43" s="159" t="e">
        <f t="shared" ca="1" si="1"/>
        <v>#N/A</v>
      </c>
      <c r="N43" s="122" t="e">
        <f t="shared" ca="1" si="2"/>
        <v>#N/A</v>
      </c>
      <c r="Q43" s="122" t="s">
        <v>204</v>
      </c>
      <c r="R43" s="122" t="s">
        <v>687</v>
      </c>
      <c r="W43" s="163"/>
      <c r="X43" s="122" t="s">
        <v>204</v>
      </c>
    </row>
    <row r="44" spans="1:24" ht="11.25" x14ac:dyDescent="0.15">
      <c r="A44" s="122">
        <v>43</v>
      </c>
      <c r="B44" s="122" t="e">
        <f>MATCH(A44,Bowling!$CS$5:$CS$36,0)</f>
        <v>#N/A</v>
      </c>
      <c r="C44" s="122" t="e">
        <f ca="1">OFFSET(Bowling!$B$4,BowlAves!B44,0)</f>
        <v>#N/A</v>
      </c>
      <c r="D44" s="153" t="e">
        <f t="array" aca="1" ref="D44:K44" ca="1">OFFSET(Bowling!$CG$4,BowlAves!B44,0,1,8)</f>
        <v>#N/A</v>
      </c>
      <c r="E44" s="154" t="e">
        <f ca="1"/>
        <v>#N/A</v>
      </c>
      <c r="F44" s="154" t="e">
        <f ca="1"/>
        <v>#N/A</v>
      </c>
      <c r="G44" s="154" t="e">
        <f ca="1"/>
        <v>#N/A</v>
      </c>
      <c r="H44" s="76" t="e">
        <f ca="1"/>
        <v>#N/A</v>
      </c>
      <c r="I44" s="158" t="e">
        <f ca="1"/>
        <v>#N/A</v>
      </c>
      <c r="J44" s="158" t="e">
        <f ca="1"/>
        <v>#N/A</v>
      </c>
      <c r="K44" s="159" t="e">
        <f ca="1"/>
        <v>#N/A</v>
      </c>
      <c r="L44" s="159" t="e">
        <f t="shared" ca="1" si="0"/>
        <v>#N/A</v>
      </c>
      <c r="M44" s="159" t="e">
        <f t="shared" ca="1" si="1"/>
        <v>#N/A</v>
      </c>
      <c r="N44" s="122" t="e">
        <f t="shared" ca="1" si="2"/>
        <v>#N/A</v>
      </c>
      <c r="Q44" s="122" t="s">
        <v>204</v>
      </c>
      <c r="R44" s="122" t="s">
        <v>675</v>
      </c>
      <c r="W44" s="163"/>
      <c r="X44" s="122" t="s">
        <v>204</v>
      </c>
    </row>
    <row r="45" spans="1:24" ht="11.25" x14ac:dyDescent="0.15">
      <c r="A45" s="122">
        <v>44</v>
      </c>
      <c r="B45" s="122" t="e">
        <f>MATCH(A45,Bowling!$CS$5:$CS$36,0)</f>
        <v>#N/A</v>
      </c>
      <c r="C45" s="122" t="e">
        <f ca="1">OFFSET(Bowling!$B$4,BowlAves!B45,0)</f>
        <v>#N/A</v>
      </c>
      <c r="D45" s="153" t="e">
        <f t="array" aca="1" ref="D45:K45" ca="1">OFFSET(Bowling!$CG$4,BowlAves!B45,0,1,8)</f>
        <v>#N/A</v>
      </c>
      <c r="E45" s="154" t="e">
        <f ca="1"/>
        <v>#N/A</v>
      </c>
      <c r="F45" s="154" t="e">
        <f ca="1"/>
        <v>#N/A</v>
      </c>
      <c r="G45" s="154" t="e">
        <f ca="1"/>
        <v>#N/A</v>
      </c>
      <c r="H45" s="76" t="e">
        <f ca="1"/>
        <v>#N/A</v>
      </c>
      <c r="I45" s="158" t="e">
        <f ca="1"/>
        <v>#N/A</v>
      </c>
      <c r="J45" s="158" t="e">
        <f ca="1"/>
        <v>#N/A</v>
      </c>
      <c r="K45" s="159" t="e">
        <f ca="1"/>
        <v>#N/A</v>
      </c>
      <c r="L45" s="159" t="e">
        <f t="shared" ca="1" si="0"/>
        <v>#N/A</v>
      </c>
      <c r="M45" s="159" t="e">
        <f t="shared" ca="1" si="1"/>
        <v>#N/A</v>
      </c>
      <c r="N45" s="122" t="e">
        <f t="shared" ca="1" si="2"/>
        <v>#N/A</v>
      </c>
      <c r="Q45" s="122" t="s">
        <v>204</v>
      </c>
      <c r="R45" s="122" t="s">
        <v>686</v>
      </c>
      <c r="W45" s="163"/>
    </row>
    <row r="46" spans="1:24" ht="11.25" x14ac:dyDescent="0.15">
      <c r="A46" s="122">
        <v>45</v>
      </c>
      <c r="B46" s="122" t="e">
        <f>MATCH(A46,Bowling!$CS$5:$CS$36,0)</f>
        <v>#N/A</v>
      </c>
      <c r="C46" s="122" t="e">
        <f ca="1">OFFSET(Bowling!$B$4,BowlAves!B46,0)</f>
        <v>#N/A</v>
      </c>
      <c r="D46" s="153" t="e">
        <f t="array" aca="1" ref="D46:K46" ca="1">OFFSET(Bowling!$CG$4,BowlAves!B46,0,1,8)</f>
        <v>#N/A</v>
      </c>
      <c r="E46" s="154" t="e">
        <f ca="1"/>
        <v>#N/A</v>
      </c>
      <c r="F46" s="154" t="e">
        <f ca="1"/>
        <v>#N/A</v>
      </c>
      <c r="G46" s="154" t="e">
        <f ca="1"/>
        <v>#N/A</v>
      </c>
      <c r="H46" s="76" t="e">
        <f ca="1"/>
        <v>#N/A</v>
      </c>
      <c r="I46" s="158" t="e">
        <f ca="1"/>
        <v>#N/A</v>
      </c>
      <c r="J46" s="158" t="e">
        <f ca="1"/>
        <v>#N/A</v>
      </c>
      <c r="K46" s="159" t="e">
        <f ca="1"/>
        <v>#N/A</v>
      </c>
      <c r="L46" s="159" t="e">
        <f t="shared" ca="1" si="0"/>
        <v>#N/A</v>
      </c>
      <c r="M46" s="159" t="e">
        <f t="shared" ca="1" si="1"/>
        <v>#N/A</v>
      </c>
      <c r="N46" s="122" t="e">
        <f t="shared" ca="1" si="2"/>
        <v>#N/A</v>
      </c>
      <c r="R46" s="122" t="s">
        <v>678</v>
      </c>
      <c r="W46" s="163"/>
    </row>
    <row r="47" spans="1:24" ht="11.25" x14ac:dyDescent="0.15">
      <c r="A47" s="122">
        <v>46</v>
      </c>
      <c r="B47" s="122" t="e">
        <f>MATCH(A47,Bowling!$CS$5:$CS$36,0)</f>
        <v>#N/A</v>
      </c>
      <c r="C47" s="122" t="e">
        <f ca="1">OFFSET(Bowling!$B$4,BowlAves!B47,0)</f>
        <v>#N/A</v>
      </c>
      <c r="D47" s="153" t="e">
        <f t="array" aca="1" ref="D47:K47" ca="1">OFFSET(Bowling!$CG$4,BowlAves!B47,0,1,8)</f>
        <v>#N/A</v>
      </c>
      <c r="E47" s="154" t="e">
        <f ca="1"/>
        <v>#N/A</v>
      </c>
      <c r="F47" s="154" t="e">
        <f ca="1"/>
        <v>#N/A</v>
      </c>
      <c r="G47" s="154" t="e">
        <f ca="1"/>
        <v>#N/A</v>
      </c>
      <c r="H47" s="76" t="e">
        <f ca="1"/>
        <v>#N/A</v>
      </c>
      <c r="I47" s="158" t="e">
        <f ca="1"/>
        <v>#N/A</v>
      </c>
      <c r="J47" s="158" t="e">
        <f ca="1"/>
        <v>#N/A</v>
      </c>
      <c r="K47" s="159" t="e">
        <f ca="1"/>
        <v>#N/A</v>
      </c>
      <c r="L47" s="159" t="e">
        <f t="shared" ca="1" si="0"/>
        <v>#N/A</v>
      </c>
      <c r="M47" s="159" t="e">
        <f t="shared" ca="1" si="1"/>
        <v>#N/A</v>
      </c>
      <c r="N47" s="122" t="e">
        <f t="shared" ca="1" si="2"/>
        <v>#N/A</v>
      </c>
      <c r="R47" s="122" t="s">
        <v>692</v>
      </c>
      <c r="W47" s="163"/>
    </row>
    <row r="48" spans="1:24" ht="11.25" x14ac:dyDescent="0.15">
      <c r="A48" s="122">
        <v>47</v>
      </c>
      <c r="B48" s="122" t="e">
        <f>MATCH(A48,Bowling!$CS$5:$CS$36,0)</f>
        <v>#N/A</v>
      </c>
      <c r="C48" s="122" t="e">
        <f ca="1">OFFSET(Bowling!$B$4,BowlAves!B48,0)</f>
        <v>#N/A</v>
      </c>
      <c r="D48" s="153" t="e">
        <f t="array" aca="1" ref="D48:K48" ca="1">OFFSET(Bowling!$CG$4,BowlAves!B48,0,1,8)</f>
        <v>#N/A</v>
      </c>
      <c r="E48" s="154" t="e">
        <f ca="1"/>
        <v>#N/A</v>
      </c>
      <c r="F48" s="154" t="e">
        <f ca="1"/>
        <v>#N/A</v>
      </c>
      <c r="G48" s="154" t="e">
        <f ca="1"/>
        <v>#N/A</v>
      </c>
      <c r="H48" s="76" t="e">
        <f ca="1"/>
        <v>#N/A</v>
      </c>
      <c r="I48" s="158" t="e">
        <f ca="1"/>
        <v>#N/A</v>
      </c>
      <c r="J48" s="158" t="e">
        <f ca="1"/>
        <v>#N/A</v>
      </c>
      <c r="K48" s="159" t="e">
        <f ca="1"/>
        <v>#N/A</v>
      </c>
      <c r="L48" s="159" t="e">
        <f t="shared" ca="1" si="0"/>
        <v>#N/A</v>
      </c>
      <c r="M48" s="159" t="e">
        <f t="shared" ca="1" si="1"/>
        <v>#N/A</v>
      </c>
      <c r="N48" s="122" t="e">
        <f t="shared" ca="1" si="2"/>
        <v>#N/A</v>
      </c>
      <c r="R48" s="122" t="s">
        <v>695</v>
      </c>
      <c r="W48" s="163"/>
    </row>
    <row r="49" spans="1:23" ht="11.25" x14ac:dyDescent="0.15">
      <c r="A49" s="122">
        <v>48</v>
      </c>
      <c r="B49" s="122" t="e">
        <f>MATCH(A49,Bowling!$CS$5:$CS$36,0)</f>
        <v>#N/A</v>
      </c>
      <c r="C49" s="122" t="e">
        <f ca="1">OFFSET(Bowling!$B$4,BowlAves!B49,0)</f>
        <v>#N/A</v>
      </c>
      <c r="D49" s="153" t="e">
        <f t="array" aca="1" ref="D49:K49" ca="1">OFFSET(Bowling!$CG$4,BowlAves!B49,0,1,8)</f>
        <v>#N/A</v>
      </c>
      <c r="E49" s="154" t="e">
        <f ca="1"/>
        <v>#N/A</v>
      </c>
      <c r="F49" s="154" t="e">
        <f ca="1"/>
        <v>#N/A</v>
      </c>
      <c r="G49" s="154" t="e">
        <f ca="1"/>
        <v>#N/A</v>
      </c>
      <c r="H49" s="76" t="e">
        <f ca="1"/>
        <v>#N/A</v>
      </c>
      <c r="I49" s="158" t="e">
        <f ca="1"/>
        <v>#N/A</v>
      </c>
      <c r="J49" s="158" t="e">
        <f ca="1"/>
        <v>#N/A</v>
      </c>
      <c r="K49" s="159" t="e">
        <f ca="1"/>
        <v>#N/A</v>
      </c>
      <c r="L49" s="159" t="e">
        <f t="shared" ca="1" si="0"/>
        <v>#N/A</v>
      </c>
      <c r="M49" s="159" t="e">
        <f t="shared" ca="1" si="1"/>
        <v>#N/A</v>
      </c>
      <c r="N49" s="122" t="e">
        <f t="shared" ca="1" si="2"/>
        <v>#N/A</v>
      </c>
      <c r="R49" s="122" t="s">
        <v>691</v>
      </c>
      <c r="W49" s="163"/>
    </row>
    <row r="50" spans="1:23" ht="11.25" x14ac:dyDescent="0.15">
      <c r="A50" s="122">
        <v>49</v>
      </c>
      <c r="B50" s="122" t="e">
        <f>MATCH(A50,Bowling!$CS$5:$CS$36,0)</f>
        <v>#N/A</v>
      </c>
      <c r="C50" s="122" t="e">
        <f ca="1">OFFSET(Bowling!$B$4,BowlAves!B50,0)</f>
        <v>#N/A</v>
      </c>
      <c r="D50" s="153" t="e">
        <f t="array" aca="1" ref="D50:K50" ca="1">OFFSET(Bowling!$CG$4,BowlAves!B50,0,1,8)</f>
        <v>#N/A</v>
      </c>
      <c r="E50" s="154" t="e">
        <f ca="1"/>
        <v>#N/A</v>
      </c>
      <c r="F50" s="154" t="e">
        <f ca="1"/>
        <v>#N/A</v>
      </c>
      <c r="G50" s="154" t="e">
        <f ca="1"/>
        <v>#N/A</v>
      </c>
      <c r="H50" s="76" t="e">
        <f ca="1"/>
        <v>#N/A</v>
      </c>
      <c r="I50" s="158" t="e">
        <f ca="1"/>
        <v>#N/A</v>
      </c>
      <c r="J50" s="158" t="e">
        <f ca="1"/>
        <v>#N/A</v>
      </c>
      <c r="K50" s="159" t="e">
        <f ca="1"/>
        <v>#N/A</v>
      </c>
      <c r="L50" s="159" t="e">
        <f t="shared" ca="1" si="0"/>
        <v>#N/A</v>
      </c>
      <c r="M50" s="159" t="e">
        <f t="shared" ca="1" si="1"/>
        <v>#N/A</v>
      </c>
      <c r="N50" s="122" t="e">
        <f t="shared" ca="1" si="2"/>
        <v>#N/A</v>
      </c>
      <c r="R50" s="122" t="s">
        <v>697</v>
      </c>
      <c r="W50" s="163"/>
    </row>
    <row r="51" spans="1:23" ht="11.25" x14ac:dyDescent="0.15">
      <c r="A51" s="122">
        <v>50</v>
      </c>
      <c r="B51" s="122" t="e">
        <f>MATCH(A51,Bowling!$CS$5:$CS$36,0)</f>
        <v>#N/A</v>
      </c>
      <c r="C51" s="122" t="e">
        <f ca="1">OFFSET(Bowling!$B$4,BowlAves!B51,0)</f>
        <v>#N/A</v>
      </c>
      <c r="D51" s="153" t="e">
        <f t="array" aca="1" ref="D51:K51" ca="1">OFFSET(Bowling!$CG$4,BowlAves!B51,0,1,8)</f>
        <v>#N/A</v>
      </c>
      <c r="E51" s="154" t="e">
        <f ca="1"/>
        <v>#N/A</v>
      </c>
      <c r="F51" s="154" t="e">
        <f ca="1"/>
        <v>#N/A</v>
      </c>
      <c r="G51" s="154" t="e">
        <f ca="1"/>
        <v>#N/A</v>
      </c>
      <c r="H51" s="76" t="e">
        <f ca="1"/>
        <v>#N/A</v>
      </c>
      <c r="I51" s="158" t="e">
        <f ca="1"/>
        <v>#N/A</v>
      </c>
      <c r="J51" s="158" t="e">
        <f ca="1"/>
        <v>#N/A</v>
      </c>
      <c r="K51" s="159" t="e">
        <f ca="1"/>
        <v>#N/A</v>
      </c>
      <c r="L51" s="159" t="e">
        <f t="shared" ca="1" si="0"/>
        <v>#N/A</v>
      </c>
      <c r="M51" s="159" t="e">
        <f t="shared" ca="1" si="1"/>
        <v>#N/A</v>
      </c>
      <c r="N51" s="122" t="e">
        <f t="shared" ca="1" si="2"/>
        <v>#N/A</v>
      </c>
      <c r="R51" s="122" t="s">
        <v>685</v>
      </c>
      <c r="W51" s="163"/>
    </row>
    <row r="52" spans="1:23" ht="11.25" x14ac:dyDescent="0.15">
      <c r="R52" s="122" t="s">
        <v>676</v>
      </c>
      <c r="W52" s="163"/>
    </row>
    <row r="53" spans="1:23" x14ac:dyDescent="0.15">
      <c r="R53" s="122" t="s">
        <v>681</v>
      </c>
    </row>
    <row r="54" spans="1:23" x14ac:dyDescent="0.15">
      <c r="R54" s="122" t="s">
        <v>682</v>
      </c>
    </row>
    <row r="55" spans="1:23" x14ac:dyDescent="0.15">
      <c r="R55" s="122" t="s">
        <v>683</v>
      </c>
    </row>
    <row r="56" spans="1:23" x14ac:dyDescent="0.15">
      <c r="R56" s="122" t="s">
        <v>679</v>
      </c>
    </row>
    <row r="57" spans="1:23" x14ac:dyDescent="0.15">
      <c r="R57" s="122" t="s">
        <v>684</v>
      </c>
    </row>
    <row r="58" spans="1:23" x14ac:dyDescent="0.15">
      <c r="R58" s="122" t="s">
        <v>680</v>
      </c>
    </row>
    <row r="59" spans="1:23" x14ac:dyDescent="0.15">
      <c r="R59" s="122" t="s">
        <v>690</v>
      </c>
    </row>
    <row r="60" spans="1:23" x14ac:dyDescent="0.15">
      <c r="R60" s="122" t="s">
        <v>677</v>
      </c>
    </row>
    <row r="61" spans="1:23" x14ac:dyDescent="0.15">
      <c r="R61" s="122" t="s">
        <v>698</v>
      </c>
    </row>
    <row r="62" spans="1:23" x14ac:dyDescent="0.15">
      <c r="R62" s="122" t="s">
        <v>673</v>
      </c>
    </row>
    <row r="63" spans="1:23" x14ac:dyDescent="0.15">
      <c r="R63" s="122" t="s">
        <v>699</v>
      </c>
    </row>
    <row r="64" spans="1:23" x14ac:dyDescent="0.15">
      <c r="R64" s="122" t="s">
        <v>696</v>
      </c>
    </row>
    <row r="65" spans="18:18" x14ac:dyDescent="0.15">
      <c r="R65" s="122" t="s">
        <v>693</v>
      </c>
    </row>
    <row r="66" spans="18:18" x14ac:dyDescent="0.15">
      <c r="R66" s="122" t="s">
        <v>694</v>
      </c>
    </row>
  </sheetData>
  <sortState ref="R35:R66">
    <sortCondition ref="R35:R6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147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175</v>
      </c>
      <c r="B45" t="s">
        <v>178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176</v>
      </c>
      <c r="B46" t="s">
        <v>184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167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174</v>
      </c>
      <c r="B51" t="s">
        <v>179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150.66666666666669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145</v>
      </c>
      <c r="B53" t="s">
        <v>162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576.375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161</v>
      </c>
      <c r="B60" t="s">
        <v>180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158</v>
      </c>
      <c r="B62" t="s">
        <v>157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177</v>
      </c>
      <c r="B67" t="s">
        <v>181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155</v>
      </c>
      <c r="B68" t="s">
        <v>156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168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166</v>
      </c>
      <c r="B75" t="s">
        <v>182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154</v>
      </c>
      <c r="B76" t="s">
        <v>164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165</v>
      </c>
      <c r="B77" t="s">
        <v>183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159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194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MATCH(A5,Batting!$A$5:$A$60,0)</f>
        <v>#N/A</v>
      </c>
      <c r="F5" s="9">
        <f ca="1">IF(NOT(ISNA(E5)),OFFSET(Batting!$B$4,E5,$C$1,1,1),0)</f>
        <v>0</v>
      </c>
      <c r="G5" s="9" t="e">
        <f ca="1">MATCH(A5,Bowling!$A$5:$A$40,0)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192.125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MATCH(A6,Batting!$A$5:$A$60,0)</f>
        <v>#N/A</v>
      </c>
      <c r="F6" s="9">
        <f ca="1">IF(NOT(ISNA(E6)),OFFSET(Batting!$B$4,E6,$C$1,1,1),0)</f>
        <v>0</v>
      </c>
      <c r="G6" s="9" t="e">
        <f ca="1">MATCH(A6,Bowling!$A$5:$A$40,0)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75.332999999999998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MATCH(A7,Batting!$A$5:$A$60,0)</f>
        <v>#N/A</v>
      </c>
      <c r="F7" s="9">
        <f ca="1">IF(NOT(ISNA(E7)),OFFSET(Batting!$B$4,E7,$C$1,1,1),0)</f>
        <v>0</v>
      </c>
      <c r="G7" s="9" t="e">
        <f ca="1">MATCH(A7,Bowling!$A$5:$A$40,0)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56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MATCH(A8,Batting!$A$5:$A$60,0)</f>
        <v>#N/A</v>
      </c>
      <c r="F8" s="9">
        <f ca="1">IF(NOT(ISNA(E8)),OFFSET(Batting!$B$4,E8,$C$1,1,1),0)</f>
        <v>0</v>
      </c>
      <c r="G8" s="9" t="e">
        <f ca="1">MATCH(A8,Bowling!$A$5:$A$40,0)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36</v>
      </c>
      <c r="O8" s="5">
        <f t="shared" si="8"/>
        <v>4</v>
      </c>
      <c r="P8" s="5" t="str">
        <f t="shared" ca="1" si="1"/>
        <v>Vince Reid</v>
      </c>
      <c r="Q8" s="7">
        <f t="shared" ca="1" si="2"/>
        <v>0</v>
      </c>
      <c r="R8" s="5">
        <f t="shared" ca="1" si="3"/>
        <v>4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MATCH(A9,Batting!$A$5:$A$60,0)</f>
        <v>#N/A</v>
      </c>
      <c r="F9" s="9">
        <f ca="1">IF(NOT(ISNA(E9)),OFFSET(Batting!$B$4,E9,$C$1,1,1),0)</f>
        <v>0</v>
      </c>
      <c r="G9" s="9" t="e">
        <f ca="1">MATCH(A9,Bowling!$A$5:$A$40,0)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35</v>
      </c>
      <c r="O9" s="5">
        <f t="shared" si="8"/>
        <v>5</v>
      </c>
      <c r="P9" s="5" t="str">
        <f t="shared" ca="1" si="1"/>
        <v>Tony Springer</v>
      </c>
      <c r="Q9" s="7">
        <f t="shared" ca="1" si="2"/>
        <v>0</v>
      </c>
      <c r="R9" s="5">
        <f t="shared" ca="1" si="3"/>
        <v>13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MATCH(A10,Batting!$A$5:$A$60,0)</f>
        <v>#N/A</v>
      </c>
      <c r="F10" s="9">
        <f ca="1">IF(NOT(ISNA(E10)),OFFSET(Batting!$B$4,E10,$C$1,1,1),0)</f>
        <v>0</v>
      </c>
      <c r="G10" s="9" t="e">
        <f ca="1">MATCH(A10,Bowling!$A$5:$A$40,0)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34</v>
      </c>
      <c r="O10" s="5">
        <f t="shared" si="8"/>
        <v>6</v>
      </c>
      <c r="P10" s="5" t="str">
        <f t="shared" ca="1" si="1"/>
        <v>Ted Dugdale</v>
      </c>
      <c r="Q10" s="7">
        <f t="shared" ca="1" si="2"/>
        <v>0</v>
      </c>
      <c r="R10" s="5">
        <f t="shared" ca="1" si="3"/>
        <v>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150.66666666666669</v>
      </c>
      <c r="D11" s="9">
        <f ca="1">IF(NOT(ISNA(E11)),5*OFFSET(Batting!$CF$4,E11,0,1,1),0)</f>
        <v>60</v>
      </c>
      <c r="E11" s="9">
        <f ca="1">MATCH(A11,Batting!$A$5:$A$60,0)</f>
        <v>11</v>
      </c>
      <c r="F11" s="9">
        <f ca="1">IF(NOT(ISNA(E11)),OFFSET(Batting!$B$4,E11,$C$1,1,1),0)</f>
        <v>13.666666666666666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77</v>
      </c>
      <c r="J11" s="9">
        <f ca="1">VLOOKUP(A11,'Fantasy Teams'!$A$45:$C$87,3,FALSE)</f>
        <v>2</v>
      </c>
      <c r="K11" s="10">
        <f t="shared" ca="1" si="4"/>
        <v>75.332999999999998</v>
      </c>
      <c r="L11" s="5">
        <f t="shared" ca="1" si="5"/>
        <v>75.333110000000005</v>
      </c>
      <c r="M11" s="5">
        <f t="shared" ca="1" si="6"/>
        <v>2</v>
      </c>
      <c r="N11" s="5">
        <f t="shared" ca="1" si="7"/>
        <v>33</v>
      </c>
      <c r="O11" s="5">
        <f t="shared" si="8"/>
        <v>7</v>
      </c>
      <c r="P11" s="5" t="str">
        <f t="shared" ca="1" si="1"/>
        <v>Steve Barry</v>
      </c>
      <c r="Q11" s="7">
        <f t="shared" ca="1" si="2"/>
        <v>0</v>
      </c>
      <c r="R11" s="5">
        <f t="shared" ca="1" si="3"/>
        <v>2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MATCH(A12,Batting!$A$5:$A$60,0)</f>
        <v>#N/A</v>
      </c>
      <c r="F12" s="9">
        <f ca="1">IF(NOT(ISNA(E12)),OFFSET(Batting!$B$4,E12,$C$1,1,1),0)</f>
        <v>0</v>
      </c>
      <c r="G12" s="9" t="e">
        <f ca="1">MATCH(A12,Bowling!$A$5:$A$40,0)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32</v>
      </c>
      <c r="O12" s="5">
        <f t="shared" si="8"/>
        <v>8</v>
      </c>
      <c r="P12" s="5" t="str">
        <f t="shared" ca="1" si="1"/>
        <v>Roy Odeneal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MATCH(A13,Batting!$A$5:$A$60,0)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31</v>
      </c>
      <c r="O13" s="5">
        <f t="shared" si="8"/>
        <v>9</v>
      </c>
      <c r="P13" s="5" t="str">
        <f t="shared" ca="1" si="1"/>
        <v>Ron Morris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MATCH(A14,Batting!$A$5:$A$60,0)</f>
        <v>#N/A</v>
      </c>
      <c r="F14" s="9">
        <f ca="1">IF(NOT(ISNA(E14)),OFFSET(Batting!$B$4,E14,$C$1,1,1),0)</f>
        <v>0</v>
      </c>
      <c r="G14" s="9" t="e">
        <f ca="1">MATCH(A14,Bowling!$A$5:$A$40,0)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30</v>
      </c>
      <c r="O14" s="5">
        <f t="shared" si="8"/>
        <v>10</v>
      </c>
      <c r="P14" s="5" t="str">
        <f t="shared" ca="1" si="1"/>
        <v>Rick Worthington</v>
      </c>
      <c r="Q14" s="7">
        <f t="shared" ca="1" si="2"/>
        <v>0</v>
      </c>
      <c r="R14" s="5">
        <f t="shared" ca="1" si="3"/>
        <v>4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MATCH(A15,Batting!$A$5:$A$60,0)</f>
        <v>#N/A</v>
      </c>
      <c r="F15" s="9">
        <f ca="1">IF(NOT(ISNA(E15)),OFFSET(Batting!$B$4,E15,$C$1,1,1),0)</f>
        <v>0</v>
      </c>
      <c r="G15" s="9" t="e">
        <f ca="1">MATCH(A15,Bowling!$A$5:$A$40,0)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0</v>
      </c>
      <c r="R15" s="5">
        <f t="shared" ca="1" si="3"/>
        <v>9</v>
      </c>
      <c r="S15" s="5">
        <f ca="1">SUM(R5:R15)</f>
        <v>47</v>
      </c>
      <c r="T15" s="104">
        <f t="array" aca="1" ref="T15" ca="1">SUM(Q5:Q15*R5:R15)</f>
        <v>895.04099999999994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576.375</v>
      </c>
      <c r="D16" s="9">
        <f ca="1">IF(NOT(ISNA(E16)),5*OFFSET(Batting!$CF$4,E16,0,1,1),0)</f>
        <v>50</v>
      </c>
      <c r="E16" s="9">
        <f ca="1">MATCH(A16,Batting!$A$5:$A$60,0)</f>
        <v>32</v>
      </c>
      <c r="F16" s="9">
        <f ca="1">IF(NOT(ISNA(E16)),OFFSET(Batting!$B$4,E16,$C$1,1,1),0)</f>
        <v>52.375</v>
      </c>
      <c r="G16" s="9">
        <f ca="1">MATCH(A16,Bowling!$A$5:$A$40,0)</f>
        <v>21</v>
      </c>
      <c r="H16" s="9">
        <f ca="1">IF(NOT(ISNA(G16)),OFFSET(Bowling!$CO$4,G16,0,1,1),0)</f>
        <v>20</v>
      </c>
      <c r="I16" s="9">
        <f ca="1">IF(NOT(ISNA(E16)),OFFSET(Batting!$B$4,E16,$C$1+1,1,1),0)</f>
        <v>454</v>
      </c>
      <c r="J16" s="9">
        <f ca="1">VLOOKUP(A16,'Fantasy Teams'!$A$45:$C$87,3,FALSE)</f>
        <v>3</v>
      </c>
      <c r="K16" s="10">
        <f t="shared" ca="1" si="4"/>
        <v>192.125</v>
      </c>
      <c r="L16" s="5">
        <f t="shared" ca="1" si="5"/>
        <v>192.12515999999999</v>
      </c>
      <c r="M16" s="5">
        <f t="shared" ca="1" si="6"/>
        <v>1</v>
      </c>
      <c r="N16" s="5">
        <f t="shared" ca="1" si="7"/>
        <v>28</v>
      </c>
      <c r="O16" s="5">
        <f t="shared" si="8"/>
        <v>12</v>
      </c>
      <c r="P16" s="5" t="str">
        <f t="shared" ca="1" si="1"/>
        <v>Naimish Patel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MATCH(A17,Batting!$A$5:$A$60,0)</f>
        <v>#N/A</v>
      </c>
      <c r="F17" s="9">
        <f ca="1">IF(NOT(ISNA(E17)),OFFSET(Batting!$B$4,E17,$C$1,1,1),0)</f>
        <v>0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27</v>
      </c>
      <c r="O17" s="5">
        <f t="shared" si="8"/>
        <v>13</v>
      </c>
      <c r="P17" s="5" t="str">
        <f t="shared" ca="1" si="1"/>
        <v>Mike Woodhouse</v>
      </c>
      <c r="Q17" s="7">
        <f t="shared" ca="1" si="2"/>
        <v>0</v>
      </c>
      <c r="R17" s="5">
        <f t="shared" ca="1" si="3"/>
        <v>5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MATCH(A18,Batting!$A$5:$A$60,0)</f>
        <v>#N/A</v>
      </c>
      <c r="F18" s="9">
        <f ca="1">IF(NOT(ISNA(E18)),OFFSET(Batting!$B$4,E18,$C$1,1,1),0)</f>
        <v>0</v>
      </c>
      <c r="G18" s="9" t="e">
        <f ca="1">MATCH(A18,Bowling!$A$5:$A$40,0)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MATCH(A19,Batting!$A$5:$A$60,0)</f>
        <v>#N/A</v>
      </c>
      <c r="F19" s="9">
        <f ca="1">IF(NOT(ISNA(E19)),OFFSET(Batting!$B$4,E19,$C$1,1,1),0)</f>
        <v>0</v>
      </c>
      <c r="G19" s="9" t="e">
        <f ca="1">MATCH(A19,Bowling!$A$5:$A$40,0)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MATCH(A20,Batting!$A$5:$A$60,0)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MATCH(A21,Batting!$A$5:$A$60,0)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MATCH(A22,Batting!$A$5:$A$60,0)</f>
        <v>#N/A</v>
      </c>
      <c r="F22" s="9">
        <f ca="1">IF(NOT(ISNA(E22)),OFFSET(Batting!$B$4,E22,$C$1,1,1),0)</f>
        <v>0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MATCH(A23,Batting!$A$5:$A$60,0)</f>
        <v>#N/A</v>
      </c>
      <c r="F23" s="9">
        <f ca="1">IF(NOT(ISNA(E23)),OFFSET(Batting!$B$4,E23,$C$1,1,1),0)</f>
        <v>0</v>
      </c>
      <c r="G23" s="9" t="e">
        <f ca="1">MATCH(A23,Bowling!$A$5:$A$40,0)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MATCH(A24,Batting!$A$5:$A$60,0)</f>
        <v>#N/A</v>
      </c>
      <c r="F24" s="9">
        <f ca="1">IF(NOT(ISNA(E24)),OFFSET(Batting!$B$4,E24,$C$1,1,1),0)</f>
        <v>0</v>
      </c>
      <c r="G24" s="9" t="e">
        <f ca="1">MATCH(A24,Bowling!$A$5:$A$40,0)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MATCH(A25,Batting!$A$5:$A$60,0)</f>
        <v>#N/A</v>
      </c>
      <c r="F25" s="9">
        <f ca="1">IF(NOT(ISNA(E25)),OFFSET(Batting!$B$4,E25,$C$1,1,1),0)</f>
        <v>0</v>
      </c>
      <c r="G25" s="9" t="e">
        <f ca="1">MATCH(A25,Bowling!$A$5:$A$40,0)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MATCH(A26,Batting!$A$5:$A$60,0)</f>
        <v>#N/A</v>
      </c>
      <c r="F26" s="9">
        <f ca="1">IF(NOT(ISNA(E26)),OFFSET(Batting!$B$4,E26,$C$1,1,1),0)</f>
        <v>0</v>
      </c>
      <c r="G26" s="9" t="e">
        <f ca="1">MATCH(A26,Bowling!$A$5:$A$40,0)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MATCH(A27,Batting!$A$5:$A$60,0)</f>
        <v>#N/A</v>
      </c>
      <c r="F27" s="9">
        <f ca="1">IF(NOT(ISNA(E27)),OFFSET(Batting!$B$4,E27,$C$1,1,1),0)</f>
        <v>0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MATCH(A28,Batting!$A$5:$A$60,0)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168</v>
      </c>
      <c r="D29" s="9">
        <f ca="1">IF(NOT(ISNA(E29)),5*OFFSET(Batting!$CF$4,E29,0,1,1),0)</f>
        <v>85</v>
      </c>
      <c r="E29" s="9">
        <f ca="1">MATCH(A29,Batting!$A$5:$A$60,0)</f>
        <v>3</v>
      </c>
      <c r="F29" s="9">
        <f ca="1">IF(NOT(ISNA(E29)),OFFSET(Batting!$B$4,E29,$C$1,1,1),0)</f>
        <v>4</v>
      </c>
      <c r="G29" s="9">
        <f ca="1">MATCH(A29,Bowling!$A$5:$A$40,0)</f>
        <v>2</v>
      </c>
      <c r="H29" s="9">
        <f ca="1">IF(NOT(ISNA(G29)),OFFSET(Bowling!$CO$4,G29,0,1,1),0)</f>
        <v>73</v>
      </c>
      <c r="I29" s="9">
        <f ca="1">IF(NOT(ISNA(E29)),OFFSET(Batting!$B$4,E29,$C$1+1,1,1),0)</f>
        <v>6</v>
      </c>
      <c r="J29" s="9">
        <f ca="1">VLOOKUP(A29,'Fantasy Teams'!$A$45:$C$87,3,FALSE)</f>
        <v>3</v>
      </c>
      <c r="K29" s="10">
        <f t="shared" ca="1" si="4"/>
        <v>56</v>
      </c>
      <c r="L29" s="5">
        <f t="shared" ca="1" si="5"/>
        <v>56.00029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MATCH(A30,Batting!$A$5:$A$60,0)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MATCH(A31,Batting!$A$5:$A$60,0)</f>
        <v>#N/A</v>
      </c>
      <c r="F31" s="9">
        <f ca="1">IF(NOT(ISNA(E31)),OFFSET(Batting!$B$4,E31,$C$1,1,1),0)</f>
        <v>0</v>
      </c>
      <c r="G31" s="9" t="e">
        <f ca="1">MATCH(A31,Bowling!$A$5:$A$40,0)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13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MATCH(A32,Batting!$A$5:$A$60,0)</f>
        <v>#N/A</v>
      </c>
      <c r="F32" s="9">
        <f ca="1">IF(NOT(ISNA(E32)),OFFSET(Batting!$B$4,E32,$C$1,1,1),0)</f>
        <v>0</v>
      </c>
      <c r="G32" s="9" t="e">
        <f ca="1">MATCH(A32,Bowling!$A$5:$A$40,0)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12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MATCH(A33,Batting!$A$5:$A$60,0)</f>
        <v>#N/A</v>
      </c>
      <c r="F33" s="9">
        <f ca="1">IF(NOT(ISNA(E33)),OFFSET(Batting!$B$4,E33,$C$1,1,1),0)</f>
        <v>0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11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MATCH(A34,Batting!$A$5:$A$60,0)</f>
        <v>#N/A</v>
      </c>
      <c r="F34" s="9">
        <f ca="1">IF(NOT(ISNA(E34)),OFFSET(Batting!$B$4,E34,$C$1,1,1),0)</f>
        <v>0</v>
      </c>
      <c r="G34" s="9" t="e">
        <f ca="1">MATCH(A34,Bowling!$A$5:$A$40,0)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10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MATCH(A35,Batting!$A$5:$A$60,0)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9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MATCH(A36,Batting!$A$5:$A$60,0)</f>
        <v>#N/A</v>
      </c>
      <c r="F36" s="9">
        <f ca="1">IF(NOT(ISNA(E36)),OFFSET(Batting!$B$4,E36,$C$1,1,1),0)</f>
        <v>0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8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MATCH(A37,Batting!$A$5:$A$60,0)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7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MATCH(A38,Batting!$A$5:$A$60,0)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6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MATCH(A39,Batting!$A$5:$A$60,0)</f>
        <v>#N/A</v>
      </c>
      <c r="F39" s="9">
        <f ca="1">IF(NOT(ISNA(E39)),OFFSET(Batting!$B$4,E39,$C$1,1,1),0)</f>
        <v>0</v>
      </c>
      <c r="G39" s="9" t="e">
        <f ca="1">MATCH(A39,Bowling!$A$5:$A$40,0)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5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MATCH(A40,Batting!$A$5:$A$60,0)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MATCH(A41,Batting!$A$5:$A$60,0)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MATCH(A42,Batting!$A$5:$A$60,0)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MATCH(A43,Batting!$A$5:$A$60,0)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MATCH(A44,Batting!$A$5:$A$60,0)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MATCH(A45,Batting!$A$5:$A$60,0)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MATCH(A46,Batting!$A$5:$A$60,0)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150.66666666666669</v>
      </c>
      <c r="C8" s="18">
        <f ca="1">FantasyPts!D11</f>
        <v>60</v>
      </c>
      <c r="D8" s="18">
        <f ca="1">FantasyPts!F11</f>
        <v>13.666666666666666</v>
      </c>
      <c r="E8" s="18">
        <f ca="1">FantasyPts!H11</f>
        <v>0</v>
      </c>
      <c r="F8" s="18">
        <f ca="1">FantasyPts!I11</f>
        <v>77</v>
      </c>
      <c r="G8" s="18">
        <f ca="1">FantasyPts!J11</f>
        <v>2</v>
      </c>
      <c r="H8" s="19">
        <f ca="1">FantasyPts!K11</f>
        <v>75.332999999999998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576.375</v>
      </c>
      <c r="C13" s="18">
        <f ca="1">FantasyPts!D16</f>
        <v>50</v>
      </c>
      <c r="D13" s="18">
        <f ca="1">FantasyPts!F16</f>
        <v>52.375</v>
      </c>
      <c r="E13" s="18">
        <f ca="1">FantasyPts!H16</f>
        <v>20</v>
      </c>
      <c r="F13" s="18">
        <f ca="1">FantasyPts!I16</f>
        <v>454</v>
      </c>
      <c r="G13" s="18">
        <f ca="1">FantasyPts!J16</f>
        <v>3</v>
      </c>
      <c r="H13" s="19">
        <f ca="1">FantasyPts!K16</f>
        <v>192.125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168</v>
      </c>
      <c r="C26" s="18">
        <f ca="1">FantasyPts!D29</f>
        <v>85</v>
      </c>
      <c r="D26" s="18">
        <f ca="1">FantasyPts!F29</f>
        <v>4</v>
      </c>
      <c r="E26" s="18">
        <f ca="1">FantasyPts!H29</f>
        <v>73</v>
      </c>
      <c r="F26" s="18">
        <f ca="1">FantasyPts!I29</f>
        <v>6</v>
      </c>
      <c r="G26" s="18">
        <f ca="1">FantasyPts!J29</f>
        <v>3</v>
      </c>
      <c r="H26" s="19">
        <f ca="1">FantasyPts!K29</f>
        <v>56</v>
      </c>
      <c r="I26" s="16">
        <f t="shared" ca="1" si="0"/>
        <v>2</v>
      </c>
      <c r="J26" s="105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193</v>
      </c>
    </row>
    <row r="2" spans="1:27" x14ac:dyDescent="0.25">
      <c r="A2" s="78"/>
    </row>
    <row r="3" spans="1:27" ht="15" x14ac:dyDescent="0.3">
      <c r="A3" s="11" t="s">
        <v>189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57"/>
  <sheetViews>
    <sheetView topLeftCell="K1" workbookViewId="0">
      <selection activeCell="U24" sqref="U24:Z2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6" bestFit="1" customWidth="1"/>
    <col min="11" max="11" width="10.42578125" style="177" bestFit="1" customWidth="1"/>
    <col min="12" max="16384" width="9.140625" style="103"/>
  </cols>
  <sheetData>
    <row r="1" spans="1:23" x14ac:dyDescent="0.15">
      <c r="A1" s="103" t="s">
        <v>14</v>
      </c>
      <c r="B1" s="103" t="s">
        <v>80</v>
      </c>
      <c r="C1" s="103" t="s">
        <v>222</v>
      </c>
      <c r="D1" s="103" t="s">
        <v>223</v>
      </c>
      <c r="E1" s="103" t="s">
        <v>224</v>
      </c>
      <c r="F1" s="103" t="s">
        <v>225</v>
      </c>
      <c r="G1" s="103" t="s">
        <v>226</v>
      </c>
      <c r="H1" s="103" t="s">
        <v>227</v>
      </c>
      <c r="I1" s="103" t="s">
        <v>225</v>
      </c>
      <c r="J1" s="176" t="s">
        <v>1</v>
      </c>
      <c r="K1" s="177" t="s">
        <v>0</v>
      </c>
      <c r="L1" s="103" t="s">
        <v>290</v>
      </c>
      <c r="O1" s="103" t="s">
        <v>14</v>
      </c>
      <c r="P1" s="103" t="s">
        <v>80</v>
      </c>
      <c r="Q1" s="103" t="s">
        <v>222</v>
      </c>
      <c r="R1" s="103" t="s">
        <v>223</v>
      </c>
      <c r="S1" s="103" t="s">
        <v>224</v>
      </c>
      <c r="T1" s="103" t="s">
        <v>225</v>
      </c>
      <c r="U1" s="103" t="s">
        <v>226</v>
      </c>
      <c r="V1" s="103" t="s">
        <v>227</v>
      </c>
      <c r="W1" s="103" t="s">
        <v>225</v>
      </c>
    </row>
    <row r="2" spans="1:23" x14ac:dyDescent="0.15">
      <c r="A2" s="103">
        <v>3</v>
      </c>
      <c r="B2" s="103">
        <v>77</v>
      </c>
      <c r="D2" s="103" t="s">
        <v>242</v>
      </c>
      <c r="E2" s="103">
        <v>73</v>
      </c>
      <c r="G2" s="103" t="s">
        <v>214</v>
      </c>
      <c r="H2" s="103">
        <v>27</v>
      </c>
      <c r="J2" s="176" t="str">
        <f ca="1">OFFSET(Matches!$C$4,Partnerships!L2,0)</f>
        <v>Deando Ruxley</v>
      </c>
      <c r="K2" s="177">
        <f ca="1">OFFSET(Matches!$B$4,Partnerships!L2,0)</f>
        <v>42120</v>
      </c>
      <c r="L2" s="103">
        <v>1</v>
      </c>
      <c r="N2"/>
      <c r="O2" s="103">
        <v>1</v>
      </c>
      <c r="P2" s="103">
        <v>121</v>
      </c>
      <c r="R2" s="103" t="s">
        <v>207</v>
      </c>
      <c r="S2" s="103">
        <v>35</v>
      </c>
      <c r="U2" s="103" t="s">
        <v>143</v>
      </c>
      <c r="V2" s="103">
        <v>73</v>
      </c>
    </row>
    <row r="3" spans="1:23" x14ac:dyDescent="0.15">
      <c r="A3" s="103">
        <v>4</v>
      </c>
      <c r="B3" s="103">
        <v>136</v>
      </c>
      <c r="C3" s="103" t="s">
        <v>244</v>
      </c>
      <c r="D3" s="103" t="s">
        <v>214</v>
      </c>
      <c r="E3" s="103">
        <v>77</v>
      </c>
      <c r="F3" s="103" t="s">
        <v>244</v>
      </c>
      <c r="G3" s="103" t="s">
        <v>250</v>
      </c>
      <c r="H3" s="103">
        <v>67</v>
      </c>
      <c r="I3" s="103" t="s">
        <v>244</v>
      </c>
      <c r="J3" s="176" t="str">
        <f ca="1">OFFSET(Matches!$C$4,Partnerships!L3,0)</f>
        <v>Woodgreen</v>
      </c>
      <c r="K3" s="177">
        <f ca="1">OFFSET(Matches!$B$4,Partnerships!L3,0)</f>
        <v>42127</v>
      </c>
      <c r="L3" s="103">
        <v>2</v>
      </c>
      <c r="N3"/>
      <c r="O3" s="103">
        <v>1</v>
      </c>
      <c r="P3" s="103">
        <v>99</v>
      </c>
      <c r="R3" s="103" t="s">
        <v>207</v>
      </c>
      <c r="S3" s="103">
        <v>17</v>
      </c>
      <c r="U3" s="103" t="s">
        <v>242</v>
      </c>
      <c r="V3" s="103">
        <v>93</v>
      </c>
    </row>
    <row r="4" spans="1:23" x14ac:dyDescent="0.15">
      <c r="A4" s="103">
        <v>1</v>
      </c>
      <c r="B4" s="103">
        <v>99</v>
      </c>
      <c r="D4" s="103" t="s">
        <v>207</v>
      </c>
      <c r="E4" s="103">
        <v>17</v>
      </c>
      <c r="G4" s="103" t="s">
        <v>242</v>
      </c>
      <c r="H4" s="103">
        <v>93</v>
      </c>
      <c r="J4" s="176" t="str">
        <f ca="1">OFFSET(Matches!$C$4,Partnerships!L4,0)</f>
        <v>Churchleigh</v>
      </c>
      <c r="K4" s="177">
        <f ca="1">OFFSET(Matches!$B$4,Partnerships!L4,0)</f>
        <v>42141</v>
      </c>
      <c r="L4" s="103">
        <v>4</v>
      </c>
      <c r="N4"/>
      <c r="O4" s="103">
        <v>2</v>
      </c>
      <c r="P4" s="103">
        <v>117</v>
      </c>
      <c r="R4" s="103" t="s">
        <v>311</v>
      </c>
      <c r="S4" s="103">
        <v>43</v>
      </c>
      <c r="U4" s="103" t="s">
        <v>242</v>
      </c>
      <c r="V4" s="103">
        <v>80</v>
      </c>
    </row>
    <row r="5" spans="1:23" x14ac:dyDescent="0.15">
      <c r="A5" s="103">
        <v>2</v>
      </c>
      <c r="B5" s="103">
        <v>65</v>
      </c>
      <c r="D5" s="103" t="s">
        <v>243</v>
      </c>
      <c r="E5" s="103">
        <v>22</v>
      </c>
      <c r="G5" s="103" t="s">
        <v>214</v>
      </c>
      <c r="H5" s="103">
        <v>41</v>
      </c>
      <c r="J5" s="176" t="str">
        <f ca="1">OFFSET(Matches!$C$4,Partnerships!L5,0)</f>
        <v>Steeple Langford</v>
      </c>
      <c r="K5" s="177">
        <f ca="1">OFFSET(Matches!$B$4,Partnerships!L5,0)</f>
        <v>42149</v>
      </c>
      <c r="L5" s="103">
        <v>7</v>
      </c>
      <c r="N5"/>
      <c r="O5" s="103">
        <v>2</v>
      </c>
      <c r="P5" s="103">
        <v>81</v>
      </c>
      <c r="R5" s="103" t="s">
        <v>143</v>
      </c>
      <c r="S5" s="103">
        <v>65</v>
      </c>
      <c r="U5" s="103" t="s">
        <v>311</v>
      </c>
      <c r="V5" s="103">
        <v>51</v>
      </c>
    </row>
    <row r="6" spans="1:23" x14ac:dyDescent="0.15">
      <c r="A6" s="103">
        <v>3</v>
      </c>
      <c r="B6" s="103">
        <v>59</v>
      </c>
      <c r="D6" s="103" t="s">
        <v>214</v>
      </c>
      <c r="E6" s="103">
        <v>41</v>
      </c>
      <c r="G6" s="103" t="s">
        <v>311</v>
      </c>
      <c r="H6" s="103">
        <v>46</v>
      </c>
      <c r="I6" s="103" t="s">
        <v>244</v>
      </c>
      <c r="J6" s="176" t="str">
        <f ca="1">OFFSET(Matches!$C$4,Partnerships!L6,0)</f>
        <v>Steeple Langford</v>
      </c>
      <c r="K6" s="177">
        <f ca="1">OFFSET(Matches!$B$4,Partnerships!L6,0)</f>
        <v>42149</v>
      </c>
      <c r="L6" s="103">
        <v>7</v>
      </c>
      <c r="N6"/>
      <c r="O6" s="103">
        <v>2</v>
      </c>
      <c r="P6" s="103">
        <v>65</v>
      </c>
      <c r="R6" s="103" t="s">
        <v>243</v>
      </c>
      <c r="S6" s="103">
        <v>22</v>
      </c>
      <c r="U6" s="103" t="s">
        <v>214</v>
      </c>
      <c r="V6" s="103">
        <v>41</v>
      </c>
    </row>
    <row r="7" spans="1:23" x14ac:dyDescent="0.15">
      <c r="A7" s="103">
        <v>3</v>
      </c>
      <c r="B7" s="103">
        <v>68</v>
      </c>
      <c r="D7" s="103" t="s">
        <v>143</v>
      </c>
      <c r="E7" s="103">
        <v>109</v>
      </c>
      <c r="F7" s="103" t="s">
        <v>244</v>
      </c>
      <c r="G7" s="103" t="s">
        <v>311</v>
      </c>
      <c r="H7" s="103">
        <v>31</v>
      </c>
      <c r="J7" s="176" t="str">
        <f ca="1">OFFSET(Matches!$C$4,Partnerships!L7,0)</f>
        <v>Norwood Exiles</v>
      </c>
      <c r="K7" s="177">
        <f ca="1">OFFSET(Matches!$B$4,Partnerships!L7,0)</f>
        <v>42155</v>
      </c>
      <c r="L7" s="103">
        <v>8</v>
      </c>
      <c r="N7"/>
      <c r="O7" s="103">
        <v>2</v>
      </c>
      <c r="P7" s="103">
        <v>65</v>
      </c>
      <c r="R7" s="103" t="s">
        <v>207</v>
      </c>
      <c r="S7" s="103">
        <v>44</v>
      </c>
      <c r="U7" s="103" t="s">
        <v>311</v>
      </c>
      <c r="V7" s="103">
        <v>22</v>
      </c>
    </row>
    <row r="8" spans="1:23" x14ac:dyDescent="0.15">
      <c r="A8" s="103">
        <v>5</v>
      </c>
      <c r="B8" s="103">
        <v>81</v>
      </c>
      <c r="C8" s="103" t="s">
        <v>244</v>
      </c>
      <c r="D8" s="103" t="s">
        <v>143</v>
      </c>
      <c r="E8" s="103">
        <v>109</v>
      </c>
      <c r="F8" s="103" t="s">
        <v>244</v>
      </c>
      <c r="G8" s="103" t="s">
        <v>343</v>
      </c>
      <c r="H8" s="103">
        <v>22</v>
      </c>
      <c r="I8" s="103" t="s">
        <v>244</v>
      </c>
      <c r="J8" s="176" t="str">
        <f ca="1">OFFSET(Matches!$C$4,Partnerships!L8,0)</f>
        <v>Norwood Exiles</v>
      </c>
      <c r="K8" s="177">
        <f ca="1">OFFSET(Matches!$B$4,Partnerships!L8,0)</f>
        <v>42155</v>
      </c>
      <c r="L8" s="103">
        <v>8</v>
      </c>
      <c r="N8"/>
      <c r="O8" s="103">
        <v>3</v>
      </c>
      <c r="P8" s="103">
        <v>94</v>
      </c>
      <c r="R8" s="103" t="s">
        <v>207</v>
      </c>
      <c r="S8" s="103">
        <v>44</v>
      </c>
      <c r="U8" s="103" t="s">
        <v>242</v>
      </c>
      <c r="V8" s="103">
        <v>52</v>
      </c>
    </row>
    <row r="9" spans="1:23" x14ac:dyDescent="0.15">
      <c r="A9" s="103">
        <v>2</v>
      </c>
      <c r="B9" s="103">
        <v>81</v>
      </c>
      <c r="D9" s="103" t="s">
        <v>143</v>
      </c>
      <c r="E9" s="103">
        <v>65</v>
      </c>
      <c r="G9" s="103" t="s">
        <v>311</v>
      </c>
      <c r="H9" s="103">
        <v>51</v>
      </c>
      <c r="J9" s="176" t="str">
        <f ca="1">OFFSET(Matches!$C$4,Partnerships!L9,0)</f>
        <v>Norwood</v>
      </c>
      <c r="K9" s="177">
        <f ca="1">OFFSET(Matches!$B$4,Partnerships!L9,0)</f>
        <v>42169</v>
      </c>
      <c r="L9" s="103">
        <v>10</v>
      </c>
      <c r="N9"/>
      <c r="O9" s="103">
        <v>3</v>
      </c>
      <c r="P9" s="103">
        <v>77</v>
      </c>
      <c r="R9" s="103" t="s">
        <v>242</v>
      </c>
      <c r="S9" s="103">
        <v>73</v>
      </c>
      <c r="U9" s="103" t="s">
        <v>214</v>
      </c>
      <c r="V9" s="103">
        <v>27</v>
      </c>
    </row>
    <row r="10" spans="1:23" x14ac:dyDescent="0.15">
      <c r="A10" s="103">
        <v>4</v>
      </c>
      <c r="B10" s="103">
        <v>50</v>
      </c>
      <c r="D10" s="103" t="s">
        <v>143</v>
      </c>
      <c r="E10" s="103">
        <v>65</v>
      </c>
      <c r="G10" s="103" t="s">
        <v>207</v>
      </c>
      <c r="H10" s="103">
        <v>32</v>
      </c>
      <c r="I10" s="103" t="s">
        <v>244</v>
      </c>
      <c r="J10" s="176" t="str">
        <f ca="1">OFFSET(Matches!$C$4,Partnerships!L10,0)</f>
        <v>Norwood</v>
      </c>
      <c r="K10" s="177">
        <f ca="1">OFFSET(Matches!$B$4,Partnerships!L10,0)</f>
        <v>42169</v>
      </c>
      <c r="L10" s="103">
        <v>10</v>
      </c>
      <c r="N10"/>
      <c r="O10" s="103">
        <v>3</v>
      </c>
      <c r="P10" s="103">
        <v>68</v>
      </c>
      <c r="R10" s="103" t="s">
        <v>143</v>
      </c>
      <c r="S10" s="103">
        <v>109</v>
      </c>
      <c r="T10" s="103" t="s">
        <v>244</v>
      </c>
      <c r="U10" s="103" t="s">
        <v>311</v>
      </c>
      <c r="V10" s="103">
        <v>31</v>
      </c>
    </row>
    <row r="11" spans="1:23" x14ac:dyDescent="0.15">
      <c r="A11" s="103">
        <v>5</v>
      </c>
      <c r="B11" s="103">
        <v>55</v>
      </c>
      <c r="D11" s="103" t="s">
        <v>278</v>
      </c>
      <c r="E11" s="103">
        <v>18</v>
      </c>
      <c r="G11" s="103" t="s">
        <v>311</v>
      </c>
      <c r="H11" s="103">
        <v>49</v>
      </c>
      <c r="J11" s="176" t="str">
        <f ca="1">OFFSET(Matches!$C$4,Partnerships!L11,0)</f>
        <v>Woldingham Village</v>
      </c>
      <c r="K11" s="177">
        <f ca="1">OFFSET(Matches!$B$4,Partnerships!L11,0)</f>
        <v>42176</v>
      </c>
      <c r="L11" s="103">
        <v>11</v>
      </c>
      <c r="N11"/>
      <c r="O11" s="103">
        <v>3</v>
      </c>
      <c r="P11" s="103">
        <v>68</v>
      </c>
      <c r="R11" s="103" t="s">
        <v>530</v>
      </c>
      <c r="S11" s="103">
        <v>66</v>
      </c>
      <c r="U11" s="103" t="s">
        <v>311</v>
      </c>
      <c r="V11" s="103">
        <v>42</v>
      </c>
    </row>
    <row r="12" spans="1:23" x14ac:dyDescent="0.15">
      <c r="A12" s="103">
        <v>2</v>
      </c>
      <c r="B12" s="103">
        <v>117</v>
      </c>
      <c r="D12" s="103" t="s">
        <v>311</v>
      </c>
      <c r="E12" s="103">
        <v>43</v>
      </c>
      <c r="G12" s="103" t="s">
        <v>242</v>
      </c>
      <c r="H12" s="103">
        <v>80</v>
      </c>
      <c r="J12" s="176" t="str">
        <f ca="1">OFFSET(Matches!$C$4,Partnerships!L12,0)</f>
        <v>RACS</v>
      </c>
      <c r="K12" s="177">
        <f ca="1">OFFSET(Matches!$B$4,Partnerships!L12,0)</f>
        <v>42183</v>
      </c>
      <c r="L12" s="103">
        <v>12</v>
      </c>
      <c r="N12"/>
      <c r="O12" s="103">
        <v>3</v>
      </c>
      <c r="P12" s="103">
        <v>66</v>
      </c>
      <c r="Q12" s="103" t="s">
        <v>244</v>
      </c>
      <c r="R12" s="103" t="s">
        <v>214</v>
      </c>
      <c r="S12" s="103">
        <v>43</v>
      </c>
      <c r="T12" s="103" t="s">
        <v>244</v>
      </c>
      <c r="U12" s="103" t="s">
        <v>242</v>
      </c>
      <c r="V12" s="103">
        <v>18</v>
      </c>
      <c r="W12" s="103" t="s">
        <v>244</v>
      </c>
    </row>
    <row r="13" spans="1:23" x14ac:dyDescent="0.15">
      <c r="A13" s="103">
        <v>2</v>
      </c>
      <c r="B13" s="103">
        <v>65</v>
      </c>
      <c r="D13" s="103" t="s">
        <v>207</v>
      </c>
      <c r="E13" s="103">
        <v>44</v>
      </c>
      <c r="G13" s="103" t="s">
        <v>311</v>
      </c>
      <c r="H13" s="103">
        <v>22</v>
      </c>
      <c r="J13" s="176" t="str">
        <f ca="1">OFFSET(Matches!$C$4,Partnerships!L13,0)</f>
        <v>Headstone</v>
      </c>
      <c r="K13" s="177">
        <f ca="1">OFFSET(Matches!$B$4,Partnerships!L13,0)</f>
        <v>42197</v>
      </c>
      <c r="L13" s="103">
        <v>14</v>
      </c>
      <c r="N13"/>
      <c r="O13" s="103">
        <v>3</v>
      </c>
      <c r="P13" s="103">
        <v>59</v>
      </c>
      <c r="R13" s="103" t="s">
        <v>214</v>
      </c>
      <c r="S13" s="103">
        <v>41</v>
      </c>
      <c r="U13" s="103" t="s">
        <v>311</v>
      </c>
      <c r="V13" s="103">
        <v>46</v>
      </c>
      <c r="W13" s="103" t="s">
        <v>244</v>
      </c>
    </row>
    <row r="14" spans="1:23" x14ac:dyDescent="0.15">
      <c r="A14" s="103">
        <v>3</v>
      </c>
      <c r="B14" s="103">
        <v>94</v>
      </c>
      <c r="D14" s="103" t="s">
        <v>207</v>
      </c>
      <c r="E14" s="103">
        <v>44</v>
      </c>
      <c r="G14" s="103" t="s">
        <v>242</v>
      </c>
      <c r="H14" s="103">
        <v>52</v>
      </c>
      <c r="J14" s="176" t="str">
        <f ca="1">OFFSET(Matches!$C$4,Partnerships!L14,0)</f>
        <v>Headstone</v>
      </c>
      <c r="K14" s="177">
        <f ca="1">OFFSET(Matches!$B$4,Partnerships!L14,0)</f>
        <v>42197</v>
      </c>
      <c r="L14" s="103">
        <v>14</v>
      </c>
      <c r="N14"/>
      <c r="O14" s="103">
        <v>4</v>
      </c>
      <c r="P14" s="103">
        <v>136</v>
      </c>
      <c r="Q14" s="103" t="s">
        <v>244</v>
      </c>
      <c r="R14" s="103" t="s">
        <v>214</v>
      </c>
      <c r="S14" s="103">
        <v>77</v>
      </c>
      <c r="T14" s="103" t="s">
        <v>244</v>
      </c>
      <c r="U14" s="103" t="s">
        <v>250</v>
      </c>
      <c r="V14" s="103">
        <v>67</v>
      </c>
      <c r="W14" s="103" t="s">
        <v>244</v>
      </c>
    </row>
    <row r="15" spans="1:23" x14ac:dyDescent="0.15">
      <c r="A15" s="103">
        <v>4</v>
      </c>
      <c r="B15" s="103">
        <v>75</v>
      </c>
      <c r="D15" s="103" t="s">
        <v>143</v>
      </c>
      <c r="E15" s="103">
        <v>93</v>
      </c>
      <c r="G15" s="103" t="s">
        <v>530</v>
      </c>
      <c r="H15" s="103">
        <v>38</v>
      </c>
      <c r="J15" s="176" t="str">
        <f ca="1">OFFSET(Matches!$C$4,Partnerships!L15,0)</f>
        <v>LESSA</v>
      </c>
      <c r="K15" s="177">
        <f ca="1">OFFSET(Matches!$B$4,Partnerships!L15,0)</f>
        <v>42204</v>
      </c>
      <c r="L15" s="103">
        <v>15</v>
      </c>
      <c r="N15"/>
      <c r="O15" s="103">
        <v>4</v>
      </c>
      <c r="P15" s="103">
        <v>75</v>
      </c>
      <c r="R15" s="103" t="s">
        <v>143</v>
      </c>
      <c r="S15" s="103">
        <v>93</v>
      </c>
      <c r="U15" s="103" t="s">
        <v>530</v>
      </c>
      <c r="V15" s="103">
        <v>38</v>
      </c>
    </row>
    <row r="16" spans="1:23" x14ac:dyDescent="0.15">
      <c r="A16" s="103">
        <v>1</v>
      </c>
      <c r="B16" s="103">
        <v>121</v>
      </c>
      <c r="D16" s="103" t="s">
        <v>207</v>
      </c>
      <c r="E16" s="103">
        <v>35</v>
      </c>
      <c r="G16" s="103" t="s">
        <v>143</v>
      </c>
      <c r="H16" s="103">
        <v>73</v>
      </c>
      <c r="J16" s="176" t="str">
        <f ca="1">OFFSET(Matches!$C$4,Partnerships!L16,0)</f>
        <v>Giltec</v>
      </c>
      <c r="K16" s="177">
        <f ca="1">OFFSET(Matches!$B$4,Partnerships!L16,0)</f>
        <v>42218</v>
      </c>
      <c r="L16" s="103">
        <v>16</v>
      </c>
      <c r="N16"/>
      <c r="O16" s="103">
        <v>4</v>
      </c>
      <c r="P16" s="103">
        <v>50</v>
      </c>
      <c r="R16" s="103" t="s">
        <v>143</v>
      </c>
      <c r="S16" s="103">
        <v>65</v>
      </c>
      <c r="U16" s="103" t="s">
        <v>207</v>
      </c>
      <c r="V16" s="103">
        <v>32</v>
      </c>
      <c r="W16" s="103" t="s">
        <v>244</v>
      </c>
    </row>
    <row r="17" spans="1:26" x14ac:dyDescent="0.15">
      <c r="A17" s="103">
        <v>6</v>
      </c>
      <c r="B17" s="103">
        <v>45</v>
      </c>
      <c r="C17" s="103" t="s">
        <v>244</v>
      </c>
      <c r="D17" s="103" t="s">
        <v>530</v>
      </c>
      <c r="E17" s="103">
        <v>31</v>
      </c>
      <c r="F17" s="103" t="s">
        <v>244</v>
      </c>
      <c r="G17" s="103" t="s">
        <v>169</v>
      </c>
      <c r="H17" s="103">
        <v>13</v>
      </c>
      <c r="I17" s="103" t="s">
        <v>244</v>
      </c>
      <c r="J17" s="176" t="str">
        <f ca="1">OFFSET(Matches!$C$4,Partnerships!L17,0)</f>
        <v>Giltec</v>
      </c>
      <c r="K17" s="177">
        <f ca="1">OFFSET(Matches!$B$4,Partnerships!L17,0)</f>
        <v>42218</v>
      </c>
      <c r="L17" s="103">
        <v>16</v>
      </c>
      <c r="N17"/>
      <c r="O17" s="103">
        <v>5</v>
      </c>
      <c r="P17" s="103">
        <v>81</v>
      </c>
      <c r="Q17" s="103" t="s">
        <v>244</v>
      </c>
      <c r="R17" s="103" t="s">
        <v>143</v>
      </c>
      <c r="S17" s="103">
        <v>109</v>
      </c>
      <c r="T17" s="103" t="s">
        <v>244</v>
      </c>
      <c r="U17" s="103" t="s">
        <v>343</v>
      </c>
      <c r="V17" s="103">
        <v>22</v>
      </c>
      <c r="W17" s="103" t="s">
        <v>244</v>
      </c>
    </row>
    <row r="18" spans="1:26" x14ac:dyDescent="0.15">
      <c r="A18" s="103">
        <v>3</v>
      </c>
      <c r="B18" s="103">
        <v>68</v>
      </c>
      <c r="D18" s="103" t="s">
        <v>530</v>
      </c>
      <c r="E18" s="103">
        <v>66</v>
      </c>
      <c r="G18" s="103" t="s">
        <v>311</v>
      </c>
      <c r="H18" s="103">
        <v>42</v>
      </c>
      <c r="J18" s="176" t="str">
        <f ca="1">OFFSET(Matches!$C$4,Partnerships!L18,0)</f>
        <v>Mid-Whitgiftian</v>
      </c>
      <c r="K18" s="177">
        <f ca="1">OFFSET(Matches!$B$4,Partnerships!L18,0)</f>
        <v>42253</v>
      </c>
      <c r="L18" s="103">
        <v>21</v>
      </c>
      <c r="N18"/>
      <c r="O18" s="103">
        <v>5</v>
      </c>
      <c r="P18" s="103">
        <v>55</v>
      </c>
      <c r="R18" s="103" t="s">
        <v>278</v>
      </c>
      <c r="S18" s="103">
        <v>18</v>
      </c>
      <c r="U18" s="103" t="s">
        <v>311</v>
      </c>
      <c r="V18" s="103">
        <v>49</v>
      </c>
    </row>
    <row r="19" spans="1:26" x14ac:dyDescent="0.15">
      <c r="A19" s="103">
        <v>3</v>
      </c>
      <c r="B19" s="103">
        <v>66</v>
      </c>
      <c r="C19" s="103" t="s">
        <v>244</v>
      </c>
      <c r="D19" s="103" t="s">
        <v>214</v>
      </c>
      <c r="E19" s="103">
        <v>43</v>
      </c>
      <c r="F19" s="103" t="s">
        <v>244</v>
      </c>
      <c r="G19" s="103" t="s">
        <v>242</v>
      </c>
      <c r="H19" s="103">
        <v>18</v>
      </c>
      <c r="I19" s="103" t="s">
        <v>244</v>
      </c>
      <c r="J19" s="176" t="str">
        <f ca="1">OFFSET(Matches!$C$4,Partnerships!L19,0)</f>
        <v>Raynes Park FP</v>
      </c>
      <c r="K19" s="177">
        <f ca="1">OFFSET(Matches!$B$4,Partnerships!L19,0)</f>
        <v>42267</v>
      </c>
      <c r="L19" s="103">
        <v>23</v>
      </c>
    </row>
    <row r="20" spans="1:26" x14ac:dyDescent="0.15">
      <c r="J20" s="176" t="str">
        <f ca="1">OFFSET(Matches!$C$4,Partnerships!L20,0)</f>
        <v>Opp</v>
      </c>
      <c r="K20" s="177" t="str">
        <f ca="1">OFFSET(Matches!$B$4,Partnerships!L20,0)</f>
        <v>Date</v>
      </c>
    </row>
    <row r="21" spans="1:26" x14ac:dyDescent="0.15">
      <c r="J21" s="176" t="str">
        <f ca="1">OFFSET(Matches!$C$4,Partnerships!L21,0)</f>
        <v>Opp</v>
      </c>
      <c r="K21" s="177" t="str">
        <f ca="1">OFFSET(Matches!$B$4,Partnerships!L21,0)</f>
        <v>Date</v>
      </c>
    </row>
    <row r="22" spans="1:26" x14ac:dyDescent="0.15">
      <c r="J22" s="176" t="str">
        <f ca="1">OFFSET(Matches!$C$4,Partnerships!L22,0)</f>
        <v>Opp</v>
      </c>
      <c r="K22" s="177" t="str">
        <f ca="1">OFFSET(Matches!$B$4,Partnerships!L22,0)</f>
        <v>Date</v>
      </c>
    </row>
    <row r="23" spans="1:26" x14ac:dyDescent="0.15">
      <c r="J23" s="176" t="str">
        <f ca="1">OFFSET(Matches!$C$4,Partnerships!L23,0)</f>
        <v>Opp</v>
      </c>
      <c r="K23" s="177" t="str">
        <f ca="1">OFFSET(Matches!$B$4,Partnerships!L23,0)</f>
        <v>Date</v>
      </c>
    </row>
    <row r="24" spans="1:26" x14ac:dyDescent="0.15">
      <c r="F24"/>
      <c r="G24"/>
      <c r="H24"/>
      <c r="I24"/>
      <c r="J24" s="176" t="str">
        <f ca="1">OFFSET(Matches!$C$4,Partnerships!L24,0)</f>
        <v>Opp</v>
      </c>
      <c r="K24" s="177" t="str">
        <f ca="1">OFFSET(Matches!$B$4,Partnerships!L24,0)</f>
        <v>Date</v>
      </c>
      <c r="R24" s="103" t="s">
        <v>243</v>
      </c>
      <c r="U24" s="103">
        <v>7</v>
      </c>
      <c r="V24" s="103" t="s">
        <v>311</v>
      </c>
      <c r="W24" s="103">
        <v>5</v>
      </c>
      <c r="X24" s="103" t="s">
        <v>242</v>
      </c>
      <c r="Y24" s="103">
        <v>1</v>
      </c>
      <c r="Z24" s="103" t="s">
        <v>343</v>
      </c>
    </row>
    <row r="25" spans="1:26" x14ac:dyDescent="0.15">
      <c r="F25"/>
      <c r="G25"/>
      <c r="H25"/>
      <c r="I25"/>
      <c r="J25" s="176" t="str">
        <f ca="1">OFFSET(Matches!$C$4,Partnerships!L25,0)</f>
        <v>Opp</v>
      </c>
      <c r="K25" s="177" t="str">
        <f ca="1">OFFSET(Matches!$B$4,Partnerships!L25,0)</f>
        <v>Date</v>
      </c>
      <c r="R25" s="103" t="s">
        <v>250</v>
      </c>
      <c r="U25" s="103">
        <v>6</v>
      </c>
      <c r="V25" s="103" t="s">
        <v>143</v>
      </c>
      <c r="W25" s="103">
        <v>2</v>
      </c>
      <c r="X25" s="103" t="s">
        <v>530</v>
      </c>
      <c r="Y25" s="103">
        <v>1</v>
      </c>
      <c r="Z25" s="103" t="s">
        <v>278</v>
      </c>
    </row>
    <row r="26" spans="1:26" x14ac:dyDescent="0.15">
      <c r="F26"/>
      <c r="G26"/>
      <c r="H26"/>
      <c r="I26"/>
      <c r="J26" s="176" t="str">
        <f ca="1">OFFSET(Matches!$C$4,Partnerships!L26,0)</f>
        <v>Opp</v>
      </c>
      <c r="K26" s="177" t="str">
        <f ca="1">OFFSET(Matches!$B$4,Partnerships!L26,0)</f>
        <v>Date</v>
      </c>
      <c r="R26" s="103" t="s">
        <v>214</v>
      </c>
      <c r="U26" s="103">
        <v>5</v>
      </c>
      <c r="V26" s="103" t="s">
        <v>214</v>
      </c>
      <c r="W26" s="103">
        <v>1</v>
      </c>
      <c r="X26" s="103" t="s">
        <v>243</v>
      </c>
    </row>
    <row r="27" spans="1:26" x14ac:dyDescent="0.15">
      <c r="F27"/>
      <c r="G27"/>
      <c r="H27"/>
      <c r="I27"/>
      <c r="J27" s="176" t="str">
        <f ca="1">OFFSET(Matches!$C$4,Partnerships!L27,0)</f>
        <v>Opp</v>
      </c>
      <c r="K27" s="177" t="str">
        <f ca="1">OFFSET(Matches!$B$4,Partnerships!L27,0)</f>
        <v>Date</v>
      </c>
      <c r="R27" s="103" t="s">
        <v>214</v>
      </c>
      <c r="U27" s="103">
        <v>5</v>
      </c>
      <c r="V27" s="103" t="s">
        <v>207</v>
      </c>
      <c r="W27" s="103">
        <v>1</v>
      </c>
      <c r="X27" s="103" t="s">
        <v>250</v>
      </c>
    </row>
    <row r="28" spans="1:26" x14ac:dyDescent="0.15">
      <c r="F28"/>
      <c r="G28"/>
      <c r="H28"/>
      <c r="I28"/>
      <c r="J28" s="176" t="str">
        <f ca="1">OFFSET(Matches!$C$4,Partnerships!L28,0)</f>
        <v>Opp</v>
      </c>
      <c r="K28" s="177" t="str">
        <f ca="1">OFFSET(Matches!$B$4,Partnerships!L28,0)</f>
        <v>Date</v>
      </c>
      <c r="R28" s="103" t="s">
        <v>214</v>
      </c>
    </row>
    <row r="29" spans="1:26" x14ac:dyDescent="0.15">
      <c r="F29"/>
      <c r="G29"/>
      <c r="H29"/>
      <c r="I29"/>
      <c r="J29" s="176" t="str">
        <f ca="1">OFFSET(Matches!$C$4,Partnerships!L29,0)</f>
        <v>Opp</v>
      </c>
      <c r="K29" s="177" t="str">
        <f ca="1">OFFSET(Matches!$B$4,Partnerships!L29,0)</f>
        <v>Date</v>
      </c>
      <c r="R29" s="103" t="s">
        <v>214</v>
      </c>
    </row>
    <row r="30" spans="1:26" x14ac:dyDescent="0.15">
      <c r="F30"/>
      <c r="G30"/>
      <c r="H30"/>
      <c r="I30"/>
      <c r="J30" s="176" t="str">
        <f ca="1">OFFSET(Matches!$C$4,Partnerships!L30,0)</f>
        <v>Opp</v>
      </c>
      <c r="K30" s="177" t="str">
        <f ca="1">OFFSET(Matches!$B$4,Partnerships!L30,0)</f>
        <v>Date</v>
      </c>
      <c r="R30" s="103" t="s">
        <v>214</v>
      </c>
    </row>
    <row r="31" spans="1:26" x14ac:dyDescent="0.15">
      <c r="F31"/>
      <c r="G31"/>
      <c r="H31"/>
      <c r="I31"/>
      <c r="J31" s="176" t="str">
        <f ca="1">OFFSET(Matches!$C$4,Partnerships!L31,0)</f>
        <v>Opp</v>
      </c>
      <c r="K31" s="177" t="str">
        <f ca="1">OFFSET(Matches!$B$4,Partnerships!L31,0)</f>
        <v>Date</v>
      </c>
      <c r="R31" s="103" t="s">
        <v>343</v>
      </c>
    </row>
    <row r="32" spans="1:26" x14ac:dyDescent="0.15">
      <c r="F32"/>
      <c r="G32"/>
      <c r="H32"/>
      <c r="I32"/>
      <c r="J32" s="176" t="str">
        <f ca="1">OFFSET(Matches!$C$4,Partnerships!L32,0)</f>
        <v>Opp</v>
      </c>
      <c r="K32" s="177" t="str">
        <f ca="1">OFFSET(Matches!$B$4,Partnerships!L32,0)</f>
        <v>Date</v>
      </c>
      <c r="R32" s="103" t="s">
        <v>207</v>
      </c>
    </row>
    <row r="33" spans="6:20" x14ac:dyDescent="0.15">
      <c r="F33"/>
      <c r="G33"/>
      <c r="H33"/>
      <c r="I33"/>
      <c r="J33" s="176" t="str">
        <f ca="1">OFFSET(Matches!$C$4,Partnerships!L33,0)</f>
        <v>Opp</v>
      </c>
      <c r="K33" s="177" t="str">
        <f ca="1">OFFSET(Matches!$B$4,Partnerships!L33,0)</f>
        <v>Date</v>
      </c>
      <c r="R33" s="103" t="s">
        <v>207</v>
      </c>
    </row>
    <row r="34" spans="6:20" x14ac:dyDescent="0.15">
      <c r="F34"/>
      <c r="G34"/>
      <c r="H34"/>
      <c r="I34"/>
      <c r="J34" s="176" t="str">
        <f ca="1">OFFSET(Matches!$C$4,Partnerships!L34,0)</f>
        <v>Opp</v>
      </c>
      <c r="K34" s="177" t="str">
        <f ca="1">OFFSET(Matches!$B$4,Partnerships!L34,0)</f>
        <v>Date</v>
      </c>
      <c r="R34" s="103" t="s">
        <v>207</v>
      </c>
      <c r="T34"/>
    </row>
    <row r="35" spans="6:20" x14ac:dyDescent="0.15">
      <c r="F35"/>
      <c r="G35"/>
      <c r="H35"/>
      <c r="I35"/>
      <c r="J35" s="176" t="str">
        <f ca="1">OFFSET(Matches!$C$4,Partnerships!L35,0)</f>
        <v>Opp</v>
      </c>
      <c r="K35" s="177" t="str">
        <f ca="1">OFFSET(Matches!$B$4,Partnerships!L35,0)</f>
        <v>Date</v>
      </c>
      <c r="R35" s="103" t="s">
        <v>207</v>
      </c>
      <c r="T35"/>
    </row>
    <row r="36" spans="6:20" x14ac:dyDescent="0.15">
      <c r="F36"/>
      <c r="G36"/>
      <c r="H36"/>
      <c r="I36"/>
      <c r="J36" s="176" t="str">
        <f ca="1">OFFSET(Matches!$C$4,Partnerships!L36,0)</f>
        <v>Opp</v>
      </c>
      <c r="K36" s="177" t="str">
        <f ca="1">OFFSET(Matches!$B$4,Partnerships!L36,0)</f>
        <v>Date</v>
      </c>
      <c r="R36" s="103" t="s">
        <v>207</v>
      </c>
      <c r="T36"/>
    </row>
    <row r="37" spans="6:20" x14ac:dyDescent="0.15">
      <c r="F37"/>
      <c r="G37"/>
      <c r="H37"/>
      <c r="I37"/>
      <c r="J37" s="176" t="str">
        <f ca="1">OFFSET(Matches!$C$4,Partnerships!L37,0)</f>
        <v>Opp</v>
      </c>
      <c r="K37" s="177" t="str">
        <f ca="1">OFFSET(Matches!$B$4,Partnerships!L37,0)</f>
        <v>Date</v>
      </c>
      <c r="R37" s="103" t="s">
        <v>278</v>
      </c>
      <c r="T37"/>
    </row>
    <row r="38" spans="6:20" x14ac:dyDescent="0.15">
      <c r="F38"/>
      <c r="G38"/>
      <c r="H38"/>
      <c r="I38"/>
      <c r="J38" s="176" t="str">
        <f ca="1">OFFSET(Matches!$C$4,Partnerships!L38,0)</f>
        <v>Opp</v>
      </c>
      <c r="K38" s="177" t="str">
        <f ca="1">OFFSET(Matches!$B$4,Partnerships!L38,0)</f>
        <v>Date</v>
      </c>
      <c r="R38" s="103" t="s">
        <v>143</v>
      </c>
      <c r="T38"/>
    </row>
    <row r="39" spans="6:20" x14ac:dyDescent="0.15">
      <c r="F39"/>
      <c r="G39"/>
      <c r="H39"/>
      <c r="I39"/>
      <c r="J39" s="176" t="str">
        <f ca="1">OFFSET(Matches!$C$4,Partnerships!L39,0)</f>
        <v>Opp</v>
      </c>
      <c r="K39" s="177" t="str">
        <f ca="1">OFFSET(Matches!$B$4,Partnerships!L39,0)</f>
        <v>Date</v>
      </c>
      <c r="R39" s="103" t="s">
        <v>143</v>
      </c>
      <c r="T39"/>
    </row>
    <row r="40" spans="6:20" x14ac:dyDescent="0.15">
      <c r="G40"/>
      <c r="H40"/>
      <c r="I40"/>
      <c r="J40" s="176" t="str">
        <f ca="1">OFFSET(Matches!$C$4,Partnerships!L40,0)</f>
        <v>Opp</v>
      </c>
      <c r="K40" s="177" t="str">
        <f ca="1">OFFSET(Matches!$B$4,Partnerships!L40,0)</f>
        <v>Date</v>
      </c>
      <c r="R40" s="103" t="s">
        <v>143</v>
      </c>
      <c r="T40"/>
    </row>
    <row r="41" spans="6:20" x14ac:dyDescent="0.15">
      <c r="G41"/>
      <c r="H41"/>
      <c r="I41"/>
      <c r="R41" s="103" t="s">
        <v>143</v>
      </c>
      <c r="T41"/>
    </row>
    <row r="42" spans="6:20" x14ac:dyDescent="0.15">
      <c r="G42"/>
      <c r="H42"/>
      <c r="I42"/>
      <c r="R42" s="103" t="s">
        <v>143</v>
      </c>
      <c r="T42"/>
    </row>
    <row r="43" spans="6:20" x14ac:dyDescent="0.15">
      <c r="G43"/>
      <c r="H43"/>
      <c r="I43"/>
      <c r="R43" s="103" t="s">
        <v>143</v>
      </c>
      <c r="T43"/>
    </row>
    <row r="44" spans="6:20" x14ac:dyDescent="0.15">
      <c r="G44"/>
      <c r="H44"/>
      <c r="I44"/>
      <c r="R44" s="103" t="s">
        <v>242</v>
      </c>
      <c r="T44"/>
    </row>
    <row r="45" spans="6:20" x14ac:dyDescent="0.15">
      <c r="R45" s="103" t="s">
        <v>242</v>
      </c>
      <c r="T45"/>
    </row>
    <row r="46" spans="6:20" x14ac:dyDescent="0.15">
      <c r="R46" s="103" t="s">
        <v>242</v>
      </c>
      <c r="T46"/>
    </row>
    <row r="47" spans="6:20" x14ac:dyDescent="0.15">
      <c r="R47" s="103" t="s">
        <v>242</v>
      </c>
      <c r="T47"/>
    </row>
    <row r="48" spans="6:20" x14ac:dyDescent="0.15">
      <c r="R48" s="103" t="s">
        <v>242</v>
      </c>
      <c r="T48"/>
    </row>
    <row r="49" spans="18:20" x14ac:dyDescent="0.15">
      <c r="R49" s="103" t="s">
        <v>311</v>
      </c>
      <c r="T49"/>
    </row>
    <row r="50" spans="18:20" x14ac:dyDescent="0.15">
      <c r="R50" s="103" t="s">
        <v>311</v>
      </c>
      <c r="T50"/>
    </row>
    <row r="51" spans="18:20" x14ac:dyDescent="0.15">
      <c r="R51" s="103" t="s">
        <v>311</v>
      </c>
      <c r="T51"/>
    </row>
    <row r="52" spans="18:20" x14ac:dyDescent="0.15">
      <c r="R52" s="103" t="s">
        <v>311</v>
      </c>
      <c r="T52"/>
    </row>
    <row r="53" spans="18:20" x14ac:dyDescent="0.15">
      <c r="R53" s="103" t="s">
        <v>311</v>
      </c>
      <c r="T53"/>
    </row>
    <row r="54" spans="18:20" x14ac:dyDescent="0.15">
      <c r="R54" s="103" t="s">
        <v>311</v>
      </c>
      <c r="T54"/>
    </row>
    <row r="55" spans="18:20" x14ac:dyDescent="0.15">
      <c r="R55" s="103" t="s">
        <v>311</v>
      </c>
      <c r="T55"/>
    </row>
    <row r="56" spans="18:20" x14ac:dyDescent="0.15">
      <c r="R56" s="103" t="s">
        <v>530</v>
      </c>
      <c r="T56"/>
    </row>
    <row r="57" spans="18:20" x14ac:dyDescent="0.15">
      <c r="R57" s="103" t="s">
        <v>530</v>
      </c>
      <c r="T57"/>
    </row>
  </sheetData>
  <sortState ref="U24:V33">
    <sortCondition descending="1" ref="U24:U33"/>
    <sortCondition ref="V24:V33"/>
  </sortState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4" bestFit="1" customWidth="1"/>
    <col min="11" max="11" width="10.42578125" bestFit="1" customWidth="1"/>
  </cols>
  <sheetData>
    <row r="1" spans="1:12" x14ac:dyDescent="0.15">
      <c r="A1" t="s">
        <v>1</v>
      </c>
      <c r="G1" t="s">
        <v>211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2023-11-24T12:35:19Z</dcterms:modified>
</cp:coreProperties>
</file>
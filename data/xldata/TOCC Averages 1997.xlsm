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110" windowHeight="12735" tabRatio="412" activeTab="2"/>
  </bookViews>
  <sheets>
    <sheet name="Matches" sheetId="1" r:id="rId1"/>
    <sheet name="Batting" sheetId="2" r:id="rId2"/>
    <sheet name="Bowling" sheetId="3" r:id="rId3"/>
    <sheet name="Fantasy Teams" sheetId="4" r:id="rId4"/>
    <sheet name="FantasyPts" sheetId="5" r:id="rId5"/>
    <sheet name="Player Stats" sheetId="6" r:id="rId6"/>
    <sheet name="League Table" sheetId="7" r:id="rId7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OversBowled">6</definedName>
    <definedName name="_xlnm.Print_Area" localSheetId="0">Matches!$A$1:$N$58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1" i="2" l="1" a="1"/>
  <c r="C1" i="2"/>
  <c r="G1" i="2"/>
  <c r="H1" i="2"/>
  <c r="K1" i="2"/>
  <c r="O1" i="2"/>
  <c r="P1" i="2"/>
  <c r="S1" i="2"/>
  <c r="W1" i="2"/>
  <c r="X1" i="2"/>
  <c r="AA1" i="2"/>
  <c r="AE1" i="2"/>
  <c r="AF1" i="2"/>
  <c r="AI1" i="2"/>
  <c r="AM1" i="2"/>
  <c r="AN1" i="2"/>
  <c r="AQ1" i="2"/>
  <c r="AU1" i="2"/>
  <c r="AV1" i="2"/>
  <c r="AY1" i="2"/>
  <c r="BC1" i="2"/>
  <c r="BD1" i="2"/>
  <c r="BG1" i="2"/>
  <c r="BK1" i="2"/>
  <c r="BL1" i="2"/>
  <c r="BO1" i="2"/>
  <c r="BS1" i="2"/>
  <c r="BT1" i="2"/>
  <c r="BW1" i="2"/>
  <c r="CA1" i="2"/>
  <c r="CB1" i="2"/>
  <c r="C2" i="2"/>
  <c r="G2" i="2"/>
  <c r="H2" i="2"/>
  <c r="K2" i="2"/>
  <c r="O2" i="2"/>
  <c r="P2" i="2"/>
  <c r="S2" i="2"/>
  <c r="W2" i="2"/>
  <c r="X2" i="2"/>
  <c r="AA2" i="2"/>
  <c r="AE2" i="2"/>
  <c r="AF2" i="2"/>
  <c r="AI2" i="2"/>
  <c r="AM2" i="2"/>
  <c r="AN2" i="2"/>
  <c r="AQ2" i="2"/>
  <c r="AU2" i="2"/>
  <c r="AV2" i="2"/>
  <c r="AY2" i="2"/>
  <c r="BC2" i="2"/>
  <c r="BD2" i="2"/>
  <c r="BG2" i="2"/>
  <c r="BK2" i="2"/>
  <c r="BL2" i="2"/>
  <c r="BO2" i="2"/>
  <c r="BS2" i="2"/>
  <c r="BT2" i="2"/>
  <c r="BW2" i="2"/>
  <c r="CA2" i="2"/>
  <c r="CB2" i="2"/>
  <c r="C3" i="2"/>
  <c r="G3" i="2"/>
  <c r="H3" i="2"/>
  <c r="K3" i="2"/>
  <c r="O3" i="2"/>
  <c r="P3" i="2"/>
  <c r="S3" i="2"/>
  <c r="W3" i="2"/>
  <c r="X3" i="2"/>
  <c r="AA3" i="2"/>
  <c r="AE3" i="2"/>
  <c r="AF3" i="2"/>
  <c r="AI3" i="2"/>
  <c r="AM3" i="2"/>
  <c r="AN3" i="2"/>
  <c r="AQ3" i="2"/>
  <c r="AU3" i="2"/>
  <c r="AV3" i="2"/>
  <c r="AY3" i="2"/>
  <c r="BC3" i="2"/>
  <c r="BD3" i="2"/>
  <c r="BG3" i="2"/>
  <c r="BK3" i="2"/>
  <c r="BL3" i="2"/>
  <c r="BO3" i="2"/>
  <c r="BS3" i="2"/>
  <c r="BT3" i="2"/>
  <c r="BW3" i="2"/>
  <c r="CA3" i="2"/>
  <c r="CB3" i="2"/>
  <c r="C4" i="2"/>
  <c r="G4" i="2"/>
  <c r="H4" i="2"/>
  <c r="K4" i="2"/>
  <c r="O4" i="2"/>
  <c r="P4" i="2"/>
  <c r="S4" i="2"/>
  <c r="W4" i="2"/>
  <c r="X4" i="2"/>
  <c r="AA4" i="2"/>
  <c r="AE4" i="2"/>
  <c r="AF4" i="2"/>
  <c r="AI4" i="2"/>
  <c r="AM4" i="2"/>
  <c r="AN4" i="2"/>
  <c r="AQ4" i="2"/>
  <c r="AU4" i="2"/>
  <c r="AV4" i="2"/>
  <c r="AY4" i="2"/>
  <c r="BC4" i="2"/>
  <c r="BD4" i="2"/>
  <c r="BG4" i="2"/>
  <c r="BK4" i="2"/>
  <c r="BL4" i="2"/>
  <c r="BO4" i="2"/>
  <c r="BS4" i="2"/>
  <c r="BT4" i="2"/>
  <c r="BW4" i="2"/>
  <c r="CA4" i="2"/>
  <c r="CB4" i="2"/>
  <c r="A5" i="2"/>
  <c r="CO5" i="2" a="1"/>
  <c r="CO5" i="2"/>
  <c r="CP5" i="2"/>
  <c r="CP5" i="2" a="1"/>
  <c r="CR5" i="2" a="1"/>
  <c r="CR5" i="2"/>
  <c r="CS5" i="2" a="1"/>
  <c r="CS5" i="2"/>
  <c r="CT5" i="2" a="1"/>
  <c r="CT5" i="2"/>
  <c r="CU5" i="2" a="1"/>
  <c r="CU5" i="2"/>
  <c r="CV5" i="2"/>
  <c r="CV5" i="2" a="1"/>
  <c r="A6" i="2"/>
  <c r="CO6" i="2" a="1"/>
  <c r="CO6" i="2"/>
  <c r="CP6" i="2"/>
  <c r="CP6" i="2" a="1"/>
  <c r="CR6" i="2"/>
  <c r="CR6" i="2" a="1"/>
  <c r="CS6" i="2" a="1"/>
  <c r="CS6" i="2"/>
  <c r="CT6" i="2"/>
  <c r="CT6" i="2" a="1"/>
  <c r="CU6" i="2" a="1"/>
  <c r="CU6" i="2"/>
  <c r="CV6" i="2"/>
  <c r="CV6" i="2" a="1"/>
  <c r="A7" i="2"/>
  <c r="CO7" i="2" a="1"/>
  <c r="CO7" i="2"/>
  <c r="CP7" i="2"/>
  <c r="CP7" i="2" a="1"/>
  <c r="CR7" i="2"/>
  <c r="CR7" i="2" a="1"/>
  <c r="CS7" i="2" a="1"/>
  <c r="CS7" i="2"/>
  <c r="CT7" i="2"/>
  <c r="CT7" i="2" a="1"/>
  <c r="CU7" i="2" a="1"/>
  <c r="CU7" i="2"/>
  <c r="CV7" i="2"/>
  <c r="CV7" i="2" a="1"/>
  <c r="A8" i="2"/>
  <c r="CO8" i="2" a="1"/>
  <c r="CO8" i="2"/>
  <c r="CP8" i="2"/>
  <c r="CP8" i="2" a="1"/>
  <c r="CR8" i="2"/>
  <c r="CR8" i="2" a="1"/>
  <c r="CS8" i="2" a="1"/>
  <c r="CS8" i="2"/>
  <c r="CT8" i="2"/>
  <c r="CT8" i="2" a="1"/>
  <c r="CU8" i="2" a="1"/>
  <c r="CU8" i="2"/>
  <c r="CV8" i="2"/>
  <c r="CV8" i="2" a="1"/>
  <c r="A9" i="2"/>
  <c r="CO9" i="2" a="1"/>
  <c r="CO9" i="2"/>
  <c r="CP9" i="2"/>
  <c r="CP9" i="2" a="1"/>
  <c r="CR9" i="2"/>
  <c r="CR9" i="2" a="1"/>
  <c r="CS9" i="2" a="1"/>
  <c r="CS9" i="2"/>
  <c r="CT9" i="2"/>
  <c r="CT9" i="2" a="1"/>
  <c r="CU9" i="2" a="1"/>
  <c r="CU9" i="2"/>
  <c r="CV9" i="2"/>
  <c r="CV9" i="2" a="1"/>
  <c r="CO10" i="2" a="1"/>
  <c r="CO10" i="2"/>
  <c r="CP10" i="2"/>
  <c r="CP10" i="2" a="1"/>
  <c r="CR10" i="2" a="1"/>
  <c r="CR10" i="2"/>
  <c r="CS10" i="2"/>
  <c r="CS10" i="2" a="1"/>
  <c r="CT10" i="2" a="1"/>
  <c r="CT10" i="2"/>
  <c r="CU10" i="2"/>
  <c r="CU10" i="2" a="1"/>
  <c r="CV10" i="2" a="1"/>
  <c r="CV10" i="2"/>
  <c r="A11" i="2"/>
  <c r="CO11" i="2" a="1"/>
  <c r="CO11" i="2"/>
  <c r="CP11" i="2"/>
  <c r="CP11" i="2" a="1"/>
  <c r="CR11" i="2" a="1"/>
  <c r="CR11" i="2"/>
  <c r="CS11" i="2"/>
  <c r="CS11" i="2" a="1"/>
  <c r="CT11" i="2" a="1"/>
  <c r="CT11" i="2"/>
  <c r="CU11" i="2"/>
  <c r="CU11" i="2" a="1"/>
  <c r="CV11" i="2" a="1"/>
  <c r="CV11" i="2"/>
  <c r="CO12" i="2"/>
  <c r="CO12" i="2" a="1"/>
  <c r="CP12" i="2" a="1"/>
  <c r="CP12" i="2"/>
  <c r="CR12" i="2" a="1"/>
  <c r="CR12" i="2"/>
  <c r="CS12" i="2"/>
  <c r="CS12" i="2" a="1"/>
  <c r="CT12" i="2" a="1"/>
  <c r="CT12" i="2"/>
  <c r="CU12" i="2"/>
  <c r="CU12" i="2" a="1"/>
  <c r="CV12" i="2" a="1"/>
  <c r="CV12" i="2"/>
  <c r="A13" i="2"/>
  <c r="CO13" i="2"/>
  <c r="CO13" i="2" a="1"/>
  <c r="CP13" i="2" a="1"/>
  <c r="CP13" i="2"/>
  <c r="CR13" i="2" a="1"/>
  <c r="CR13" i="2"/>
  <c r="CS13" i="2"/>
  <c r="CS13" i="2" a="1"/>
  <c r="CT13" i="2" a="1"/>
  <c r="CT13" i="2"/>
  <c r="CU13" i="2"/>
  <c r="CU13" i="2" a="1"/>
  <c r="CV13" i="2" a="1"/>
  <c r="CV13" i="2"/>
  <c r="A14" i="2"/>
  <c r="CO14" i="2"/>
  <c r="CO14" i="2" a="1"/>
  <c r="CP14" i="2" a="1"/>
  <c r="CP14" i="2"/>
  <c r="CR14" i="2" a="1"/>
  <c r="CR14" i="2"/>
  <c r="CS14" i="2"/>
  <c r="CS14" i="2" a="1"/>
  <c r="CT14" i="2" a="1"/>
  <c r="CT14" i="2"/>
  <c r="CU14" i="2"/>
  <c r="CU14" i="2" a="1"/>
  <c r="CV14" i="2" a="1"/>
  <c r="CV14" i="2"/>
  <c r="A15" i="2"/>
  <c r="CO15" i="2"/>
  <c r="CO15" i="2" a="1"/>
  <c r="CP15" i="2" a="1"/>
  <c r="CP15" i="2"/>
  <c r="CR15" i="2" a="1"/>
  <c r="CR15" i="2"/>
  <c r="CS15" i="2"/>
  <c r="CS15" i="2" a="1"/>
  <c r="CT15" i="2" a="1"/>
  <c r="CT15" i="2"/>
  <c r="CU15" i="2"/>
  <c r="CU15" i="2" a="1"/>
  <c r="CV15" i="2" a="1"/>
  <c r="CV15" i="2"/>
  <c r="A16" i="2"/>
  <c r="CO16" i="2"/>
  <c r="CO16" i="2" a="1"/>
  <c r="CP16" i="2" a="1"/>
  <c r="CP16" i="2"/>
  <c r="CR16" i="2" a="1"/>
  <c r="CR16" i="2"/>
  <c r="CS16" i="2"/>
  <c r="CS16" i="2" a="1"/>
  <c r="CT16" i="2" a="1"/>
  <c r="CT16" i="2"/>
  <c r="CU16" i="2"/>
  <c r="CU16" i="2" a="1"/>
  <c r="CV16" i="2" a="1"/>
  <c r="CV16" i="2"/>
  <c r="A17" i="2"/>
  <c r="CO17" i="2"/>
  <c r="CO17" i="2" a="1"/>
  <c r="CP17" i="2" a="1"/>
  <c r="CP17" i="2"/>
  <c r="CR17" i="2" a="1"/>
  <c r="CR17" i="2"/>
  <c r="CS17" i="2"/>
  <c r="CS17" i="2" a="1"/>
  <c r="CT17" i="2" a="1"/>
  <c r="CT17" i="2"/>
  <c r="CU17" i="2" a="1"/>
  <c r="CU17" i="2"/>
  <c r="CV17" i="2" a="1"/>
  <c r="CV17" i="2"/>
  <c r="A18" i="2"/>
  <c r="CO18" i="2"/>
  <c r="CO18" i="2" a="1"/>
  <c r="CP18" i="2"/>
  <c r="CP18" i="2" a="1"/>
  <c r="CR18" i="2" a="1"/>
  <c r="CR18" i="2"/>
  <c r="CS18" i="2"/>
  <c r="CS18" i="2" a="1"/>
  <c r="CT18" i="2" a="1"/>
  <c r="CT18" i="2"/>
  <c r="CU18" i="2" a="1"/>
  <c r="CU18" i="2"/>
  <c r="CV18" i="2" a="1"/>
  <c r="CV18" i="2"/>
  <c r="CO19" i="2" a="1"/>
  <c r="CO19" i="2"/>
  <c r="CP19" i="2" a="1"/>
  <c r="CP19" i="2"/>
  <c r="CR19" i="2"/>
  <c r="CR19" i="2" a="1"/>
  <c r="CS19" i="2"/>
  <c r="CS19" i="2" a="1"/>
  <c r="CT19" i="2"/>
  <c r="CT19" i="2" a="1"/>
  <c r="CU19" i="2"/>
  <c r="CU19" i="2" a="1"/>
  <c r="CV19" i="2"/>
  <c r="CV19" i="2" a="1"/>
  <c r="A20" i="2"/>
  <c r="CO20" i="2"/>
  <c r="CO20" i="2" a="1"/>
  <c r="CP20" i="2" a="1"/>
  <c r="CP20" i="2"/>
  <c r="CR20" i="2"/>
  <c r="CR20" i="2" a="1"/>
  <c r="CS20" i="2" a="1"/>
  <c r="CS20" i="2"/>
  <c r="CT20" i="2"/>
  <c r="CT20" i="2" a="1"/>
  <c r="CU20" i="2" a="1"/>
  <c r="CU20" i="2"/>
  <c r="CV20" i="2"/>
  <c r="CV20" i="2" a="1"/>
  <c r="A21" i="2"/>
  <c r="CO21" i="2"/>
  <c r="CO21" i="2" a="1"/>
  <c r="CP21" i="2" a="1"/>
  <c r="CP21" i="2"/>
  <c r="CR21" i="2"/>
  <c r="CR21" i="2" a="1"/>
  <c r="CS21" i="2" a="1"/>
  <c r="CS21" i="2"/>
  <c r="CT21" i="2"/>
  <c r="CT21" i="2" a="1"/>
  <c r="CU21" i="2" a="1"/>
  <c r="CU21" i="2"/>
  <c r="CV21" i="2"/>
  <c r="CV21" i="2" a="1"/>
  <c r="CO22" i="2"/>
  <c r="CO22" i="2" a="1"/>
  <c r="CP22" i="2" a="1"/>
  <c r="CP22" i="2"/>
  <c r="CR22" i="2" a="1"/>
  <c r="CR22" i="2"/>
  <c r="CS22" i="2"/>
  <c r="CS22" i="2" a="1"/>
  <c r="CT22" i="2" a="1"/>
  <c r="CT22" i="2"/>
  <c r="CU22" i="2"/>
  <c r="CU22" i="2" a="1"/>
  <c r="CV22" i="2" a="1"/>
  <c r="CV22" i="2"/>
  <c r="A23" i="2"/>
  <c r="CO23" i="2"/>
  <c r="CO23" i="2" a="1"/>
  <c r="CP23" i="2" a="1"/>
  <c r="CP23" i="2"/>
  <c r="CR23" i="2" a="1"/>
  <c r="CR23" i="2"/>
  <c r="CS23" i="2"/>
  <c r="CS23" i="2" a="1"/>
  <c r="CT23" i="2" a="1"/>
  <c r="CT23" i="2"/>
  <c r="CU23" i="2"/>
  <c r="CU23" i="2" a="1"/>
  <c r="CV23" i="2" a="1"/>
  <c r="CV23" i="2"/>
  <c r="A24" i="2"/>
  <c r="CO24" i="2"/>
  <c r="CO24" i="2" a="1"/>
  <c r="CP24" i="2" a="1"/>
  <c r="CP24" i="2"/>
  <c r="CR24" i="2" a="1"/>
  <c r="CR24" i="2"/>
  <c r="CS24" i="2"/>
  <c r="CS24" i="2" a="1"/>
  <c r="CT24" i="2" a="1"/>
  <c r="CT24" i="2"/>
  <c r="CU24" i="2"/>
  <c r="CU24" i="2" a="1"/>
  <c r="CV24" i="2" a="1"/>
  <c r="CV24" i="2"/>
  <c r="A25" i="2"/>
  <c r="CO25" i="2"/>
  <c r="CO25" i="2" a="1"/>
  <c r="CP25" i="2" a="1"/>
  <c r="CP25" i="2"/>
  <c r="CR25" i="2" a="1"/>
  <c r="CR25" i="2"/>
  <c r="CS25" i="2"/>
  <c r="CS25" i="2" a="1"/>
  <c r="CT25" i="2" a="1"/>
  <c r="CT25" i="2"/>
  <c r="CU25" i="2"/>
  <c r="CU25" i="2" a="1"/>
  <c r="CV25" i="2" a="1"/>
  <c r="CV25" i="2"/>
  <c r="A26" i="2"/>
  <c r="CO26" i="2"/>
  <c r="CO26" i="2" a="1"/>
  <c r="CP26" i="2" a="1"/>
  <c r="CP26" i="2"/>
  <c r="CR26" i="2" a="1"/>
  <c r="CR26" i="2"/>
  <c r="CS26" i="2"/>
  <c r="CS26" i="2" a="1"/>
  <c r="CT26" i="2" a="1"/>
  <c r="CT26" i="2"/>
  <c r="CU26" i="2"/>
  <c r="CU26" i="2" a="1"/>
  <c r="CV26" i="2" a="1"/>
  <c r="CV26" i="2"/>
  <c r="A27" i="2"/>
  <c r="CO27" i="2"/>
  <c r="CO27" i="2" a="1"/>
  <c r="CP27" i="2" a="1"/>
  <c r="CP27" i="2"/>
  <c r="CR27" i="2" a="1"/>
  <c r="CR27" i="2"/>
  <c r="CS27" i="2"/>
  <c r="CS27" i="2" a="1"/>
  <c r="CT27" i="2" a="1"/>
  <c r="CT27" i="2"/>
  <c r="CU27" i="2"/>
  <c r="CU27" i="2" a="1"/>
  <c r="CV27" i="2" a="1"/>
  <c r="CV27" i="2"/>
  <c r="A28" i="2"/>
  <c r="CO28" i="2"/>
  <c r="CO28" i="2" a="1"/>
  <c r="CP28" i="2" a="1"/>
  <c r="CP28" i="2"/>
  <c r="CR28" i="2" a="1"/>
  <c r="CR28" i="2"/>
  <c r="CS28" i="2"/>
  <c r="CS28" i="2" a="1"/>
  <c r="CT28" i="2" a="1"/>
  <c r="CT28" i="2"/>
  <c r="CU28" i="2"/>
  <c r="CU28" i="2" a="1"/>
  <c r="CV28" i="2" a="1"/>
  <c r="CV28" i="2"/>
  <c r="A29" i="2"/>
  <c r="CO29" i="2"/>
  <c r="CO29" i="2" a="1"/>
  <c r="CP29" i="2" a="1"/>
  <c r="CP29" i="2"/>
  <c r="CR29" i="2" a="1"/>
  <c r="CR29" i="2"/>
  <c r="CS29" i="2"/>
  <c r="CS29" i="2" a="1"/>
  <c r="CT29" i="2" a="1"/>
  <c r="CT29" i="2"/>
  <c r="CU29" i="2"/>
  <c r="CU29" i="2" a="1"/>
  <c r="CV29" i="2" a="1"/>
  <c r="CV29" i="2"/>
  <c r="CO30" i="2"/>
  <c r="CO30" i="2" a="1"/>
  <c r="CP30" i="2" a="1"/>
  <c r="CP30" i="2"/>
  <c r="CR30" i="2"/>
  <c r="CR30" i="2" a="1"/>
  <c r="CS30" i="2" a="1"/>
  <c r="CS30" i="2"/>
  <c r="CT30" i="2"/>
  <c r="CT30" i="2" a="1"/>
  <c r="CU30" i="2" a="1"/>
  <c r="CU30" i="2"/>
  <c r="CV30" i="2"/>
  <c r="CV30" i="2" a="1"/>
  <c r="CO31" i="2" a="1"/>
  <c r="CO31" i="2"/>
  <c r="CP31" i="2"/>
  <c r="CP31" i="2" a="1"/>
  <c r="CR31" i="2"/>
  <c r="CR31" i="2" a="1"/>
  <c r="CS31" i="2" a="1"/>
  <c r="CS31" i="2"/>
  <c r="CT31" i="2"/>
  <c r="CT31" i="2" a="1"/>
  <c r="CU31" i="2" a="1"/>
  <c r="CU31" i="2"/>
  <c r="CV31" i="2"/>
  <c r="CV31" i="2" a="1"/>
  <c r="CO32" i="2" a="1"/>
  <c r="CO32" i="2"/>
  <c r="CP32" i="2"/>
  <c r="CP32" i="2" a="1"/>
  <c r="CR32" i="2" a="1"/>
  <c r="CR32" i="2"/>
  <c r="CS32" i="2"/>
  <c r="CS32" i="2" a="1"/>
  <c r="CT32" i="2" a="1"/>
  <c r="CT32" i="2"/>
  <c r="CU32" i="2"/>
  <c r="CU32" i="2" a="1"/>
  <c r="CV32" i="2" a="1"/>
  <c r="CV32" i="2"/>
  <c r="A33" i="2"/>
  <c r="CO33" i="2" a="1"/>
  <c r="CO33" i="2"/>
  <c r="CP33" i="2"/>
  <c r="CP33" i="2" a="1"/>
  <c r="CR33" i="2" a="1"/>
  <c r="CR33" i="2"/>
  <c r="CS33" i="2"/>
  <c r="CS33" i="2" a="1"/>
  <c r="CT33" i="2" a="1"/>
  <c r="CT33" i="2"/>
  <c r="CU33" i="2"/>
  <c r="CU33" i="2" a="1"/>
  <c r="CV33" i="2" a="1"/>
  <c r="CV33" i="2"/>
  <c r="A34" i="2"/>
  <c r="CO34" i="2" a="1"/>
  <c r="CO34" i="2"/>
  <c r="CP34" i="2"/>
  <c r="CP34" i="2" a="1"/>
  <c r="CR34" i="2" a="1"/>
  <c r="CR34" i="2"/>
  <c r="CS34" i="2"/>
  <c r="CS34" i="2" a="1"/>
  <c r="CT34" i="2" a="1"/>
  <c r="CT34" i="2"/>
  <c r="CU34" i="2"/>
  <c r="CU34" i="2" a="1"/>
  <c r="CV34" i="2" a="1"/>
  <c r="CV34" i="2"/>
  <c r="A35" i="2"/>
  <c r="CO35" i="2" a="1"/>
  <c r="CO35" i="2"/>
  <c r="CP35" i="2"/>
  <c r="CP35" i="2" a="1"/>
  <c r="CR35" i="2" a="1"/>
  <c r="CR35" i="2"/>
  <c r="CS35" i="2"/>
  <c r="CS35" i="2" a="1"/>
  <c r="CT35" i="2" a="1"/>
  <c r="CT35" i="2"/>
  <c r="CU35" i="2"/>
  <c r="CU35" i="2" a="1"/>
  <c r="CV35" i="2" a="1"/>
  <c r="CV35" i="2"/>
  <c r="CO36" i="2"/>
  <c r="CO36" i="2" a="1"/>
  <c r="CP36" i="2" a="1"/>
  <c r="CP36" i="2"/>
  <c r="CR36" i="2" a="1"/>
  <c r="CR36" i="2"/>
  <c r="CS36" i="2"/>
  <c r="CS36" i="2" a="1"/>
  <c r="CT36" i="2" a="1"/>
  <c r="CT36" i="2"/>
  <c r="CU36" i="2"/>
  <c r="CU36" i="2" a="1"/>
  <c r="CV36" i="2" a="1"/>
  <c r="CV36" i="2"/>
  <c r="A37" i="2"/>
  <c r="CO37" i="2"/>
  <c r="CO37" i="2" a="1"/>
  <c r="CP37" i="2"/>
  <c r="CP37" i="2" a="1"/>
  <c r="CR37" i="2" a="1"/>
  <c r="CR37" i="2"/>
  <c r="CS37" i="2"/>
  <c r="CS37" i="2" a="1"/>
  <c r="CT37" i="2" a="1"/>
  <c r="CT37" i="2"/>
  <c r="CU37" i="2"/>
  <c r="CU37" i="2" a="1"/>
  <c r="CV37" i="2" a="1"/>
  <c r="CV37" i="2"/>
  <c r="A38" i="2"/>
  <c r="CO38" i="2"/>
  <c r="CO38" i="2" a="1"/>
  <c r="CP38" i="2"/>
  <c r="CP38" i="2" a="1"/>
  <c r="CR38" i="2" a="1"/>
  <c r="CR38" i="2"/>
  <c r="CS38" i="2"/>
  <c r="CS38" i="2" a="1"/>
  <c r="CT38" i="2" a="1"/>
  <c r="CT38" i="2"/>
  <c r="CU38" i="2"/>
  <c r="CU38" i="2" a="1"/>
  <c r="CV38" i="2" a="1"/>
  <c r="CV38" i="2"/>
  <c r="A39" i="2"/>
  <c r="CO39" i="2"/>
  <c r="CO39" i="2" a="1"/>
  <c r="CP39" i="2"/>
  <c r="CP39" i="2" a="1"/>
  <c r="CR39" i="2" a="1"/>
  <c r="CR39" i="2"/>
  <c r="CS39" i="2"/>
  <c r="CS39" i="2" a="1"/>
  <c r="CT39" i="2" a="1"/>
  <c r="CT39" i="2"/>
  <c r="CU39" i="2"/>
  <c r="CU39" i="2" a="1"/>
  <c r="CV39" i="2" a="1"/>
  <c r="CV39" i="2"/>
  <c r="A40" i="2"/>
  <c r="CO40" i="2"/>
  <c r="CO40" i="2" a="1"/>
  <c r="CP40" i="2" a="1"/>
  <c r="CP40" i="2"/>
  <c r="CR40" i="2" a="1"/>
  <c r="CR40" i="2"/>
  <c r="CS40" i="2" a="1"/>
  <c r="CS40" i="2"/>
  <c r="CT40" i="2" a="1"/>
  <c r="CT40" i="2"/>
  <c r="CU40" i="2"/>
  <c r="CU40" i="2" a="1"/>
  <c r="CV40" i="2" a="1"/>
  <c r="CV40" i="2"/>
  <c r="CO41" i="2" a="1"/>
  <c r="CO41" i="2"/>
  <c r="CP41" i="2" a="1"/>
  <c r="CP41" i="2"/>
  <c r="CR41" i="2"/>
  <c r="CR41" i="2" a="1"/>
  <c r="CS41" i="2" a="1"/>
  <c r="CS41" i="2"/>
  <c r="CT41" i="2"/>
  <c r="CT41" i="2" a="1"/>
  <c r="CU41" i="2" a="1"/>
  <c r="CU41" i="2"/>
  <c r="CV41" i="2"/>
  <c r="CV41" i="2" a="1"/>
  <c r="A42" i="2"/>
  <c r="CO42" i="2"/>
  <c r="CO42" i="2" a="1"/>
  <c r="CP42" i="2" a="1"/>
  <c r="CP42" i="2"/>
  <c r="CR42" i="2"/>
  <c r="CR42" i="2" a="1"/>
  <c r="CS42" i="2"/>
  <c r="CS42" i="2" a="1"/>
  <c r="CT42" i="2"/>
  <c r="CT42" i="2" a="1"/>
  <c r="CU42" i="2" a="1"/>
  <c r="CU42" i="2"/>
  <c r="CV42" i="2"/>
  <c r="CV42" i="2" a="1"/>
  <c r="CO43" i="2" a="1"/>
  <c r="CO43" i="2"/>
  <c r="CP43" i="2"/>
  <c r="CP43" i="2" a="1"/>
  <c r="CR43" i="2" a="1"/>
  <c r="CR43" i="2"/>
  <c r="CS43" i="2" a="1"/>
  <c r="CS43" i="2"/>
  <c r="CT43" i="2" a="1"/>
  <c r="CT43" i="2"/>
  <c r="CU43" i="2" a="1"/>
  <c r="CU43" i="2"/>
  <c r="CV43" i="2" a="1"/>
  <c r="CV43" i="2"/>
  <c r="A44" i="2"/>
  <c r="CO44" i="2" a="1"/>
  <c r="CO44" i="2"/>
  <c r="CP44" i="2"/>
  <c r="CP44" i="2" a="1"/>
  <c r="CR44" i="2"/>
  <c r="CR44" i="2" a="1"/>
  <c r="CS44" i="2" a="1"/>
  <c r="CS44" i="2"/>
  <c r="CT44" i="2"/>
  <c r="CT44" i="2" a="1"/>
  <c r="CU44" i="2" a="1"/>
  <c r="CU44" i="2"/>
  <c r="CV44" i="2"/>
  <c r="CV44" i="2" a="1"/>
  <c r="A45" i="2"/>
  <c r="CO45" i="2" a="1"/>
  <c r="CO45" i="2"/>
  <c r="CP45" i="2"/>
  <c r="CP45" i="2" a="1"/>
  <c r="CR45" i="2"/>
  <c r="CR45" i="2" a="1"/>
  <c r="CS45" i="2" a="1"/>
  <c r="CS45" i="2"/>
  <c r="CT45" i="2"/>
  <c r="CT45" i="2" a="1"/>
  <c r="CU45" i="2" a="1"/>
  <c r="CU45" i="2"/>
  <c r="CV45" i="2"/>
  <c r="CV45" i="2" a="1"/>
  <c r="A46" i="2"/>
  <c r="CO46" i="2" a="1"/>
  <c r="CO46" i="2"/>
  <c r="CP46" i="2"/>
  <c r="CP46" i="2" a="1"/>
  <c r="CR46" i="2"/>
  <c r="CR46" i="2" a="1"/>
  <c r="CS46" i="2" a="1"/>
  <c r="CS46" i="2"/>
  <c r="CT46" i="2"/>
  <c r="CT46" i="2" a="1"/>
  <c r="CU46" i="2" a="1"/>
  <c r="CU46" i="2"/>
  <c r="CV46" i="2"/>
  <c r="CV46" i="2" a="1"/>
  <c r="A47" i="2"/>
  <c r="CO47" i="2" a="1"/>
  <c r="CO47" i="2"/>
  <c r="CP47" i="2"/>
  <c r="CP47" i="2" a="1"/>
  <c r="CR47" i="2"/>
  <c r="CR47" i="2" a="1"/>
  <c r="CS47" i="2" a="1"/>
  <c r="CS47" i="2"/>
  <c r="CT47" i="2"/>
  <c r="CT47" i="2" a="1"/>
  <c r="CU47" i="2" a="1"/>
  <c r="CU47" i="2"/>
  <c r="CV47" i="2"/>
  <c r="CV47" i="2" a="1"/>
  <c r="A48" i="2"/>
  <c r="CO48" i="2" a="1"/>
  <c r="CO48" i="2"/>
  <c r="CP48" i="2"/>
  <c r="CP48" i="2" a="1"/>
  <c r="CR48" i="2"/>
  <c r="CR48" i="2" a="1"/>
  <c r="CS48" i="2" a="1"/>
  <c r="CS48" i="2"/>
  <c r="CT48" i="2"/>
  <c r="CT48" i="2" a="1"/>
  <c r="CU48" i="2" a="1"/>
  <c r="CU48" i="2"/>
  <c r="CV48" i="2"/>
  <c r="CV48" i="2" a="1"/>
  <c r="A49" i="2"/>
  <c r="CO49" i="2" a="1"/>
  <c r="CO49" i="2"/>
  <c r="CP49" i="2"/>
  <c r="CP49" i="2" a="1"/>
  <c r="CR49" i="2"/>
  <c r="CR49" i="2" a="1"/>
  <c r="CS49" i="2" a="1"/>
  <c r="CS49" i="2"/>
  <c r="CT49" i="2" a="1"/>
  <c r="CT49" i="2"/>
  <c r="CU49" i="2" a="1"/>
  <c r="CU49" i="2"/>
  <c r="CV49" i="2" a="1"/>
  <c r="CV49" i="2"/>
  <c r="A50" i="2"/>
  <c r="CO50" i="2" a="1"/>
  <c r="CO50" i="2"/>
  <c r="CP50" i="2"/>
  <c r="CP50" i="2" a="1"/>
  <c r="CR50" i="2" a="1"/>
  <c r="CR50" i="2"/>
  <c r="CS50" i="2" a="1"/>
  <c r="CS50" i="2"/>
  <c r="CT50" i="2" a="1"/>
  <c r="CT50" i="2"/>
  <c r="CU50" i="2" a="1"/>
  <c r="CU50" i="2"/>
  <c r="CV50" i="2" a="1"/>
  <c r="CV50" i="2"/>
  <c r="A51" i="2"/>
  <c r="CO51" i="2" a="1"/>
  <c r="CO51" i="2"/>
  <c r="CP51" i="2"/>
  <c r="CP51" i="2" a="1"/>
  <c r="CR51" i="2" a="1"/>
  <c r="CR51" i="2"/>
  <c r="CS51" i="2" a="1"/>
  <c r="CS51" i="2"/>
  <c r="CT51" i="2" a="1"/>
  <c r="CT51" i="2"/>
  <c r="CU51" i="2" a="1"/>
  <c r="CU51" i="2"/>
  <c r="CV51" i="2" a="1"/>
  <c r="CV51" i="2"/>
  <c r="A52" i="2"/>
  <c r="CO52" i="2" a="1"/>
  <c r="CO52" i="2"/>
  <c r="CP52" i="2"/>
  <c r="CP52" i="2" a="1"/>
  <c r="CR52" i="2" a="1"/>
  <c r="CR52" i="2"/>
  <c r="CS52" i="2" a="1"/>
  <c r="CS52" i="2"/>
  <c r="CT52" i="2" a="1"/>
  <c r="CT52" i="2"/>
  <c r="CU52" i="2" a="1"/>
  <c r="CU52" i="2"/>
  <c r="CV52" i="2" a="1"/>
  <c r="CV52" i="2"/>
  <c r="A53" i="2"/>
  <c r="CO53" i="2" a="1"/>
  <c r="CO53" i="2"/>
  <c r="CP53" i="2"/>
  <c r="CP53" i="2" a="1"/>
  <c r="CR53" i="2" a="1"/>
  <c r="CR53" i="2"/>
  <c r="CS53" i="2" a="1"/>
  <c r="CS53" i="2"/>
  <c r="CT53" i="2" a="1"/>
  <c r="CT53" i="2"/>
  <c r="CU53" i="2" a="1"/>
  <c r="CU53" i="2"/>
  <c r="CV53" i="2" a="1"/>
  <c r="CV53" i="2"/>
  <c r="CV68" i="2"/>
  <c r="CO54" i="2" a="1"/>
  <c r="CO54" i="2"/>
  <c r="CP54" i="2" a="1"/>
  <c r="CP54" i="2"/>
  <c r="CR54" i="2"/>
  <c r="CR54" i="2" a="1"/>
  <c r="CS54" i="2"/>
  <c r="CS54" i="2" a="1"/>
  <c r="CT54" i="2"/>
  <c r="CT54" i="2" a="1"/>
  <c r="CU54" i="2"/>
  <c r="CU54" i="2" a="1"/>
  <c r="CV54" i="2" a="1"/>
  <c r="CV54" i="2"/>
  <c r="CO55" i="2"/>
  <c r="CO55" i="2" a="1"/>
  <c r="CP55" i="2" a="1"/>
  <c r="CP55" i="2"/>
  <c r="CR55" i="2" a="1"/>
  <c r="CR55" i="2"/>
  <c r="CS55" i="2" a="1"/>
  <c r="CS55" i="2"/>
  <c r="CT55" i="2" a="1"/>
  <c r="CT55" i="2"/>
  <c r="CU55" i="2" a="1"/>
  <c r="CU55" i="2"/>
  <c r="CV55" i="2" a="1"/>
  <c r="CV55" i="2"/>
  <c r="CO56" i="2" a="1"/>
  <c r="CO56" i="2"/>
  <c r="CP56" i="2" a="1"/>
  <c r="CP56" i="2"/>
  <c r="CR56" i="2"/>
  <c r="CR56" i="2" a="1"/>
  <c r="CS56" i="2"/>
  <c r="CS56" i="2" a="1"/>
  <c r="CT56" i="2"/>
  <c r="CT56" i="2" a="1"/>
  <c r="CU56" i="2"/>
  <c r="CU56" i="2" a="1"/>
  <c r="CV56" i="2"/>
  <c r="CV56" i="2" a="1"/>
  <c r="CO57" i="2" a="1"/>
  <c r="CO57" i="2"/>
  <c r="CP57" i="2"/>
  <c r="CP57" i="2" a="1"/>
  <c r="CR57" i="2" a="1"/>
  <c r="CR57" i="2"/>
  <c r="CS57" i="2" a="1"/>
  <c r="CS57" i="2"/>
  <c r="CT57" i="2" a="1"/>
  <c r="CT57" i="2"/>
  <c r="CU57" i="2" a="1"/>
  <c r="CU57" i="2"/>
  <c r="CV57" i="2" a="1"/>
  <c r="CV57" i="2"/>
  <c r="CO58" i="2" a="1"/>
  <c r="CO58" i="2"/>
  <c r="CP58" i="2" a="1"/>
  <c r="CP58" i="2"/>
  <c r="CR58" i="2"/>
  <c r="CR58" i="2" a="1"/>
  <c r="CS58" i="2"/>
  <c r="CS58" i="2" a="1"/>
  <c r="CT58" i="2"/>
  <c r="CT58" i="2" a="1"/>
  <c r="CU58" i="2"/>
  <c r="CU58" i="2" a="1"/>
  <c r="CV58" i="2" a="1"/>
  <c r="CV58" i="2"/>
  <c r="CO59" i="2"/>
  <c r="CO59" i="2" a="1"/>
  <c r="CP59" i="2" a="1"/>
  <c r="CP59" i="2"/>
  <c r="CR59" i="2" a="1"/>
  <c r="CR59" i="2"/>
  <c r="CS59" i="2" a="1"/>
  <c r="CS59" i="2"/>
  <c r="CT59" i="2" a="1"/>
  <c r="CT59" i="2"/>
  <c r="CU59" i="2"/>
  <c r="CU59" i="2" a="1"/>
  <c r="CV59" i="2" a="1"/>
  <c r="CV59" i="2"/>
  <c r="CO60" i="2"/>
  <c r="CO60" i="2" a="1"/>
  <c r="CP60" i="2" a="1"/>
  <c r="CP60" i="2"/>
  <c r="CR60" i="2"/>
  <c r="CR60" i="2" a="1"/>
  <c r="CS60" i="2" a="1"/>
  <c r="CS60" i="2"/>
  <c r="CT60" i="2"/>
  <c r="CT60" i="2" a="1"/>
  <c r="CU60" i="2" a="1"/>
  <c r="CU60" i="2"/>
  <c r="CV60" i="2"/>
  <c r="CV60" i="2" a="1"/>
  <c r="CO61" i="2" a="1"/>
  <c r="CO61" i="2"/>
  <c r="CP61" i="2"/>
  <c r="CP61" i="2" a="1"/>
  <c r="CR61" i="2"/>
  <c r="CR61" i="2" a="1"/>
  <c r="CS61" i="2" a="1"/>
  <c r="CS61" i="2"/>
  <c r="CT61" i="2" a="1"/>
  <c r="CT61" i="2"/>
  <c r="CU61" i="2" a="1"/>
  <c r="CU61" i="2"/>
  <c r="CV61" i="2"/>
  <c r="CV61" i="2" a="1"/>
  <c r="CO62" i="2" a="1"/>
  <c r="CO62" i="2"/>
  <c r="CP62" i="2"/>
  <c r="CP62" i="2" a="1"/>
  <c r="CR62" i="2" a="1"/>
  <c r="CR62" i="2"/>
  <c r="CS62" i="2"/>
  <c r="CS62" i="2" a="1"/>
  <c r="CT62" i="2" a="1"/>
  <c r="CT62" i="2"/>
  <c r="CU62" i="2"/>
  <c r="CU62" i="2" a="1"/>
  <c r="CV62" i="2" a="1"/>
  <c r="CV62" i="2"/>
  <c r="CO63" i="2"/>
  <c r="CO63" i="2" a="1"/>
  <c r="CP63" i="2" a="1"/>
  <c r="CP63" i="2"/>
  <c r="CR63" i="2" a="1"/>
  <c r="CR63" i="2"/>
  <c r="CS63" i="2" a="1"/>
  <c r="CS63" i="2"/>
  <c r="CT63" i="2" a="1"/>
  <c r="CT63" i="2"/>
  <c r="CU63" i="2"/>
  <c r="CU63" i="2" a="1"/>
  <c r="CV63" i="2" a="1"/>
  <c r="CV63" i="2"/>
  <c r="CO64" i="2" a="1"/>
  <c r="CO64" i="2"/>
  <c r="CP64" i="2" a="1"/>
  <c r="CP64" i="2"/>
  <c r="CR64" i="2"/>
  <c r="CR64" i="2" a="1"/>
  <c r="CS64" i="2" a="1"/>
  <c r="CS64" i="2"/>
  <c r="CT64" i="2"/>
  <c r="CT64" i="2" a="1"/>
  <c r="CU64" i="2" a="1"/>
  <c r="CU64" i="2"/>
  <c r="CV64" i="2"/>
  <c r="CV64" i="2" a="1"/>
  <c r="CO65" i="2" a="1"/>
  <c r="CO65" i="2"/>
  <c r="CP65" i="2"/>
  <c r="CP65" i="2" a="1"/>
  <c r="CR65" i="2"/>
  <c r="CR65" i="2" a="1"/>
  <c r="CS65" i="2" a="1"/>
  <c r="CS65" i="2"/>
  <c r="CT65" i="2" a="1"/>
  <c r="CT65" i="2"/>
  <c r="CU65" i="2" a="1"/>
  <c r="CU65" i="2"/>
  <c r="CV65" i="2"/>
  <c r="CV65" i="2" a="1"/>
  <c r="CO66" i="2" a="1"/>
  <c r="CO66" i="2"/>
  <c r="CP66" i="2" a="1"/>
  <c r="CP66" i="2"/>
  <c r="CR66" i="2" a="1"/>
  <c r="CR66" i="2"/>
  <c r="CS66" i="2"/>
  <c r="CS66" i="2" a="1"/>
  <c r="CT66" i="2" a="1"/>
  <c r="CT66" i="2"/>
  <c r="CU66" i="2"/>
  <c r="CU66" i="2" a="1"/>
  <c r="CV66" i="2" a="1"/>
  <c r="CV66" i="2"/>
  <c r="CO67" i="2"/>
  <c r="CO67" i="2" a="1"/>
  <c r="CP67" i="2" a="1"/>
  <c r="CP67" i="2"/>
  <c r="CR67" i="2"/>
  <c r="CR67" i="2" a="1"/>
  <c r="CS67" i="2"/>
  <c r="CS67" i="2" a="1"/>
  <c r="CT67" i="2"/>
  <c r="CT67" i="2" a="1"/>
  <c r="CU67" i="2"/>
  <c r="CU67" i="2" a="1"/>
  <c r="CV67" i="2" a="1"/>
  <c r="CV67" i="2"/>
  <c r="D69" i="2" a="1"/>
  <c r="D69" i="2"/>
  <c r="E69" i="2" a="1"/>
  <c r="E69" i="2"/>
  <c r="F69" i="2" a="1"/>
  <c r="F69" i="2"/>
  <c r="G69" i="2" a="1"/>
  <c r="G69" i="2"/>
  <c r="H69" i="2" a="1"/>
  <c r="H69" i="2"/>
  <c r="I69" i="2" a="1"/>
  <c r="I69" i="2"/>
  <c r="J69" i="2" a="1"/>
  <c r="J69" i="2"/>
  <c r="K69" i="2" a="1"/>
  <c r="K69" i="2"/>
  <c r="L69" i="2" a="1"/>
  <c r="L69" i="2"/>
  <c r="M69" i="2" a="1"/>
  <c r="M69" i="2"/>
  <c r="N69" i="2" a="1"/>
  <c r="N69" i="2"/>
  <c r="O69" i="2" a="1"/>
  <c r="O69" i="2"/>
  <c r="P69" i="2" a="1"/>
  <c r="P69" i="2"/>
  <c r="Q69" i="2" a="1"/>
  <c r="Q69" i="2"/>
  <c r="R69" i="2" a="1"/>
  <c r="R69" i="2"/>
  <c r="S69" i="2" a="1"/>
  <c r="S69" i="2"/>
  <c r="T69" i="2" a="1"/>
  <c r="T69" i="2"/>
  <c r="U69" i="2" a="1"/>
  <c r="U69" i="2"/>
  <c r="V69" i="2" a="1"/>
  <c r="V69" i="2"/>
  <c r="W69" i="2" a="1"/>
  <c r="W69" i="2"/>
  <c r="X69" i="2" a="1"/>
  <c r="X69" i="2"/>
  <c r="Y69" i="2" a="1"/>
  <c r="Y69" i="2"/>
  <c r="Z69" i="2" a="1"/>
  <c r="Z69" i="2"/>
  <c r="AA69" i="2" a="1"/>
  <c r="AA69" i="2"/>
  <c r="AB69" i="2" a="1"/>
  <c r="AB69" i="2"/>
  <c r="AC69" i="2" a="1"/>
  <c r="AC69" i="2"/>
  <c r="AD69" i="2" a="1"/>
  <c r="AD69" i="2"/>
  <c r="AE69" i="2" a="1"/>
  <c r="AE69" i="2"/>
  <c r="AF69" i="2" a="1"/>
  <c r="AF69" i="2"/>
  <c r="AG69" i="2" a="1"/>
  <c r="AG69" i="2"/>
  <c r="AH69" i="2" a="1"/>
  <c r="AH69" i="2"/>
  <c r="AI69" i="2" a="1"/>
  <c r="AI69" i="2"/>
  <c r="AJ69" i="2" a="1"/>
  <c r="AJ69" i="2"/>
  <c r="AK69" i="2" a="1"/>
  <c r="AK69" i="2"/>
  <c r="AL69" i="2" a="1"/>
  <c r="AL69" i="2"/>
  <c r="AM69" i="2" a="1"/>
  <c r="AM69" i="2"/>
  <c r="AN69" i="2" a="1"/>
  <c r="AN69" i="2"/>
  <c r="AO69" i="2" a="1"/>
  <c r="AO69" i="2"/>
  <c r="AP69" i="2" a="1"/>
  <c r="AP69" i="2"/>
  <c r="AQ69" i="2" a="1"/>
  <c r="AQ69" i="2"/>
  <c r="AR69" i="2" a="1"/>
  <c r="AR69" i="2"/>
  <c r="AS69" i="2" a="1"/>
  <c r="AS69" i="2"/>
  <c r="AT69" i="2" a="1"/>
  <c r="AT69" i="2"/>
  <c r="AU69" i="2" a="1"/>
  <c r="AU69" i="2"/>
  <c r="AV69" i="2" a="1"/>
  <c r="AV69" i="2"/>
  <c r="AW69" i="2" a="1"/>
  <c r="AW69" i="2"/>
  <c r="AX69" i="2" a="1"/>
  <c r="AX69" i="2"/>
  <c r="AY69" i="2" a="1"/>
  <c r="AY69" i="2"/>
  <c r="AZ69" i="2" a="1"/>
  <c r="AZ69" i="2"/>
  <c r="BA69" i="2" a="1"/>
  <c r="BA69" i="2"/>
  <c r="BB69" i="2" a="1"/>
  <c r="BB69" i="2"/>
  <c r="BC69" i="2" a="1"/>
  <c r="BC69" i="2"/>
  <c r="BD69" i="2" a="1"/>
  <c r="BD69" i="2"/>
  <c r="BE69" i="2" a="1"/>
  <c r="BE69" i="2"/>
  <c r="BF69" i="2" a="1"/>
  <c r="BF69" i="2"/>
  <c r="BG69" i="2" a="1"/>
  <c r="BG69" i="2"/>
  <c r="D70" i="2"/>
  <c r="D70" i="2" a="1"/>
  <c r="E70" i="2"/>
  <c r="E70" i="2" a="1"/>
  <c r="F70" i="2"/>
  <c r="F70" i="2" a="1"/>
  <c r="G70" i="2"/>
  <c r="G70" i="2" a="1"/>
  <c r="H70" i="2"/>
  <c r="H70" i="2" a="1"/>
  <c r="I70" i="2"/>
  <c r="I70" i="2" a="1"/>
  <c r="J70" i="2"/>
  <c r="J70" i="2" a="1"/>
  <c r="K70" i="2"/>
  <c r="K70" i="2" a="1"/>
  <c r="L70" i="2"/>
  <c r="L70" i="2" a="1"/>
  <c r="M70" i="2"/>
  <c r="M70" i="2" a="1"/>
  <c r="N70" i="2"/>
  <c r="N70" i="2" a="1"/>
  <c r="O70" i="2"/>
  <c r="O70" i="2" a="1"/>
  <c r="P70" i="2"/>
  <c r="P70" i="2" a="1"/>
  <c r="Q70" i="2"/>
  <c r="Q70" i="2" a="1"/>
  <c r="R70" i="2"/>
  <c r="R70" i="2" a="1"/>
  <c r="S70" i="2"/>
  <c r="S70" i="2" a="1"/>
  <c r="T70" i="2"/>
  <c r="T70" i="2" a="1"/>
  <c r="U70" i="2"/>
  <c r="U70" i="2" a="1"/>
  <c r="V70" i="2"/>
  <c r="V70" i="2" a="1"/>
  <c r="W70" i="2"/>
  <c r="W70" i="2" a="1"/>
  <c r="X70" i="2"/>
  <c r="X70" i="2" a="1"/>
  <c r="Y70" i="2"/>
  <c r="Y70" i="2" a="1"/>
  <c r="Z70" i="2"/>
  <c r="Z70" i="2" a="1"/>
  <c r="AA70" i="2"/>
  <c r="AA70" i="2" a="1"/>
  <c r="AB70" i="2"/>
  <c r="AB70" i="2" a="1"/>
  <c r="AC70" i="2"/>
  <c r="AC70" i="2" a="1"/>
  <c r="AD70" i="2"/>
  <c r="AD70" i="2" a="1"/>
  <c r="AE70" i="2"/>
  <c r="AE70" i="2" a="1"/>
  <c r="AF70" i="2"/>
  <c r="AF70" i="2" a="1"/>
  <c r="AG70" i="2"/>
  <c r="AG70" i="2" a="1"/>
  <c r="AH70" i="2"/>
  <c r="AH70" i="2" a="1"/>
  <c r="AI70" i="2"/>
  <c r="AI70" i="2" a="1"/>
  <c r="AJ70" i="2"/>
  <c r="AJ70" i="2" a="1"/>
  <c r="AK70" i="2"/>
  <c r="AK70" i="2" a="1"/>
  <c r="AL70" i="2"/>
  <c r="AL70" i="2" a="1"/>
  <c r="AM70" i="2"/>
  <c r="AM70" i="2" a="1"/>
  <c r="AN70" i="2"/>
  <c r="AN70" i="2" a="1"/>
  <c r="AO70" i="2"/>
  <c r="AO70" i="2" a="1"/>
  <c r="AP70" i="2"/>
  <c r="AP70" i="2" a="1"/>
  <c r="AQ70" i="2"/>
  <c r="AQ70" i="2" a="1"/>
  <c r="AR70" i="2"/>
  <c r="AR70" i="2" a="1"/>
  <c r="AS70" i="2"/>
  <c r="AS70" i="2" a="1"/>
  <c r="AT70" i="2"/>
  <c r="AT70" i="2" a="1"/>
  <c r="AU70" i="2"/>
  <c r="AU70" i="2" a="1"/>
  <c r="AV70" i="2"/>
  <c r="AV70" i="2" a="1"/>
  <c r="AW70" i="2"/>
  <c r="AW70" i="2" a="1"/>
  <c r="AX70" i="2" a="1"/>
  <c r="AX70" i="2"/>
  <c r="CO70" i="2"/>
  <c r="AY70" i="2"/>
  <c r="AY70" i="2" a="1"/>
  <c r="AZ70" i="2"/>
  <c r="AZ70" i="2" a="1"/>
  <c r="BA70" i="2"/>
  <c r="BA70" i="2" a="1"/>
  <c r="BB70" i="2"/>
  <c r="BB70" i="2" a="1"/>
  <c r="BC70" i="2"/>
  <c r="BC70" i="2" a="1"/>
  <c r="BD70" i="2"/>
  <c r="BD70" i="2" a="1"/>
  <c r="BE70" i="2" a="1"/>
  <c r="BE70" i="2"/>
  <c r="BF70" i="2"/>
  <c r="BF70" i="2" a="1"/>
  <c r="BG70" i="2" a="1"/>
  <c r="BG70" i="2"/>
  <c r="D81" i="2"/>
  <c r="B1" i="3" a="1"/>
  <c r="O1" i="3"/>
  <c r="AE1" i="3"/>
  <c r="AQ1" i="3"/>
  <c r="BF1" i="3"/>
  <c r="BV1" i="3"/>
  <c r="G2" i="3"/>
  <c r="S2" i="3"/>
  <c r="AI2" i="3"/>
  <c r="AX2" i="3"/>
  <c r="BK2" i="3"/>
  <c r="CA2" i="3"/>
  <c r="K3" i="3"/>
  <c r="Z3" i="3"/>
  <c r="AP3" i="3"/>
  <c r="BC3" i="3"/>
  <c r="BO3" i="3"/>
  <c r="CB3" i="3"/>
  <c r="I4" i="3"/>
  <c r="R4" i="3"/>
  <c r="AC4" i="3"/>
  <c r="AL4" i="3"/>
  <c r="AT4" i="3"/>
  <c r="BE4" i="3"/>
  <c r="BN4" i="3"/>
  <c r="BX4" i="3"/>
  <c r="C41" i="3" a="1"/>
  <c r="H41" i="3"/>
  <c r="U41" i="3"/>
  <c r="AF41" i="3"/>
  <c r="AR41" i="3"/>
  <c r="BB41" i="3"/>
  <c r="G42" i="3"/>
  <c r="S42" i="3"/>
  <c r="AC42" i="3"/>
  <c r="AM42" i="3"/>
  <c r="AU42" i="3"/>
  <c r="BC42" i="3"/>
  <c r="CH59" i="3"/>
  <c r="CH60" i="3"/>
  <c r="AJ15" i="4"/>
  <c r="AL15" i="4"/>
  <c r="AN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I15" i="4"/>
  <c r="AJ16" i="4"/>
  <c r="AK16" i="4"/>
  <c r="AK15" i="4"/>
  <c r="AL16" i="4"/>
  <c r="AM16" i="4"/>
  <c r="AM15" i="4"/>
  <c r="AN16" i="4"/>
  <c r="AO16" i="4"/>
  <c r="AO15" i="4"/>
  <c r="A17" i="4"/>
  <c r="B17" i="4"/>
  <c r="C17" i="4"/>
  <c r="D17" i="4"/>
  <c r="D15" i="4"/>
  <c r="E17" i="4"/>
  <c r="F17" i="4"/>
  <c r="G17" i="4"/>
  <c r="H17" i="4"/>
  <c r="H15" i="4"/>
  <c r="I17" i="4"/>
  <c r="J17" i="4"/>
  <c r="K17" i="4"/>
  <c r="L17" i="4"/>
  <c r="L15" i="4"/>
  <c r="M17" i="4"/>
  <c r="N17" i="4"/>
  <c r="O17" i="4"/>
  <c r="P17" i="4"/>
  <c r="P15" i="4"/>
  <c r="Q17" i="4"/>
  <c r="R17" i="4"/>
  <c r="S17" i="4"/>
  <c r="T17" i="4"/>
  <c r="T15" i="4"/>
  <c r="U17" i="4"/>
  <c r="V17" i="4"/>
  <c r="W17" i="4"/>
  <c r="X17" i="4"/>
  <c r="X15" i="4"/>
  <c r="Y17" i="4"/>
  <c r="Z17" i="4"/>
  <c r="AA17" i="4"/>
  <c r="AB17" i="4"/>
  <c r="AB15" i="4"/>
  <c r="AC17" i="4"/>
  <c r="AD17" i="4"/>
  <c r="AE17" i="4"/>
  <c r="AF17" i="4"/>
  <c r="AF15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I29" i="4"/>
  <c r="AJ29" i="4"/>
  <c r="AK29" i="4"/>
  <c r="AL29" i="4"/>
  <c r="AM29" i="4"/>
  <c r="AN29" i="4"/>
  <c r="AO29" i="4"/>
  <c r="AI30" i="4"/>
  <c r="AJ30" i="4"/>
  <c r="AK30" i="4"/>
  <c r="AL30" i="4"/>
  <c r="AM30" i="4"/>
  <c r="AN30" i="4"/>
  <c r="AO30" i="4"/>
  <c r="AI31" i="4"/>
  <c r="AJ31" i="4"/>
  <c r="AK31" i="4"/>
  <c r="AL31" i="4"/>
  <c r="AM31" i="4"/>
  <c r="AN31" i="4"/>
  <c r="AO31" i="4"/>
  <c r="AI32" i="4"/>
  <c r="AJ32" i="4"/>
  <c r="AK32" i="4"/>
  <c r="AL32" i="4"/>
  <c r="AM32" i="4"/>
  <c r="AN32" i="4"/>
  <c r="AO32" i="4"/>
  <c r="AI33" i="4"/>
  <c r="AJ33" i="4"/>
  <c r="AK33" i="4"/>
  <c r="AL33" i="4"/>
  <c r="AM33" i="4"/>
  <c r="AN33" i="4"/>
  <c r="AO33" i="4"/>
  <c r="AI34" i="4"/>
  <c r="AJ34" i="4"/>
  <c r="AK34" i="4"/>
  <c r="AL34" i="4"/>
  <c r="AM34" i="4"/>
  <c r="AN34" i="4"/>
  <c r="AO34" i="4"/>
  <c r="AI35" i="4"/>
  <c r="AJ35" i="4"/>
  <c r="AK35" i="4"/>
  <c r="AL35" i="4"/>
  <c r="AM35" i="4"/>
  <c r="AN35" i="4"/>
  <c r="AO35" i="4"/>
  <c r="AI36" i="4"/>
  <c r="AJ36" i="4"/>
  <c r="AK36" i="4"/>
  <c r="AL36" i="4"/>
  <c r="AM36" i="4"/>
  <c r="AN36" i="4"/>
  <c r="AO36" i="4"/>
  <c r="AI37" i="4"/>
  <c r="AJ37" i="4"/>
  <c r="AK37" i="4"/>
  <c r="AL37" i="4"/>
  <c r="AM37" i="4"/>
  <c r="AN37" i="4"/>
  <c r="AO37" i="4"/>
  <c r="AI38" i="4"/>
  <c r="AJ38" i="4"/>
  <c r="AK38" i="4"/>
  <c r="AL38" i="4"/>
  <c r="AM38" i="4"/>
  <c r="AN38" i="4"/>
  <c r="AO38" i="4"/>
  <c r="AI39" i="4"/>
  <c r="AJ39" i="4"/>
  <c r="AK39" i="4"/>
  <c r="AL39" i="4"/>
  <c r="AM39" i="4"/>
  <c r="AN39" i="4"/>
  <c r="AO39" i="4"/>
  <c r="AI41" i="4"/>
  <c r="AJ41" i="4"/>
  <c r="AJ42" i="4"/>
  <c r="AK41" i="4"/>
  <c r="AL41" i="4"/>
  <c r="AL42" i="4"/>
  <c r="AM41" i="4"/>
  <c r="AN41" i="4"/>
  <c r="AN42" i="4"/>
  <c r="AO41" i="4"/>
  <c r="AI42" i="4"/>
  <c r="AK42" i="4"/>
  <c r="AM42" i="4"/>
  <c r="AO42" i="4"/>
  <c r="H43" i="4"/>
  <c r="D44" i="4" a="1"/>
  <c r="D44" i="4"/>
  <c r="E44" i="4"/>
  <c r="D45" i="4" a="1"/>
  <c r="D45" i="4"/>
  <c r="E45" i="4"/>
  <c r="L45" i="4"/>
  <c r="D46" i="4"/>
  <c r="D46" i="4" a="1"/>
  <c r="E46" i="4"/>
  <c r="D47" i="4"/>
  <c r="D47" i="4" a="1"/>
  <c r="E47" i="4"/>
  <c r="D48" i="4" a="1"/>
  <c r="D48" i="4"/>
  <c r="E48" i="4"/>
  <c r="D49" i="4" a="1"/>
  <c r="D49" i="4"/>
  <c r="E49" i="4"/>
  <c r="D50" i="4"/>
  <c r="D50" i="4" a="1"/>
  <c r="E50" i="4"/>
  <c r="D51" i="4" a="1"/>
  <c r="D51" i="4"/>
  <c r="E51" i="4"/>
  <c r="D52" i="4" a="1"/>
  <c r="D52" i="4"/>
  <c r="E52" i="4"/>
  <c r="D53" i="4" a="1"/>
  <c r="D53" i="4"/>
  <c r="E53" i="4"/>
  <c r="D54" i="4"/>
  <c r="D54" i="4" a="1"/>
  <c r="E54" i="4"/>
  <c r="D55" i="4" a="1"/>
  <c r="D55" i="4"/>
  <c r="E55" i="4"/>
  <c r="D56" i="4" a="1"/>
  <c r="D56" i="4"/>
  <c r="E56" i="4"/>
  <c r="D57" i="4" a="1"/>
  <c r="D57" i="4"/>
  <c r="E57" i="4"/>
  <c r="D58" i="4"/>
  <c r="D58" i="4" a="1"/>
  <c r="E58" i="4"/>
  <c r="D59" i="4" a="1"/>
  <c r="D59" i="4"/>
  <c r="E59" i="4"/>
  <c r="D60" i="4" a="1"/>
  <c r="D60" i="4"/>
  <c r="E60" i="4"/>
  <c r="D61" i="4" a="1"/>
  <c r="D61" i="4"/>
  <c r="E61" i="4"/>
  <c r="D62" i="4"/>
  <c r="D62" i="4" a="1"/>
  <c r="E62" i="4"/>
  <c r="D63" i="4" a="1"/>
  <c r="D63" i="4"/>
  <c r="E63" i="4"/>
  <c r="D64" i="4" a="1"/>
  <c r="D64" i="4"/>
  <c r="E64" i="4"/>
  <c r="D65" i="4" a="1"/>
  <c r="D65" i="4"/>
  <c r="E65" i="4"/>
  <c r="D66" i="4"/>
  <c r="D66" i="4" a="1"/>
  <c r="E66" i="4"/>
  <c r="D67" i="4" a="1"/>
  <c r="D67" i="4"/>
  <c r="E67" i="4"/>
  <c r="D68" i="4"/>
  <c r="D68" i="4" a="1"/>
  <c r="E68" i="4"/>
  <c r="D69" i="4" a="1"/>
  <c r="D69" i="4"/>
  <c r="E69" i="4"/>
  <c r="D70" i="4"/>
  <c r="D70" i="4" a="1"/>
  <c r="E70" i="4"/>
  <c r="D71" i="4" a="1"/>
  <c r="D71" i="4"/>
  <c r="E71" i="4"/>
  <c r="D72" i="4"/>
  <c r="D72" i="4" a="1"/>
  <c r="E72" i="4"/>
  <c r="D73" i="4" a="1"/>
  <c r="D73" i="4"/>
  <c r="E73" i="4"/>
  <c r="D74" i="4"/>
  <c r="D74" i="4" a="1"/>
  <c r="E74" i="4"/>
  <c r="D75" i="4" a="1"/>
  <c r="D75" i="4"/>
  <c r="E75" i="4"/>
  <c r="D76" i="4"/>
  <c r="D76" i="4" a="1"/>
  <c r="E76" i="4"/>
  <c r="D77" i="4" a="1"/>
  <c r="D77" i="4"/>
  <c r="E77" i="4"/>
  <c r="D78" i="4"/>
  <c r="D78" i="4" a="1"/>
  <c r="E78" i="4"/>
  <c r="D79" i="4" a="1"/>
  <c r="D79" i="4"/>
  <c r="E79" i="4"/>
  <c r="D80" i="4"/>
  <c r="D80" i="4" a="1"/>
  <c r="E80" i="4"/>
  <c r="D81" i="4" a="1"/>
  <c r="D81" i="4"/>
  <c r="E81" i="4"/>
  <c r="D82" i="4"/>
  <c r="D82" i="4" a="1"/>
  <c r="E82" i="4"/>
  <c r="D83" i="4" a="1"/>
  <c r="D83" i="4"/>
  <c r="E83" i="4"/>
  <c r="D84" i="4"/>
  <c r="D84" i="4" a="1"/>
  <c r="E84" i="4"/>
  <c r="D85" i="4" a="1"/>
  <c r="D85" i="4"/>
  <c r="E85" i="4"/>
  <c r="D86" i="4"/>
  <c r="D86" i="4" a="1"/>
  <c r="E86" i="4"/>
  <c r="D87" i="4" a="1"/>
  <c r="D87" i="4"/>
  <c r="E87" i="4"/>
  <c r="D88" i="4"/>
  <c r="D88" i="4" a="1"/>
  <c r="E88" i="4"/>
  <c r="D89" i="4" a="1"/>
  <c r="D89" i="4"/>
  <c r="E89" i="4"/>
  <c r="D90" i="4"/>
  <c r="D90" i="4" a="1"/>
  <c r="E90" i="4"/>
  <c r="D91" i="4" a="1"/>
  <c r="D91" i="4"/>
  <c r="E91" i="4"/>
  <c r="E5" i="5"/>
  <c r="G5" i="5"/>
  <c r="J5" i="5"/>
  <c r="G2" i="6"/>
  <c r="E6" i="5"/>
  <c r="G6" i="5"/>
  <c r="H6" i="5"/>
  <c r="E3" i="6" s="1"/>
  <c r="J6" i="5"/>
  <c r="O6" i="5"/>
  <c r="E7" i="5"/>
  <c r="G7" i="5"/>
  <c r="J7" i="5"/>
  <c r="O7" i="5"/>
  <c r="E8" i="5"/>
  <c r="G8" i="5"/>
  <c r="J8" i="5"/>
  <c r="O8" i="5"/>
  <c r="E9" i="5"/>
  <c r="G9" i="5"/>
  <c r="J9" i="5"/>
  <c r="E10" i="5"/>
  <c r="G10" i="5"/>
  <c r="H10" i="5"/>
  <c r="E7" i="6" s="1"/>
  <c r="J10" i="5"/>
  <c r="E11" i="5"/>
  <c r="G11" i="5"/>
  <c r="J11" i="5"/>
  <c r="E12" i="5"/>
  <c r="G12" i="5"/>
  <c r="J12" i="5"/>
  <c r="E13" i="5"/>
  <c r="G13" i="5"/>
  <c r="H13" i="5"/>
  <c r="E10" i="6" s="1"/>
  <c r="J13" i="5"/>
  <c r="E14" i="5"/>
  <c r="G14" i="5"/>
  <c r="J14" i="5"/>
  <c r="E15" i="5"/>
  <c r="G15" i="5"/>
  <c r="J15" i="5"/>
  <c r="E16" i="5"/>
  <c r="G16" i="5"/>
  <c r="J16" i="5"/>
  <c r="G13" i="6"/>
  <c r="E17" i="5"/>
  <c r="G17" i="5"/>
  <c r="H17" i="5"/>
  <c r="E14" i="6" s="1"/>
  <c r="J17" i="5"/>
  <c r="G14" i="6"/>
  <c r="E18" i="5"/>
  <c r="G18" i="5"/>
  <c r="H18" i="5"/>
  <c r="J18" i="5"/>
  <c r="G15" i="6"/>
  <c r="E19" i="5"/>
  <c r="G19" i="5"/>
  <c r="J19" i="5"/>
  <c r="G16" i="6"/>
  <c r="E20" i="5"/>
  <c r="G20" i="5"/>
  <c r="H20" i="5"/>
  <c r="E17" i="6"/>
  <c r="J20" i="5"/>
  <c r="G17" i="6"/>
  <c r="E21" i="5"/>
  <c r="G21" i="5"/>
  <c r="J21" i="5"/>
  <c r="G18" i="6"/>
  <c r="E22" i="5"/>
  <c r="G22" i="5"/>
  <c r="H22" i="5"/>
  <c r="E19" i="6" s="1"/>
  <c r="J22" i="5"/>
  <c r="G19" i="6"/>
  <c r="E23" i="5"/>
  <c r="G23" i="5"/>
  <c r="H23" i="5"/>
  <c r="E20" i="6" s="1"/>
  <c r="J23" i="5"/>
  <c r="G20" i="6"/>
  <c r="E24" i="5"/>
  <c r="G24" i="5"/>
  <c r="J24" i="5"/>
  <c r="G21" i="6"/>
  <c r="E25" i="5"/>
  <c r="G25" i="5"/>
  <c r="H25" i="5"/>
  <c r="E22" i="6" s="1"/>
  <c r="J25" i="5"/>
  <c r="G22" i="6"/>
  <c r="E26" i="5"/>
  <c r="G26" i="5"/>
  <c r="J26" i="5"/>
  <c r="G23" i="6"/>
  <c r="E27" i="5"/>
  <c r="G27" i="5"/>
  <c r="J27" i="5"/>
  <c r="G24" i="6"/>
  <c r="E28" i="5"/>
  <c r="G28" i="5"/>
  <c r="J28" i="5"/>
  <c r="G25" i="6"/>
  <c r="E29" i="5"/>
  <c r="G29" i="5"/>
  <c r="H29" i="5"/>
  <c r="E26" i="6" s="1"/>
  <c r="J29" i="5"/>
  <c r="G26" i="6"/>
  <c r="E30" i="5"/>
  <c r="G30" i="5"/>
  <c r="J30" i="5"/>
  <c r="G27" i="6"/>
  <c r="E31" i="5"/>
  <c r="G31" i="5"/>
  <c r="J31" i="5"/>
  <c r="G28" i="6"/>
  <c r="E32" i="5"/>
  <c r="G32" i="5"/>
  <c r="H32" i="5"/>
  <c r="E29" i="6" s="1"/>
  <c r="J32" i="5"/>
  <c r="G29" i="6"/>
  <c r="E33" i="5"/>
  <c r="G33" i="5"/>
  <c r="J33" i="5"/>
  <c r="G30" i="6"/>
  <c r="E34" i="5"/>
  <c r="G34" i="5"/>
  <c r="H34" i="5"/>
  <c r="E31" i="6" s="1"/>
  <c r="J34" i="5"/>
  <c r="G31" i="6"/>
  <c r="E35" i="5"/>
  <c r="G35" i="5"/>
  <c r="J35" i="5"/>
  <c r="G32" i="6"/>
  <c r="E36" i="5"/>
  <c r="G36" i="5"/>
  <c r="H36" i="5"/>
  <c r="E33" i="6" s="1"/>
  <c r="J36" i="5"/>
  <c r="G33" i="6"/>
  <c r="E37" i="5"/>
  <c r="G37" i="5"/>
  <c r="J37" i="5"/>
  <c r="G34" i="6"/>
  <c r="E38" i="5"/>
  <c r="G38" i="5"/>
  <c r="H38" i="5"/>
  <c r="J38" i="5"/>
  <c r="G35" i="6"/>
  <c r="E39" i="5"/>
  <c r="G39" i="5"/>
  <c r="H39" i="5"/>
  <c r="E36" i="6" s="1"/>
  <c r="J39" i="5"/>
  <c r="E40" i="5"/>
  <c r="G40" i="5"/>
  <c r="H40" i="5"/>
  <c r="E37" i="6" s="1"/>
  <c r="J40" i="5"/>
  <c r="G37" i="6"/>
  <c r="E41" i="5"/>
  <c r="G41" i="5"/>
  <c r="H41" i="5"/>
  <c r="E38" i="6" s="1"/>
  <c r="J41" i="5"/>
  <c r="E42" i="5"/>
  <c r="G42" i="5"/>
  <c r="H42" i="5"/>
  <c r="E39" i="6" s="1"/>
  <c r="J42" i="5"/>
  <c r="G39" i="6"/>
  <c r="E43" i="5"/>
  <c r="G43" i="5"/>
  <c r="H43" i="5"/>
  <c r="J43" i="5"/>
  <c r="E44" i="5"/>
  <c r="G44" i="5"/>
  <c r="J44" i="5"/>
  <c r="G41" i="6"/>
  <c r="E45" i="5"/>
  <c r="G45" i="5"/>
  <c r="J45" i="5"/>
  <c r="E46" i="5"/>
  <c r="G46" i="5"/>
  <c r="H46" i="5"/>
  <c r="J46" i="5"/>
  <c r="G43" i="6"/>
  <c r="E47" i="5"/>
  <c r="G47" i="5"/>
  <c r="H47" i="5"/>
  <c r="E44" i="6" s="1"/>
  <c r="J47" i="5"/>
  <c r="E48" i="5"/>
  <c r="G48" i="5"/>
  <c r="J48" i="5"/>
  <c r="G45" i="6"/>
  <c r="E49" i="5"/>
  <c r="G49" i="5"/>
  <c r="J49" i="5"/>
  <c r="E50" i="5"/>
  <c r="G50" i="5"/>
  <c r="H50" i="5"/>
  <c r="J50" i="5"/>
  <c r="G47" i="6"/>
  <c r="E51" i="5"/>
  <c r="G51" i="5"/>
  <c r="J51" i="5"/>
  <c r="E52" i="5"/>
  <c r="G52" i="5"/>
  <c r="J52" i="5"/>
  <c r="G49" i="6"/>
  <c r="A4" i="7"/>
  <c r="A5" i="7"/>
  <c r="C1" i="1" a="1"/>
  <c r="C1" i="1"/>
  <c r="C2" i="1" a="1"/>
  <c r="C2" i="1"/>
  <c r="C3" i="1" a="1"/>
  <c r="C3" i="1"/>
  <c r="A5" i="1"/>
  <c r="W5" i="1"/>
  <c r="X5" i="1"/>
  <c r="A6" i="1"/>
  <c r="W6" i="1"/>
  <c r="X6" i="1"/>
  <c r="A7" i="1"/>
  <c r="W7" i="1"/>
  <c r="X7" i="1"/>
  <c r="A8" i="1"/>
  <c r="W8" i="1"/>
  <c r="X8" i="1"/>
  <c r="A9" i="1"/>
  <c r="W9" i="1"/>
  <c r="X9" i="1"/>
  <c r="A10" i="1"/>
  <c r="W10" i="1"/>
  <c r="X10" i="1"/>
  <c r="A11" i="1"/>
  <c r="W11" i="1"/>
  <c r="X11" i="1"/>
  <c r="A12" i="1"/>
  <c r="W12" i="1"/>
  <c r="X12" i="1"/>
  <c r="A13" i="1"/>
  <c r="W13" i="1"/>
  <c r="X13" i="1"/>
  <c r="A14" i="1"/>
  <c r="W14" i="1"/>
  <c r="X14" i="1"/>
  <c r="A15" i="1"/>
  <c r="W15" i="1"/>
  <c r="X15" i="1"/>
  <c r="A16" i="1"/>
  <c r="W16" i="1"/>
  <c r="X16" i="1"/>
  <c r="A17" i="1"/>
  <c r="W17" i="1"/>
  <c r="X17" i="1"/>
  <c r="A18" i="1"/>
  <c r="W18" i="1"/>
  <c r="X18" i="1"/>
  <c r="A19" i="1"/>
  <c r="W19" i="1"/>
  <c r="X19" i="1"/>
  <c r="A20" i="1"/>
  <c r="W20" i="1"/>
  <c r="X20" i="1"/>
  <c r="A21" i="1"/>
  <c r="W21" i="1"/>
  <c r="X21" i="1"/>
  <c r="A22" i="1"/>
  <c r="W22" i="1"/>
  <c r="X22" i="1"/>
  <c r="A23" i="1"/>
  <c r="W23" i="1"/>
  <c r="X23" i="1"/>
  <c r="A24" i="1"/>
  <c r="W24" i="1"/>
  <c r="X24" i="1"/>
  <c r="A25" i="1"/>
  <c r="W25" i="1"/>
  <c r="X25" i="1"/>
  <c r="A26" i="1"/>
  <c r="W26" i="1"/>
  <c r="X26" i="1"/>
  <c r="A27" i="1"/>
  <c r="W27" i="1"/>
  <c r="X27" i="1"/>
  <c r="A28" i="1"/>
  <c r="W28" i="1"/>
  <c r="X28" i="1"/>
  <c r="A29" i="1"/>
  <c r="W29" i="1"/>
  <c r="X29" i="1"/>
  <c r="A30" i="1"/>
  <c r="W30" i="1"/>
  <c r="X30" i="1"/>
  <c r="A31" i="1"/>
  <c r="W31" i="1"/>
  <c r="X31" i="1"/>
  <c r="A32" i="1"/>
  <c r="W32" i="1"/>
  <c r="X32" i="1"/>
  <c r="A33" i="1"/>
  <c r="W33" i="1"/>
  <c r="X33" i="1"/>
  <c r="A34" i="1"/>
  <c r="W34" i="1"/>
  <c r="X34" i="1"/>
  <c r="A35" i="1"/>
  <c r="W35" i="1"/>
  <c r="X35" i="1"/>
  <c r="A36" i="1"/>
  <c r="W36" i="1"/>
  <c r="X36" i="1"/>
  <c r="A37" i="1"/>
  <c r="W37" i="1"/>
  <c r="X37" i="1"/>
  <c r="A38" i="1"/>
  <c r="W38" i="1"/>
  <c r="X38" i="1"/>
  <c r="A39" i="1"/>
  <c r="W39" i="1"/>
  <c r="X39" i="1"/>
  <c r="A40" i="1"/>
  <c r="W40" i="1"/>
  <c r="X40" i="1"/>
  <c r="A41" i="1"/>
  <c r="W41" i="1"/>
  <c r="X41" i="1"/>
  <c r="A42" i="1"/>
  <c r="W42" i="1"/>
  <c r="X42" i="1"/>
  <c r="A43" i="1"/>
  <c r="W43" i="1"/>
  <c r="X43" i="1"/>
  <c r="A44" i="1"/>
  <c r="W44" i="1"/>
  <c r="X44" i="1"/>
  <c r="A45" i="1"/>
  <c r="W45" i="1"/>
  <c r="X45" i="1"/>
  <c r="A46" i="1"/>
  <c r="W46" i="1"/>
  <c r="X46" i="1"/>
  <c r="A47" i="1"/>
  <c r="W47" i="1"/>
  <c r="X47" i="1"/>
  <c r="A48" i="1"/>
  <c r="W48" i="1"/>
  <c r="X48" i="1"/>
  <c r="A49" i="1"/>
  <c r="W49" i="1"/>
  <c r="X49" i="1"/>
  <c r="A50" i="1"/>
  <c r="W50" i="1"/>
  <c r="X50" i="1"/>
  <c r="A51" i="1"/>
  <c r="W51" i="1"/>
  <c r="X51" i="1"/>
  <c r="A52" i="1"/>
  <c r="W52" i="1"/>
  <c r="X52" i="1"/>
  <c r="A53" i="1"/>
  <c r="W53" i="1"/>
  <c r="X53" i="1"/>
  <c r="A54" i="1"/>
  <c r="W54" i="1"/>
  <c r="X54" i="1"/>
  <c r="A55" i="1"/>
  <c r="W55" i="1"/>
  <c r="X55" i="1"/>
  <c r="A56" i="1"/>
  <c r="W56" i="1"/>
  <c r="X56" i="1"/>
  <c r="A57" i="1"/>
  <c r="W57" i="1"/>
  <c r="X57" i="1"/>
  <c r="A58" i="1"/>
  <c r="W58" i="1"/>
  <c r="X58" i="1"/>
  <c r="O62" i="1"/>
  <c r="P62" i="1"/>
  <c r="Q62" i="1"/>
  <c r="R62" i="1"/>
  <c r="S62" i="1"/>
  <c r="T62" i="1"/>
  <c r="U62" i="1"/>
  <c r="V62" i="1"/>
  <c r="A2" i="6"/>
  <c r="A3" i="6"/>
  <c r="G3" i="6"/>
  <c r="A4" i="6"/>
  <c r="G4" i="6"/>
  <c r="A5" i="6"/>
  <c r="G5" i="6"/>
  <c r="A6" i="6"/>
  <c r="G6" i="6"/>
  <c r="A7" i="6"/>
  <c r="G7" i="6"/>
  <c r="A8" i="6"/>
  <c r="G8" i="6"/>
  <c r="A9" i="6"/>
  <c r="G9" i="6"/>
  <c r="A10" i="6"/>
  <c r="G10" i="6"/>
  <c r="A11" i="6"/>
  <c r="G11" i="6"/>
  <c r="A12" i="6"/>
  <c r="G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G36" i="6"/>
  <c r="A37" i="6"/>
  <c r="A38" i="6"/>
  <c r="G38" i="6"/>
  <c r="A39" i="6"/>
  <c r="A40" i="6"/>
  <c r="G40" i="6"/>
  <c r="A41" i="6"/>
  <c r="A42" i="6"/>
  <c r="G42" i="6"/>
  <c r="A43" i="6"/>
  <c r="A44" i="6"/>
  <c r="G44" i="6"/>
  <c r="A45" i="6"/>
  <c r="A46" i="6"/>
  <c r="G46" i="6"/>
  <c r="A47" i="6"/>
  <c r="A48" i="6"/>
  <c r="G48" i="6"/>
  <c r="A49" i="6"/>
  <c r="G1" i="3"/>
  <c r="R1" i="3"/>
  <c r="AA1" i="3"/>
  <c r="AM1" i="3"/>
  <c r="AX1" i="3"/>
  <c r="BG1" i="3"/>
  <c r="BS1" i="3"/>
  <c r="B2" i="3"/>
  <c r="K2" i="3"/>
  <c r="W2" i="3"/>
  <c r="AH2" i="3"/>
  <c r="AQ2" i="3"/>
  <c r="BC2" i="3"/>
  <c r="BN2" i="3"/>
  <c r="BW2" i="3"/>
  <c r="G3" i="3"/>
  <c r="R3" i="3"/>
  <c r="AA3" i="3"/>
  <c r="AM3" i="3"/>
  <c r="AX3" i="3"/>
  <c r="BG3" i="3"/>
  <c r="BS3" i="3"/>
  <c r="CA3" i="3"/>
  <c r="F4" i="3"/>
  <c r="M4" i="3"/>
  <c r="T4" i="3"/>
  <c r="AB4" i="3"/>
  <c r="AH4" i="3"/>
  <c r="AO4" i="3"/>
  <c r="AW4" i="3"/>
  <c r="BD4" i="3"/>
  <c r="BJ4" i="3"/>
  <c r="BR4" i="3"/>
  <c r="BY4" i="3"/>
  <c r="X62" i="1"/>
  <c r="E41" i="3"/>
  <c r="P41" i="3"/>
  <c r="Z41" i="3"/>
  <c r="AH41" i="3"/>
  <c r="AP41" i="3"/>
  <c r="AX41" i="3"/>
  <c r="BF41" i="3"/>
  <c r="I42" i="3"/>
  <c r="Q42" i="3"/>
  <c r="Y42" i="3"/>
  <c r="AG42" i="3"/>
  <c r="BU4" i="3"/>
  <c r="BM4" i="3"/>
  <c r="BB4" i="3"/>
  <c r="AS4" i="3"/>
  <c r="AJ4" i="3"/>
  <c r="Y4" i="3"/>
  <c r="Q4" i="3"/>
  <c r="H4" i="3"/>
  <c r="BZ3" i="3"/>
  <c r="BN3" i="3"/>
  <c r="AY3" i="3"/>
  <c r="AI3" i="3"/>
  <c r="W3" i="3"/>
  <c r="J3" i="3"/>
  <c r="BV2" i="3"/>
  <c r="BG2" i="3"/>
  <c r="AU2" i="3"/>
  <c r="AE2" i="3"/>
  <c r="R2" i="3"/>
  <c r="C2" i="3"/>
  <c r="BO1" i="3"/>
  <c r="BC1" i="3"/>
  <c r="AP1" i="3"/>
  <c r="Z1" i="3"/>
  <c r="K1" i="3"/>
  <c r="AY42" i="3"/>
  <c r="AQ42" i="3"/>
  <c r="AI42" i="3"/>
  <c r="W42" i="3"/>
  <c r="M42" i="3"/>
  <c r="C42" i="3"/>
  <c r="AV41" i="3"/>
  <c r="AL41" i="3"/>
  <c r="AB41" i="3"/>
  <c r="M41" i="3"/>
  <c r="CC4" i="3"/>
  <c r="BT4" i="3"/>
  <c r="BI4" i="3"/>
  <c r="AZ4" i="3"/>
  <c r="AR4" i="3"/>
  <c r="AG4" i="3"/>
  <c r="X4" i="3"/>
  <c r="N4" i="3"/>
  <c r="D4" i="3"/>
  <c r="BW3" i="3"/>
  <c r="BK3" i="3"/>
  <c r="AU3" i="3"/>
  <c r="AH3" i="3"/>
  <c r="S3" i="3"/>
  <c r="C3" i="3"/>
  <c r="BS2" i="3"/>
  <c r="BF2" i="3"/>
  <c r="AP2" i="3"/>
  <c r="AA2" i="3"/>
  <c r="O2" i="3"/>
  <c r="CA1" i="3"/>
  <c r="BN1" i="3"/>
  <c r="AY1" i="3"/>
  <c r="AI1" i="3"/>
  <c r="W1" i="3"/>
  <c r="J1" i="3"/>
  <c r="BA42" i="3"/>
  <c r="AS42" i="3"/>
  <c r="AK42" i="3"/>
  <c r="AA42" i="3"/>
  <c r="O42" i="3"/>
  <c r="E42" i="3"/>
  <c r="AZ41" i="3"/>
  <c r="AN41" i="3"/>
  <c r="AD41" i="3"/>
  <c r="S41" i="3"/>
  <c r="BE42" i="3"/>
  <c r="AW42" i="3"/>
  <c r="AO42" i="3"/>
  <c r="AE42" i="3"/>
  <c r="U42" i="3"/>
  <c r="K42" i="3"/>
  <c r="BD41" i="3"/>
  <c r="AT41" i="3"/>
  <c r="AJ41" i="3"/>
  <c r="X41" i="3"/>
  <c r="K41" i="3"/>
  <c r="BZ4" i="3"/>
  <c r="BP4" i="3"/>
  <c r="BH4" i="3"/>
  <c r="AX4" i="3"/>
  <c r="AN4" i="3"/>
  <c r="AD4" i="3"/>
  <c r="V4" i="3"/>
  <c r="L4" i="3"/>
  <c r="B4" i="3"/>
  <c r="BV3" i="3"/>
  <c r="BF3" i="3"/>
  <c r="AQ3" i="3"/>
  <c r="AE3" i="3"/>
  <c r="O3" i="3"/>
  <c r="B3" i="3"/>
  <c r="BO2" i="3"/>
  <c r="AY2" i="3"/>
  <c r="AM2" i="3"/>
  <c r="Z2" i="3"/>
  <c r="J2" i="3"/>
  <c r="BW1" i="3"/>
  <c r="BK1" i="3"/>
  <c r="AU1" i="3"/>
  <c r="AH1" i="3"/>
  <c r="S1" i="3"/>
  <c r="C1" i="3"/>
  <c r="BX4" i="2"/>
  <c r="BP4" i="2"/>
  <c r="BH4" i="2"/>
  <c r="AZ4" i="2"/>
  <c r="AR4" i="2"/>
  <c r="AJ4" i="2"/>
  <c r="AB4" i="2"/>
  <c r="T4" i="2"/>
  <c r="L4" i="2"/>
  <c r="D4" i="2"/>
  <c r="BX3" i="2"/>
  <c r="BP3" i="2"/>
  <c r="BH3" i="2"/>
  <c r="AZ3" i="2"/>
  <c r="AR3" i="2"/>
  <c r="AJ3" i="2"/>
  <c r="AB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J1" i="2"/>
  <c r="AB1" i="2"/>
  <c r="T1" i="2"/>
  <c r="L1" i="2"/>
  <c r="D1" i="2"/>
  <c r="W62" i="1"/>
  <c r="O9" i="5"/>
  <c r="D73" i="2" a="1"/>
  <c r="L46" i="4"/>
  <c r="AG15" i="4"/>
  <c r="AC15" i="4"/>
  <c r="Y15" i="4"/>
  <c r="U15" i="4"/>
  <c r="Q15" i="4"/>
  <c r="M15" i="4"/>
  <c r="I15" i="4"/>
  <c r="E15" i="4"/>
  <c r="A15" i="4"/>
  <c r="AH15" i="4"/>
  <c r="AD15" i="4"/>
  <c r="Z15" i="4"/>
  <c r="V15" i="4"/>
  <c r="R15" i="4"/>
  <c r="N15" i="4"/>
  <c r="J15" i="4"/>
  <c r="F15" i="4"/>
  <c r="B15" i="4"/>
  <c r="AE15" i="4"/>
  <c r="AA15" i="4"/>
  <c r="W15" i="4"/>
  <c r="S15" i="4"/>
  <c r="O15" i="4"/>
  <c r="K15" i="4"/>
  <c r="G15" i="4"/>
  <c r="C15" i="4"/>
  <c r="C41" i="3"/>
  <c r="F41" i="3"/>
  <c r="J41" i="3"/>
  <c r="N41" i="3"/>
  <c r="R41" i="3"/>
  <c r="V41" i="3"/>
  <c r="BF42" i="3"/>
  <c r="BB42" i="3"/>
  <c r="AX42" i="3"/>
  <c r="AT42" i="3"/>
  <c r="AP42" i="3"/>
  <c r="AL42" i="3"/>
  <c r="AH42" i="3"/>
  <c r="AD42" i="3"/>
  <c r="Z42" i="3"/>
  <c r="V42" i="3"/>
  <c r="R42" i="3"/>
  <c r="N42" i="3"/>
  <c r="J42" i="3"/>
  <c r="F42" i="3"/>
  <c r="BC41" i="3"/>
  <c r="AY41" i="3"/>
  <c r="AU41" i="3"/>
  <c r="AQ41" i="3"/>
  <c r="AM41" i="3"/>
  <c r="AI41" i="3"/>
  <c r="AE41" i="3"/>
  <c r="AA41" i="3"/>
  <c r="W41" i="3"/>
  <c r="Q41" i="3"/>
  <c r="L41" i="3"/>
  <c r="G41" i="3"/>
  <c r="BD42" i="3"/>
  <c r="AZ42" i="3"/>
  <c r="AV42" i="3"/>
  <c r="AR42" i="3"/>
  <c r="AN42" i="3"/>
  <c r="AJ42" i="3"/>
  <c r="AF42" i="3"/>
  <c r="AB42" i="3"/>
  <c r="X42" i="3"/>
  <c r="T42" i="3"/>
  <c r="P42" i="3"/>
  <c r="L42" i="3"/>
  <c r="H42" i="3"/>
  <c r="D42" i="3"/>
  <c r="BE41" i="3"/>
  <c r="BA41" i="3"/>
  <c r="AW41" i="3"/>
  <c r="AS41" i="3"/>
  <c r="AO41" i="3"/>
  <c r="AK41" i="3"/>
  <c r="AG41" i="3"/>
  <c r="AC41" i="3"/>
  <c r="Y41" i="3"/>
  <c r="T41" i="3"/>
  <c r="O41" i="3"/>
  <c r="I41" i="3"/>
  <c r="D41" i="3"/>
  <c r="B1" i="3"/>
  <c r="E1" i="3"/>
  <c r="I1" i="3"/>
  <c r="M1" i="3"/>
  <c r="Q1" i="3"/>
  <c r="U1" i="3"/>
  <c r="Y1" i="3"/>
  <c r="AC1" i="3"/>
  <c r="AG1" i="3"/>
  <c r="AK1" i="3"/>
  <c r="AO1" i="3"/>
  <c r="AS1" i="3"/>
  <c r="AW1" i="3"/>
  <c r="BA1" i="3"/>
  <c r="BE1" i="3"/>
  <c r="BI1" i="3"/>
  <c r="BM1" i="3"/>
  <c r="BQ1" i="3"/>
  <c r="BU1" i="3"/>
  <c r="BY1" i="3"/>
  <c r="CC1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E3" i="3"/>
  <c r="I3" i="3"/>
  <c r="M3" i="3"/>
  <c r="Q3" i="3"/>
  <c r="U3" i="3"/>
  <c r="Y3" i="3"/>
  <c r="AC3" i="3"/>
  <c r="AG3" i="3"/>
  <c r="AK3" i="3"/>
  <c r="AO3" i="3"/>
  <c r="AS3" i="3"/>
  <c r="AW3" i="3"/>
  <c r="BA3" i="3"/>
  <c r="BE3" i="3"/>
  <c r="BI3" i="3"/>
  <c r="BM3" i="3"/>
  <c r="BQ3" i="3"/>
  <c r="BU3" i="3"/>
  <c r="BY3" i="3"/>
  <c r="CC3" i="3"/>
  <c r="C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BK4" i="3"/>
  <c r="BO4" i="3"/>
  <c r="BS4" i="3"/>
  <c r="BW4" i="3"/>
  <c r="CA4" i="3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CB4" i="3"/>
  <c r="BV4" i="3"/>
  <c r="BQ4" i="3"/>
  <c r="BL4" i="3"/>
  <c r="BF4" i="3"/>
  <c r="BA4" i="3"/>
  <c r="AV4" i="3"/>
  <c r="AP4" i="3"/>
  <c r="AK4" i="3"/>
  <c r="AF4" i="3"/>
  <c r="Z4" i="3"/>
  <c r="U4" i="3"/>
  <c r="P4" i="3"/>
  <c r="J4" i="3"/>
  <c r="E4" i="3"/>
  <c r="BX3" i="3"/>
  <c r="BR3" i="3"/>
  <c r="BJ3" i="3"/>
  <c r="BB3" i="3"/>
  <c r="AT3" i="3"/>
  <c r="AL3" i="3"/>
  <c r="AD3" i="3"/>
  <c r="V3" i="3"/>
  <c r="N3" i="3"/>
  <c r="F3" i="3"/>
  <c r="BZ2" i="3"/>
  <c r="BR2" i="3"/>
  <c r="BJ2" i="3"/>
  <c r="BB2" i="3"/>
  <c r="AT2" i="3"/>
  <c r="AL2" i="3"/>
  <c r="AD2" i="3"/>
  <c r="V2" i="3"/>
  <c r="N2" i="3"/>
  <c r="F2" i="3"/>
  <c r="BZ1" i="3"/>
  <c r="BR1" i="3"/>
  <c r="BJ1" i="3"/>
  <c r="BB1" i="3"/>
  <c r="AT1" i="3"/>
  <c r="AL1" i="3"/>
  <c r="AD1" i="3"/>
  <c r="V1" i="3"/>
  <c r="N1" i="3"/>
  <c r="F1" i="3"/>
  <c r="CC4" i="2"/>
  <c r="BY4" i="2"/>
  <c r="BU4" i="2"/>
  <c r="BQ4" i="2"/>
  <c r="BM4" i="2"/>
  <c r="BI4" i="2"/>
  <c r="BE4" i="2"/>
  <c r="BA4" i="2"/>
  <c r="AW4" i="2"/>
  <c r="AS4" i="2"/>
  <c r="AO4" i="2"/>
  <c r="AK4" i="2"/>
  <c r="AG4" i="2"/>
  <c r="AC4" i="2"/>
  <c r="Y4" i="2"/>
  <c r="U4" i="2"/>
  <c r="Q4" i="2"/>
  <c r="M4" i="2"/>
  <c r="I4" i="2"/>
  <c r="E4" i="2"/>
  <c r="CC3" i="2"/>
  <c r="BY3" i="2"/>
  <c r="BU3" i="2"/>
  <c r="BQ3" i="2"/>
  <c r="BM3" i="2"/>
  <c r="BI3" i="2"/>
  <c r="BE3" i="2"/>
  <c r="BA3" i="2"/>
  <c r="AW3" i="2"/>
  <c r="AS3" i="2"/>
  <c r="AO3" i="2"/>
  <c r="AK3" i="2"/>
  <c r="AG3" i="2"/>
  <c r="AC3" i="2"/>
  <c r="Y3" i="2"/>
  <c r="U3" i="2"/>
  <c r="Q3" i="2"/>
  <c r="M3" i="2"/>
  <c r="I3" i="2"/>
  <c r="E3" i="2"/>
  <c r="CC2" i="2"/>
  <c r="BY2" i="2"/>
  <c r="BU2" i="2"/>
  <c r="BQ2" i="2"/>
  <c r="BM2" i="2"/>
  <c r="BI2" i="2"/>
  <c r="BE2" i="2"/>
  <c r="BA2" i="2"/>
  <c r="AW2" i="2"/>
  <c r="AS2" i="2"/>
  <c r="AO2" i="2"/>
  <c r="AK2" i="2"/>
  <c r="AG2" i="2"/>
  <c r="AC2" i="2"/>
  <c r="Y2" i="2"/>
  <c r="U2" i="2"/>
  <c r="Q2" i="2"/>
  <c r="M2" i="2"/>
  <c r="I2" i="2"/>
  <c r="E2" i="2"/>
  <c r="CC1" i="2"/>
  <c r="BY1" i="2"/>
  <c r="BU1" i="2"/>
  <c r="BQ1" i="2"/>
  <c r="BM1" i="2"/>
  <c r="BI1" i="2"/>
  <c r="BE1" i="2"/>
  <c r="BA1" i="2"/>
  <c r="AW1" i="2"/>
  <c r="AS1" i="2"/>
  <c r="AO1" i="2"/>
  <c r="AK1" i="2"/>
  <c r="AG1" i="2"/>
  <c r="AC1" i="2"/>
  <c r="Y1" i="2"/>
  <c r="U1" i="2"/>
  <c r="Q1" i="2"/>
  <c r="M1" i="2"/>
  <c r="I1" i="2"/>
  <c r="E1" i="2"/>
  <c r="CD4" i="2"/>
  <c r="BZ4" i="2"/>
  <c r="BV4" i="2"/>
  <c r="BR4" i="2"/>
  <c r="BN4" i="2"/>
  <c r="BJ4" i="2"/>
  <c r="BF4" i="2"/>
  <c r="BB4" i="2"/>
  <c r="AX4" i="2"/>
  <c r="AT4" i="2"/>
  <c r="AP4" i="2"/>
  <c r="AL4" i="2"/>
  <c r="AH4" i="2"/>
  <c r="AD4" i="2"/>
  <c r="Z4" i="2"/>
  <c r="V4" i="2"/>
  <c r="R4" i="2"/>
  <c r="N4" i="2"/>
  <c r="J4" i="2"/>
  <c r="F4" i="2"/>
  <c r="CD3" i="2"/>
  <c r="BZ3" i="2"/>
  <c r="BV3" i="2"/>
  <c r="BR3" i="2"/>
  <c r="BN3" i="2"/>
  <c r="BJ3" i="2"/>
  <c r="BF3" i="2"/>
  <c r="BB3" i="2"/>
  <c r="AX3" i="2"/>
  <c r="AT3" i="2"/>
  <c r="AP3" i="2"/>
  <c r="AL3" i="2"/>
  <c r="AH3" i="2"/>
  <c r="AD3" i="2"/>
  <c r="Z3" i="2"/>
  <c r="V3" i="2"/>
  <c r="R3" i="2"/>
  <c r="N3" i="2"/>
  <c r="J3" i="2"/>
  <c r="F3" i="2"/>
  <c r="CD2" i="2"/>
  <c r="BZ2" i="2"/>
  <c r="BV2" i="2"/>
  <c r="BR2" i="2"/>
  <c r="BN2" i="2"/>
  <c r="BJ2" i="2"/>
  <c r="BF2" i="2"/>
  <c r="BB2" i="2"/>
  <c r="AX2" i="2"/>
  <c r="AT2" i="2"/>
  <c r="AP2" i="2"/>
  <c r="AL2" i="2"/>
  <c r="AH2" i="2"/>
  <c r="AD2" i="2"/>
  <c r="Z2" i="2"/>
  <c r="V2" i="2"/>
  <c r="R2" i="2"/>
  <c r="N2" i="2"/>
  <c r="J2" i="2"/>
  <c r="F2" i="2"/>
  <c r="CD1" i="2"/>
  <c r="BZ1" i="2"/>
  <c r="BV1" i="2"/>
  <c r="BR1" i="2"/>
  <c r="BN1" i="2"/>
  <c r="BJ1" i="2"/>
  <c r="BF1" i="2"/>
  <c r="BB1" i="2"/>
  <c r="AX1" i="2"/>
  <c r="AT1" i="2"/>
  <c r="AP1" i="2"/>
  <c r="AL1" i="2"/>
  <c r="AH1" i="2"/>
  <c r="AD1" i="2"/>
  <c r="Z1" i="2"/>
  <c r="V1" i="2"/>
  <c r="R1" i="2"/>
  <c r="N1" i="2"/>
  <c r="J1" i="2"/>
  <c r="F1" i="2"/>
  <c r="CE42" i="3"/>
  <c r="L47" i="4"/>
  <c r="A6" i="7"/>
  <c r="D73" i="2"/>
  <c r="G73" i="2"/>
  <c r="K73" i="2"/>
  <c r="O73" i="2"/>
  <c r="S73" i="2"/>
  <c r="W73" i="2"/>
  <c r="AA73" i="2"/>
  <c r="AE73" i="2"/>
  <c r="AI73" i="2"/>
  <c r="AM73" i="2"/>
  <c r="AQ73" i="2"/>
  <c r="AU73" i="2"/>
  <c r="AY73" i="2"/>
  <c r="BC73" i="2"/>
  <c r="BG73" i="2"/>
  <c r="F73" i="2"/>
  <c r="J73" i="2"/>
  <c r="N73" i="2"/>
  <c r="R73" i="2"/>
  <c r="V73" i="2"/>
  <c r="Z73" i="2"/>
  <c r="AD73" i="2"/>
  <c r="AH73" i="2"/>
  <c r="AL73" i="2"/>
  <c r="AP73" i="2"/>
  <c r="AT73" i="2"/>
  <c r="AX73" i="2"/>
  <c r="BB73" i="2"/>
  <c r="BF73" i="2"/>
  <c r="E73" i="2"/>
  <c r="M73" i="2"/>
  <c r="U73" i="2"/>
  <c r="AC73" i="2"/>
  <c r="AK73" i="2"/>
  <c r="AS73" i="2"/>
  <c r="BA73" i="2"/>
  <c r="I73" i="2"/>
  <c r="Q73" i="2"/>
  <c r="Y73" i="2"/>
  <c r="AG73" i="2"/>
  <c r="AO73" i="2"/>
  <c r="AW73" i="2"/>
  <c r="BE73" i="2"/>
  <c r="T73" i="2"/>
  <c r="AJ73" i="2"/>
  <c r="AZ73" i="2"/>
  <c r="H73" i="2"/>
  <c r="X73" i="2"/>
  <c r="AN73" i="2"/>
  <c r="BD73" i="2"/>
  <c r="L73" i="2"/>
  <c r="AB73" i="2"/>
  <c r="AR73" i="2"/>
  <c r="P73" i="2"/>
  <c r="AF73" i="2"/>
  <c r="AV73" i="2"/>
  <c r="CE41" i="3"/>
  <c r="O10" i="5"/>
  <c r="CO73" i="2"/>
  <c r="O11" i="5"/>
  <c r="L48" i="4"/>
  <c r="A7" i="7"/>
  <c r="L49" i="4"/>
  <c r="A8" i="7"/>
  <c r="O12" i="5"/>
  <c r="L50" i="4"/>
  <c r="A9" i="7"/>
  <c r="O13" i="5"/>
  <c r="L51" i="4"/>
  <c r="A10" i="7"/>
  <c r="O14" i="5"/>
  <c r="O15" i="5"/>
  <c r="L52" i="4"/>
  <c r="A11" i="7"/>
  <c r="O16" i="5"/>
  <c r="L53" i="4"/>
  <c r="A12" i="7"/>
  <c r="L54" i="4"/>
  <c r="A13" i="7"/>
  <c r="O17" i="5"/>
  <c r="O18" i="5"/>
  <c r="L55" i="4"/>
  <c r="A14" i="7"/>
  <c r="L56" i="4"/>
  <c r="A15" i="7"/>
  <c r="O19" i="5"/>
  <c r="O20" i="5"/>
  <c r="A16" i="7"/>
  <c r="L57" i="4"/>
  <c r="L58" i="4"/>
  <c r="A17" i="7"/>
  <c r="O21" i="5"/>
  <c r="O22" i="5"/>
  <c r="L59" i="4"/>
  <c r="A18" i="7"/>
  <c r="L60" i="4"/>
  <c r="A19" i="7"/>
  <c r="O23" i="5"/>
  <c r="O24" i="5"/>
  <c r="L61" i="4"/>
  <c r="A20" i="7"/>
  <c r="L62" i="4"/>
  <c r="A21" i="7"/>
  <c r="O25" i="5"/>
  <c r="O26" i="5"/>
  <c r="L63" i="4"/>
  <c r="A22" i="7"/>
  <c r="A23" i="7"/>
  <c r="L64" i="4"/>
  <c r="O27" i="5"/>
  <c r="L65" i="4"/>
  <c r="A24" i="7"/>
  <c r="O28" i="5"/>
  <c r="L66" i="4"/>
  <c r="A25" i="7"/>
  <c r="O29" i="5"/>
  <c r="A26" i="7"/>
  <c r="L67" i="4"/>
  <c r="O30" i="5"/>
  <c r="O31" i="5"/>
  <c r="A27" i="7"/>
  <c r="L68" i="4"/>
  <c r="O32" i="5"/>
  <c r="A28" i="7"/>
  <c r="L69" i="4"/>
  <c r="O33" i="5"/>
  <c r="L70" i="4"/>
  <c r="A29" i="7"/>
  <c r="A30" i="7"/>
  <c r="L71" i="4"/>
  <c r="O34" i="5"/>
  <c r="A31" i="7"/>
  <c r="L72" i="4"/>
  <c r="O35" i="5"/>
  <c r="O36" i="5"/>
  <c r="A32" i="7"/>
  <c r="L73" i="4"/>
  <c r="L74" i="4"/>
  <c r="A33" i="7"/>
  <c r="O37" i="5"/>
  <c r="O38" i="5"/>
  <c r="A34" i="7"/>
  <c r="L75" i="4"/>
  <c r="A35" i="7"/>
  <c r="L76" i="4"/>
  <c r="O39" i="5"/>
  <c r="O40" i="5"/>
  <c r="A36" i="7"/>
  <c r="L77" i="4"/>
  <c r="O41" i="5"/>
  <c r="L78" i="4"/>
  <c r="A37" i="7"/>
  <c r="O42" i="5"/>
  <c r="L79" i="4"/>
  <c r="O43" i="5"/>
  <c r="L80" i="4"/>
  <c r="O44" i="5"/>
  <c r="L81" i="4"/>
  <c r="O45" i="5"/>
  <c r="L82" i="4"/>
  <c r="L83" i="4"/>
  <c r="O46" i="5"/>
  <c r="O47" i="5"/>
  <c r="L84" i="4"/>
  <c r="L85" i="4"/>
  <c r="O48" i="5"/>
  <c r="L86" i="4"/>
  <c r="O49" i="5"/>
  <c r="O50" i="5"/>
  <c r="L87" i="4"/>
  <c r="O51" i="5"/>
  <c r="L88" i="4"/>
  <c r="L89" i="4"/>
  <c r="O52" i="5"/>
  <c r="L90" i="4"/>
  <c r="L91" i="4"/>
  <c r="L92" i="4"/>
  <c r="L93" i="4"/>
  <c r="L94" i="4"/>
  <c r="L95" i="4"/>
  <c r="L96" i="4"/>
  <c r="CQ5" i="2"/>
  <c r="CI6" i="2"/>
  <c r="CI7" i="2"/>
  <c r="CI8" i="2"/>
  <c r="CI9" i="2"/>
  <c r="CW10" i="2"/>
  <c r="DA11" i="2"/>
  <c r="CX12" i="2"/>
  <c r="CQ13" i="2"/>
  <c r="CK14" i="2"/>
  <c r="CG15" i="2"/>
  <c r="DB15" i="2"/>
  <c r="CX16" i="2"/>
  <c r="CQ17" i="2"/>
  <c r="DA5" i="2"/>
  <c r="CN7" i="2"/>
  <c r="CW8" i="2"/>
  <c r="DA9" i="2"/>
  <c r="CX10" i="2"/>
  <c r="CQ11" i="2"/>
  <c r="CY12" i="2"/>
  <c r="CY14" i="2"/>
  <c r="CY16" i="2"/>
  <c r="CY18" i="2"/>
  <c r="CZ19" i="2"/>
  <c r="CZ20" i="2"/>
  <c r="CG6" i="2"/>
  <c r="DB6" i="2"/>
  <c r="CX7" i="2"/>
  <c r="CQ8" i="2"/>
  <c r="CK9" i="2"/>
  <c r="CH10" i="2"/>
  <c r="CE12" i="2"/>
  <c r="CE13" i="2"/>
  <c r="CE14" i="2"/>
  <c r="CE15" i="2"/>
  <c r="CE16" i="2"/>
  <c r="CY8" i="2"/>
  <c r="DA16" i="2"/>
  <c r="CN18" i="2"/>
  <c r="CQ19" i="2"/>
  <c r="CX22" i="2"/>
  <c r="CQ23" i="2"/>
  <c r="CK24" i="2"/>
  <c r="CG25" i="2"/>
  <c r="DB25" i="2"/>
  <c r="CX26" i="2"/>
  <c r="CQ27" i="2"/>
  <c r="CK28" i="2"/>
  <c r="CG29" i="2"/>
  <c r="DB29" i="2"/>
  <c r="CI31" i="2"/>
  <c r="CW32" i="2"/>
  <c r="DA33" i="2"/>
  <c r="CN35" i="2"/>
  <c r="CK36" i="2"/>
  <c r="CG37" i="2"/>
  <c r="DB37" i="2"/>
  <c r="CX38" i="2"/>
  <c r="CQ39" i="2"/>
  <c r="CI10" i="2"/>
  <c r="CE18" i="2"/>
  <c r="CY19" i="2"/>
  <c r="CH23" i="2"/>
  <c r="CH25" i="2"/>
  <c r="CH27" i="2"/>
  <c r="CH29" i="2"/>
  <c r="CM30" i="2"/>
  <c r="DA31" i="2"/>
  <c r="CX32" i="2"/>
  <c r="CQ33" i="2"/>
  <c r="CK34" i="2"/>
  <c r="CG35" i="2"/>
  <c r="DB35" i="2"/>
  <c r="CY37" i="2"/>
  <c r="CY39" i="2"/>
  <c r="CI41" i="2"/>
  <c r="CI42" i="2"/>
  <c r="CW43" i="2"/>
  <c r="CH9" i="2"/>
  <c r="CW14" i="2"/>
  <c r="CM17" i="2"/>
  <c r="CK19" i="2"/>
  <c r="DB20" i="2"/>
  <c r="CZ22" i="2"/>
  <c r="CZ23" i="2"/>
  <c r="CZ24" i="2"/>
  <c r="CZ25" i="2"/>
  <c r="CZ26" i="2"/>
  <c r="CZ27" i="2"/>
  <c r="CZ28" i="2"/>
  <c r="CZ29" i="2"/>
  <c r="CG31" i="2"/>
  <c r="DB31" i="2"/>
  <c r="CY33" i="2"/>
  <c r="CY5" i="2"/>
  <c r="CN12" i="2"/>
  <c r="CN14" i="2"/>
  <c r="CN16" i="2"/>
  <c r="DB17" i="2"/>
  <c r="CG19" i="2"/>
  <c r="CN5" i="2"/>
  <c r="CM6" i="2"/>
  <c r="CM7" i="2"/>
  <c r="CM8" i="2"/>
  <c r="CM9" i="2"/>
  <c r="DA10" i="2"/>
  <c r="CG12" i="2"/>
  <c r="DB12" i="2"/>
  <c r="CX13" i="2"/>
  <c r="CQ14" i="2"/>
  <c r="CK15" i="2"/>
  <c r="CG16" i="2"/>
  <c r="DB16" i="2"/>
  <c r="CE5" i="2"/>
  <c r="CN6" i="2"/>
  <c r="CW7" i="2"/>
  <c r="DA8" i="2"/>
  <c r="CG10" i="2"/>
  <c r="DB10" i="2"/>
  <c r="CX11" i="2"/>
  <c r="CH13" i="2"/>
  <c r="CH15" i="2"/>
  <c r="CH17" i="2"/>
  <c r="CE19" i="2"/>
  <c r="CE20" i="2"/>
  <c r="CH5" i="2"/>
  <c r="CK6" i="2"/>
  <c r="CG7" i="2"/>
  <c r="DB7" i="2"/>
  <c r="CX8" i="2"/>
  <c r="CQ9" i="2"/>
  <c r="CY10" i="2"/>
  <c r="CI12" i="2"/>
  <c r="CI13" i="2"/>
  <c r="CI14" i="2"/>
  <c r="CI15" i="2"/>
  <c r="CI16" i="2"/>
  <c r="CE10" i="2"/>
  <c r="CI17" i="2"/>
  <c r="DA18" i="2"/>
  <c r="CX19" i="2"/>
  <c r="CG22" i="2"/>
  <c r="DB22" i="2"/>
  <c r="CX23" i="2"/>
  <c r="CQ24" i="2"/>
  <c r="CK25" i="2"/>
  <c r="CG26" i="2"/>
  <c r="DB26" i="2"/>
  <c r="CX27" i="2"/>
  <c r="CQ28" i="2"/>
  <c r="CK29" i="2"/>
  <c r="CH30" i="2"/>
  <c r="CM31" i="2"/>
  <c r="DA32" i="2"/>
  <c r="CN34" i="2"/>
  <c r="CW35" i="2"/>
  <c r="CQ36" i="2"/>
  <c r="CK37" i="2"/>
  <c r="CG38" i="2"/>
  <c r="DB38" i="2"/>
  <c r="CI5" i="2"/>
  <c r="CZ10" i="2"/>
  <c r="CQ18" i="2"/>
  <c r="CK20" i="2"/>
  <c r="CY23" i="2"/>
  <c r="CY25" i="2"/>
  <c r="CY27" i="2"/>
  <c r="CY29" i="2"/>
  <c r="CZ30" i="2"/>
  <c r="CG32" i="2"/>
  <c r="DB32" i="2"/>
  <c r="CX33" i="2"/>
  <c r="CQ34" i="2"/>
  <c r="CK35" i="2"/>
  <c r="CH36" i="2"/>
  <c r="CH38" i="2"/>
  <c r="CH40" i="2"/>
  <c r="CM41" i="2"/>
  <c r="CM42" i="2"/>
  <c r="DA43" i="2"/>
  <c r="CM10" i="2"/>
  <c r="CW15" i="2"/>
  <c r="DA17" i="2"/>
  <c r="DA19" i="2"/>
  <c r="CE22" i="2"/>
  <c r="CE23" i="2"/>
  <c r="CE24" i="2"/>
  <c r="CE25" i="2"/>
  <c r="CE26" i="2"/>
  <c r="CE27" i="2"/>
  <c r="CE28" i="2"/>
  <c r="CE29" i="2"/>
  <c r="CN30" i="2"/>
  <c r="CK31" i="2"/>
  <c r="CH32" i="2"/>
  <c r="CH34" i="2"/>
  <c r="CH8" i="2"/>
  <c r="DA12" i="2"/>
  <c r="DA14" i="2"/>
  <c r="CZ16" i="2"/>
  <c r="CG18" i="2"/>
  <c r="CW19" i="2"/>
  <c r="CQ20" i="2"/>
  <c r="CW22" i="2"/>
  <c r="DA23" i="2"/>
  <c r="CN25" i="2"/>
  <c r="CW26" i="2"/>
  <c r="CX30" i="2"/>
  <c r="CM34" i="2"/>
  <c r="CM37" i="2"/>
  <c r="CI40" i="2"/>
  <c r="CN41" i="2"/>
  <c r="CG43" i="2"/>
  <c r="CY44" i="2"/>
  <c r="CY46" i="2"/>
  <c r="CY48" i="2"/>
  <c r="CG5" i="2"/>
  <c r="CK5" i="2"/>
  <c r="CE6" i="2"/>
  <c r="CE7" i="2"/>
  <c r="CE8" i="2"/>
  <c r="CE9" i="2"/>
  <c r="CN10" i="2"/>
  <c r="CW11" i="2"/>
  <c r="CQ12" i="2"/>
  <c r="CK13" i="2"/>
  <c r="CG14" i="2"/>
  <c r="DB14" i="2"/>
  <c r="CX15" i="2"/>
  <c r="CQ16" i="2"/>
  <c r="CK17" i="2"/>
  <c r="CW5" i="2"/>
  <c r="DA6" i="2"/>
  <c r="CN8" i="2"/>
  <c r="CW9" i="2"/>
  <c r="CQ10" i="2"/>
  <c r="CK11" i="2"/>
  <c r="CH12" i="2"/>
  <c r="CH14" i="2"/>
  <c r="CH16" i="2"/>
  <c r="CH18" i="2"/>
  <c r="CM19" i="2"/>
  <c r="CM20" i="2"/>
  <c r="DB5" i="2"/>
  <c r="CX6" i="2"/>
  <c r="CQ7" i="2"/>
  <c r="CK8" i="2"/>
  <c r="CG9" i="2"/>
  <c r="DB9" i="2"/>
  <c r="CY11" i="2"/>
  <c r="CZ12" i="2"/>
  <c r="CZ13" i="2"/>
  <c r="CZ14" i="2"/>
  <c r="CZ15" i="2"/>
  <c r="CH7" i="2"/>
  <c r="CZ11" i="2"/>
  <c r="CI18" i="2"/>
  <c r="CN19" i="2"/>
  <c r="CQ22" i="2"/>
  <c r="CK23" i="2"/>
  <c r="CG24" i="2"/>
  <c r="DB24" i="2"/>
  <c r="CX25" i="2"/>
  <c r="CQ26" i="2"/>
  <c r="CK27" i="2"/>
  <c r="CG28" i="2"/>
  <c r="DB28" i="2"/>
  <c r="CX29" i="2"/>
  <c r="CE31" i="2"/>
  <c r="CN32" i="2"/>
  <c r="CW33" i="2"/>
  <c r="DA34" i="2"/>
  <c r="CG36" i="2"/>
  <c r="DB36" i="2"/>
  <c r="CX37" i="2"/>
  <c r="CQ38" i="2"/>
  <c r="CK39" i="2"/>
  <c r="CY7" i="2"/>
  <c r="CZ17" i="2"/>
  <c r="DB18" i="2"/>
  <c r="CY22" i="2"/>
  <c r="CY24" i="2"/>
  <c r="CY26" i="2"/>
  <c r="CY28" i="2"/>
  <c r="CI30" i="2"/>
  <c r="CW31" i="2"/>
  <c r="CQ32" i="2"/>
  <c r="CK33" i="2"/>
  <c r="CG34" i="2"/>
  <c r="DB34" i="2"/>
  <c r="CX35" i="2"/>
  <c r="CH37" i="2"/>
  <c r="CH39" i="2"/>
  <c r="CE41" i="2"/>
  <c r="CE42" i="2"/>
  <c r="CN43" i="2"/>
  <c r="CY6" i="2"/>
  <c r="CW13" i="2"/>
  <c r="CE17" i="2"/>
  <c r="CX18" i="2"/>
  <c r="CW20" i="2"/>
  <c r="CM22" i="2"/>
  <c r="CM23" i="2"/>
  <c r="CM24" i="2"/>
  <c r="CM25" i="2"/>
  <c r="CM26" i="2"/>
  <c r="CM27" i="2"/>
  <c r="CM28" i="2"/>
  <c r="CM29" i="2"/>
  <c r="DA30" i="2"/>
  <c r="CX31" i="2"/>
  <c r="CH33" i="2"/>
  <c r="CH35" i="2"/>
  <c r="CE11" i="2"/>
  <c r="DA13" i="2"/>
  <c r="DA15" i="2"/>
  <c r="CW17" i="2"/>
  <c r="CZ18" i="2"/>
  <c r="CH20" i="2"/>
  <c r="CN23" i="2"/>
  <c r="CW24" i="2"/>
  <c r="DA25" i="2"/>
  <c r="CW28" i="2"/>
  <c r="CI33" i="2"/>
  <c r="CW36" i="2"/>
  <c r="CI39" i="2"/>
  <c r="DA40" i="2"/>
  <c r="CX41" i="2"/>
  <c r="CE44" i="2"/>
  <c r="CY45" i="2"/>
  <c r="CZ5" i="2"/>
  <c r="CZ9" i="2"/>
  <c r="DB13" i="2"/>
  <c r="CG17" i="2"/>
  <c r="CN9" i="2"/>
  <c r="CY13" i="2"/>
  <c r="CI20" i="2"/>
  <c r="CK7" i="2"/>
  <c r="CH11" i="2"/>
  <c r="CM15" i="2"/>
  <c r="CH19" i="2"/>
  <c r="DB23" i="2"/>
  <c r="CG27" i="2"/>
  <c r="CY30" i="2"/>
  <c r="DA35" i="2"/>
  <c r="CG39" i="2"/>
  <c r="DA20" i="2"/>
  <c r="CH28" i="2"/>
  <c r="CG33" i="2"/>
  <c r="CY36" i="2"/>
  <c r="CZ42" i="2"/>
  <c r="CK18" i="2"/>
  <c r="CI23" i="2"/>
  <c r="CI27" i="2"/>
  <c r="CQ31" i="2"/>
  <c r="CN13" i="2"/>
  <c r="DB19" i="2"/>
  <c r="DA22" i="2"/>
  <c r="CW25" i="2"/>
  <c r="CE32" i="2"/>
  <c r="DA38" i="2"/>
  <c r="CQ41" i="2"/>
  <c r="CH45" i="2"/>
  <c r="CH48" i="2"/>
  <c r="CY50" i="2"/>
  <c r="CY52" i="2"/>
  <c r="CI54" i="2"/>
  <c r="CW55" i="2"/>
  <c r="CQ56" i="2"/>
  <c r="CY57" i="2"/>
  <c r="CZ58" i="2"/>
  <c r="CN28" i="2"/>
  <c r="DB30" i="2"/>
  <c r="CE35" i="2"/>
  <c r="CN37" i="2"/>
  <c r="CZ39" i="2"/>
  <c r="DB40" i="2"/>
  <c r="CH43" i="2"/>
  <c r="CZ44" i="2"/>
  <c r="CZ45" i="2"/>
  <c r="CZ46" i="2"/>
  <c r="CZ47" i="2"/>
  <c r="CZ48" i="2"/>
  <c r="CZ49" i="2"/>
  <c r="CZ50" i="2"/>
  <c r="CZ51" i="2"/>
  <c r="CZ52" i="2"/>
  <c r="CM32" i="2"/>
  <c r="DA36" i="2"/>
  <c r="CW38" i="2"/>
  <c r="CK40" i="2"/>
  <c r="CG42" i="2"/>
  <c r="CQ43" i="2"/>
  <c r="CW44" i="2"/>
  <c r="DA45" i="2"/>
  <c r="CN47" i="2"/>
  <c r="CW48" i="2"/>
  <c r="DA49" i="2"/>
  <c r="CN51" i="2"/>
  <c r="CW52" i="2"/>
  <c r="CX54" i="2"/>
  <c r="CE56" i="2"/>
  <c r="CN57" i="2"/>
  <c r="CK58" i="2"/>
  <c r="CH59" i="2"/>
  <c r="CM60" i="2"/>
  <c r="DA61" i="2"/>
  <c r="CX62" i="2"/>
  <c r="CE64" i="2"/>
  <c r="CN65" i="2"/>
  <c r="CK66" i="2"/>
  <c r="CH67" i="2"/>
  <c r="CE33" i="2"/>
  <c r="CE36" i="2"/>
  <c r="CZ38" i="2"/>
  <c r="CG40" i="2"/>
  <c r="CW41" i="2"/>
  <c r="CQ42" i="2"/>
  <c r="CX43" i="2"/>
  <c r="DB44" i="2"/>
  <c r="CX45" i="2"/>
  <c r="CQ46" i="2"/>
  <c r="CK47" i="2"/>
  <c r="CG48" i="2"/>
  <c r="DB48" i="2"/>
  <c r="CX49" i="2"/>
  <c r="CQ50" i="2"/>
  <c r="CK51" i="2"/>
  <c r="CG52" i="2"/>
  <c r="DB52" i="2"/>
  <c r="CE55" i="2"/>
  <c r="CN56" i="2"/>
  <c r="CK57" i="2"/>
  <c r="CH58" i="2"/>
  <c r="CM59" i="2"/>
  <c r="CG59" i="2"/>
  <c r="CH61" i="2"/>
  <c r="CM62" i="2"/>
  <c r="CK64" i="2"/>
  <c r="CZ65" i="2"/>
  <c r="CK67" i="2"/>
  <c r="M72" i="2"/>
  <c r="AC72" i="2"/>
  <c r="AS72" i="2"/>
  <c r="CI6" i="3"/>
  <c r="CI57" i="2"/>
  <c r="DB60" i="2"/>
  <c r="CI62" i="2"/>
  <c r="CZ6" i="2"/>
  <c r="CN11" i="2"/>
  <c r="CX14" i="2"/>
  <c r="CM5" i="2"/>
  <c r="CK10" i="2"/>
  <c r="CY15" i="2"/>
  <c r="CG8" i="2"/>
  <c r="CM12" i="2"/>
  <c r="CM16" i="2"/>
  <c r="CY20" i="2"/>
  <c r="CX24" i="2"/>
  <c r="DB27" i="2"/>
  <c r="CZ31" i="2"/>
  <c r="CX36" i="2"/>
  <c r="CH6" i="2"/>
  <c r="CH22" i="2"/>
  <c r="CE30" i="2"/>
  <c r="DB33" i="2"/>
  <c r="CY38" i="2"/>
  <c r="CN44" i="2"/>
  <c r="CG20" i="2"/>
  <c r="CI24" i="2"/>
  <c r="CI28" i="2"/>
  <c r="CY32" i="2"/>
  <c r="CN15" i="2"/>
  <c r="CN20" i="2"/>
  <c r="CW23" i="2"/>
  <c r="CN26" i="2"/>
  <c r="CZ33" i="2"/>
  <c r="CX39" i="2"/>
  <c r="CY42" i="2"/>
  <c r="CH46" i="2"/>
  <c r="CH49" i="2"/>
  <c r="CH51" i="2"/>
  <c r="CM54" i="2"/>
  <c r="DA55" i="2"/>
  <c r="CX56" i="2"/>
  <c r="CE58" i="2"/>
  <c r="DA26" i="2"/>
  <c r="CG13" i="2"/>
  <c r="DA7" i="2"/>
  <c r="CI19" i="2"/>
  <c r="CX9" i="2"/>
  <c r="CX17" i="2"/>
  <c r="CK26" i="2"/>
  <c r="CW34" i="2"/>
  <c r="CW18" i="2"/>
  <c r="CK32" i="2"/>
  <c r="CZ41" i="2"/>
  <c r="CI22" i="2"/>
  <c r="CW30" i="2"/>
  <c r="CM18" i="2"/>
  <c r="DA24" i="2"/>
  <c r="CE37" i="2"/>
  <c r="CK44" i="2"/>
  <c r="CH50" i="2"/>
  <c r="CE54" i="2"/>
  <c r="CK56" i="2"/>
  <c r="CM58" i="2"/>
  <c r="CN29" i="2"/>
  <c r="CM33" i="2"/>
  <c r="CW37" i="2"/>
  <c r="CQ40" i="2"/>
  <c r="DA42" i="2"/>
  <c r="CE45" i="2"/>
  <c r="CI46" i="2"/>
  <c r="CM47" i="2"/>
  <c r="CE49" i="2"/>
  <c r="CI50" i="2"/>
  <c r="CM51" i="2"/>
  <c r="CG30" i="2"/>
  <c r="CZ35" i="2"/>
  <c r="CE39" i="2"/>
  <c r="CK41" i="2"/>
  <c r="CI43" i="2"/>
  <c r="DA44" i="2"/>
  <c r="CW46" i="2"/>
  <c r="CN48" i="2"/>
  <c r="CN50" i="2"/>
  <c r="DA51" i="2"/>
  <c r="DB54" i="2"/>
  <c r="CM56" i="2"/>
  <c r="CG58" i="2"/>
  <c r="CY59" i="2"/>
  <c r="CN61" i="2"/>
  <c r="CQ62" i="2"/>
  <c r="CI64" i="2"/>
  <c r="DA65" i="2"/>
  <c r="DB66" i="2"/>
  <c r="CI34" i="2"/>
  <c r="DA37" i="2"/>
  <c r="DB39" i="2"/>
  <c r="DB41" i="2"/>
  <c r="CE43" i="2"/>
  <c r="CX44" i="2"/>
  <c r="DB45" i="2"/>
  <c r="DB46" i="2"/>
  <c r="DB47" i="2"/>
  <c r="CG49" i="2"/>
  <c r="CG50" i="2"/>
  <c r="CG51" i="2"/>
  <c r="CK52" i="2"/>
  <c r="CY54" i="2"/>
  <c r="CW56" i="2"/>
  <c r="CX57" i="2"/>
  <c r="CI59" i="2"/>
  <c r="CX59" i="2"/>
  <c r="CZ61" i="2"/>
  <c r="CX63" i="2"/>
  <c r="CH66" i="2"/>
  <c r="E72" i="2"/>
  <c r="Y72" i="2"/>
  <c r="AW72" i="2"/>
  <c r="CE6" i="3"/>
  <c r="CZ59" i="2"/>
  <c r="CQ61" i="2"/>
  <c r="CG63" i="2"/>
  <c r="CW64" i="2"/>
  <c r="DB65" i="2"/>
  <c r="CG67" i="2"/>
  <c r="CW54" i="2"/>
  <c r="CK59" i="2"/>
  <c r="CZ7" i="2"/>
  <c r="CQ15" i="2"/>
  <c r="CG11" i="2"/>
  <c r="CX5" i="2"/>
  <c r="CM13" i="2"/>
  <c r="CK22" i="2"/>
  <c r="CX28" i="2"/>
  <c r="CQ37" i="2"/>
  <c r="CH24" i="2"/>
  <c r="CX34" i="2"/>
  <c r="CW12" i="2"/>
  <c r="CI25" i="2"/>
  <c r="CY34" i="2"/>
  <c r="CX20" i="2"/>
  <c r="CW27" i="2"/>
  <c r="CN40" i="2"/>
  <c r="CH47" i="2"/>
  <c r="CY51" i="2"/>
  <c r="CZ54" i="2"/>
  <c r="DB56" i="2"/>
  <c r="CN27" i="2"/>
  <c r="DA29" i="2"/>
  <c r="CY35" i="2"/>
  <c r="CE38" i="2"/>
  <c r="CW40" i="2"/>
  <c r="CM43" i="2"/>
  <c r="CI45" i="2"/>
  <c r="CM46" i="2"/>
  <c r="CE48" i="2"/>
  <c r="CI49" i="2"/>
  <c r="CM50" i="2"/>
  <c r="CE52" i="2"/>
  <c r="CH31" i="2"/>
  <c r="CI37" i="2"/>
  <c r="CM39" i="2"/>
  <c r="DA41" i="2"/>
  <c r="DB43" i="2"/>
  <c r="CN45" i="2"/>
  <c r="DA46" i="2"/>
  <c r="DA48" i="2"/>
  <c r="CW50" i="2"/>
  <c r="CN52" i="2"/>
  <c r="CG54" i="2"/>
  <c r="CH55" i="2"/>
  <c r="CZ56" i="2"/>
  <c r="CQ58" i="2"/>
  <c r="CE60" i="2"/>
  <c r="CW61" i="2"/>
  <c r="DB62" i="2"/>
  <c r="CM64" i="2"/>
  <c r="CG66" i="2"/>
  <c r="CK30" i="2"/>
  <c r="CZ34" i="2"/>
  <c r="CI38" i="2"/>
  <c r="CM40" i="2"/>
  <c r="CH42" i="2"/>
  <c r="CK43" i="2"/>
  <c r="CG45" i="2"/>
  <c r="CG46" i="2"/>
  <c r="CG47" i="2"/>
  <c r="CK48" i="2"/>
  <c r="CK49" i="2"/>
  <c r="CK50" i="2"/>
  <c r="CQ51" i="2"/>
  <c r="CQ52" i="2"/>
  <c r="CI55" i="2"/>
  <c r="DA56" i="2"/>
  <c r="DB57" i="2"/>
  <c r="CG55" i="2"/>
  <c r="CK60" i="2"/>
  <c r="CH62" i="2"/>
  <c r="DA64" i="2"/>
  <c r="CM66" i="2"/>
  <c r="I72" i="2"/>
  <c r="AG72" i="2"/>
  <c r="BA72" i="2"/>
  <c r="CK55" i="2"/>
  <c r="CG60" i="2"/>
  <c r="DB61" i="2"/>
  <c r="CM63" i="2"/>
  <c r="DB64" i="2"/>
  <c r="CI66" i="2"/>
  <c r="CM67" i="2"/>
  <c r="CM57" i="2"/>
  <c r="DA59" i="2"/>
  <c r="CX60" i="2"/>
  <c r="CE62" i="2"/>
  <c r="DA63" i="2"/>
  <c r="CX64" i="2"/>
  <c r="CE66" i="2"/>
  <c r="CW67" i="2"/>
  <c r="CY56" i="2"/>
  <c r="CQ59" i="2"/>
  <c r="CG61" i="2"/>
  <c r="CQ63" i="2"/>
  <c r="CG65" i="2"/>
  <c r="CQ67" i="2"/>
  <c r="H72" i="2"/>
  <c r="X72" i="2"/>
  <c r="AN72" i="2"/>
  <c r="BD72" i="2"/>
  <c r="AI72" i="2"/>
  <c r="CG7" i="3"/>
  <c r="CN8" i="3"/>
  <c r="CH10" i="3"/>
  <c r="CF12" i="3"/>
  <c r="CI13" i="3"/>
  <c r="CG15" i="3"/>
  <c r="CN16" i="3"/>
  <c r="CH18" i="3"/>
  <c r="CF20" i="3"/>
  <c r="CI21" i="3"/>
  <c r="CG23" i="3"/>
  <c r="CK16" i="2"/>
  <c r="CQ6" i="2"/>
  <c r="CG23" i="2"/>
  <c r="CK38" i="2"/>
  <c r="CQ35" i="2"/>
  <c r="CI26" i="2"/>
  <c r="CN22" i="2"/>
  <c r="CH41" i="2"/>
  <c r="CH52" i="2"/>
  <c r="CH57" i="2"/>
  <c r="CI32" i="2"/>
  <c r="CM38" i="2"/>
  <c r="CZ43" i="2"/>
  <c r="CE47" i="2"/>
  <c r="CM49" i="2"/>
  <c r="CI52" i="2"/>
  <c r="CE34" i="2"/>
  <c r="DA39" i="2"/>
  <c r="CH44" i="2"/>
  <c r="CW47" i="2"/>
  <c r="DA50" i="2"/>
  <c r="CK54" i="2"/>
  <c r="CW57" i="2"/>
  <c r="CI60" i="2"/>
  <c r="CH63" i="2"/>
  <c r="CQ66" i="2"/>
  <c r="CM35" i="2"/>
  <c r="CZ40" i="2"/>
  <c r="CI44" i="2"/>
  <c r="CK46" i="2"/>
  <c r="CQ48" i="2"/>
  <c r="CX50" i="2"/>
  <c r="CX52" i="2"/>
  <c r="CM55" i="2"/>
  <c r="CY58" i="2"/>
  <c r="DA60" i="2"/>
  <c r="CH65" i="2"/>
  <c r="Q72" i="2"/>
  <c r="BE72" i="2"/>
  <c r="CW60" i="2"/>
  <c r="CZ63" i="2"/>
  <c r="CN66" i="2"/>
  <c r="CN58" i="2"/>
  <c r="CQ60" i="2"/>
  <c r="DA62" i="2"/>
  <c r="CN64" i="2"/>
  <c r="CX65" i="2"/>
  <c r="DA67" i="2"/>
  <c r="DA58" i="2"/>
  <c r="CY60" i="2"/>
  <c r="CW63" i="2"/>
  <c r="CW66" i="2"/>
  <c r="D72" i="2"/>
  <c r="AB72" i="2"/>
  <c r="AV72" i="2"/>
  <c r="AQ72" i="2"/>
  <c r="CO7" i="3"/>
  <c r="CI9" i="3"/>
  <c r="CO11" i="3"/>
  <c r="CQ13" i="3"/>
  <c r="CF16" i="3"/>
  <c r="CQ17" i="3"/>
  <c r="CJ20" i="3"/>
  <c r="CH22" i="3"/>
  <c r="CJ24" i="3"/>
  <c r="CQ25" i="3"/>
  <c r="CO27" i="3"/>
  <c r="CE29" i="3"/>
  <c r="CP30" i="3"/>
  <c r="CJ32" i="3"/>
  <c r="CQ33" i="3"/>
  <c r="CO35" i="3"/>
  <c r="CE37" i="3"/>
  <c r="CP38" i="3"/>
  <c r="Q40" i="3"/>
  <c r="AG40" i="3"/>
  <c r="AW40" i="3"/>
  <c r="O72" i="2"/>
  <c r="AU72" i="2"/>
  <c r="R72" i="2"/>
  <c r="CQ7" i="3"/>
  <c r="CE10" i="3"/>
  <c r="CE12" i="3"/>
  <c r="CF14" i="3"/>
  <c r="CG16" i="3"/>
  <c r="CG18" i="3"/>
  <c r="CH20" i="3"/>
  <c r="CN22" i="3"/>
  <c r="CO24" i="3"/>
  <c r="CO26" i="3"/>
  <c r="CH29" i="3"/>
  <c r="CI31" i="3"/>
  <c r="CJ33" i="3"/>
  <c r="CJ35" i="3"/>
  <c r="CP37" i="3"/>
  <c r="J40" i="3"/>
  <c r="AE40" i="3"/>
  <c r="AZ40" i="3"/>
  <c r="N44" i="3"/>
  <c r="AD44" i="3"/>
  <c r="AT44" i="3"/>
  <c r="F45" i="3"/>
  <c r="V45" i="3"/>
  <c r="AL45" i="3"/>
  <c r="BB45" i="3"/>
  <c r="BB72" i="2"/>
  <c r="CH6" i="3"/>
  <c r="CP8" i="3"/>
  <c r="CQ10" i="3"/>
  <c r="CQ12" i="3"/>
  <c r="CE15" i="3"/>
  <c r="CF17" i="3"/>
  <c r="CF19" i="3"/>
  <c r="CG21" i="3"/>
  <c r="CW6" i="2"/>
  <c r="DB8" i="2"/>
  <c r="CQ25" i="2"/>
  <c r="CM11" i="2"/>
  <c r="CY40" i="2"/>
  <c r="CI29" i="2"/>
  <c r="CN24" i="2"/>
  <c r="CY43" i="2"/>
  <c r="CI58" i="2"/>
  <c r="CZ32" i="2"/>
  <c r="CE40" i="2"/>
  <c r="CG44" i="2"/>
  <c r="CI47" i="2"/>
  <c r="CE50" i="2"/>
  <c r="CM52" i="2"/>
  <c r="CI35" i="2"/>
  <c r="CX40" i="2"/>
  <c r="CM44" i="2"/>
  <c r="DA47" i="2"/>
  <c r="CW51" i="2"/>
  <c r="CQ54" i="2"/>
  <c r="DA57" i="2"/>
  <c r="CZ60" i="2"/>
  <c r="CY63" i="2"/>
  <c r="CX66" i="2"/>
  <c r="CM36" i="2"/>
  <c r="CG41" i="2"/>
  <c r="CQ44" i="2"/>
  <c r="CX46" i="2"/>
  <c r="CX48" i="2"/>
  <c r="DB50" i="2"/>
  <c r="CZ55" i="2"/>
  <c r="CE59" i="2"/>
  <c r="CM61" i="2"/>
  <c r="CM65" i="2"/>
  <c r="U72" i="2"/>
  <c r="CI61" i="2"/>
  <c r="CG64" i="2"/>
  <c r="CZ66" i="2"/>
  <c r="CW58" i="2"/>
  <c r="CE61" i="2"/>
  <c r="CI63" i="2"/>
  <c r="CQ64" i="2"/>
  <c r="DA66" i="2"/>
  <c r="DA54" i="2"/>
  <c r="CN59" i="2"/>
  <c r="CY61" i="2"/>
  <c r="DB63" i="2"/>
  <c r="CE67" i="2"/>
  <c r="L72" i="2"/>
  <c r="AF72" i="2"/>
  <c r="K72" i="2"/>
  <c r="AY72" i="2"/>
  <c r="CF8" i="3"/>
  <c r="CQ9" i="3"/>
  <c r="CJ12" i="3"/>
  <c r="CH14" i="3"/>
  <c r="CJ16" i="3"/>
  <c r="CP18" i="3"/>
  <c r="CN20" i="3"/>
  <c r="CP22" i="3"/>
  <c r="CN24" i="3"/>
  <c r="CH26" i="3"/>
  <c r="CF28" i="3"/>
  <c r="CI29" i="3"/>
  <c r="CG31" i="3"/>
  <c r="CN32" i="3"/>
  <c r="CH34" i="3"/>
  <c r="CF36" i="3"/>
  <c r="CI37" i="3"/>
  <c r="E40" i="3"/>
  <c r="U40" i="3"/>
  <c r="AK40" i="3"/>
  <c r="BA40" i="3"/>
  <c r="W72" i="2"/>
  <c r="BC72" i="2"/>
  <c r="AH72" i="2"/>
  <c r="CG6" i="3"/>
  <c r="CI8" i="3"/>
  <c r="CJ10" i="3"/>
  <c r="CP12" i="3"/>
  <c r="CQ14" i="3"/>
  <c r="CQ16" i="3"/>
  <c r="CE19" i="3"/>
  <c r="CF21" i="3"/>
  <c r="CF23" i="3"/>
  <c r="CG25" i="3"/>
  <c r="CH27" i="3"/>
  <c r="CN29" i="3"/>
  <c r="CN31" i="3"/>
  <c r="CO33" i="3"/>
  <c r="CP35" i="3"/>
  <c r="CI38" i="3"/>
  <c r="O40" i="3"/>
  <c r="AJ40" i="3"/>
  <c r="BF40" i="3"/>
  <c r="R44" i="3"/>
  <c r="AH44" i="3"/>
  <c r="AX44" i="3"/>
  <c r="CZ8" i="2"/>
  <c r="DB11" i="2"/>
  <c r="CM14" i="2"/>
  <c r="CQ29" i="2"/>
  <c r="CH26" i="2"/>
  <c r="CW16" i="2"/>
  <c r="CY9" i="2"/>
  <c r="CW29" i="2"/>
  <c r="CY47" i="2"/>
  <c r="CN55" i="2"/>
  <c r="DA27" i="2"/>
  <c r="CI36" i="2"/>
  <c r="CY41" i="2"/>
  <c r="CM45" i="2"/>
  <c r="CI48" i="2"/>
  <c r="CE51" i="2"/>
  <c r="CZ37" i="2"/>
  <c r="CW42" i="2"/>
  <c r="CW45" i="2"/>
  <c r="CN49" i="2"/>
  <c r="DA52" i="2"/>
  <c r="CY55" i="2"/>
  <c r="CX58" i="2"/>
  <c r="CG62" i="2"/>
  <c r="CZ64" i="2"/>
  <c r="CQ30" i="2"/>
  <c r="CN39" i="2"/>
  <c r="CN42" i="2"/>
  <c r="CK45" i="2"/>
  <c r="CQ47" i="2"/>
  <c r="CQ49" i="2"/>
  <c r="CX51" i="2"/>
  <c r="CG57" i="2"/>
  <c r="DB55" i="2"/>
  <c r="CY62" i="2"/>
  <c r="CY66" i="2"/>
  <c r="AK72" i="2"/>
  <c r="CQ55" i="2"/>
  <c r="CN62" i="2"/>
  <c r="CI65" i="2"/>
  <c r="CZ67" i="2"/>
  <c r="CH60" i="2"/>
  <c r="CK61" i="2"/>
  <c r="CN63" i="2"/>
  <c r="CE65" i="2"/>
  <c r="CI67" i="2"/>
  <c r="CX55" i="2"/>
  <c r="CW59" i="2"/>
  <c r="CW62" i="2"/>
  <c r="CY64" i="2"/>
  <c r="CX67" i="2"/>
  <c r="P72" i="2"/>
  <c r="AJ72" i="2"/>
  <c r="S72" i="2"/>
  <c r="BG72" i="2"/>
  <c r="CF6" i="3"/>
  <c r="CJ8" i="3"/>
  <c r="CP10" i="3"/>
  <c r="CN12" i="3"/>
  <c r="CP14" i="3"/>
  <c r="CE17" i="3"/>
  <c r="CG19" i="3"/>
  <c r="CE21" i="3"/>
  <c r="CO23" i="3"/>
  <c r="CE25" i="3"/>
  <c r="CP26" i="3"/>
  <c r="CJ28" i="3"/>
  <c r="CQ29" i="3"/>
  <c r="CO31" i="3"/>
  <c r="CE33" i="3"/>
  <c r="CP34" i="3"/>
  <c r="CJ36" i="3"/>
  <c r="CQ37" i="3"/>
  <c r="I40" i="3"/>
  <c r="Y40" i="3"/>
  <c r="AO40" i="3"/>
  <c r="BE40" i="3"/>
  <c r="AE72" i="2"/>
  <c r="CN6" i="3"/>
  <c r="CO8" i="3"/>
  <c r="CO10" i="3"/>
  <c r="CH13" i="3"/>
  <c r="CI15" i="3"/>
  <c r="CJ17" i="3"/>
  <c r="CJ19" i="3"/>
  <c r="CP21" i="3"/>
  <c r="CQ23" i="3"/>
  <c r="CE26" i="3"/>
  <c r="CE28" i="3"/>
  <c r="CF30" i="3"/>
  <c r="CG32" i="3"/>
  <c r="CG34" i="3"/>
  <c r="CH36" i="3"/>
  <c r="CN38" i="3"/>
  <c r="T40" i="3"/>
  <c r="AP40" i="3"/>
  <c r="F44" i="3"/>
  <c r="V44" i="3"/>
  <c r="AL44" i="3"/>
  <c r="BB44" i="3"/>
  <c r="N45" i="3"/>
  <c r="AD45" i="3"/>
  <c r="AT45" i="3"/>
  <c r="V72" i="2"/>
  <c r="CH7" i="3"/>
  <c r="CN9" i="3"/>
  <c r="CN11" i="3"/>
  <c r="CO13" i="3"/>
  <c r="CP15" i="3"/>
  <c r="CI18" i="3"/>
  <c r="CI20" i="3"/>
  <c r="CJ22" i="3"/>
  <c r="CP24" i="3"/>
  <c r="CQ26" i="3"/>
  <c r="CQ28" i="3"/>
  <c r="CE31" i="3"/>
  <c r="CF33" i="3"/>
  <c r="CF35" i="3"/>
  <c r="CG37" i="3"/>
  <c r="F40" i="3"/>
  <c r="AA40" i="3"/>
  <c r="AV40" i="3"/>
  <c r="K44" i="3"/>
  <c r="AA44" i="3"/>
  <c r="AQ44" i="3"/>
  <c r="C45" i="3"/>
  <c r="S45" i="3"/>
  <c r="AI45" i="3"/>
  <c r="AY45" i="3"/>
  <c r="AP72" i="2"/>
  <c r="CN7" i="3"/>
  <c r="CO9" i="3"/>
  <c r="CP11" i="3"/>
  <c r="CI14" i="3"/>
  <c r="CI16" i="3"/>
  <c r="CJ18" i="3"/>
  <c r="CP20" i="3"/>
  <c r="CQ22" i="3"/>
  <c r="CQ24" i="3"/>
  <c r="CE27" i="3"/>
  <c r="CF29" i="3"/>
  <c r="CF31" i="3"/>
  <c r="CG33" i="3"/>
  <c r="CH35" i="3"/>
  <c r="CN37" i="3"/>
  <c r="L40" i="3"/>
  <c r="AH40" i="3"/>
  <c r="P44" i="3"/>
  <c r="AF44" i="3"/>
  <c r="AV44" i="3"/>
  <c r="H45" i="3"/>
  <c r="X45" i="3"/>
  <c r="AN45" i="3"/>
  <c r="BD45" i="3"/>
  <c r="CP7" i="3"/>
  <c r="CI10" i="3"/>
  <c r="CI12" i="3"/>
  <c r="CJ14" i="3"/>
  <c r="CP16" i="3"/>
  <c r="CQ18" i="3"/>
  <c r="CQ20" i="3"/>
  <c r="CE23" i="3"/>
  <c r="CF25" i="3"/>
  <c r="CF27" i="3"/>
  <c r="CG29" i="3"/>
  <c r="CH31" i="3"/>
  <c r="CN33" i="3"/>
  <c r="CN35" i="3"/>
  <c r="CO37" i="3"/>
  <c r="N40" i="3"/>
  <c r="AI40" i="3"/>
  <c r="BD40" i="3"/>
  <c r="Q44" i="3"/>
  <c r="AG44" i="3"/>
  <c r="AW44" i="3"/>
  <c r="I45" i="3"/>
  <c r="Y45" i="3"/>
  <c r="AO45" i="3"/>
  <c r="BE45" i="3"/>
  <c r="CI11" i="2"/>
  <c r="CN17" i="2"/>
  <c r="DA28" i="2"/>
  <c r="CM48" i="2"/>
  <c r="DB42" i="2"/>
  <c r="CI56" i="2"/>
  <c r="CY31" i="2"/>
  <c r="CX47" i="2"/>
  <c r="CQ57" i="2"/>
  <c r="AO72" i="2"/>
  <c r="CZ62" i="2"/>
  <c r="CX61" i="2"/>
  <c r="CZ57" i="2"/>
  <c r="DB67" i="2"/>
  <c r="CG11" i="3"/>
  <c r="CO19" i="3"/>
  <c r="CG27" i="3"/>
  <c r="CI33" i="3"/>
  <c r="M40" i="3"/>
  <c r="AM72" i="2"/>
  <c r="CH11" i="3"/>
  <c r="CP19" i="3"/>
  <c r="CP28" i="3"/>
  <c r="CF37" i="3"/>
  <c r="J44" i="3"/>
  <c r="J45" i="3"/>
  <c r="AP45" i="3"/>
  <c r="CO6" i="3"/>
  <c r="CI11" i="3"/>
  <c r="CJ15" i="3"/>
  <c r="CQ19" i="3"/>
  <c r="CH23" i="3"/>
  <c r="CF26" i="3"/>
  <c r="CJ29" i="3"/>
  <c r="CP31" i="3"/>
  <c r="CN34" i="3"/>
  <c r="CE38" i="3"/>
  <c r="P40" i="3"/>
  <c r="AQ40" i="3"/>
  <c r="O44" i="3"/>
  <c r="AI44" i="3"/>
  <c r="W45" i="3"/>
  <c r="AQ45" i="3"/>
  <c r="Z72" i="2"/>
  <c r="CQ6" i="3"/>
  <c r="CJ9" i="3"/>
  <c r="CH12" i="3"/>
  <c r="CF15" i="3"/>
  <c r="CE18" i="3"/>
  <c r="CH21" i="3"/>
  <c r="CN23" i="3"/>
  <c r="CG26" i="3"/>
  <c r="CP29" i="3"/>
  <c r="CI32" i="3"/>
  <c r="CO34" i="3"/>
  <c r="CF38" i="3"/>
  <c r="W40" i="3"/>
  <c r="AX40" i="3"/>
  <c r="T44" i="3"/>
  <c r="AN44" i="3"/>
  <c r="D45" i="3"/>
  <c r="AB45" i="3"/>
  <c r="AV45" i="3"/>
  <c r="AT72" i="2"/>
  <c r="CF9" i="3"/>
  <c r="CQ11" i="3"/>
  <c r="CO14" i="3"/>
  <c r="CN17" i="3"/>
  <c r="CG20" i="3"/>
  <c r="CJ23" i="3"/>
  <c r="CI26" i="3"/>
  <c r="CO28" i="3"/>
  <c r="CE32" i="3"/>
  <c r="CQ34" i="3"/>
  <c r="CJ37" i="3"/>
  <c r="S40" i="3"/>
  <c r="AT40" i="3"/>
  <c r="M44" i="3"/>
  <c r="AK44" i="3"/>
  <c r="BE44" i="3"/>
  <c r="U45" i="3"/>
  <c r="AS45" i="3"/>
  <c r="CN33" i="2"/>
  <c r="CN36" i="2"/>
  <c r="CZ36" i="2"/>
  <c r="CI51" i="2"/>
  <c r="CN46" i="2"/>
  <c r="DB58" i="2"/>
  <c r="CW39" i="2"/>
  <c r="DB49" i="2"/>
  <c r="CE57" i="2"/>
  <c r="CQ65" i="2"/>
  <c r="CH64" i="2"/>
  <c r="DB59" i="2"/>
  <c r="T72" i="2"/>
  <c r="CE13" i="3"/>
  <c r="CQ21" i="3"/>
  <c r="CN28" i="3"/>
  <c r="CG35" i="3"/>
  <c r="AC40" i="3"/>
  <c r="CN13" i="3"/>
  <c r="CI22" i="3"/>
  <c r="CQ30" i="3"/>
  <c r="D40" i="3"/>
  <c r="Z44" i="3"/>
  <c r="R45" i="3"/>
  <c r="AX45" i="3"/>
  <c r="CE8" i="3"/>
  <c r="CG12" i="3"/>
  <c r="CH16" i="3"/>
  <c r="CO20" i="3"/>
  <c r="CE24" i="3"/>
  <c r="CI27" i="3"/>
  <c r="CO29" i="3"/>
  <c r="CH32" i="3"/>
  <c r="CQ35" i="3"/>
  <c r="CJ38" i="3"/>
  <c r="V40" i="3"/>
  <c r="BB40" i="3"/>
  <c r="S44" i="3"/>
  <c r="AM44" i="3"/>
  <c r="G45" i="3"/>
  <c r="AA45" i="3"/>
  <c r="AU45" i="3"/>
  <c r="BF72" i="2"/>
  <c r="CI7" i="3"/>
  <c r="CG10" i="3"/>
  <c r="CF13" i="3"/>
  <c r="CQ15" i="3"/>
  <c r="CO18" i="3"/>
  <c r="CN21" i="3"/>
  <c r="CG24" i="3"/>
  <c r="CJ27" i="3"/>
  <c r="CI30" i="3"/>
  <c r="CO32" i="3"/>
  <c r="CE36" i="3"/>
  <c r="CQ38" i="3"/>
  <c r="AB40" i="3"/>
  <c r="D44" i="3"/>
  <c r="X44" i="3"/>
  <c r="AR44" i="3"/>
  <c r="L45" i="3"/>
  <c r="AF45" i="3"/>
  <c r="AZ45" i="3"/>
  <c r="CE7" i="3"/>
  <c r="CP9" i="3"/>
  <c r="CO12" i="3"/>
  <c r="CH15" i="3"/>
  <c r="CF18" i="3"/>
  <c r="CJ21" i="3"/>
  <c r="CP23" i="3"/>
  <c r="CN26" i="3"/>
  <c r="CE30" i="3"/>
  <c r="CP32" i="3"/>
  <c r="CI35" i="3"/>
  <c r="CG38" i="3"/>
  <c r="X40" i="3"/>
  <c r="AY40" i="3"/>
  <c r="U44" i="3"/>
  <c r="AO44" i="3"/>
  <c r="E45" i="3"/>
  <c r="AC45" i="3"/>
  <c r="AW45" i="3"/>
  <c r="CK12" i="2"/>
  <c r="CN31" i="2"/>
  <c r="CY49" i="2"/>
  <c r="CK42" i="2"/>
  <c r="CN54" i="2"/>
  <c r="CW49" i="2"/>
  <c r="CK62" i="2"/>
  <c r="CX42" i="2"/>
  <c r="DB51" i="2"/>
  <c r="CK63" i="2"/>
  <c r="F72" i="2"/>
  <c r="CK65" i="2"/>
  <c r="CE63" i="2"/>
  <c r="AR72" i="2"/>
  <c r="CP6" i="3"/>
  <c r="CO15" i="3"/>
  <c r="CF24" i="3"/>
  <c r="CH30" i="3"/>
  <c r="CN36" i="3"/>
  <c r="AS40" i="3"/>
  <c r="CF7" i="3"/>
  <c r="CN15" i="3"/>
  <c r="CI24" i="3"/>
  <c r="CQ32" i="3"/>
  <c r="Z40" i="3"/>
  <c r="AP44" i="3"/>
  <c r="Z45" i="3"/>
  <c r="BF45" i="3"/>
  <c r="CH9" i="3"/>
  <c r="CJ13" i="3"/>
  <c r="CP17" i="3"/>
  <c r="CE22" i="3"/>
  <c r="CH25" i="3"/>
  <c r="CN27" i="3"/>
  <c r="CG30" i="3"/>
  <c r="CP33" i="3"/>
  <c r="CI36" i="3"/>
  <c r="CO38" i="3"/>
  <c r="AF40" i="3"/>
  <c r="C44" i="3"/>
  <c r="W44" i="3"/>
  <c r="AU44" i="3"/>
  <c r="K45" i="3"/>
  <c r="AE45" i="3"/>
  <c r="CG8" i="3"/>
  <c r="CE11" i="3"/>
  <c r="CP13" i="3"/>
  <c r="CO16" i="3"/>
  <c r="CH19" i="3"/>
  <c r="CF22" i="3"/>
  <c r="CJ25" i="3"/>
  <c r="CP27" i="3"/>
  <c r="CN30" i="3"/>
  <c r="CE34" i="3"/>
  <c r="CP36" i="3"/>
  <c r="G40" i="3"/>
  <c r="AM40" i="3"/>
  <c r="H44" i="3"/>
  <c r="AB44" i="3"/>
  <c r="AZ44" i="3"/>
  <c r="P45" i="3"/>
  <c r="AJ45" i="3"/>
  <c r="N72" i="2"/>
  <c r="CJ7" i="3"/>
  <c r="CN10" i="3"/>
  <c r="CG13" i="3"/>
  <c r="CE16" i="3"/>
  <c r="CI19" i="3"/>
  <c r="CO21" i="3"/>
  <c r="CH24" i="3"/>
  <c r="CQ27" i="3"/>
  <c r="CJ30" i="3"/>
  <c r="CH33" i="3"/>
  <c r="CG36" i="3"/>
  <c r="C40" i="3"/>
  <c r="AD40" i="3"/>
  <c r="E44" i="3"/>
  <c r="Y44" i="3"/>
  <c r="AS44" i="3"/>
  <c r="M45" i="3"/>
  <c r="AG45" i="3"/>
  <c r="BA45" i="3"/>
  <c r="CE46" i="2"/>
  <c r="CQ45" i="2"/>
  <c r="CN60" i="2"/>
  <c r="AA72" i="2"/>
  <c r="CF32" i="3"/>
  <c r="CG9" i="3"/>
  <c r="AU40" i="3"/>
  <c r="CO22" i="3"/>
  <c r="CI34" i="3"/>
  <c r="G44" i="3"/>
  <c r="AM45" i="3"/>
  <c r="CQ8" i="3"/>
  <c r="CE20" i="3"/>
  <c r="CQ31" i="3"/>
  <c r="AR40" i="3"/>
  <c r="T45" i="3"/>
  <c r="CH8" i="3"/>
  <c r="CN19" i="3"/>
  <c r="CO30" i="3"/>
  <c r="AN40" i="3"/>
  <c r="Q45" i="3"/>
  <c r="CG56" i="2"/>
  <c r="CH54" i="2"/>
  <c r="CY65" i="2"/>
  <c r="CI25" i="3"/>
  <c r="CO17" i="3"/>
  <c r="AH45" i="3"/>
  <c r="CN18" i="3"/>
  <c r="CO36" i="3"/>
  <c r="AY44" i="3"/>
  <c r="CJ6" i="3"/>
  <c r="CI23" i="3"/>
  <c r="CH37" i="3"/>
  <c r="BD44" i="3"/>
  <c r="CF11" i="3"/>
  <c r="CP25" i="3"/>
  <c r="H40" i="3"/>
  <c r="AK45" i="3"/>
  <c r="CN38" i="2"/>
  <c r="CY67" i="2"/>
  <c r="CH38" i="3"/>
  <c r="CJ26" i="3"/>
  <c r="AL72" i="2"/>
  <c r="CN25" i="3"/>
  <c r="K40" i="3"/>
  <c r="O45" i="3"/>
  <c r="CJ11" i="3"/>
  <c r="CO25" i="3"/>
  <c r="R40" i="3"/>
  <c r="AR45" i="3"/>
  <c r="CE14" i="3"/>
  <c r="CI28" i="3"/>
  <c r="I44" i="3"/>
  <c r="CY17" i="2"/>
  <c r="CH56" i="2"/>
  <c r="CE9" i="3"/>
  <c r="G72" i="2"/>
  <c r="CE35" i="3"/>
  <c r="CF10" i="3"/>
  <c r="CG28" i="3"/>
  <c r="AL40" i="3"/>
  <c r="J72" i="2"/>
  <c r="CN14" i="3"/>
  <c r="CH28" i="3"/>
  <c r="L44" i="3"/>
  <c r="AD72" i="2"/>
  <c r="CH17" i="3"/>
  <c r="CF34" i="3"/>
  <c r="AC44" i="3"/>
  <c r="CW65" i="2"/>
  <c r="CN67" i="2"/>
  <c r="CI17" i="3"/>
  <c r="BF44" i="3"/>
  <c r="CG14" i="3"/>
  <c r="CJ31" i="3"/>
  <c r="AE44" i="3"/>
  <c r="CG17" i="3"/>
  <c r="CJ34" i="3"/>
  <c r="AJ44" i="3"/>
  <c r="CG22" i="3"/>
  <c r="CQ36" i="3"/>
  <c r="BA44" i="3"/>
  <c r="CK34" i="3"/>
  <c r="CL34" i="3"/>
  <c r="CK31" i="3"/>
  <c r="CL31" i="3"/>
  <c r="CM34" i="3"/>
  <c r="AD74" i="2"/>
  <c r="J74" i="2"/>
  <c r="AL43" i="3"/>
  <c r="CM10" i="3"/>
  <c r="G74" i="2"/>
  <c r="R43" i="3"/>
  <c r="H35" i="5"/>
  <c r="CK11" i="3"/>
  <c r="CL11" i="3"/>
  <c r="K43" i="3"/>
  <c r="AL74" i="2"/>
  <c r="CK26" i="3"/>
  <c r="CL26" i="3"/>
  <c r="I37" i="5"/>
  <c r="F34" i="6" s="1"/>
  <c r="H43" i="3"/>
  <c r="CM11" i="3"/>
  <c r="CK6" i="3"/>
  <c r="CL6" i="3"/>
  <c r="H8" i="5"/>
  <c r="AN43" i="3"/>
  <c r="H9" i="5"/>
  <c r="E6" i="6"/>
  <c r="AR43" i="3"/>
  <c r="H52" i="5"/>
  <c r="AU43" i="3"/>
  <c r="CM32" i="3"/>
  <c r="AA74" i="2"/>
  <c r="CF46" i="2"/>
  <c r="D17" i="5"/>
  <c r="AD43" i="3"/>
  <c r="C43" i="3"/>
  <c r="CL30" i="3"/>
  <c r="CK30" i="3"/>
  <c r="H37" i="5"/>
  <c r="E34" i="6" s="1"/>
  <c r="CK7" i="3"/>
  <c r="CL7" i="3"/>
  <c r="N74" i="2"/>
  <c r="AM43" i="3"/>
  <c r="G43" i="3"/>
  <c r="CL25" i="3"/>
  <c r="CK25" i="3"/>
  <c r="CM22" i="3"/>
  <c r="H44" i="5"/>
  <c r="E41" i="6" s="1"/>
  <c r="AF43" i="3"/>
  <c r="CK13" i="3"/>
  <c r="CL13" i="3"/>
  <c r="Z43" i="3"/>
  <c r="CM7" i="3"/>
  <c r="AS43" i="3"/>
  <c r="CM24" i="3"/>
  <c r="H12" i="5"/>
  <c r="E9" i="6"/>
  <c r="AR74" i="2"/>
  <c r="CF63" i="2"/>
  <c r="CL65" i="2"/>
  <c r="F74" i="2"/>
  <c r="CL63" i="2"/>
  <c r="CL62" i="2"/>
  <c r="CL42" i="2"/>
  <c r="I44" i="5"/>
  <c r="F41" i="6" s="1"/>
  <c r="CL12" i="2"/>
  <c r="AY43" i="3"/>
  <c r="X43" i="3"/>
  <c r="CK21" i="3"/>
  <c r="CL21" i="3"/>
  <c r="CM18" i="3"/>
  <c r="H31" i="5"/>
  <c r="E28" i="6" s="1"/>
  <c r="AB43" i="3"/>
  <c r="CK27" i="3"/>
  <c r="CL27" i="3"/>
  <c r="H24" i="5"/>
  <c r="CM13" i="3"/>
  <c r="BF74" i="2"/>
  <c r="BB43" i="3"/>
  <c r="V43" i="3"/>
  <c r="CL38" i="3"/>
  <c r="CK38" i="3"/>
  <c r="H48" i="5"/>
  <c r="H15" i="5"/>
  <c r="E12" i="6" s="1"/>
  <c r="D43" i="3"/>
  <c r="AC43" i="3"/>
  <c r="T74" i="2"/>
  <c r="CF57" i="2"/>
  <c r="I17" i="5"/>
  <c r="F14" i="6" s="1"/>
  <c r="CJ51" i="2"/>
  <c r="I47" i="5"/>
  <c r="F44" i="6" s="1"/>
  <c r="I24" i="5"/>
  <c r="F21" i="6" s="1"/>
  <c r="AT43" i="3"/>
  <c r="S43" i="3"/>
  <c r="CL37" i="3"/>
  <c r="CK37" i="3"/>
  <c r="H28" i="5"/>
  <c r="E25" i="6"/>
  <c r="CK23" i="3"/>
  <c r="CL23" i="3"/>
  <c r="H7" i="5"/>
  <c r="E4" i="6"/>
  <c r="CM9" i="3"/>
  <c r="AT74" i="2"/>
  <c r="AX43" i="3"/>
  <c r="W43" i="3"/>
  <c r="CM38" i="3"/>
  <c r="CM15" i="3"/>
  <c r="CL9" i="3"/>
  <c r="CK9" i="3"/>
  <c r="Z74" i="2"/>
  <c r="AQ43" i="3"/>
  <c r="P43" i="3"/>
  <c r="CL29" i="3"/>
  <c r="CK29" i="3"/>
  <c r="CM26" i="3"/>
  <c r="CK15" i="3"/>
  <c r="CL15" i="3"/>
  <c r="H14" i="5"/>
  <c r="E11" i="6" s="1"/>
  <c r="CM37" i="3"/>
  <c r="AM74" i="2"/>
  <c r="M43" i="3"/>
  <c r="H30" i="5"/>
  <c r="E27" i="6" s="1"/>
  <c r="AO74" i="2"/>
  <c r="CJ56" i="2"/>
  <c r="I26" i="5"/>
  <c r="F23" i="6" s="1"/>
  <c r="CJ11" i="2"/>
  <c r="BD43" i="3"/>
  <c r="AI43" i="3"/>
  <c r="N43" i="3"/>
  <c r="CM27" i="3"/>
  <c r="CM25" i="3"/>
  <c r="CK14" i="3"/>
  <c r="CL14" i="3"/>
  <c r="AH43" i="3"/>
  <c r="L43" i="3"/>
  <c r="CM31" i="3"/>
  <c r="CM29" i="3"/>
  <c r="CL18" i="3"/>
  <c r="CK18" i="3"/>
  <c r="H49" i="5"/>
  <c r="E46" i="6" s="1"/>
  <c r="AP74" i="2"/>
  <c r="AV43" i="3"/>
  <c r="AA43" i="3"/>
  <c r="F43" i="3"/>
  <c r="CM35" i="3"/>
  <c r="CM33" i="3"/>
  <c r="CK22" i="3"/>
  <c r="CL22" i="3"/>
  <c r="H27" i="5"/>
  <c r="E24" i="6" s="1"/>
  <c r="V74" i="2"/>
  <c r="AP43" i="3"/>
  <c r="T43" i="3"/>
  <c r="CM30" i="3"/>
  <c r="CK19" i="3"/>
  <c r="CL19" i="3"/>
  <c r="CL17" i="3"/>
  <c r="CK17" i="3"/>
  <c r="H26" i="5"/>
  <c r="E23" i="6"/>
  <c r="H21" i="5"/>
  <c r="E18" i="6" s="1"/>
  <c r="AE74" i="2"/>
  <c r="BE43" i="3"/>
  <c r="AO43" i="3"/>
  <c r="Y43" i="3"/>
  <c r="I43" i="3"/>
  <c r="CL36" i="3"/>
  <c r="CK36" i="3"/>
  <c r="CK28" i="3"/>
  <c r="CL28" i="3"/>
  <c r="H16" i="5"/>
  <c r="E13" i="6"/>
  <c r="CK8" i="3"/>
  <c r="CL8" i="3"/>
  <c r="CM6" i="3"/>
  <c r="BG74" i="2"/>
  <c r="S74" i="2"/>
  <c r="AJ74" i="2"/>
  <c r="P74" i="2"/>
  <c r="CJ67" i="2"/>
  <c r="CF65" i="2"/>
  <c r="CL61" i="2"/>
  <c r="CJ65" i="2"/>
  <c r="AK74" i="2"/>
  <c r="CL45" i="2"/>
  <c r="I16" i="5"/>
  <c r="F13" i="6"/>
  <c r="I29" i="5"/>
  <c r="I36" i="5"/>
  <c r="F33" i="6" s="1"/>
  <c r="CF51" i="2"/>
  <c r="D28" i="5"/>
  <c r="F28" i="5" s="1"/>
  <c r="CJ48" i="2"/>
  <c r="CJ36" i="2"/>
  <c r="BF43" i="3"/>
  <c r="AJ43" i="3"/>
  <c r="O43" i="3"/>
  <c r="CM23" i="3"/>
  <c r="CM21" i="3"/>
  <c r="CL10" i="3"/>
  <c r="CK10" i="3"/>
  <c r="AH74" i="2"/>
  <c r="BC74" i="2"/>
  <c r="W74" i="2"/>
  <c r="BA43" i="3"/>
  <c r="AK43" i="3"/>
  <c r="U43" i="3"/>
  <c r="E43" i="3"/>
  <c r="CM36" i="3"/>
  <c r="CM28" i="3"/>
  <c r="CL16" i="3"/>
  <c r="CK16" i="3"/>
  <c r="CL12" i="3"/>
  <c r="CK12" i="3"/>
  <c r="CM8" i="3"/>
  <c r="AY74" i="2"/>
  <c r="K74" i="2"/>
  <c r="AF74" i="2"/>
  <c r="L74" i="2"/>
  <c r="CF67" i="2"/>
  <c r="CJ63" i="2"/>
  <c r="CF61" i="2"/>
  <c r="CJ61" i="2"/>
  <c r="U74" i="2"/>
  <c r="CF59" i="2"/>
  <c r="CJ35" i="2"/>
  <c r="CF50" i="2"/>
  <c r="D45" i="5"/>
  <c r="C42" i="6" s="1"/>
  <c r="CJ47" i="2"/>
  <c r="CF40" i="2"/>
  <c r="D52" i="5"/>
  <c r="C49" i="6" s="1"/>
  <c r="CJ58" i="2"/>
  <c r="I34" i="5"/>
  <c r="F31" i="6" s="1"/>
  <c r="CJ29" i="2"/>
  <c r="CM19" i="3"/>
  <c r="CM17" i="3"/>
  <c r="BB74" i="2"/>
  <c r="AZ43" i="3"/>
  <c r="AE43" i="3"/>
  <c r="J43" i="3"/>
  <c r="CK35" i="3"/>
  <c r="CL35" i="3"/>
  <c r="CK33" i="3"/>
  <c r="CL33" i="3"/>
  <c r="H51" i="5"/>
  <c r="E48" i="6" s="1"/>
  <c r="H19" i="5"/>
  <c r="E16" i="6"/>
  <c r="CM14" i="3"/>
  <c r="R74" i="2"/>
  <c r="AU74" i="2"/>
  <c r="O74" i="2"/>
  <c r="AW43" i="3"/>
  <c r="AG43" i="3"/>
  <c r="Q43" i="3"/>
  <c r="CL32" i="3"/>
  <c r="CK32" i="3"/>
  <c r="H45" i="5"/>
  <c r="CK24" i="3"/>
  <c r="CL24" i="3"/>
  <c r="CL20" i="3"/>
  <c r="CK20" i="3"/>
  <c r="CM16" i="3"/>
  <c r="H5" i="5"/>
  <c r="E2" i="6" s="1"/>
  <c r="H11" i="5"/>
  <c r="E8" i="6"/>
  <c r="AQ74" i="2"/>
  <c r="AV74" i="2"/>
  <c r="AB74" i="2"/>
  <c r="D74" i="2"/>
  <c r="BE74" i="2"/>
  <c r="Q74" i="2"/>
  <c r="CL46" i="2"/>
  <c r="CJ44" i="2"/>
  <c r="CJ60" i="2"/>
  <c r="CL54" i="2"/>
  <c r="D30" i="5"/>
  <c r="CF34" i="2"/>
  <c r="CJ52" i="2"/>
  <c r="CF47" i="2"/>
  <c r="D51" i="5"/>
  <c r="C48" i="6"/>
  <c r="CJ32" i="2"/>
  <c r="I43" i="5"/>
  <c r="F40" i="6" s="1"/>
  <c r="CJ26" i="2"/>
  <c r="CL38" i="2"/>
  <c r="CL16" i="2"/>
  <c r="CM20" i="3"/>
  <c r="CM12" i="3"/>
  <c r="AI74" i="2"/>
  <c r="BD74" i="2"/>
  <c r="AN74" i="2"/>
  <c r="X74" i="2"/>
  <c r="H74" i="2"/>
  <c r="CF66" i="2"/>
  <c r="CF62" i="2"/>
  <c r="CJ66" i="2"/>
  <c r="CL55" i="2"/>
  <c r="BA74" i="2"/>
  <c r="AG74" i="2"/>
  <c r="I74" i="2"/>
  <c r="CL60" i="2"/>
  <c r="CJ55" i="2"/>
  <c r="CL50" i="2"/>
  <c r="CL49" i="2"/>
  <c r="CL48" i="2"/>
  <c r="CL43" i="2"/>
  <c r="CJ38" i="2"/>
  <c r="CL30" i="2"/>
  <c r="CF60" i="2"/>
  <c r="I48" i="5"/>
  <c r="F45" i="6" s="1"/>
  <c r="I35" i="5"/>
  <c r="F32" i="6"/>
  <c r="CJ37" i="2"/>
  <c r="CF52" i="2"/>
  <c r="D48" i="5"/>
  <c r="C45" i="6"/>
  <c r="CJ49" i="2"/>
  <c r="CF48" i="2"/>
  <c r="D18" i="5"/>
  <c r="C15" i="6"/>
  <c r="CJ45" i="2"/>
  <c r="D37" i="5"/>
  <c r="C34" i="6"/>
  <c r="CF38" i="2"/>
  <c r="I39" i="5"/>
  <c r="F36" i="6" s="1"/>
  <c r="I52" i="5"/>
  <c r="F49" i="6"/>
  <c r="CJ25" i="2"/>
  <c r="CL22" i="2"/>
  <c r="CL59" i="2"/>
  <c r="AW74" i="2"/>
  <c r="Y74" i="2"/>
  <c r="E74" i="2"/>
  <c r="CJ59" i="2"/>
  <c r="CL52" i="2"/>
  <c r="CF43" i="2"/>
  <c r="D50" i="5"/>
  <c r="C47" i="6" s="1"/>
  <c r="CJ34" i="2"/>
  <c r="CJ64" i="2"/>
  <c r="I45" i="5"/>
  <c r="F42" i="6" s="1"/>
  <c r="I18" i="5"/>
  <c r="F15" i="6" s="1"/>
  <c r="CJ43" i="2"/>
  <c r="CL41" i="2"/>
  <c r="D29" i="5"/>
  <c r="F29" i="5" s="1"/>
  <c r="D26" i="6" s="1"/>
  <c r="CF39" i="2"/>
  <c r="CJ50" i="2"/>
  <c r="CF49" i="2"/>
  <c r="D36" i="5"/>
  <c r="C33" i="6" s="1"/>
  <c r="CJ46" i="2"/>
  <c r="CF45" i="2"/>
  <c r="D35" i="5"/>
  <c r="I12" i="5"/>
  <c r="F9" i="6" s="1"/>
  <c r="CL56" i="2"/>
  <c r="CF54" i="2"/>
  <c r="CL44" i="2"/>
  <c r="CF37" i="2"/>
  <c r="D40" i="5"/>
  <c r="C37" i="6" s="1"/>
  <c r="CJ22" i="2"/>
  <c r="CL32" i="2"/>
  <c r="CL26" i="2"/>
  <c r="CJ19" i="2"/>
  <c r="CF58" i="2"/>
  <c r="I38" i="5"/>
  <c r="F35" i="6" s="1"/>
  <c r="I42" i="5"/>
  <c r="F39" i="6" s="1"/>
  <c r="I10" i="5"/>
  <c r="F7" i="6" s="1"/>
  <c r="CJ28" i="2"/>
  <c r="CJ24" i="2"/>
  <c r="I19" i="5"/>
  <c r="F16" i="6" s="1"/>
  <c r="D46" i="5"/>
  <c r="C43" i="6" s="1"/>
  <c r="CF30" i="2"/>
  <c r="CL10" i="2"/>
  <c r="I20" i="5"/>
  <c r="F17" i="6" s="1"/>
  <c r="CJ62" i="2"/>
  <c r="CJ57" i="2"/>
  <c r="AS74" i="2"/>
  <c r="AC74" i="2"/>
  <c r="M74" i="2"/>
  <c r="CL67" i="2"/>
  <c r="CL64" i="2"/>
  <c r="CL57" i="2"/>
  <c r="CF55" i="2"/>
  <c r="CL51" i="2"/>
  <c r="CL47" i="2"/>
  <c r="CF36" i="2"/>
  <c r="D47" i="5"/>
  <c r="F47" i="5"/>
  <c r="CF33" i="2"/>
  <c r="D24" i="5"/>
  <c r="C21" i="6" s="1"/>
  <c r="CL66" i="2"/>
  <c r="CF64" i="2"/>
  <c r="CL58" i="2"/>
  <c r="CF56" i="2"/>
  <c r="I28" i="5"/>
  <c r="F25" i="6" s="1"/>
  <c r="I51" i="5"/>
  <c r="CL40" i="2"/>
  <c r="I40" i="5"/>
  <c r="F37" i="6" s="1"/>
  <c r="CF35" i="2"/>
  <c r="D15" i="5"/>
  <c r="F15" i="5" s="1"/>
  <c r="I7" i="5"/>
  <c r="F4" i="6" s="1"/>
  <c r="CJ54" i="2"/>
  <c r="CF32" i="2"/>
  <c r="D8" i="5"/>
  <c r="F8" i="5" s="1"/>
  <c r="I21" i="5"/>
  <c r="CJ27" i="2"/>
  <c r="CJ23" i="2"/>
  <c r="CL18" i="2"/>
  <c r="CL7" i="2"/>
  <c r="CJ20" i="2"/>
  <c r="I41" i="5"/>
  <c r="F38" i="6" s="1"/>
  <c r="D19" i="5"/>
  <c r="CF44" i="2"/>
  <c r="CJ39" i="2"/>
  <c r="CJ33" i="2"/>
  <c r="I31" i="5"/>
  <c r="F28" i="6" s="1"/>
  <c r="CF11" i="2"/>
  <c r="D20" i="5"/>
  <c r="C17" i="6" s="1"/>
  <c r="D26" i="5"/>
  <c r="C23" i="6" s="1"/>
  <c r="CF17" i="2"/>
  <c r="I50" i="5"/>
  <c r="F47" i="6" s="1"/>
  <c r="CF42" i="2"/>
  <c r="D16" i="5"/>
  <c r="C13" i="6" s="1"/>
  <c r="CF41" i="2"/>
  <c r="CL33" i="2"/>
  <c r="CJ30" i="2"/>
  <c r="CL39" i="2"/>
  <c r="I8" i="5"/>
  <c r="F5" i="6"/>
  <c r="CF31" i="2"/>
  <c r="D44" i="5"/>
  <c r="F44" i="5" s="1"/>
  <c r="CL27" i="2"/>
  <c r="CL23" i="2"/>
  <c r="I6" i="5"/>
  <c r="F3" i="6" s="1"/>
  <c r="CJ18" i="2"/>
  <c r="CL8" i="2"/>
  <c r="CL11" i="2"/>
  <c r="I14" i="5"/>
  <c r="F11" i="6" s="1"/>
  <c r="CL17" i="2"/>
  <c r="CL13" i="2"/>
  <c r="I23" i="5"/>
  <c r="CF9" i="2"/>
  <c r="D41" i="5"/>
  <c r="C38" i="6" s="1"/>
  <c r="CF8" i="2"/>
  <c r="D14" i="5"/>
  <c r="C11" i="6"/>
  <c r="D33" i="5"/>
  <c r="C30" i="6" s="1"/>
  <c r="CF7" i="2"/>
  <c r="CF6" i="2"/>
  <c r="D25" i="5"/>
  <c r="CL5" i="2"/>
  <c r="CJ40" i="2"/>
  <c r="I27" i="5"/>
  <c r="F24" i="6"/>
  <c r="CL31" i="2"/>
  <c r="I46" i="5"/>
  <c r="F43" i="6" s="1"/>
  <c r="CF29" i="2"/>
  <c r="D12" i="5"/>
  <c r="C9" i="6" s="1"/>
  <c r="CF28" i="2"/>
  <c r="D7" i="5"/>
  <c r="F7" i="5" s="1"/>
  <c r="D39" i="5"/>
  <c r="C36" i="6" s="1"/>
  <c r="CF27" i="2"/>
  <c r="CF26" i="2"/>
  <c r="D38" i="5"/>
  <c r="F38" i="5" s="1"/>
  <c r="D35" i="6" s="1"/>
  <c r="CF25" i="2"/>
  <c r="D27" i="5"/>
  <c r="F27" i="5" s="1"/>
  <c r="D24" i="6" s="1"/>
  <c r="CF24" i="2"/>
  <c r="D34" i="5"/>
  <c r="C31" i="6" s="1"/>
  <c r="D31" i="5"/>
  <c r="C28" i="6" s="1"/>
  <c r="CF23" i="2"/>
  <c r="D43" i="5"/>
  <c r="C40" i="6" s="1"/>
  <c r="CF22" i="2"/>
  <c r="CL35" i="2"/>
  <c r="CL20" i="2"/>
  <c r="CJ5" i="2"/>
  <c r="CL37" i="2"/>
  <c r="I30" i="5"/>
  <c r="F27" i="6" s="1"/>
  <c r="CL29" i="2"/>
  <c r="CL25" i="2"/>
  <c r="CJ17" i="2"/>
  <c r="D23" i="5"/>
  <c r="F23" i="5" s="1"/>
  <c r="CF10" i="2"/>
  <c r="CJ16" i="2"/>
  <c r="CJ15" i="2"/>
  <c r="CJ14" i="2"/>
  <c r="CJ13" i="2"/>
  <c r="CJ12" i="2"/>
  <c r="CL6" i="2"/>
  <c r="D42" i="5"/>
  <c r="F42" i="5" s="1"/>
  <c r="CF20" i="2"/>
  <c r="CF19" i="2"/>
  <c r="D6" i="5"/>
  <c r="C3" i="6" s="1"/>
  <c r="I25" i="5"/>
  <c r="CF5" i="2"/>
  <c r="D22" i="5"/>
  <c r="C19" i="6" s="1"/>
  <c r="CL15" i="2"/>
  <c r="I22" i="5"/>
  <c r="F19" i="6" s="1"/>
  <c r="I49" i="5"/>
  <c r="F46" i="6" s="1"/>
  <c r="I32" i="5"/>
  <c r="F29" i="6" s="1"/>
  <c r="I11" i="5"/>
  <c r="F8" i="6" s="1"/>
  <c r="CL19" i="2"/>
  <c r="CJ42" i="2"/>
  <c r="CJ41" i="2"/>
  <c r="CL34" i="2"/>
  <c r="CF18" i="2"/>
  <c r="D13" i="5"/>
  <c r="F13" i="5" s="1"/>
  <c r="CJ10" i="2"/>
  <c r="CL36" i="2"/>
  <c r="I15" i="5"/>
  <c r="F12" i="6" s="1"/>
  <c r="CJ31" i="2"/>
  <c r="CL28" i="2"/>
  <c r="CL24" i="2"/>
  <c r="I13" i="5"/>
  <c r="CF16" i="2"/>
  <c r="D49" i="5"/>
  <c r="C46" i="6" s="1"/>
  <c r="CF15" i="2"/>
  <c r="D10" i="5"/>
  <c r="C7" i="6"/>
  <c r="D32" i="5"/>
  <c r="C29" i="6" s="1"/>
  <c r="CF14" i="2"/>
  <c r="CF13" i="2"/>
  <c r="D21" i="5"/>
  <c r="C18" i="6" s="1"/>
  <c r="CF12" i="2"/>
  <c r="D11" i="5"/>
  <c r="C8" i="6" s="1"/>
  <c r="CL9" i="2"/>
  <c r="I33" i="5"/>
  <c r="F30" i="6"/>
  <c r="CL14" i="2"/>
  <c r="CJ9" i="2"/>
  <c r="CJ8" i="2"/>
  <c r="CJ7" i="2"/>
  <c r="CJ6" i="2"/>
  <c r="F50" i="5"/>
  <c r="F48" i="5"/>
  <c r="C48" i="5" s="1"/>
  <c r="F18" i="5"/>
  <c r="D15" i="6" s="1"/>
  <c r="E47" i="6"/>
  <c r="E40" i="6"/>
  <c r="E35" i="6"/>
  <c r="DA53" i="2"/>
  <c r="CK53" i="2"/>
  <c r="CY53" i="2"/>
  <c r="CG53" i="2"/>
  <c r="DB53" i="2"/>
  <c r="CN53" i="2"/>
  <c r="AX72" i="2"/>
  <c r="CH53" i="2"/>
  <c r="CW53" i="2"/>
  <c r="CI53" i="2"/>
  <c r="CX53" i="2"/>
  <c r="CQ53" i="2"/>
  <c r="CZ53" i="2"/>
  <c r="CE53" i="2"/>
  <c r="CM53" i="2"/>
  <c r="CQ21" i="2"/>
  <c r="CN21" i="2"/>
  <c r="CK21" i="2"/>
  <c r="CW21" i="2"/>
  <c r="AZ72" i="2"/>
  <c r="CZ21" i="2"/>
  <c r="DA21" i="2"/>
  <c r="CE21" i="2"/>
  <c r="DB21" i="2"/>
  <c r="CG21" i="2"/>
  <c r="CX21" i="2"/>
  <c r="CH21" i="2"/>
  <c r="CM21" i="2"/>
  <c r="CY21" i="2"/>
  <c r="CI21" i="2"/>
  <c r="D9" i="5"/>
  <c r="C6" i="6"/>
  <c r="CF53" i="2"/>
  <c r="CJ53" i="2"/>
  <c r="AX74" i="2"/>
  <c r="I9" i="5"/>
  <c r="F6" i="6" s="1"/>
  <c r="CL53" i="2"/>
  <c r="CO69" i="2"/>
  <c r="CU68" i="2"/>
  <c r="CO68" i="2"/>
  <c r="F52" i="5"/>
  <c r="D49" i="6" s="1"/>
  <c r="CR68" i="2"/>
  <c r="CT68" i="2"/>
  <c r="F36" i="5"/>
  <c r="F14" i="5"/>
  <c r="D11" i="6"/>
  <c r="F37" i="5"/>
  <c r="CS68" i="2"/>
  <c r="CJ21" i="2"/>
  <c r="CI72" i="2"/>
  <c r="CY68" i="2"/>
  <c r="CH72" i="2"/>
  <c r="CX68" i="2"/>
  <c r="CG72" i="2"/>
  <c r="DB68" i="2"/>
  <c r="D5" i="5"/>
  <c r="CF21" i="2"/>
  <c r="DA68" i="2"/>
  <c r="CZ68" i="2"/>
  <c r="CO72" i="2"/>
  <c r="AZ74" i="2"/>
  <c r="CW68" i="2"/>
  <c r="CL21" i="2"/>
  <c r="CK72" i="2"/>
  <c r="I5" i="5"/>
  <c r="F2" i="6" s="1"/>
  <c r="CQ68" i="2"/>
  <c r="F41" i="5"/>
  <c r="D38" i="6" s="1"/>
  <c r="C12" i="6"/>
  <c r="F45" i="5"/>
  <c r="D42" i="6"/>
  <c r="F51" i="5"/>
  <c r="D48" i="6" s="1"/>
  <c r="C14" i="5"/>
  <c r="F24" i="5"/>
  <c r="D21" i="6"/>
  <c r="F43" i="5"/>
  <c r="C43" i="5" s="1"/>
  <c r="B40" i="6" s="1"/>
  <c r="F9" i="5"/>
  <c r="D6" i="6" s="1"/>
  <c r="F26" i="5"/>
  <c r="C26" i="5" s="1"/>
  <c r="B23" i="6" s="1"/>
  <c r="C35" i="6"/>
  <c r="F10" i="6"/>
  <c r="C22" i="6"/>
  <c r="F25" i="5"/>
  <c r="D22" i="6" s="1"/>
  <c r="C41" i="6"/>
  <c r="C16" i="6"/>
  <c r="F19" i="5"/>
  <c r="E21" i="6"/>
  <c r="E49" i="6"/>
  <c r="C52" i="5"/>
  <c r="B49" i="6" s="1"/>
  <c r="C2" i="6"/>
  <c r="F5" i="5"/>
  <c r="C5" i="5" s="1"/>
  <c r="F44" i="4" s="1"/>
  <c r="F26" i="6"/>
  <c r="F20" i="6"/>
  <c r="C32" i="6"/>
  <c r="F35" i="5"/>
  <c r="D32" i="6" s="1"/>
  <c r="E42" i="6"/>
  <c r="C14" i="6"/>
  <c r="F17" i="5"/>
  <c r="D14" i="6" s="1"/>
  <c r="E43" i="6"/>
  <c r="D47" i="6"/>
  <c r="C50" i="5"/>
  <c r="F39" i="5"/>
  <c r="C39" i="5"/>
  <c r="K39" i="5" s="1"/>
  <c r="F40" i="5"/>
  <c r="D37" i="6" s="1"/>
  <c r="F30" i="5"/>
  <c r="D27" i="6" s="1"/>
  <c r="C27" i="6"/>
  <c r="CO74" i="2"/>
  <c r="CO77" i="2"/>
  <c r="D33" i="6"/>
  <c r="C24" i="5"/>
  <c r="C9" i="5"/>
  <c r="K9" i="5" s="1"/>
  <c r="H6" i="6" s="1"/>
  <c r="D23" i="6"/>
  <c r="C30" i="5"/>
  <c r="D16" i="6"/>
  <c r="C19" i="5"/>
  <c r="B16" i="6" s="1"/>
  <c r="K50" i="5"/>
  <c r="H47" i="6" s="1"/>
  <c r="B47" i="6"/>
  <c r="F89" i="4"/>
  <c r="B21" i="6"/>
  <c r="K24" i="5"/>
  <c r="L24" i="5" s="1"/>
  <c r="F63" i="4"/>
  <c r="N39" i="4"/>
  <c r="K19" i="5"/>
  <c r="F58" i="4"/>
  <c r="H21" i="6"/>
  <c r="B36" i="6"/>
  <c r="L9" i="5"/>
  <c r="D30" i="4"/>
  <c r="AF38" i="4"/>
  <c r="I29" i="4"/>
  <c r="H16" i="6"/>
  <c r="L19" i="5"/>
  <c r="CE5" i="3"/>
  <c r="CG5" i="3"/>
  <c r="CI5" i="3"/>
  <c r="CJ5" i="3"/>
  <c r="CO5" i="3"/>
  <c r="CF5" i="3"/>
  <c r="CN5" i="3"/>
  <c r="CP5" i="3"/>
  <c r="BC44" i="3"/>
  <c r="CQ5" i="3"/>
  <c r="BC45" i="3"/>
  <c r="CH5" i="3"/>
  <c r="BC40" i="3"/>
  <c r="CE40" i="3"/>
  <c r="BC43" i="3"/>
  <c r="CE43" i="3"/>
  <c r="CE53" i="3"/>
  <c r="CE45" i="3"/>
  <c r="CQ3" i="3"/>
  <c r="CP3" i="3"/>
  <c r="CM5" i="3"/>
  <c r="H33" i="5"/>
  <c r="CJ40" i="3"/>
  <c r="CK5" i="3"/>
  <c r="CL5" i="3"/>
  <c r="F78" i="4"/>
  <c r="F18" i="6"/>
  <c r="K30" i="5"/>
  <c r="L30" i="5" s="1"/>
  <c r="B27" i="6"/>
  <c r="F69" i="4"/>
  <c r="D36" i="6"/>
  <c r="C36" i="5"/>
  <c r="B33" i="6" s="1"/>
  <c r="E45" i="6"/>
  <c r="C37" i="5"/>
  <c r="D34" i="6"/>
  <c r="C25" i="5"/>
  <c r="F22" i="6"/>
  <c r="E5" i="6"/>
  <c r="E32" i="6"/>
  <c r="C35" i="5"/>
  <c r="E15" i="6"/>
  <c r="C18" i="5"/>
  <c r="F48" i="6"/>
  <c r="B45" i="6"/>
  <c r="K5" i="5"/>
  <c r="L5" i="5" s="1"/>
  <c r="F53" i="4"/>
  <c r="B11" i="6"/>
  <c r="K14" i="5"/>
  <c r="K29" i="4"/>
  <c r="AG30" i="4"/>
  <c r="L30" i="4"/>
  <c r="R29" i="4"/>
  <c r="S29" i="4"/>
  <c r="AC30" i="4"/>
  <c r="U30" i="4"/>
  <c r="O30" i="4"/>
  <c r="AB33" i="4"/>
  <c r="B2" i="6"/>
  <c r="D2" i="6"/>
  <c r="F65" i="4"/>
  <c r="G30" i="4" s="1"/>
  <c r="K26" i="5"/>
  <c r="H23" i="6" s="1"/>
  <c r="C41" i="5"/>
  <c r="K41" i="5" s="1"/>
  <c r="D10" i="6"/>
  <c r="C13" i="5"/>
  <c r="C10" i="6"/>
  <c r="C45" i="5"/>
  <c r="F32" i="5"/>
  <c r="C20" i="6"/>
  <c r="C28" i="5"/>
  <c r="B25" i="6" s="1"/>
  <c r="D25" i="6"/>
  <c r="C29" i="5"/>
  <c r="D39" i="6"/>
  <c r="C42" i="5"/>
  <c r="D44" i="6"/>
  <c r="C47" i="5"/>
  <c r="D20" i="6"/>
  <c r="C23" i="5"/>
  <c r="C27" i="5"/>
  <c r="B24" i="6" s="1"/>
  <c r="C4" i="6"/>
  <c r="C39" i="6"/>
  <c r="F10" i="5"/>
  <c r="F11" i="5"/>
  <c r="C24" i="6"/>
  <c r="F34" i="5"/>
  <c r="D31" i="6" s="1"/>
  <c r="F49" i="5"/>
  <c r="F20" i="5"/>
  <c r="C44" i="6"/>
  <c r="F75" i="4"/>
  <c r="K36" i="5"/>
  <c r="H33" i="6" s="1"/>
  <c r="F74" i="4"/>
  <c r="K35" i="5"/>
  <c r="B32" i="6"/>
  <c r="B29" i="4"/>
  <c r="L31" i="4"/>
  <c r="AC32" i="4"/>
  <c r="P31" i="4"/>
  <c r="Y32" i="4"/>
  <c r="AB30" i="4"/>
  <c r="A32" i="4"/>
  <c r="J32" i="4"/>
  <c r="V31" i="4"/>
  <c r="I31" i="4"/>
  <c r="N29" i="4"/>
  <c r="L39" i="5"/>
  <c r="H36" i="6"/>
  <c r="L26" i="5"/>
  <c r="L14" i="5"/>
  <c r="H11" i="6"/>
  <c r="K25" i="5"/>
  <c r="L25" i="5" s="1"/>
  <c r="F64" i="4"/>
  <c r="B22" i="6"/>
  <c r="H27" i="6"/>
  <c r="E30" i="6"/>
  <c r="CF45" i="3"/>
  <c r="K18" i="5"/>
  <c r="L18" i="5" s="1"/>
  <c r="F57" i="4"/>
  <c r="B15" i="6"/>
  <c r="B38" i="6"/>
  <c r="F80" i="4"/>
  <c r="F29" i="4"/>
  <c r="AE38" i="4"/>
  <c r="N38" i="4"/>
  <c r="G29" i="4"/>
  <c r="AH30" i="4"/>
  <c r="L29" i="4"/>
  <c r="U29" i="4"/>
  <c r="P29" i="4"/>
  <c r="F76" i="4"/>
  <c r="B34" i="6"/>
  <c r="K37" i="5"/>
  <c r="AD36" i="4"/>
  <c r="AG38" i="4"/>
  <c r="U37" i="4"/>
  <c r="AH38" i="4"/>
  <c r="R36" i="4"/>
  <c r="S35" i="4"/>
  <c r="K45" i="5"/>
  <c r="H42" i="6" s="1"/>
  <c r="F84" i="4"/>
  <c r="B42" i="6"/>
  <c r="K13" i="5"/>
  <c r="B10" i="6"/>
  <c r="F52" i="4"/>
  <c r="D29" i="6"/>
  <c r="C32" i="5"/>
  <c r="B29" i="6" s="1"/>
  <c r="C10" i="5"/>
  <c r="D7" i="6"/>
  <c r="B44" i="6"/>
  <c r="F86" i="4"/>
  <c r="K47" i="5"/>
  <c r="B26" i="6"/>
  <c r="F68" i="4"/>
  <c r="K29" i="5"/>
  <c r="K28" i="5"/>
  <c r="L28" i="5" s="1"/>
  <c r="C49" i="5"/>
  <c r="D46" i="6"/>
  <c r="K23" i="5"/>
  <c r="F62" i="4"/>
  <c r="X39" i="4" s="1"/>
  <c r="B20" i="6"/>
  <c r="B39" i="6"/>
  <c r="K42" i="5"/>
  <c r="F81" i="4"/>
  <c r="X34" i="4" s="1"/>
  <c r="C20" i="5"/>
  <c r="D17" i="6"/>
  <c r="D8" i="6"/>
  <c r="C11" i="5"/>
  <c r="CH45" i="3"/>
  <c r="H22" i="6"/>
  <c r="S37" i="4"/>
  <c r="R38" i="4"/>
  <c r="AC39" i="4"/>
  <c r="H34" i="6"/>
  <c r="L37" i="5"/>
  <c r="L41" i="5"/>
  <c r="H38" i="6"/>
  <c r="AB29" i="4"/>
  <c r="V33" i="4"/>
  <c r="N32" i="4"/>
  <c r="CG45" i="3"/>
  <c r="H15" i="6"/>
  <c r="L36" i="5"/>
  <c r="M34" i="4"/>
  <c r="W32" i="4"/>
  <c r="Q32" i="4"/>
  <c r="AB31" i="4"/>
  <c r="E32" i="4"/>
  <c r="U35" i="4"/>
  <c r="B38" i="4"/>
  <c r="AB39" i="4"/>
  <c r="C39" i="4"/>
  <c r="L35" i="5"/>
  <c r="H32" i="6"/>
  <c r="I33" i="4"/>
  <c r="AG34" i="4"/>
  <c r="G32" i="4"/>
  <c r="AB32" i="4"/>
  <c r="V34" i="4"/>
  <c r="AA32" i="4"/>
  <c r="Y33" i="4"/>
  <c r="K39" i="4"/>
  <c r="T29" i="4"/>
  <c r="X33" i="4"/>
  <c r="B32" i="4"/>
  <c r="C32" i="4"/>
  <c r="M31" i="4"/>
  <c r="AH34" i="4"/>
  <c r="AC35" i="4"/>
  <c r="D34" i="4"/>
  <c r="R34" i="4"/>
  <c r="Z36" i="4"/>
  <c r="W34" i="4"/>
  <c r="F71" i="4"/>
  <c r="O35" i="4" s="1"/>
  <c r="L45" i="5"/>
  <c r="H10" i="6"/>
  <c r="L13" i="5"/>
  <c r="U31" i="4"/>
  <c r="AF29" i="4"/>
  <c r="M39" i="4"/>
  <c r="S39" i="4"/>
  <c r="I39" i="4"/>
  <c r="B39" i="4"/>
  <c r="C37" i="4"/>
  <c r="L37" i="4"/>
  <c r="G36" i="4"/>
  <c r="AA34" i="4"/>
  <c r="H26" i="6"/>
  <c r="L29" i="5"/>
  <c r="R37" i="4"/>
  <c r="T35" i="4"/>
  <c r="Z32" i="4"/>
  <c r="V36" i="4"/>
  <c r="D36" i="4"/>
  <c r="U38" i="4"/>
  <c r="M38" i="4"/>
  <c r="G37" i="4"/>
  <c r="K35" i="4"/>
  <c r="AH39" i="4"/>
  <c r="S36" i="4"/>
  <c r="F36" i="4"/>
  <c r="B8" i="6"/>
  <c r="F50" i="4"/>
  <c r="U36" i="4" s="1"/>
  <c r="K11" i="5"/>
  <c r="H8" i="6" s="1"/>
  <c r="O31" i="4"/>
  <c r="H39" i="6"/>
  <c r="L42" i="5"/>
  <c r="H20" i="6"/>
  <c r="L23" i="5"/>
  <c r="B46" i="6"/>
  <c r="F88" i="4"/>
  <c r="Q38" i="4" s="1"/>
  <c r="K49" i="5"/>
  <c r="H46" i="6" s="1"/>
  <c r="F59" i="4"/>
  <c r="B17" i="6"/>
  <c r="K20" i="5"/>
  <c r="L47" i="5"/>
  <c r="H44" i="6"/>
  <c r="F49" i="4"/>
  <c r="K10" i="5"/>
  <c r="H7" i="6" s="1"/>
  <c r="B7" i="6"/>
  <c r="L20" i="5"/>
  <c r="H17" i="6"/>
  <c r="L11" i="5"/>
  <c r="L49" i="5"/>
  <c r="W35" i="4"/>
  <c r="N36" i="4"/>
  <c r="AC36" i="4"/>
  <c r="M35" i="4"/>
  <c r="Q34" i="4"/>
  <c r="AE34" i="4"/>
  <c r="AE32" i="4"/>
  <c r="AA30" i="4"/>
  <c r="L10" i="5"/>
  <c r="X38" i="4"/>
  <c r="Z39" i="4"/>
  <c r="AC31" i="4"/>
  <c r="AH31" i="4"/>
  <c r="G39" i="4"/>
  <c r="AD39" i="4"/>
  <c r="AF37" i="4"/>
  <c r="BK76" i="2"/>
  <c r="R76" i="2"/>
  <c r="CC76" i="2"/>
  <c r="M76" i="2"/>
  <c r="U76" i="2"/>
  <c r="G76" i="2"/>
  <c r="BV76" i="2"/>
  <c r="AA76" i="2"/>
  <c r="CA76" i="2"/>
  <c r="AE76" i="2"/>
  <c r="CD76" i="2"/>
  <c r="Q76" i="2"/>
  <c r="BH76" i="2"/>
  <c r="BG76" i="2"/>
  <c r="BF76" i="2"/>
  <c r="AG76" i="2"/>
  <c r="BD76" i="2"/>
  <c r="AP76" i="2"/>
  <c r="T76" i="2"/>
  <c r="BA76" i="2"/>
  <c r="AK76" i="2"/>
  <c r="AU76" i="2"/>
  <c r="AN76" i="2"/>
  <c r="AR76" i="2"/>
  <c r="AC76" i="2"/>
  <c r="K76" i="2"/>
  <c r="BP76" i="2"/>
  <c r="BS76" i="2"/>
  <c r="S76" i="2"/>
  <c r="AZ76" i="2"/>
  <c r="BB76" i="2"/>
  <c r="BX76" i="2"/>
  <c r="BR76" i="2"/>
  <c r="J76" i="2"/>
  <c r="Z76" i="2"/>
  <c r="X76" i="2"/>
  <c r="P76" i="2"/>
  <c r="E76" i="2"/>
  <c r="AF76" i="2"/>
  <c r="AV76" i="2"/>
  <c r="Y76" i="2"/>
  <c r="BZ76" i="2"/>
  <c r="D76" i="2"/>
  <c r="AD76" i="2"/>
  <c r="AY76" i="2"/>
  <c r="AL76" i="2"/>
  <c r="L76" i="2"/>
  <c r="BJ76" i="2"/>
  <c r="BO76" i="2"/>
  <c r="AB76" i="2"/>
  <c r="BQ76" i="2"/>
  <c r="AH76" i="2"/>
  <c r="AJ76" i="2"/>
  <c r="N76" i="2"/>
  <c r="BY76" i="2"/>
  <c r="AT76" i="2"/>
  <c r="AX76" i="2"/>
  <c r="V76" i="2"/>
  <c r="CB76" i="2"/>
  <c r="I76" i="2"/>
  <c r="F76" i="2"/>
  <c r="AO76" i="2"/>
  <c r="BN76" i="2"/>
  <c r="W76" i="2"/>
  <c r="BT76" i="2"/>
  <c r="BL76" i="2"/>
  <c r="AM76" i="2"/>
  <c r="BI76" i="2"/>
  <c r="BM76" i="2"/>
  <c r="BE76" i="2"/>
  <c r="AI76" i="2"/>
  <c r="O76" i="2"/>
  <c r="BU76" i="2"/>
  <c r="AQ76" i="2"/>
  <c r="AW76" i="2"/>
  <c r="H76" i="2"/>
  <c r="AS76" i="2"/>
  <c r="BC76" i="2"/>
  <c r="BW76" i="2"/>
  <c r="C7" i="5" l="1"/>
  <c r="K7" i="5" s="1"/>
  <c r="D4" i="6"/>
  <c r="D12" i="6"/>
  <c r="C15" i="5"/>
  <c r="W39" i="4"/>
  <c r="AG36" i="4"/>
  <c r="B6" i="6"/>
  <c r="F48" i="4"/>
  <c r="C40" i="5"/>
  <c r="AG37" i="4"/>
  <c r="AH37" i="4"/>
  <c r="H4" i="6"/>
  <c r="L7" i="5"/>
  <c r="C8" i="5"/>
  <c r="D5" i="6"/>
  <c r="AE29" i="4"/>
  <c r="H25" i="6"/>
  <c r="A35" i="4"/>
  <c r="AC38" i="4"/>
  <c r="B35" i="4"/>
  <c r="H36" i="4"/>
  <c r="F46" i="4"/>
  <c r="F67" i="4"/>
  <c r="F66" i="4"/>
  <c r="H2" i="6"/>
  <c r="F82" i="4"/>
  <c r="Q35" i="4"/>
  <c r="K36" i="4"/>
  <c r="V35" i="4"/>
  <c r="J35" i="4"/>
  <c r="K32" i="5"/>
  <c r="B4" i="6"/>
  <c r="C34" i="5"/>
  <c r="K27" i="5"/>
  <c r="C38" i="5"/>
  <c r="K43" i="5"/>
  <c r="Q31" i="4"/>
  <c r="D31" i="4"/>
  <c r="X30" i="4"/>
  <c r="K48" i="5"/>
  <c r="F87" i="4"/>
  <c r="E34" i="4"/>
  <c r="P35" i="4"/>
  <c r="O36" i="4"/>
  <c r="V29" i="4"/>
  <c r="H29" i="4"/>
  <c r="C44" i="5"/>
  <c r="D41" i="6"/>
  <c r="C51" i="5"/>
  <c r="L50" i="5"/>
  <c r="F91" i="4"/>
  <c r="C5" i="6"/>
  <c r="F16" i="5"/>
  <c r="F22" i="5"/>
  <c r="F21" i="5"/>
  <c r="K52" i="5"/>
  <c r="C17" i="5"/>
  <c r="F33" i="5"/>
  <c r="F12" i="5"/>
  <c r="F6" i="5"/>
  <c r="C26" i="6"/>
  <c r="C25" i="6"/>
  <c r="F46" i="5"/>
  <c r="F31" i="5"/>
  <c r="D40" i="6"/>
  <c r="D45" i="6"/>
  <c r="W38" i="4" l="1"/>
  <c r="J38" i="4"/>
  <c r="Y38" i="4"/>
  <c r="M37" i="4"/>
  <c r="I37" i="4"/>
  <c r="V38" i="4"/>
  <c r="AB38" i="4"/>
  <c r="F38" i="4"/>
  <c r="X37" i="4"/>
  <c r="O38" i="4"/>
  <c r="H35" i="4"/>
  <c r="D38" i="4"/>
  <c r="AA35" i="4"/>
  <c r="N35" i="4"/>
  <c r="AG39" i="4"/>
  <c r="AD38" i="4"/>
  <c r="AF34" i="4"/>
  <c r="T36" i="4"/>
  <c r="P38" i="4"/>
  <c r="K37" i="4"/>
  <c r="C38" i="4"/>
  <c r="B37" i="4"/>
  <c r="A34" i="4"/>
  <c r="E38" i="4"/>
  <c r="AC37" i="4"/>
  <c r="F54" i="4"/>
  <c r="K15" i="5"/>
  <c r="B12" i="6"/>
  <c r="K40" i="5"/>
  <c r="B37" i="6"/>
  <c r="F79" i="4"/>
  <c r="C16" i="5"/>
  <c r="D13" i="6"/>
  <c r="L27" i="5"/>
  <c r="H24" i="6"/>
  <c r="F47" i="4"/>
  <c r="K8" i="5"/>
  <c r="B5" i="6"/>
  <c r="C31" i="5"/>
  <c r="D28" i="6"/>
  <c r="C6" i="5"/>
  <c r="D3" i="6"/>
  <c r="L52" i="5"/>
  <c r="H49" i="6"/>
  <c r="AB36" i="4"/>
  <c r="A37" i="4"/>
  <c r="E31" i="4"/>
  <c r="F37" i="4"/>
  <c r="AF35" i="4"/>
  <c r="AD37" i="4"/>
  <c r="H38" i="4"/>
  <c r="I36" i="4"/>
  <c r="W37" i="4"/>
  <c r="K34" i="5"/>
  <c r="F73" i="4"/>
  <c r="B31" i="6"/>
  <c r="AA29" i="4"/>
  <c r="Y31" i="4"/>
  <c r="AD32" i="4"/>
  <c r="O32" i="4"/>
  <c r="E29" i="4"/>
  <c r="C31" i="4"/>
  <c r="U33" i="4"/>
  <c r="B31" i="4"/>
  <c r="H31" i="4"/>
  <c r="A30" i="4"/>
  <c r="AG33" i="4"/>
  <c r="T38" i="4"/>
  <c r="S31" i="4"/>
  <c r="AE30" i="4"/>
  <c r="R31" i="4"/>
  <c r="AH33" i="4"/>
  <c r="M32" i="4"/>
  <c r="F32" i="4"/>
  <c r="J34" i="4"/>
  <c r="K30" i="4"/>
  <c r="Z35" i="4"/>
  <c r="B14" i="6"/>
  <c r="K17" i="5"/>
  <c r="F56" i="4"/>
  <c r="C12" i="5"/>
  <c r="D9" i="6"/>
  <c r="AE39" i="4"/>
  <c r="J30" i="4"/>
  <c r="H45" i="6"/>
  <c r="L48" i="5"/>
  <c r="X36" i="4"/>
  <c r="L36" i="4"/>
  <c r="N33" i="4"/>
  <c r="I35" i="4"/>
  <c r="V37" i="4"/>
  <c r="D37" i="4"/>
  <c r="G38" i="4"/>
  <c r="AF33" i="4"/>
  <c r="AA36" i="4"/>
  <c r="P37" i="4"/>
  <c r="AE33" i="4"/>
  <c r="Q37" i="4"/>
  <c r="T33" i="4"/>
  <c r="C35" i="4"/>
  <c r="K51" i="5"/>
  <c r="B48" i="6"/>
  <c r="F90" i="4"/>
  <c r="D43" i="6"/>
  <c r="C46" i="5"/>
  <c r="C21" i="5"/>
  <c r="D18" i="6"/>
  <c r="F83" i="4"/>
  <c r="K44" i="5"/>
  <c r="B41" i="6"/>
  <c r="H40" i="6"/>
  <c r="L43" i="5"/>
  <c r="D30" i="6"/>
  <c r="C33" i="5"/>
  <c r="C22" i="5"/>
  <c r="D19" i="6"/>
  <c r="F77" i="4"/>
  <c r="K38" i="5"/>
  <c r="B35" i="6"/>
  <c r="L32" i="5"/>
  <c r="H29" i="6"/>
  <c r="AF32" i="4"/>
  <c r="W31" i="4"/>
  <c r="X31" i="4"/>
  <c r="V32" i="4"/>
  <c r="J33" i="4"/>
  <c r="P32" i="4"/>
  <c r="M36" i="4"/>
  <c r="T34" i="4"/>
  <c r="A36" i="4"/>
  <c r="B36" i="4"/>
  <c r="AD35" i="4"/>
  <c r="C36" i="4"/>
  <c r="Q36" i="4"/>
  <c r="G35" i="4"/>
  <c r="AB37" i="4"/>
  <c r="Z31" i="4"/>
  <c r="Y35" i="4"/>
  <c r="O37" i="4"/>
  <c r="W36" i="4"/>
  <c r="F35" i="4"/>
  <c r="E36" i="4"/>
  <c r="X35" i="4"/>
  <c r="S34" i="4"/>
  <c r="AE36" i="4"/>
  <c r="L35" i="4"/>
  <c r="N34" i="4"/>
  <c r="H37" i="4"/>
  <c r="R35" i="4"/>
  <c r="D35" i="4"/>
  <c r="P36" i="4"/>
  <c r="AH36" i="4"/>
  <c r="J37" i="4"/>
  <c r="AG32" i="4" l="1"/>
  <c r="AH32" i="4"/>
  <c r="K34" i="4"/>
  <c r="H33" i="4"/>
  <c r="S32" i="4"/>
  <c r="AC34" i="4"/>
  <c r="F33" i="4"/>
  <c r="G33" i="4"/>
  <c r="L32" i="4"/>
  <c r="R32" i="4"/>
  <c r="I32" i="4"/>
  <c r="T32" i="4"/>
  <c r="H12" i="6"/>
  <c r="L15" i="5"/>
  <c r="P30" i="4"/>
  <c r="V30" i="4"/>
  <c r="AA38" i="4"/>
  <c r="E39" i="4"/>
  <c r="Z30" i="4"/>
  <c r="L40" i="5"/>
  <c r="H37" i="6"/>
  <c r="F85" i="4"/>
  <c r="K46" i="5"/>
  <c r="B43" i="6"/>
  <c r="H48" i="6"/>
  <c r="L51" i="5"/>
  <c r="L38" i="5"/>
  <c r="H35" i="6"/>
  <c r="D32" i="4"/>
  <c r="O34" i="4"/>
  <c r="AF31" i="4"/>
  <c r="U32" i="4"/>
  <c r="C33" i="4"/>
  <c r="S30" i="4"/>
  <c r="AD31" i="4"/>
  <c r="B33" i="4"/>
  <c r="AC33" i="4"/>
  <c r="F31" i="4"/>
  <c r="R30" i="4"/>
  <c r="H32" i="4"/>
  <c r="K33" i="4"/>
  <c r="T31" i="4"/>
  <c r="F61" i="4"/>
  <c r="K22" i="5"/>
  <c r="B19" i="6"/>
  <c r="C29" i="4"/>
  <c r="I30" i="4"/>
  <c r="W30" i="4"/>
  <c r="A38" i="4"/>
  <c r="Y30" i="4"/>
  <c r="AG29" i="4"/>
  <c r="AC29" i="4"/>
  <c r="AA37" i="4"/>
  <c r="M29" i="4"/>
  <c r="AD29" i="4"/>
  <c r="AB34" i="4"/>
  <c r="AH29" i="4"/>
  <c r="T39" i="4"/>
  <c r="F30" i="4"/>
  <c r="F51" i="4"/>
  <c r="K12" i="5"/>
  <c r="B9" i="6"/>
  <c r="L34" i="5"/>
  <c r="H31" i="6"/>
  <c r="K33" i="5"/>
  <c r="F72" i="4"/>
  <c r="B30" i="6"/>
  <c r="F60" i="4"/>
  <c r="W29" i="4" s="1"/>
  <c r="B18" i="6"/>
  <c r="K21" i="5"/>
  <c r="X32" i="4"/>
  <c r="S33" i="4"/>
  <c r="Q33" i="4"/>
  <c r="U34" i="4"/>
  <c r="E33" i="4"/>
  <c r="T30" i="4"/>
  <c r="M33" i="4"/>
  <c r="Z37" i="4"/>
  <c r="AD34" i="4"/>
  <c r="G34" i="4"/>
  <c r="R33" i="4"/>
  <c r="A33" i="4"/>
  <c r="B34" i="4"/>
  <c r="F34" i="4"/>
  <c r="N31" i="4"/>
  <c r="D33" i="4"/>
  <c r="H34" i="4"/>
  <c r="W33" i="4"/>
  <c r="Y34" i="4"/>
  <c r="P34" i="4"/>
  <c r="AA31" i="4"/>
  <c r="B3" i="6"/>
  <c r="F45" i="4"/>
  <c r="K6" i="5"/>
  <c r="L8" i="5"/>
  <c r="H5" i="6"/>
  <c r="H41" i="6"/>
  <c r="L44" i="5"/>
  <c r="L17" i="5"/>
  <c r="H14" i="6"/>
  <c r="AB35" i="4"/>
  <c r="AA33" i="4"/>
  <c r="Z34" i="4"/>
  <c r="AF36" i="4"/>
  <c r="Y36" i="4"/>
  <c r="F70" i="4"/>
  <c r="K31" i="5"/>
  <c r="B28" i="6"/>
  <c r="F55" i="4"/>
  <c r="B13" i="6"/>
  <c r="K16" i="5"/>
  <c r="Q29" i="4" l="1"/>
  <c r="M30" i="4"/>
  <c r="O29" i="4"/>
  <c r="Z29" i="4"/>
  <c r="H30" i="4"/>
  <c r="X29" i="4"/>
  <c r="X41" i="4" s="1"/>
  <c r="K38" i="4"/>
  <c r="AF39" i="4"/>
  <c r="Y29" i="4"/>
  <c r="A31" i="4"/>
  <c r="Z38" i="4"/>
  <c r="L31" i="5"/>
  <c r="H28" i="6"/>
  <c r="L33" i="5"/>
  <c r="H30" i="6"/>
  <c r="AG35" i="4"/>
  <c r="L34" i="4"/>
  <c r="AD33" i="4"/>
  <c r="AF30" i="4"/>
  <c r="I34" i="4"/>
  <c r="AH35" i="4"/>
  <c r="O33" i="4"/>
  <c r="P33" i="4"/>
  <c r="G31" i="4"/>
  <c r="G41" i="4" s="1"/>
  <c r="H3" i="6"/>
  <c r="L6" i="5"/>
  <c r="W41" i="4"/>
  <c r="M41" i="4"/>
  <c r="L16" i="5"/>
  <c r="H13" i="6"/>
  <c r="E30" i="4"/>
  <c r="D39" i="4"/>
  <c r="O39" i="4"/>
  <c r="R39" i="4"/>
  <c r="R41" i="4" s="1"/>
  <c r="A29" i="4"/>
  <c r="N37" i="4"/>
  <c r="S38" i="4"/>
  <c r="S41" i="4" s="1"/>
  <c r="B30" i="4"/>
  <c r="B41" i="4" s="1"/>
  <c r="P39" i="4"/>
  <c r="Y39" i="4"/>
  <c r="K31" i="4"/>
  <c r="Q39" i="4"/>
  <c r="AG31" i="4"/>
  <c r="AG41" i="4" s="1"/>
  <c r="T37" i="4"/>
  <c r="T41" i="4" s="1"/>
  <c r="U39" i="4"/>
  <c r="J39" i="4"/>
  <c r="F39" i="4"/>
  <c r="F41" i="4" s="1"/>
  <c r="AA39" i="4"/>
  <c r="AA41" i="4" s="1"/>
  <c r="C30" i="4"/>
  <c r="L39" i="4"/>
  <c r="V39" i="4"/>
  <c r="V41" i="4" s="1"/>
  <c r="H39" i="4"/>
  <c r="AE37" i="4"/>
  <c r="H9" i="6"/>
  <c r="L12" i="5"/>
  <c r="AH41" i="4"/>
  <c r="L38" i="4"/>
  <c r="Y37" i="4"/>
  <c r="Z33" i="4"/>
  <c r="K32" i="4"/>
  <c r="J36" i="4"/>
  <c r="I38" i="4"/>
  <c r="I41" i="4" s="1"/>
  <c r="AE35" i="4"/>
  <c r="H18" i="6"/>
  <c r="L21" i="5"/>
  <c r="M17" i="5" s="1"/>
  <c r="C34" i="4"/>
  <c r="C41" i="4" s="1"/>
  <c r="N30" i="4"/>
  <c r="N41" i="4" s="1"/>
  <c r="L33" i="4"/>
  <c r="Q30" i="4"/>
  <c r="AD30" i="4"/>
  <c r="AD41" i="4" s="1"/>
  <c r="AE31" i="4"/>
  <c r="AE41" i="4" s="1"/>
  <c r="J31" i="4"/>
  <c r="E35" i="4"/>
  <c r="J29" i="4"/>
  <c r="D29" i="4"/>
  <c r="D41" i="4" s="1"/>
  <c r="E37" i="4"/>
  <c r="A39" i="4"/>
  <c r="AB41" i="4"/>
  <c r="AC41" i="4"/>
  <c r="L22" i="5"/>
  <c r="H19" i="6"/>
  <c r="U41" i="4"/>
  <c r="H43" i="6"/>
  <c r="L46" i="5"/>
  <c r="J41" i="4" l="1"/>
  <c r="E41" i="4"/>
  <c r="Q41" i="4"/>
  <c r="M10" i="5"/>
  <c r="M23" i="5"/>
  <c r="M25" i="5"/>
  <c r="M37" i="5"/>
  <c r="M35" i="5"/>
  <c r="M39" i="5"/>
  <c r="M41" i="5"/>
  <c r="M29" i="5"/>
  <c r="M20" i="5"/>
  <c r="M5" i="5"/>
  <c r="M26" i="5"/>
  <c r="M47" i="5"/>
  <c r="M14" i="5"/>
  <c r="M11" i="5"/>
  <c r="M36" i="5"/>
  <c r="M18" i="5"/>
  <c r="M49" i="5"/>
  <c r="M30" i="5"/>
  <c r="M45" i="5"/>
  <c r="M19" i="5"/>
  <c r="M42" i="5"/>
  <c r="M15" i="5"/>
  <c r="M24" i="5"/>
  <c r="M40" i="5"/>
  <c r="M6" i="5"/>
  <c r="M9" i="5"/>
  <c r="M13" i="5"/>
  <c r="M28" i="5"/>
  <c r="M7" i="5"/>
  <c r="M50" i="5"/>
  <c r="M27" i="5"/>
  <c r="M43" i="5"/>
  <c r="M48" i="5"/>
  <c r="M32" i="5"/>
  <c r="M52" i="5"/>
  <c r="M21" i="5"/>
  <c r="M38" i="5"/>
  <c r="M51" i="5"/>
  <c r="M34" i="5"/>
  <c r="O41" i="4"/>
  <c r="M46" i="5"/>
  <c r="M22" i="5"/>
  <c r="L41" i="4"/>
  <c r="K41" i="4"/>
  <c r="M16" i="5"/>
  <c r="P41" i="4"/>
  <c r="AF41" i="4"/>
  <c r="M44" i="5"/>
  <c r="M33" i="5"/>
  <c r="M31" i="5"/>
  <c r="Y41" i="4"/>
  <c r="H41" i="4"/>
  <c r="AC42" i="4" s="1"/>
  <c r="M12" i="5"/>
  <c r="A41" i="4"/>
  <c r="AE42" i="4" s="1"/>
  <c r="M8" i="5"/>
  <c r="Z41" i="4"/>
  <c r="Y42" i="4" l="1"/>
  <c r="P42" i="4"/>
  <c r="L42" i="4"/>
  <c r="M42" i="4"/>
  <c r="V42" i="4"/>
  <c r="AB42" i="4"/>
  <c r="D42" i="4"/>
  <c r="X42" i="4"/>
  <c r="B42" i="4"/>
  <c r="J42" i="4"/>
  <c r="S42" i="4"/>
  <c r="Q42" i="4"/>
  <c r="U42" i="4"/>
  <c r="AD42" i="4"/>
  <c r="A42" i="4"/>
  <c r="AH42" i="4"/>
  <c r="H42" i="4"/>
  <c r="N42" i="4"/>
  <c r="AF42" i="4"/>
  <c r="K42" i="4"/>
  <c r="O42" i="4"/>
  <c r="G42" i="4"/>
  <c r="E42" i="4"/>
  <c r="I42" i="4"/>
  <c r="AG42" i="4"/>
  <c r="AA42" i="4"/>
  <c r="F42" i="4"/>
  <c r="R42" i="4"/>
  <c r="Z42" i="4"/>
  <c r="W42" i="4"/>
  <c r="N20" i="5"/>
  <c r="N32" i="5"/>
  <c r="N26" i="5"/>
  <c r="N6" i="5"/>
  <c r="N52" i="5"/>
  <c r="N21" i="5"/>
  <c r="N30" i="5"/>
  <c r="N14" i="5"/>
  <c r="N34" i="5"/>
  <c r="N36" i="5"/>
  <c r="N44" i="5"/>
  <c r="N24" i="5"/>
  <c r="N28" i="5"/>
  <c r="N15" i="5"/>
  <c r="N45" i="5"/>
  <c r="N10" i="5"/>
  <c r="N39" i="5"/>
  <c r="N48" i="5"/>
  <c r="N19" i="5"/>
  <c r="N29" i="5"/>
  <c r="N13" i="5"/>
  <c r="N7" i="5"/>
  <c r="N46" i="5"/>
  <c r="N25" i="5"/>
  <c r="N50" i="5"/>
  <c r="N31" i="5"/>
  <c r="N43" i="5"/>
  <c r="N38" i="5"/>
  <c r="N41" i="5"/>
  <c r="N8" i="5"/>
  <c r="N35" i="5"/>
  <c r="N22" i="5"/>
  <c r="N37" i="5"/>
  <c r="N33" i="5"/>
  <c r="N23" i="5"/>
  <c r="N12" i="5"/>
  <c r="N49" i="5"/>
  <c r="N51" i="5"/>
  <c r="N17" i="5"/>
  <c r="N47" i="5"/>
  <c r="N5" i="5"/>
  <c r="N18" i="5"/>
  <c r="N27" i="5"/>
  <c r="N16" i="5"/>
  <c r="N40" i="5"/>
  <c r="N9" i="5"/>
  <c r="N11" i="5"/>
  <c r="N42" i="5"/>
  <c r="C42" i="4"/>
  <c r="T42" i="4"/>
  <c r="P12" i="5" l="1"/>
  <c r="Q12" i="5"/>
  <c r="R12" i="5"/>
  <c r="P29" i="5"/>
  <c r="R29" i="5"/>
  <c r="Q29" i="5"/>
  <c r="P10" i="5"/>
  <c r="Q10" i="5"/>
  <c r="R10" i="5"/>
  <c r="Q14" i="5"/>
  <c r="P14" i="5"/>
  <c r="R14" i="5"/>
  <c r="P6" i="5"/>
  <c r="Q6" i="5"/>
  <c r="R6" i="5"/>
  <c r="Q11" i="5"/>
  <c r="R11" i="5"/>
  <c r="P11" i="5"/>
  <c r="R27" i="5"/>
  <c r="P27" i="5"/>
  <c r="Q27" i="5"/>
  <c r="P17" i="5"/>
  <c r="Q17" i="5"/>
  <c r="R17" i="5"/>
  <c r="Q23" i="5"/>
  <c r="P23" i="5"/>
  <c r="R23" i="5"/>
  <c r="R35" i="5"/>
  <c r="Q35" i="5"/>
  <c r="P35" i="5"/>
  <c r="R43" i="5"/>
  <c r="P43" i="5"/>
  <c r="Q43" i="5"/>
  <c r="Q46" i="5"/>
  <c r="P46" i="5"/>
  <c r="R46" i="5"/>
  <c r="P19" i="5"/>
  <c r="R19" i="5"/>
  <c r="Q19" i="5"/>
  <c r="Q45" i="5"/>
  <c r="R45" i="5"/>
  <c r="P45" i="5"/>
  <c r="Q44" i="5"/>
  <c r="P44" i="5"/>
  <c r="R44" i="5"/>
  <c r="P30" i="5"/>
  <c r="Q30" i="5"/>
  <c r="R30" i="5"/>
  <c r="R26" i="5"/>
  <c r="Q26" i="5"/>
  <c r="P26" i="5"/>
  <c r="Q42" i="5"/>
  <c r="P42" i="5"/>
  <c r="R42" i="5"/>
  <c r="R16" i="5"/>
  <c r="Q16" i="5"/>
  <c r="P16" i="5"/>
  <c r="R22" i="5"/>
  <c r="Q22" i="5"/>
  <c r="P22" i="5"/>
  <c r="Q38" i="5"/>
  <c r="R38" i="5"/>
  <c r="P38" i="5"/>
  <c r="P24" i="5"/>
  <c r="Q24" i="5"/>
  <c r="R24" i="5"/>
  <c r="R18" i="5"/>
  <c r="P18" i="5"/>
  <c r="Q18" i="5"/>
  <c r="Q51" i="5"/>
  <c r="P51" i="5"/>
  <c r="R51" i="5"/>
  <c r="P8" i="5"/>
  <c r="R8" i="5"/>
  <c r="Q8" i="5"/>
  <c r="R48" i="5"/>
  <c r="P48" i="5"/>
  <c r="Q48" i="5"/>
  <c r="P32" i="5"/>
  <c r="R32" i="5"/>
  <c r="Q32" i="5"/>
  <c r="Q47" i="5"/>
  <c r="P47" i="5"/>
  <c r="R47" i="5"/>
  <c r="R25" i="5"/>
  <c r="Q25" i="5"/>
  <c r="P25" i="5"/>
  <c r="R9" i="5"/>
  <c r="P9" i="5"/>
  <c r="Q9" i="5"/>
  <c r="R33" i="5"/>
  <c r="Q33" i="5"/>
  <c r="P33" i="5"/>
  <c r="R31" i="5"/>
  <c r="Q31" i="5"/>
  <c r="P31" i="5"/>
  <c r="P7" i="5"/>
  <c r="Q7" i="5"/>
  <c r="R7" i="5"/>
  <c r="R15" i="5"/>
  <c r="Q15" i="5"/>
  <c r="P15" i="5"/>
  <c r="P36" i="5"/>
  <c r="R36" i="5"/>
  <c r="Q36" i="5"/>
  <c r="Q21" i="5"/>
  <c r="P21" i="5"/>
  <c r="R21" i="5"/>
  <c r="Q40" i="5"/>
  <c r="P40" i="5"/>
  <c r="R40" i="5"/>
  <c r="Q5" i="5"/>
  <c r="P5" i="5"/>
  <c r="R5" i="5"/>
  <c r="P49" i="5"/>
  <c r="Q49" i="5"/>
  <c r="R49" i="5"/>
  <c r="R37" i="5"/>
  <c r="Q37" i="5"/>
  <c r="P37" i="5"/>
  <c r="P41" i="5"/>
  <c r="Q41" i="5"/>
  <c r="R41" i="5"/>
  <c r="P50" i="5"/>
  <c r="R50" i="5"/>
  <c r="Q50" i="5"/>
  <c r="R13" i="5"/>
  <c r="Q13" i="5"/>
  <c r="P13" i="5"/>
  <c r="Q39" i="5"/>
  <c r="R39" i="5"/>
  <c r="P39" i="5"/>
  <c r="R28" i="5"/>
  <c r="Q28" i="5"/>
  <c r="P28" i="5"/>
  <c r="R34" i="5"/>
  <c r="Q34" i="5"/>
  <c r="P34" i="5"/>
  <c r="Q52" i="5"/>
  <c r="P52" i="5"/>
  <c r="R52" i="5"/>
  <c r="Q20" i="5"/>
  <c r="P20" i="5"/>
  <c r="R20" i="5"/>
  <c r="H66" i="4"/>
  <c r="H61" i="4"/>
  <c r="H58" i="4"/>
  <c r="H50" i="4"/>
  <c r="H81" i="4"/>
  <c r="H96" i="4"/>
  <c r="H93" i="4"/>
  <c r="H49" i="4"/>
  <c r="H80" i="4"/>
  <c r="H53" i="4"/>
  <c r="H74" i="4"/>
  <c r="H90" i="4"/>
  <c r="H92" i="4"/>
  <c r="H60" i="4"/>
  <c r="H63" i="4"/>
  <c r="H77" i="4"/>
  <c r="H54" i="4"/>
  <c r="H55" i="4"/>
  <c r="H51" i="4"/>
  <c r="H87" i="4"/>
  <c r="H71" i="4"/>
  <c r="H76" i="4"/>
  <c r="H65" i="4"/>
  <c r="H48" i="4"/>
  <c r="H75" i="4"/>
  <c r="H91" i="4"/>
  <c r="H70" i="4"/>
  <c r="H85" i="4"/>
  <c r="H47" i="4"/>
  <c r="H59" i="4"/>
  <c r="H57" i="4"/>
  <c r="H67" i="4"/>
  <c r="H72" i="4"/>
  <c r="H95" i="4"/>
  <c r="H45" i="4"/>
  <c r="H94" i="4"/>
  <c r="H62" i="4"/>
  <c r="H68" i="4"/>
  <c r="H83" i="4"/>
  <c r="H64" i="4"/>
  <c r="H69" i="4"/>
  <c r="H44" i="4"/>
  <c r="H84" i="4"/>
  <c r="H88" i="4"/>
  <c r="H82" i="4"/>
  <c r="H56" i="4"/>
  <c r="H86" i="4"/>
  <c r="H79" i="4"/>
  <c r="H46" i="4"/>
  <c r="H73" i="4"/>
  <c r="H89" i="4"/>
  <c r="H52" i="4"/>
  <c r="H78" i="4"/>
  <c r="T15" i="5" l="1" a="1"/>
  <c r="T15" i="5" s="1"/>
  <c r="I89" i="4"/>
  <c r="J89" i="4" s="1" a="1"/>
  <c r="J89" i="4" s="1"/>
  <c r="I86" i="4"/>
  <c r="J86" i="4" s="1" a="1"/>
  <c r="J86" i="4" s="1"/>
  <c r="I84" i="4"/>
  <c r="J84" i="4" s="1" a="1"/>
  <c r="J84" i="4" s="1"/>
  <c r="I83" i="4"/>
  <c r="J83" i="4" s="1" a="1"/>
  <c r="J83" i="4" s="1"/>
  <c r="I45" i="4"/>
  <c r="J45" i="4" s="1" a="1"/>
  <c r="J45" i="4" s="1"/>
  <c r="I57" i="4"/>
  <c r="J57" i="4" s="1" a="1"/>
  <c r="J57" i="4" s="1"/>
  <c r="I70" i="4"/>
  <c r="J70" i="4" s="1" a="1"/>
  <c r="J70" i="4" s="1"/>
  <c r="I65" i="4"/>
  <c r="J65" i="4" s="1" a="1"/>
  <c r="J65" i="4" s="1"/>
  <c r="I51" i="4"/>
  <c r="J51" i="4" s="1" a="1"/>
  <c r="J51" i="4" s="1"/>
  <c r="I63" i="4"/>
  <c r="J63" i="4" s="1" a="1"/>
  <c r="J63" i="4" s="1"/>
  <c r="I74" i="4"/>
  <c r="J74" i="4" s="1" a="1"/>
  <c r="J74" i="4" s="1"/>
  <c r="I93" i="4"/>
  <c r="J93" i="4" s="1" a="1"/>
  <c r="J93" i="4" s="1"/>
  <c r="J58" i="4" a="1"/>
  <c r="J58" i="4" s="1"/>
  <c r="I58" i="4"/>
  <c r="I52" i="4"/>
  <c r="J52" i="4" s="1" a="1"/>
  <c r="J52" i="4" s="1"/>
  <c r="J88" i="4" a="1"/>
  <c r="J88" i="4" s="1"/>
  <c r="I88" i="4"/>
  <c r="I94" i="4"/>
  <c r="J94" i="4" s="1" a="1"/>
  <c r="J94" i="4" s="1"/>
  <c r="I85" i="4"/>
  <c r="J85" i="4" s="1" a="1"/>
  <c r="J85" i="4" s="1"/>
  <c r="J87" i="4" a="1"/>
  <c r="J87" i="4" s="1"/>
  <c r="I87" i="4"/>
  <c r="I77" i="4"/>
  <c r="J77" i="4" s="1" a="1"/>
  <c r="J77" i="4" s="1"/>
  <c r="I49" i="4"/>
  <c r="J49" i="4" s="1" a="1"/>
  <c r="J49" i="4" s="1"/>
  <c r="I73" i="4"/>
  <c r="J73" i="4" s="1" a="1"/>
  <c r="J73" i="4" s="1"/>
  <c r="I56" i="4"/>
  <c r="J56" i="4" s="1" a="1"/>
  <c r="J56" i="4" s="1"/>
  <c r="I44" i="4"/>
  <c r="J44" i="4" s="1" a="1"/>
  <c r="J44" i="4" s="1"/>
  <c r="I68" i="4"/>
  <c r="J68" i="4" s="1" a="1"/>
  <c r="J68" i="4" s="1"/>
  <c r="I95" i="4"/>
  <c r="J95" i="4" s="1" a="1"/>
  <c r="J95" i="4" s="1"/>
  <c r="I59" i="4"/>
  <c r="J59" i="4" s="1" a="1"/>
  <c r="J59" i="4" s="1"/>
  <c r="I91" i="4"/>
  <c r="J91" i="4" s="1" a="1"/>
  <c r="J91" i="4" s="1"/>
  <c r="J76" i="4" a="1"/>
  <c r="J76" i="4" s="1"/>
  <c r="I76" i="4"/>
  <c r="I55" i="4"/>
  <c r="J55" i="4" s="1" a="1"/>
  <c r="J55" i="4" s="1"/>
  <c r="J60" i="4" a="1"/>
  <c r="J60" i="4" s="1"/>
  <c r="I60" i="4"/>
  <c r="I53" i="4"/>
  <c r="J53" i="4" s="1" a="1"/>
  <c r="J53" i="4" s="1"/>
  <c r="I96" i="4"/>
  <c r="J96" i="4" s="1" a="1"/>
  <c r="J96" i="4" s="1"/>
  <c r="I61" i="4"/>
  <c r="J61" i="4" s="1" a="1"/>
  <c r="J61" i="4" s="1"/>
  <c r="S15" i="5"/>
  <c r="I79" i="4"/>
  <c r="J79" i="4" a="1"/>
  <c r="J79" i="4" s="1"/>
  <c r="I64" i="4"/>
  <c r="J64" i="4" s="1" a="1"/>
  <c r="J64" i="4" s="1"/>
  <c r="I67" i="4"/>
  <c r="J67" i="4" a="1"/>
  <c r="J67" i="4" s="1"/>
  <c r="I48" i="4"/>
  <c r="J48" i="4" s="1" a="1"/>
  <c r="J48" i="4" s="1"/>
  <c r="I90" i="4"/>
  <c r="J90" i="4" a="1"/>
  <c r="J90" i="4" s="1"/>
  <c r="I50" i="4"/>
  <c r="J50" i="4" a="1"/>
  <c r="J50" i="4" s="1"/>
  <c r="I78" i="4"/>
  <c r="J78" i="4" s="1" a="1"/>
  <c r="J78" i="4" s="1"/>
  <c r="I46" i="4"/>
  <c r="J46" i="4" s="1" a="1"/>
  <c r="J46" i="4" s="1"/>
  <c r="I82" i="4"/>
  <c r="J82" i="4" s="1" a="1"/>
  <c r="J82" i="4" s="1"/>
  <c r="I69" i="4"/>
  <c r="J69" i="4" s="1" a="1"/>
  <c r="J69" i="4" s="1"/>
  <c r="I62" i="4"/>
  <c r="J62" i="4" s="1" a="1"/>
  <c r="J62" i="4" s="1"/>
  <c r="I72" i="4"/>
  <c r="J72" i="4" s="1" a="1"/>
  <c r="J72" i="4" s="1"/>
  <c r="I47" i="4"/>
  <c r="J47" i="4" s="1" a="1"/>
  <c r="J47" i="4" s="1"/>
  <c r="I75" i="4"/>
  <c r="J75" i="4" s="1" a="1"/>
  <c r="J75" i="4" s="1"/>
  <c r="I71" i="4"/>
  <c r="J71" i="4" a="1"/>
  <c r="J71" i="4" s="1"/>
  <c r="I54" i="4"/>
  <c r="J54" i="4" s="1" a="1"/>
  <c r="J54" i="4" s="1"/>
  <c r="I92" i="4"/>
  <c r="J92" i="4" s="1" a="1"/>
  <c r="J92" i="4" s="1"/>
  <c r="I80" i="4"/>
  <c r="J80" i="4" s="1" a="1"/>
  <c r="J80" i="4" s="1"/>
  <c r="I81" i="4"/>
  <c r="J81" i="4" s="1" a="1"/>
  <c r="J81" i="4" s="1"/>
  <c r="I66" i="4"/>
  <c r="J66" i="4" s="1" a="1"/>
  <c r="J66" i="4" s="1"/>
  <c r="O92" i="4" l="1"/>
  <c r="M92" i="4"/>
  <c r="K92" i="4"/>
  <c r="N92" i="4" s="1"/>
  <c r="O46" i="4"/>
  <c r="D6" i="7" s="1"/>
  <c r="M46" i="4"/>
  <c r="B6" i="7" s="1"/>
  <c r="K46" i="4"/>
  <c r="N46" i="4" s="1"/>
  <c r="C6" i="7" s="1"/>
  <c r="M53" i="4"/>
  <c r="B13" i="7" s="1"/>
  <c r="K53" i="4"/>
  <c r="N53" i="4" s="1"/>
  <c r="C13" i="7" s="1"/>
  <c r="O53" i="4"/>
  <c r="D13" i="7" s="1"/>
  <c r="O59" i="4"/>
  <c r="D19" i="7" s="1"/>
  <c r="K59" i="4"/>
  <c r="N59" i="4" s="1"/>
  <c r="C19" i="7" s="1"/>
  <c r="M59" i="4"/>
  <c r="B19" i="7" s="1"/>
  <c r="M56" i="4"/>
  <c r="B16" i="7" s="1"/>
  <c r="O56" i="4"/>
  <c r="D16" i="7" s="1"/>
  <c r="K56" i="4"/>
  <c r="N56" i="4" s="1"/>
  <c r="C16" i="7" s="1"/>
  <c r="O74" i="4"/>
  <c r="D34" i="7" s="1"/>
  <c r="K74" i="4"/>
  <c r="N74" i="4" s="1"/>
  <c r="C34" i="7" s="1"/>
  <c r="M74" i="4"/>
  <c r="B34" i="7" s="1"/>
  <c r="O89" i="4"/>
  <c r="M89" i="4"/>
  <c r="K89" i="4"/>
  <c r="N89" i="4" s="1"/>
  <c r="O66" i="4"/>
  <c r="D26" i="7" s="1"/>
  <c r="K66" i="4"/>
  <c r="N66" i="4" s="1"/>
  <c r="C26" i="7" s="1"/>
  <c r="M66" i="4"/>
  <c r="B26" i="7" s="1"/>
  <c r="O62" i="4"/>
  <c r="D22" i="7" s="1"/>
  <c r="M62" i="4"/>
  <c r="B22" i="7" s="1"/>
  <c r="K62" i="4"/>
  <c r="N62" i="4" s="1"/>
  <c r="C22" i="7" s="1"/>
  <c r="O78" i="4"/>
  <c r="K78" i="4"/>
  <c r="N78" i="4" s="1"/>
  <c r="M78" i="4"/>
  <c r="M95" i="4"/>
  <c r="O95" i="4"/>
  <c r="K95" i="4"/>
  <c r="N95" i="4" s="1"/>
  <c r="O73" i="4"/>
  <c r="D33" i="7" s="1"/>
  <c r="K73" i="4"/>
  <c r="N73" i="4" s="1"/>
  <c r="C33" i="7" s="1"/>
  <c r="M73" i="4"/>
  <c r="B33" i="7" s="1"/>
  <c r="K63" i="4"/>
  <c r="N63" i="4" s="1"/>
  <c r="C23" i="7" s="1"/>
  <c r="O63" i="4"/>
  <c r="D23" i="7" s="1"/>
  <c r="M63" i="4"/>
  <c r="B23" i="7" s="1"/>
  <c r="O81" i="4"/>
  <c r="M81" i="4"/>
  <c r="K81" i="4"/>
  <c r="N81" i="4" s="1"/>
  <c r="O69" i="4"/>
  <c r="D29" i="7" s="1"/>
  <c r="M69" i="4"/>
  <c r="B29" i="7" s="1"/>
  <c r="K69" i="4"/>
  <c r="N69" i="4" s="1"/>
  <c r="C29" i="7" s="1"/>
  <c r="M48" i="4"/>
  <c r="B8" i="7" s="1"/>
  <c r="K48" i="4"/>
  <c r="N48" i="4" s="1"/>
  <c r="C8" i="7" s="1"/>
  <c r="O48" i="4"/>
  <c r="D8" i="7" s="1"/>
  <c r="O61" i="4"/>
  <c r="D21" i="7" s="1"/>
  <c r="M61" i="4"/>
  <c r="B21" i="7" s="1"/>
  <c r="K61" i="4"/>
  <c r="N61" i="4" s="1"/>
  <c r="C21" i="7" s="1"/>
  <c r="O68" i="4"/>
  <c r="D28" i="7" s="1"/>
  <c r="M68" i="4"/>
  <c r="B28" i="7" s="1"/>
  <c r="K68" i="4"/>
  <c r="N68" i="4" s="1"/>
  <c r="C28" i="7" s="1"/>
  <c r="M49" i="4"/>
  <c r="B9" i="7" s="1"/>
  <c r="O49" i="4"/>
  <c r="D9" i="7" s="1"/>
  <c r="K49" i="4"/>
  <c r="N49" i="4" s="1"/>
  <c r="C9" i="7" s="1"/>
  <c r="O51" i="4"/>
  <c r="D11" i="7" s="1"/>
  <c r="M51" i="4"/>
  <c r="B11" i="7" s="1"/>
  <c r="K51" i="4"/>
  <c r="N51" i="4" s="1"/>
  <c r="C11" i="7" s="1"/>
  <c r="O80" i="4"/>
  <c r="M80" i="4"/>
  <c r="K80" i="4"/>
  <c r="N80" i="4" s="1"/>
  <c r="M47" i="4"/>
  <c r="B7" i="7" s="1"/>
  <c r="O47" i="4"/>
  <c r="D7" i="7" s="1"/>
  <c r="K47" i="4"/>
  <c r="N47" i="4" s="1"/>
  <c r="C7" i="7" s="1"/>
  <c r="O82" i="4"/>
  <c r="K82" i="4"/>
  <c r="N82" i="4" s="1"/>
  <c r="M82" i="4"/>
  <c r="O96" i="4"/>
  <c r="K96" i="4"/>
  <c r="N96" i="4" s="1"/>
  <c r="M96" i="4"/>
  <c r="O91" i="4"/>
  <c r="M91" i="4"/>
  <c r="K91" i="4"/>
  <c r="N91" i="4" s="1"/>
  <c r="O44" i="4"/>
  <c r="D4" i="7" s="1"/>
  <c r="K44" i="4"/>
  <c r="N44" i="4" s="1"/>
  <c r="C4" i="7" s="1"/>
  <c r="M44" i="4"/>
  <c r="B4" i="7" s="1"/>
  <c r="O85" i="4"/>
  <c r="M85" i="4"/>
  <c r="K85" i="4"/>
  <c r="N85" i="4" s="1"/>
  <c r="M52" i="4"/>
  <c r="B12" i="7" s="1"/>
  <c r="K52" i="4"/>
  <c r="N52" i="4" s="1"/>
  <c r="C12" i="7" s="1"/>
  <c r="O52" i="4"/>
  <c r="D12" i="7" s="1"/>
  <c r="O65" i="4"/>
  <c r="D25" i="7" s="1"/>
  <c r="K65" i="4"/>
  <c r="N65" i="4" s="1"/>
  <c r="C25" i="7" s="1"/>
  <c r="M65" i="4"/>
  <c r="B25" i="7" s="1"/>
  <c r="K72" i="4"/>
  <c r="N72" i="4" s="1"/>
  <c r="C32" i="7" s="1"/>
  <c r="M72" i="4"/>
  <c r="B32" i="7" s="1"/>
  <c r="O72" i="4"/>
  <c r="D32" i="7" s="1"/>
  <c r="O94" i="4"/>
  <c r="K94" i="4"/>
  <c r="N94" i="4" s="1"/>
  <c r="M94" i="4"/>
  <c r="M50" i="4"/>
  <c r="B10" i="7" s="1"/>
  <c r="O50" i="4"/>
  <c r="D10" i="7" s="1"/>
  <c r="K50" i="4"/>
  <c r="N50" i="4" s="1"/>
  <c r="C10" i="7" s="1"/>
  <c r="M60" i="4"/>
  <c r="B20" i="7" s="1"/>
  <c r="K60" i="4"/>
  <c r="N60" i="4" s="1"/>
  <c r="C20" i="7" s="1"/>
  <c r="O60" i="4"/>
  <c r="D20" i="7" s="1"/>
  <c r="O93" i="4"/>
  <c r="K93" i="4"/>
  <c r="N93" i="4" s="1"/>
  <c r="M93" i="4"/>
  <c r="M57" i="4"/>
  <c r="B17" i="7" s="1"/>
  <c r="O57" i="4"/>
  <c r="D17" i="7" s="1"/>
  <c r="K57" i="4"/>
  <c r="N57" i="4" s="1"/>
  <c r="C17" i="7" s="1"/>
  <c r="M83" i="4"/>
  <c r="K83" i="4"/>
  <c r="N83" i="4" s="1"/>
  <c r="O83" i="4"/>
  <c r="K86" i="4"/>
  <c r="N86" i="4" s="1"/>
  <c r="O86" i="4"/>
  <c r="M86" i="4"/>
  <c r="M54" i="4"/>
  <c r="B14" i="7" s="1"/>
  <c r="K54" i="4"/>
  <c r="N54" i="4" s="1"/>
  <c r="C14" i="7" s="1"/>
  <c r="O54" i="4"/>
  <c r="D14" i="7" s="1"/>
  <c r="O76" i="4"/>
  <c r="D36" i="7" s="1"/>
  <c r="M76" i="4"/>
  <c r="B36" i="7" s="1"/>
  <c r="K76" i="4"/>
  <c r="N76" i="4" s="1"/>
  <c r="C36" i="7" s="1"/>
  <c r="M71" i="4"/>
  <c r="B31" i="7" s="1"/>
  <c r="O71" i="4"/>
  <c r="D31" i="7" s="1"/>
  <c r="K71" i="4"/>
  <c r="N71" i="4" s="1"/>
  <c r="C31" i="7" s="1"/>
  <c r="M90" i="4"/>
  <c r="K90" i="4"/>
  <c r="N90" i="4" s="1"/>
  <c r="O90" i="4"/>
  <c r="M79" i="4"/>
  <c r="K79" i="4"/>
  <c r="N79" i="4" s="1"/>
  <c r="O79" i="4"/>
  <c r="M77" i="4"/>
  <c r="B37" i="7" s="1"/>
  <c r="K77" i="4"/>
  <c r="N77" i="4" s="1"/>
  <c r="C37" i="7" s="1"/>
  <c r="O77" i="4"/>
  <c r="D37" i="7" s="1"/>
  <c r="K88" i="4"/>
  <c r="N88" i="4" s="1"/>
  <c r="O88" i="4"/>
  <c r="M88" i="4"/>
  <c r="O58" i="4"/>
  <c r="D18" i="7" s="1"/>
  <c r="K58" i="4"/>
  <c r="N58" i="4" s="1"/>
  <c r="C18" i="7" s="1"/>
  <c r="M58" i="4"/>
  <c r="B18" i="7" s="1"/>
  <c r="M70" i="4"/>
  <c r="B30" i="7" s="1"/>
  <c r="O70" i="4"/>
  <c r="D30" i="7" s="1"/>
  <c r="K70" i="4"/>
  <c r="N70" i="4" s="1"/>
  <c r="C30" i="7" s="1"/>
  <c r="O45" i="4"/>
  <c r="D5" i="7" s="1"/>
  <c r="K45" i="4"/>
  <c r="N45" i="4" s="1"/>
  <c r="C5" i="7" s="1"/>
  <c r="M45" i="4"/>
  <c r="B5" i="7" s="1"/>
  <c r="O84" i="4"/>
  <c r="K84" i="4"/>
  <c r="N84" i="4" s="1"/>
  <c r="M84" i="4"/>
  <c r="O75" i="4"/>
  <c r="D35" i="7" s="1"/>
  <c r="K75" i="4"/>
  <c r="N75" i="4" s="1"/>
  <c r="C35" i="7" s="1"/>
  <c r="M75" i="4"/>
  <c r="B35" i="7" s="1"/>
  <c r="O64" i="4"/>
  <c r="D24" i="7" s="1"/>
  <c r="K64" i="4"/>
  <c r="N64" i="4" s="1"/>
  <c r="C24" i="7" s="1"/>
  <c r="M64" i="4"/>
  <c r="B24" i="7" s="1"/>
  <c r="O87" i="4"/>
  <c r="K87" i="4"/>
  <c r="N87" i="4" s="1"/>
  <c r="M87" i="4"/>
  <c r="O67" i="4"/>
  <c r="D27" i="7" s="1"/>
  <c r="M67" i="4"/>
  <c r="B27" i="7" s="1"/>
  <c r="K67" i="4"/>
  <c r="N67" i="4" s="1"/>
  <c r="C27" i="7" s="1"/>
  <c r="K55" i="4"/>
  <c r="N55" i="4" s="1"/>
  <c r="C15" i="7" s="1"/>
  <c r="O55" i="4"/>
  <c r="D15" i="7" s="1"/>
  <c r="M55" i="4"/>
  <c r="B15" i="7" s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I44" authorId="0" shapeId="0">
      <text>
        <r>
          <rPr>
            <b/>
            <sz val="8"/>
            <color indexed="81"/>
            <rFont val="Tahoma"/>
          </rPr>
          <t>Cunning bit to resolve ties - extend if a 3-way occurs...</t>
        </r>
      </text>
    </comment>
  </commentList>
</comments>
</file>

<file path=xl/sharedStrings.xml><?xml version="1.0" encoding="utf-8"?>
<sst xmlns="http://schemas.openxmlformats.org/spreadsheetml/2006/main" count="2010" uniqueCount="1096">
  <si>
    <t>Date</t>
  </si>
  <si>
    <t>Opp</t>
  </si>
  <si>
    <t>Venue</t>
  </si>
  <si>
    <t>Result</t>
  </si>
  <si>
    <t>1stNotes</t>
  </si>
  <si>
    <t>2ndNotes</t>
  </si>
  <si>
    <t xml:space="preserve"> </t>
  </si>
  <si>
    <t>Matches</t>
  </si>
  <si>
    <t>DNB</t>
  </si>
  <si>
    <t>Inns</t>
  </si>
  <si>
    <t>Not Out</t>
  </si>
  <si>
    <t>Highest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</si>
  <si>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</si>
  <si>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</si>
  <si>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</si>
  <si>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</si>
  <si>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</si>
  <si>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</si>
  <si>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</si>
  <si>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</si>
  <si>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</si>
  <si>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</si>
  <si>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</si>
  <si>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</si>
  <si>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</si>
  <si>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</si>
  <si>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</si>
  <si>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</si>
  <si>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</si>
  <si>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</si>
  <si>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Angell</t>
  </si>
  <si>
    <t>John</t>
  </si>
  <si>
    <t>Bailey</t>
  </si>
  <si>
    <t>Mike</t>
  </si>
  <si>
    <t>Bowers</t>
  </si>
  <si>
    <t>David</t>
  </si>
  <si>
    <t>Brocks</t>
  </si>
  <si>
    <t>Pete</t>
  </si>
  <si>
    <t>Canavan</t>
  </si>
  <si>
    <t>Geoff</t>
  </si>
  <si>
    <t>Chick</t>
  </si>
  <si>
    <t>Cooper</t>
  </si>
  <si>
    <t>Mark</t>
  </si>
  <si>
    <t>Daly</t>
  </si>
  <si>
    <t>Brian</t>
  </si>
  <si>
    <t>Davies</t>
  </si>
  <si>
    <t>Ted</t>
  </si>
  <si>
    <t>Dugdale</t>
  </si>
  <si>
    <t>Elliston</t>
  </si>
  <si>
    <t>Craig</t>
  </si>
  <si>
    <t>Feltham</t>
  </si>
  <si>
    <t>Tony</t>
  </si>
  <si>
    <t>Harris</t>
  </si>
  <si>
    <t>Adrian</t>
  </si>
  <si>
    <t>Hawksworth</t>
  </si>
  <si>
    <t>Luke</t>
  </si>
  <si>
    <t>Hickey</t>
  </si>
  <si>
    <t>Hosking</t>
  </si>
  <si>
    <t>Leadley</t>
  </si>
  <si>
    <t>Paul</t>
  </si>
  <si>
    <t>Lushey</t>
  </si>
  <si>
    <t>Andy</t>
  </si>
  <si>
    <t>Colin</t>
  </si>
  <si>
    <t>Jeff</t>
  </si>
  <si>
    <t>Middleton</t>
  </si>
  <si>
    <t>Les</t>
  </si>
  <si>
    <t>Miller</t>
  </si>
  <si>
    <t>Dave</t>
  </si>
  <si>
    <t>Oakes</t>
  </si>
  <si>
    <t>Namish</t>
  </si>
  <si>
    <t>Patel</t>
  </si>
  <si>
    <t>Ken</t>
  </si>
  <si>
    <t>Persad</t>
  </si>
  <si>
    <t>Vince</t>
  </si>
  <si>
    <t>Reid</t>
  </si>
  <si>
    <t>Sharpe</t>
  </si>
  <si>
    <t>Shewan</t>
  </si>
  <si>
    <t>Simmons</t>
  </si>
  <si>
    <t>Snow</t>
  </si>
  <si>
    <t>Springer</t>
  </si>
  <si>
    <t>Thatcher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</si>
  <si>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</si>
  <si>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</si>
  <si>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</si>
  <si>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</si>
  <si>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</si>
  <si>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</si>
  <si>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</si>
  <si>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</si>
  <si>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Hamilton</t>
  </si>
  <si>
    <t>ROMO</t>
  </si>
  <si>
    <t>Ron</t>
  </si>
  <si>
    <t>Chris</t>
  </si>
  <si>
    <t>PESW</t>
  </si>
  <si>
    <t>TESH</t>
  </si>
  <si>
    <t>Shephard</t>
  </si>
  <si>
    <t>Richard</t>
  </si>
  <si>
    <t>McGall</t>
  </si>
  <si>
    <t>Robert</t>
  </si>
  <si>
    <t>McCann</t>
  </si>
  <si>
    <t>Austen</t>
  </si>
  <si>
    <t>Merritt</t>
  </si>
  <si>
    <t>James</t>
  </si>
  <si>
    <t>Cartwright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</si>
  <si>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</si>
  <si>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</si>
  <si>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</si>
  <si>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</si>
  <si>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</si>
  <si>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</si>
  <si>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</si>
  <si>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</si>
  <si>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</si>
  <si>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PECA</t>
  </si>
  <si>
    <t>GECO</t>
  </si>
  <si>
    <t>Cooper G</t>
  </si>
  <si>
    <t>MADA</t>
  </si>
  <si>
    <t>TEDU</t>
  </si>
  <si>
    <t>JOEL</t>
  </si>
  <si>
    <t>PEHA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</si>
  <si>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</si>
  <si>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</si>
  <si>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</si>
  <si>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</si>
  <si>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</si>
  <si>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</si>
  <si>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</si>
  <si>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</si>
  <si>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</si>
  <si>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</si>
  <si>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</si>
  <si>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KEPE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</si>
  <si>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</si>
  <si>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</si>
  <si>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</si>
  <si>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</si>
  <si>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</si>
  <si>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</si>
  <si>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</si>
  <si>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</si>
  <si>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</si>
  <si>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</si>
  <si>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</si>
  <si>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</si>
  <si>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Morris R</t>
  </si>
  <si>
    <t>MIWO</t>
  </si>
  <si>
    <t>ADHA</t>
  </si>
  <si>
    <t>CRFE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</si>
  <si>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</si>
  <si>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</si>
  <si>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</si>
  <si>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</si>
  <si>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</si>
  <si>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</si>
  <si>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</si>
  <si>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</si>
  <si>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</si>
  <si>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</si>
  <si>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</si>
  <si>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</si>
  <si>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</si>
  <si>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</si>
  <si>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</si>
  <si>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Ron Morris</t>
  </si>
  <si>
    <t>David Sharpe</t>
  </si>
  <si>
    <t>Ted Shephard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</si>
  <si>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</si>
  <si>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</si>
  <si>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</si>
  <si>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</si>
  <si>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</si>
  <si>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</si>
  <si>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</si>
  <si>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</si>
  <si>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</si>
  <si>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PALE</t>
  </si>
  <si>
    <t>Cost</t>
  </si>
  <si>
    <t>#times chosen</t>
  </si>
  <si>
    <t>Fpts Loc</t>
  </si>
  <si>
    <t>FantPts</t>
  </si>
  <si>
    <t>No Teams:</t>
  </si>
  <si>
    <t>PALU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</si>
  <si>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</si>
  <si>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</si>
  <si>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</si>
  <si>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</si>
  <si>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</si>
  <si>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</si>
  <si>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</si>
  <si>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</si>
  <si>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</si>
  <si>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</si>
  <si>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</si>
  <si>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</si>
  <si>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</si>
  <si>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</si>
  <si>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</si>
  <si>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</si>
  <si>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</si>
  <si>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</si>
  <si>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</si>
  <si>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JACA</t>
  </si>
  <si>
    <t>AUME</t>
  </si>
  <si>
    <t>RIHA</t>
  </si>
  <si>
    <t>RIMC</t>
  </si>
  <si>
    <t>CHCL</t>
  </si>
  <si>
    <t>ALHA</t>
  </si>
  <si>
    <t>Alex Hamilton</t>
  </si>
  <si>
    <t>Austen Merritt</t>
  </si>
  <si>
    <t>Chris Clarke</t>
  </si>
  <si>
    <t>Colin Mander</t>
  </si>
  <si>
    <t>Craig Feltham</t>
  </si>
  <si>
    <t>David Brocks</t>
  </si>
  <si>
    <t>Dave Thatcher</t>
  </si>
  <si>
    <t>Geoff Chick</t>
  </si>
  <si>
    <t>Glyn Angell</t>
  </si>
  <si>
    <t>James Cartwright</t>
  </si>
  <si>
    <t>Jeff Middleton</t>
  </si>
  <si>
    <t>John Bailey</t>
  </si>
  <si>
    <t>John Elliston</t>
  </si>
  <si>
    <t>Jon Worthy</t>
  </si>
  <si>
    <t>Ken Persad</t>
  </si>
  <si>
    <t>Les Miller</t>
  </si>
  <si>
    <t>Luke Hickey</t>
  </si>
  <si>
    <t>Mark Daly</t>
  </si>
  <si>
    <t>Mike Simmons</t>
  </si>
  <si>
    <t>Namish Patel</t>
  </si>
  <si>
    <t>Paul Leadley</t>
  </si>
  <si>
    <t>Paul Lushey</t>
  </si>
  <si>
    <t>Pete Canavan</t>
  </si>
  <si>
    <t>Pete Harris</t>
  </si>
  <si>
    <t>Richard Hawksworth</t>
  </si>
  <si>
    <t>Richard McGall</t>
  </si>
  <si>
    <t>Rick Worthington</t>
  </si>
  <si>
    <t>Robert McCann</t>
  </si>
  <si>
    <t>Rob Worthy</t>
  </si>
  <si>
    <t>Tony Springer</t>
  </si>
  <si>
    <t>Japanese Air Force</t>
  </si>
  <si>
    <t>Dugdale A's</t>
  </si>
  <si>
    <t>Dugdale B's</t>
  </si>
  <si>
    <t>People's Front Of Judea XI</t>
  </si>
  <si>
    <t>chq</t>
  </si>
  <si>
    <t>pd Andy M @ AGM</t>
  </si>
  <si>
    <t>?</t>
  </si>
  <si>
    <t>Cash</t>
  </si>
  <si>
    <t>Lesley Leadley</t>
  </si>
  <si>
    <t>All Stars XI</t>
  </si>
  <si>
    <t>Fallen Stars XI</t>
  </si>
  <si>
    <t>Lesley's Lads</t>
  </si>
  <si>
    <t>Lesley's Boys</t>
  </si>
  <si>
    <t>ROMC</t>
  </si>
  <si>
    <t>A</t>
  </si>
  <si>
    <t>Selsdon</t>
  </si>
  <si>
    <t>H</t>
  </si>
  <si>
    <t>Falcon</t>
  </si>
  <si>
    <t>Thurlow Park RAFA</t>
  </si>
  <si>
    <t>Woodgreen</t>
  </si>
  <si>
    <t>Bromley Common II</t>
  </si>
  <si>
    <t>Frensham</t>
  </si>
  <si>
    <t>Warlingham Park Hosp</t>
  </si>
  <si>
    <t>Carshalton</t>
  </si>
  <si>
    <t>Murray</t>
  </si>
  <si>
    <t>Blenden</t>
  </si>
  <si>
    <t>Whyteleaf</t>
  </si>
  <si>
    <t>Addington</t>
  </si>
  <si>
    <t>Hextable</t>
  </si>
  <si>
    <t>Beddington</t>
  </si>
  <si>
    <t>Morden 2nds</t>
  </si>
  <si>
    <t>Merton Saints</t>
  </si>
  <si>
    <t>Surrey Gymkhana</t>
  </si>
  <si>
    <t>4 C's</t>
  </si>
  <si>
    <t>East Cheam</t>
  </si>
  <si>
    <t>Seaford</t>
  </si>
  <si>
    <t>Steeple Langford</t>
  </si>
  <si>
    <t>Cove</t>
  </si>
  <si>
    <t>West Wickham</t>
  </si>
  <si>
    <t>Park Hill</t>
  </si>
  <si>
    <t>Deansbank</t>
  </si>
  <si>
    <t>Graveney</t>
  </si>
  <si>
    <t>Hamsey Green</t>
  </si>
  <si>
    <t>Central YMCA</t>
  </si>
  <si>
    <t>LESSA Wanderers</t>
  </si>
  <si>
    <t>Flying Wickets</t>
  </si>
  <si>
    <t>Riverside</t>
  </si>
  <si>
    <t>Mad Hatters</t>
  </si>
  <si>
    <t>Joel Shedley XI</t>
  </si>
  <si>
    <t>One Star XI</t>
  </si>
  <si>
    <t>How much is Fowler?</t>
  </si>
  <si>
    <t>cash</t>
  </si>
  <si>
    <t>Geoff's Supers I</t>
  </si>
  <si>
    <t>Geoff's Supers II</t>
  </si>
  <si>
    <t>pd self</t>
  </si>
  <si>
    <t>Dennis Bradley</t>
  </si>
  <si>
    <t>All Out</t>
  </si>
  <si>
    <t>W</t>
  </si>
  <si>
    <t>Y</t>
  </si>
  <si>
    <t>Springer 3-11</t>
  </si>
  <si>
    <t>Worthington 23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</si>
  <si>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</si>
  <si>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</si>
  <si>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</si>
  <si>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</si>
  <si>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</si>
  <si>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</si>
  <si>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</si>
  <si>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</si>
  <si>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2/7/b/0.0/0</t>
  </si>
  <si>
    <t>5/1/no/0.0/0</t>
  </si>
  <si>
    <t>7/0/dnb/0/0</t>
  </si>
  <si>
    <t>8/0/dnb/0/0</t>
  </si>
  <si>
    <t>9/0/dnb*/0/0</t>
  </si>
  <si>
    <t>11/0/dnb/0/0</t>
  </si>
  <si>
    <t>5/3/6/1</t>
  </si>
  <si>
    <t>2/0/13/1</t>
  </si>
  <si>
    <t>5/2/11/3</t>
  </si>
  <si>
    <t>3/1/5/0</t>
  </si>
  <si>
    <t>1/23/c/0/4</t>
  </si>
  <si>
    <t>3/6/c/0/1.0</t>
  </si>
  <si>
    <t>10/0/dnb/1/0</t>
  </si>
  <si>
    <t>4/8/no+/0/0.1</t>
  </si>
  <si>
    <t>6/0/dnb/1/0</t>
  </si>
  <si>
    <t>It's a Laugh, Innit?</t>
  </si>
  <si>
    <t>Hosking 1sts</t>
  </si>
  <si>
    <t>Hosking 2nds</t>
  </si>
  <si>
    <t>Wides</t>
  </si>
  <si>
    <t>No Balls</t>
  </si>
  <si>
    <t>Snowy's Select XI</t>
  </si>
  <si>
    <t>pd GC</t>
  </si>
  <si>
    <t>Jocks Wahey!</t>
  </si>
  <si>
    <t>Wide Boys</t>
  </si>
  <si>
    <t>Tiger Balsa-Woods</t>
  </si>
  <si>
    <t>It's In The Tennis Court!</t>
  </si>
  <si>
    <t>Teresa Grant</t>
  </si>
  <si>
    <t>Social Officer's Select XI</t>
  </si>
  <si>
    <t>The Storm Troopers</t>
  </si>
  <si>
    <t>Rampton Escape Committee</t>
  </si>
  <si>
    <t>The Fugitives</t>
  </si>
  <si>
    <t>L</t>
  </si>
  <si>
    <t>TOCC</t>
  </si>
  <si>
    <t>Reid 38, Springer 38</t>
  </si>
  <si>
    <t>Money 62, Tasker 61, Springer 3-52</t>
  </si>
  <si>
    <t>1/10/b+/1/1.0</t>
  </si>
  <si>
    <t>2/14/b/0/2.0</t>
  </si>
  <si>
    <t>3/10/b/0/2.0</t>
  </si>
  <si>
    <t>4/12/c*/0/0</t>
  </si>
  <si>
    <t>5/2/c/0/0</t>
  </si>
  <si>
    <t>7/38/b/0/8.0</t>
  </si>
  <si>
    <t>8/0/c/1/0</t>
  </si>
  <si>
    <t>9/15/c/0/2.0</t>
  </si>
  <si>
    <t>10/18/c/0/3.0</t>
  </si>
  <si>
    <t>11/0/no/0/0</t>
  </si>
  <si>
    <t>14/3/52/3/2/2</t>
  </si>
  <si>
    <t>9/4/16/0</t>
  </si>
  <si>
    <t>4/0/35/0</t>
  </si>
  <si>
    <t>11/3/43/1/0/2</t>
  </si>
  <si>
    <t>3/0/24/0</t>
  </si>
  <si>
    <t>Gone to the Spar shop!</t>
  </si>
  <si>
    <t>1997 Season</t>
  </si>
  <si>
    <t>Tull 74, Worthy R 4-31, Shewan 3-25</t>
  </si>
  <si>
    <t>Leadley J 55</t>
  </si>
  <si>
    <t>1/55/c/0/10.0</t>
  </si>
  <si>
    <t>2/4/b+/1/1.0</t>
  </si>
  <si>
    <t>3/16/b*/0/2.0</t>
  </si>
  <si>
    <t>4/1/b/0/0</t>
  </si>
  <si>
    <t>5/1/ro/0/0</t>
  </si>
  <si>
    <t>6/10/b/0/2.0</t>
  </si>
  <si>
    <t>7/0/b/0/0</t>
  </si>
  <si>
    <t>8/3/b/0/0</t>
  </si>
  <si>
    <t>9/0/b/0/0</t>
  </si>
  <si>
    <t>10/8/no/1/0</t>
  </si>
  <si>
    <t>11/3/ro/0/0</t>
  </si>
  <si>
    <t>7/1/25/3</t>
  </si>
  <si>
    <t>3/1/13/1</t>
  </si>
  <si>
    <t>5/0/35/0</t>
  </si>
  <si>
    <t>6/0/27/0</t>
  </si>
  <si>
    <t>8/1/31/4/1/0</t>
  </si>
  <si>
    <t>6/38/b/0/6.0</t>
  </si>
  <si>
    <t>Brocks 4-17</t>
  </si>
  <si>
    <t>Hamilton 41*</t>
  </si>
  <si>
    <t>1/17/c/1/2.0</t>
  </si>
  <si>
    <t>2/0/lb/2/0</t>
  </si>
  <si>
    <t>3/2/c/0/0</t>
  </si>
  <si>
    <t>4/0/c/0/0</t>
  </si>
  <si>
    <t>5/41/no+/2/4.0</t>
  </si>
  <si>
    <t>6/4/lb/0/1.0</t>
  </si>
  <si>
    <t>7/26/c/0/5.0</t>
  </si>
  <si>
    <t>8/1/c/0/0</t>
  </si>
  <si>
    <t>9/1/b/0/0</t>
  </si>
  <si>
    <t>10/20/no*/1/4.0</t>
  </si>
  <si>
    <t>2/0/10/0/0/0</t>
  </si>
  <si>
    <t>11.5/2/38/1</t>
  </si>
  <si>
    <t>9/4/17/4</t>
  </si>
  <si>
    <t>4/0/15/3/2/0</t>
  </si>
  <si>
    <t>7/2/17/2</t>
  </si>
  <si>
    <t>11/4/22/0/1/0</t>
  </si>
  <si>
    <t>Thatch's Catch's</t>
  </si>
  <si>
    <t>Ward 46, Goldsmith A 41</t>
  </si>
  <si>
    <t>Dugdale 30, Blake 3-11</t>
  </si>
  <si>
    <t>4/0/25/2</t>
  </si>
  <si>
    <t>4/0/27/1/2/0</t>
  </si>
  <si>
    <t>4/0/18/1</t>
  </si>
  <si>
    <t>2/0/22/0</t>
  </si>
  <si>
    <t>2/0/16/2</t>
  </si>
  <si>
    <t>1/5/b*/1/0</t>
  </si>
  <si>
    <t>2/3/b/0/0</t>
  </si>
  <si>
    <t>3/9/b/0/1.0</t>
  </si>
  <si>
    <t>4/8/b/1/1.0</t>
  </si>
  <si>
    <t>5/30/b+/0.1/3.0</t>
  </si>
  <si>
    <t>6/10/b/0/1.0</t>
  </si>
  <si>
    <t>7/14/c/0/2.0</t>
  </si>
  <si>
    <t>8/0/ro/0/0</t>
  </si>
  <si>
    <t>9/7/no/0/1.0</t>
  </si>
  <si>
    <t>10/1/no/0/0</t>
  </si>
  <si>
    <t>Commonwealth Offices [30-over match]</t>
  </si>
  <si>
    <t>Park Hill [20-over match - rain]</t>
  </si>
  <si>
    <t>Dugdale 27</t>
  </si>
  <si>
    <t>Mander A 5-13</t>
  </si>
  <si>
    <t>1/0/c/1/0</t>
  </si>
  <si>
    <t>2/27/c+/1/2.0</t>
  </si>
  <si>
    <t>3/11/b/0/0</t>
  </si>
  <si>
    <t>4/10/b/1/0</t>
  </si>
  <si>
    <t>5/3/c/1/0</t>
  </si>
  <si>
    <t>6/12/c/0/1.0</t>
  </si>
  <si>
    <t>7/1/b/0/0</t>
  </si>
  <si>
    <t>8/11/c/0/3.0</t>
  </si>
  <si>
    <t>9/20/c*/0/3.0</t>
  </si>
  <si>
    <t>10/6/b/0/0</t>
  </si>
  <si>
    <t>Lestrelle</t>
  </si>
  <si>
    <t>6/0/23/1/1/0</t>
  </si>
  <si>
    <t>6/3/9/2/2/0</t>
  </si>
  <si>
    <t>11.5/5/13/5/1/0</t>
  </si>
  <si>
    <t>12/4/17/2/1/0</t>
  </si>
  <si>
    <t>3/0/24/0/2/0</t>
  </si>
  <si>
    <t>Clarke 3-56</t>
  </si>
  <si>
    <t>Dugdale 34</t>
  </si>
  <si>
    <t>Springer 4-48</t>
  </si>
  <si>
    <t>Cooper 68*</t>
  </si>
  <si>
    <t>1/34/c/1/5.0</t>
  </si>
  <si>
    <t>3/16/st/0/2.0</t>
  </si>
  <si>
    <t>4/4/b/0/0</t>
  </si>
  <si>
    <t>5/2/c+/0.1/0</t>
  </si>
  <si>
    <t>6/25/ro/1/2.0</t>
  </si>
  <si>
    <t>7/15/c/0/1.0</t>
  </si>
  <si>
    <t>Bastin</t>
  </si>
  <si>
    <t>Terence</t>
  </si>
  <si>
    <t>10/0/no/0/0</t>
  </si>
  <si>
    <t>1/8/c/0/1.0</t>
  </si>
  <si>
    <t>2/2/b+/0.1/0</t>
  </si>
  <si>
    <t>4/9/b/0/1.0</t>
  </si>
  <si>
    <t>Ching</t>
  </si>
  <si>
    <t>5/0/c/0/0</t>
  </si>
  <si>
    <t>6/12/b/1/2.0</t>
  </si>
  <si>
    <t>7/18/no/0/2.0</t>
  </si>
  <si>
    <t>Thomas</t>
  </si>
  <si>
    <t>Sam</t>
  </si>
  <si>
    <t>5/1/19/0</t>
  </si>
  <si>
    <t>2/0/6/0</t>
  </si>
  <si>
    <t>8/3/22/1</t>
  </si>
  <si>
    <t>12/2/48/4/1/0</t>
  </si>
  <si>
    <t>1/0/3/0/2/0</t>
  </si>
  <si>
    <t>11/4/21/1</t>
  </si>
  <si>
    <t>9/0/36/3</t>
  </si>
  <si>
    <t>2/0/b*/0/0</t>
  </si>
  <si>
    <t>9/0/dnb*/1/0</t>
  </si>
  <si>
    <t>The Avengers</t>
  </si>
  <si>
    <t>The Persuaders</t>
  </si>
  <si>
    <t>1st XI</t>
  </si>
  <si>
    <t>2nd XI</t>
  </si>
  <si>
    <t>Shewan 5-49</t>
  </si>
  <si>
    <t>Leadley 88*, Sharpe 42*</t>
  </si>
  <si>
    <t>D</t>
  </si>
  <si>
    <t>1/88/no/1/12.1</t>
  </si>
  <si>
    <t>2/25/ro+/0/3.0</t>
  </si>
  <si>
    <t>3/8/b/0/1.0</t>
  </si>
  <si>
    <t>4/42/no/0/6.2</t>
  </si>
  <si>
    <t>5/0/dnb/0/0</t>
  </si>
  <si>
    <t>9/0/dnb/0/0</t>
  </si>
  <si>
    <t>10/0/dnb/0/0</t>
  </si>
  <si>
    <t>11/0/dnb/1/0</t>
  </si>
  <si>
    <t>2/0/11/0/1/0</t>
  </si>
  <si>
    <t>8/0/35/1/2/0</t>
  </si>
  <si>
    <t>4/1/17/0/2/0</t>
  </si>
  <si>
    <t>13/2/49/5/1/0</t>
  </si>
  <si>
    <t>15/2/37/1/1/2</t>
  </si>
  <si>
    <t>Stuttaford 51*, Morris D 3-13</t>
  </si>
  <si>
    <t>Hosking 30, Caston 3-36</t>
  </si>
  <si>
    <t>1/10/b/0/2.0</t>
  </si>
  <si>
    <t>3/0/c/3/0</t>
  </si>
  <si>
    <t>4/30/b/0/3.1</t>
  </si>
  <si>
    <t>6/2/c/0/0</t>
  </si>
  <si>
    <t>7/26/no/0/4.0</t>
  </si>
  <si>
    <t>8/9/no/0/1.0</t>
  </si>
  <si>
    <t>10/0/dnb*/0/0</t>
  </si>
  <si>
    <t>5/1/b*/0/0</t>
  </si>
  <si>
    <t>2/13/b+/0/2.0</t>
  </si>
  <si>
    <t>6/4/8/1</t>
  </si>
  <si>
    <t>8/3/20/1/1/0</t>
  </si>
  <si>
    <t>7/4/3/2</t>
  </si>
  <si>
    <t>8/4/16/2</t>
  </si>
  <si>
    <t>8/3/13/3</t>
  </si>
  <si>
    <t>8/1/44/1/1/0</t>
  </si>
  <si>
    <t>Naish D 49, Springer 3-43</t>
  </si>
  <si>
    <t>Brocks 44, Naish D 3-1</t>
  </si>
  <si>
    <t>1/20/b/0/4.0</t>
  </si>
  <si>
    <t>2/2/lb/0/0</t>
  </si>
  <si>
    <t>3/10/c/0/2.0</t>
  </si>
  <si>
    <t>5/17/c/1/3.0</t>
  </si>
  <si>
    <t>6/18/c/0/1.1</t>
  </si>
  <si>
    <t>7/6/b+/0.1/1.0</t>
  </si>
  <si>
    <t>4/44/b*/0/7.0</t>
  </si>
  <si>
    <t>8/3/b/1/0</t>
  </si>
  <si>
    <t>9/3/b/0/0</t>
  </si>
  <si>
    <t>10/0/b/0/0</t>
  </si>
  <si>
    <t>12/2/41/2/1/0</t>
  </si>
  <si>
    <t>12/2/43/3</t>
  </si>
  <si>
    <t>6/0/25/0</t>
  </si>
  <si>
    <t>4/0/19/0/2/0</t>
  </si>
  <si>
    <t>5/1/18/2</t>
  </si>
  <si>
    <t>2/0/6/1</t>
  </si>
  <si>
    <t>Sharpe 4-84</t>
  </si>
  <si>
    <t>Fellowes M 3-10</t>
  </si>
  <si>
    <t>1/1/ro/0/0</t>
  </si>
  <si>
    <t>2/14/c/0/1.0</t>
  </si>
  <si>
    <t>4/5/lb/0/0</t>
  </si>
  <si>
    <t>5/0/b/1/0</t>
  </si>
  <si>
    <t>6/0/c/0/0</t>
  </si>
  <si>
    <t>7/4/b/0/1.0</t>
  </si>
  <si>
    <t>3/0/ro+/0/0</t>
  </si>
  <si>
    <t>8/0/lb/0/0</t>
  </si>
  <si>
    <t>9/11/lb/0/0</t>
  </si>
  <si>
    <t>10/5/c/0/1.0</t>
  </si>
  <si>
    <t>11/16/no*/0/1.0</t>
  </si>
  <si>
    <t>19/2/84/4/1/0</t>
  </si>
  <si>
    <t>9/0/53/2/2/0</t>
  </si>
  <si>
    <t>10/0/49/2/2/2</t>
  </si>
  <si>
    <t>Leadley J 56, Cooper 48</t>
  </si>
  <si>
    <t>Scatchpole 57, Shewan 4-54</t>
  </si>
  <si>
    <t>1/56/b/1/9.0</t>
  </si>
  <si>
    <t>2/1/b+/1/0</t>
  </si>
  <si>
    <t>3/48/c/1/5.0</t>
  </si>
  <si>
    <t>4/7/rh/0/1.0</t>
  </si>
  <si>
    <t>5/8/c/0/1.0</t>
  </si>
  <si>
    <t>6/32/no/0/4.1</t>
  </si>
  <si>
    <t>7/16/b/1/3.0</t>
  </si>
  <si>
    <t>8/1/no/0/0</t>
  </si>
  <si>
    <t>11/1/54/4/2/0</t>
  </si>
  <si>
    <t>8/1/33/2</t>
  </si>
  <si>
    <t>6/0/28/1</t>
  </si>
  <si>
    <t>6/0/32/0/1/0</t>
  </si>
  <si>
    <t>4/0/27/0</t>
  </si>
  <si>
    <t>Griffiths 33, Shewan 2-10, Bowers 2-12</t>
  </si>
  <si>
    <t>Leadley J 59</t>
  </si>
  <si>
    <t>1/59/b/0/13.0</t>
  </si>
  <si>
    <t>2/5/b*/1/1.0</t>
  </si>
  <si>
    <t>3/13/c/0/2.0</t>
  </si>
  <si>
    <t>4/12/no/1/2.0</t>
  </si>
  <si>
    <t>5/9/no/1/1.0</t>
  </si>
  <si>
    <t>Haynes</t>
  </si>
  <si>
    <t>6/0/dnb/0/0</t>
  </si>
  <si>
    <t>7/0/dnb+/0/0</t>
  </si>
  <si>
    <t>9/1/31/2/1/0</t>
  </si>
  <si>
    <t>8/3/10/2</t>
  </si>
  <si>
    <t>2.3/0/12/2/2/0</t>
  </si>
  <si>
    <t>6/0/19/1/2/0</t>
  </si>
  <si>
    <t>Merton</t>
  </si>
  <si>
    <t>1/30/c*/1/3.0</t>
  </si>
  <si>
    <t>3/16/c/0/0</t>
  </si>
  <si>
    <t>4/4/c/1/1.0</t>
  </si>
  <si>
    <t>5/0/b/0/0</t>
  </si>
  <si>
    <t>6/82/no+/0.1/10.2</t>
  </si>
  <si>
    <t>7/8/no/0/0</t>
  </si>
  <si>
    <t>4/3/1/1</t>
  </si>
  <si>
    <t>4/0/15/0</t>
  </si>
  <si>
    <t>6.3/2/6/3</t>
  </si>
  <si>
    <t>11/1/30/1/2/0</t>
  </si>
  <si>
    <t>7/1/26/2/4/0</t>
  </si>
  <si>
    <t>8/1/24/2/1/0</t>
  </si>
  <si>
    <t>Clarke 3-6</t>
  </si>
  <si>
    <t>Worthy J 2-21</t>
  </si>
  <si>
    <t>Leadley J 76* Hawksworth R 81*</t>
  </si>
  <si>
    <t>Worthy R 3-11, Lestrelle 3-33</t>
  </si>
  <si>
    <t>Hamilton 48, Hawksworth A 43</t>
  </si>
  <si>
    <t>1/76/no/0/12.0</t>
  </si>
  <si>
    <t>2/2/b/0/0</t>
  </si>
  <si>
    <t>3/81/no/0/13.0</t>
  </si>
  <si>
    <t>4/0/dnb+/0/0</t>
  </si>
  <si>
    <t>8/0/dnb*/0/0</t>
  </si>
  <si>
    <t>9/0/dnb/1/0</t>
  </si>
  <si>
    <t>1/43/c/1/4.3</t>
  </si>
  <si>
    <t>2/48/c+/1/6.0</t>
  </si>
  <si>
    <t>3/11/no/0/1.0</t>
  </si>
  <si>
    <t>4/4/no/1/1.0</t>
  </si>
  <si>
    <t>7/0/dnb/1/0</t>
  </si>
  <si>
    <t>4/0/22/1/8/0</t>
  </si>
  <si>
    <t>7/1/35/1</t>
  </si>
  <si>
    <t>9/1/40/0/1/0</t>
  </si>
  <si>
    <t>11/1/21/2/1/0</t>
  </si>
  <si>
    <t>9/1/45/2/3/0</t>
  </si>
  <si>
    <t>3/1/12/1/3/0</t>
  </si>
  <si>
    <t>10/3/46/2</t>
  </si>
  <si>
    <t>Caterham</t>
  </si>
  <si>
    <t>Dugdale 90, Hawksworth R 88</t>
  </si>
  <si>
    <t>Cocker 76, Mander A 5-50</t>
  </si>
  <si>
    <t>1/3/c/0/0</t>
  </si>
  <si>
    <t>2/90/b+/2/10.0</t>
  </si>
  <si>
    <t>3/88/lb/0/9.0</t>
  </si>
  <si>
    <t>4/6/no/0/1.0</t>
  </si>
  <si>
    <t>5/8/no/0/1.0</t>
  </si>
  <si>
    <t>14/3/50/5/3/0</t>
  </si>
  <si>
    <t>5/1/17/0/1/0</t>
  </si>
  <si>
    <t>9/1/35/2/0/1</t>
  </si>
  <si>
    <t>1.3/0/11/2/1/0</t>
  </si>
  <si>
    <t>1/0/1/1</t>
  </si>
  <si>
    <t>Middleton 82*, Springer 59, Woodhouse 30</t>
  </si>
  <si>
    <t>Morris D 2-24</t>
  </si>
  <si>
    <t>Leadley J 82*</t>
  </si>
  <si>
    <t>Elliston 2-27</t>
  </si>
  <si>
    <t>Morris D 3-17, Coloe 2-11</t>
  </si>
  <si>
    <t>Leadley J 39*, Lineker 4-10</t>
  </si>
  <si>
    <t>1/22/b/0/4.0</t>
  </si>
  <si>
    <t>2/7/c+/2/0.0</t>
  </si>
  <si>
    <t>3/7/b/0/0</t>
  </si>
  <si>
    <t>4/12/b/0/0.1</t>
  </si>
  <si>
    <t>5/12/st/0/1.0</t>
  </si>
  <si>
    <t>7/21/b/1/3.0</t>
  </si>
  <si>
    <t>8/0/c/0/0</t>
  </si>
  <si>
    <t>9/10/st/0/2.0</t>
  </si>
  <si>
    <t>10/5/c/0/0</t>
  </si>
  <si>
    <t>11/2/no/0/0</t>
  </si>
  <si>
    <t>1/16/b+/0/2.0</t>
  </si>
  <si>
    <t>2/5/b/0/0</t>
  </si>
  <si>
    <t>3/6/b/0/0</t>
  </si>
  <si>
    <t>4/10/b/0/0</t>
  </si>
  <si>
    <t>5/82/c/0/12.1</t>
  </si>
  <si>
    <t>6/0/b/0/0</t>
  </si>
  <si>
    <t>8/24/c/0/4.0</t>
  </si>
  <si>
    <t>9/3/no/0/0</t>
  </si>
  <si>
    <t>11/0/dnb*/0/0</t>
  </si>
  <si>
    <t>1/24/c/1/3.0</t>
  </si>
  <si>
    <t>2/23/c/0/2.0</t>
  </si>
  <si>
    <t>3/0/c/0/0</t>
  </si>
  <si>
    <t>4/8/lb/0/1.0</t>
  </si>
  <si>
    <t>Wiseman</t>
  </si>
  <si>
    <t>6/18/b/0/2.0</t>
  </si>
  <si>
    <t>Aidan</t>
  </si>
  <si>
    <t>Coloe</t>
  </si>
  <si>
    <t>9/6/no/1/1.0</t>
  </si>
  <si>
    <t>7/39/no+/0.2/4.1</t>
  </si>
  <si>
    <t>8/2/b/0/0</t>
  </si>
  <si>
    <t>10/0/dnb*/1/0</t>
  </si>
  <si>
    <t>8/0/59/1/2/1</t>
  </si>
  <si>
    <t>6/0/43/2/1/0</t>
  </si>
  <si>
    <t>5/0/28/0/1/0</t>
  </si>
  <si>
    <t>4/0/42/0/7/0</t>
  </si>
  <si>
    <t>5/0/41/1/5/1</t>
  </si>
  <si>
    <t>8/4/24/2/1/0</t>
  </si>
  <si>
    <t>5/2/3/1</t>
  </si>
  <si>
    <t>9/4/17/1/3/0</t>
  </si>
  <si>
    <t>9/4/15/1</t>
  </si>
  <si>
    <t>4/0/16/0/1/0</t>
  </si>
  <si>
    <t>7/1/27/2</t>
  </si>
  <si>
    <t>6/3/18/0</t>
  </si>
  <si>
    <t>4/0/20/0</t>
  </si>
  <si>
    <t>17/1/48/4/1/0</t>
  </si>
  <si>
    <t>5/1/11/2</t>
  </si>
  <si>
    <t>11.4/5/17/3</t>
  </si>
  <si>
    <t>6/1/24/1/2/0</t>
  </si>
  <si>
    <t>4/0/35/0/2/0</t>
  </si>
  <si>
    <t>7/11/b/0/1.0</t>
  </si>
  <si>
    <t>Lestrelle 3-9</t>
  </si>
  <si>
    <t>Dugdale 47*</t>
  </si>
  <si>
    <t>1/1/b*/0/0</t>
  </si>
  <si>
    <t>2/47/no+/1/5.0</t>
  </si>
  <si>
    <t>3/8/c/0/0.1</t>
  </si>
  <si>
    <t>4/12/c/0/2.0</t>
  </si>
  <si>
    <t>5/4/b/0/0</t>
  </si>
  <si>
    <t>7/4/c/1/0</t>
  </si>
  <si>
    <t>8/13/no/0/1.1</t>
  </si>
  <si>
    <t>9/5/17/0/1/0</t>
  </si>
  <si>
    <t>10/0/37/2/1/0</t>
  </si>
  <si>
    <t>7/1/21/0</t>
  </si>
  <si>
    <t>6/0/20/1/1/0</t>
  </si>
  <si>
    <t>3/0/9/3</t>
  </si>
  <si>
    <t>3/0/7/0</t>
  </si>
  <si>
    <t>6/0/dnb*/0/0</t>
  </si>
  <si>
    <t>N</t>
  </si>
  <si>
    <t>Reade 52, Young 3-27, Simmons 3-42</t>
  </si>
  <si>
    <t>Cooper 75, Reid 34</t>
  </si>
  <si>
    <t>Springer 44, Sharpe 36</t>
  </si>
  <si>
    <t>Morris D 4-29</t>
  </si>
  <si>
    <t>Young 4-22</t>
  </si>
  <si>
    <t>Shewan 36, Beckett 4-46</t>
  </si>
  <si>
    <t>2/4/b*/0/1.0</t>
  </si>
  <si>
    <t>3/18/b/1/2.0</t>
  </si>
  <si>
    <t>4/0/b/1/0</t>
  </si>
  <si>
    <t>5/34/c+/0/6.0</t>
  </si>
  <si>
    <t>1/75/b/1/10.0</t>
  </si>
  <si>
    <t>6/0/b/1/0</t>
  </si>
  <si>
    <t>10/10/b/0/2.0</t>
  </si>
  <si>
    <t>8/6/c/0/1.0</t>
  </si>
  <si>
    <t>9/1/no/0/0</t>
  </si>
  <si>
    <t>5/0/42/0/1/0</t>
  </si>
  <si>
    <t>4/0/27/3</t>
  </si>
  <si>
    <t>10/2/25/0</t>
  </si>
  <si>
    <t>8/3/27/0</t>
  </si>
  <si>
    <t>10/2/38/2</t>
  </si>
  <si>
    <t>7/0/33/1/1/0</t>
  </si>
  <si>
    <t>6/1/22/4/1/0</t>
  </si>
  <si>
    <t>4/0/24/1</t>
  </si>
  <si>
    <t>1/0/c/0/0</t>
  </si>
  <si>
    <t>2/8/b/1/1.0</t>
  </si>
  <si>
    <t>3/1/c/1/0</t>
  </si>
  <si>
    <t>4/0/b/0/0</t>
  </si>
  <si>
    <t>5/10/c/0/2.0</t>
  </si>
  <si>
    <t>6/19/c/1/4.0</t>
  </si>
  <si>
    <t>7/12/ro+/0/2.0</t>
  </si>
  <si>
    <t>8/36/b*/2/5.1</t>
  </si>
  <si>
    <t>9/7/c/0/1.0</t>
  </si>
  <si>
    <t>10/10/no/2/2.0</t>
  </si>
  <si>
    <t>11/8/no/0/2.0</t>
  </si>
  <si>
    <t>1/31/b+/2/3.2</t>
  </si>
  <si>
    <t>2/102/no/0/12.0</t>
  </si>
  <si>
    <t>3/2/c*/0/0</t>
  </si>
  <si>
    <t>4/28/b/0/4.0</t>
  </si>
  <si>
    <t>5/10/lb/0/2.0</t>
  </si>
  <si>
    <t>7/11/c/0/2.0</t>
  </si>
  <si>
    <t>9/5/c/2/1.0</t>
  </si>
  <si>
    <t>10/12/no/0/2.0</t>
  </si>
  <si>
    <t>8/2/20/1/1/0</t>
  </si>
  <si>
    <t>9/2/33/2</t>
  </si>
  <si>
    <t>9/1/39/3/1/0</t>
  </si>
  <si>
    <t>4/0/23/0</t>
  </si>
  <si>
    <t>3.4/0/24/3/1/0</t>
  </si>
  <si>
    <t>7/3/11/1</t>
  </si>
  <si>
    <t>7/0/46/1</t>
  </si>
  <si>
    <t>8/2/26/2/3/0</t>
  </si>
  <si>
    <t>4/2/3/1</t>
  </si>
  <si>
    <t>11/5/29/4</t>
  </si>
  <si>
    <t>1/26/c/0/3.0.1</t>
  </si>
  <si>
    <t>2/2/b*/0/0</t>
  </si>
  <si>
    <t>3/33/b+/3/5.0</t>
  </si>
  <si>
    <t>4/36/lb/2/8.0</t>
  </si>
  <si>
    <t>5/10/b/0/1.0</t>
  </si>
  <si>
    <t>6/44/c/0/6.2</t>
  </si>
  <si>
    <t>7/0/st/0/0</t>
  </si>
  <si>
    <t>10/1/ro/0/0</t>
  </si>
  <si>
    <t>11/14/no/0/2.1</t>
  </si>
  <si>
    <t>Sutton</t>
  </si>
  <si>
    <t>Butcher 54, Moore 52*</t>
  </si>
  <si>
    <t>Dugdale 30</t>
  </si>
  <si>
    <t>Dugdale 102*, Jones 5-44</t>
  </si>
  <si>
    <t>Sefton 61, Sharpe 3-24, Young 3-39</t>
  </si>
  <si>
    <t>1/11/b/0/1.0</t>
  </si>
  <si>
    <t>2/30/b+/0/3.0</t>
  </si>
  <si>
    <t>3/23/c*/0/3.0</t>
  </si>
  <si>
    <t>5/5/b/0/0</t>
  </si>
  <si>
    <t>6/8/c/1/0</t>
  </si>
  <si>
    <t>7/17/c/0/2.0</t>
  </si>
  <si>
    <t>10/8/no/0/0</t>
  </si>
  <si>
    <t>11/13/b/0/2.0</t>
  </si>
  <si>
    <t>8/0/41/0/4/1</t>
  </si>
  <si>
    <t>12/2/35/2/5/0</t>
  </si>
  <si>
    <t>6/1/20/0/9/0</t>
  </si>
  <si>
    <t>10/1/40/1/3/1</t>
  </si>
  <si>
    <t>2/0/9/0</t>
  </si>
  <si>
    <t>Barbara Merritt</t>
  </si>
  <si>
    <t>DOUBLE WICKET</t>
  </si>
  <si>
    <t>LESSA Wanderers [no play]</t>
  </si>
  <si>
    <t>Central YMCA [No play]</t>
  </si>
  <si>
    <t>Sunderland Supporters [no play]</t>
  </si>
  <si>
    <t>1/24/st/1/3.0</t>
  </si>
  <si>
    <t>2/9/b+/1/0.0</t>
  </si>
  <si>
    <t>4/9/c/0/0</t>
  </si>
  <si>
    <t>5/25/b/0/5.0</t>
  </si>
  <si>
    <t>6/12/c/0/1.1</t>
  </si>
  <si>
    <t>8/0/b/0/0</t>
  </si>
  <si>
    <t>9/16/b/1/2.1</t>
  </si>
  <si>
    <t>10/0/no/1/0</t>
  </si>
  <si>
    <t>5/0/24/0</t>
  </si>
  <si>
    <t>7/1/27/0</t>
  </si>
  <si>
    <t>14.5/2/37/7</t>
  </si>
  <si>
    <t>11/3/13/2</t>
  </si>
  <si>
    <t>Morris 3-67</t>
  </si>
  <si>
    <t>Worthy J 49*, Worthington 30</t>
  </si>
  <si>
    <t>1/22/ro+/0/1.0</t>
  </si>
  <si>
    <t>3/30/c/0/3.1</t>
  </si>
  <si>
    <t>4/2/ro/0/0</t>
  </si>
  <si>
    <t>5/6/lb/0/1.0</t>
  </si>
  <si>
    <t>6/3/b/0/0</t>
  </si>
  <si>
    <t>7/5/c/0/1.0</t>
  </si>
  <si>
    <t>8/3/ro/0/0</t>
  </si>
  <si>
    <t>9/49/no/0/4.3</t>
  </si>
  <si>
    <t>4/0/34/1/1/0</t>
  </si>
  <si>
    <t>6/0/28/1/1/0</t>
  </si>
  <si>
    <t>5/0/27/0/1/0</t>
  </si>
  <si>
    <t>Hamilton 50</t>
  </si>
  <si>
    <t>1/15/c/0/0</t>
  </si>
  <si>
    <t>2/50/c+/0/7.0</t>
  </si>
  <si>
    <t>3/4/c/0/0</t>
  </si>
  <si>
    <t>5/6/c/0/0</t>
  </si>
  <si>
    <t>10/9/b*/0/0</t>
  </si>
  <si>
    <t>6/11/b/0/1.0</t>
  </si>
  <si>
    <t>7/9/no*/1/1.0</t>
  </si>
  <si>
    <t>9/6/no/0/1.0</t>
  </si>
  <si>
    <t>1/0/12/0</t>
  </si>
  <si>
    <t>8/4/16/3</t>
  </si>
  <si>
    <t>1/3/b/0/0</t>
  </si>
  <si>
    <t>2/40/b/3/3.2</t>
  </si>
  <si>
    <t>3/17/c+/0.1/2.0</t>
  </si>
  <si>
    <t>4/3/ro/0/0</t>
  </si>
  <si>
    <t>5/4/b/0/1.0</t>
  </si>
  <si>
    <t>6/4/b*/0/0</t>
  </si>
  <si>
    <t>8/6/c/0/0</t>
  </si>
  <si>
    <t>9/23/no/0/2.1</t>
  </si>
  <si>
    <t>10/0/c/0/0</t>
  </si>
  <si>
    <t>4/0/17/1</t>
  </si>
  <si>
    <t>11/2/48/4</t>
  </si>
  <si>
    <t>13/5/44/2</t>
  </si>
  <si>
    <t>7/2/9/0</t>
  </si>
  <si>
    <t>5/0/20/0/3/0</t>
  </si>
  <si>
    <t>Brocks 4-48</t>
  </si>
  <si>
    <t>Hawksworth A 40</t>
  </si>
  <si>
    <t>Sharpe 52, Snow 32</t>
  </si>
  <si>
    <t>Young 3-39, Sharpe 2-24</t>
  </si>
  <si>
    <t>Leadley 85, Springer 47, Sharpe 46</t>
  </si>
  <si>
    <t>Worthy R 5-6</t>
  </si>
  <si>
    <t>1/12/b/1/3.0</t>
  </si>
  <si>
    <t>2/8/b/0/1.0</t>
  </si>
  <si>
    <t>3/52/b/0/9.1</t>
  </si>
  <si>
    <t>4/13/b+/0/2.0</t>
  </si>
  <si>
    <t>6/32/b/0/4.0</t>
  </si>
  <si>
    <t>7/9/no/0/2.0</t>
  </si>
  <si>
    <t>Jim</t>
  </si>
  <si>
    <t>9/4/st/0/0</t>
  </si>
  <si>
    <t>1/85/st/0/11.0</t>
  </si>
  <si>
    <t>2/7/c/0/1.0</t>
  </si>
  <si>
    <t>3/2/c+/1/0</t>
  </si>
  <si>
    <t>4/46/b/0/6.0</t>
  </si>
  <si>
    <t>5/6/c/0/1.0</t>
  </si>
  <si>
    <t>7/13/c/0/3.0</t>
  </si>
  <si>
    <t>4/0/18/0/2/0</t>
  </si>
  <si>
    <t>11/1/24/2/3/1</t>
  </si>
  <si>
    <t>8/1/39/3</t>
  </si>
  <si>
    <t>15/3/50/3/6/0</t>
  </si>
  <si>
    <t>1/0/2/1/2/0</t>
  </si>
  <si>
    <t>4/0/17/1/2/0</t>
  </si>
  <si>
    <t>6/0/36/1</t>
  </si>
  <si>
    <t>5/1/14/0/1/0</t>
  </si>
  <si>
    <t>10/1/38/1/1/0</t>
  </si>
  <si>
    <t>5/1/18/1</t>
  </si>
  <si>
    <t>6/3/6/5/1/0</t>
  </si>
  <si>
    <t>East J 58*, Leadley 3-10</t>
  </si>
  <si>
    <t>Leadley 52, Woodhouse 51</t>
  </si>
  <si>
    <t>13/3/38/1</t>
  </si>
  <si>
    <t>13/3/59/1/1/0</t>
  </si>
  <si>
    <t>7/0/56/0/2/0</t>
  </si>
  <si>
    <t>3/0/26/0</t>
  </si>
  <si>
    <t>1/1/b/0/0</t>
  </si>
  <si>
    <t>2/51/b*/0/7.0</t>
  </si>
  <si>
    <t>3/3/b/0/0</t>
  </si>
  <si>
    <t>4/52/b/0/8.1</t>
  </si>
  <si>
    <t>5/32/b/0/4.1</t>
  </si>
  <si>
    <t>6/18/no+/0.1/2.0</t>
  </si>
  <si>
    <t>9/19/c/0/4.0</t>
  </si>
  <si>
    <t>10/5/no/0/0</t>
  </si>
  <si>
    <t>5/1/10/3/1/0</t>
  </si>
  <si>
    <t>Eltham</t>
  </si>
  <si>
    <t>Hawksworth R 52*. Brocks 49*</t>
  </si>
  <si>
    <t>Cooper 4-27</t>
  </si>
  <si>
    <t>1/30/ro/0/4.0</t>
  </si>
  <si>
    <t>2/21/c+/1.1/3.0</t>
  </si>
  <si>
    <t>3/52/no/0/5.0</t>
  </si>
  <si>
    <t>4/11/c/1/2.0</t>
  </si>
  <si>
    <t>5/12/c/0/1.0</t>
  </si>
  <si>
    <t>Cobberwaite</t>
  </si>
  <si>
    <t>7/1/b*/2/0.0</t>
  </si>
  <si>
    <t>8/49/no/0/5.3</t>
  </si>
  <si>
    <t>7/3/11/0/0/1</t>
  </si>
  <si>
    <t>6/0/27/4</t>
  </si>
  <si>
    <t>3/0/18/1/2/0</t>
  </si>
  <si>
    <t>6/2/20/2/1/0</t>
  </si>
  <si>
    <t>7/2/18/1/1/0</t>
  </si>
  <si>
    <t>3/0/6/0/1/0</t>
  </si>
  <si>
    <t>5/0/36/0/5/0</t>
  </si>
  <si>
    <t>Elliston 3-30</t>
  </si>
  <si>
    <t>Dugdale 50*, Hawksworth 45</t>
  </si>
  <si>
    <t>2/50/no+/3/6.0</t>
  </si>
  <si>
    <t>3/1/b/0/0</t>
  </si>
  <si>
    <t>4/1/ro/0/0</t>
  </si>
  <si>
    <t>7/29/b/0/4.1</t>
  </si>
  <si>
    <t>9/4/b/0/1.0</t>
  </si>
  <si>
    <t>10/2/ro*/0/0</t>
  </si>
  <si>
    <t>5/1/ro/1/0</t>
  </si>
  <si>
    <t>12/2/29/1/2/0</t>
  </si>
  <si>
    <t>6/1/18/0/5/0</t>
  </si>
  <si>
    <t>9/0/30/3/0/0</t>
  </si>
  <si>
    <t>8/1/35/1/2/0</t>
  </si>
  <si>
    <t>Hamsey Green [no play]</t>
  </si>
  <si>
    <t>Young 3-17</t>
  </si>
  <si>
    <t>Leadley 55*</t>
  </si>
  <si>
    <t>Middleton 64</t>
  </si>
  <si>
    <t>Middleton 3-34</t>
  </si>
  <si>
    <t>10/2/23/2/1/0</t>
  </si>
  <si>
    <t>12/4/49/2/2/0</t>
  </si>
  <si>
    <t>4/0/17/3</t>
  </si>
  <si>
    <t>Mander N</t>
  </si>
  <si>
    <t>1/4/b*/1/1.0</t>
  </si>
  <si>
    <t>2/12/b/0/2.0</t>
  </si>
  <si>
    <t>3/2/b/1/0</t>
  </si>
  <si>
    <t>4/16/no/0/1.0</t>
  </si>
  <si>
    <t>5/55/no+/2/10.0</t>
  </si>
  <si>
    <t>Neil</t>
  </si>
  <si>
    <t>1/13/b/0/2.0</t>
  </si>
  <si>
    <t>2/4/c*+/1.1/1.0</t>
  </si>
  <si>
    <t>3/64/c/0/9.1</t>
  </si>
  <si>
    <t>4/9/c/0/1.0</t>
  </si>
  <si>
    <t>5/3/b/1/0</t>
  </si>
  <si>
    <t>6/17/b/0/0</t>
  </si>
  <si>
    <t>7/19/no/0/3.0</t>
  </si>
  <si>
    <t>8/4/no/0/0</t>
  </si>
  <si>
    <t>5.1/1/31/0/1/0</t>
  </si>
  <si>
    <t>6/1/13/2/1/1</t>
  </si>
  <si>
    <t>2/0/16/1</t>
  </si>
  <si>
    <t>5/0/20/1</t>
  </si>
  <si>
    <t>3/0/16/0/4/0</t>
  </si>
  <si>
    <t>11/3/34/3/7/0</t>
  </si>
  <si>
    <t>Worthy R 3-15</t>
  </si>
  <si>
    <t>Sharpe 81, Hamilton 59</t>
  </si>
  <si>
    <t>1/59/lb+/3/5.0</t>
  </si>
  <si>
    <t>2/81/b/1/9.4</t>
  </si>
  <si>
    <t>4/21/no/0/4.0</t>
  </si>
  <si>
    <t>5/2/b/0/0</t>
  </si>
  <si>
    <t>7/2/no/1/0</t>
  </si>
  <si>
    <t>Ligory</t>
  </si>
  <si>
    <t>Kris</t>
  </si>
  <si>
    <t>5/0/33/0</t>
  </si>
  <si>
    <t>5/1/37/0/1/0</t>
  </si>
  <si>
    <t>9/3/31/2</t>
  </si>
  <si>
    <t>12/8/15/3/2/0</t>
  </si>
  <si>
    <t>4/1/21/2/3/0</t>
  </si>
  <si>
    <t>1/0/2/1</t>
  </si>
  <si>
    <t>7/1/19/0</t>
  </si>
  <si>
    <t>9/2/15/1</t>
  </si>
  <si>
    <t>6/1/17/0</t>
  </si>
  <si>
    <t>10/2/21/2</t>
  </si>
  <si>
    <t>16/5/31/5</t>
  </si>
  <si>
    <t>1/0/b/0/0</t>
  </si>
  <si>
    <t>2/65/lb+/1/5.0</t>
  </si>
  <si>
    <t>6/1/b*/0/0</t>
  </si>
  <si>
    <t>3/0/b/1/0</t>
  </si>
  <si>
    <t>4/19/b/1/0</t>
  </si>
  <si>
    <t>6/8/no/0/1.0</t>
  </si>
  <si>
    <t>7/1/no/0/0</t>
  </si>
  <si>
    <t>1/38/c/0/6.0</t>
  </si>
  <si>
    <t>2/44/st/0/7.0</t>
  </si>
  <si>
    <t>3/12/c/1/2.0</t>
  </si>
  <si>
    <t>4/22/lb/1/3.0</t>
  </si>
  <si>
    <t>6/32/no/0/6.0</t>
  </si>
  <si>
    <t>7/2/c/0/0</t>
  </si>
  <si>
    <t>8/9/c/0/2.0</t>
  </si>
  <si>
    <t>9/7/no+/1/1.0</t>
  </si>
  <si>
    <t>6/0/23/0</t>
  </si>
  <si>
    <t>8/3/17/3</t>
  </si>
  <si>
    <t>10/4/12/1</t>
  </si>
  <si>
    <t>Vagg 89</t>
  </si>
  <si>
    <t>Dugdale 55, Leadley 34, Worthington 33</t>
  </si>
  <si>
    <t>3/55/b/0/7.0</t>
  </si>
  <si>
    <t>4/2/b/1/0.0</t>
  </si>
  <si>
    <t>5/8/st+/1/1.0</t>
  </si>
  <si>
    <t>6/33/c/0/5.0</t>
  </si>
  <si>
    <t>7/4/no/0/0</t>
  </si>
  <si>
    <t>8/1/b/0/0</t>
  </si>
  <si>
    <t>9/5/ro*/0/1.0</t>
  </si>
  <si>
    <t>10/0/c/1/0</t>
  </si>
  <si>
    <t>11/1/no/0/0</t>
  </si>
  <si>
    <t>6/1/20/2/1/0</t>
  </si>
  <si>
    <t>10/4/31/0</t>
  </si>
  <si>
    <t>6/1/20/0</t>
  </si>
  <si>
    <t>7/0/53/3/1/0</t>
  </si>
  <si>
    <t>6.2/2/20/1</t>
  </si>
  <si>
    <t>Worthy R 5-31</t>
  </si>
  <si>
    <t>Hamilton 65</t>
  </si>
  <si>
    <t>Dugdale 44, Woodhouse 38</t>
  </si>
  <si>
    <t>Sharpe 3-17</t>
  </si>
  <si>
    <t>Hannah 88*</t>
  </si>
  <si>
    <t>Dugdale 53, Middleton 54, Leadley 31</t>
  </si>
  <si>
    <t>3/0/b/0/0</t>
  </si>
  <si>
    <t>4/5/c/0/0</t>
  </si>
  <si>
    <t>6/45/c/0/7.0</t>
  </si>
  <si>
    <t>7/17/no/0/2.0</t>
  </si>
  <si>
    <t>5/0/b*/0/0</t>
  </si>
  <si>
    <t>1/31/c+/0/5.0</t>
  </si>
  <si>
    <t>7.4/3/6/0</t>
  </si>
  <si>
    <t>7/2/20/1/3/0</t>
  </si>
  <si>
    <t>7/1/19/0/2/0</t>
  </si>
  <si>
    <t>7/0/50/1</t>
  </si>
  <si>
    <t>6/0/33/0</t>
  </si>
  <si>
    <t>Vagg 99*, Shewan 3-41</t>
  </si>
  <si>
    <t>O'Sullivan 3-23, Vagg 2-6</t>
  </si>
  <si>
    <t>1/2/b/0/0</t>
  </si>
  <si>
    <t>2/4/b/2/1.0</t>
  </si>
  <si>
    <t>3/0/c+/1/0</t>
  </si>
  <si>
    <t>4/23/b/0/3.0</t>
  </si>
  <si>
    <t>5/12/b/0/1.0</t>
  </si>
  <si>
    <t>6/2/b/0/0</t>
  </si>
  <si>
    <t>7/0/lb*/0/0</t>
  </si>
  <si>
    <t>8/29/c/0/6.0</t>
  </si>
  <si>
    <t>9/1/c+/1/0</t>
  </si>
  <si>
    <t>12/0/41/3</t>
  </si>
  <si>
    <t>10/2/25/1</t>
  </si>
  <si>
    <t>3/0/31/1/1/0</t>
  </si>
  <si>
    <t>2/0/24/0/3/1</t>
  </si>
  <si>
    <t>8/0/43/2</t>
  </si>
  <si>
    <t>3/0/15/0</t>
  </si>
  <si>
    <t>11/2/no*/0/0</t>
  </si>
  <si>
    <t>5/0/dnb*/2/0</t>
  </si>
  <si>
    <t>7/3/b*/0/0</t>
  </si>
  <si>
    <t>5/5/c*/1/0</t>
  </si>
  <si>
    <t>9/0/dnb*/2/0</t>
  </si>
  <si>
    <t>2/53/b+/0/9.0</t>
  </si>
  <si>
    <t>2/59/c+/0/9.0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</si>
  <si>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</si>
  <si>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</si>
  <si>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</si>
  <si>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</si>
  <si>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</si>
  <si>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</si>
  <si>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</si>
  <si>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6/2/5/1</t>
  </si>
  <si>
    <t>1.6/0/7/1/1/0</t>
  </si>
  <si>
    <t>2/0/19/0</t>
  </si>
  <si>
    <t>8.1/2/33/3/3/0</t>
  </si>
  <si>
    <t>9/5/11/3/1/0</t>
  </si>
  <si>
    <t>5/1/16/0</t>
  </si>
  <si>
    <t>9/1/36/2</t>
  </si>
  <si>
    <t>1/34/c/0/6.1</t>
  </si>
  <si>
    <t>Springer 25, Dugdale 24, Smullen 3-19</t>
  </si>
  <si>
    <t>Hopton 45, Shewan 7-37</t>
  </si>
  <si>
    <t>7/0/30/1/2/0</t>
  </si>
  <si>
    <t>9/2/12/1/1/0</t>
  </si>
  <si>
    <t>4/1/9/4</t>
  </si>
  <si>
    <t>12/3/23/1/4/0</t>
  </si>
  <si>
    <t>Simmons 4-9, Shewan 3-16</t>
  </si>
  <si>
    <t>6/46/b/1/8.0</t>
  </si>
  <si>
    <t>Puttenham &amp; Wandborough</t>
  </si>
  <si>
    <t>Cooper 50*, Insall 3-32</t>
  </si>
  <si>
    <t>Champneys 91,Shewan 4-37, Cooper 3-39</t>
  </si>
  <si>
    <t>1/3/c+/1.1/0</t>
  </si>
  <si>
    <t>2/9/c/0/2.0</t>
  </si>
  <si>
    <t>4/2/lb/0/0</t>
  </si>
  <si>
    <t>5/20/b/0/2.0</t>
  </si>
  <si>
    <t>6/4/b/0/1.0</t>
  </si>
  <si>
    <t>7/50/no/1/3.0</t>
  </si>
  <si>
    <t>8/8/c/0/0</t>
  </si>
  <si>
    <t>10/11/no/1/1.1</t>
  </si>
  <si>
    <t>7/3/14/1</t>
  </si>
  <si>
    <t>4.3/1/18/0</t>
  </si>
  <si>
    <t>6.3/2/15/0</t>
  </si>
  <si>
    <t>6/0/31/0/1/0</t>
  </si>
  <si>
    <t>9/18/b*/0/0</t>
  </si>
  <si>
    <t>12/1/37/3</t>
  </si>
  <si>
    <t>7/0/35/4</t>
  </si>
  <si>
    <t>6/1/28/0/1/0</t>
  </si>
  <si>
    <t>3/68/no/0/11.0</t>
  </si>
  <si>
    <t>10/2/no/0/0</t>
  </si>
  <si>
    <t>15/0/66/3/1/0</t>
  </si>
  <si>
    <t>10/0/58/3/0/0</t>
  </si>
  <si>
    <t>4/0/29/2</t>
  </si>
  <si>
    <t>5/0/25/0</t>
  </si>
  <si>
    <t>6/1/28/0</t>
  </si>
  <si>
    <t>4/0/28/1/2/0</t>
  </si>
  <si>
    <t>4/1/25/0/1/0</t>
  </si>
  <si>
    <t>18/2/52/3</t>
  </si>
  <si>
    <t>6/1/35/1/4/0</t>
  </si>
  <si>
    <t>9/2/22/0</t>
  </si>
  <si>
    <t>14.5/0/78/3</t>
  </si>
  <si>
    <t>6/0/40/3</t>
  </si>
  <si>
    <t>8/2/26/0</t>
  </si>
  <si>
    <t>1.1/0/3/1/1/0</t>
  </si>
  <si>
    <t>HighRaw</t>
  </si>
  <si>
    <t>Dugdale S</t>
  </si>
  <si>
    <t>Dugdale J</t>
  </si>
  <si>
    <t>Dugdale E</t>
  </si>
  <si>
    <t>Hawksworth A</t>
  </si>
  <si>
    <t>Hawksworth R</t>
  </si>
  <si>
    <t>Sewell K</t>
  </si>
  <si>
    <t>Ct Wkt</t>
  </si>
  <si>
    <t>Sewell P</t>
  </si>
  <si>
    <t>25+s</t>
  </si>
  <si>
    <t>Day</t>
  </si>
  <si>
    <t>Captain</t>
  </si>
  <si>
    <t>Clark</t>
  </si>
  <si>
    <t>Chris Clark</t>
  </si>
  <si>
    <t>BatFirst</t>
  </si>
  <si>
    <t>1/45/c/0/6.0</t>
  </si>
  <si>
    <t>6/0/28/0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</si>
</sst>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4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b/>
      <sz val="8"/>
      <color indexed="81"/>
      <name val="Tahoma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b/>
      <sz val="8"/>
      <name val="Trebuchet M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98">
    <xf numFmtId="0" fontId="0" fillId="0" borderId="0" xfId="0">
      <alignment vertical="top"/>
    </xf>
    <xf numFmtId="15" fontId="0" fillId="0" borderId="0" xfId="0" applyNumberFormat="1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0" fillId="0" borderId="0" xfId="0" applyAlignment="1">
      <alignment horizontal="right"/>
    </xf>
    <xf numFmtId="166" fontId="0" fillId="0" borderId="0" xfId="0" applyNumberFormat="1">
      <alignment vertical="top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16" fontId="0" fillId="0" borderId="0" xfId="0" applyNumberFormat="1">
      <alignment vertical="top"/>
    </xf>
    <xf numFmtId="0" fontId="0" fillId="0" borderId="0" xfId="0" quotePrefix="1">
      <alignment vertical="top"/>
    </xf>
    <xf numFmtId="2" fontId="1" fillId="0" borderId="0" xfId="0" applyNumberFormat="1" applyFo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5" fontId="0" fillId="0" borderId="0" xfId="0" applyNumberFormat="1" applyAlignment="1">
      <alignment horizontal="left"/>
    </xf>
    <xf numFmtId="0" fontId="7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8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9" fillId="0" borderId="2" xfId="0" applyFont="1" applyBorder="1" applyAlignment="1">
      <alignment vertical="top"/>
    </xf>
    <xf numFmtId="15" fontId="9" fillId="0" borderId="2" xfId="0" applyNumberFormat="1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0" borderId="2" xfId="0" applyFont="1" applyBorder="1" applyAlignment="1">
      <alignment vertical="top" wrapText="1"/>
    </xf>
    <xf numFmtId="0" fontId="9" fillId="0" borderId="2" xfId="0" applyFont="1" applyBorder="1">
      <alignment vertical="top"/>
    </xf>
    <xf numFmtId="0" fontId="9" fillId="0" borderId="3" xfId="0" applyFont="1" applyBorder="1" applyAlignment="1">
      <alignment vertical="top"/>
    </xf>
    <xf numFmtId="15" fontId="9" fillId="0" borderId="3" xfId="0" applyNumberFormat="1" applyFont="1" applyBorder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0" fontId="9" fillId="0" borderId="3" xfId="0" applyFont="1" applyBorder="1" applyAlignment="1">
      <alignment vertical="top" wrapText="1"/>
    </xf>
    <xf numFmtId="0" fontId="9" fillId="0" borderId="3" xfId="0" applyFont="1" applyBorder="1">
      <alignment vertical="top"/>
    </xf>
    <xf numFmtId="164" fontId="9" fillId="0" borderId="3" xfId="0" applyNumberFormat="1" applyFont="1" applyBorder="1" applyAlignment="1">
      <alignment vertical="top"/>
    </xf>
    <xf numFmtId="0" fontId="10" fillId="0" borderId="2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15" fontId="9" fillId="0" borderId="0" xfId="0" applyNumberFormat="1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0" fontId="9" fillId="0" borderId="0" xfId="0" applyFont="1" applyBorder="1" applyAlignment="1">
      <alignment vertical="top" wrapText="1"/>
    </xf>
    <xf numFmtId="0" fontId="9" fillId="0" borderId="0" xfId="0" applyFont="1" applyBorder="1">
      <alignment vertical="top"/>
    </xf>
    <xf numFmtId="0" fontId="1" fillId="0" borderId="0" xfId="0" applyFont="1" applyBorder="1">
      <alignment vertical="top"/>
    </xf>
    <xf numFmtId="0" fontId="10" fillId="0" borderId="4" xfId="0" applyFont="1" applyBorder="1" applyAlignment="1">
      <alignment vertical="top"/>
    </xf>
    <xf numFmtId="15" fontId="10" fillId="0" borderId="4" xfId="0" applyNumberFormat="1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10" fillId="0" borderId="4" xfId="0" applyFont="1" applyBorder="1" applyAlignment="1">
      <alignment vertical="top" wrapText="1"/>
    </xf>
    <xf numFmtId="0" fontId="10" fillId="0" borderId="4" xfId="0" applyFont="1" applyBorder="1">
      <alignment vertical="top"/>
    </xf>
    <xf numFmtId="0" fontId="11" fillId="0" borderId="4" xfId="0" applyFont="1" applyBorder="1">
      <alignment vertical="top"/>
    </xf>
    <xf numFmtId="0" fontId="10" fillId="0" borderId="0" xfId="0" applyFont="1" applyAlignment="1">
      <alignment horizontal="right"/>
    </xf>
    <xf numFmtId="15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5" fontId="9" fillId="0" borderId="5" xfId="0" applyNumberFormat="1" applyFont="1" applyBorder="1" applyAlignment="1">
      <alignment horizontal="center" vertical="top"/>
    </xf>
    <xf numFmtId="0" fontId="9" fillId="0" borderId="5" xfId="0" applyFont="1" applyBorder="1" applyAlignment="1">
      <alignment vertical="top"/>
    </xf>
    <xf numFmtId="0" fontId="9" fillId="0" borderId="5" xfId="0" applyFont="1" applyBorder="1" applyAlignment="1">
      <alignment horizontal="center" vertical="top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>
      <alignment vertical="top"/>
    </xf>
    <xf numFmtId="0" fontId="1" fillId="0" borderId="5" xfId="0" applyFont="1" applyBorder="1">
      <alignment vertical="top"/>
    </xf>
    <xf numFmtId="0" fontId="10" fillId="0" borderId="1" xfId="0" applyFont="1" applyBorder="1">
      <alignment vertical="top"/>
    </xf>
    <xf numFmtId="15" fontId="13" fillId="0" borderId="0" xfId="0" applyNumberFormat="1" applyFont="1">
      <alignment vertical="top"/>
    </xf>
    <xf numFmtId="0" fontId="13" fillId="0" borderId="0" xfId="0" applyFont="1">
      <alignment vertical="top"/>
    </xf>
    <xf numFmtId="0" fontId="13" fillId="0" borderId="0" xfId="0" applyFont="1" applyAlignment="1">
      <alignment horizontal="right"/>
    </xf>
    <xf numFmtId="2" fontId="13" fillId="0" borderId="0" xfId="0" applyNumberFormat="1" applyFont="1">
      <alignment vertical="top"/>
    </xf>
    <xf numFmtId="15" fontId="9" fillId="0" borderId="0" xfId="0" applyNumberFormat="1" applyFont="1" applyAlignment="1"/>
    <xf numFmtId="15" fontId="10" fillId="0" borderId="0" xfId="0" applyNumberFormat="1" applyFont="1" applyAlignment="1"/>
    <xf numFmtId="15" fontId="12" fillId="0" borderId="0" xfId="0" applyNumberFormat="1" applyFont="1" applyAlignment="1"/>
    <xf numFmtId="0" fontId="12" fillId="0" borderId="0" xfId="0" applyFont="1" applyAlignment="1"/>
    <xf numFmtId="0" fontId="10" fillId="0" borderId="0" xfId="0" applyFont="1" applyAlignment="1"/>
    <xf numFmtId="165" fontId="12" fillId="0" borderId="0" xfId="0" applyNumberFormat="1" applyFont="1" applyAlignment="1"/>
    <xf numFmtId="2" fontId="10" fillId="0" borderId="0" xfId="0" applyNumberFormat="1" applyFont="1" applyAlignment="1"/>
    <xf numFmtId="2" fontId="12" fillId="0" borderId="0" xfId="0" applyNumberFormat="1" applyFont="1" applyAlignment="1"/>
    <xf numFmtId="2" fontId="0" fillId="0" borderId="0" xfId="0" applyNumberFormat="1" applyAlignment="1"/>
    <xf numFmtId="0" fontId="10" fillId="0" borderId="0" xfId="0" applyFont="1" applyAlignment="1">
      <alignment horizontal="center"/>
    </xf>
    <xf numFmtId="0" fontId="10" fillId="0" borderId="0" xfId="0" applyFont="1">
      <alignment vertical="top"/>
    </xf>
    <xf numFmtId="2" fontId="0" fillId="0" borderId="0" xfId="0" applyNumberFormat="1">
      <alignment vertical="top"/>
    </xf>
    <xf numFmtId="0" fontId="0" fillId="0" borderId="0" xfId="0" applyNumberFormat="1">
      <alignment vertical="top"/>
    </xf>
    <xf numFmtId="0" fontId="0" fillId="0" borderId="0" xfId="0" applyAlignment="1">
      <alignment horizontal="right" vertical="top"/>
    </xf>
    <xf numFmtId="164" fontId="9" fillId="0" borderId="2" xfId="0" applyNumberFormat="1" applyFont="1" applyBorder="1" applyAlignment="1">
      <alignment horizontal="center" vertical="top"/>
    </xf>
    <xf numFmtId="164" fontId="9" fillId="0" borderId="5" xfId="0" applyNumberFormat="1" applyFont="1" applyBorder="1" applyAlignment="1">
      <alignment horizontal="center" vertical="top"/>
    </xf>
    <xf numFmtId="164" fontId="9" fillId="0" borderId="0" xfId="0" applyNumberFormat="1" applyFont="1" applyBorder="1" applyAlignment="1">
      <alignment horizontal="center" vertical="top"/>
    </xf>
    <xf numFmtId="164" fontId="9" fillId="0" borderId="3" xfId="0" applyNumberFormat="1" applyFont="1" applyBorder="1" applyAlignment="1">
      <alignment horizontal="center" vertical="top"/>
    </xf>
    <xf numFmtId="0" fontId="10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10" fillId="0" borderId="0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6"/>
  <sheetViews>
    <sheetView workbookViewId="0">
      <pane xSplit="5" ySplit="4" topLeftCell="F17" activePane="bottomRight" state="frozenSplit"/>
      <selection pane="topRight" activeCell="E1" sqref="E1"/>
      <selection pane="bottomLeft" activeCell="A3" sqref="A3"/>
      <selection pane="bottomRight" activeCell="S27" sqref="S27"/>
    </sheetView>
  </sheetViews>
  <sheetFormatPr defaultRowHeight="11.25" x14ac:dyDescent="0.15"/>
  <cols>
    <col min="1" max="1" width="5.7109375" style="31" customWidth="1"/>
    <col min="2" max="2" width="11.7109375" style="36" customWidth="1"/>
    <col min="3" max="3" width="25.5703125" style="33" customWidth="1"/>
    <col min="4" max="4" width="6.42578125" style="32" customWidth="1"/>
    <col min="5" max="5" width="6" style="32" customWidth="1"/>
    <col min="6" max="6" width="6.28515625" style="32" customWidth="1"/>
    <col min="7" max="7" width="5.42578125" style="31" bestFit="1" customWidth="1"/>
    <col min="8" max="8" width="5.5703125" style="32" bestFit="1" customWidth="1"/>
    <col min="9" max="9" width="9.7109375" style="32" hidden="1" customWidth="1"/>
    <col min="10" max="10" width="29.28515625" style="33" customWidth="1"/>
    <col min="11" max="11" width="5.42578125" style="31" bestFit="1" customWidth="1"/>
    <col min="12" max="12" width="5.5703125" style="32" bestFit="1" customWidth="1"/>
    <col min="13" max="13" width="6.42578125" style="32" hidden="1" customWidth="1"/>
    <col min="14" max="14" width="29.28515625" style="33" customWidth="1"/>
    <col min="15" max="15" width="8" style="34" bestFit="1" customWidth="1"/>
    <col min="16" max="16" width="8.7109375" style="34" bestFit="1" customWidth="1"/>
    <col min="17" max="17" width="7.42578125" style="34" bestFit="1" customWidth="1"/>
    <col min="18" max="18" width="8.42578125" style="34" bestFit="1" customWidth="1"/>
    <col min="19" max="19" width="6.85546875" style="34" bestFit="1" customWidth="1"/>
    <col min="20" max="20" width="7.5703125" style="34" bestFit="1" customWidth="1"/>
    <col min="21" max="21" width="6.28515625" style="34" bestFit="1" customWidth="1"/>
    <col min="22" max="22" width="7.28515625" style="34" bestFit="1" customWidth="1"/>
    <col min="23" max="16384" width="9.140625" style="34"/>
  </cols>
  <sheetData>
    <row r="1" spans="1:24" s="30" customFormat="1" x14ac:dyDescent="0.15">
      <c r="A1" s="37" t="s">
        <v>357</v>
      </c>
      <c r="B1" s="38"/>
      <c r="C1" s="48" t="str">
        <f t="array" ref="C1">"Won:"&amp;SUM(IF($E$5:$E$66="W",1,0))</f>
        <v>Won:20</v>
      </c>
      <c r="D1" s="39"/>
      <c r="E1" s="39"/>
      <c r="F1" s="39"/>
      <c r="H1" s="95"/>
      <c r="K1" s="37"/>
      <c r="L1" s="39"/>
      <c r="M1" s="39"/>
      <c r="N1" s="40"/>
      <c r="O1" s="41"/>
      <c r="P1" s="41"/>
      <c r="Q1" s="41"/>
      <c r="R1" s="41"/>
      <c r="S1" s="41"/>
      <c r="T1" s="41"/>
      <c r="U1" s="41"/>
      <c r="V1" s="41"/>
    </row>
    <row r="2" spans="1:24" s="54" customFormat="1" x14ac:dyDescent="0.15">
      <c r="A2" s="49"/>
      <c r="B2" s="50"/>
      <c r="C2" s="48" t="str">
        <f t="array" ref="C2">"Lost:"&amp;SUM(IF($E$5:$E$66="L",1,0))</f>
        <v>Lost:10</v>
      </c>
      <c r="D2" s="51"/>
      <c r="E2" s="51"/>
      <c r="F2" s="51"/>
      <c r="G2" s="94"/>
      <c r="H2" s="96"/>
      <c r="J2" s="94"/>
      <c r="K2" s="49"/>
      <c r="L2" s="51"/>
      <c r="M2" s="51"/>
      <c r="N2" s="52"/>
      <c r="O2" s="53"/>
      <c r="P2" s="53"/>
      <c r="Q2" s="53"/>
      <c r="R2" s="53"/>
      <c r="S2" s="53"/>
      <c r="T2" s="53"/>
      <c r="U2" s="53"/>
      <c r="V2" s="53"/>
    </row>
    <row r="3" spans="1:24" s="54" customFormat="1" ht="12" thickBot="1" x14ac:dyDescent="0.2">
      <c r="A3" s="49"/>
      <c r="B3" s="50"/>
      <c r="C3" s="48" t="str">
        <f t="array" ref="C3">"Drawn:"&amp;SUM(IF($E$5:$E$66="D",1,0))</f>
        <v>Drawn:15</v>
      </c>
      <c r="D3" s="51"/>
      <c r="E3" s="51"/>
      <c r="F3" s="51"/>
      <c r="G3" s="49"/>
      <c r="H3" s="51"/>
      <c r="I3" s="49"/>
      <c r="J3" s="52"/>
      <c r="K3" s="49"/>
      <c r="L3" s="51"/>
      <c r="M3" s="51"/>
      <c r="N3" s="52"/>
      <c r="O3" s="53"/>
      <c r="P3" s="53"/>
      <c r="Q3" s="53"/>
      <c r="R3" s="53"/>
      <c r="S3" s="53"/>
      <c r="T3" s="53"/>
      <c r="U3" s="53"/>
      <c r="V3" s="53"/>
    </row>
    <row r="4" spans="1:24" s="60" customFormat="1" ht="12" thickBot="1" x14ac:dyDescent="0.2">
      <c r="A4" s="57" t="s">
        <v>1089</v>
      </c>
      <c r="B4" s="56" t="s">
        <v>0</v>
      </c>
      <c r="C4" s="58" t="s">
        <v>1</v>
      </c>
      <c r="D4" s="57" t="s">
        <v>2</v>
      </c>
      <c r="E4" s="57" t="s">
        <v>3</v>
      </c>
      <c r="F4" s="57" t="s">
        <v>1093</v>
      </c>
      <c r="G4" s="55" t="s">
        <v>12</v>
      </c>
      <c r="H4" s="57" t="s">
        <v>107</v>
      </c>
      <c r="I4" s="57" t="s">
        <v>293</v>
      </c>
      <c r="J4" s="58" t="s">
        <v>4</v>
      </c>
      <c r="K4" s="55" t="s">
        <v>12</v>
      </c>
      <c r="L4" s="57" t="s">
        <v>107</v>
      </c>
      <c r="M4" s="57" t="s">
        <v>293</v>
      </c>
      <c r="N4" s="58" t="s">
        <v>5</v>
      </c>
      <c r="O4" s="59" t="s">
        <v>298</v>
      </c>
      <c r="P4" s="59" t="s">
        <v>299</v>
      </c>
      <c r="Q4" s="59" t="s">
        <v>300</v>
      </c>
      <c r="R4" s="59" t="s">
        <v>301</v>
      </c>
      <c r="S4" s="59" t="s">
        <v>302</v>
      </c>
      <c r="T4" s="59" t="s">
        <v>303</v>
      </c>
      <c r="U4" s="59" t="s">
        <v>304</v>
      </c>
      <c r="V4" s="59" t="s">
        <v>305</v>
      </c>
      <c r="W4" s="60" t="s">
        <v>1021</v>
      </c>
      <c r="X4" s="60" t="s">
        <v>1022</v>
      </c>
    </row>
    <row r="5" spans="1:24" s="30" customFormat="1" x14ac:dyDescent="0.15">
      <c r="A5" s="90">
        <f>WEEKDAY(B5)</f>
        <v>1</v>
      </c>
      <c r="B5" s="38">
        <v>35547</v>
      </c>
      <c r="C5" s="40" t="s">
        <v>252</v>
      </c>
      <c r="D5" s="39" t="s">
        <v>251</v>
      </c>
      <c r="E5" s="39" t="s">
        <v>294</v>
      </c>
      <c r="F5" s="39" t="s">
        <v>1</v>
      </c>
      <c r="G5" s="37">
        <v>49</v>
      </c>
      <c r="H5" s="39">
        <v>9</v>
      </c>
      <c r="I5" s="39" t="s">
        <v>295</v>
      </c>
      <c r="J5" s="40" t="s">
        <v>296</v>
      </c>
      <c r="K5" s="37">
        <v>50</v>
      </c>
      <c r="L5" s="39">
        <v>3</v>
      </c>
      <c r="M5" s="39"/>
      <c r="N5" s="40" t="s">
        <v>297</v>
      </c>
      <c r="O5" s="41">
        <v>1</v>
      </c>
      <c r="P5" s="41">
        <v>0</v>
      </c>
      <c r="Q5" s="41">
        <v>0</v>
      </c>
      <c r="R5" s="41">
        <v>2</v>
      </c>
      <c r="S5" s="41">
        <v>0</v>
      </c>
      <c r="T5" s="41">
        <v>0</v>
      </c>
      <c r="U5" s="41">
        <v>2</v>
      </c>
      <c r="V5" s="41">
        <v>3</v>
      </c>
      <c r="W5" s="30">
        <f>SUM(O5:R5)</f>
        <v>3</v>
      </c>
      <c r="X5" s="30">
        <f>SUM(S5:V5)</f>
        <v>5</v>
      </c>
    </row>
    <row r="6" spans="1:24" s="70" customFormat="1" ht="21" x14ac:dyDescent="0.15">
      <c r="A6" s="91">
        <f>WEEKDAY(B6)</f>
        <v>7</v>
      </c>
      <c r="B6" s="65">
        <v>35553</v>
      </c>
      <c r="C6" s="68" t="s">
        <v>275</v>
      </c>
      <c r="D6" s="67" t="s">
        <v>253</v>
      </c>
      <c r="E6" s="67" t="s">
        <v>337</v>
      </c>
      <c r="F6" s="67" t="s">
        <v>338</v>
      </c>
      <c r="G6" s="66">
        <v>178</v>
      </c>
      <c r="H6" s="67">
        <v>10</v>
      </c>
      <c r="I6" s="67" t="s">
        <v>295</v>
      </c>
      <c r="J6" s="68" t="s">
        <v>339</v>
      </c>
      <c r="K6" s="66">
        <v>181</v>
      </c>
      <c r="L6" s="67">
        <v>4</v>
      </c>
      <c r="M6" s="67"/>
      <c r="N6" s="68" t="s">
        <v>340</v>
      </c>
      <c r="O6" s="69">
        <v>2</v>
      </c>
      <c r="P6" s="69">
        <v>4</v>
      </c>
      <c r="Q6" s="69">
        <v>6</v>
      </c>
      <c r="R6" s="69">
        <v>5</v>
      </c>
      <c r="S6" s="69">
        <v>8</v>
      </c>
      <c r="T6" s="69">
        <v>3</v>
      </c>
      <c r="U6" s="69">
        <v>4</v>
      </c>
      <c r="V6" s="69">
        <v>6</v>
      </c>
      <c r="W6" s="30">
        <f t="shared" ref="W6:W58" si="0">SUM(O6:R6)</f>
        <v>17</v>
      </c>
      <c r="X6" s="30">
        <f t="shared" ref="X6:X58" si="1">SUM(S6:V6)</f>
        <v>21</v>
      </c>
    </row>
    <row r="7" spans="1:24" s="54" customFormat="1" ht="21" x14ac:dyDescent="0.15">
      <c r="A7" s="91">
        <f t="shared" ref="A7:A21" si="2">WEEKDAY(B7)</f>
        <v>1</v>
      </c>
      <c r="B7" s="50">
        <v>35554</v>
      </c>
      <c r="C7" s="52" t="s">
        <v>413</v>
      </c>
      <c r="D7" s="51" t="s">
        <v>253</v>
      </c>
      <c r="E7" s="51" t="s">
        <v>337</v>
      </c>
      <c r="F7" s="51" t="s">
        <v>1</v>
      </c>
      <c r="G7" s="49">
        <v>137</v>
      </c>
      <c r="H7" s="51">
        <v>9</v>
      </c>
      <c r="I7" s="51" t="s">
        <v>295</v>
      </c>
      <c r="J7" s="52" t="s">
        <v>358</v>
      </c>
      <c r="K7" s="49">
        <v>115</v>
      </c>
      <c r="L7" s="51">
        <v>10</v>
      </c>
      <c r="M7" s="51" t="s">
        <v>295</v>
      </c>
      <c r="N7" s="52" t="s">
        <v>359</v>
      </c>
      <c r="O7" s="53">
        <v>0</v>
      </c>
      <c r="P7" s="53">
        <v>1</v>
      </c>
      <c r="Q7" s="53">
        <v>1</v>
      </c>
      <c r="R7" s="53">
        <v>5</v>
      </c>
      <c r="S7" s="53">
        <v>1</v>
      </c>
      <c r="T7" s="53">
        <v>4</v>
      </c>
      <c r="U7" s="53">
        <v>8</v>
      </c>
      <c r="V7" s="53">
        <v>1</v>
      </c>
      <c r="W7" s="30">
        <f t="shared" si="0"/>
        <v>7</v>
      </c>
      <c r="X7" s="30">
        <f t="shared" si="1"/>
        <v>14</v>
      </c>
    </row>
    <row r="8" spans="1:24" s="70" customFormat="1" x14ac:dyDescent="0.15">
      <c r="A8" s="91">
        <f t="shared" si="2"/>
        <v>2</v>
      </c>
      <c r="B8" s="65">
        <v>35555</v>
      </c>
      <c r="C8" s="68" t="s">
        <v>272</v>
      </c>
      <c r="D8" s="67" t="s">
        <v>251</v>
      </c>
      <c r="E8" s="67" t="s">
        <v>294</v>
      </c>
      <c r="F8" s="67" t="s">
        <v>1</v>
      </c>
      <c r="G8" s="66">
        <v>121</v>
      </c>
      <c r="H8" s="67">
        <v>10</v>
      </c>
      <c r="I8" s="67" t="s">
        <v>295</v>
      </c>
      <c r="J8" s="68" t="s">
        <v>377</v>
      </c>
      <c r="K8" s="66">
        <v>125</v>
      </c>
      <c r="L8" s="67">
        <v>8</v>
      </c>
      <c r="M8" s="67"/>
      <c r="N8" s="68" t="s">
        <v>378</v>
      </c>
      <c r="O8" s="69">
        <v>0</v>
      </c>
      <c r="P8" s="69">
        <v>3</v>
      </c>
      <c r="Q8" s="69">
        <v>2</v>
      </c>
      <c r="R8" s="69">
        <v>0</v>
      </c>
      <c r="S8" s="69">
        <v>2</v>
      </c>
      <c r="T8" s="69">
        <v>6</v>
      </c>
      <c r="U8" s="69">
        <v>2</v>
      </c>
      <c r="V8" s="69">
        <v>3</v>
      </c>
      <c r="W8" s="30">
        <f t="shared" si="0"/>
        <v>5</v>
      </c>
      <c r="X8" s="30">
        <f t="shared" si="1"/>
        <v>13</v>
      </c>
    </row>
    <row r="9" spans="1:24" s="54" customFormat="1" ht="21" x14ac:dyDescent="0.15">
      <c r="A9" s="92">
        <f t="shared" si="2"/>
        <v>7</v>
      </c>
      <c r="B9" s="50">
        <v>35560</v>
      </c>
      <c r="C9" s="52" t="s">
        <v>414</v>
      </c>
      <c r="D9" s="51" t="s">
        <v>253</v>
      </c>
      <c r="E9" s="51" t="s">
        <v>337</v>
      </c>
      <c r="F9" s="51" t="s">
        <v>1</v>
      </c>
      <c r="G9" s="49">
        <v>137</v>
      </c>
      <c r="H9" s="51">
        <v>6</v>
      </c>
      <c r="I9" s="51"/>
      <c r="J9" s="52" t="s">
        <v>396</v>
      </c>
      <c r="K9" s="49">
        <v>104</v>
      </c>
      <c r="L9" s="51">
        <v>8</v>
      </c>
      <c r="M9" s="51"/>
      <c r="N9" s="52" t="s">
        <v>397</v>
      </c>
      <c r="O9" s="53">
        <v>3</v>
      </c>
      <c r="P9" s="53">
        <v>0</v>
      </c>
      <c r="Q9" s="53">
        <v>2</v>
      </c>
      <c r="R9" s="53">
        <v>1</v>
      </c>
      <c r="S9" s="53">
        <v>9</v>
      </c>
      <c r="T9" s="53">
        <v>0</v>
      </c>
      <c r="U9" s="53">
        <v>6</v>
      </c>
      <c r="V9" s="53">
        <v>2</v>
      </c>
      <c r="W9" s="30">
        <f t="shared" si="0"/>
        <v>6</v>
      </c>
      <c r="X9" s="30">
        <f t="shared" si="1"/>
        <v>17</v>
      </c>
    </row>
    <row r="10" spans="1:24" x14ac:dyDescent="0.15">
      <c r="A10" s="93">
        <f t="shared" si="2"/>
        <v>1</v>
      </c>
      <c r="B10" s="43">
        <v>35561</v>
      </c>
      <c r="C10" s="45" t="s">
        <v>254</v>
      </c>
      <c r="D10" s="44" t="s">
        <v>251</v>
      </c>
      <c r="E10" s="44" t="s">
        <v>294</v>
      </c>
      <c r="F10" s="44" t="s">
        <v>338</v>
      </c>
      <c r="G10" s="42">
        <v>111</v>
      </c>
      <c r="H10" s="44">
        <v>10</v>
      </c>
      <c r="I10" s="44" t="s">
        <v>295</v>
      </c>
      <c r="J10" s="45" t="s">
        <v>415</v>
      </c>
      <c r="K10" s="42">
        <v>92</v>
      </c>
      <c r="L10" s="44">
        <v>10</v>
      </c>
      <c r="M10" s="44" t="s">
        <v>295</v>
      </c>
      <c r="N10" s="45" t="s">
        <v>416</v>
      </c>
      <c r="O10" s="46">
        <v>7</v>
      </c>
      <c r="P10" s="46">
        <v>0</v>
      </c>
      <c r="Q10" s="46">
        <v>3</v>
      </c>
      <c r="R10" s="46">
        <v>3</v>
      </c>
      <c r="S10" s="46">
        <v>4</v>
      </c>
      <c r="T10" s="46">
        <v>0</v>
      </c>
      <c r="U10" s="46">
        <v>4</v>
      </c>
      <c r="V10" s="46">
        <v>2</v>
      </c>
      <c r="W10" s="30">
        <f t="shared" si="0"/>
        <v>13</v>
      </c>
      <c r="X10" s="30">
        <f t="shared" si="1"/>
        <v>10</v>
      </c>
    </row>
    <row r="11" spans="1:24" x14ac:dyDescent="0.15">
      <c r="A11" s="93">
        <f t="shared" si="2"/>
        <v>1</v>
      </c>
      <c r="B11" s="43">
        <v>35561</v>
      </c>
      <c r="C11" s="45" t="s">
        <v>267</v>
      </c>
      <c r="D11" s="44" t="s">
        <v>253</v>
      </c>
      <c r="E11" s="44"/>
      <c r="F11" s="44"/>
      <c r="G11" s="42"/>
      <c r="H11" s="44"/>
      <c r="I11" s="44"/>
      <c r="J11" s="45"/>
      <c r="K11" s="42"/>
      <c r="L11" s="44"/>
      <c r="M11" s="44"/>
      <c r="N11" s="45"/>
      <c r="O11" s="46"/>
      <c r="P11" s="46"/>
      <c r="Q11" s="46"/>
      <c r="R11" s="46"/>
      <c r="S11" s="46"/>
      <c r="T11" s="46"/>
      <c r="U11" s="46"/>
      <c r="V11" s="46"/>
      <c r="W11" s="30">
        <f t="shared" si="0"/>
        <v>0</v>
      </c>
      <c r="X11" s="30">
        <f t="shared" si="1"/>
        <v>0</v>
      </c>
    </row>
    <row r="12" spans="1:24" x14ac:dyDescent="0.15">
      <c r="A12" s="93">
        <f t="shared" si="2"/>
        <v>7</v>
      </c>
      <c r="B12" s="43">
        <v>35567</v>
      </c>
      <c r="C12" s="45" t="s">
        <v>275</v>
      </c>
      <c r="D12" s="44" t="s">
        <v>251</v>
      </c>
      <c r="E12" s="44" t="s">
        <v>337</v>
      </c>
      <c r="F12" s="44" t="s">
        <v>1</v>
      </c>
      <c r="G12" s="42">
        <v>146</v>
      </c>
      <c r="H12" s="44">
        <v>4</v>
      </c>
      <c r="I12" s="44"/>
      <c r="J12" s="45" t="s">
        <v>433</v>
      </c>
      <c r="K12" s="42">
        <v>116</v>
      </c>
      <c r="L12" s="44">
        <v>10</v>
      </c>
      <c r="M12" s="44" t="s">
        <v>295</v>
      </c>
      <c r="N12" s="45" t="s">
        <v>434</v>
      </c>
      <c r="O12" s="46">
        <v>5</v>
      </c>
      <c r="P12" s="46">
        <v>0</v>
      </c>
      <c r="Q12" s="46">
        <v>11</v>
      </c>
      <c r="R12" s="46">
        <v>3</v>
      </c>
      <c r="S12" s="46">
        <v>2</v>
      </c>
      <c r="T12" s="46">
        <v>0</v>
      </c>
      <c r="U12" s="46">
        <v>14</v>
      </c>
      <c r="V12" s="46">
        <v>3</v>
      </c>
      <c r="W12" s="30">
        <f t="shared" si="0"/>
        <v>19</v>
      </c>
      <c r="X12" s="30">
        <f t="shared" si="1"/>
        <v>19</v>
      </c>
    </row>
    <row r="13" spans="1:24" x14ac:dyDescent="0.15">
      <c r="A13" s="93">
        <f t="shared" si="2"/>
        <v>1</v>
      </c>
      <c r="B13" s="43">
        <v>35568</v>
      </c>
      <c r="C13" s="45" t="s">
        <v>255</v>
      </c>
      <c r="D13" s="44" t="s">
        <v>253</v>
      </c>
      <c r="E13" s="44" t="s">
        <v>294</v>
      </c>
      <c r="F13" s="44" t="s">
        <v>1</v>
      </c>
      <c r="G13" s="42">
        <v>177</v>
      </c>
      <c r="H13" s="44">
        <v>10</v>
      </c>
      <c r="I13" s="44" t="s">
        <v>295</v>
      </c>
      <c r="J13" s="45" t="s">
        <v>468</v>
      </c>
      <c r="K13" s="42">
        <v>178</v>
      </c>
      <c r="L13" s="44">
        <v>2</v>
      </c>
      <c r="M13" s="44"/>
      <c r="N13" s="45" t="s">
        <v>469</v>
      </c>
      <c r="O13" s="46">
        <v>7</v>
      </c>
      <c r="P13" s="46">
        <v>2</v>
      </c>
      <c r="Q13" s="46">
        <v>7</v>
      </c>
      <c r="R13" s="46">
        <v>2</v>
      </c>
      <c r="S13" s="46">
        <v>6</v>
      </c>
      <c r="T13" s="46">
        <v>1</v>
      </c>
      <c r="U13" s="46">
        <v>6</v>
      </c>
      <c r="V13" s="46">
        <v>2</v>
      </c>
      <c r="W13" s="30">
        <f t="shared" si="0"/>
        <v>18</v>
      </c>
      <c r="X13" s="30">
        <f t="shared" si="1"/>
        <v>15</v>
      </c>
    </row>
    <row r="14" spans="1:24" x14ac:dyDescent="0.15">
      <c r="A14" s="93">
        <f t="shared" si="2"/>
        <v>1</v>
      </c>
      <c r="B14" s="43">
        <v>35568</v>
      </c>
      <c r="C14" s="45" t="s">
        <v>268</v>
      </c>
      <c r="D14" s="44" t="s">
        <v>251</v>
      </c>
      <c r="E14" s="44" t="s">
        <v>294</v>
      </c>
      <c r="F14" s="44" t="s">
        <v>1</v>
      </c>
      <c r="G14" s="42">
        <v>131</v>
      </c>
      <c r="H14" s="44">
        <v>9</v>
      </c>
      <c r="I14" s="44" t="s">
        <v>295</v>
      </c>
      <c r="J14" s="45" t="s">
        <v>435</v>
      </c>
      <c r="K14" s="42">
        <v>132</v>
      </c>
      <c r="L14" s="44">
        <v>5</v>
      </c>
      <c r="M14" s="44"/>
      <c r="N14" s="45" t="s">
        <v>436</v>
      </c>
      <c r="O14" s="46">
        <v>3</v>
      </c>
      <c r="P14" s="46">
        <v>0</v>
      </c>
      <c r="Q14" s="46">
        <v>0</v>
      </c>
      <c r="R14" s="46">
        <v>1</v>
      </c>
      <c r="S14" s="46">
        <v>6</v>
      </c>
      <c r="T14" s="46">
        <v>1</v>
      </c>
      <c r="U14" s="46">
        <v>4</v>
      </c>
      <c r="V14" s="46">
        <v>4</v>
      </c>
      <c r="W14" s="30">
        <f t="shared" si="0"/>
        <v>4</v>
      </c>
      <c r="X14" s="30">
        <f t="shared" si="1"/>
        <v>15</v>
      </c>
    </row>
    <row r="15" spans="1:24" x14ac:dyDescent="0.15">
      <c r="A15" s="93">
        <f t="shared" si="2"/>
        <v>7</v>
      </c>
      <c r="B15" s="43">
        <v>35574</v>
      </c>
      <c r="C15" s="45" t="s">
        <v>258</v>
      </c>
      <c r="D15" s="44" t="s">
        <v>251</v>
      </c>
      <c r="E15" s="44" t="s">
        <v>294</v>
      </c>
      <c r="F15" s="44" t="s">
        <v>1</v>
      </c>
      <c r="G15" s="42">
        <v>109</v>
      </c>
      <c r="H15" s="44">
        <v>10</v>
      </c>
      <c r="I15" s="44" t="s">
        <v>295</v>
      </c>
      <c r="J15" s="45" t="s">
        <v>484</v>
      </c>
      <c r="K15" s="42">
        <v>113</v>
      </c>
      <c r="L15" s="44">
        <v>6</v>
      </c>
      <c r="M15" s="44"/>
      <c r="N15" s="45" t="s">
        <v>485</v>
      </c>
      <c r="O15" s="46">
        <v>2</v>
      </c>
      <c r="P15" s="46">
        <v>0</v>
      </c>
      <c r="Q15" s="46">
        <v>4</v>
      </c>
      <c r="R15" s="46">
        <v>1</v>
      </c>
      <c r="S15" s="46">
        <v>2</v>
      </c>
      <c r="T15" s="46">
        <v>1</v>
      </c>
      <c r="U15" s="46">
        <v>18</v>
      </c>
      <c r="V15" s="46">
        <v>1</v>
      </c>
      <c r="W15" s="30">
        <f t="shared" si="0"/>
        <v>7</v>
      </c>
      <c r="X15" s="30">
        <f t="shared" si="1"/>
        <v>22</v>
      </c>
    </row>
    <row r="16" spans="1:24" x14ac:dyDescent="0.15">
      <c r="A16" s="93">
        <f t="shared" si="2"/>
        <v>1</v>
      </c>
      <c r="B16" s="43">
        <v>35575</v>
      </c>
      <c r="C16" s="45" t="s">
        <v>256</v>
      </c>
      <c r="D16" s="44" t="s">
        <v>251</v>
      </c>
      <c r="E16" s="44" t="s">
        <v>337</v>
      </c>
      <c r="F16" s="44" t="s">
        <v>1</v>
      </c>
      <c r="G16" s="42">
        <v>164</v>
      </c>
      <c r="H16" s="44">
        <v>8</v>
      </c>
      <c r="I16" s="44"/>
      <c r="J16" s="45" t="s">
        <v>501</v>
      </c>
      <c r="K16" s="42">
        <v>140</v>
      </c>
      <c r="L16" s="44">
        <v>10</v>
      </c>
      <c r="M16" s="44" t="s">
        <v>295</v>
      </c>
      <c r="N16" s="45" t="s">
        <v>502</v>
      </c>
      <c r="O16" s="46">
        <v>3</v>
      </c>
      <c r="P16" s="46">
        <v>0</v>
      </c>
      <c r="Q16" s="46">
        <v>8</v>
      </c>
      <c r="R16" s="46">
        <v>4</v>
      </c>
      <c r="S16" s="46">
        <v>8</v>
      </c>
      <c r="T16" s="46">
        <v>0</v>
      </c>
      <c r="U16" s="46">
        <v>9</v>
      </c>
      <c r="V16" s="46">
        <v>0</v>
      </c>
      <c r="W16" s="30">
        <f t="shared" si="0"/>
        <v>15</v>
      </c>
      <c r="X16" s="30">
        <f t="shared" si="1"/>
        <v>17</v>
      </c>
    </row>
    <row r="17" spans="1:24" x14ac:dyDescent="0.15">
      <c r="A17" s="93">
        <f t="shared" si="2"/>
        <v>2</v>
      </c>
      <c r="B17" s="43">
        <v>35576</v>
      </c>
      <c r="C17" s="45" t="s">
        <v>273</v>
      </c>
      <c r="D17" s="44" t="s">
        <v>251</v>
      </c>
      <c r="E17" s="44" t="s">
        <v>337</v>
      </c>
      <c r="F17" s="44" t="s">
        <v>1</v>
      </c>
      <c r="G17" s="42">
        <v>193</v>
      </c>
      <c r="H17" s="44">
        <v>9</v>
      </c>
      <c r="I17" s="44"/>
      <c r="J17" s="45" t="s">
        <v>519</v>
      </c>
      <c r="K17" s="42">
        <v>61</v>
      </c>
      <c r="L17" s="44">
        <v>10</v>
      </c>
      <c r="M17" s="44" t="s">
        <v>295</v>
      </c>
      <c r="N17" s="45" t="s">
        <v>520</v>
      </c>
      <c r="O17" s="46">
        <v>5</v>
      </c>
      <c r="P17" s="46">
        <v>2</v>
      </c>
      <c r="Q17" s="46">
        <v>6</v>
      </c>
      <c r="R17" s="46">
        <v>1</v>
      </c>
      <c r="S17" s="46">
        <v>5</v>
      </c>
      <c r="T17" s="46">
        <v>0</v>
      </c>
      <c r="U17" s="46">
        <v>0</v>
      </c>
      <c r="V17" s="46">
        <v>0</v>
      </c>
      <c r="W17" s="30">
        <f t="shared" si="0"/>
        <v>14</v>
      </c>
      <c r="X17" s="30">
        <f t="shared" si="1"/>
        <v>5</v>
      </c>
    </row>
    <row r="18" spans="1:24" x14ac:dyDescent="0.15">
      <c r="A18" s="93">
        <f t="shared" si="2"/>
        <v>3</v>
      </c>
      <c r="B18" s="43">
        <v>35577</v>
      </c>
      <c r="C18" s="45" t="s">
        <v>274</v>
      </c>
      <c r="D18" s="44" t="s">
        <v>251</v>
      </c>
      <c r="E18" s="44" t="s">
        <v>470</v>
      </c>
      <c r="F18" s="44" t="s">
        <v>338</v>
      </c>
      <c r="G18" s="42">
        <v>215</v>
      </c>
      <c r="H18" s="44">
        <v>5</v>
      </c>
      <c r="I18" s="44"/>
      <c r="J18" s="45" t="s">
        <v>535</v>
      </c>
      <c r="K18" s="42">
        <v>181</v>
      </c>
      <c r="L18" s="44">
        <v>8</v>
      </c>
      <c r="M18" s="44"/>
      <c r="N18" s="45" t="s">
        <v>536</v>
      </c>
      <c r="O18" s="46">
        <v>3</v>
      </c>
      <c r="P18" s="46">
        <v>0</v>
      </c>
      <c r="Q18" s="46">
        <v>5</v>
      </c>
      <c r="R18" s="46">
        <v>2</v>
      </c>
      <c r="S18" s="46">
        <v>10</v>
      </c>
      <c r="T18" s="46">
        <v>2</v>
      </c>
      <c r="U18" s="46">
        <v>25</v>
      </c>
      <c r="V18" s="46">
        <v>9</v>
      </c>
      <c r="W18" s="30">
        <f t="shared" si="0"/>
        <v>10</v>
      </c>
      <c r="X18" s="30">
        <f t="shared" si="1"/>
        <v>46</v>
      </c>
    </row>
    <row r="19" spans="1:24" ht="21" x14ac:dyDescent="0.15">
      <c r="A19" s="93">
        <f t="shared" si="2"/>
        <v>7</v>
      </c>
      <c r="B19" s="43">
        <v>35581</v>
      </c>
      <c r="C19" s="45" t="s">
        <v>277</v>
      </c>
      <c r="D19" s="44" t="s">
        <v>253</v>
      </c>
      <c r="E19" s="44" t="s">
        <v>294</v>
      </c>
      <c r="F19" s="44" t="s">
        <v>1</v>
      </c>
      <c r="G19" s="42">
        <v>110</v>
      </c>
      <c r="H19" s="44">
        <v>8</v>
      </c>
      <c r="I19" s="44" t="s">
        <v>295</v>
      </c>
      <c r="J19" s="45" t="s">
        <v>550</v>
      </c>
      <c r="K19" s="42">
        <v>112</v>
      </c>
      <c r="L19" s="44">
        <v>3</v>
      </c>
      <c r="M19" s="44"/>
      <c r="N19" s="45" t="s">
        <v>551</v>
      </c>
      <c r="O19" s="46">
        <v>5</v>
      </c>
      <c r="P19" s="46">
        <v>0</v>
      </c>
      <c r="Q19" s="46">
        <v>8</v>
      </c>
      <c r="R19" s="46">
        <v>3</v>
      </c>
      <c r="S19" s="46">
        <v>1</v>
      </c>
      <c r="T19" s="46">
        <v>0</v>
      </c>
      <c r="U19" s="46">
        <v>8</v>
      </c>
      <c r="V19" s="46">
        <v>5</v>
      </c>
      <c r="W19" s="30">
        <f t="shared" si="0"/>
        <v>16</v>
      </c>
      <c r="X19" s="30">
        <f t="shared" si="1"/>
        <v>14</v>
      </c>
    </row>
    <row r="20" spans="1:24" x14ac:dyDescent="0.15">
      <c r="A20" s="93">
        <f t="shared" si="2"/>
        <v>1</v>
      </c>
      <c r="B20" s="43">
        <v>35582</v>
      </c>
      <c r="C20" s="45" t="s">
        <v>257</v>
      </c>
      <c r="D20" s="44" t="s">
        <v>253</v>
      </c>
      <c r="E20" s="44" t="s">
        <v>294</v>
      </c>
      <c r="F20" s="44" t="s">
        <v>1</v>
      </c>
      <c r="G20" s="42">
        <v>170</v>
      </c>
      <c r="H20" s="44">
        <v>8</v>
      </c>
      <c r="I20" s="44"/>
      <c r="J20" s="45" t="s">
        <v>578</v>
      </c>
      <c r="K20" s="42">
        <v>174</v>
      </c>
      <c r="L20" s="44">
        <v>1</v>
      </c>
      <c r="M20" s="44"/>
      <c r="N20" s="45" t="s">
        <v>579</v>
      </c>
      <c r="O20" s="46">
        <v>13</v>
      </c>
      <c r="P20" s="46">
        <v>0</v>
      </c>
      <c r="Q20" s="46">
        <v>5</v>
      </c>
      <c r="R20" s="46">
        <v>2</v>
      </c>
      <c r="S20" s="46">
        <v>7</v>
      </c>
      <c r="T20" s="46">
        <v>0</v>
      </c>
      <c r="U20" s="46">
        <v>2</v>
      </c>
      <c r="V20" s="46">
        <v>6</v>
      </c>
      <c r="W20" s="30">
        <f t="shared" si="0"/>
        <v>20</v>
      </c>
      <c r="X20" s="30">
        <f t="shared" si="1"/>
        <v>15</v>
      </c>
    </row>
    <row r="21" spans="1:24" x14ac:dyDescent="0.15">
      <c r="A21" s="93">
        <f t="shared" si="2"/>
        <v>1</v>
      </c>
      <c r="B21" s="43">
        <v>35582</v>
      </c>
      <c r="C21" s="45" t="s">
        <v>269</v>
      </c>
      <c r="D21" s="44" t="s">
        <v>251</v>
      </c>
      <c r="E21" s="44" t="s">
        <v>337</v>
      </c>
      <c r="F21" s="44" t="s">
        <v>1</v>
      </c>
      <c r="G21" s="42">
        <v>280</v>
      </c>
      <c r="H21" s="44">
        <v>8</v>
      </c>
      <c r="I21" s="44"/>
      <c r="J21" s="45" t="s">
        <v>614</v>
      </c>
      <c r="K21" s="42">
        <v>134</v>
      </c>
      <c r="L21" s="44">
        <v>10</v>
      </c>
      <c r="M21" s="44" t="s">
        <v>295</v>
      </c>
      <c r="N21" s="45"/>
      <c r="O21" s="46">
        <v>19</v>
      </c>
      <c r="P21" s="46">
        <v>2</v>
      </c>
      <c r="Q21" s="46">
        <v>6</v>
      </c>
      <c r="R21" s="46">
        <v>2</v>
      </c>
      <c r="S21" s="46">
        <v>10</v>
      </c>
      <c r="T21" s="46">
        <v>2</v>
      </c>
      <c r="U21" s="46">
        <v>11</v>
      </c>
      <c r="V21" s="46">
        <v>3</v>
      </c>
      <c r="W21" s="30">
        <f t="shared" si="0"/>
        <v>29</v>
      </c>
      <c r="X21" s="30">
        <f t="shared" si="1"/>
        <v>26</v>
      </c>
    </row>
    <row r="22" spans="1:24" ht="21" x14ac:dyDescent="0.15">
      <c r="A22" s="93">
        <f t="shared" ref="A22:A37" si="3">WEEKDAY(B22)</f>
        <v>7</v>
      </c>
      <c r="B22" s="43">
        <v>35588</v>
      </c>
      <c r="C22" s="45" t="s">
        <v>564</v>
      </c>
      <c r="D22" s="44" t="s">
        <v>251</v>
      </c>
      <c r="E22" s="44" t="s">
        <v>294</v>
      </c>
      <c r="F22" s="44" t="s">
        <v>338</v>
      </c>
      <c r="G22" s="42">
        <v>224</v>
      </c>
      <c r="H22" s="44">
        <v>5</v>
      </c>
      <c r="I22" s="44"/>
      <c r="J22" s="45" t="s">
        <v>613</v>
      </c>
      <c r="K22" s="42">
        <v>105</v>
      </c>
      <c r="L22" s="44">
        <v>9</v>
      </c>
      <c r="M22" s="44" t="s">
        <v>295</v>
      </c>
      <c r="N22" s="45" t="s">
        <v>577</v>
      </c>
      <c r="O22" s="46">
        <v>6</v>
      </c>
      <c r="P22" s="46">
        <v>0</v>
      </c>
      <c r="Q22" s="46">
        <v>6</v>
      </c>
      <c r="R22" s="46">
        <v>0</v>
      </c>
      <c r="S22" s="46">
        <v>13</v>
      </c>
      <c r="T22" s="46">
        <v>0</v>
      </c>
      <c r="U22" s="46">
        <v>9</v>
      </c>
      <c r="V22" s="46">
        <v>3</v>
      </c>
      <c r="W22" s="30">
        <f t="shared" si="0"/>
        <v>12</v>
      </c>
      <c r="X22" s="30">
        <f t="shared" si="1"/>
        <v>25</v>
      </c>
    </row>
    <row r="23" spans="1:24" x14ac:dyDescent="0.15">
      <c r="A23" s="93">
        <f t="shared" si="3"/>
        <v>1</v>
      </c>
      <c r="B23" s="43">
        <v>35589</v>
      </c>
      <c r="C23" s="45" t="s">
        <v>258</v>
      </c>
      <c r="D23" s="44" t="s">
        <v>251</v>
      </c>
      <c r="E23" s="44" t="s">
        <v>294</v>
      </c>
      <c r="F23" s="44" t="s">
        <v>1</v>
      </c>
      <c r="G23" s="42">
        <v>121</v>
      </c>
      <c r="H23" s="44">
        <v>10</v>
      </c>
      <c r="I23" s="44" t="s">
        <v>295</v>
      </c>
      <c r="J23" s="45" t="s">
        <v>580</v>
      </c>
      <c r="K23" s="42">
        <v>125</v>
      </c>
      <c r="L23" s="44">
        <v>2</v>
      </c>
      <c r="M23" s="44"/>
      <c r="N23" s="45" t="s">
        <v>581</v>
      </c>
      <c r="O23" s="46">
        <v>4</v>
      </c>
      <c r="P23" s="46">
        <v>0</v>
      </c>
      <c r="Q23" s="46">
        <v>2</v>
      </c>
      <c r="R23" s="46">
        <v>1</v>
      </c>
      <c r="S23" s="46">
        <v>6</v>
      </c>
      <c r="T23" s="46">
        <v>2</v>
      </c>
      <c r="U23" s="46">
        <v>9</v>
      </c>
      <c r="V23" s="46">
        <v>2</v>
      </c>
      <c r="W23" s="30">
        <f t="shared" si="0"/>
        <v>7</v>
      </c>
      <c r="X23" s="30">
        <f t="shared" si="1"/>
        <v>19</v>
      </c>
    </row>
    <row r="24" spans="1:24" x14ac:dyDescent="0.15">
      <c r="A24" s="93">
        <f t="shared" si="3"/>
        <v>1</v>
      </c>
      <c r="B24" s="43">
        <v>35589</v>
      </c>
      <c r="C24" s="45" t="s">
        <v>268</v>
      </c>
      <c r="D24" s="44" t="s">
        <v>253</v>
      </c>
      <c r="E24" s="44" t="s">
        <v>470</v>
      </c>
      <c r="F24" s="44" t="s">
        <v>338</v>
      </c>
      <c r="G24" s="42">
        <v>169</v>
      </c>
      <c r="H24" s="44">
        <v>8</v>
      </c>
      <c r="I24" s="44"/>
      <c r="J24" s="45" t="s">
        <v>615</v>
      </c>
      <c r="K24" s="42">
        <v>105</v>
      </c>
      <c r="L24" s="44">
        <v>5</v>
      </c>
      <c r="M24" s="44"/>
      <c r="N24" s="45" t="s">
        <v>616</v>
      </c>
      <c r="O24" s="46">
        <v>6</v>
      </c>
      <c r="P24" s="46">
        <v>0</v>
      </c>
      <c r="Q24" s="46">
        <v>8</v>
      </c>
      <c r="R24" s="46">
        <v>1</v>
      </c>
      <c r="S24" s="46">
        <v>2</v>
      </c>
      <c r="T24" s="46">
        <v>2</v>
      </c>
      <c r="U24" s="46">
        <v>3</v>
      </c>
      <c r="V24" s="46">
        <v>3</v>
      </c>
      <c r="W24" s="30">
        <f t="shared" si="0"/>
        <v>15</v>
      </c>
      <c r="X24" s="30">
        <f t="shared" si="1"/>
        <v>10</v>
      </c>
    </row>
    <row r="25" spans="1:24" x14ac:dyDescent="0.15">
      <c r="A25" s="93">
        <f t="shared" si="3"/>
        <v>7</v>
      </c>
      <c r="B25" s="43">
        <v>35595</v>
      </c>
      <c r="C25" s="45" t="s">
        <v>600</v>
      </c>
      <c r="D25" s="44" t="s">
        <v>253</v>
      </c>
      <c r="E25" s="44" t="s">
        <v>294</v>
      </c>
      <c r="F25" s="44" t="s">
        <v>338</v>
      </c>
      <c r="G25" s="42">
        <v>209</v>
      </c>
      <c r="H25" s="44">
        <v>3</v>
      </c>
      <c r="I25" s="44"/>
      <c r="J25" s="45" t="s">
        <v>601</v>
      </c>
      <c r="K25" s="42">
        <v>125</v>
      </c>
      <c r="L25" s="44">
        <v>10</v>
      </c>
      <c r="M25" s="44" t="s">
        <v>295</v>
      </c>
      <c r="N25" s="45" t="s">
        <v>602</v>
      </c>
      <c r="O25" s="46">
        <v>4</v>
      </c>
      <c r="P25" s="46">
        <v>1</v>
      </c>
      <c r="Q25" s="46">
        <v>8</v>
      </c>
      <c r="R25" s="46">
        <v>3</v>
      </c>
      <c r="S25" s="46">
        <v>12</v>
      </c>
      <c r="T25" s="46">
        <v>1</v>
      </c>
      <c r="U25" s="46">
        <v>0</v>
      </c>
      <c r="V25" s="46">
        <v>0</v>
      </c>
      <c r="W25" s="30">
        <f t="shared" si="0"/>
        <v>16</v>
      </c>
      <c r="X25" s="30">
        <f t="shared" si="1"/>
        <v>13</v>
      </c>
    </row>
    <row r="26" spans="1:24" x14ac:dyDescent="0.15">
      <c r="A26" s="93">
        <f t="shared" si="3"/>
        <v>1</v>
      </c>
      <c r="B26" s="43">
        <v>35596</v>
      </c>
      <c r="C26" s="45" t="s">
        <v>259</v>
      </c>
      <c r="D26" s="44" t="s">
        <v>251</v>
      </c>
      <c r="E26" s="44"/>
      <c r="F26" s="44"/>
      <c r="G26" s="42"/>
      <c r="H26" s="44"/>
      <c r="I26" s="44"/>
      <c r="J26" s="45"/>
      <c r="K26" s="42"/>
      <c r="L26" s="44"/>
      <c r="M26" s="44"/>
      <c r="N26" s="45"/>
      <c r="O26" s="46"/>
      <c r="P26" s="46"/>
      <c r="Q26" s="46"/>
      <c r="R26" s="46"/>
      <c r="S26" s="46"/>
      <c r="T26" s="46"/>
      <c r="U26" s="46"/>
      <c r="V26" s="46"/>
      <c r="W26" s="30">
        <f t="shared" si="0"/>
        <v>0</v>
      </c>
      <c r="X26" s="30">
        <f t="shared" si="1"/>
        <v>0</v>
      </c>
    </row>
    <row r="27" spans="1:24" x14ac:dyDescent="0.15">
      <c r="A27" s="93">
        <f t="shared" si="3"/>
        <v>1</v>
      </c>
      <c r="B27" s="43">
        <v>35596</v>
      </c>
      <c r="C27" s="45" t="s">
        <v>270</v>
      </c>
      <c r="D27" s="44" t="s">
        <v>253</v>
      </c>
      <c r="E27" s="44" t="s">
        <v>294</v>
      </c>
      <c r="F27" s="44" t="s">
        <v>1</v>
      </c>
      <c r="G27" s="42">
        <v>131</v>
      </c>
      <c r="H27" s="44">
        <v>10</v>
      </c>
      <c r="I27" s="44" t="s">
        <v>295</v>
      </c>
      <c r="J27" s="45" t="s">
        <v>617</v>
      </c>
      <c r="K27" s="42">
        <v>133</v>
      </c>
      <c r="L27" s="44">
        <v>7</v>
      </c>
      <c r="M27" s="44"/>
      <c r="N27" s="45" t="s">
        <v>618</v>
      </c>
      <c r="O27" s="46">
        <v>3</v>
      </c>
      <c r="P27" s="46">
        <v>0</v>
      </c>
      <c r="Q27" s="46">
        <v>9</v>
      </c>
      <c r="R27" s="46">
        <v>2</v>
      </c>
      <c r="S27" s="46">
        <v>1</v>
      </c>
      <c r="T27" s="46">
        <v>3</v>
      </c>
      <c r="U27" s="46">
        <v>8</v>
      </c>
      <c r="V27" s="46">
        <v>1</v>
      </c>
      <c r="W27" s="30">
        <f t="shared" si="0"/>
        <v>14</v>
      </c>
      <c r="X27" s="30">
        <f t="shared" si="1"/>
        <v>13</v>
      </c>
    </row>
    <row r="28" spans="1:24" x14ac:dyDescent="0.15">
      <c r="A28" s="93">
        <f t="shared" si="3"/>
        <v>7</v>
      </c>
      <c r="B28" s="43">
        <v>35602</v>
      </c>
      <c r="C28" s="45" t="s">
        <v>279</v>
      </c>
      <c r="D28" s="44" t="s">
        <v>253</v>
      </c>
      <c r="E28" s="44" t="s">
        <v>470</v>
      </c>
      <c r="F28" s="44" t="s">
        <v>1</v>
      </c>
      <c r="G28" s="42">
        <v>115</v>
      </c>
      <c r="H28" s="44">
        <v>6</v>
      </c>
      <c r="I28" s="44"/>
      <c r="J28" s="45" t="s">
        <v>669</v>
      </c>
      <c r="K28" s="42">
        <v>102</v>
      </c>
      <c r="L28" s="44">
        <v>6</v>
      </c>
      <c r="M28" s="44"/>
      <c r="N28" s="45" t="s">
        <v>670</v>
      </c>
      <c r="O28" s="46">
        <v>3</v>
      </c>
      <c r="P28" s="46">
        <v>0</v>
      </c>
      <c r="Q28" s="46">
        <v>0</v>
      </c>
      <c r="R28" s="46">
        <v>4</v>
      </c>
      <c r="S28" s="46">
        <v>8</v>
      </c>
      <c r="T28" s="46">
        <v>2</v>
      </c>
      <c r="U28" s="46">
        <v>2</v>
      </c>
      <c r="V28" s="46">
        <v>1</v>
      </c>
      <c r="W28" s="30">
        <f t="shared" si="0"/>
        <v>7</v>
      </c>
      <c r="X28" s="30">
        <f t="shared" si="1"/>
        <v>13</v>
      </c>
    </row>
    <row r="29" spans="1:24" x14ac:dyDescent="0.15">
      <c r="A29" s="93">
        <f t="shared" si="3"/>
        <v>1</v>
      </c>
      <c r="B29" s="43">
        <v>35603</v>
      </c>
      <c r="C29" s="45" t="s">
        <v>260</v>
      </c>
      <c r="D29" s="44" t="s">
        <v>253</v>
      </c>
      <c r="E29" s="44"/>
      <c r="F29" s="44"/>
      <c r="G29" s="42"/>
      <c r="H29" s="44"/>
      <c r="I29" s="44"/>
      <c r="J29" s="45"/>
      <c r="K29" s="42"/>
      <c r="L29" s="44"/>
      <c r="M29" s="44"/>
      <c r="N29" s="45"/>
      <c r="O29" s="46"/>
      <c r="P29" s="46"/>
      <c r="Q29" s="46"/>
      <c r="R29" s="46"/>
      <c r="S29" s="46"/>
      <c r="T29" s="46"/>
      <c r="U29" s="46"/>
      <c r="V29" s="46"/>
      <c r="W29" s="30">
        <f t="shared" si="0"/>
        <v>0</v>
      </c>
      <c r="X29" s="30">
        <f t="shared" si="1"/>
        <v>0</v>
      </c>
    </row>
    <row r="30" spans="1:24" x14ac:dyDescent="0.15">
      <c r="A30" s="93">
        <f t="shared" si="3"/>
        <v>1</v>
      </c>
      <c r="B30" s="43">
        <v>35603</v>
      </c>
      <c r="C30" s="45" t="s">
        <v>264</v>
      </c>
      <c r="D30" s="44" t="s">
        <v>251</v>
      </c>
      <c r="E30" s="44" t="s">
        <v>470</v>
      </c>
      <c r="F30" s="44" t="s">
        <v>1</v>
      </c>
      <c r="G30" s="42">
        <v>169</v>
      </c>
      <c r="H30" s="97">
        <v>6</v>
      </c>
      <c r="I30" s="44"/>
      <c r="J30" s="45" t="s">
        <v>782</v>
      </c>
      <c r="K30" s="42">
        <v>155</v>
      </c>
      <c r="L30" s="44">
        <v>9</v>
      </c>
      <c r="M30" s="44"/>
      <c r="N30" s="45" t="s">
        <v>783</v>
      </c>
      <c r="O30" s="46">
        <v>4</v>
      </c>
      <c r="P30" s="46">
        <v>0</v>
      </c>
      <c r="Q30" s="46">
        <v>7</v>
      </c>
      <c r="R30" s="46">
        <v>0</v>
      </c>
      <c r="S30" s="46">
        <v>2</v>
      </c>
      <c r="T30" s="46">
        <v>8</v>
      </c>
      <c r="U30" s="46">
        <v>7</v>
      </c>
      <c r="V30" s="46">
        <v>5</v>
      </c>
      <c r="W30" s="30">
        <f t="shared" si="0"/>
        <v>11</v>
      </c>
      <c r="X30" s="30">
        <f t="shared" si="1"/>
        <v>22</v>
      </c>
    </row>
    <row r="31" spans="1:24" x14ac:dyDescent="0.15">
      <c r="A31" s="93">
        <f t="shared" si="3"/>
        <v>7</v>
      </c>
      <c r="B31" s="43">
        <v>35609</v>
      </c>
      <c r="C31" s="45" t="s">
        <v>768</v>
      </c>
      <c r="D31" s="44" t="s">
        <v>251</v>
      </c>
      <c r="E31" s="44"/>
      <c r="F31" s="44"/>
      <c r="G31" s="42"/>
      <c r="H31" s="44"/>
      <c r="I31" s="44"/>
      <c r="J31" s="45"/>
      <c r="K31" s="42"/>
      <c r="L31" s="44"/>
      <c r="M31" s="44"/>
      <c r="N31" s="45"/>
      <c r="O31" s="46"/>
      <c r="P31" s="46"/>
      <c r="Q31" s="46"/>
      <c r="R31" s="46"/>
      <c r="S31" s="46"/>
      <c r="T31" s="46"/>
      <c r="U31" s="46"/>
      <c r="V31" s="46"/>
      <c r="W31" s="30">
        <f t="shared" si="0"/>
        <v>0</v>
      </c>
      <c r="X31" s="30">
        <f t="shared" si="1"/>
        <v>0</v>
      </c>
    </row>
    <row r="32" spans="1:24" x14ac:dyDescent="0.15">
      <c r="A32" s="93">
        <f t="shared" si="3"/>
        <v>1</v>
      </c>
      <c r="B32" s="43">
        <v>35610</v>
      </c>
      <c r="C32" s="45" t="s">
        <v>243</v>
      </c>
      <c r="D32" s="44" t="s">
        <v>243</v>
      </c>
      <c r="E32" s="44"/>
      <c r="F32" s="44"/>
      <c r="G32" s="42"/>
      <c r="H32" s="44"/>
      <c r="I32" s="44"/>
      <c r="J32" s="45"/>
      <c r="K32" s="42"/>
      <c r="L32" s="44"/>
      <c r="M32" s="44"/>
      <c r="N32" s="45"/>
      <c r="O32" s="46"/>
      <c r="P32" s="46"/>
      <c r="Q32" s="46"/>
      <c r="R32" s="46"/>
      <c r="S32" s="46"/>
      <c r="T32" s="46"/>
      <c r="U32" s="46"/>
      <c r="V32" s="46"/>
      <c r="W32" s="30">
        <f t="shared" si="0"/>
        <v>0</v>
      </c>
      <c r="X32" s="30">
        <f t="shared" si="1"/>
        <v>0</v>
      </c>
    </row>
    <row r="33" spans="1:24" ht="21" x14ac:dyDescent="0.15">
      <c r="A33" s="93">
        <f t="shared" si="3"/>
        <v>1</v>
      </c>
      <c r="B33" s="43">
        <v>35610</v>
      </c>
      <c r="C33" s="45" t="s">
        <v>769</v>
      </c>
      <c r="D33" s="44" t="s">
        <v>253</v>
      </c>
      <c r="E33" s="44"/>
      <c r="F33" s="44"/>
      <c r="G33" s="42"/>
      <c r="H33" s="44"/>
      <c r="I33" s="44"/>
      <c r="J33" s="45"/>
      <c r="K33" s="42"/>
      <c r="L33" s="44"/>
      <c r="M33" s="44"/>
      <c r="N33" s="45"/>
      <c r="O33" s="46"/>
      <c r="P33" s="46"/>
      <c r="Q33" s="46"/>
      <c r="R33" s="46"/>
      <c r="S33" s="46"/>
      <c r="T33" s="46"/>
      <c r="U33" s="46"/>
      <c r="V33" s="46"/>
      <c r="W33" s="30">
        <f t="shared" si="0"/>
        <v>0</v>
      </c>
      <c r="X33" s="30">
        <f t="shared" si="1"/>
        <v>0</v>
      </c>
    </row>
    <row r="34" spans="1:24" ht="21" x14ac:dyDescent="0.15">
      <c r="A34" s="93">
        <f t="shared" si="3"/>
        <v>7</v>
      </c>
      <c r="B34" s="43">
        <v>35616</v>
      </c>
      <c r="C34" s="45" t="s">
        <v>277</v>
      </c>
      <c r="D34" s="44" t="s">
        <v>251</v>
      </c>
      <c r="E34" s="44" t="s">
        <v>337</v>
      </c>
      <c r="F34" s="44" t="s">
        <v>1</v>
      </c>
      <c r="G34" s="42">
        <v>200</v>
      </c>
      <c r="H34" s="44">
        <v>9</v>
      </c>
      <c r="I34" s="44" t="s">
        <v>685</v>
      </c>
      <c r="J34" s="45" t="s">
        <v>686</v>
      </c>
      <c r="K34" s="42">
        <v>179</v>
      </c>
      <c r="L34" s="44">
        <v>9</v>
      </c>
      <c r="M34" s="44" t="s">
        <v>295</v>
      </c>
      <c r="N34" s="45" t="s">
        <v>687</v>
      </c>
      <c r="O34" s="46">
        <v>1</v>
      </c>
      <c r="P34" s="46">
        <v>0</v>
      </c>
      <c r="Q34" s="46">
        <v>5</v>
      </c>
      <c r="R34" s="46">
        <v>8</v>
      </c>
      <c r="S34" s="46">
        <v>11</v>
      </c>
      <c r="T34" s="46">
        <v>8</v>
      </c>
      <c r="U34" s="46">
        <v>4</v>
      </c>
      <c r="V34" s="46">
        <v>8</v>
      </c>
      <c r="W34" s="30">
        <f t="shared" si="0"/>
        <v>14</v>
      </c>
      <c r="X34" s="30">
        <f t="shared" si="1"/>
        <v>31</v>
      </c>
    </row>
    <row r="35" spans="1:24" ht="21" x14ac:dyDescent="0.15">
      <c r="A35" s="93">
        <f t="shared" si="3"/>
        <v>1</v>
      </c>
      <c r="B35" s="43">
        <v>35617</v>
      </c>
      <c r="C35" s="45" t="s">
        <v>261</v>
      </c>
      <c r="D35" s="44" t="s">
        <v>251</v>
      </c>
      <c r="E35" s="44" t="s">
        <v>470</v>
      </c>
      <c r="F35" s="44" t="s">
        <v>1</v>
      </c>
      <c r="G35" s="42">
        <v>183</v>
      </c>
      <c r="H35" s="44">
        <v>8</v>
      </c>
      <c r="I35" s="44"/>
      <c r="J35" s="45" t="s">
        <v>964</v>
      </c>
      <c r="K35" s="42">
        <v>158</v>
      </c>
      <c r="L35" s="44">
        <v>9</v>
      </c>
      <c r="M35" s="44"/>
      <c r="N35" s="45" t="s">
        <v>965</v>
      </c>
      <c r="O35" s="46">
        <v>2</v>
      </c>
      <c r="P35" s="46">
        <v>0</v>
      </c>
      <c r="Q35" s="46">
        <v>1</v>
      </c>
      <c r="R35" s="46">
        <v>2</v>
      </c>
      <c r="S35" s="46">
        <v>4</v>
      </c>
      <c r="T35" s="46">
        <v>1</v>
      </c>
      <c r="U35" s="46">
        <v>7</v>
      </c>
      <c r="V35" s="46">
        <v>1</v>
      </c>
      <c r="W35" s="30">
        <f t="shared" si="0"/>
        <v>5</v>
      </c>
      <c r="X35" s="30">
        <f t="shared" si="1"/>
        <v>13</v>
      </c>
    </row>
    <row r="36" spans="1:24" x14ac:dyDescent="0.15">
      <c r="A36" s="93">
        <f t="shared" si="3"/>
        <v>1</v>
      </c>
      <c r="B36" s="43">
        <v>35624</v>
      </c>
      <c r="C36" s="45" t="s">
        <v>766</v>
      </c>
      <c r="D36" s="44" t="s">
        <v>253</v>
      </c>
      <c r="E36" s="44"/>
      <c r="F36" s="44"/>
      <c r="G36" s="42"/>
      <c r="H36" s="44"/>
      <c r="I36" s="44"/>
      <c r="J36" s="45"/>
      <c r="K36" s="42"/>
      <c r="L36" s="44"/>
      <c r="M36" s="44"/>
      <c r="N36" s="45"/>
      <c r="O36" s="46"/>
      <c r="P36" s="46"/>
      <c r="Q36" s="46"/>
      <c r="R36" s="46"/>
      <c r="S36" s="46"/>
      <c r="T36" s="46"/>
      <c r="U36" s="46"/>
      <c r="V36" s="46"/>
      <c r="W36" s="30">
        <f t="shared" si="0"/>
        <v>0</v>
      </c>
      <c r="X36" s="30">
        <f t="shared" si="1"/>
        <v>0</v>
      </c>
    </row>
    <row r="37" spans="1:24" x14ac:dyDescent="0.15">
      <c r="A37" s="93">
        <f t="shared" si="3"/>
        <v>7</v>
      </c>
      <c r="B37" s="43">
        <v>35630</v>
      </c>
      <c r="C37" s="45" t="s">
        <v>276</v>
      </c>
      <c r="D37" s="44" t="s">
        <v>251</v>
      </c>
      <c r="E37" s="44" t="s">
        <v>470</v>
      </c>
      <c r="F37" s="44" t="s">
        <v>1</v>
      </c>
      <c r="G37" s="42">
        <v>175</v>
      </c>
      <c r="H37" s="44">
        <v>9</v>
      </c>
      <c r="I37" s="44"/>
      <c r="J37" s="45" t="s">
        <v>690</v>
      </c>
      <c r="K37" s="42">
        <v>149</v>
      </c>
      <c r="L37" s="44">
        <v>9</v>
      </c>
      <c r="M37" s="44"/>
      <c r="N37" s="45" t="s">
        <v>691</v>
      </c>
      <c r="O37" s="46">
        <v>2</v>
      </c>
      <c r="P37" s="46">
        <v>0</v>
      </c>
      <c r="Q37" s="46">
        <v>3</v>
      </c>
      <c r="R37" s="46">
        <v>3</v>
      </c>
      <c r="S37" s="46">
        <v>4</v>
      </c>
      <c r="T37" s="46">
        <v>10</v>
      </c>
      <c r="U37" s="46">
        <v>14</v>
      </c>
      <c r="V37" s="46">
        <v>10</v>
      </c>
      <c r="W37" s="30">
        <f t="shared" si="0"/>
        <v>8</v>
      </c>
      <c r="X37" s="30">
        <f t="shared" si="1"/>
        <v>38</v>
      </c>
    </row>
    <row r="38" spans="1:24" x14ac:dyDescent="0.15">
      <c r="A38" s="93">
        <f t="shared" ref="A38:A53" si="4">WEEKDAY(B38)</f>
        <v>1</v>
      </c>
      <c r="B38" s="43">
        <v>35631</v>
      </c>
      <c r="C38" s="45" t="s">
        <v>254</v>
      </c>
      <c r="D38" s="44" t="s">
        <v>253</v>
      </c>
      <c r="E38" s="44" t="s">
        <v>470</v>
      </c>
      <c r="F38" s="44" t="s">
        <v>338</v>
      </c>
      <c r="G38" s="42">
        <v>177</v>
      </c>
      <c r="H38" s="44">
        <v>10</v>
      </c>
      <c r="I38" s="44" t="s">
        <v>295</v>
      </c>
      <c r="J38" s="45" t="s">
        <v>688</v>
      </c>
      <c r="K38" s="42">
        <v>125</v>
      </c>
      <c r="L38" s="44">
        <v>9</v>
      </c>
      <c r="M38" s="44"/>
      <c r="N38" s="45" t="s">
        <v>689</v>
      </c>
      <c r="O38" s="46">
        <v>3</v>
      </c>
      <c r="P38" s="46">
        <v>1</v>
      </c>
      <c r="Q38" s="46">
        <v>2</v>
      </c>
      <c r="R38" s="46">
        <v>8</v>
      </c>
      <c r="S38" s="46">
        <v>0</v>
      </c>
      <c r="T38" s="46">
        <v>1</v>
      </c>
      <c r="U38" s="46">
        <v>5</v>
      </c>
      <c r="V38" s="46">
        <v>5</v>
      </c>
      <c r="W38" s="30">
        <f t="shared" si="0"/>
        <v>14</v>
      </c>
      <c r="X38" s="30">
        <f t="shared" si="1"/>
        <v>11</v>
      </c>
    </row>
    <row r="39" spans="1:24" x14ac:dyDescent="0.15">
      <c r="A39" s="93">
        <f t="shared" si="4"/>
        <v>7</v>
      </c>
      <c r="B39" s="43">
        <v>35637</v>
      </c>
      <c r="C39" s="45" t="s">
        <v>767</v>
      </c>
      <c r="D39" s="44" t="s">
        <v>251</v>
      </c>
      <c r="E39" s="44"/>
      <c r="F39" s="44"/>
      <c r="G39" s="42"/>
      <c r="H39" s="44"/>
      <c r="I39" s="44"/>
      <c r="J39" s="45"/>
      <c r="K39" s="42"/>
      <c r="L39" s="44"/>
      <c r="M39" s="44"/>
      <c r="N39" s="45"/>
      <c r="O39" s="46"/>
      <c r="P39" s="46"/>
      <c r="Q39" s="46"/>
      <c r="R39" s="46"/>
      <c r="S39" s="46"/>
      <c r="T39" s="46"/>
      <c r="U39" s="46"/>
      <c r="V39" s="46"/>
      <c r="W39" s="30">
        <f t="shared" si="0"/>
        <v>0</v>
      </c>
      <c r="X39" s="30">
        <f t="shared" si="1"/>
        <v>0</v>
      </c>
    </row>
    <row r="40" spans="1:24" ht="21" x14ac:dyDescent="0.15">
      <c r="A40" s="93">
        <f t="shared" si="4"/>
        <v>1</v>
      </c>
      <c r="B40" s="43">
        <v>35638</v>
      </c>
      <c r="C40" s="45" t="s">
        <v>262</v>
      </c>
      <c r="D40" s="44" t="s">
        <v>253</v>
      </c>
      <c r="E40" s="44" t="s">
        <v>294</v>
      </c>
      <c r="F40" s="44" t="s">
        <v>338</v>
      </c>
      <c r="G40" s="42">
        <v>118</v>
      </c>
      <c r="H40" s="44">
        <v>9</v>
      </c>
      <c r="I40" s="44"/>
      <c r="J40" s="45" t="s">
        <v>1036</v>
      </c>
      <c r="K40" s="42">
        <v>109</v>
      </c>
      <c r="L40" s="44">
        <v>10</v>
      </c>
      <c r="M40" s="44" t="s">
        <v>295</v>
      </c>
      <c r="N40" s="45" t="s">
        <v>1037</v>
      </c>
      <c r="O40" s="46">
        <v>0</v>
      </c>
      <c r="P40" s="46">
        <v>0</v>
      </c>
      <c r="Q40" s="46">
        <v>0</v>
      </c>
      <c r="R40" s="46">
        <v>8</v>
      </c>
      <c r="S40" s="46">
        <v>4</v>
      </c>
      <c r="T40" s="46">
        <v>0</v>
      </c>
      <c r="U40" s="46">
        <v>9</v>
      </c>
      <c r="V40" s="46">
        <v>1</v>
      </c>
      <c r="W40" s="30">
        <f t="shared" si="0"/>
        <v>8</v>
      </c>
      <c r="X40" s="30">
        <f t="shared" si="1"/>
        <v>14</v>
      </c>
    </row>
    <row r="41" spans="1:24" ht="21" x14ac:dyDescent="0.15">
      <c r="A41" s="93">
        <f t="shared" si="4"/>
        <v>7</v>
      </c>
      <c r="B41" s="43">
        <v>35644</v>
      </c>
      <c r="C41" s="45" t="s">
        <v>282</v>
      </c>
      <c r="D41" s="44" t="s">
        <v>253</v>
      </c>
      <c r="E41" s="44" t="s">
        <v>294</v>
      </c>
      <c r="F41" s="44" t="s">
        <v>338</v>
      </c>
      <c r="G41" s="42">
        <v>218</v>
      </c>
      <c r="H41" s="44">
        <v>8</v>
      </c>
      <c r="I41" s="44"/>
      <c r="J41" s="45" t="s">
        <v>750</v>
      </c>
      <c r="K41" s="42">
        <v>136</v>
      </c>
      <c r="L41" s="44">
        <v>9</v>
      </c>
      <c r="M41" s="44" t="s">
        <v>295</v>
      </c>
      <c r="N41" s="45" t="s">
        <v>751</v>
      </c>
      <c r="O41" s="46">
        <v>3</v>
      </c>
      <c r="P41" s="46">
        <v>0</v>
      </c>
      <c r="Q41" s="46">
        <v>1</v>
      </c>
      <c r="R41" s="46">
        <v>1</v>
      </c>
      <c r="S41" s="46">
        <v>5</v>
      </c>
      <c r="T41" s="46">
        <v>5</v>
      </c>
      <c r="U41" s="46">
        <v>0</v>
      </c>
      <c r="V41" s="46">
        <v>5</v>
      </c>
      <c r="W41" s="30">
        <f t="shared" si="0"/>
        <v>5</v>
      </c>
      <c r="X41" s="30">
        <f t="shared" si="1"/>
        <v>15</v>
      </c>
    </row>
    <row r="42" spans="1:24" x14ac:dyDescent="0.15">
      <c r="A42" s="93">
        <f t="shared" si="4"/>
        <v>1</v>
      </c>
      <c r="B42" s="43">
        <v>35645</v>
      </c>
      <c r="C42" s="45" t="s">
        <v>263</v>
      </c>
      <c r="D42" s="44" t="s">
        <v>251</v>
      </c>
      <c r="E42" s="44" t="s">
        <v>294</v>
      </c>
      <c r="F42" s="44" t="s">
        <v>1</v>
      </c>
      <c r="G42" s="42">
        <v>105</v>
      </c>
      <c r="H42" s="44">
        <v>10</v>
      </c>
      <c r="I42" s="44" t="s">
        <v>295</v>
      </c>
      <c r="J42" s="45" t="s">
        <v>1042</v>
      </c>
      <c r="K42" s="42">
        <v>123</v>
      </c>
      <c r="L42" s="44">
        <v>7</v>
      </c>
      <c r="M42" s="44"/>
      <c r="N42" s="45" t="s">
        <v>795</v>
      </c>
      <c r="O42" s="46">
        <v>7</v>
      </c>
      <c r="P42" s="46">
        <v>0</v>
      </c>
      <c r="Q42" s="46">
        <v>1</v>
      </c>
      <c r="R42" s="46">
        <v>2</v>
      </c>
      <c r="S42" s="46">
        <v>8</v>
      </c>
      <c r="T42" s="46">
        <v>1</v>
      </c>
      <c r="U42" s="46">
        <v>2</v>
      </c>
      <c r="V42" s="46">
        <v>1</v>
      </c>
      <c r="W42" s="30">
        <f t="shared" si="0"/>
        <v>10</v>
      </c>
      <c r="X42" s="30">
        <f t="shared" si="1"/>
        <v>12</v>
      </c>
    </row>
    <row r="43" spans="1:24" x14ac:dyDescent="0.15">
      <c r="A43" s="93">
        <f t="shared" si="4"/>
        <v>7</v>
      </c>
      <c r="B43" s="43">
        <v>35651</v>
      </c>
      <c r="C43" s="45" t="s">
        <v>747</v>
      </c>
      <c r="D43" s="44" t="s">
        <v>251</v>
      </c>
      <c r="E43" s="44" t="s">
        <v>337</v>
      </c>
      <c r="F43" s="44" t="s">
        <v>1</v>
      </c>
      <c r="G43" s="42">
        <v>171</v>
      </c>
      <c r="H43" s="44">
        <v>4</v>
      </c>
      <c r="I43" s="44"/>
      <c r="J43" s="45" t="s">
        <v>748</v>
      </c>
      <c r="K43" s="42">
        <v>142</v>
      </c>
      <c r="L43" s="44">
        <v>10</v>
      </c>
      <c r="M43" s="44" t="s">
        <v>295</v>
      </c>
      <c r="N43" s="45" t="s">
        <v>749</v>
      </c>
      <c r="O43" s="46">
        <v>21</v>
      </c>
      <c r="P43" s="46">
        <v>2</v>
      </c>
      <c r="Q43" s="46">
        <v>0</v>
      </c>
      <c r="R43" s="46">
        <v>0</v>
      </c>
      <c r="S43" s="46">
        <v>10</v>
      </c>
      <c r="T43" s="46">
        <v>3</v>
      </c>
      <c r="U43" s="46">
        <v>11</v>
      </c>
      <c r="V43" s="46">
        <v>2</v>
      </c>
      <c r="W43" s="30">
        <f t="shared" si="0"/>
        <v>23</v>
      </c>
      <c r="X43" s="30">
        <f t="shared" si="1"/>
        <v>26</v>
      </c>
    </row>
    <row r="44" spans="1:24" x14ac:dyDescent="0.15">
      <c r="A44" s="93">
        <f t="shared" si="4"/>
        <v>1</v>
      </c>
      <c r="B44" s="43">
        <v>35652</v>
      </c>
      <c r="C44" s="45" t="s">
        <v>264</v>
      </c>
      <c r="D44" s="44" t="s">
        <v>253</v>
      </c>
      <c r="E44" s="44" t="s">
        <v>470</v>
      </c>
      <c r="F44" s="44" t="s">
        <v>1</v>
      </c>
      <c r="G44" s="42">
        <v>148</v>
      </c>
      <c r="H44" s="44">
        <v>7</v>
      </c>
      <c r="I44" s="44"/>
      <c r="J44" s="45" t="s">
        <v>820</v>
      </c>
      <c r="K44" s="42">
        <v>116</v>
      </c>
      <c r="L44" s="44">
        <v>9</v>
      </c>
      <c r="M44" s="44"/>
      <c r="N44" s="45" t="s">
        <v>821</v>
      </c>
      <c r="O44" s="46">
        <v>3</v>
      </c>
      <c r="P44" s="46">
        <v>0</v>
      </c>
      <c r="Q44" s="46">
        <v>8</v>
      </c>
      <c r="R44" s="46">
        <v>2</v>
      </c>
      <c r="S44" s="46">
        <v>2</v>
      </c>
      <c r="T44" s="46">
        <v>0</v>
      </c>
      <c r="U44" s="46">
        <v>11</v>
      </c>
      <c r="V44" s="46">
        <v>2</v>
      </c>
      <c r="W44" s="30">
        <f t="shared" si="0"/>
        <v>13</v>
      </c>
      <c r="X44" s="30">
        <f t="shared" si="1"/>
        <v>15</v>
      </c>
    </row>
    <row r="45" spans="1:24" x14ac:dyDescent="0.15">
      <c r="A45" s="93">
        <f t="shared" si="4"/>
        <v>7</v>
      </c>
      <c r="B45" s="43">
        <v>35658</v>
      </c>
      <c r="C45" s="45" t="s">
        <v>283</v>
      </c>
      <c r="D45" s="44" t="s">
        <v>253</v>
      </c>
      <c r="E45" s="44" t="s">
        <v>470</v>
      </c>
      <c r="F45" s="44" t="s">
        <v>338</v>
      </c>
      <c r="G45" s="42">
        <v>174</v>
      </c>
      <c r="H45" s="44">
        <v>8</v>
      </c>
      <c r="I45" s="44"/>
      <c r="J45" s="45" t="s">
        <v>822</v>
      </c>
      <c r="K45" s="42">
        <v>134</v>
      </c>
      <c r="L45" s="44">
        <v>9</v>
      </c>
      <c r="M45" s="44"/>
      <c r="N45" s="45" t="s">
        <v>823</v>
      </c>
      <c r="O45" s="46">
        <v>13</v>
      </c>
      <c r="P45" s="46">
        <v>1</v>
      </c>
      <c r="Q45" s="46">
        <v>0</v>
      </c>
      <c r="R45" s="46">
        <v>1</v>
      </c>
      <c r="S45" s="46">
        <v>15</v>
      </c>
      <c r="T45" s="46">
        <v>9</v>
      </c>
      <c r="U45" s="46">
        <v>10</v>
      </c>
      <c r="V45" s="46">
        <v>5</v>
      </c>
      <c r="W45" s="30">
        <f t="shared" si="0"/>
        <v>15</v>
      </c>
      <c r="X45" s="30">
        <f t="shared" si="1"/>
        <v>39</v>
      </c>
    </row>
    <row r="46" spans="1:24" ht="21" x14ac:dyDescent="0.15">
      <c r="A46" s="93">
        <f t="shared" si="4"/>
        <v>1</v>
      </c>
      <c r="B46" s="43">
        <v>35659</v>
      </c>
      <c r="C46" s="45" t="s">
        <v>265</v>
      </c>
      <c r="D46" s="44" t="s">
        <v>253</v>
      </c>
      <c r="E46" s="44" t="s">
        <v>470</v>
      </c>
      <c r="F46" s="44" t="s">
        <v>338</v>
      </c>
      <c r="G46" s="42">
        <v>221</v>
      </c>
      <c r="H46" s="44">
        <v>7</v>
      </c>
      <c r="I46" s="44"/>
      <c r="J46" s="45" t="s">
        <v>824</v>
      </c>
      <c r="K46" s="42">
        <v>137</v>
      </c>
      <c r="L46" s="44">
        <v>9</v>
      </c>
      <c r="M46" s="44"/>
      <c r="N46" s="45" t="s">
        <v>825</v>
      </c>
      <c r="O46" s="46">
        <v>5</v>
      </c>
      <c r="P46" s="46">
        <v>0</v>
      </c>
      <c r="Q46" s="46">
        <v>7</v>
      </c>
      <c r="R46" s="46">
        <v>1</v>
      </c>
      <c r="S46" s="46">
        <v>7</v>
      </c>
      <c r="T46" s="46">
        <v>1</v>
      </c>
      <c r="U46" s="46">
        <v>4</v>
      </c>
      <c r="V46" s="46">
        <v>3</v>
      </c>
      <c r="W46" s="30">
        <f t="shared" si="0"/>
        <v>13</v>
      </c>
      <c r="X46" s="30">
        <f t="shared" si="1"/>
        <v>15</v>
      </c>
    </row>
    <row r="47" spans="1:24" x14ac:dyDescent="0.15">
      <c r="A47" s="93">
        <f t="shared" si="4"/>
        <v>7</v>
      </c>
      <c r="B47" s="43">
        <v>35665</v>
      </c>
      <c r="C47" s="45" t="s">
        <v>280</v>
      </c>
      <c r="D47" s="44" t="s">
        <v>253</v>
      </c>
      <c r="E47" s="44" t="s">
        <v>294</v>
      </c>
      <c r="F47" s="44" t="s">
        <v>1</v>
      </c>
      <c r="G47" s="42">
        <v>209</v>
      </c>
      <c r="H47" s="44">
        <v>5</v>
      </c>
      <c r="I47" s="44"/>
      <c r="J47" s="45" t="s">
        <v>851</v>
      </c>
      <c r="K47" s="42">
        <v>211</v>
      </c>
      <c r="L47" s="44">
        <v>8</v>
      </c>
      <c r="M47" s="44"/>
      <c r="N47" s="45" t="s">
        <v>852</v>
      </c>
      <c r="O47" s="46">
        <v>4</v>
      </c>
      <c r="P47" s="46">
        <v>0</v>
      </c>
      <c r="Q47" s="46">
        <v>19</v>
      </c>
      <c r="R47" s="46">
        <v>1</v>
      </c>
      <c r="S47" s="46">
        <v>13</v>
      </c>
      <c r="T47" s="46">
        <v>2</v>
      </c>
      <c r="U47" s="46">
        <v>8</v>
      </c>
      <c r="V47" s="46">
        <v>7</v>
      </c>
      <c r="W47" s="30">
        <f t="shared" si="0"/>
        <v>24</v>
      </c>
      <c r="X47" s="30">
        <f t="shared" si="1"/>
        <v>30</v>
      </c>
    </row>
    <row r="48" spans="1:24" x14ac:dyDescent="0.15">
      <c r="A48" s="93">
        <f t="shared" si="4"/>
        <v>1</v>
      </c>
      <c r="B48" s="43">
        <v>35666</v>
      </c>
      <c r="C48" s="45" t="s">
        <v>866</v>
      </c>
      <c r="D48" s="44" t="s">
        <v>253</v>
      </c>
      <c r="E48" s="44" t="s">
        <v>470</v>
      </c>
      <c r="F48" s="44" t="s">
        <v>338</v>
      </c>
      <c r="G48" s="42">
        <v>192</v>
      </c>
      <c r="H48" s="44">
        <v>6</v>
      </c>
      <c r="I48" s="44"/>
      <c r="J48" s="45" t="s">
        <v>867</v>
      </c>
      <c r="K48" s="42">
        <v>139</v>
      </c>
      <c r="L48" s="44">
        <v>9</v>
      </c>
      <c r="M48" s="44"/>
      <c r="N48" s="45" t="s">
        <v>868</v>
      </c>
      <c r="O48" s="46">
        <v>10</v>
      </c>
      <c r="P48" s="46">
        <v>1</v>
      </c>
      <c r="Q48" s="46">
        <v>3</v>
      </c>
      <c r="R48" s="46">
        <v>0</v>
      </c>
      <c r="S48" s="46">
        <v>5</v>
      </c>
      <c r="T48" s="46">
        <v>1</v>
      </c>
      <c r="U48" s="46">
        <v>7</v>
      </c>
      <c r="V48" s="46">
        <v>3</v>
      </c>
      <c r="W48" s="30">
        <f t="shared" si="0"/>
        <v>14</v>
      </c>
      <c r="X48" s="30">
        <f t="shared" si="1"/>
        <v>16</v>
      </c>
    </row>
    <row r="49" spans="1:24" x14ac:dyDescent="0.15">
      <c r="A49" s="93">
        <f t="shared" si="4"/>
        <v>7</v>
      </c>
      <c r="B49" s="43">
        <v>35672</v>
      </c>
      <c r="C49" s="45" t="s">
        <v>897</v>
      </c>
      <c r="D49" s="44" t="s">
        <v>251</v>
      </c>
      <c r="E49" s="44"/>
      <c r="F49" s="44"/>
      <c r="G49" s="42"/>
      <c r="H49" s="44"/>
      <c r="I49" s="44"/>
      <c r="J49" s="45"/>
      <c r="K49" s="42"/>
      <c r="L49" s="44"/>
      <c r="M49" s="44"/>
      <c r="N49" s="45"/>
      <c r="O49" s="46"/>
      <c r="P49" s="46"/>
      <c r="Q49" s="46"/>
      <c r="R49" s="46"/>
      <c r="S49" s="46"/>
      <c r="T49" s="46"/>
      <c r="U49" s="46"/>
      <c r="V49" s="46"/>
      <c r="W49" s="30">
        <f t="shared" si="0"/>
        <v>0</v>
      </c>
      <c r="X49" s="30">
        <f t="shared" si="1"/>
        <v>0</v>
      </c>
    </row>
    <row r="50" spans="1:24" ht="21" x14ac:dyDescent="0.15">
      <c r="A50" s="93">
        <f t="shared" si="4"/>
        <v>1</v>
      </c>
      <c r="B50" s="43">
        <v>35673</v>
      </c>
      <c r="C50" s="45" t="s">
        <v>1044</v>
      </c>
      <c r="D50" s="44" t="s">
        <v>251</v>
      </c>
      <c r="E50" s="44" t="s">
        <v>470</v>
      </c>
      <c r="F50" s="44" t="s">
        <v>338</v>
      </c>
      <c r="G50" s="42">
        <v>158</v>
      </c>
      <c r="H50" s="44">
        <v>8</v>
      </c>
      <c r="I50" s="44"/>
      <c r="J50" s="45" t="s">
        <v>1045</v>
      </c>
      <c r="K50" s="42">
        <v>151</v>
      </c>
      <c r="L50" s="44">
        <v>8</v>
      </c>
      <c r="M50" s="44"/>
      <c r="N50" s="45" t="s">
        <v>1046</v>
      </c>
      <c r="O50" s="46">
        <v>1</v>
      </c>
      <c r="P50" s="46">
        <v>0</v>
      </c>
      <c r="Q50" s="46">
        <v>1</v>
      </c>
      <c r="R50" s="46">
        <v>0</v>
      </c>
      <c r="S50" s="46">
        <v>16</v>
      </c>
      <c r="T50" s="46">
        <v>0</v>
      </c>
      <c r="U50" s="46">
        <v>5</v>
      </c>
      <c r="V50" s="46">
        <v>2</v>
      </c>
      <c r="W50" s="30">
        <f t="shared" si="0"/>
        <v>2</v>
      </c>
      <c r="X50" s="30">
        <f t="shared" si="1"/>
        <v>23</v>
      </c>
    </row>
    <row r="51" spans="1:24" x14ac:dyDescent="0.15">
      <c r="A51" s="93">
        <f t="shared" si="4"/>
        <v>7</v>
      </c>
      <c r="B51" s="43">
        <v>35679</v>
      </c>
      <c r="C51" s="45" t="s">
        <v>281</v>
      </c>
      <c r="D51" s="44" t="s">
        <v>253</v>
      </c>
      <c r="E51" s="44" t="s">
        <v>294</v>
      </c>
      <c r="F51" s="44" t="s">
        <v>1</v>
      </c>
      <c r="G51" s="42">
        <v>97</v>
      </c>
      <c r="H51" s="44">
        <v>10</v>
      </c>
      <c r="I51" s="44" t="s">
        <v>295</v>
      </c>
      <c r="J51" s="45" t="s">
        <v>898</v>
      </c>
      <c r="K51" s="42">
        <v>101</v>
      </c>
      <c r="L51" s="44">
        <v>3</v>
      </c>
      <c r="M51" s="44"/>
      <c r="N51" s="45" t="s">
        <v>899</v>
      </c>
      <c r="O51" s="46">
        <v>4</v>
      </c>
      <c r="P51" s="46">
        <v>0</v>
      </c>
      <c r="Q51" s="46">
        <v>1</v>
      </c>
      <c r="R51" s="46">
        <v>4</v>
      </c>
      <c r="S51" s="46">
        <v>5</v>
      </c>
      <c r="T51" s="46">
        <v>0</v>
      </c>
      <c r="U51" s="46">
        <v>5</v>
      </c>
      <c r="V51" s="46">
        <v>2</v>
      </c>
      <c r="W51" s="30">
        <f t="shared" si="0"/>
        <v>9</v>
      </c>
      <c r="X51" s="30">
        <f t="shared" si="1"/>
        <v>12</v>
      </c>
    </row>
    <row r="52" spans="1:24" x14ac:dyDescent="0.15">
      <c r="A52" s="93">
        <f t="shared" si="4"/>
        <v>1</v>
      </c>
      <c r="B52" s="43">
        <v>35680</v>
      </c>
      <c r="C52" s="45" t="s">
        <v>252</v>
      </c>
      <c r="D52" s="44" t="s">
        <v>253</v>
      </c>
      <c r="E52" s="44" t="s">
        <v>294</v>
      </c>
      <c r="F52" s="44" t="s">
        <v>1</v>
      </c>
      <c r="G52" s="42">
        <v>178</v>
      </c>
      <c r="H52" s="44">
        <v>8</v>
      </c>
      <c r="I52" s="44"/>
      <c r="J52" s="45" t="s">
        <v>926</v>
      </c>
      <c r="K52" s="42">
        <v>180</v>
      </c>
      <c r="L52" s="44">
        <v>5</v>
      </c>
      <c r="M52" s="44"/>
      <c r="N52" s="45" t="s">
        <v>927</v>
      </c>
      <c r="O52" s="46">
        <v>5</v>
      </c>
      <c r="P52" s="46">
        <v>2</v>
      </c>
      <c r="Q52" s="46">
        <v>12</v>
      </c>
      <c r="R52" s="46">
        <v>1</v>
      </c>
      <c r="S52" s="46">
        <v>8</v>
      </c>
      <c r="T52" s="46">
        <v>0</v>
      </c>
      <c r="U52" s="46">
        <v>2</v>
      </c>
      <c r="V52" s="46">
        <v>4</v>
      </c>
      <c r="W52" s="30">
        <f t="shared" si="0"/>
        <v>20</v>
      </c>
      <c r="X52" s="30">
        <f t="shared" si="1"/>
        <v>14</v>
      </c>
    </row>
    <row r="53" spans="1:24" x14ac:dyDescent="0.15">
      <c r="A53" s="93">
        <f t="shared" si="4"/>
        <v>1</v>
      </c>
      <c r="B53" s="43">
        <v>35680</v>
      </c>
      <c r="C53" s="45" t="s">
        <v>267</v>
      </c>
      <c r="D53" s="44" t="s">
        <v>251</v>
      </c>
      <c r="E53" s="44" t="s">
        <v>470</v>
      </c>
      <c r="F53" s="44" t="s">
        <v>1</v>
      </c>
      <c r="G53" s="42">
        <v>180</v>
      </c>
      <c r="H53" s="44">
        <v>9</v>
      </c>
      <c r="I53" s="44"/>
      <c r="J53" s="45" t="s">
        <v>884</v>
      </c>
      <c r="K53" s="42">
        <v>140</v>
      </c>
      <c r="L53" s="44">
        <v>9</v>
      </c>
      <c r="M53" s="44"/>
      <c r="N53" s="45" t="s">
        <v>885</v>
      </c>
      <c r="O53" s="46">
        <v>9</v>
      </c>
      <c r="P53" s="46">
        <v>0</v>
      </c>
      <c r="Q53" s="46">
        <v>3</v>
      </c>
      <c r="R53" s="46">
        <v>7</v>
      </c>
      <c r="S53" s="46">
        <v>0</v>
      </c>
      <c r="T53" s="46">
        <v>0</v>
      </c>
      <c r="U53" s="46">
        <v>4</v>
      </c>
      <c r="V53" s="46">
        <v>2</v>
      </c>
      <c r="W53" s="30">
        <f t="shared" si="0"/>
        <v>19</v>
      </c>
      <c r="X53" s="30">
        <f t="shared" si="1"/>
        <v>6</v>
      </c>
    </row>
    <row r="54" spans="1:24" x14ac:dyDescent="0.15">
      <c r="A54" s="93">
        <f>WEEKDAY(B54)</f>
        <v>7</v>
      </c>
      <c r="B54" s="43">
        <v>35686</v>
      </c>
      <c r="C54" s="45" t="s">
        <v>278</v>
      </c>
      <c r="D54" s="44" t="s">
        <v>253</v>
      </c>
      <c r="E54" s="44" t="s">
        <v>337</v>
      </c>
      <c r="F54" s="44" t="s">
        <v>338</v>
      </c>
      <c r="G54" s="42">
        <v>146</v>
      </c>
      <c r="H54" s="44">
        <v>6</v>
      </c>
      <c r="I54" s="44"/>
      <c r="J54" s="45" t="s">
        <v>900</v>
      </c>
      <c r="K54" s="42">
        <v>148</v>
      </c>
      <c r="L54" s="44">
        <v>8</v>
      </c>
      <c r="M54" s="44"/>
      <c r="N54" s="45" t="s">
        <v>901</v>
      </c>
      <c r="O54" s="46">
        <v>14</v>
      </c>
      <c r="P54" s="46">
        <v>1</v>
      </c>
      <c r="Q54" s="46">
        <v>14</v>
      </c>
      <c r="R54" s="46">
        <v>5</v>
      </c>
      <c r="S54" s="46">
        <v>8</v>
      </c>
      <c r="T54" s="46">
        <v>4</v>
      </c>
      <c r="U54" s="46">
        <v>1</v>
      </c>
      <c r="V54" s="46">
        <v>0</v>
      </c>
      <c r="W54" s="30">
        <f t="shared" si="0"/>
        <v>34</v>
      </c>
      <c r="X54" s="30">
        <f t="shared" si="1"/>
        <v>13</v>
      </c>
    </row>
    <row r="55" spans="1:24" x14ac:dyDescent="0.15">
      <c r="A55" s="93">
        <f>WEEKDAY(B55)</f>
        <v>1</v>
      </c>
      <c r="B55" s="43">
        <v>35687</v>
      </c>
      <c r="C55" s="45" t="s">
        <v>266</v>
      </c>
      <c r="D55" s="44" t="s">
        <v>251</v>
      </c>
      <c r="E55" s="44" t="s">
        <v>294</v>
      </c>
      <c r="F55" s="44" t="s">
        <v>1</v>
      </c>
      <c r="G55" s="42">
        <v>108</v>
      </c>
      <c r="H55" s="44">
        <v>10</v>
      </c>
      <c r="I55" s="44" t="s">
        <v>295</v>
      </c>
      <c r="J55" s="45" t="s">
        <v>980</v>
      </c>
      <c r="K55" s="42">
        <v>109</v>
      </c>
      <c r="L55" s="44">
        <v>5</v>
      </c>
      <c r="M55" s="44"/>
      <c r="N55" s="45" t="s">
        <v>981</v>
      </c>
      <c r="O55" s="46">
        <v>3</v>
      </c>
      <c r="P55" s="46">
        <v>1</v>
      </c>
      <c r="Q55" s="46">
        <v>1</v>
      </c>
      <c r="R55" s="46">
        <v>2</v>
      </c>
      <c r="S55" s="46">
        <v>3</v>
      </c>
      <c r="T55" s="46">
        <v>1</v>
      </c>
      <c r="U55" s="46">
        <v>6</v>
      </c>
      <c r="V55" s="46">
        <v>6</v>
      </c>
      <c r="W55" s="30">
        <f t="shared" si="0"/>
        <v>7</v>
      </c>
      <c r="X55" s="30">
        <f t="shared" si="1"/>
        <v>16</v>
      </c>
    </row>
    <row r="56" spans="1:24" x14ac:dyDescent="0.15">
      <c r="A56" s="93">
        <f>WEEKDAY(B56)</f>
        <v>1</v>
      </c>
      <c r="B56" s="43">
        <v>35687</v>
      </c>
      <c r="C56" s="45" t="s">
        <v>271</v>
      </c>
      <c r="D56" s="44" t="s">
        <v>253</v>
      </c>
      <c r="E56" s="44" t="s">
        <v>470</v>
      </c>
      <c r="F56" s="44" t="s">
        <v>338</v>
      </c>
      <c r="G56" s="42">
        <v>214</v>
      </c>
      <c r="H56" s="44">
        <v>7</v>
      </c>
      <c r="I56" s="44"/>
      <c r="J56" s="45" t="s">
        <v>982</v>
      </c>
      <c r="K56" s="42">
        <v>155</v>
      </c>
      <c r="L56" s="44">
        <v>6</v>
      </c>
      <c r="M56" s="44"/>
      <c r="N56" s="45" t="s">
        <v>983</v>
      </c>
      <c r="O56" s="46">
        <v>13</v>
      </c>
      <c r="P56" s="46">
        <v>1</v>
      </c>
      <c r="Q56" s="46">
        <v>19</v>
      </c>
      <c r="R56" s="46">
        <v>1</v>
      </c>
      <c r="S56" s="46">
        <v>25</v>
      </c>
      <c r="T56" s="46">
        <v>2</v>
      </c>
      <c r="U56" s="46">
        <v>11</v>
      </c>
      <c r="V56" s="46">
        <v>10</v>
      </c>
      <c r="W56" s="30">
        <f t="shared" si="0"/>
        <v>34</v>
      </c>
      <c r="X56" s="30">
        <f t="shared" si="1"/>
        <v>48</v>
      </c>
    </row>
    <row r="57" spans="1:24" ht="21" x14ac:dyDescent="0.15">
      <c r="A57" s="93">
        <f>WEEKDAY(B57)</f>
        <v>7</v>
      </c>
      <c r="B57" s="43">
        <v>35693</v>
      </c>
      <c r="C57" s="45" t="s">
        <v>284</v>
      </c>
      <c r="D57" s="44" t="s">
        <v>253</v>
      </c>
      <c r="E57" s="44" t="s">
        <v>294</v>
      </c>
      <c r="F57" s="44" t="s">
        <v>1</v>
      </c>
      <c r="G57" s="42">
        <v>171</v>
      </c>
      <c r="H57" s="44">
        <v>4</v>
      </c>
      <c r="I57" s="44"/>
      <c r="J57" s="45" t="s">
        <v>984</v>
      </c>
      <c r="K57" s="42">
        <v>173</v>
      </c>
      <c r="L57" s="44">
        <v>8</v>
      </c>
      <c r="M57" s="44"/>
      <c r="N57" s="45" t="s">
        <v>985</v>
      </c>
      <c r="O57" s="46">
        <v>5</v>
      </c>
      <c r="P57" s="46">
        <v>0</v>
      </c>
      <c r="Q57" s="46">
        <v>13</v>
      </c>
      <c r="R57" s="46">
        <v>2</v>
      </c>
      <c r="S57" s="46">
        <v>8</v>
      </c>
      <c r="T57" s="46">
        <v>1</v>
      </c>
      <c r="U57" s="46">
        <v>3</v>
      </c>
      <c r="V57" s="46">
        <v>4</v>
      </c>
      <c r="W57" s="30">
        <f t="shared" si="0"/>
        <v>20</v>
      </c>
      <c r="X57" s="30">
        <f t="shared" si="1"/>
        <v>16</v>
      </c>
    </row>
    <row r="58" spans="1:24" x14ac:dyDescent="0.15">
      <c r="A58" s="93">
        <f>WEEKDAY(B58)</f>
        <v>1</v>
      </c>
      <c r="B58" s="43">
        <v>35694</v>
      </c>
      <c r="C58" s="45" t="s">
        <v>261</v>
      </c>
      <c r="D58" s="44" t="s">
        <v>253</v>
      </c>
      <c r="E58" s="44" t="s">
        <v>470</v>
      </c>
      <c r="F58" s="44" t="s">
        <v>1</v>
      </c>
      <c r="G58" s="42">
        <v>187</v>
      </c>
      <c r="H58" s="44">
        <v>7</v>
      </c>
      <c r="I58" s="44"/>
      <c r="J58" s="45" t="s">
        <v>997</v>
      </c>
      <c r="K58" s="42">
        <v>101</v>
      </c>
      <c r="L58" s="44">
        <v>9</v>
      </c>
      <c r="M58" s="44"/>
      <c r="N58" s="45" t="s">
        <v>998</v>
      </c>
      <c r="O58" s="46">
        <v>4</v>
      </c>
      <c r="P58" s="46">
        <v>1</v>
      </c>
      <c r="Q58" s="46">
        <v>6</v>
      </c>
      <c r="R58" s="46">
        <v>2</v>
      </c>
      <c r="S58" s="46">
        <v>4</v>
      </c>
      <c r="T58" s="46">
        <v>0</v>
      </c>
      <c r="U58" s="46">
        <v>23</v>
      </c>
      <c r="V58" s="46">
        <v>0</v>
      </c>
      <c r="W58" s="30">
        <f t="shared" si="0"/>
        <v>13</v>
      </c>
      <c r="X58" s="30">
        <f t="shared" si="1"/>
        <v>27</v>
      </c>
    </row>
    <row r="59" spans="1:24" x14ac:dyDescent="0.15">
      <c r="A59" s="47"/>
      <c r="B59" s="43"/>
      <c r="C59" s="45"/>
      <c r="D59" s="44"/>
      <c r="E59" s="44"/>
      <c r="F59" s="44"/>
      <c r="G59" s="42"/>
      <c r="H59" s="44"/>
      <c r="I59" s="44"/>
      <c r="J59" s="45"/>
      <c r="K59" s="42"/>
      <c r="L59" s="44"/>
      <c r="M59" s="44"/>
      <c r="N59" s="45"/>
      <c r="O59" s="46"/>
      <c r="P59" s="46"/>
      <c r="Q59" s="46"/>
      <c r="R59" s="46"/>
      <c r="S59" s="46"/>
      <c r="T59" s="46"/>
      <c r="U59" s="46"/>
      <c r="V59" s="46"/>
    </row>
    <row r="60" spans="1:24" x14ac:dyDescent="0.15">
      <c r="A60" s="47"/>
      <c r="B60" s="43"/>
      <c r="C60" s="45"/>
      <c r="D60" s="44"/>
      <c r="E60" s="44"/>
      <c r="F60" s="44"/>
      <c r="G60" s="42"/>
      <c r="H60" s="44"/>
      <c r="I60" s="44"/>
      <c r="J60" s="45"/>
      <c r="K60" s="42"/>
      <c r="L60" s="44"/>
      <c r="M60" s="44"/>
      <c r="N60" s="45"/>
      <c r="O60" s="46"/>
      <c r="P60" s="46"/>
      <c r="Q60" s="46"/>
      <c r="R60" s="46"/>
      <c r="S60" s="46"/>
      <c r="T60" s="46"/>
      <c r="U60" s="46"/>
      <c r="V60" s="46"/>
    </row>
    <row r="61" spans="1:24" x14ac:dyDescent="0.15">
      <c r="A61" s="47"/>
      <c r="B61" s="43"/>
      <c r="C61" s="45"/>
      <c r="D61" s="44"/>
      <c r="E61" s="44"/>
      <c r="F61" s="44"/>
      <c r="G61" s="42"/>
      <c r="H61" s="44"/>
      <c r="I61" s="44"/>
      <c r="J61" s="45"/>
      <c r="K61" s="42"/>
      <c r="L61" s="44"/>
      <c r="M61" s="44"/>
      <c r="N61" s="45"/>
      <c r="O61" s="46"/>
      <c r="P61" s="46"/>
      <c r="Q61" s="46"/>
      <c r="R61" s="46"/>
      <c r="S61" s="46"/>
      <c r="T61" s="46"/>
      <c r="U61" s="46"/>
      <c r="V61" s="46"/>
    </row>
    <row r="62" spans="1:24" x14ac:dyDescent="0.15">
      <c r="A62" s="47"/>
      <c r="B62" s="43"/>
      <c r="C62" s="45"/>
      <c r="D62" s="44"/>
      <c r="E62" s="44"/>
      <c r="F62" s="44"/>
      <c r="G62" s="42"/>
      <c r="H62" s="44"/>
      <c r="I62" s="44"/>
      <c r="J62" s="45"/>
      <c r="K62" s="42"/>
      <c r="L62" s="44"/>
      <c r="M62" s="44"/>
      <c r="N62" s="45"/>
      <c r="O62" s="46">
        <f t="shared" ref="O62:X62" si="5">SUM(O5:O58)</f>
        <v>240</v>
      </c>
      <c r="P62" s="46">
        <f t="shared" si="5"/>
        <v>26</v>
      </c>
      <c r="Q62" s="46">
        <f t="shared" si="5"/>
        <v>234</v>
      </c>
      <c r="R62" s="46">
        <f t="shared" si="5"/>
        <v>109</v>
      </c>
      <c r="S62" s="46">
        <f t="shared" si="5"/>
        <v>290</v>
      </c>
      <c r="T62" s="46">
        <f t="shared" si="5"/>
        <v>88</v>
      </c>
      <c r="U62" s="46">
        <f t="shared" si="5"/>
        <v>313</v>
      </c>
      <c r="V62" s="46">
        <f t="shared" si="5"/>
        <v>148</v>
      </c>
      <c r="W62" s="46">
        <f t="shared" si="5"/>
        <v>609</v>
      </c>
      <c r="X62" s="46">
        <f t="shared" si="5"/>
        <v>839</v>
      </c>
    </row>
    <row r="63" spans="1:24" x14ac:dyDescent="0.15">
      <c r="A63" s="47"/>
      <c r="B63" s="43"/>
      <c r="C63" s="45"/>
      <c r="D63" s="44"/>
      <c r="E63" s="44"/>
      <c r="F63" s="44"/>
      <c r="G63" s="42"/>
      <c r="H63" s="44"/>
      <c r="I63" s="44"/>
      <c r="J63" s="45"/>
      <c r="K63" s="42"/>
      <c r="L63" s="44"/>
      <c r="M63" s="44"/>
      <c r="N63" s="45"/>
      <c r="O63" s="46"/>
      <c r="P63" s="46"/>
      <c r="Q63" s="46"/>
      <c r="R63" s="46"/>
      <c r="S63" s="46"/>
      <c r="T63" s="46"/>
      <c r="U63" s="46"/>
      <c r="V63" s="46"/>
    </row>
    <row r="64" spans="1:24" x14ac:dyDescent="0.15">
      <c r="A64" s="47"/>
      <c r="B64" s="43"/>
      <c r="C64" s="45"/>
      <c r="D64" s="44"/>
      <c r="E64" s="44"/>
      <c r="F64" s="44"/>
      <c r="G64" s="42"/>
      <c r="H64" s="44"/>
      <c r="I64" s="44"/>
      <c r="J64" s="45"/>
      <c r="K64" s="42"/>
      <c r="L64" s="44"/>
      <c r="M64" s="44"/>
      <c r="N64" s="45"/>
      <c r="O64" s="46"/>
      <c r="P64" s="46"/>
      <c r="Q64" s="46"/>
      <c r="R64" s="46"/>
      <c r="S64" s="46"/>
      <c r="T64" s="46"/>
      <c r="U64" s="46"/>
      <c r="V64" s="46"/>
    </row>
    <row r="65" spans="1:22" x14ac:dyDescent="0.15">
      <c r="A65" s="47"/>
      <c r="B65" s="43"/>
      <c r="C65" s="45"/>
      <c r="D65" s="44"/>
      <c r="E65" s="44"/>
      <c r="F65" s="44"/>
      <c r="G65" s="42"/>
      <c r="H65" s="44"/>
      <c r="I65" s="44"/>
      <c r="J65" s="45"/>
      <c r="K65" s="42"/>
      <c r="L65" s="44"/>
      <c r="M65" s="44"/>
      <c r="N65" s="45"/>
      <c r="O65" s="46"/>
      <c r="P65" s="46"/>
      <c r="Q65" s="46"/>
      <c r="R65" s="46"/>
      <c r="S65" s="46"/>
      <c r="T65" s="46"/>
      <c r="U65" s="46"/>
      <c r="V65" s="46"/>
    </row>
    <row r="66" spans="1:22" x14ac:dyDescent="0.15">
      <c r="A66" s="47"/>
      <c r="B66" s="43"/>
      <c r="C66" s="45"/>
      <c r="D66" s="44"/>
      <c r="E66" s="44"/>
      <c r="F66" s="44"/>
      <c r="G66" s="42"/>
      <c r="H66" s="44"/>
      <c r="I66" s="44"/>
      <c r="J66" s="45"/>
      <c r="K66" s="42"/>
      <c r="L66" s="44"/>
      <c r="M66" s="44"/>
      <c r="N66" s="45"/>
      <c r="O66" s="46"/>
      <c r="P66" s="46"/>
      <c r="Q66" s="46"/>
      <c r="R66" s="46"/>
      <c r="S66" s="46"/>
      <c r="T66" s="46"/>
      <c r="U66" s="46"/>
      <c r="V66" s="46"/>
    </row>
  </sheetData>
  <phoneticPr fontId="9" type="noConversion"/>
  <printOptions horizontalCentered="1"/>
  <pageMargins left="0.35433070866141736" right="0.35433070866141736" top="0.39370078740157483" bottom="0.39370078740157483" header="0" footer="0"/>
  <pageSetup paperSize="9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B81"/>
  <sheetViews>
    <sheetView workbookViewId="0">
      <pane xSplit="3" ySplit="4" topLeftCell="AP17" activePane="bottomRight" state="frozenSplit"/>
      <selection pane="topRight" activeCell="C1" sqref="C1"/>
      <selection pane="bottomLeft" activeCell="AQ2" sqref="AQ2"/>
      <selection pane="bottomRight" activeCell="AX54" sqref="AX54"/>
    </sheetView>
  </sheetViews>
  <sheetFormatPr defaultRowHeight="13.5" x14ac:dyDescent="0.15"/>
  <cols>
    <col min="3" max="3" width="11.7109375" customWidth="1"/>
    <col min="4" max="4" width="13.7109375" customWidth="1"/>
    <col min="5" max="5" width="12.7109375" bestFit="1" customWidth="1"/>
    <col min="6" max="6" width="12.42578125" bestFit="1" customWidth="1"/>
    <col min="7" max="7" width="14.42578125" bestFit="1" customWidth="1"/>
    <col min="8" max="8" width="14.28515625" bestFit="1" customWidth="1"/>
    <col min="9" max="9" width="12.5703125" bestFit="1" customWidth="1"/>
    <col min="10" max="10" width="5.28515625" bestFit="1" customWidth="1"/>
    <col min="11" max="11" width="12.140625" bestFit="1" customWidth="1"/>
    <col min="12" max="13" width="13.42578125" bestFit="1" customWidth="1"/>
    <col min="14" max="14" width="12.7109375" bestFit="1" customWidth="1"/>
    <col min="15" max="15" width="11.42578125" bestFit="1" customWidth="1"/>
    <col min="16" max="16" width="14.42578125" bestFit="1" customWidth="1"/>
    <col min="17" max="17" width="12.85546875" bestFit="1" customWidth="1"/>
    <col min="18" max="18" width="12.42578125" bestFit="1" customWidth="1"/>
    <col min="19" max="19" width="13.42578125" bestFit="1" customWidth="1"/>
    <col min="20" max="20" width="11.85546875" bestFit="1" customWidth="1"/>
    <col min="21" max="21" width="16.28515625" bestFit="1" customWidth="1"/>
    <col min="22" max="22" width="12.5703125" bestFit="1" customWidth="1"/>
    <col min="23" max="23" width="12.85546875" bestFit="1" customWidth="1"/>
    <col min="24" max="24" width="13.7109375" bestFit="1" customWidth="1"/>
    <col min="25" max="25" width="3.28515625" customWidth="1"/>
    <col min="26" max="26" width="15.28515625" bestFit="1" customWidth="1"/>
    <col min="27" max="27" width="13.7109375" bestFit="1" customWidth="1"/>
    <col min="28" max="28" width="3.28515625" customWidth="1"/>
    <col min="29" max="29" width="13.42578125" bestFit="1" customWidth="1"/>
    <col min="30" max="32" width="3.28515625" customWidth="1"/>
    <col min="33" max="33" width="12.5703125" bestFit="1" customWidth="1"/>
    <col min="34" max="34" width="11.28515625" bestFit="1" customWidth="1"/>
    <col min="35" max="35" width="2.85546875" bestFit="1" customWidth="1"/>
    <col min="36" max="37" width="13.42578125" bestFit="1" customWidth="1"/>
    <col min="38" max="38" width="3.28515625" customWidth="1"/>
    <col min="39" max="39" width="11.85546875" bestFit="1" customWidth="1"/>
    <col min="40" max="40" width="14.42578125" bestFit="1" customWidth="1"/>
    <col min="41" max="41" width="12.5703125" bestFit="1" customWidth="1"/>
    <col min="42" max="42" width="12.7109375" bestFit="1" customWidth="1"/>
    <col min="43" max="43" width="14.140625" bestFit="1" customWidth="1"/>
    <col min="44" max="44" width="12.7109375" bestFit="1" customWidth="1"/>
    <col min="45" max="45" width="12.85546875" bestFit="1" customWidth="1"/>
    <col min="46" max="46" width="15.28515625" bestFit="1" customWidth="1"/>
    <col min="47" max="47" width="14.140625" bestFit="1" customWidth="1"/>
    <col min="48" max="48" width="3.28515625" customWidth="1"/>
    <col min="49" max="49" width="13.42578125" bestFit="1" customWidth="1"/>
    <col min="50" max="50" width="14.5703125" customWidth="1"/>
    <col min="51" max="51" width="13.140625" bestFit="1" customWidth="1"/>
    <col min="52" max="52" width="13.7109375" bestFit="1" customWidth="1"/>
    <col min="53" max="57" width="13.42578125" customWidth="1"/>
    <col min="58" max="58" width="3.7109375" customWidth="1"/>
    <col min="59" max="59" width="2.85546875" bestFit="1" customWidth="1"/>
    <col min="60" max="60" width="3" customWidth="1"/>
    <col min="61" max="82" width="2.85546875" bestFit="1" customWidth="1"/>
    <col min="83" max="83" width="8.28515625" customWidth="1"/>
    <col min="84" max="84" width="4.85546875" customWidth="1"/>
    <col min="85" max="85" width="4.42578125" customWidth="1"/>
    <col min="86" max="86" width="7.42578125" customWidth="1"/>
    <col min="87" max="87" width="8.140625" hidden="1" customWidth="1"/>
    <col min="88" max="88" width="8.140625" customWidth="1"/>
    <col min="89" max="89" width="5.28515625" customWidth="1"/>
    <col min="90" max="90" width="8.5703125" style="73" customWidth="1"/>
    <col min="91" max="91" width="6.7109375" customWidth="1"/>
    <col min="92" max="92" width="6.42578125" customWidth="1"/>
    <col min="93" max="93" width="5.5703125" bestFit="1" customWidth="1"/>
    <col min="94" max="94" width="4.42578125" customWidth="1"/>
    <col min="95" max="95" width="6" bestFit="1" customWidth="1"/>
    <col min="96" max="97" width="4" bestFit="1" customWidth="1"/>
    <col min="98" max="99" width="3.140625" bestFit="1" customWidth="1"/>
    <col min="100" max="100" width="3.42578125" bestFit="1" customWidth="1"/>
    <col min="101" max="101" width="7.5703125" bestFit="1" customWidth="1"/>
    <col min="102" max="103" width="5.42578125" bestFit="1" customWidth="1"/>
    <col min="104" max="104" width="9.5703125" bestFit="1" customWidth="1"/>
  </cols>
  <sheetData>
    <row r="1" spans="1:106" s="1" customFormat="1" ht="51" x14ac:dyDescent="0.15">
      <c r="C1" s="4" t="str">
        <f t="array" ref="C1:CD4">TRANSPOSE(Matches!B4:E81)</f>
        <v>Date</v>
      </c>
      <c r="D1" s="5">
        <v>35547</v>
      </c>
      <c r="E1" s="5">
        <v>35553</v>
      </c>
      <c r="F1" s="5">
        <v>35554</v>
      </c>
      <c r="G1" s="5">
        <v>35555</v>
      </c>
      <c r="H1" s="5">
        <v>35560</v>
      </c>
      <c r="I1" s="5">
        <v>35561</v>
      </c>
      <c r="J1" s="5">
        <v>35561</v>
      </c>
      <c r="K1" s="5">
        <v>35567</v>
      </c>
      <c r="L1" s="5">
        <v>35568</v>
      </c>
      <c r="M1" s="5">
        <v>35568</v>
      </c>
      <c r="N1" s="5">
        <v>35574</v>
      </c>
      <c r="O1" s="5">
        <v>35575</v>
      </c>
      <c r="P1" s="5">
        <v>35576</v>
      </c>
      <c r="Q1" s="5">
        <v>35577</v>
      </c>
      <c r="R1" s="5">
        <v>35581</v>
      </c>
      <c r="S1" s="5">
        <v>35582</v>
      </c>
      <c r="T1" s="5">
        <v>35582</v>
      </c>
      <c r="U1" s="5">
        <v>35588</v>
      </c>
      <c r="V1" s="5">
        <v>35589</v>
      </c>
      <c r="W1" s="5">
        <v>35589</v>
      </c>
      <c r="X1" s="5">
        <v>35595</v>
      </c>
      <c r="Y1" s="5">
        <v>35596</v>
      </c>
      <c r="Z1" s="5">
        <v>35596</v>
      </c>
      <c r="AA1" s="5">
        <v>35602</v>
      </c>
      <c r="AB1" s="5">
        <v>35603</v>
      </c>
      <c r="AC1" s="5">
        <v>35603</v>
      </c>
      <c r="AD1" s="5">
        <v>35609</v>
      </c>
      <c r="AE1" s="5">
        <v>35610</v>
      </c>
      <c r="AF1" s="5">
        <v>35610</v>
      </c>
      <c r="AG1" s="5">
        <v>35616</v>
      </c>
      <c r="AH1" s="5">
        <v>35617</v>
      </c>
      <c r="AI1" s="5">
        <v>35624</v>
      </c>
      <c r="AJ1" s="5">
        <v>35630</v>
      </c>
      <c r="AK1" s="5">
        <v>35631</v>
      </c>
      <c r="AL1" s="5">
        <v>35637</v>
      </c>
      <c r="AM1" s="5">
        <v>35638</v>
      </c>
      <c r="AN1" s="5">
        <v>35644</v>
      </c>
      <c r="AO1" s="5">
        <v>35645</v>
      </c>
      <c r="AP1" s="5">
        <v>35651</v>
      </c>
      <c r="AQ1" s="5">
        <v>35652</v>
      </c>
      <c r="AR1" s="5">
        <v>35658</v>
      </c>
      <c r="AS1" s="5">
        <v>35659</v>
      </c>
      <c r="AT1" s="5">
        <v>35665</v>
      </c>
      <c r="AU1" s="5">
        <v>35666</v>
      </c>
      <c r="AV1" s="5">
        <v>35672</v>
      </c>
      <c r="AW1" s="5">
        <v>35673</v>
      </c>
      <c r="AX1" s="5">
        <v>35679</v>
      </c>
      <c r="AY1" s="5">
        <v>35680</v>
      </c>
      <c r="AZ1" s="5">
        <v>35680</v>
      </c>
      <c r="BA1" s="5">
        <v>35686</v>
      </c>
      <c r="BB1" s="5">
        <v>35687</v>
      </c>
      <c r="BC1" s="5">
        <v>35687</v>
      </c>
      <c r="BD1" s="5">
        <v>35693</v>
      </c>
      <c r="BE1" s="5">
        <v>35694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>
        <v>0</v>
      </c>
      <c r="CB1" s="5">
        <v>0</v>
      </c>
      <c r="CC1" s="5" t="e">
        <v>#N/A</v>
      </c>
      <c r="CD1" s="5" t="e">
        <v>#N/A</v>
      </c>
      <c r="CL1" s="72"/>
    </row>
    <row r="2" spans="1:106" ht="182.25" x14ac:dyDescent="0.15">
      <c r="C2" s="3" t="str">
        <v>Opp</v>
      </c>
      <c r="D2" s="2" t="str">
        <v>Selsdon</v>
      </c>
      <c r="E2" s="2" t="str">
        <v>West Wickham</v>
      </c>
      <c r="F2" s="2" t="str">
        <v>Commonwealth Offices [30-over match]</v>
      </c>
      <c r="G2" s="2" t="str">
        <v>Seaford</v>
      </c>
      <c r="H2" s="2" t="str">
        <v>Park Hill [20-over match - rain]</v>
      </c>
      <c r="I2" s="2" t="str">
        <v>Falcon</v>
      </c>
      <c r="J2" s="2" t="str">
        <v>Morden 2nds</v>
      </c>
      <c r="K2" s="2" t="str">
        <v>West Wickham</v>
      </c>
      <c r="L2" s="2" t="str">
        <v>Thurlow Park RAFA</v>
      </c>
      <c r="M2" s="2" t="str">
        <v>Merton Saints</v>
      </c>
      <c r="N2" s="2" t="str">
        <v>Frensham</v>
      </c>
      <c r="O2" s="2" t="str">
        <v>Woodgreen</v>
      </c>
      <c r="P2" s="2" t="str">
        <v>Steeple Langford</v>
      </c>
      <c r="Q2" s="2" t="str">
        <v>Cove</v>
      </c>
      <c r="R2" s="2" t="str">
        <v>Deansbank</v>
      </c>
      <c r="S2" s="2" t="str">
        <v>Bromley Common II</v>
      </c>
      <c r="T2" s="2" t="str">
        <v>Surrey Gymkhana</v>
      </c>
      <c r="U2" s="2" t="str">
        <v>Merton</v>
      </c>
      <c r="V2" s="2" t="str">
        <v>Frensham</v>
      </c>
      <c r="W2" s="2" t="str">
        <v>Merton Saints</v>
      </c>
      <c r="X2" s="2" t="str">
        <v>Caterham</v>
      </c>
      <c r="Y2" s="2" t="str">
        <v>Warlingham Park Hosp</v>
      </c>
      <c r="Z2" s="2" t="str">
        <v>4 C's</v>
      </c>
      <c r="AA2" s="2" t="str">
        <v>Hamsey Green</v>
      </c>
      <c r="AB2" s="2" t="str">
        <v>Carshalton</v>
      </c>
      <c r="AC2" s="2" t="str">
        <v>Addington</v>
      </c>
      <c r="AD2" s="2" t="str">
        <v>Central YMCA [No play]</v>
      </c>
      <c r="AE2" s="2" t="str">
        <v>?</v>
      </c>
      <c r="AF2" s="2" t="str">
        <v>Sunderland Supporters [no play]</v>
      </c>
      <c r="AG2" s="2" t="str">
        <v>Deansbank</v>
      </c>
      <c r="AH2" s="2" t="str">
        <v>Murray</v>
      </c>
      <c r="AI2" s="2" t="str">
        <v>DOUBLE WICKET</v>
      </c>
      <c r="AJ2" s="2" t="str">
        <v>Park Hill</v>
      </c>
      <c r="AK2" s="2" t="str">
        <v>Falcon</v>
      </c>
      <c r="AL2" s="2" t="str">
        <v>LESSA Wanderers [no play]</v>
      </c>
      <c r="AM2" s="2" t="str">
        <v>Blenden</v>
      </c>
      <c r="AN2" s="2" t="str">
        <v>Flying Wickets</v>
      </c>
      <c r="AO2" s="2" t="str">
        <v>Whyteleaf</v>
      </c>
      <c r="AP2" s="2" t="str">
        <v>Sutton</v>
      </c>
      <c r="AQ2" s="2" t="str">
        <v>Addington</v>
      </c>
      <c r="AR2" s="2" t="str">
        <v>Riverside</v>
      </c>
      <c r="AS2" s="2" t="str">
        <v>Hextable</v>
      </c>
      <c r="AT2" s="2" t="str">
        <v>Central YMCA</v>
      </c>
      <c r="AU2" s="2" t="str">
        <v>Eltham</v>
      </c>
      <c r="AV2" s="2" t="str">
        <v>Hamsey Green [no play]</v>
      </c>
      <c r="AW2" s="2" t="str">
        <v>Puttenham &amp; Wandborough</v>
      </c>
      <c r="AX2" s="2" t="str">
        <v>LESSA Wanderers</v>
      </c>
      <c r="AY2" s="2" t="str">
        <v>Selsdon</v>
      </c>
      <c r="AZ2" s="2" t="str">
        <v>Morden 2nds</v>
      </c>
      <c r="BA2" s="2" t="str">
        <v>Graveney</v>
      </c>
      <c r="BB2" s="2" t="str">
        <v>Beddington</v>
      </c>
      <c r="BC2" s="2" t="str">
        <v>East Cheam</v>
      </c>
      <c r="BD2" s="2" t="str">
        <v>Mad Hatters</v>
      </c>
      <c r="BE2" s="2" t="str">
        <v>Murray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 t="e">
        <v>#N/A</v>
      </c>
      <c r="CD2" s="2" t="e">
        <v>#N/A</v>
      </c>
      <c r="CO2" t="s">
        <v>6</v>
      </c>
    </row>
    <row r="3" spans="1:106" x14ac:dyDescent="0.15">
      <c r="C3" s="3" t="str">
        <v>Venue</v>
      </c>
      <c r="D3" s="3" t="str">
        <v>A</v>
      </c>
      <c r="E3" s="3" t="str">
        <v>H</v>
      </c>
      <c r="F3" s="3" t="str">
        <v>H</v>
      </c>
      <c r="G3" s="3" t="str">
        <v>A</v>
      </c>
      <c r="H3" s="3" t="str">
        <v>H</v>
      </c>
      <c r="I3" s="3" t="str">
        <v>A</v>
      </c>
      <c r="J3" s="3" t="str">
        <v>H</v>
      </c>
      <c r="K3" s="3" t="str">
        <v>A</v>
      </c>
      <c r="L3" s="3" t="str">
        <v>H</v>
      </c>
      <c r="M3" s="3" t="str">
        <v>A</v>
      </c>
      <c r="N3" s="3" t="str">
        <v>A</v>
      </c>
      <c r="O3" s="3" t="str">
        <v>A</v>
      </c>
      <c r="P3" s="3" t="str">
        <v>A</v>
      </c>
      <c r="Q3" s="3" t="str">
        <v>A</v>
      </c>
      <c r="R3" s="3" t="str">
        <v>H</v>
      </c>
      <c r="S3" s="3" t="str">
        <v>H</v>
      </c>
      <c r="T3" s="3" t="str">
        <v>A</v>
      </c>
      <c r="U3" s="3" t="str">
        <v>A</v>
      </c>
      <c r="V3" s="3" t="str">
        <v>A</v>
      </c>
      <c r="W3" s="3" t="str">
        <v>H</v>
      </c>
      <c r="X3" s="3" t="str">
        <v>H</v>
      </c>
      <c r="Y3" s="3" t="str">
        <v>A</v>
      </c>
      <c r="Z3" s="3" t="str">
        <v>H</v>
      </c>
      <c r="AA3" s="3" t="str">
        <v>H</v>
      </c>
      <c r="AB3" s="3" t="str">
        <v>H</v>
      </c>
      <c r="AC3" s="3" t="str">
        <v>A</v>
      </c>
      <c r="AD3" s="3" t="str">
        <v>A</v>
      </c>
      <c r="AE3" s="3" t="str">
        <v>?</v>
      </c>
      <c r="AF3" s="3" t="str">
        <v>H</v>
      </c>
      <c r="AG3" s="3" t="str">
        <v>A</v>
      </c>
      <c r="AH3" s="3" t="str">
        <v>A</v>
      </c>
      <c r="AI3" s="3" t="str">
        <v>H</v>
      </c>
      <c r="AJ3" s="3" t="str">
        <v>A</v>
      </c>
      <c r="AK3" s="3" t="str">
        <v>H</v>
      </c>
      <c r="AL3" s="3" t="str">
        <v>A</v>
      </c>
      <c r="AM3" s="3" t="str">
        <v>H</v>
      </c>
      <c r="AN3" s="3" t="str">
        <v>H</v>
      </c>
      <c r="AO3" s="3" t="str">
        <v>A</v>
      </c>
      <c r="AP3" s="3" t="str">
        <v>A</v>
      </c>
      <c r="AQ3" s="3" t="str">
        <v>H</v>
      </c>
      <c r="AR3" s="3" t="str">
        <v>H</v>
      </c>
      <c r="AS3" s="3" t="str">
        <v>H</v>
      </c>
      <c r="AT3" s="3" t="str">
        <v>H</v>
      </c>
      <c r="AU3" s="3" t="str">
        <v>H</v>
      </c>
      <c r="AV3" s="3" t="str">
        <v>A</v>
      </c>
      <c r="AW3" s="3" t="str">
        <v>A</v>
      </c>
      <c r="AX3" s="3" t="str">
        <v>H</v>
      </c>
      <c r="AY3" s="3" t="str">
        <v>H</v>
      </c>
      <c r="AZ3" s="3" t="str">
        <v>A</v>
      </c>
      <c r="BA3" s="3" t="str">
        <v>H</v>
      </c>
      <c r="BB3" s="3" t="str">
        <v>A</v>
      </c>
      <c r="BC3" s="3" t="str">
        <v>H</v>
      </c>
      <c r="BD3" s="3" t="str">
        <v>H</v>
      </c>
      <c r="BE3" s="3" t="str">
        <v>H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>
        <v>0</v>
      </c>
      <c r="CC3" s="3" t="e">
        <v>#N/A</v>
      </c>
      <c r="CD3" s="3" t="e">
        <v>#N/A</v>
      </c>
    </row>
    <row r="4" spans="1:106" x14ac:dyDescent="0.3">
      <c r="C4" s="3" t="str">
        <v>Result</v>
      </c>
      <c r="D4" t="str">
        <v>W</v>
      </c>
      <c r="E4" s="3" t="str">
        <v>L</v>
      </c>
      <c r="F4" s="3" t="str">
        <v>L</v>
      </c>
      <c r="G4" s="3" t="str">
        <v>W</v>
      </c>
      <c r="H4" s="3" t="str">
        <v>L</v>
      </c>
      <c r="I4" s="3" t="str">
        <v>W</v>
      </c>
      <c r="J4" s="3">
        <v>0</v>
      </c>
      <c r="K4" s="3" t="str">
        <v>L</v>
      </c>
      <c r="L4" s="3" t="str">
        <v>W</v>
      </c>
      <c r="M4" s="3" t="str">
        <v>W</v>
      </c>
      <c r="N4" s="3" t="str">
        <v>W</v>
      </c>
      <c r="O4" s="3" t="str">
        <v>L</v>
      </c>
      <c r="P4" s="3" t="str">
        <v>L</v>
      </c>
      <c r="Q4" s="3" t="str">
        <v>D</v>
      </c>
      <c r="R4" s="3" t="str">
        <v>W</v>
      </c>
      <c r="S4" s="3" t="str">
        <v>W</v>
      </c>
      <c r="T4" s="3" t="str">
        <v>L</v>
      </c>
      <c r="U4" s="3" t="str">
        <v>W</v>
      </c>
      <c r="V4" s="3" t="str">
        <v>W</v>
      </c>
      <c r="W4" s="3" t="str">
        <v>D</v>
      </c>
      <c r="X4" s="3" t="str">
        <v>W</v>
      </c>
      <c r="Y4" s="3">
        <v>0</v>
      </c>
      <c r="Z4" s="3" t="str">
        <v>W</v>
      </c>
      <c r="AA4" s="3" t="str">
        <v>D</v>
      </c>
      <c r="AB4" s="3">
        <v>0</v>
      </c>
      <c r="AC4" s="3" t="str">
        <v>D</v>
      </c>
      <c r="AD4" s="3">
        <v>0</v>
      </c>
      <c r="AE4" s="3">
        <v>0</v>
      </c>
      <c r="AF4" s="3">
        <v>0</v>
      </c>
      <c r="AG4" s="3" t="str">
        <v>L</v>
      </c>
      <c r="AH4" s="3" t="str">
        <v>D</v>
      </c>
      <c r="AI4" s="3">
        <v>0</v>
      </c>
      <c r="AJ4" s="3" t="str">
        <v>D</v>
      </c>
      <c r="AK4" s="3" t="str">
        <v>D</v>
      </c>
      <c r="AL4" s="3">
        <v>0</v>
      </c>
      <c r="AM4" s="3" t="str">
        <v>W</v>
      </c>
      <c r="AN4" s="3" t="str">
        <v>W</v>
      </c>
      <c r="AO4" s="3" t="str">
        <v>W</v>
      </c>
      <c r="AP4" s="3" t="str">
        <v>L</v>
      </c>
      <c r="AQ4" s="3" t="str">
        <v>D</v>
      </c>
      <c r="AR4" s="3" t="str">
        <v>D</v>
      </c>
      <c r="AS4" s="3" t="str">
        <v>D</v>
      </c>
      <c r="AT4" s="3" t="str">
        <v>W</v>
      </c>
      <c r="AU4" s="3" t="str">
        <v>D</v>
      </c>
      <c r="AV4" s="3">
        <v>0</v>
      </c>
      <c r="AW4" s="3" t="str">
        <v>D</v>
      </c>
      <c r="AX4" s="3" t="str">
        <v>W</v>
      </c>
      <c r="AY4" s="3" t="str">
        <v>W</v>
      </c>
      <c r="AZ4" s="3" t="str">
        <v>D</v>
      </c>
      <c r="BA4" s="3" t="str">
        <v>L</v>
      </c>
      <c r="BB4" s="3" t="str">
        <v>W</v>
      </c>
      <c r="BC4" s="3" t="str">
        <v>D</v>
      </c>
      <c r="BD4" s="3" t="str">
        <v>W</v>
      </c>
      <c r="BE4" s="3" t="str">
        <v>D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>
        <v>0</v>
      </c>
      <c r="CC4" s="3" t="e">
        <v>#N/A</v>
      </c>
      <c r="CD4" s="3" t="e">
        <v>#N/A</v>
      </c>
      <c r="CE4" s="6" t="s">
        <v>7</v>
      </c>
      <c r="CF4" s="6" t="s">
        <v>8</v>
      </c>
      <c r="CG4" s="6" t="s">
        <v>9</v>
      </c>
      <c r="CH4" s="6" t="s">
        <v>10</v>
      </c>
      <c r="CI4" s="6" t="s">
        <v>1079</v>
      </c>
      <c r="CJ4" s="6" t="s">
        <v>11</v>
      </c>
      <c r="CK4" s="6" t="s">
        <v>12</v>
      </c>
      <c r="CL4" s="74" t="s">
        <v>13</v>
      </c>
      <c r="CM4" t="s">
        <v>14</v>
      </c>
      <c r="CN4" t="s">
        <v>15</v>
      </c>
      <c r="CO4" s="6" t="s">
        <v>16</v>
      </c>
      <c r="CP4" s="6" t="s">
        <v>17</v>
      </c>
      <c r="CQ4" s="6" t="s">
        <v>18</v>
      </c>
      <c r="CR4" s="6" t="s">
        <v>19</v>
      </c>
      <c r="CS4" s="6" t="s">
        <v>20</v>
      </c>
      <c r="CT4" s="6" t="s">
        <v>21</v>
      </c>
      <c r="CU4" s="6" t="s">
        <v>22</v>
      </c>
      <c r="CV4" s="6" t="s">
        <v>23</v>
      </c>
      <c r="CW4" s="6" t="s">
        <v>24</v>
      </c>
      <c r="CX4" s="6" t="s">
        <v>25</v>
      </c>
      <c r="CY4" s="6" t="s">
        <v>26</v>
      </c>
      <c r="CZ4" s="6" t="s">
        <v>27</v>
      </c>
      <c r="DA4" t="s">
        <v>1086</v>
      </c>
      <c r="DB4" t="s">
        <v>1088</v>
      </c>
    </row>
    <row r="5" spans="1:106" x14ac:dyDescent="0.15">
      <c r="A5" t="str">
        <f>UPPER(LEFT(B5,2)&amp;LEFT(C5,2))</f>
        <v>GLAN</v>
      </c>
      <c r="B5" t="s">
        <v>29</v>
      </c>
      <c r="C5" t="s">
        <v>30</v>
      </c>
      <c r="AY5" t="s">
        <v>931</v>
      </c>
      <c r="CE5">
        <f t="shared" ref="CE5:CE14" si="0">BatSplit(D5:CD5,MatchesPlayed)</f>
        <v>1</v>
      </c>
      <c r="CF5">
        <f t="shared" ref="CF5:CF17" si="1">CE5-CG5</f>
        <v>0</v>
      </c>
      <c r="CG5">
        <f t="shared" ref="CG5:CG17" si="2">BatSplit(D5:CD5,InnsBattedIn)</f>
        <v>1</v>
      </c>
      <c r="CH5">
        <f t="shared" ref="CH5:CH17" si="3">BatSplit(D5:CD5,NotOuts)</f>
        <v>0</v>
      </c>
      <c r="CI5">
        <f t="shared" ref="CI5:CI17" si="4">BatSplit(D5:CD5,HighestScore)</f>
        <v>2</v>
      </c>
      <c r="CJ5">
        <f>IF(CI5&lt;0,-CI5&amp;"*",CI5)</f>
        <v>2</v>
      </c>
      <c r="CK5">
        <f t="shared" ref="CK5:CK16" si="5">BatSplit(D5:CD5,RunsScored)</f>
        <v>2</v>
      </c>
      <c r="CL5" s="75">
        <f t="shared" ref="CL5:CL11" si="6">CK5/(CG5-CH5)</f>
        <v>2</v>
      </c>
      <c r="CM5">
        <f t="shared" ref="CM5:CM17" si="7">BatSplit(D5:CD5,BatPts)</f>
        <v>7</v>
      </c>
      <c r="CN5">
        <f t="shared" ref="CN5:CN17" si="8">BatSplit(D5:CD5,FldPts)</f>
        <v>0</v>
      </c>
      <c r="CO5" s="7">
        <f t="array" ref="CO5">SUM(IF(ISERR(FIND("*",D5:CD5)),0,1))</f>
        <v>0</v>
      </c>
      <c r="CP5" s="7">
        <f t="array" ref="CP5">SUM(IF(ISERR(FIND("+",D5:CD5)),0,1))</f>
        <v>0</v>
      </c>
      <c r="CQ5">
        <f t="shared" ref="CQ5:CQ17" si="9">BatSplit(D5:CD5,Ducks)</f>
        <v>0</v>
      </c>
      <c r="CR5" s="7">
        <f t="array" ref="CR5">SUM(IF(ISERR(FIND(CR$4,$D5:$CD5)),0,1))</f>
        <v>1</v>
      </c>
      <c r="CS5" s="7">
        <f t="array" ref="CS5">SUM(IF(ISERR(FIND(CS$4,$D5:$CD5)),0,1))</f>
        <v>0</v>
      </c>
      <c r="CT5" s="7">
        <f t="array" ref="CT5">SUM(IF(ISERR(FIND(CT$4,$D5:$CD5)),0,1))</f>
        <v>0</v>
      </c>
      <c r="CU5" s="7">
        <f t="array" ref="CU5">SUM(IF(ISERR(FIND(CU$4,$D5:$CD5)),0,1))</f>
        <v>0</v>
      </c>
      <c r="CV5" s="7">
        <f t="array" ref="CV5">SUM(IF(ISERR(FIND(CV$4,$D5:$CD5)),0,1))</f>
        <v>0</v>
      </c>
      <c r="CW5">
        <f t="shared" ref="CW5:CW17" si="10">BatSplit(D5:CD5,Catches)</f>
        <v>0</v>
      </c>
      <c r="CX5">
        <f t="shared" ref="CX5:CX17" si="11">BatSplit(D5:CD5,Fours)</f>
        <v>0</v>
      </c>
      <c r="CY5">
        <f t="shared" ref="CY5:CY17" si="12">BatSplit(D5:CD5,Sixes)</f>
        <v>0</v>
      </c>
      <c r="CZ5">
        <f t="shared" ref="CZ5:CZ17" si="13">BatSplit(D5:CD5,Stumpings)</f>
        <v>0</v>
      </c>
      <c r="DA5">
        <f>BatSplit(D5:CD5,CaughtWkt)</f>
        <v>0</v>
      </c>
      <c r="DB5">
        <f>BatSplit(D5:CD5,TwentyFives)</f>
        <v>0</v>
      </c>
    </row>
    <row r="6" spans="1:106" x14ac:dyDescent="0.15">
      <c r="A6" t="str">
        <f>UPPER(LEFT(B6,2)&amp;LEFT(C6,2))</f>
        <v>JOBA</v>
      </c>
      <c r="B6" t="s">
        <v>31</v>
      </c>
      <c r="C6" t="s">
        <v>32</v>
      </c>
      <c r="BB6" t="s">
        <v>949</v>
      </c>
      <c r="CE6">
        <f t="shared" si="0"/>
        <v>1</v>
      </c>
      <c r="CF6">
        <f t="shared" si="1"/>
        <v>0</v>
      </c>
      <c r="CG6">
        <f t="shared" si="2"/>
        <v>1</v>
      </c>
      <c r="CH6">
        <f t="shared" si="3"/>
        <v>0</v>
      </c>
      <c r="CI6">
        <f t="shared" si="4"/>
        <v>0</v>
      </c>
      <c r="CJ6" s="89">
        <f t="shared" ref="CJ6:CJ67" si="14">IF(CI6&lt;0,-CI6&amp;"*",CI6)</f>
        <v>0</v>
      </c>
      <c r="CK6">
        <f t="shared" si="5"/>
        <v>0</v>
      </c>
      <c r="CL6" s="75">
        <f t="shared" si="6"/>
        <v>0</v>
      </c>
      <c r="CM6">
        <f t="shared" si="7"/>
        <v>0</v>
      </c>
      <c r="CN6">
        <f t="shared" si="8"/>
        <v>5</v>
      </c>
      <c r="CO6" s="7">
        <f t="array" ref="CO6">SUM(IF(ISERR(FIND("*",D6:CD6)),0,1))</f>
        <v>0</v>
      </c>
      <c r="CP6" s="7">
        <f t="array" ref="CP6">SUM(IF(ISERR(FIND("+",D6:CD6)),0,1))</f>
        <v>0</v>
      </c>
      <c r="CQ6">
        <f t="shared" si="9"/>
        <v>1</v>
      </c>
      <c r="CR6" s="7">
        <f t="array" ref="CR6">SUM(IF(ISERR(FIND(CR$4,$D6:$CD6)),0,1))</f>
        <v>1</v>
      </c>
      <c r="CS6" s="7">
        <f t="array" ref="CS6">SUM(IF(ISERR(FIND(CS$4,$D6:$CD6)),0,1))</f>
        <v>0</v>
      </c>
      <c r="CT6" s="7">
        <f t="array" ref="CT6">SUM(IF(ISERR(FIND(CT$4,$D6:$CD6)),0,1))</f>
        <v>0</v>
      </c>
      <c r="CU6" s="7">
        <f t="array" ref="CU6">SUM(IF(ISERR(FIND(CU$4,$D6:$CD6)),0,1))</f>
        <v>0</v>
      </c>
      <c r="CV6" s="7">
        <f t="array" ref="CV6">SUM(IF(ISERR(FIND(CV$4,$D6:$CD6)),0,1))</f>
        <v>0</v>
      </c>
      <c r="CW6">
        <f t="shared" si="10"/>
        <v>1</v>
      </c>
      <c r="CX6">
        <f t="shared" si="11"/>
        <v>0</v>
      </c>
      <c r="CY6">
        <f t="shared" si="12"/>
        <v>0</v>
      </c>
      <c r="CZ6">
        <f t="shared" si="13"/>
        <v>0</v>
      </c>
      <c r="DA6">
        <f t="shared" ref="DA6:DA67" si="15">BatSplit(D6:CD6,CaughtWkt)</f>
        <v>0</v>
      </c>
      <c r="DB6">
        <f t="shared" ref="DB6:DB67" si="16">BatSplit(D6:CD6,TwentyFives)</f>
        <v>0</v>
      </c>
    </row>
    <row r="7" spans="1:106" x14ac:dyDescent="0.15">
      <c r="A7" t="str">
        <f>UPPER(LEFT(B7,2)&amp;LEFT(C7,2))</f>
        <v>MIBO</v>
      </c>
      <c r="B7" t="s">
        <v>33</v>
      </c>
      <c r="C7" t="s">
        <v>34</v>
      </c>
      <c r="F7" t="s">
        <v>364</v>
      </c>
      <c r="I7" t="s">
        <v>422</v>
      </c>
      <c r="M7" t="s">
        <v>448</v>
      </c>
      <c r="O7" t="s">
        <v>510</v>
      </c>
      <c r="R7" t="s">
        <v>311</v>
      </c>
      <c r="V7" t="s">
        <v>558</v>
      </c>
      <c r="X7" t="s">
        <v>309</v>
      </c>
      <c r="AA7" t="s">
        <v>311</v>
      </c>
      <c r="AT7" t="s">
        <v>863</v>
      </c>
      <c r="AW7" t="s">
        <v>1051</v>
      </c>
      <c r="AZ7" t="s">
        <v>775</v>
      </c>
      <c r="BD7" t="s">
        <v>445</v>
      </c>
      <c r="CE7">
        <f t="shared" si="0"/>
        <v>12</v>
      </c>
      <c r="CF7">
        <f t="shared" si="1"/>
        <v>4</v>
      </c>
      <c r="CG7">
        <f t="shared" si="2"/>
        <v>8</v>
      </c>
      <c r="CH7">
        <f t="shared" si="3"/>
        <v>1</v>
      </c>
      <c r="CI7">
        <f t="shared" si="4"/>
        <v>19</v>
      </c>
      <c r="CJ7" s="89">
        <f t="shared" si="14"/>
        <v>19</v>
      </c>
      <c r="CK7">
        <f t="shared" si="5"/>
        <v>48</v>
      </c>
      <c r="CL7" s="75">
        <f t="shared" si="6"/>
        <v>6.8571428571428568</v>
      </c>
      <c r="CM7">
        <f t="shared" si="7"/>
        <v>103</v>
      </c>
      <c r="CN7">
        <f t="shared" si="8"/>
        <v>5</v>
      </c>
      <c r="CO7" s="7">
        <f t="array" ref="CO7">SUM(IF(ISERR(FIND("*",D7:CD7)),0,1))</f>
        <v>0</v>
      </c>
      <c r="CP7" s="7">
        <f t="array" ref="CP7">SUM(IF(ISERR(FIND("+",D7:CD7)),0,1))</f>
        <v>0</v>
      </c>
      <c r="CQ7">
        <f t="shared" si="9"/>
        <v>1</v>
      </c>
      <c r="CR7" s="7">
        <f t="array" ref="CR7">SUM(IF(ISERR(FIND(CR$4,$D7:$CD7)),0,1))</f>
        <v>4</v>
      </c>
      <c r="CS7" s="7">
        <f t="array" ref="CS7">SUM(IF(ISERR(FIND(CS$4,$D7:$CD7)),0,1))</f>
        <v>2</v>
      </c>
      <c r="CT7" s="7">
        <f t="array" ref="CT7">SUM(IF(ISERR(FIND(CT$4,$D7:$CD7)),0,1))</f>
        <v>0</v>
      </c>
      <c r="CU7" s="7">
        <f t="array" ref="CU7">SUM(IF(ISERR(FIND(CU$4,$D7:$CD7)),0,1))</f>
        <v>0</v>
      </c>
      <c r="CV7" s="7">
        <f t="array" ref="CV7">SUM(IF(ISERR(FIND(CV$4,$D7:$CD7)),0,1))</f>
        <v>1</v>
      </c>
      <c r="CW7">
        <f t="shared" si="10"/>
        <v>1</v>
      </c>
      <c r="CX7">
        <f t="shared" si="11"/>
        <v>7</v>
      </c>
      <c r="CY7">
        <f t="shared" si="12"/>
        <v>0</v>
      </c>
      <c r="CZ7">
        <f t="shared" si="13"/>
        <v>0</v>
      </c>
      <c r="DA7">
        <f t="shared" si="15"/>
        <v>0</v>
      </c>
      <c r="DB7">
        <f t="shared" si="16"/>
        <v>0</v>
      </c>
    </row>
    <row r="8" spans="1:106" x14ac:dyDescent="0.15">
      <c r="A8" t="str">
        <f>UPPER(LEFT(B8,2)&amp;LEFT(C8,2))</f>
        <v>DABR</v>
      </c>
      <c r="B8" t="s">
        <v>35</v>
      </c>
      <c r="C8" t="s">
        <v>36</v>
      </c>
      <c r="D8" t="s">
        <v>320</v>
      </c>
      <c r="G8" t="s">
        <v>387</v>
      </c>
      <c r="I8" t="s">
        <v>421</v>
      </c>
      <c r="N8" t="s">
        <v>476</v>
      </c>
      <c r="O8" t="s">
        <v>509</v>
      </c>
      <c r="S8" t="s">
        <v>583</v>
      </c>
      <c r="V8" t="s">
        <v>1015</v>
      </c>
      <c r="Z8" t="s">
        <v>648</v>
      </c>
      <c r="AH8" t="s">
        <v>971</v>
      </c>
      <c r="AK8" t="s">
        <v>625</v>
      </c>
      <c r="AQ8" t="s">
        <v>811</v>
      </c>
      <c r="AS8" t="s">
        <v>839</v>
      </c>
      <c r="AU8" t="s">
        <v>876</v>
      </c>
      <c r="BA8" t="s">
        <v>478</v>
      </c>
      <c r="CE8">
        <f t="shared" si="0"/>
        <v>14</v>
      </c>
      <c r="CF8">
        <f t="shared" si="1"/>
        <v>4</v>
      </c>
      <c r="CG8">
        <f t="shared" si="2"/>
        <v>10</v>
      </c>
      <c r="CH8">
        <f t="shared" si="3"/>
        <v>1</v>
      </c>
      <c r="CI8">
        <f t="shared" si="4"/>
        <v>-49</v>
      </c>
      <c r="CJ8" s="89" t="str">
        <f t="shared" si="14"/>
        <v>49*</v>
      </c>
      <c r="CK8">
        <f t="shared" si="5"/>
        <v>119</v>
      </c>
      <c r="CL8" s="75">
        <f t="shared" si="6"/>
        <v>13.222222222222221</v>
      </c>
      <c r="CM8">
        <f t="shared" si="7"/>
        <v>184</v>
      </c>
      <c r="CN8">
        <f t="shared" si="8"/>
        <v>25</v>
      </c>
      <c r="CO8" s="7">
        <f t="array" ref="CO8">SUM(IF(ISERR(FIND("*",D8:CD8)),0,1))</f>
        <v>3</v>
      </c>
      <c r="CP8" s="7">
        <f t="array" ref="CP8">SUM(IF(ISERR(FIND("+",D8:CD8)),0,1))</f>
        <v>0</v>
      </c>
      <c r="CQ8">
        <f t="shared" si="9"/>
        <v>1</v>
      </c>
      <c r="CR8" s="7">
        <f t="array" ref="CR8">SUM(IF(ISERR(FIND(CR$4,$D8:$CD8)),0,1))</f>
        <v>6</v>
      </c>
      <c r="CS8" s="7">
        <f t="array" ref="CS8">SUM(IF(ISERR(FIND(CS$4,$D8:$CD8)),0,1))</f>
        <v>3</v>
      </c>
      <c r="CT8" s="7">
        <f t="array" ref="CT8">SUM(IF(ISERR(FIND(CT$4,$D8:$CD8)),0,1))</f>
        <v>0</v>
      </c>
      <c r="CU8" s="7">
        <f t="array" ref="CU8">SUM(IF(ISERR(FIND(CU$4,$D8:$CD8)),0,1))</f>
        <v>0</v>
      </c>
      <c r="CV8" s="7">
        <f t="array" ref="CV8">SUM(IF(ISERR(FIND(CV$4,$D8:$CD8)),0,1))</f>
        <v>0</v>
      </c>
      <c r="CW8">
        <f t="shared" si="10"/>
        <v>5</v>
      </c>
      <c r="CX8">
        <f t="shared" si="11"/>
        <v>15</v>
      </c>
      <c r="CY8">
        <f t="shared" si="12"/>
        <v>3</v>
      </c>
      <c r="CZ8">
        <f t="shared" si="13"/>
        <v>0</v>
      </c>
      <c r="DA8">
        <f t="shared" si="15"/>
        <v>0</v>
      </c>
      <c r="DB8">
        <f t="shared" si="16"/>
        <v>2</v>
      </c>
    </row>
    <row r="9" spans="1:106" x14ac:dyDescent="0.15">
      <c r="A9" t="str">
        <f>UPPER(LEFT(B9,2)&amp;LEFT(C9,2))</f>
        <v>PECA</v>
      </c>
      <c r="B9" t="s">
        <v>37</v>
      </c>
      <c r="C9" t="s">
        <v>38</v>
      </c>
      <c r="CE9">
        <f t="shared" si="0"/>
        <v>0</v>
      </c>
      <c r="CF9">
        <f t="shared" si="1"/>
        <v>0</v>
      </c>
      <c r="CG9">
        <f t="shared" si="2"/>
        <v>0</v>
      </c>
      <c r="CH9">
        <f t="shared" si="3"/>
        <v>0</v>
      </c>
      <c r="CI9">
        <f t="shared" si="4"/>
        <v>0</v>
      </c>
      <c r="CJ9" s="89">
        <f t="shared" si="14"/>
        <v>0</v>
      </c>
      <c r="CK9">
        <f t="shared" si="5"/>
        <v>0</v>
      </c>
      <c r="CL9" s="75" t="e">
        <f t="shared" si="6"/>
        <v>#DIV/0!</v>
      </c>
      <c r="CM9">
        <f t="shared" si="7"/>
        <v>0</v>
      </c>
      <c r="CN9">
        <f t="shared" si="8"/>
        <v>0</v>
      </c>
      <c r="CO9" s="7">
        <f t="array" ref="CO9">SUM(IF(ISERR(FIND("*",D9:CD9)),0,1))</f>
        <v>0</v>
      </c>
      <c r="CP9" s="7">
        <f t="array" ref="CP9">SUM(IF(ISERR(FIND("+",D9:CD9)),0,1))</f>
        <v>0</v>
      </c>
      <c r="CQ9">
        <f t="shared" si="9"/>
        <v>0</v>
      </c>
      <c r="CR9" s="7">
        <f t="array" ref="CR9">SUM(IF(ISERR(FIND(CR$4,$D9:$CD9)),0,1))</f>
        <v>0</v>
      </c>
      <c r="CS9" s="7">
        <f t="array" ref="CS9">SUM(IF(ISERR(FIND(CS$4,$D9:$CD9)),0,1))</f>
        <v>0</v>
      </c>
      <c r="CT9" s="7">
        <f t="array" ref="CT9">SUM(IF(ISERR(FIND(CT$4,$D9:$CD9)),0,1))</f>
        <v>0</v>
      </c>
      <c r="CU9" s="7">
        <f t="array" ref="CU9">SUM(IF(ISERR(FIND(CU$4,$D9:$CD9)),0,1))</f>
        <v>0</v>
      </c>
      <c r="CV9" s="7">
        <f t="array" ref="CV9">SUM(IF(ISERR(FIND(CV$4,$D9:$CD9)),0,1))</f>
        <v>0</v>
      </c>
      <c r="CW9">
        <f t="shared" si="10"/>
        <v>0</v>
      </c>
      <c r="CX9">
        <f t="shared" si="11"/>
        <v>0</v>
      </c>
      <c r="CY9">
        <f t="shared" si="12"/>
        <v>0</v>
      </c>
      <c r="CZ9">
        <f t="shared" si="13"/>
        <v>0</v>
      </c>
      <c r="DA9">
        <f t="shared" si="15"/>
        <v>0</v>
      </c>
      <c r="DB9">
        <f t="shared" si="16"/>
        <v>0</v>
      </c>
    </row>
    <row r="10" spans="1:106" x14ac:dyDescent="0.15">
      <c r="A10" t="s">
        <v>201</v>
      </c>
      <c r="B10" t="s">
        <v>102</v>
      </c>
      <c r="C10" t="s">
        <v>103</v>
      </c>
      <c r="CE10">
        <f t="shared" si="0"/>
        <v>0</v>
      </c>
      <c r="CF10">
        <f t="shared" si="1"/>
        <v>0</v>
      </c>
      <c r="CG10">
        <f t="shared" si="2"/>
        <v>0</v>
      </c>
      <c r="CH10">
        <f>BatSplit(D10:CD10,NotOuts)</f>
        <v>0</v>
      </c>
      <c r="CI10">
        <f t="shared" si="4"/>
        <v>0</v>
      </c>
      <c r="CJ10" s="89">
        <f t="shared" si="14"/>
        <v>0</v>
      </c>
      <c r="CK10">
        <f t="shared" si="5"/>
        <v>0</v>
      </c>
      <c r="CL10" s="75" t="e">
        <f t="shared" si="6"/>
        <v>#DIV/0!</v>
      </c>
      <c r="CM10">
        <f t="shared" si="7"/>
        <v>0</v>
      </c>
      <c r="CN10">
        <f t="shared" si="8"/>
        <v>0</v>
      </c>
      <c r="CO10" s="7">
        <f t="array" ref="CO10">SUM(IF(ISERR(FIND("*",D10:CD10)),0,1))</f>
        <v>0</v>
      </c>
      <c r="CP10" s="7">
        <f t="array" ref="CP10">SUM(IF(ISERR(FIND("+",D10:CD10)),0,1))</f>
        <v>0</v>
      </c>
      <c r="CQ10">
        <f t="shared" si="9"/>
        <v>0</v>
      </c>
      <c r="CR10" s="7">
        <f t="array" ref="CR10">SUM(IF(ISERR(FIND(CR$4,$D10:$CD10)),0,1))</f>
        <v>0</v>
      </c>
      <c r="CS10" s="7">
        <f t="array" ref="CS10">SUM(IF(ISERR(FIND(CS$4,$D10:$CD10)),0,1))</f>
        <v>0</v>
      </c>
      <c r="CT10" s="7">
        <f t="array" ref="CT10">SUM(IF(ISERR(FIND(CT$4,$D10:$CD10)),0,1))</f>
        <v>0</v>
      </c>
      <c r="CU10" s="7">
        <f t="array" ref="CU10">SUM(IF(ISERR(FIND(CU$4,$D10:$CD10)),0,1))</f>
        <v>0</v>
      </c>
      <c r="CV10" s="7">
        <f t="array" ref="CV10">SUM(IF(ISERR(FIND(CV$4,$D10:$CD10)),0,1))</f>
        <v>0</v>
      </c>
      <c r="CW10">
        <f t="shared" si="10"/>
        <v>0</v>
      </c>
      <c r="CX10">
        <f t="shared" si="11"/>
        <v>0</v>
      </c>
      <c r="CY10">
        <f t="shared" si="12"/>
        <v>0</v>
      </c>
      <c r="CZ10">
        <f t="shared" si="13"/>
        <v>0</v>
      </c>
      <c r="DA10">
        <f t="shared" si="15"/>
        <v>0</v>
      </c>
      <c r="DB10">
        <f t="shared" si="16"/>
        <v>0</v>
      </c>
    </row>
    <row r="11" spans="1:106" x14ac:dyDescent="0.15">
      <c r="A11" t="str">
        <f>UPPER(LEFT(B11,2)&amp;LEFT(C11,2))</f>
        <v>GECH</v>
      </c>
      <c r="B11" t="s">
        <v>39</v>
      </c>
      <c r="C11" t="s">
        <v>40</v>
      </c>
      <c r="Z11" t="s">
        <v>450</v>
      </c>
      <c r="AK11" t="s">
        <v>744</v>
      </c>
      <c r="AM11" t="s">
        <v>774</v>
      </c>
      <c r="CE11">
        <f t="shared" si="0"/>
        <v>3</v>
      </c>
      <c r="CF11">
        <f t="shared" si="1"/>
        <v>0</v>
      </c>
      <c r="CG11">
        <f t="shared" si="2"/>
        <v>3</v>
      </c>
      <c r="CH11">
        <f t="shared" si="3"/>
        <v>0</v>
      </c>
      <c r="CI11">
        <f t="shared" si="4"/>
        <v>12</v>
      </c>
      <c r="CJ11" s="89">
        <f t="shared" si="14"/>
        <v>12</v>
      </c>
      <c r="CK11">
        <f t="shared" si="5"/>
        <v>12</v>
      </c>
      <c r="CL11" s="75">
        <f t="shared" si="6"/>
        <v>4</v>
      </c>
      <c r="CM11">
        <f t="shared" si="7"/>
        <v>17</v>
      </c>
      <c r="CN11">
        <f t="shared" si="8"/>
        <v>0</v>
      </c>
      <c r="CO11" s="7">
        <f t="array" ref="CO11">SUM(IF(ISERR(FIND("*",D11:CD11)),0,1))</f>
        <v>0</v>
      </c>
      <c r="CP11" s="7">
        <f t="array" ref="CP11">SUM(IF(ISERR(FIND("+",D11:CD11)),0,1))</f>
        <v>0</v>
      </c>
      <c r="CQ11">
        <f t="shared" si="9"/>
        <v>2</v>
      </c>
      <c r="CR11" s="7">
        <f t="array" ref="CR11">SUM(IF(ISERR(FIND(CR$4,$D11:$CD11)),0,1))</f>
        <v>0</v>
      </c>
      <c r="CS11" s="7">
        <f t="array" ref="CS11">SUM(IF(ISERR(FIND(CS$4,$D11:$CD11)),0,1))</f>
        <v>2</v>
      </c>
      <c r="CT11" s="7">
        <f t="array" ref="CT11">SUM(IF(ISERR(FIND(CT$4,$D11:$CD11)),0,1))</f>
        <v>0</v>
      </c>
      <c r="CU11" s="7">
        <f t="array" ref="CU11">SUM(IF(ISERR(FIND(CU$4,$D11:$CD11)),0,1))</f>
        <v>1</v>
      </c>
      <c r="CV11" s="7">
        <f t="array" ref="CV11">SUM(IF(ISERR(FIND(CV$4,$D11:$CD11)),0,1))</f>
        <v>0</v>
      </c>
      <c r="CW11">
        <f t="shared" si="10"/>
        <v>0</v>
      </c>
      <c r="CX11">
        <f t="shared" si="11"/>
        <v>1</v>
      </c>
      <c r="CY11">
        <f t="shared" si="12"/>
        <v>1</v>
      </c>
      <c r="CZ11">
        <f t="shared" si="13"/>
        <v>0</v>
      </c>
      <c r="DA11">
        <f t="shared" si="15"/>
        <v>0</v>
      </c>
      <c r="DB11">
        <f t="shared" si="16"/>
        <v>0</v>
      </c>
    </row>
    <row r="12" spans="1:106" x14ac:dyDescent="0.15">
      <c r="A12" t="s">
        <v>205</v>
      </c>
      <c r="B12" t="s">
        <v>92</v>
      </c>
      <c r="C12" t="s">
        <v>1091</v>
      </c>
      <c r="E12" t="s">
        <v>350</v>
      </c>
      <c r="H12" t="s">
        <v>412</v>
      </c>
      <c r="K12" t="s">
        <v>445</v>
      </c>
      <c r="U12" t="s">
        <v>311</v>
      </c>
      <c r="AA12" t="s">
        <v>675</v>
      </c>
      <c r="BA12" t="s">
        <v>477</v>
      </c>
      <c r="CE12">
        <f t="shared" si="0"/>
        <v>6</v>
      </c>
      <c r="CF12">
        <f t="shared" si="1"/>
        <v>2</v>
      </c>
      <c r="CG12">
        <f t="shared" si="2"/>
        <v>4</v>
      </c>
      <c r="CH12">
        <f t="shared" si="3"/>
        <v>3</v>
      </c>
      <c r="CI12">
        <f t="shared" si="4"/>
        <v>4</v>
      </c>
      <c r="CJ12" s="89">
        <f t="shared" si="14"/>
        <v>4</v>
      </c>
      <c r="CK12">
        <f t="shared" si="5"/>
        <v>5</v>
      </c>
      <c r="CL12" s="75">
        <f t="shared" ref="CL12:CL35" si="17">CK12/(CG12-CH12)</f>
        <v>5</v>
      </c>
      <c r="CM12">
        <f t="shared" si="7"/>
        <v>35</v>
      </c>
      <c r="CN12">
        <f t="shared" si="8"/>
        <v>0</v>
      </c>
      <c r="CO12" s="7">
        <f t="array" ref="CO12">SUM(IF(ISERR(FIND("*",D12:CD12)),0,1))</f>
        <v>0</v>
      </c>
      <c r="CP12" s="7">
        <f t="array" ref="CP12">SUM(IF(ISERR(FIND("+",D12:CD12)),0,1))</f>
        <v>0</v>
      </c>
      <c r="CQ12">
        <f t="shared" si="9"/>
        <v>0</v>
      </c>
      <c r="CR12" s="7">
        <f t="array" ref="CR12">SUM(IF(ISERR(FIND(CR$4,$D12:$CD12)),0,1))</f>
        <v>1</v>
      </c>
      <c r="CS12" s="7">
        <f t="array" ref="CS12">SUM(IF(ISERR(FIND(CS$4,$D12:$CD12)),0,1))</f>
        <v>0</v>
      </c>
      <c r="CT12" s="7">
        <f t="array" ref="CT12">SUM(IF(ISERR(FIND(CT$4,$D12:$CD12)),0,1))</f>
        <v>0</v>
      </c>
      <c r="CU12" s="7">
        <f t="array" ref="CU12">SUM(IF(ISERR(FIND(CU$4,$D12:$CD12)),0,1))</f>
        <v>0</v>
      </c>
      <c r="CV12" s="7">
        <f t="array" ref="CV12">SUM(IF(ISERR(FIND(CV$4,$D12:$CD12)),0,1))</f>
        <v>0</v>
      </c>
      <c r="CW12">
        <f t="shared" si="10"/>
        <v>0</v>
      </c>
      <c r="CX12">
        <f t="shared" si="11"/>
        <v>0</v>
      </c>
      <c r="CY12">
        <f t="shared" si="12"/>
        <v>0</v>
      </c>
      <c r="CZ12">
        <f t="shared" si="13"/>
        <v>0</v>
      </c>
      <c r="DA12">
        <f t="shared" si="15"/>
        <v>0</v>
      </c>
      <c r="DB12">
        <f t="shared" si="16"/>
        <v>0</v>
      </c>
    </row>
    <row r="13" spans="1:106" x14ac:dyDescent="0.15">
      <c r="A13" t="str">
        <f t="shared" ref="A13:A18" si="18">UPPER(LEFT(B13,2)&amp;LEFT(C13,2))</f>
        <v>GECO</v>
      </c>
      <c r="B13" t="s">
        <v>39</v>
      </c>
      <c r="C13" t="s">
        <v>41</v>
      </c>
      <c r="G13" t="s">
        <v>386</v>
      </c>
      <c r="M13" t="s">
        <v>1063</v>
      </c>
      <c r="Q13" t="s">
        <v>539</v>
      </c>
      <c r="T13" t="s">
        <v>623</v>
      </c>
      <c r="W13" t="s">
        <v>630</v>
      </c>
      <c r="Z13" t="s">
        <v>639</v>
      </c>
      <c r="AC13" t="s">
        <v>583</v>
      </c>
      <c r="AG13" t="s">
        <v>696</v>
      </c>
      <c r="AJ13" t="s">
        <v>711</v>
      </c>
      <c r="AU13" t="s">
        <v>873</v>
      </c>
      <c r="AW13" t="s">
        <v>1052</v>
      </c>
      <c r="AX13" t="s">
        <v>909</v>
      </c>
      <c r="AY13" t="s">
        <v>930</v>
      </c>
      <c r="BB13" t="s">
        <v>952</v>
      </c>
      <c r="BE13" t="s">
        <v>1002</v>
      </c>
      <c r="CE13">
        <f t="shared" si="0"/>
        <v>15</v>
      </c>
      <c r="CF13">
        <f t="shared" si="1"/>
        <v>0</v>
      </c>
      <c r="CG13">
        <f t="shared" si="2"/>
        <v>15</v>
      </c>
      <c r="CH13">
        <f t="shared" si="3"/>
        <v>5</v>
      </c>
      <c r="CI13">
        <f t="shared" si="4"/>
        <v>75</v>
      </c>
      <c r="CJ13" s="89">
        <f t="shared" si="14"/>
        <v>75</v>
      </c>
      <c r="CK13">
        <f t="shared" si="5"/>
        <v>358</v>
      </c>
      <c r="CL13" s="75">
        <f t="shared" si="17"/>
        <v>35.799999999999997</v>
      </c>
      <c r="CM13">
        <f t="shared" si="7"/>
        <v>463</v>
      </c>
      <c r="CN13">
        <f t="shared" si="8"/>
        <v>20</v>
      </c>
      <c r="CO13" s="7">
        <f t="array" ref="CO13">SUM(IF(ISERR(FIND("*",D13:CD13)),0,1))</f>
        <v>0</v>
      </c>
      <c r="CP13" s="7">
        <f t="array" ref="CP13">SUM(IF(ISERR(FIND("+",D13:CD13)),0,1))</f>
        <v>0</v>
      </c>
      <c r="CQ13">
        <f t="shared" si="9"/>
        <v>0</v>
      </c>
      <c r="CR13" s="7">
        <f t="array" ref="CR13">SUM(IF(ISERR(FIND(CR$4,$D13:$CD13)),0,1))</f>
        <v>4</v>
      </c>
      <c r="CS13" s="7">
        <f t="array" ref="CS13">SUM(IF(ISERR(FIND(CS$4,$D13:$CD13)),0,1))</f>
        <v>5</v>
      </c>
      <c r="CT13" s="7">
        <f t="array" ref="CT13">SUM(IF(ISERR(FIND(CT$4,$D13:$CD13)),0,1))</f>
        <v>0</v>
      </c>
      <c r="CU13" s="7">
        <f t="array" ref="CU13">SUM(IF(ISERR(FIND(CU$4,$D13:$CD13)),0,1))</f>
        <v>1</v>
      </c>
      <c r="CV13" s="7">
        <f t="array" ref="CV13">SUM(IF(ISERR(FIND(CV$4,$D13:$CD13)),0,1))</f>
        <v>0</v>
      </c>
      <c r="CW13">
        <f t="shared" si="10"/>
        <v>4</v>
      </c>
      <c r="CX13">
        <f t="shared" si="11"/>
        <v>41</v>
      </c>
      <c r="CY13">
        <f t="shared" si="12"/>
        <v>0</v>
      </c>
      <c r="CZ13">
        <f t="shared" si="13"/>
        <v>0</v>
      </c>
      <c r="DA13">
        <f t="shared" si="15"/>
        <v>0</v>
      </c>
      <c r="DB13">
        <f t="shared" si="16"/>
        <v>4</v>
      </c>
    </row>
    <row r="14" spans="1:106" x14ac:dyDescent="0.15">
      <c r="A14" t="str">
        <f t="shared" si="18"/>
        <v>MADA</v>
      </c>
      <c r="B14" t="s">
        <v>42</v>
      </c>
      <c r="C14" t="s">
        <v>43</v>
      </c>
      <c r="CE14">
        <f t="shared" si="0"/>
        <v>0</v>
      </c>
      <c r="CF14">
        <f t="shared" si="1"/>
        <v>0</v>
      </c>
      <c r="CG14">
        <f t="shared" si="2"/>
        <v>0</v>
      </c>
      <c r="CH14">
        <f t="shared" si="3"/>
        <v>0</v>
      </c>
      <c r="CI14">
        <f t="shared" si="4"/>
        <v>0</v>
      </c>
      <c r="CJ14" s="89">
        <f t="shared" si="14"/>
        <v>0</v>
      </c>
      <c r="CK14">
        <f t="shared" si="5"/>
        <v>0</v>
      </c>
      <c r="CL14" s="75" t="e">
        <f t="shared" si="17"/>
        <v>#DIV/0!</v>
      </c>
      <c r="CM14">
        <f t="shared" si="7"/>
        <v>0</v>
      </c>
      <c r="CN14">
        <f>BatSplit(D14:CD14,FldPts)</f>
        <v>0</v>
      </c>
      <c r="CO14" s="7">
        <f t="array" ref="CO14">SUM(IF(ISERR(FIND("*",D14:CD14)),0,1))</f>
        <v>0</v>
      </c>
      <c r="CP14" s="7">
        <f t="array" ref="CP14">SUM(IF(ISERR(FIND("+",D14:CD14)),0,1))</f>
        <v>0</v>
      </c>
      <c r="CQ14">
        <f t="shared" si="9"/>
        <v>0</v>
      </c>
      <c r="CR14" s="7">
        <f t="array" ref="CR14">SUM(IF(ISERR(FIND(CR$4,$D14:$CD14)),0,1))</f>
        <v>0</v>
      </c>
      <c r="CS14" s="7">
        <f t="array" ref="CS14">SUM(IF(ISERR(FIND(CS$4,$D14:$CD14)),0,1))</f>
        <v>0</v>
      </c>
      <c r="CT14" s="7">
        <f t="array" ref="CT14">SUM(IF(ISERR(FIND(CT$4,$D14:$CD14)),0,1))</f>
        <v>0</v>
      </c>
      <c r="CU14" s="7">
        <f t="array" ref="CU14">SUM(IF(ISERR(FIND(CU$4,$D14:$CD14)),0,1))</f>
        <v>0</v>
      </c>
      <c r="CV14" s="7">
        <f t="array" ref="CV14">SUM(IF(ISERR(FIND(CV$4,$D14:$CD14)),0,1))</f>
        <v>0</v>
      </c>
      <c r="CW14">
        <f t="shared" si="10"/>
        <v>0</v>
      </c>
      <c r="CX14">
        <f t="shared" si="11"/>
        <v>0</v>
      </c>
      <c r="CY14">
        <f t="shared" si="12"/>
        <v>0</v>
      </c>
      <c r="CZ14">
        <f t="shared" si="13"/>
        <v>0</v>
      </c>
      <c r="DA14">
        <f t="shared" si="15"/>
        <v>0</v>
      </c>
      <c r="DB14">
        <f t="shared" si="16"/>
        <v>0</v>
      </c>
    </row>
    <row r="15" spans="1:106" x14ac:dyDescent="0.15">
      <c r="A15" t="str">
        <f t="shared" si="18"/>
        <v>BRDA</v>
      </c>
      <c r="B15" t="s">
        <v>44</v>
      </c>
      <c r="C15" t="s">
        <v>45</v>
      </c>
      <c r="W15" t="s">
        <v>634</v>
      </c>
      <c r="CE15">
        <f>BatSplit(D15:CD15,MatchesPlayed)</f>
        <v>1</v>
      </c>
      <c r="CF15">
        <f t="shared" si="1"/>
        <v>0</v>
      </c>
      <c r="CG15">
        <f t="shared" si="2"/>
        <v>1</v>
      </c>
      <c r="CH15">
        <f t="shared" si="3"/>
        <v>0</v>
      </c>
      <c r="CI15">
        <f t="shared" si="4"/>
        <v>0</v>
      </c>
      <c r="CJ15" s="89">
        <f t="shared" si="14"/>
        <v>0</v>
      </c>
      <c r="CK15">
        <f t="shared" si="5"/>
        <v>0</v>
      </c>
      <c r="CL15" s="75">
        <f>CK15/(CG15-CH15)</f>
        <v>0</v>
      </c>
      <c r="CM15">
        <f t="shared" si="7"/>
        <v>0</v>
      </c>
      <c r="CN15">
        <f t="shared" si="8"/>
        <v>0</v>
      </c>
      <c r="CO15" s="7">
        <f t="array" ref="CO15">SUM(IF(ISERR(FIND("*",D15:CD15)),0,1))</f>
        <v>0</v>
      </c>
      <c r="CP15" s="7">
        <f t="array" ref="CP15">SUM(IF(ISERR(FIND("+",D15:CD15)),0,1))</f>
        <v>0</v>
      </c>
      <c r="CQ15">
        <f t="shared" si="9"/>
        <v>1</v>
      </c>
      <c r="CR15" s="7">
        <f t="array" ref="CR15">SUM(IF(ISERR(FIND(CR$4,$D15:$CD15)),0,1))</f>
        <v>1</v>
      </c>
      <c r="CS15" s="7">
        <f t="array" ref="CS15">SUM(IF(ISERR(FIND(CS$4,$D15:$CD15)),0,1))</f>
        <v>0</v>
      </c>
      <c r="CT15" s="7">
        <f t="array" ref="CT15">SUM(IF(ISERR(FIND(CT$4,$D15:$CD15)),0,1))</f>
        <v>0</v>
      </c>
      <c r="CU15" s="7">
        <f t="array" ref="CU15">SUM(IF(ISERR(FIND(CU$4,$D15:$CD15)),0,1))</f>
        <v>0</v>
      </c>
      <c r="CV15" s="7">
        <f t="array" ref="CV15">SUM(IF(ISERR(FIND(CV$4,$D15:$CD15)),0,1))</f>
        <v>0</v>
      </c>
      <c r="CW15">
        <f t="shared" si="10"/>
        <v>0</v>
      </c>
      <c r="CX15">
        <f t="shared" si="11"/>
        <v>0</v>
      </c>
      <c r="CY15">
        <f t="shared" si="12"/>
        <v>0</v>
      </c>
      <c r="CZ15">
        <f t="shared" si="13"/>
        <v>0</v>
      </c>
      <c r="DA15">
        <f t="shared" si="15"/>
        <v>0</v>
      </c>
      <c r="DB15">
        <f t="shared" si="16"/>
        <v>0</v>
      </c>
    </row>
    <row r="16" spans="1:106" x14ac:dyDescent="0.15">
      <c r="A16" t="str">
        <f t="shared" si="18"/>
        <v>TEDU</v>
      </c>
      <c r="B16" t="s">
        <v>46</v>
      </c>
      <c r="C16" t="s">
        <v>1082</v>
      </c>
      <c r="E16" t="s">
        <v>342</v>
      </c>
      <c r="F16" t="s">
        <v>361</v>
      </c>
      <c r="H16" t="s">
        <v>407</v>
      </c>
      <c r="I16" t="s">
        <v>418</v>
      </c>
      <c r="K16" t="s">
        <v>437</v>
      </c>
      <c r="M16" t="s">
        <v>447</v>
      </c>
      <c r="N16" t="s">
        <v>494</v>
      </c>
      <c r="R16" t="s">
        <v>556</v>
      </c>
      <c r="T16" t="s">
        <v>620</v>
      </c>
      <c r="W16" t="s">
        <v>629</v>
      </c>
      <c r="X16" t="s">
        <v>604</v>
      </c>
      <c r="AA16" t="s">
        <v>672</v>
      </c>
      <c r="AC16" t="s">
        <v>784</v>
      </c>
      <c r="AH16" t="s">
        <v>966</v>
      </c>
      <c r="AJ16" t="s">
        <v>710</v>
      </c>
      <c r="AK16" t="s">
        <v>738</v>
      </c>
      <c r="AN16" t="s">
        <v>721</v>
      </c>
      <c r="AP16" t="s">
        <v>753</v>
      </c>
      <c r="AR16" t="s">
        <v>827</v>
      </c>
      <c r="AS16" t="s">
        <v>835</v>
      </c>
      <c r="AT16" t="s">
        <v>862</v>
      </c>
      <c r="AU16" t="s">
        <v>869</v>
      </c>
      <c r="AZ16" t="s">
        <v>886</v>
      </c>
      <c r="BC16" t="s">
        <v>954</v>
      </c>
      <c r="BD16" t="s">
        <v>1019</v>
      </c>
      <c r="CE16">
        <f t="shared" ref="CE16:CE28" si="19">BatSplit(D16:CD16,MatchesPlayed)</f>
        <v>25</v>
      </c>
      <c r="CF16">
        <f t="shared" si="1"/>
        <v>0</v>
      </c>
      <c r="CG16">
        <f>BatSplit(D16:CD16,InnsBattedIn)</f>
        <v>25</v>
      </c>
      <c r="CH16">
        <f t="shared" si="3"/>
        <v>5</v>
      </c>
      <c r="CI16">
        <f t="shared" si="4"/>
        <v>-102</v>
      </c>
      <c r="CJ16" s="89" t="str">
        <f t="shared" si="14"/>
        <v>102*</v>
      </c>
      <c r="CK16">
        <f t="shared" si="5"/>
        <v>746</v>
      </c>
      <c r="CL16" s="75">
        <f>CK16/(CG16-CH16)</f>
        <v>37.299999999999997</v>
      </c>
      <c r="CM16">
        <f t="shared" si="7"/>
        <v>921</v>
      </c>
      <c r="CN16">
        <f t="shared" si="8"/>
        <v>65</v>
      </c>
      <c r="CO16" s="7">
        <f t="array" ref="CO16">SUM(IF(ISERR(FIND("*",D16:CD16)),0,1))</f>
        <v>0</v>
      </c>
      <c r="CP16" s="7">
        <f t="array" ref="CP16">SUM(IF(ISERR(FIND("+",D16:CD16)),0,1))</f>
        <v>14</v>
      </c>
      <c r="CQ16">
        <f t="shared" si="9"/>
        <v>0</v>
      </c>
      <c r="CR16" s="7">
        <f t="array" ref="CR16">SUM(IF(ISERR(FIND(CR$4,$D16:$CD16)),0,1))</f>
        <v>12</v>
      </c>
      <c r="CS16" s="7">
        <f t="array" ref="CS16">SUM(IF(ISERR(FIND(CS$4,$D16:$CD16)),0,1))</f>
        <v>5</v>
      </c>
      <c r="CT16" s="7">
        <f t="array" ref="CT16">SUM(IF(ISERR(FIND(CT$4,$D16:$CD16)),0,1))</f>
        <v>0</v>
      </c>
      <c r="CU16" s="7">
        <f t="array" ref="CU16">SUM(IF(ISERR(FIND(CU$4,$D16:$CD16)),0,1))</f>
        <v>1</v>
      </c>
      <c r="CV16" s="7">
        <f t="array" ref="CV16">SUM(IF(ISERR(FIND(CV$4,$D16:$CD16)),0,1))</f>
        <v>2</v>
      </c>
      <c r="CW16">
        <f t="shared" si="10"/>
        <v>13</v>
      </c>
      <c r="CX16">
        <f t="shared" si="11"/>
        <v>90</v>
      </c>
      <c r="CY16">
        <f t="shared" si="12"/>
        <v>0</v>
      </c>
      <c r="CZ16">
        <f t="shared" si="13"/>
        <v>3</v>
      </c>
      <c r="DA16">
        <f>BatSplit(D16:CD16,CaughtWkt)</f>
        <v>10</v>
      </c>
      <c r="DB16">
        <f t="shared" si="16"/>
        <v>13</v>
      </c>
    </row>
    <row r="17" spans="1:106" x14ac:dyDescent="0.15">
      <c r="A17" t="str">
        <f t="shared" si="18"/>
        <v>JOEL</v>
      </c>
      <c r="B17" t="s">
        <v>31</v>
      </c>
      <c r="C17" t="s">
        <v>48</v>
      </c>
      <c r="F17" t="s">
        <v>368</v>
      </c>
      <c r="H17" t="s">
        <v>311</v>
      </c>
      <c r="M17" t="s">
        <v>318</v>
      </c>
      <c r="N17" t="s">
        <v>477</v>
      </c>
      <c r="R17" t="s">
        <v>555</v>
      </c>
      <c r="T17" t="s">
        <v>624</v>
      </c>
      <c r="W17" t="s">
        <v>1064</v>
      </c>
      <c r="Z17" t="s">
        <v>311</v>
      </c>
      <c r="AC17" t="s">
        <v>789</v>
      </c>
      <c r="AH17" t="s">
        <v>974</v>
      </c>
      <c r="AJ17" t="s">
        <v>718</v>
      </c>
      <c r="AP17" t="s">
        <v>758</v>
      </c>
      <c r="AR17" t="s">
        <v>775</v>
      </c>
      <c r="AS17" t="s">
        <v>477</v>
      </c>
      <c r="AZ17" t="s">
        <v>891</v>
      </c>
      <c r="BC17" t="s">
        <v>957</v>
      </c>
      <c r="BE17" t="s">
        <v>1006</v>
      </c>
      <c r="CE17">
        <f t="shared" si="19"/>
        <v>17</v>
      </c>
      <c r="CF17">
        <f t="shared" si="1"/>
        <v>5</v>
      </c>
      <c r="CG17">
        <f t="shared" si="2"/>
        <v>12</v>
      </c>
      <c r="CH17">
        <f t="shared" si="3"/>
        <v>6</v>
      </c>
      <c r="CI17">
        <f t="shared" si="4"/>
        <v>-32</v>
      </c>
      <c r="CJ17" s="89" t="str">
        <f t="shared" si="14"/>
        <v>32*</v>
      </c>
      <c r="CK17">
        <f t="shared" ref="CK17:CK31" si="20">BatSplit(D17:CD17,RunsScored)</f>
        <v>122</v>
      </c>
      <c r="CL17" s="75">
        <f>CK17/(CG17-CH17)</f>
        <v>20.333333333333332</v>
      </c>
      <c r="CM17">
        <f t="shared" si="7"/>
        <v>197</v>
      </c>
      <c r="CN17">
        <f t="shared" si="8"/>
        <v>25</v>
      </c>
      <c r="CO17" s="7">
        <f t="array" ref="CO17">SUM(IF(ISERR(FIND("*",D17:CD17)),0,1))</f>
        <v>1</v>
      </c>
      <c r="CP17" s="7">
        <f t="array" ref="CP17">SUM(IF(ISERR(FIND("+",D17:CD17)),0,1))</f>
        <v>0</v>
      </c>
      <c r="CQ17">
        <f t="shared" si="9"/>
        <v>2</v>
      </c>
      <c r="CR17" s="7">
        <f t="array" ref="CR17">SUM(IF(ISERR(FIND(CR$4,$D17:$CD17)),0,1))</f>
        <v>3</v>
      </c>
      <c r="CS17" s="7">
        <f t="array" ref="CS17">SUM(IF(ISERR(FIND(CS$4,$D17:$CD17)),0,1))</f>
        <v>2</v>
      </c>
      <c r="CT17" s="7">
        <f t="array" ref="CT17">SUM(IF(ISERR(FIND(CT$4,$D17:$CD17)),0,1))</f>
        <v>0</v>
      </c>
      <c r="CU17" s="7">
        <f t="array" ref="CU17">SUM(IF(ISERR(FIND(CU$4,$D17:$CD17)),0,1))</f>
        <v>0</v>
      </c>
      <c r="CV17" s="7">
        <f t="array" ref="CV17">SUM(IF(ISERR(FIND(CV$4,$D17:$CD17)),0,1))</f>
        <v>1</v>
      </c>
      <c r="CW17">
        <f t="shared" si="10"/>
        <v>5</v>
      </c>
      <c r="CX17">
        <f t="shared" si="11"/>
        <v>20</v>
      </c>
      <c r="CY17">
        <f t="shared" si="12"/>
        <v>0</v>
      </c>
      <c r="CZ17">
        <f t="shared" si="13"/>
        <v>0</v>
      </c>
      <c r="DA17">
        <f t="shared" si="15"/>
        <v>0</v>
      </c>
      <c r="DB17">
        <f t="shared" si="16"/>
        <v>2</v>
      </c>
    </row>
    <row r="18" spans="1:106" x14ac:dyDescent="0.15">
      <c r="A18" t="str">
        <f t="shared" si="18"/>
        <v>CRFE</v>
      </c>
      <c r="B18" t="s">
        <v>49</v>
      </c>
      <c r="C18" t="s">
        <v>50</v>
      </c>
      <c r="CE18">
        <f t="shared" si="19"/>
        <v>0</v>
      </c>
      <c r="CF18">
        <f t="shared" ref="CF18:CF32" si="21">CE18-CG18</f>
        <v>0</v>
      </c>
      <c r="CG18">
        <f t="shared" ref="CG18:CG32" si="22">BatSplit(D18:CD18,InnsBattedIn)</f>
        <v>0</v>
      </c>
      <c r="CH18">
        <f t="shared" ref="CH18:CH32" si="23">BatSplit(D18:CD18,NotOuts)</f>
        <v>0</v>
      </c>
      <c r="CI18">
        <f t="shared" ref="CI18:CI32" si="24">BatSplit(D18:CD18,HighestScore)</f>
        <v>0</v>
      </c>
      <c r="CJ18" s="89">
        <f t="shared" si="14"/>
        <v>0</v>
      </c>
      <c r="CK18">
        <f t="shared" si="20"/>
        <v>0</v>
      </c>
      <c r="CL18" s="75" t="e">
        <f t="shared" si="17"/>
        <v>#DIV/0!</v>
      </c>
      <c r="CM18">
        <f t="shared" ref="CM18:CM32" si="25">BatSplit(D18:CD18,BatPts)</f>
        <v>0</v>
      </c>
      <c r="CN18">
        <f t="shared" ref="CN18:CN31" si="26">BatSplit(D18:CD18,FldPts)</f>
        <v>0</v>
      </c>
      <c r="CO18" s="7">
        <f t="array" ref="CO18">SUM(IF(ISERR(FIND("*",D18:CD18)),0,1))</f>
        <v>0</v>
      </c>
      <c r="CP18" s="7">
        <f t="array" ref="CP18">SUM(IF(ISERR(FIND("+",D18:CD18)),0,1))</f>
        <v>0</v>
      </c>
      <c r="CQ18">
        <f t="shared" ref="CQ18:CQ32" si="27">BatSplit(D18:CD18,Ducks)</f>
        <v>0</v>
      </c>
      <c r="CR18" s="7">
        <f t="array" ref="CR18">SUM(IF(ISERR(FIND(CR$4,$D18:$CD18)),0,1))</f>
        <v>0</v>
      </c>
      <c r="CS18" s="7">
        <f t="array" ref="CS18">SUM(IF(ISERR(FIND(CS$4,$D18:$CD18)),0,1))</f>
        <v>0</v>
      </c>
      <c r="CT18" s="7">
        <f t="array" ref="CT18">SUM(IF(ISERR(FIND(CT$4,$D18:$CD18)),0,1))</f>
        <v>0</v>
      </c>
      <c r="CU18" s="7">
        <f t="array" ref="CU18">SUM(IF(ISERR(FIND(CU$4,$D18:$CD18)),0,1))</f>
        <v>0</v>
      </c>
      <c r="CV18" s="7">
        <f t="array" ref="CV18">SUM(IF(ISERR(FIND(CV$4,$D18:$CD18)),0,1))</f>
        <v>0</v>
      </c>
      <c r="CW18">
        <f t="shared" ref="CW18:CW32" si="28">BatSplit(D18:CD18,Catches)</f>
        <v>0</v>
      </c>
      <c r="CX18">
        <f t="shared" ref="CX18:CX32" si="29">BatSplit(D18:CD18,Fours)</f>
        <v>0</v>
      </c>
      <c r="CY18">
        <f t="shared" ref="CY18:CY32" si="30">BatSplit(D18:CD18,Sixes)</f>
        <v>0</v>
      </c>
      <c r="CZ18">
        <f t="shared" ref="CZ18:CZ32" si="31">BatSplit(D18:CD18,Stumpings)</f>
        <v>0</v>
      </c>
      <c r="DA18">
        <f t="shared" si="15"/>
        <v>0</v>
      </c>
      <c r="DB18">
        <f t="shared" si="16"/>
        <v>0</v>
      </c>
    </row>
    <row r="19" spans="1:106" x14ac:dyDescent="0.15">
      <c r="A19" t="s">
        <v>206</v>
      </c>
      <c r="B19" t="s">
        <v>88</v>
      </c>
      <c r="C19" t="s">
        <v>89</v>
      </c>
      <c r="D19" t="s">
        <v>319</v>
      </c>
      <c r="E19" t="s">
        <v>341</v>
      </c>
      <c r="G19" t="s">
        <v>383</v>
      </c>
      <c r="L19" t="s">
        <v>472</v>
      </c>
      <c r="P19" t="s">
        <v>527</v>
      </c>
      <c r="Q19" t="s">
        <v>538</v>
      </c>
      <c r="S19" t="s">
        <v>585</v>
      </c>
      <c r="V19" t="s">
        <v>589</v>
      </c>
      <c r="AH19" t="s">
        <v>968</v>
      </c>
      <c r="AJ19" t="s">
        <v>715</v>
      </c>
      <c r="AK19" t="s">
        <v>740</v>
      </c>
      <c r="AM19" t="s">
        <v>771</v>
      </c>
      <c r="AN19" t="s">
        <v>311</v>
      </c>
      <c r="AO19" t="s">
        <v>797</v>
      </c>
      <c r="AQ19" t="s">
        <v>808</v>
      </c>
      <c r="AR19" t="s">
        <v>829</v>
      </c>
      <c r="AS19" t="s">
        <v>836</v>
      </c>
      <c r="AU19" t="s">
        <v>870</v>
      </c>
      <c r="AW19" t="s">
        <v>1047</v>
      </c>
      <c r="AY19" t="s">
        <v>928</v>
      </c>
      <c r="BB19" t="s">
        <v>947</v>
      </c>
      <c r="BE19" t="s">
        <v>1007</v>
      </c>
      <c r="CE19">
        <f t="shared" si="19"/>
        <v>22</v>
      </c>
      <c r="CF19">
        <f t="shared" si="21"/>
        <v>2</v>
      </c>
      <c r="CG19">
        <f t="shared" si="22"/>
        <v>20</v>
      </c>
      <c r="CH19">
        <f t="shared" si="23"/>
        <v>2</v>
      </c>
      <c r="CI19">
        <f t="shared" si="24"/>
        <v>65</v>
      </c>
      <c r="CJ19" s="89">
        <f t="shared" si="14"/>
        <v>65</v>
      </c>
      <c r="CK19">
        <f t="shared" si="20"/>
        <v>426</v>
      </c>
      <c r="CL19" s="75">
        <f>CK19/(CG19-CH19)</f>
        <v>23.666666666666668</v>
      </c>
      <c r="CM19">
        <f t="shared" si="25"/>
        <v>561</v>
      </c>
      <c r="CN19">
        <f t="shared" si="26"/>
        <v>66</v>
      </c>
      <c r="CO19" s="7">
        <f t="array" ref="CO19">SUM(IF(ISERR(FIND("*",D19:CD19)),0,1))</f>
        <v>0</v>
      </c>
      <c r="CP19" s="7">
        <f t="array" ref="CP19">SUM(IF(ISERR(FIND("+",D19:CD19)),0,1))</f>
        <v>21</v>
      </c>
      <c r="CQ19">
        <f t="shared" si="27"/>
        <v>1</v>
      </c>
      <c r="CR19" s="7">
        <f t="array" ref="CR19">SUM(IF(ISERR(FIND(CR$4,$D19:$CD19)),0,1))</f>
        <v>5</v>
      </c>
      <c r="CS19" s="7">
        <f t="array" ref="CS19">SUM(IF(ISERR(FIND(CS$4,$D19:$CD19)),0,1))</f>
        <v>7</v>
      </c>
      <c r="CT19" s="7">
        <f t="array" ref="CT19">SUM(IF(ISERR(FIND(CT$4,$D19:$CD19)),0,1))</f>
        <v>2</v>
      </c>
      <c r="CU19" s="7">
        <f t="array" ref="CU19">SUM(IF(ISERR(FIND(CU$4,$D19:$CD19)),0,1))</f>
        <v>1</v>
      </c>
      <c r="CV19" s="7">
        <f t="array" ref="CV19">SUM(IF(ISERR(FIND(CV$4,$D19:$CD19)),0,1))</f>
        <v>3</v>
      </c>
      <c r="CW19">
        <f t="shared" si="28"/>
        <v>18</v>
      </c>
      <c r="CX19">
        <f t="shared" si="29"/>
        <v>46</v>
      </c>
      <c r="CY19">
        <f t="shared" si="30"/>
        <v>1</v>
      </c>
      <c r="CZ19">
        <f t="shared" si="31"/>
        <v>3</v>
      </c>
      <c r="DA19">
        <f t="shared" si="15"/>
        <v>18</v>
      </c>
      <c r="DB19">
        <f t="shared" si="16"/>
        <v>7</v>
      </c>
    </row>
    <row r="20" spans="1:106" x14ac:dyDescent="0.15">
      <c r="A20" t="str">
        <f>UPPER(LEFT(B20,2)&amp;LEFT(C20,2))</f>
        <v>PEHA</v>
      </c>
      <c r="B20" t="s">
        <v>37</v>
      </c>
      <c r="C20" t="s">
        <v>52</v>
      </c>
      <c r="W20" t="s">
        <v>668</v>
      </c>
      <c r="CE20">
        <f t="shared" si="19"/>
        <v>1</v>
      </c>
      <c r="CF20">
        <f t="shared" si="21"/>
        <v>0</v>
      </c>
      <c r="CG20">
        <f t="shared" si="22"/>
        <v>1</v>
      </c>
      <c r="CH20">
        <f t="shared" si="23"/>
        <v>0</v>
      </c>
      <c r="CI20">
        <f t="shared" si="24"/>
        <v>11</v>
      </c>
      <c r="CJ20" s="89">
        <f t="shared" si="14"/>
        <v>11</v>
      </c>
      <c r="CK20">
        <f t="shared" si="20"/>
        <v>11</v>
      </c>
      <c r="CL20" s="75">
        <f>CK20/(CG20-CH20)</f>
        <v>11</v>
      </c>
      <c r="CM20">
        <f t="shared" si="25"/>
        <v>16</v>
      </c>
      <c r="CN20">
        <f t="shared" si="26"/>
        <v>0</v>
      </c>
      <c r="CO20" s="7">
        <f t="array" ref="CO20">SUM(IF(ISERR(FIND("*",D20:CD20)),0,1))</f>
        <v>0</v>
      </c>
      <c r="CP20" s="7">
        <f t="array" ref="CP20">SUM(IF(ISERR(FIND("+",D20:CD20)),0,1))</f>
        <v>0</v>
      </c>
      <c r="CQ20">
        <f t="shared" si="27"/>
        <v>0</v>
      </c>
      <c r="CR20" s="7">
        <f t="array" ref="CR20">SUM(IF(ISERR(FIND(CR$4,$D20:$CD20)),0,1))</f>
        <v>1</v>
      </c>
      <c r="CS20" s="7">
        <f t="array" ref="CS20">SUM(IF(ISERR(FIND(CS$4,$D20:$CD20)),0,1))</f>
        <v>0</v>
      </c>
      <c r="CT20" s="7">
        <f t="array" ref="CT20">SUM(IF(ISERR(FIND(CT$4,$D20:$CD20)),0,1))</f>
        <v>0</v>
      </c>
      <c r="CU20" s="7">
        <f t="array" ref="CU20">SUM(IF(ISERR(FIND(CU$4,$D20:$CD20)),0,1))</f>
        <v>0</v>
      </c>
      <c r="CV20" s="7">
        <f t="array" ref="CV20">SUM(IF(ISERR(FIND(CV$4,$D20:$CD20)),0,1))</f>
        <v>0</v>
      </c>
      <c r="CW20">
        <f t="shared" si="28"/>
        <v>0</v>
      </c>
      <c r="CX20">
        <f t="shared" si="29"/>
        <v>1</v>
      </c>
      <c r="CY20">
        <f t="shared" si="30"/>
        <v>0</v>
      </c>
      <c r="CZ20">
        <f t="shared" si="31"/>
        <v>0</v>
      </c>
      <c r="DA20">
        <f t="shared" si="15"/>
        <v>0</v>
      </c>
      <c r="DB20">
        <f t="shared" si="16"/>
        <v>0</v>
      </c>
    </row>
    <row r="21" spans="1:106" x14ac:dyDescent="0.15">
      <c r="A21" t="str">
        <f>UPPER(LEFT(B21,2)&amp;LEFT(C21,2))</f>
        <v>ADHA</v>
      </c>
      <c r="B21" t="s">
        <v>53</v>
      </c>
      <c r="C21" t="s">
        <v>1083</v>
      </c>
      <c r="G21" t="s">
        <v>379</v>
      </c>
      <c r="I21" t="s">
        <v>417</v>
      </c>
      <c r="K21" t="s">
        <v>442</v>
      </c>
      <c r="N21" t="s">
        <v>486</v>
      </c>
      <c r="O21" t="s">
        <v>503</v>
      </c>
      <c r="P21" t="s">
        <v>522</v>
      </c>
      <c r="T21" t="s">
        <v>619</v>
      </c>
      <c r="U21" t="s">
        <v>566</v>
      </c>
      <c r="V21" t="s">
        <v>588</v>
      </c>
      <c r="X21" t="s">
        <v>603</v>
      </c>
      <c r="Z21" t="s">
        <v>638</v>
      </c>
      <c r="AH21" t="s">
        <v>583</v>
      </c>
      <c r="AJ21" t="s">
        <v>709</v>
      </c>
      <c r="AM21" t="s">
        <v>770</v>
      </c>
      <c r="AO21" t="s">
        <v>796</v>
      </c>
      <c r="AQ21" t="s">
        <v>807</v>
      </c>
      <c r="AR21" t="s">
        <v>826</v>
      </c>
      <c r="AT21" t="s">
        <v>857</v>
      </c>
      <c r="AZ21" t="s">
        <v>1094</v>
      </c>
      <c r="BB21" t="s">
        <v>946</v>
      </c>
      <c r="BE21" t="s">
        <v>999</v>
      </c>
      <c r="CE21">
        <f t="shared" si="19"/>
        <v>21</v>
      </c>
      <c r="CF21">
        <f t="shared" si="21"/>
        <v>0</v>
      </c>
      <c r="CG21">
        <f t="shared" si="22"/>
        <v>21</v>
      </c>
      <c r="CH21">
        <f t="shared" si="23"/>
        <v>0</v>
      </c>
      <c r="CI21">
        <f t="shared" si="24"/>
        <v>45</v>
      </c>
      <c r="CJ21" s="89">
        <f t="shared" si="14"/>
        <v>45</v>
      </c>
      <c r="CK21">
        <f t="shared" si="20"/>
        <v>325</v>
      </c>
      <c r="CL21" s="75">
        <f t="shared" si="17"/>
        <v>15.476190476190476</v>
      </c>
      <c r="CM21">
        <f t="shared" si="25"/>
        <v>415</v>
      </c>
      <c r="CN21">
        <f t="shared" si="26"/>
        <v>45</v>
      </c>
      <c r="CO21" s="7">
        <f t="array" ref="CO21">SUM(IF(ISERR(FIND("*",D21:CD21)),0,1))</f>
        <v>0</v>
      </c>
      <c r="CP21" s="7">
        <f t="array" ref="CP21">SUM(IF(ISERR(FIND("+",D21:CD21)),0,1))</f>
        <v>0</v>
      </c>
      <c r="CQ21">
        <f t="shared" si="27"/>
        <v>3</v>
      </c>
      <c r="CR21" s="7">
        <f t="array" ref="CR21">SUM(IF(ISERR(FIND(CR$4,$D21:$CD21)),0,1))</f>
        <v>9</v>
      </c>
      <c r="CS21" s="7">
        <f t="array" ref="CS21">SUM(IF(ISERR(FIND(CS$4,$D21:$CD21)),0,1))</f>
        <v>11</v>
      </c>
      <c r="CT21" s="7">
        <f t="array" ref="CT21">SUM(IF(ISERR(FIND(CT$4,$D21:$CD21)),0,1))</f>
        <v>0</v>
      </c>
      <c r="CU21" s="7">
        <f t="array" ref="CU21">SUM(IF(ISERR(FIND(CU$4,$D21:$CD21)),0,1))</f>
        <v>1</v>
      </c>
      <c r="CV21" s="7">
        <f t="array" ref="CV21">SUM(IF(ISERR(FIND(CV$4,$D21:$CD21)),0,1))</f>
        <v>0</v>
      </c>
      <c r="CW21">
        <f t="shared" si="28"/>
        <v>9</v>
      </c>
      <c r="CX21">
        <f t="shared" si="29"/>
        <v>36</v>
      </c>
      <c r="CY21">
        <f t="shared" si="30"/>
        <v>5</v>
      </c>
      <c r="CZ21">
        <f t="shared" si="31"/>
        <v>0</v>
      </c>
      <c r="DA21">
        <f t="shared" si="15"/>
        <v>0</v>
      </c>
      <c r="DB21">
        <f t="shared" si="16"/>
        <v>3</v>
      </c>
    </row>
    <row r="22" spans="1:106" x14ac:dyDescent="0.15">
      <c r="A22" t="s">
        <v>203</v>
      </c>
      <c r="B22" t="s">
        <v>96</v>
      </c>
      <c r="C22" t="s">
        <v>1084</v>
      </c>
      <c r="S22" t="s">
        <v>584</v>
      </c>
      <c r="X22" t="s">
        <v>605</v>
      </c>
      <c r="AU22" t="s">
        <v>871</v>
      </c>
      <c r="AX22" t="s">
        <v>558</v>
      </c>
      <c r="BA22" t="s">
        <v>912</v>
      </c>
      <c r="CE22">
        <f t="shared" si="19"/>
        <v>5</v>
      </c>
      <c r="CF22">
        <f t="shared" si="21"/>
        <v>1</v>
      </c>
      <c r="CG22">
        <f t="shared" si="22"/>
        <v>4</v>
      </c>
      <c r="CH22">
        <f t="shared" si="23"/>
        <v>2</v>
      </c>
      <c r="CI22">
        <f t="shared" si="24"/>
        <v>88</v>
      </c>
      <c r="CJ22" s="89">
        <f t="shared" si="14"/>
        <v>88</v>
      </c>
      <c r="CK22">
        <f t="shared" si="20"/>
        <v>234</v>
      </c>
      <c r="CL22" s="75">
        <f t="shared" si="17"/>
        <v>117</v>
      </c>
      <c r="CM22">
        <f t="shared" si="25"/>
        <v>289</v>
      </c>
      <c r="CN22">
        <f t="shared" si="26"/>
        <v>0</v>
      </c>
      <c r="CO22" s="7">
        <f t="array" ref="CO22">SUM(IF(ISERR(FIND("*",D22:CD22)),0,1))</f>
        <v>0</v>
      </c>
      <c r="CP22" s="7">
        <f t="array" ref="CP22">SUM(IF(ISERR(FIND("+",D22:CD22)),0,1))</f>
        <v>0</v>
      </c>
      <c r="CQ22">
        <f t="shared" si="27"/>
        <v>0</v>
      </c>
      <c r="CR22" s="7">
        <f t="array" ref="CR22">SUM(IF(ISERR(FIND(CR$4,$D22:$CD22)),0,1))</f>
        <v>1</v>
      </c>
      <c r="CS22" s="7">
        <f t="array" ref="CS22">SUM(IF(ISERR(FIND(CS$4,$D22:$CD22)),0,1))</f>
        <v>0</v>
      </c>
      <c r="CT22" s="7">
        <f t="array" ref="CT22">SUM(IF(ISERR(FIND(CT$4,$D22:$CD22)),0,1))</f>
        <v>1</v>
      </c>
      <c r="CU22" s="7">
        <f t="array" ref="CU22">SUM(IF(ISERR(FIND(CU$4,$D22:$CD22)),0,1))</f>
        <v>0</v>
      </c>
      <c r="CV22" s="7">
        <f t="array" ref="CV22">SUM(IF(ISERR(FIND(CV$4,$D22:$CD22)),0,1))</f>
        <v>0</v>
      </c>
      <c r="CW22">
        <f t="shared" si="28"/>
        <v>0</v>
      </c>
      <c r="CX22">
        <f t="shared" si="29"/>
        <v>29</v>
      </c>
      <c r="CY22">
        <f t="shared" si="30"/>
        <v>0</v>
      </c>
      <c r="CZ22">
        <f t="shared" si="31"/>
        <v>0</v>
      </c>
      <c r="DA22">
        <f t="shared" si="15"/>
        <v>0</v>
      </c>
      <c r="DB22">
        <f t="shared" si="16"/>
        <v>3</v>
      </c>
    </row>
    <row r="23" spans="1:106" x14ac:dyDescent="0.15">
      <c r="A23" t="str">
        <f t="shared" ref="A23:A29" si="32">UPPER(LEFT(B23,2)&amp;LEFT(C23,2))</f>
        <v>LUHI</v>
      </c>
      <c r="B23" t="s">
        <v>55</v>
      </c>
      <c r="C23" t="s">
        <v>56</v>
      </c>
      <c r="F23" t="s">
        <v>365</v>
      </c>
      <c r="L23" t="s">
        <v>320</v>
      </c>
      <c r="T23" t="s">
        <v>625</v>
      </c>
      <c r="V23" t="s">
        <v>309</v>
      </c>
      <c r="X23" t="s">
        <v>606</v>
      </c>
      <c r="AC23" t="s">
        <v>788</v>
      </c>
      <c r="AK23" t="s">
        <v>745</v>
      </c>
      <c r="AM23" t="s">
        <v>311</v>
      </c>
      <c r="AO23" t="s">
        <v>775</v>
      </c>
      <c r="AQ23" t="s">
        <v>814</v>
      </c>
      <c r="AU23" t="s">
        <v>311</v>
      </c>
      <c r="AW23" t="s">
        <v>311</v>
      </c>
      <c r="AZ23" t="s">
        <v>888</v>
      </c>
      <c r="BC23" t="s">
        <v>568</v>
      </c>
      <c r="CE23">
        <f t="shared" si="19"/>
        <v>14</v>
      </c>
      <c r="CF23">
        <f t="shared" si="21"/>
        <v>5</v>
      </c>
      <c r="CG23">
        <f t="shared" si="22"/>
        <v>9</v>
      </c>
      <c r="CH23">
        <f t="shared" si="23"/>
        <v>1</v>
      </c>
      <c r="CI23">
        <f t="shared" si="24"/>
        <v>10</v>
      </c>
      <c r="CJ23" s="89">
        <f t="shared" si="14"/>
        <v>10</v>
      </c>
      <c r="CK23">
        <f t="shared" si="20"/>
        <v>21</v>
      </c>
      <c r="CL23" s="75">
        <f>CK23/(CG23-CH23)</f>
        <v>2.625</v>
      </c>
      <c r="CM23">
        <f t="shared" si="25"/>
        <v>71</v>
      </c>
      <c r="CN23">
        <f>BatSplit(D23:CD23,FldPts)</f>
        <v>5</v>
      </c>
      <c r="CO23" s="7">
        <f t="array" ref="CO23">SUM(IF(ISERR(FIND("*",D23:CD23)),0,1))</f>
        <v>0</v>
      </c>
      <c r="CP23" s="7">
        <f t="array" ref="CP23">SUM(IF(ISERR(FIND("+",D23:CD23)),0,1))</f>
        <v>0</v>
      </c>
      <c r="CQ23">
        <f t="shared" si="27"/>
        <v>4</v>
      </c>
      <c r="CR23" s="7">
        <f t="array" ref="CR23">SUM(IF(ISERR(FIND(CR$4,$D23:$CD23)),0,1))</f>
        <v>4</v>
      </c>
      <c r="CS23" s="7">
        <f t="array" ref="CS23">SUM(IF(ISERR(FIND(CS$4,$D23:$CD23)),0,1))</f>
        <v>2</v>
      </c>
      <c r="CT23" s="7">
        <f t="array" ref="CT23">SUM(IF(ISERR(FIND(CT$4,$D23:$CD23)),0,1))</f>
        <v>0</v>
      </c>
      <c r="CU23" s="7">
        <f t="array" ref="CU23">SUM(IF(ISERR(FIND(CU$4,$D23:$CD23)),0,1))</f>
        <v>0</v>
      </c>
      <c r="CV23" s="7">
        <f t="array" ref="CV23">SUM(IF(ISERR(FIND(CV$4,$D23:$CD23)),0,1))</f>
        <v>2</v>
      </c>
      <c r="CW23">
        <f t="shared" si="28"/>
        <v>1</v>
      </c>
      <c r="CX23">
        <f t="shared" si="29"/>
        <v>3</v>
      </c>
      <c r="CY23">
        <f t="shared" si="30"/>
        <v>0</v>
      </c>
      <c r="CZ23">
        <f t="shared" si="31"/>
        <v>0</v>
      </c>
      <c r="DA23">
        <f t="shared" si="15"/>
        <v>0</v>
      </c>
      <c r="DB23">
        <f t="shared" si="16"/>
        <v>0</v>
      </c>
    </row>
    <row r="24" spans="1:106" x14ac:dyDescent="0.15">
      <c r="A24" t="str">
        <f t="shared" si="32"/>
        <v>MIHO</v>
      </c>
      <c r="B24" t="s">
        <v>33</v>
      </c>
      <c r="C24" t="s">
        <v>57</v>
      </c>
      <c r="K24" t="s">
        <v>441</v>
      </c>
      <c r="N24" t="s">
        <v>488</v>
      </c>
      <c r="P24" t="s">
        <v>524</v>
      </c>
      <c r="Q24" t="s">
        <v>540</v>
      </c>
      <c r="AQ24" t="s">
        <v>810</v>
      </c>
      <c r="AZ24" t="s">
        <v>887</v>
      </c>
      <c r="BC24" t="s">
        <v>956</v>
      </c>
      <c r="BD24" t="s">
        <v>986</v>
      </c>
      <c r="CE24">
        <f t="shared" si="19"/>
        <v>8</v>
      </c>
      <c r="CF24">
        <f t="shared" si="21"/>
        <v>0</v>
      </c>
      <c r="CG24">
        <f t="shared" si="22"/>
        <v>8</v>
      </c>
      <c r="CH24">
        <f t="shared" si="23"/>
        <v>1</v>
      </c>
      <c r="CI24">
        <f t="shared" si="24"/>
        <v>30</v>
      </c>
      <c r="CJ24" s="89">
        <f t="shared" si="14"/>
        <v>30</v>
      </c>
      <c r="CK24">
        <f t="shared" si="20"/>
        <v>89</v>
      </c>
      <c r="CL24" s="75">
        <f t="shared" si="17"/>
        <v>12.714285714285714</v>
      </c>
      <c r="CM24">
        <f t="shared" si="25"/>
        <v>119</v>
      </c>
      <c r="CN24">
        <f t="shared" si="26"/>
        <v>15</v>
      </c>
      <c r="CO24" s="7">
        <f t="array" ref="CO24">SUM(IF(ISERR(FIND("*",D24:CD24)),0,1))</f>
        <v>0</v>
      </c>
      <c r="CP24" s="7">
        <f t="array" ref="CP24">SUM(IF(ISERR(FIND("+",D24:CD24)),0,1))</f>
        <v>0</v>
      </c>
      <c r="CQ24">
        <f t="shared" si="27"/>
        <v>2</v>
      </c>
      <c r="CR24" s="7">
        <f t="array" ref="CR24">SUM(IF(ISERR(FIND(CR$4,$D24:$CD24)),0,1))</f>
        <v>5</v>
      </c>
      <c r="CS24" s="7">
        <f t="array" ref="CS24">SUM(IF(ISERR(FIND(CS$4,$D24:$CD24)),0,1))</f>
        <v>0</v>
      </c>
      <c r="CT24" s="7">
        <f t="array" ref="CT24">SUM(IF(ISERR(FIND(CT$4,$D24:$CD24)),0,1))</f>
        <v>1</v>
      </c>
      <c r="CU24" s="7">
        <f t="array" ref="CU24">SUM(IF(ISERR(FIND(CU$4,$D24:$CD24)),0,1))</f>
        <v>0</v>
      </c>
      <c r="CV24" s="7">
        <f t="array" ref="CV24">SUM(IF(ISERR(FIND(CV$4,$D24:$CD24)),0,1))</f>
        <v>1</v>
      </c>
      <c r="CW24">
        <f t="shared" si="28"/>
        <v>3</v>
      </c>
      <c r="CX24">
        <f t="shared" si="29"/>
        <v>10</v>
      </c>
      <c r="CY24">
        <f t="shared" si="30"/>
        <v>1</v>
      </c>
      <c r="CZ24">
        <f t="shared" si="31"/>
        <v>0</v>
      </c>
      <c r="DA24">
        <f t="shared" si="15"/>
        <v>0</v>
      </c>
      <c r="DB24">
        <f t="shared" si="16"/>
        <v>2</v>
      </c>
    </row>
    <row r="25" spans="1:106" x14ac:dyDescent="0.15">
      <c r="A25" t="str">
        <f t="shared" si="32"/>
        <v>JOLE</v>
      </c>
      <c r="B25" t="s">
        <v>31</v>
      </c>
      <c r="C25" t="s">
        <v>122</v>
      </c>
      <c r="D25" t="s">
        <v>318</v>
      </c>
      <c r="F25" t="s">
        <v>360</v>
      </c>
      <c r="G25" t="s">
        <v>385</v>
      </c>
      <c r="L25" t="s">
        <v>471</v>
      </c>
      <c r="P25" t="s">
        <v>521</v>
      </c>
      <c r="Q25" t="s">
        <v>537</v>
      </c>
      <c r="R25" t="s">
        <v>552</v>
      </c>
      <c r="S25" t="s">
        <v>582</v>
      </c>
      <c r="W25" t="s">
        <v>633</v>
      </c>
      <c r="Z25" t="s">
        <v>647</v>
      </c>
      <c r="AH25" t="s">
        <v>1035</v>
      </c>
      <c r="AN25" t="s">
        <v>720</v>
      </c>
      <c r="AQ25" t="s">
        <v>806</v>
      </c>
      <c r="AS25" t="s">
        <v>834</v>
      </c>
      <c r="AT25" t="s">
        <v>860</v>
      </c>
      <c r="AX25" t="s">
        <v>910</v>
      </c>
      <c r="BD25" t="s">
        <v>991</v>
      </c>
      <c r="CE25">
        <f t="shared" si="19"/>
        <v>17</v>
      </c>
      <c r="CF25">
        <f t="shared" si="21"/>
        <v>1</v>
      </c>
      <c r="CG25">
        <f t="shared" si="22"/>
        <v>16</v>
      </c>
      <c r="CH25">
        <f t="shared" si="23"/>
        <v>4</v>
      </c>
      <c r="CI25">
        <f>BatSplit(D25:CD25,HighestScore)</f>
        <v>-88</v>
      </c>
      <c r="CJ25" s="89" t="str">
        <f t="shared" si="14"/>
        <v>88*</v>
      </c>
      <c r="CK25">
        <f t="shared" si="20"/>
        <v>773</v>
      </c>
      <c r="CL25" s="75">
        <f>CK25/(CG25-CH25)</f>
        <v>64.416666666666671</v>
      </c>
      <c r="CM25">
        <f t="shared" si="25"/>
        <v>948</v>
      </c>
      <c r="CN25">
        <f t="shared" si="26"/>
        <v>43</v>
      </c>
      <c r="CO25" s="7">
        <f t="array" ref="CO25">SUM(IF(ISERR(FIND("*",D25:CD25)),0,1))</f>
        <v>0</v>
      </c>
      <c r="CP25" s="7">
        <f t="array" ref="CP25">SUM(IF(ISERR(FIND("+",D25:CD25)),0,1))</f>
        <v>4</v>
      </c>
      <c r="CQ25">
        <f t="shared" si="27"/>
        <v>0</v>
      </c>
      <c r="CR25" s="7">
        <f t="array" ref="CR25">SUM(IF(ISERR(FIND(CR$4,$D25:$CD25)),0,1))</f>
        <v>5</v>
      </c>
      <c r="CS25" s="7">
        <f t="array" ref="CS25">SUM(IF(ISERR(FIND(CS$4,$D25:$CD25)),0,1))</f>
        <v>5</v>
      </c>
      <c r="CT25" s="7">
        <f t="array" ref="CT25">SUM(IF(ISERR(FIND(CT$4,$D25:$CD25)),0,1))</f>
        <v>0</v>
      </c>
      <c r="CU25" s="7">
        <f t="array" ref="CU25">SUM(IF(ISERR(FIND(CU$4,$D25:$CD25)),0,1))</f>
        <v>1</v>
      </c>
      <c r="CV25" s="7">
        <f t="array" ref="CV25">SUM(IF(ISERR(FIND(CV$4,$D25:$CD25)),0,1))</f>
        <v>1</v>
      </c>
      <c r="CW25">
        <f t="shared" si="28"/>
        <v>7</v>
      </c>
      <c r="CX25">
        <f t="shared" si="29"/>
        <v>120</v>
      </c>
      <c r="CY25">
        <f t="shared" si="30"/>
        <v>7</v>
      </c>
      <c r="CZ25">
        <f t="shared" si="31"/>
        <v>2</v>
      </c>
      <c r="DA25">
        <f t="shared" si="15"/>
        <v>4</v>
      </c>
      <c r="DB25">
        <f t="shared" si="16"/>
        <v>14</v>
      </c>
    </row>
    <row r="26" spans="1:106" x14ac:dyDescent="0.15">
      <c r="A26" t="str">
        <f t="shared" si="32"/>
        <v>PALE</v>
      </c>
      <c r="B26" t="s">
        <v>59</v>
      </c>
      <c r="C26" t="s">
        <v>58</v>
      </c>
      <c r="CE26">
        <f t="shared" si="19"/>
        <v>0</v>
      </c>
      <c r="CF26">
        <f t="shared" si="21"/>
        <v>0</v>
      </c>
      <c r="CG26">
        <f t="shared" si="22"/>
        <v>0</v>
      </c>
      <c r="CH26">
        <f t="shared" si="23"/>
        <v>0</v>
      </c>
      <c r="CI26">
        <f t="shared" si="24"/>
        <v>0</v>
      </c>
      <c r="CJ26" s="89">
        <f t="shared" si="14"/>
        <v>0</v>
      </c>
      <c r="CK26">
        <f t="shared" si="20"/>
        <v>0</v>
      </c>
      <c r="CL26" s="75" t="e">
        <f>CK26/(CG26-CH26)</f>
        <v>#DIV/0!</v>
      </c>
      <c r="CM26">
        <f t="shared" si="25"/>
        <v>0</v>
      </c>
      <c r="CN26">
        <f t="shared" si="26"/>
        <v>0</v>
      </c>
      <c r="CO26" s="7">
        <f t="array" ref="CO26">SUM(IF(ISERR(FIND("*",D26:CD26)),0,1))</f>
        <v>0</v>
      </c>
      <c r="CP26" s="7">
        <f t="array" ref="CP26">SUM(IF(ISERR(FIND("+",D26:CD26)),0,1))</f>
        <v>0</v>
      </c>
      <c r="CQ26">
        <f t="shared" si="27"/>
        <v>0</v>
      </c>
      <c r="CR26" s="7">
        <f t="array" ref="CR26">SUM(IF(ISERR(FIND(CR$4,$D26:$CD26)),0,1))</f>
        <v>0</v>
      </c>
      <c r="CS26" s="7">
        <f t="array" ref="CS26">SUM(IF(ISERR(FIND(CS$4,$D26:$CD26)),0,1))</f>
        <v>0</v>
      </c>
      <c r="CT26" s="7">
        <f t="array" ref="CT26">SUM(IF(ISERR(FIND(CT$4,$D26:$CD26)),0,1))</f>
        <v>0</v>
      </c>
      <c r="CU26" s="7">
        <f t="array" ref="CU26">SUM(IF(ISERR(FIND(CU$4,$D26:$CD26)),0,1))</f>
        <v>0</v>
      </c>
      <c r="CV26" s="7">
        <f t="array" ref="CV26">SUM(IF(ISERR(FIND(CV$4,$D26:$CD26)),0,1))</f>
        <v>0</v>
      </c>
      <c r="CW26">
        <f t="shared" si="28"/>
        <v>0</v>
      </c>
      <c r="CX26">
        <f t="shared" si="29"/>
        <v>0</v>
      </c>
      <c r="CY26">
        <f t="shared" si="30"/>
        <v>0</v>
      </c>
      <c r="CZ26">
        <f t="shared" si="31"/>
        <v>0</v>
      </c>
      <c r="DA26">
        <f t="shared" si="15"/>
        <v>0</v>
      </c>
      <c r="DB26">
        <f t="shared" si="16"/>
        <v>0</v>
      </c>
    </row>
    <row r="27" spans="1:106" x14ac:dyDescent="0.15">
      <c r="A27" t="str">
        <f t="shared" si="32"/>
        <v>PALU</v>
      </c>
      <c r="B27" t="s">
        <v>59</v>
      </c>
      <c r="C27" t="s">
        <v>60</v>
      </c>
      <c r="CE27">
        <f t="shared" si="19"/>
        <v>0</v>
      </c>
      <c r="CF27">
        <f t="shared" si="21"/>
        <v>0</v>
      </c>
      <c r="CG27">
        <f t="shared" si="22"/>
        <v>0</v>
      </c>
      <c r="CH27">
        <f t="shared" si="23"/>
        <v>0</v>
      </c>
      <c r="CI27">
        <f t="shared" si="24"/>
        <v>0</v>
      </c>
      <c r="CJ27" s="89">
        <f t="shared" si="14"/>
        <v>0</v>
      </c>
      <c r="CK27">
        <f t="shared" si="20"/>
        <v>0</v>
      </c>
      <c r="CL27" s="75" t="e">
        <f>CK27/(CG27-CH27)</f>
        <v>#DIV/0!</v>
      </c>
      <c r="CM27">
        <f t="shared" si="25"/>
        <v>0</v>
      </c>
      <c r="CN27">
        <f t="shared" si="26"/>
        <v>0</v>
      </c>
      <c r="CO27" s="7">
        <f t="array" ref="CO27">SUM(IF(ISERR(FIND("*",D27:CD27)),0,1))</f>
        <v>0</v>
      </c>
      <c r="CP27" s="7">
        <f t="array" ref="CP27">SUM(IF(ISERR(FIND("+",D27:CD27)),0,1))</f>
        <v>0</v>
      </c>
      <c r="CQ27">
        <f t="shared" si="27"/>
        <v>0</v>
      </c>
      <c r="CR27" s="7">
        <f t="array" ref="CR27">SUM(IF(ISERR(FIND(CR$4,$D27:$CD27)),0,1))</f>
        <v>0</v>
      </c>
      <c r="CS27" s="7">
        <f t="array" ref="CS27">SUM(IF(ISERR(FIND(CS$4,$D27:$CD27)),0,1))</f>
        <v>0</v>
      </c>
      <c r="CT27" s="7">
        <f t="array" ref="CT27">SUM(IF(ISERR(FIND(CT$4,$D27:$CD27)),0,1))</f>
        <v>0</v>
      </c>
      <c r="CU27" s="7">
        <f t="array" ref="CU27">SUM(IF(ISERR(FIND(CU$4,$D27:$CD27)),0,1))</f>
        <v>0</v>
      </c>
      <c r="CV27" s="7">
        <f t="array" ref="CV27">SUM(IF(ISERR(FIND(CV$4,$D27:$CD27)),0,1))</f>
        <v>0</v>
      </c>
      <c r="CW27">
        <f t="shared" si="28"/>
        <v>0</v>
      </c>
      <c r="CX27">
        <f t="shared" si="29"/>
        <v>0</v>
      </c>
      <c r="CY27">
        <f t="shared" si="30"/>
        <v>0</v>
      </c>
      <c r="CZ27">
        <f t="shared" si="31"/>
        <v>0</v>
      </c>
      <c r="DA27">
        <f t="shared" si="15"/>
        <v>0</v>
      </c>
      <c r="DB27">
        <f t="shared" si="16"/>
        <v>0</v>
      </c>
    </row>
    <row r="28" spans="1:106" x14ac:dyDescent="0.15">
      <c r="A28" t="str">
        <f t="shared" si="32"/>
        <v>ANMA</v>
      </c>
      <c r="B28" t="s">
        <v>61</v>
      </c>
      <c r="C28" t="s">
        <v>124</v>
      </c>
      <c r="E28" t="s">
        <v>347</v>
      </c>
      <c r="G28" t="s">
        <v>311</v>
      </c>
      <c r="I28" t="s">
        <v>424</v>
      </c>
      <c r="O28" t="s">
        <v>511</v>
      </c>
      <c r="Q28" t="s">
        <v>311</v>
      </c>
      <c r="U28" t="s">
        <v>476</v>
      </c>
      <c r="X28" t="s">
        <v>477</v>
      </c>
      <c r="AH28" t="s">
        <v>973</v>
      </c>
      <c r="AM28" t="s">
        <v>776</v>
      </c>
      <c r="AP28" t="s">
        <v>759</v>
      </c>
      <c r="AW28" t="s">
        <v>1054</v>
      </c>
      <c r="AX28" t="s">
        <v>311</v>
      </c>
      <c r="AZ28" t="s">
        <v>889</v>
      </c>
      <c r="BA28" t="s">
        <v>918</v>
      </c>
      <c r="BD28" t="s">
        <v>699</v>
      </c>
      <c r="CE28">
        <f t="shared" si="19"/>
        <v>15</v>
      </c>
      <c r="CF28">
        <f t="shared" si="21"/>
        <v>5</v>
      </c>
      <c r="CG28">
        <f t="shared" si="22"/>
        <v>10</v>
      </c>
      <c r="CH28">
        <f t="shared" si="23"/>
        <v>2</v>
      </c>
      <c r="CI28">
        <f t="shared" si="24"/>
        <v>29</v>
      </c>
      <c r="CJ28" s="89">
        <f t="shared" si="14"/>
        <v>29</v>
      </c>
      <c r="CK28">
        <f t="shared" si="20"/>
        <v>108</v>
      </c>
      <c r="CL28" s="75">
        <f t="shared" si="17"/>
        <v>13.5</v>
      </c>
      <c r="CM28">
        <f t="shared" si="25"/>
        <v>173</v>
      </c>
      <c r="CN28">
        <f t="shared" si="26"/>
        <v>20</v>
      </c>
      <c r="CO28" s="7">
        <f t="array" ref="CO28">SUM(IF(ISERR(FIND("*",D28:CD28)),0,1))</f>
        <v>0</v>
      </c>
      <c r="CP28" s="7">
        <f t="array" ref="CP28">SUM(IF(ISERR(FIND("+",D28:CD28)),0,1))</f>
        <v>0</v>
      </c>
      <c r="CQ28">
        <f t="shared" si="27"/>
        <v>2</v>
      </c>
      <c r="CR28" s="7">
        <f t="array" ref="CR28">SUM(IF(ISERR(FIND(CR$4,$D28:$CD28)),0,1))</f>
        <v>4</v>
      </c>
      <c r="CS28" s="7">
        <f t="array" ref="CS28">SUM(IF(ISERR(FIND(CS$4,$D28:$CD28)),0,1))</f>
        <v>4</v>
      </c>
      <c r="CT28" s="7">
        <f t="array" ref="CT28">SUM(IF(ISERR(FIND(CT$4,$D28:$CD28)),0,1))</f>
        <v>0</v>
      </c>
      <c r="CU28" s="7">
        <f t="array" ref="CU28">SUM(IF(ISERR(FIND(CU$4,$D28:$CD28)),0,1))</f>
        <v>0</v>
      </c>
      <c r="CV28" s="7">
        <f t="array" ref="CV28">SUM(IF(ISERR(FIND(CV$4,$D28:$CD28)),0,1))</f>
        <v>0</v>
      </c>
      <c r="CW28">
        <f t="shared" si="28"/>
        <v>4</v>
      </c>
      <c r="CX28">
        <f t="shared" si="29"/>
        <v>16</v>
      </c>
      <c r="CY28">
        <f t="shared" si="30"/>
        <v>3</v>
      </c>
      <c r="CZ28">
        <f t="shared" si="31"/>
        <v>0</v>
      </c>
      <c r="DA28">
        <f t="shared" si="15"/>
        <v>0</v>
      </c>
      <c r="DB28">
        <f t="shared" si="16"/>
        <v>1</v>
      </c>
    </row>
    <row r="29" spans="1:106" x14ac:dyDescent="0.15">
      <c r="A29" t="str">
        <f t="shared" si="32"/>
        <v>COMA</v>
      </c>
      <c r="B29" t="s">
        <v>62</v>
      </c>
      <c r="C29" t="s">
        <v>126</v>
      </c>
      <c r="I29" t="s">
        <v>426</v>
      </c>
      <c r="O29" t="s">
        <v>512</v>
      </c>
      <c r="U29" t="s">
        <v>309</v>
      </c>
      <c r="X29" t="s">
        <v>607</v>
      </c>
      <c r="AM29" t="s">
        <v>777</v>
      </c>
      <c r="AP29" t="s">
        <v>386</v>
      </c>
      <c r="AS29" t="s">
        <v>544</v>
      </c>
      <c r="AZ29" t="s">
        <v>890</v>
      </c>
      <c r="BA29" t="s">
        <v>919</v>
      </c>
      <c r="BD29" t="s">
        <v>311</v>
      </c>
      <c r="CE29">
        <f t="shared" ref="CE29:CE37" si="33">BatSplit(D29:CD29,MatchesPlayed)</f>
        <v>10</v>
      </c>
      <c r="CF29">
        <f t="shared" si="21"/>
        <v>2</v>
      </c>
      <c r="CG29">
        <f t="shared" si="22"/>
        <v>8</v>
      </c>
      <c r="CH29">
        <f t="shared" si="23"/>
        <v>4</v>
      </c>
      <c r="CI29">
        <f t="shared" si="24"/>
        <v>-8</v>
      </c>
      <c r="CJ29" s="89" t="str">
        <f t="shared" si="14"/>
        <v>8*</v>
      </c>
      <c r="CK29">
        <f t="shared" si="20"/>
        <v>24</v>
      </c>
      <c r="CL29" s="75">
        <f t="shared" si="17"/>
        <v>6</v>
      </c>
      <c r="CM29">
        <f t="shared" si="25"/>
        <v>69</v>
      </c>
      <c r="CN29">
        <f t="shared" si="26"/>
        <v>5</v>
      </c>
      <c r="CO29" s="7">
        <f t="array" ref="CO29">SUM(IF(ISERR(FIND("*",D29:CD29)),0,1))</f>
        <v>0</v>
      </c>
      <c r="CP29" s="7">
        <f t="array" ref="CP29">SUM(IF(ISERR(FIND("+",D29:CD29)),0,1))</f>
        <v>0</v>
      </c>
      <c r="CQ29">
        <f t="shared" si="27"/>
        <v>1</v>
      </c>
      <c r="CR29" s="7">
        <f t="array" ref="CR29">SUM(IF(ISERR(FIND(CR$4,$D29:$CD29)),0,1))</f>
        <v>3</v>
      </c>
      <c r="CS29" s="7">
        <f t="array" ref="CS29">SUM(IF(ISERR(FIND(CS$4,$D29:$CD29)),0,1))</f>
        <v>1</v>
      </c>
      <c r="CT29" s="7">
        <f t="array" ref="CT29">SUM(IF(ISERR(FIND(CT$4,$D29:$CD29)),0,1))</f>
        <v>0</v>
      </c>
      <c r="CU29" s="7">
        <f t="array" ref="CU29">SUM(IF(ISERR(FIND(CU$4,$D29:$CD29)),0,1))</f>
        <v>0</v>
      </c>
      <c r="CV29" s="7">
        <f t="array" ref="CV29">SUM(IF(ISERR(FIND(CV$4,$D29:$CD29)),0,1))</f>
        <v>0</v>
      </c>
      <c r="CW29">
        <f t="shared" si="28"/>
        <v>1</v>
      </c>
      <c r="CX29">
        <f t="shared" si="29"/>
        <v>2</v>
      </c>
      <c r="CY29">
        <f t="shared" si="30"/>
        <v>0</v>
      </c>
      <c r="CZ29">
        <f t="shared" si="31"/>
        <v>0</v>
      </c>
      <c r="DA29">
        <f t="shared" si="15"/>
        <v>0</v>
      </c>
      <c r="DB29">
        <f t="shared" si="16"/>
        <v>0</v>
      </c>
    </row>
    <row r="30" spans="1:106" x14ac:dyDescent="0.15">
      <c r="A30" t="s">
        <v>250</v>
      </c>
      <c r="B30" t="s">
        <v>98</v>
      </c>
      <c r="C30" t="s">
        <v>99</v>
      </c>
      <c r="CE30">
        <f t="shared" si="33"/>
        <v>0</v>
      </c>
      <c r="CF30">
        <f t="shared" si="21"/>
        <v>0</v>
      </c>
      <c r="CG30">
        <f t="shared" si="22"/>
        <v>0</v>
      </c>
      <c r="CH30">
        <f t="shared" si="23"/>
        <v>0</v>
      </c>
      <c r="CI30">
        <f t="shared" si="24"/>
        <v>0</v>
      </c>
      <c r="CJ30" s="89">
        <f t="shared" si="14"/>
        <v>0</v>
      </c>
      <c r="CK30">
        <f t="shared" si="20"/>
        <v>0</v>
      </c>
      <c r="CL30" s="75" t="e">
        <f t="shared" si="17"/>
        <v>#DIV/0!</v>
      </c>
      <c r="CM30">
        <f t="shared" si="25"/>
        <v>0</v>
      </c>
      <c r="CN30">
        <f t="shared" si="26"/>
        <v>0</v>
      </c>
      <c r="CO30" s="7">
        <f t="array" ref="CO30">SUM(IF(ISERR(FIND("*",D30:CD30)),0,1))</f>
        <v>0</v>
      </c>
      <c r="CP30" s="7">
        <f t="array" ref="CP30">SUM(IF(ISERR(FIND("+",D30:CD30)),0,1))</f>
        <v>0</v>
      </c>
      <c r="CQ30">
        <f t="shared" si="27"/>
        <v>0</v>
      </c>
      <c r="CR30" s="7">
        <f t="array" ref="CR30">SUM(IF(ISERR(FIND(CR$4,$D30:$CD30)),0,1))</f>
        <v>0</v>
      </c>
      <c r="CS30" s="7">
        <f t="array" ref="CS30">SUM(IF(ISERR(FIND(CS$4,$D30:$CD30)),0,1))</f>
        <v>0</v>
      </c>
      <c r="CT30" s="7">
        <f t="array" ref="CT30">SUM(IF(ISERR(FIND(CT$4,$D30:$CD30)),0,1))</f>
        <v>0</v>
      </c>
      <c r="CU30" s="7">
        <f t="array" ref="CU30">SUM(IF(ISERR(FIND(CU$4,$D30:$CD30)),0,1))</f>
        <v>0</v>
      </c>
      <c r="CV30" s="7">
        <f t="array" ref="CV30">SUM(IF(ISERR(FIND(CV$4,$D30:$CD30)),0,1))</f>
        <v>0</v>
      </c>
      <c r="CW30">
        <f t="shared" si="28"/>
        <v>0</v>
      </c>
      <c r="CX30">
        <f t="shared" si="29"/>
        <v>0</v>
      </c>
      <c r="CY30">
        <f t="shared" si="30"/>
        <v>0</v>
      </c>
      <c r="CZ30">
        <f t="shared" si="31"/>
        <v>0</v>
      </c>
      <c r="DA30">
        <f t="shared" si="15"/>
        <v>0</v>
      </c>
      <c r="DB30">
        <f t="shared" si="16"/>
        <v>0</v>
      </c>
    </row>
    <row r="31" spans="1:106" x14ac:dyDescent="0.15">
      <c r="A31" t="s">
        <v>204</v>
      </c>
      <c r="B31" t="s">
        <v>96</v>
      </c>
      <c r="C31" t="s">
        <v>97</v>
      </c>
      <c r="CE31">
        <f t="shared" si="33"/>
        <v>0</v>
      </c>
      <c r="CF31">
        <f t="shared" si="21"/>
        <v>0</v>
      </c>
      <c r="CG31">
        <f t="shared" si="22"/>
        <v>0</v>
      </c>
      <c r="CH31">
        <f t="shared" si="23"/>
        <v>0</v>
      </c>
      <c r="CI31">
        <f t="shared" si="24"/>
        <v>0</v>
      </c>
      <c r="CJ31" s="89">
        <f t="shared" si="14"/>
        <v>0</v>
      </c>
      <c r="CK31">
        <f t="shared" si="20"/>
        <v>0</v>
      </c>
      <c r="CL31" s="75" t="e">
        <f t="shared" si="17"/>
        <v>#DIV/0!</v>
      </c>
      <c r="CM31">
        <f t="shared" si="25"/>
        <v>0</v>
      </c>
      <c r="CN31">
        <f t="shared" si="26"/>
        <v>0</v>
      </c>
      <c r="CO31" s="7">
        <f t="array" ref="CO31">SUM(IF(ISERR(FIND("*",D31:CD31)),0,1))</f>
        <v>0</v>
      </c>
      <c r="CP31" s="7">
        <f t="array" ref="CP31">SUM(IF(ISERR(FIND("+",D31:CD31)),0,1))</f>
        <v>0</v>
      </c>
      <c r="CQ31">
        <f t="shared" si="27"/>
        <v>0</v>
      </c>
      <c r="CR31" s="7">
        <f t="array" ref="CR31">SUM(IF(ISERR(FIND(CR$4,$D31:$CD31)),0,1))</f>
        <v>0</v>
      </c>
      <c r="CS31" s="7">
        <f t="array" ref="CS31">SUM(IF(ISERR(FIND(CS$4,$D31:$CD31)),0,1))</f>
        <v>0</v>
      </c>
      <c r="CT31" s="7">
        <f t="array" ref="CT31">SUM(IF(ISERR(FIND(CT$4,$D31:$CD31)),0,1))</f>
        <v>0</v>
      </c>
      <c r="CU31" s="7">
        <f t="array" ref="CU31">SUM(IF(ISERR(FIND(CU$4,$D31:$CD31)),0,1))</f>
        <v>0</v>
      </c>
      <c r="CV31" s="7">
        <f t="array" ref="CV31">SUM(IF(ISERR(FIND(CV$4,$D31:$CD31)),0,1))</f>
        <v>0</v>
      </c>
      <c r="CW31">
        <f t="shared" si="28"/>
        <v>0</v>
      </c>
      <c r="CX31">
        <f t="shared" si="29"/>
        <v>0</v>
      </c>
      <c r="CY31">
        <f t="shared" si="30"/>
        <v>0</v>
      </c>
      <c r="CZ31">
        <f t="shared" si="31"/>
        <v>0</v>
      </c>
      <c r="DA31">
        <f t="shared" si="15"/>
        <v>0</v>
      </c>
      <c r="DB31">
        <f t="shared" si="16"/>
        <v>0</v>
      </c>
    </row>
    <row r="32" spans="1:106" x14ac:dyDescent="0.15">
      <c r="A32" t="s">
        <v>202</v>
      </c>
      <c r="B32" t="s">
        <v>100</v>
      </c>
      <c r="C32" t="s">
        <v>101</v>
      </c>
      <c r="D32" t="s">
        <v>307</v>
      </c>
      <c r="I32" t="s">
        <v>423</v>
      </c>
      <c r="O32" t="s">
        <v>350</v>
      </c>
      <c r="Q32" t="s">
        <v>544</v>
      </c>
      <c r="T32" t="s">
        <v>627</v>
      </c>
      <c r="AC32" t="s">
        <v>628</v>
      </c>
      <c r="AN32" t="s">
        <v>648</v>
      </c>
      <c r="AZ32" t="s">
        <v>350</v>
      </c>
      <c r="BA32" t="s">
        <v>917</v>
      </c>
      <c r="BE32" t="s">
        <v>1004</v>
      </c>
      <c r="CE32">
        <f t="shared" si="33"/>
        <v>10</v>
      </c>
      <c r="CF32">
        <f t="shared" si="21"/>
        <v>0</v>
      </c>
      <c r="CG32">
        <f t="shared" si="22"/>
        <v>10</v>
      </c>
      <c r="CH32">
        <f t="shared" si="23"/>
        <v>5</v>
      </c>
      <c r="CI32">
        <f t="shared" si="24"/>
        <v>17</v>
      </c>
      <c r="CJ32" s="89">
        <f t="shared" si="14"/>
        <v>17</v>
      </c>
      <c r="CK32">
        <f t="shared" ref="CK32:CK41" si="34">BatSplit(D32:CD32,RunsScored)</f>
        <v>31</v>
      </c>
      <c r="CL32" s="75">
        <f t="shared" si="17"/>
        <v>6.2</v>
      </c>
      <c r="CM32">
        <f t="shared" si="25"/>
        <v>81</v>
      </c>
      <c r="CN32">
        <f>BatSplit(D32:CD32,FldPts)</f>
        <v>0</v>
      </c>
      <c r="CO32" s="7">
        <f t="array" ref="CO32">SUM(IF(ISERR(FIND("*",D32:CD32)),0,1))</f>
        <v>0</v>
      </c>
      <c r="CP32" s="7">
        <f t="array" ref="CP32">SUM(IF(ISERR(FIND("+",D32:CD32)),0,1))</f>
        <v>0</v>
      </c>
      <c r="CQ32">
        <f t="shared" si="27"/>
        <v>0</v>
      </c>
      <c r="CR32" s="7">
        <f t="array" ref="CR32">SUM(IF(ISERR(FIND(CR$4,$D32:$CD32)),0,1))</f>
        <v>4</v>
      </c>
      <c r="CS32" s="7">
        <f t="array" ref="CS32">SUM(IF(ISERR(FIND(CS$4,$D32:$CD32)),0,1))</f>
        <v>1</v>
      </c>
      <c r="CT32" s="7">
        <f t="array" ref="CT32">SUM(IF(ISERR(FIND(CT$4,$D32:$CD32)),0,1))</f>
        <v>0</v>
      </c>
      <c r="CU32" s="7">
        <f t="array" ref="CU32">SUM(IF(ISERR(FIND(CU$4,$D32:$CD32)),0,1))</f>
        <v>0</v>
      </c>
      <c r="CV32" s="7">
        <f t="array" ref="CV32">SUM(IF(ISERR(FIND(CV$4,$D32:$CD32)),0,1))</f>
        <v>0</v>
      </c>
      <c r="CW32">
        <f t="shared" si="28"/>
        <v>0</v>
      </c>
      <c r="CX32">
        <f t="shared" si="29"/>
        <v>0</v>
      </c>
      <c r="CY32">
        <f t="shared" si="30"/>
        <v>0</v>
      </c>
      <c r="CZ32">
        <f t="shared" si="31"/>
        <v>0</v>
      </c>
      <c r="DA32">
        <f t="shared" si="15"/>
        <v>0</v>
      </c>
      <c r="DB32">
        <f t="shared" si="16"/>
        <v>0</v>
      </c>
    </row>
    <row r="33" spans="1:106" x14ac:dyDescent="0.15">
      <c r="A33" t="str">
        <f t="shared" ref="A33:A52" si="35">UPPER(LEFT(B33,2)&amp;LEFT(C33,2))</f>
        <v>JEMI</v>
      </c>
      <c r="B33" t="s">
        <v>63</v>
      </c>
      <c r="C33" t="s">
        <v>64</v>
      </c>
      <c r="H33" t="s">
        <v>408</v>
      </c>
      <c r="N33" t="s">
        <v>490</v>
      </c>
      <c r="R33" t="s">
        <v>476</v>
      </c>
      <c r="U33" t="s">
        <v>569</v>
      </c>
      <c r="X33" t="s">
        <v>587</v>
      </c>
      <c r="AA33" t="s">
        <v>677</v>
      </c>
      <c r="AN33" t="s">
        <v>725</v>
      </c>
      <c r="AP33" t="s">
        <v>756</v>
      </c>
      <c r="BA33" t="s">
        <v>914</v>
      </c>
      <c r="BD33" t="s">
        <v>988</v>
      </c>
      <c r="CE33">
        <f t="shared" si="33"/>
        <v>10</v>
      </c>
      <c r="CF33">
        <f t="shared" ref="CF33:CF42" si="36">CE33-CG33</f>
        <v>2</v>
      </c>
      <c r="CG33">
        <f t="shared" ref="CG33:CG42" si="37">BatSplit(D33:CD33,InnsBattedIn)</f>
        <v>8</v>
      </c>
      <c r="CH33">
        <f t="shared" ref="CH33:CH42" si="38">BatSplit(D33:CD33,NotOuts)</f>
        <v>3</v>
      </c>
      <c r="CI33">
        <f t="shared" ref="CI33:CI42" si="39">BatSplit(D33:CD33,HighestScore)</f>
        <v>-82</v>
      </c>
      <c r="CJ33" s="89" t="str">
        <f t="shared" si="14"/>
        <v>82*</v>
      </c>
      <c r="CK33">
        <f t="shared" si="34"/>
        <v>259</v>
      </c>
      <c r="CL33" s="75">
        <f t="shared" si="17"/>
        <v>51.8</v>
      </c>
      <c r="CM33">
        <f t="shared" ref="CM33:CM42" si="40">BatSplit(D33:CD33,BatPts)</f>
        <v>329</v>
      </c>
      <c r="CN33">
        <f t="shared" ref="CN33:CN42" si="41">BatSplit(D33:CD33,FldPts)</f>
        <v>20</v>
      </c>
      <c r="CO33" s="7">
        <f t="array" ref="CO33">SUM(IF(ISERR(FIND("*",D33:CD33)),0,1))</f>
        <v>0</v>
      </c>
      <c r="CP33" s="7">
        <f t="array" ref="CP33">SUM(IF(ISERR(FIND("+",D33:CD33)),0,1))</f>
        <v>1</v>
      </c>
      <c r="CQ33">
        <f t="shared" ref="CQ33:CQ42" si="42">BatSplit(D33:CD33,Ducks)</f>
        <v>0</v>
      </c>
      <c r="CR33" s="7">
        <f t="array" ref="CR33">SUM(IF(ISERR(FIND(CR$4,$D33:$CD33)),0,1))</f>
        <v>1</v>
      </c>
      <c r="CS33" s="7">
        <f t="array" ref="CS33">SUM(IF(ISERR(FIND(CS$4,$D33:$CD33)),0,1))</f>
        <v>4</v>
      </c>
      <c r="CT33" s="7">
        <f t="array" ref="CT33">SUM(IF(ISERR(FIND(CT$4,$D33:$CD33)),0,1))</f>
        <v>0</v>
      </c>
      <c r="CU33" s="7">
        <f t="array" ref="CU33">SUM(IF(ISERR(FIND(CU$4,$D33:$CD33)),0,1))</f>
        <v>0</v>
      </c>
      <c r="CV33" s="7">
        <f t="array" ref="CV33">SUM(IF(ISERR(FIND(CV$4,$D33:$CD33)),0,1))</f>
        <v>0</v>
      </c>
      <c r="CW33">
        <f t="shared" ref="CW33:CW42" si="43">BatSplit(D33:CD33,Catches)</f>
        <v>2</v>
      </c>
      <c r="CX33">
        <f t="shared" ref="CX33:CX42" si="44">BatSplit(D33:CD33,Fours)</f>
        <v>34</v>
      </c>
      <c r="CY33">
        <f t="shared" ref="CY33:CY42" si="45">BatSplit(D33:CD33,Sixes)</f>
        <v>4</v>
      </c>
      <c r="CZ33">
        <f t="shared" ref="CZ33:CZ42" si="46">BatSplit(D33:CD33,Stumpings)</f>
        <v>1</v>
      </c>
      <c r="DA33">
        <f t="shared" si="15"/>
        <v>0</v>
      </c>
      <c r="DB33">
        <f t="shared" si="16"/>
        <v>4</v>
      </c>
    </row>
    <row r="34" spans="1:106" x14ac:dyDescent="0.15">
      <c r="A34" t="str">
        <f t="shared" si="35"/>
        <v>LEMI</v>
      </c>
      <c r="B34" t="s">
        <v>65</v>
      </c>
      <c r="C34" t="s">
        <v>66</v>
      </c>
      <c r="S34" t="s">
        <v>477</v>
      </c>
      <c r="AR34" t="s">
        <v>311</v>
      </c>
      <c r="CE34">
        <f>BatSplit(D34:CD34,MatchesPlayed)</f>
        <v>2</v>
      </c>
      <c r="CF34">
        <f t="shared" si="36"/>
        <v>2</v>
      </c>
      <c r="CG34">
        <f>BatSplit(D34:CD34,InnsBattedIn)</f>
        <v>0</v>
      </c>
      <c r="CH34">
        <f>BatSplit(D34:CD34,NotOuts)</f>
        <v>0</v>
      </c>
      <c r="CI34">
        <f>BatSplit(D34:CD34,HighestScore)</f>
        <v>0</v>
      </c>
      <c r="CJ34" s="89">
        <f t="shared" si="14"/>
        <v>0</v>
      </c>
      <c r="CK34">
        <f>BatSplit(D34:CD34,RunsScored)</f>
        <v>0</v>
      </c>
      <c r="CL34" s="75" t="e">
        <f t="shared" si="17"/>
        <v>#DIV/0!</v>
      </c>
      <c r="CM34">
        <f t="shared" si="40"/>
        <v>10</v>
      </c>
      <c r="CN34">
        <f t="shared" si="41"/>
        <v>0</v>
      </c>
      <c r="CO34" s="7">
        <f t="array" ref="CO34">SUM(IF(ISERR(FIND("*",D34:CD34)),0,1))</f>
        <v>0</v>
      </c>
      <c r="CP34" s="7">
        <f t="array" ref="CP34">SUM(IF(ISERR(FIND("+",D34:CD34)),0,1))</f>
        <v>0</v>
      </c>
      <c r="CQ34">
        <f t="shared" si="42"/>
        <v>0</v>
      </c>
      <c r="CR34" s="7">
        <f t="array" ref="CR34">SUM(IF(ISERR(FIND(CR$4,$D34:$CD34)),0,1))</f>
        <v>0</v>
      </c>
      <c r="CS34" s="7">
        <f t="array" ref="CS34">SUM(IF(ISERR(FIND(CS$4,$D34:$CD34)),0,1))</f>
        <v>0</v>
      </c>
      <c r="CT34" s="7">
        <f t="array" ref="CT34">SUM(IF(ISERR(FIND(CT$4,$D34:$CD34)),0,1))</f>
        <v>0</v>
      </c>
      <c r="CU34" s="7">
        <f t="array" ref="CU34">SUM(IF(ISERR(FIND(CU$4,$D34:$CD34)),0,1))</f>
        <v>0</v>
      </c>
      <c r="CV34" s="7">
        <f t="array" ref="CV34">SUM(IF(ISERR(FIND(CV$4,$D34:$CD34)),0,1))</f>
        <v>0</v>
      </c>
      <c r="CW34">
        <f t="shared" si="43"/>
        <v>0</v>
      </c>
      <c r="CX34">
        <f t="shared" si="44"/>
        <v>0</v>
      </c>
      <c r="CY34">
        <f t="shared" si="45"/>
        <v>0</v>
      </c>
      <c r="CZ34">
        <f t="shared" si="46"/>
        <v>0</v>
      </c>
      <c r="DA34">
        <f t="shared" si="15"/>
        <v>0</v>
      </c>
      <c r="DB34">
        <f t="shared" si="16"/>
        <v>0</v>
      </c>
    </row>
    <row r="35" spans="1:106" x14ac:dyDescent="0.15">
      <c r="A35" t="str">
        <f t="shared" si="35"/>
        <v>DAMO</v>
      </c>
      <c r="B35" t="s">
        <v>67</v>
      </c>
      <c r="C35" t="s">
        <v>130</v>
      </c>
      <c r="E35" t="s">
        <v>349</v>
      </c>
      <c r="F35" t="s">
        <v>367</v>
      </c>
      <c r="M35" t="s">
        <v>463</v>
      </c>
      <c r="N35" t="s">
        <v>311</v>
      </c>
      <c r="T35" t="s">
        <v>1014</v>
      </c>
      <c r="W35" t="s">
        <v>637</v>
      </c>
      <c r="Z35" t="s">
        <v>649</v>
      </c>
      <c r="AC35" t="s">
        <v>800</v>
      </c>
      <c r="AK35" t="s">
        <v>746</v>
      </c>
      <c r="AN35" t="s">
        <v>727</v>
      </c>
      <c r="AO35" t="s">
        <v>799</v>
      </c>
      <c r="AP35" t="s">
        <v>757</v>
      </c>
      <c r="AT35" t="s">
        <v>311</v>
      </c>
      <c r="AU35" t="s">
        <v>476</v>
      </c>
      <c r="AW35" t="s">
        <v>1053</v>
      </c>
      <c r="BA35" t="s">
        <v>915</v>
      </c>
      <c r="BC35" t="s">
        <v>637</v>
      </c>
      <c r="CE35">
        <f t="shared" si="33"/>
        <v>17</v>
      </c>
      <c r="CF35">
        <f t="shared" si="36"/>
        <v>7</v>
      </c>
      <c r="CG35">
        <f t="shared" si="37"/>
        <v>10</v>
      </c>
      <c r="CH35">
        <f t="shared" si="38"/>
        <v>3</v>
      </c>
      <c r="CI35">
        <f t="shared" si="39"/>
        <v>18</v>
      </c>
      <c r="CJ35" s="89">
        <f t="shared" si="14"/>
        <v>18</v>
      </c>
      <c r="CK35">
        <f t="shared" si="34"/>
        <v>98</v>
      </c>
      <c r="CL35" s="75">
        <f t="shared" si="17"/>
        <v>14</v>
      </c>
      <c r="CM35">
        <f t="shared" si="40"/>
        <v>183</v>
      </c>
      <c r="CN35">
        <f t="shared" si="41"/>
        <v>10</v>
      </c>
      <c r="CO35" s="7">
        <f t="array" ref="CO35">SUM(IF(ISERR(FIND("*",D35:CD35)),0,1))</f>
        <v>6</v>
      </c>
      <c r="CP35" s="7">
        <f t="array" ref="CP35">SUM(IF(ISERR(FIND("+",D35:CD35)),0,1))</f>
        <v>0</v>
      </c>
      <c r="CQ35">
        <f t="shared" si="42"/>
        <v>0</v>
      </c>
      <c r="CR35" s="7">
        <f t="array" ref="CR35">SUM(IF(ISERR(FIND(CR$4,$D35:$CD35)),0,1))</f>
        <v>2</v>
      </c>
      <c r="CS35" s="7">
        <f t="array" ref="CS35">SUM(IF(ISERR(FIND(CS$4,$D35:$CD35)),0,1))</f>
        <v>5</v>
      </c>
      <c r="CT35" s="7">
        <f t="array" ref="CT35">SUM(IF(ISERR(FIND(CT$4,$D35:$CD35)),0,1))</f>
        <v>0</v>
      </c>
      <c r="CU35" s="7">
        <f t="array" ref="CU35">SUM(IF(ISERR(FIND(CU$4,$D35:$CD35)),0,1))</f>
        <v>0</v>
      </c>
      <c r="CV35" s="7">
        <f t="array" ref="CV35">SUM(IF(ISERR(FIND(CV$4,$D35:$CD35)),0,1))</f>
        <v>0</v>
      </c>
      <c r="CW35">
        <f t="shared" si="43"/>
        <v>2</v>
      </c>
      <c r="CX35">
        <f t="shared" si="44"/>
        <v>10</v>
      </c>
      <c r="CY35">
        <f t="shared" si="45"/>
        <v>1</v>
      </c>
      <c r="CZ35">
        <f t="shared" si="46"/>
        <v>0</v>
      </c>
      <c r="DA35">
        <f t="shared" si="15"/>
        <v>0</v>
      </c>
      <c r="DB35">
        <f t="shared" si="16"/>
        <v>0</v>
      </c>
    </row>
    <row r="36" spans="1:106" x14ac:dyDescent="0.15">
      <c r="A36" t="s">
        <v>90</v>
      </c>
      <c r="B36" t="s">
        <v>91</v>
      </c>
      <c r="C36" t="s">
        <v>144</v>
      </c>
      <c r="CE36">
        <f t="shared" si="33"/>
        <v>0</v>
      </c>
      <c r="CF36">
        <f t="shared" si="36"/>
        <v>0</v>
      </c>
      <c r="CG36">
        <f t="shared" si="37"/>
        <v>0</v>
      </c>
      <c r="CH36">
        <f t="shared" si="38"/>
        <v>0</v>
      </c>
      <c r="CI36">
        <f t="shared" si="39"/>
        <v>0</v>
      </c>
      <c r="CJ36" s="89">
        <f t="shared" si="14"/>
        <v>0</v>
      </c>
      <c r="CK36">
        <f t="shared" si="34"/>
        <v>0</v>
      </c>
      <c r="CL36" s="75" t="e">
        <f t="shared" ref="CL36:CL50" si="47">CK36/(CG36-CH36)</f>
        <v>#DIV/0!</v>
      </c>
      <c r="CM36">
        <f t="shared" si="40"/>
        <v>0</v>
      </c>
      <c r="CN36">
        <f t="shared" si="41"/>
        <v>0</v>
      </c>
      <c r="CO36" s="7">
        <f t="array" ref="CO36">SUM(IF(ISERR(FIND("*",D36:CD36)),0,1))</f>
        <v>0</v>
      </c>
      <c r="CP36" s="7">
        <f t="array" ref="CP36">SUM(IF(ISERR(FIND("+",D36:CD36)),0,1))</f>
        <v>0</v>
      </c>
      <c r="CQ36">
        <f t="shared" si="42"/>
        <v>0</v>
      </c>
      <c r="CR36" s="7">
        <f t="array" ref="CR36">SUM(IF(ISERR(FIND(CR$4,$D36:$CD36)),0,1))</f>
        <v>0</v>
      </c>
      <c r="CS36" s="7">
        <f t="array" ref="CS36">SUM(IF(ISERR(FIND(CS$4,$D36:$CD36)),0,1))</f>
        <v>0</v>
      </c>
      <c r="CT36" s="7">
        <f t="array" ref="CT36">SUM(IF(ISERR(FIND(CT$4,$D36:$CD36)),0,1))</f>
        <v>0</v>
      </c>
      <c r="CU36" s="7">
        <f t="array" ref="CU36">SUM(IF(ISERR(FIND(CU$4,$D36:$CD36)),0,1))</f>
        <v>0</v>
      </c>
      <c r="CV36" s="7">
        <f t="array" ref="CV36">SUM(IF(ISERR(FIND(CV$4,$D36:$CD36)),0,1))</f>
        <v>0</v>
      </c>
      <c r="CW36">
        <f t="shared" si="43"/>
        <v>0</v>
      </c>
      <c r="CX36">
        <f t="shared" si="44"/>
        <v>0</v>
      </c>
      <c r="CY36">
        <f t="shared" si="45"/>
        <v>0</v>
      </c>
      <c r="CZ36">
        <f t="shared" si="46"/>
        <v>0</v>
      </c>
      <c r="DA36">
        <f t="shared" si="15"/>
        <v>0</v>
      </c>
      <c r="DB36">
        <f t="shared" si="16"/>
        <v>0</v>
      </c>
    </row>
    <row r="37" spans="1:106" x14ac:dyDescent="0.15">
      <c r="A37" t="str">
        <f t="shared" si="35"/>
        <v>PAOA</v>
      </c>
      <c r="B37" t="s">
        <v>59</v>
      </c>
      <c r="C37" t="s">
        <v>68</v>
      </c>
      <c r="F37" t="s">
        <v>366</v>
      </c>
      <c r="H37" t="s">
        <v>409</v>
      </c>
      <c r="K37" t="s">
        <v>439</v>
      </c>
      <c r="M37" t="s">
        <v>452</v>
      </c>
      <c r="N37" t="s">
        <v>489</v>
      </c>
      <c r="P37" t="s">
        <v>528</v>
      </c>
      <c r="U37" t="s">
        <v>568</v>
      </c>
      <c r="V37" t="s">
        <v>592</v>
      </c>
      <c r="AA37" t="s">
        <v>634</v>
      </c>
      <c r="AG37" t="s">
        <v>366</v>
      </c>
      <c r="AN37" t="s">
        <v>697</v>
      </c>
      <c r="AO37" t="s">
        <v>311</v>
      </c>
      <c r="AP37" t="s">
        <v>368</v>
      </c>
      <c r="AR37" t="s">
        <v>445</v>
      </c>
      <c r="AT37" t="s">
        <v>366</v>
      </c>
      <c r="AX37" t="s">
        <v>308</v>
      </c>
      <c r="AY37" t="s">
        <v>476</v>
      </c>
      <c r="CE37">
        <f t="shared" si="33"/>
        <v>17</v>
      </c>
      <c r="CF37">
        <f t="shared" si="36"/>
        <v>4</v>
      </c>
      <c r="CG37">
        <f t="shared" si="37"/>
        <v>13</v>
      </c>
      <c r="CH37">
        <f t="shared" si="38"/>
        <v>2</v>
      </c>
      <c r="CI37">
        <f t="shared" si="39"/>
        <v>-18</v>
      </c>
      <c r="CJ37" s="89" t="str">
        <f t="shared" si="14"/>
        <v>18*</v>
      </c>
      <c r="CK37">
        <f t="shared" si="34"/>
        <v>38</v>
      </c>
      <c r="CL37" s="75">
        <f t="shared" si="47"/>
        <v>3.4545454545454546</v>
      </c>
      <c r="CM37">
        <f t="shared" si="40"/>
        <v>83</v>
      </c>
      <c r="CN37">
        <f t="shared" si="41"/>
        <v>10</v>
      </c>
      <c r="CO37" s="7">
        <f t="array" ref="CO37">SUM(IF(ISERR(FIND("*",D37:CD37)),0,1))</f>
        <v>0</v>
      </c>
      <c r="CP37" s="7">
        <f t="array" ref="CP37">SUM(IF(ISERR(FIND("+",D37:CD37)),0,1))</f>
        <v>0</v>
      </c>
      <c r="CQ37">
        <f t="shared" si="42"/>
        <v>8</v>
      </c>
      <c r="CR37" s="7">
        <f t="array" ref="CR37">SUM(IF(ISERR(FIND(CR$4,$D37:$CD37)),0,1))</f>
        <v>8</v>
      </c>
      <c r="CS37" s="7">
        <f t="array" ref="CS37">SUM(IF(ISERR(FIND(CS$4,$D37:$CD37)),0,1))</f>
        <v>2</v>
      </c>
      <c r="CT37" s="7">
        <f t="array" ref="CT37">SUM(IF(ISERR(FIND(CT$4,$D37:$CD37)),0,1))</f>
        <v>1</v>
      </c>
      <c r="CU37" s="7">
        <f t="array" ref="CU37">SUM(IF(ISERR(FIND(CU$4,$D37:$CD37)),0,1))</f>
        <v>0</v>
      </c>
      <c r="CV37" s="7">
        <f t="array" ref="CV37">SUM(IF(ISERR(FIND(CV$4,$D37:$CD37)),0,1))</f>
        <v>0</v>
      </c>
      <c r="CW37">
        <f t="shared" si="43"/>
        <v>2</v>
      </c>
      <c r="CX37">
        <f t="shared" si="44"/>
        <v>4</v>
      </c>
      <c r="CY37">
        <f t="shared" si="45"/>
        <v>0</v>
      </c>
      <c r="CZ37">
        <f t="shared" si="46"/>
        <v>0</v>
      </c>
      <c r="DA37">
        <f t="shared" si="15"/>
        <v>0</v>
      </c>
      <c r="DB37">
        <f t="shared" si="16"/>
        <v>0</v>
      </c>
    </row>
    <row r="38" spans="1:106" x14ac:dyDescent="0.15">
      <c r="A38" t="str">
        <f t="shared" si="35"/>
        <v>NAPA</v>
      </c>
      <c r="B38" t="s">
        <v>69</v>
      </c>
      <c r="C38" t="s">
        <v>70</v>
      </c>
      <c r="I38" t="s">
        <v>420</v>
      </c>
      <c r="L38" t="s">
        <v>473</v>
      </c>
      <c r="O38" t="s">
        <v>504</v>
      </c>
      <c r="P38" t="s">
        <v>525</v>
      </c>
      <c r="S38" t="s">
        <v>475</v>
      </c>
      <c r="AC38" t="s">
        <v>786</v>
      </c>
      <c r="AM38" t="s">
        <v>772</v>
      </c>
      <c r="AO38" t="s">
        <v>798</v>
      </c>
      <c r="AQ38" t="s">
        <v>812</v>
      </c>
      <c r="AS38" t="s">
        <v>838</v>
      </c>
      <c r="AW38" t="s">
        <v>1050</v>
      </c>
      <c r="AZ38" t="s">
        <v>892</v>
      </c>
      <c r="BB38" t="s">
        <v>950</v>
      </c>
      <c r="CE38">
        <f t="shared" ref="CE38:CE49" si="48">BatSplit(D38:CD38,MatchesPlayed)</f>
        <v>13</v>
      </c>
      <c r="CF38">
        <f t="shared" si="36"/>
        <v>1</v>
      </c>
      <c r="CG38">
        <f t="shared" si="37"/>
        <v>12</v>
      </c>
      <c r="CH38">
        <f t="shared" si="38"/>
        <v>0</v>
      </c>
      <c r="CI38">
        <f t="shared" si="39"/>
        <v>20</v>
      </c>
      <c r="CJ38" s="89">
        <f t="shared" si="14"/>
        <v>20</v>
      </c>
      <c r="CK38">
        <f t="shared" si="34"/>
        <v>87</v>
      </c>
      <c r="CL38" s="75">
        <f t="shared" si="47"/>
        <v>7.25</v>
      </c>
      <c r="CM38">
        <f t="shared" si="40"/>
        <v>147</v>
      </c>
      <c r="CN38">
        <f>BatSplit(D38:CD38,FldPts)</f>
        <v>15</v>
      </c>
      <c r="CO38" s="7">
        <f t="array" ref="CO38">SUM(IF(ISERR(FIND("*",D38:CD38)),0,1))</f>
        <v>0</v>
      </c>
      <c r="CP38" s="7">
        <f t="array" ref="CP38">SUM(IF(ISERR(FIND("+",D38:CD38)),0,1))</f>
        <v>0</v>
      </c>
      <c r="CQ38">
        <f t="shared" si="42"/>
        <v>1</v>
      </c>
      <c r="CR38" s="7">
        <f t="array" ref="CR38">SUM(IF(ISERR(FIND(CR$4,$D38:$CD38)),0,1))</f>
        <v>4</v>
      </c>
      <c r="CS38" s="7">
        <f t="array" ref="CS38">SUM(IF(ISERR(FIND(CS$4,$D38:$CD38)),0,1))</f>
        <v>5</v>
      </c>
      <c r="CT38" s="7">
        <f t="array" ref="CT38">SUM(IF(ISERR(FIND(CT$4,$D38:$CD38)),0,1))</f>
        <v>1</v>
      </c>
      <c r="CU38" s="7">
        <f t="array" ref="CU38">SUM(IF(ISERR(FIND(CU$4,$D38:$CD38)),0,1))</f>
        <v>0</v>
      </c>
      <c r="CV38" s="7">
        <f t="array" ref="CV38">SUM(IF(ISERR(FIND(CV$4,$D38:$CD38)),0,1))</f>
        <v>2</v>
      </c>
      <c r="CW38">
        <f t="shared" si="43"/>
        <v>3</v>
      </c>
      <c r="CX38">
        <f t="shared" si="44"/>
        <v>4</v>
      </c>
      <c r="CY38">
        <f t="shared" si="45"/>
        <v>0</v>
      </c>
      <c r="CZ38">
        <f t="shared" si="46"/>
        <v>0</v>
      </c>
      <c r="DA38">
        <f t="shared" si="15"/>
        <v>0</v>
      </c>
      <c r="DB38">
        <f t="shared" si="16"/>
        <v>0</v>
      </c>
    </row>
    <row r="39" spans="1:106" x14ac:dyDescent="0.15">
      <c r="A39" t="str">
        <f t="shared" si="35"/>
        <v>KEPE</v>
      </c>
      <c r="B39" t="s">
        <v>71</v>
      </c>
      <c r="C39" t="s">
        <v>72</v>
      </c>
      <c r="CE39">
        <f t="shared" si="48"/>
        <v>0</v>
      </c>
      <c r="CF39">
        <f t="shared" si="36"/>
        <v>0</v>
      </c>
      <c r="CG39">
        <f t="shared" si="37"/>
        <v>0</v>
      </c>
      <c r="CH39">
        <f t="shared" si="38"/>
        <v>0</v>
      </c>
      <c r="CI39">
        <f t="shared" si="39"/>
        <v>0</v>
      </c>
      <c r="CJ39" s="89">
        <f t="shared" si="14"/>
        <v>0</v>
      </c>
      <c r="CK39">
        <f t="shared" si="34"/>
        <v>0</v>
      </c>
      <c r="CL39" s="75" t="e">
        <f t="shared" si="47"/>
        <v>#DIV/0!</v>
      </c>
      <c r="CM39">
        <f t="shared" si="40"/>
        <v>0</v>
      </c>
      <c r="CN39">
        <f t="shared" si="41"/>
        <v>0</v>
      </c>
      <c r="CO39" s="7">
        <f t="array" ref="CO39">SUM(IF(ISERR(FIND("*",D39:CD39)),0,1))</f>
        <v>0</v>
      </c>
      <c r="CP39" s="7">
        <f t="array" ref="CP39">SUM(IF(ISERR(FIND("+",D39:CD39)),0,1))</f>
        <v>0</v>
      </c>
      <c r="CQ39">
        <f t="shared" si="42"/>
        <v>0</v>
      </c>
      <c r="CR39" s="7">
        <f t="array" ref="CR39">SUM(IF(ISERR(FIND(CR$4,$D39:$CD39)),0,1))</f>
        <v>0</v>
      </c>
      <c r="CS39" s="7">
        <f t="array" ref="CS39">SUM(IF(ISERR(FIND(CS$4,$D39:$CD39)),0,1))</f>
        <v>0</v>
      </c>
      <c r="CT39" s="7">
        <f t="array" ref="CT39">SUM(IF(ISERR(FIND(CT$4,$D39:$CD39)),0,1))</f>
        <v>0</v>
      </c>
      <c r="CU39" s="7">
        <f t="array" ref="CU39">SUM(IF(ISERR(FIND(CU$4,$D39:$CD39)),0,1))</f>
        <v>0</v>
      </c>
      <c r="CV39" s="7">
        <f t="array" ref="CV39">SUM(IF(ISERR(FIND(CV$4,$D39:$CD39)),0,1))</f>
        <v>0</v>
      </c>
      <c r="CW39">
        <f t="shared" si="43"/>
        <v>0</v>
      </c>
      <c r="CX39">
        <f t="shared" si="44"/>
        <v>0</v>
      </c>
      <c r="CY39">
        <f t="shared" si="45"/>
        <v>0</v>
      </c>
      <c r="CZ39">
        <f t="shared" si="46"/>
        <v>0</v>
      </c>
      <c r="DA39">
        <f t="shared" si="15"/>
        <v>0</v>
      </c>
      <c r="DB39">
        <f t="shared" si="16"/>
        <v>0</v>
      </c>
    </row>
    <row r="40" spans="1:106" x14ac:dyDescent="0.15">
      <c r="A40" t="str">
        <f t="shared" si="35"/>
        <v>VIRE</v>
      </c>
      <c r="B40" t="s">
        <v>73</v>
      </c>
      <c r="C40" t="s">
        <v>74</v>
      </c>
      <c r="E40" t="s">
        <v>376</v>
      </c>
      <c r="F40" t="s">
        <v>363</v>
      </c>
      <c r="L40" t="s">
        <v>475</v>
      </c>
      <c r="N40" t="s">
        <v>491</v>
      </c>
      <c r="O40" t="s">
        <v>506</v>
      </c>
      <c r="P40" t="s">
        <v>529</v>
      </c>
      <c r="R40" t="s">
        <v>554</v>
      </c>
      <c r="S40" t="s">
        <v>558</v>
      </c>
      <c r="Z40" t="s">
        <v>640</v>
      </c>
      <c r="AG40" t="s">
        <v>695</v>
      </c>
      <c r="CE40">
        <f t="shared" si="48"/>
        <v>10</v>
      </c>
      <c r="CF40">
        <f t="shared" si="36"/>
        <v>2</v>
      </c>
      <c r="CG40">
        <f t="shared" si="37"/>
        <v>8</v>
      </c>
      <c r="CH40">
        <f t="shared" si="38"/>
        <v>1</v>
      </c>
      <c r="CI40">
        <f t="shared" si="39"/>
        <v>38</v>
      </c>
      <c r="CJ40" s="89">
        <f t="shared" si="14"/>
        <v>38</v>
      </c>
      <c r="CK40">
        <f t="shared" si="34"/>
        <v>123</v>
      </c>
      <c r="CL40" s="75">
        <f t="shared" si="47"/>
        <v>17.571428571428573</v>
      </c>
      <c r="CM40">
        <f t="shared" si="40"/>
        <v>168</v>
      </c>
      <c r="CN40">
        <f t="shared" si="41"/>
        <v>5</v>
      </c>
      <c r="CO40" s="7">
        <f t="array" ref="CO40">SUM(IF(ISERR(FIND("*",D40:CD40)),0,1))</f>
        <v>0</v>
      </c>
      <c r="CP40" s="7">
        <f t="array" ref="CP40">SUM(IF(ISERR(FIND("+",D40:CD40)),0,1))</f>
        <v>1</v>
      </c>
      <c r="CQ40">
        <f t="shared" si="42"/>
        <v>1</v>
      </c>
      <c r="CR40" s="7">
        <f t="array" ref="CR40">SUM(IF(ISERR(FIND(CR$4,$D40:$CD40)),0,1))</f>
        <v>2</v>
      </c>
      <c r="CS40" s="7">
        <f t="array" ref="CS40">SUM(IF(ISERR(FIND(CS$4,$D40:$CD40)),0,1))</f>
        <v>4</v>
      </c>
      <c r="CT40" s="7">
        <f t="array" ref="CT40">SUM(IF(ISERR(FIND(CT$4,$D40:$CD40)),0,1))</f>
        <v>1</v>
      </c>
      <c r="CU40" s="7">
        <f t="array" ref="CU40">SUM(IF(ISERR(FIND(CU$4,$D40:$CD40)),0,1))</f>
        <v>0</v>
      </c>
      <c r="CV40" s="7">
        <f t="array" ref="CV40">SUM(IF(ISERR(FIND(CV$4,$D40:$CD40)),0,1))</f>
        <v>0</v>
      </c>
      <c r="CW40">
        <f t="shared" si="43"/>
        <v>1</v>
      </c>
      <c r="CX40">
        <f t="shared" si="44"/>
        <v>18</v>
      </c>
      <c r="CY40">
        <f t="shared" si="45"/>
        <v>0</v>
      </c>
      <c r="CZ40">
        <f t="shared" si="46"/>
        <v>0</v>
      </c>
      <c r="DA40">
        <f t="shared" si="15"/>
        <v>0</v>
      </c>
      <c r="DB40">
        <f t="shared" si="16"/>
        <v>2</v>
      </c>
    </row>
    <row r="41" spans="1:106" x14ac:dyDescent="0.15">
      <c r="A41" t="s">
        <v>93</v>
      </c>
      <c r="B41" t="s">
        <v>37</v>
      </c>
      <c r="C41" t="s">
        <v>1087</v>
      </c>
      <c r="CE41">
        <f t="shared" si="48"/>
        <v>0</v>
      </c>
      <c r="CF41">
        <f t="shared" si="36"/>
        <v>0</v>
      </c>
      <c r="CG41">
        <f t="shared" si="37"/>
        <v>0</v>
      </c>
      <c r="CH41">
        <f t="shared" si="38"/>
        <v>0</v>
      </c>
      <c r="CI41">
        <f t="shared" si="39"/>
        <v>0</v>
      </c>
      <c r="CJ41" s="89">
        <f t="shared" si="14"/>
        <v>0</v>
      </c>
      <c r="CK41">
        <f t="shared" si="34"/>
        <v>0</v>
      </c>
      <c r="CL41" s="75" t="e">
        <f t="shared" si="47"/>
        <v>#DIV/0!</v>
      </c>
      <c r="CM41">
        <f t="shared" si="40"/>
        <v>0</v>
      </c>
      <c r="CN41">
        <f t="shared" si="41"/>
        <v>0</v>
      </c>
      <c r="CO41" s="7">
        <f t="array" ref="CO41">SUM(IF(ISERR(FIND("*",D41:CD41)),0,1))</f>
        <v>0</v>
      </c>
      <c r="CP41" s="7">
        <f t="array" ref="CP41">SUM(IF(ISERR(FIND("+",D41:CD41)),0,1))</f>
        <v>0</v>
      </c>
      <c r="CQ41">
        <f t="shared" si="42"/>
        <v>0</v>
      </c>
      <c r="CR41" s="7">
        <f t="array" ref="CR41">SUM(IF(ISERR(FIND(CR$4,$D41:$CD41)),0,1))</f>
        <v>0</v>
      </c>
      <c r="CS41" s="7">
        <f t="array" ref="CS41">SUM(IF(ISERR(FIND(CS$4,$D41:$CD41)),0,1))</f>
        <v>0</v>
      </c>
      <c r="CT41" s="7">
        <f t="array" ref="CT41">SUM(IF(ISERR(FIND(CT$4,$D41:$CD41)),0,1))</f>
        <v>0</v>
      </c>
      <c r="CU41" s="7">
        <f t="array" ref="CU41">SUM(IF(ISERR(FIND(CU$4,$D41:$CD41)),0,1))</f>
        <v>0</v>
      </c>
      <c r="CV41" s="7">
        <f t="array" ref="CV41">SUM(IF(ISERR(FIND(CV$4,$D41:$CD41)),0,1))</f>
        <v>0</v>
      </c>
      <c r="CW41">
        <f t="shared" si="43"/>
        <v>0</v>
      </c>
      <c r="CX41">
        <f t="shared" si="44"/>
        <v>0</v>
      </c>
      <c r="CY41">
        <f t="shared" si="45"/>
        <v>0</v>
      </c>
      <c r="CZ41">
        <f t="shared" si="46"/>
        <v>0</v>
      </c>
      <c r="DA41">
        <f t="shared" si="15"/>
        <v>0</v>
      </c>
      <c r="DB41">
        <f t="shared" si="16"/>
        <v>0</v>
      </c>
    </row>
    <row r="42" spans="1:106" x14ac:dyDescent="0.15">
      <c r="A42" t="str">
        <f t="shared" si="35"/>
        <v>DASH</v>
      </c>
      <c r="B42" t="s">
        <v>35</v>
      </c>
      <c r="C42" t="s">
        <v>75</v>
      </c>
      <c r="D42" t="s">
        <v>317</v>
      </c>
      <c r="G42" t="s">
        <v>381</v>
      </c>
      <c r="H42" t="s">
        <v>405</v>
      </c>
      <c r="L42" t="s">
        <v>474</v>
      </c>
      <c r="O42" t="s">
        <v>508</v>
      </c>
      <c r="P42" t="s">
        <v>530</v>
      </c>
      <c r="T42" t="s">
        <v>622</v>
      </c>
      <c r="W42" t="s">
        <v>631</v>
      </c>
      <c r="AA42" t="s">
        <v>673</v>
      </c>
      <c r="AH42" t="s">
        <v>967</v>
      </c>
      <c r="AJ42" t="s">
        <v>712</v>
      </c>
      <c r="AK42" t="s">
        <v>741</v>
      </c>
      <c r="AM42" t="s">
        <v>317</v>
      </c>
      <c r="AN42" t="s">
        <v>724</v>
      </c>
      <c r="AQ42" t="s">
        <v>813</v>
      </c>
      <c r="AR42" t="s">
        <v>828</v>
      </c>
      <c r="AS42" t="s">
        <v>837</v>
      </c>
      <c r="AU42" t="s">
        <v>872</v>
      </c>
      <c r="AW42" t="s">
        <v>1048</v>
      </c>
      <c r="AY42" t="s">
        <v>929</v>
      </c>
      <c r="BC42" t="s">
        <v>959</v>
      </c>
      <c r="BE42" t="s">
        <v>1000</v>
      </c>
      <c r="CE42">
        <f t="shared" si="48"/>
        <v>22</v>
      </c>
      <c r="CF42">
        <f t="shared" si="36"/>
        <v>0</v>
      </c>
      <c r="CG42">
        <f t="shared" si="37"/>
        <v>22</v>
      </c>
      <c r="CH42">
        <f t="shared" si="38"/>
        <v>2</v>
      </c>
      <c r="CI42">
        <f t="shared" si="39"/>
        <v>81</v>
      </c>
      <c r="CJ42" s="89">
        <f t="shared" si="14"/>
        <v>81</v>
      </c>
      <c r="CK42">
        <f t="shared" ref="CK42:CK49" si="49">BatSplit(D42:CD42,RunsScored)</f>
        <v>385</v>
      </c>
      <c r="CL42" s="75">
        <f t="shared" si="47"/>
        <v>19.25</v>
      </c>
      <c r="CM42">
        <f t="shared" si="40"/>
        <v>510</v>
      </c>
      <c r="CN42">
        <f t="shared" si="41"/>
        <v>45</v>
      </c>
      <c r="CO42" s="7">
        <f t="array" ref="CO42">SUM(IF(ISERR(FIND("*",D42:CD42)),0,1))</f>
        <v>0</v>
      </c>
      <c r="CP42" s="7">
        <f t="array" ref="CP42">SUM(IF(ISERR(FIND("+",D42:CD42)),0,1))</f>
        <v>1</v>
      </c>
      <c r="CQ42">
        <f t="shared" si="42"/>
        <v>1</v>
      </c>
      <c r="CR42" s="7">
        <f t="array" ref="CR42">SUM(IF(ISERR(FIND(CR$4,$D42:$CD42)),0,1))</f>
        <v>10</v>
      </c>
      <c r="CS42" s="7">
        <f t="array" ref="CS42">SUM(IF(ISERR(FIND(CS$4,$D42:$CD42)),0,1))</f>
        <v>8</v>
      </c>
      <c r="CT42" s="7">
        <f t="array" ref="CT42">SUM(IF(ISERR(FIND(CT$4,$D42:$CD42)),0,1))</f>
        <v>2</v>
      </c>
      <c r="CU42" s="7">
        <f t="array" ref="CU42">SUM(IF(ISERR(FIND(CU$4,$D42:$CD42)),0,1))</f>
        <v>0</v>
      </c>
      <c r="CV42" s="7">
        <f t="array" ref="CV42">SUM(IF(ISERR(FIND(CV$4,$D42:$CD42)),0,1))</f>
        <v>0</v>
      </c>
      <c r="CW42">
        <f t="shared" si="43"/>
        <v>7</v>
      </c>
      <c r="CX42">
        <f t="shared" si="44"/>
        <v>54</v>
      </c>
      <c r="CY42">
        <f t="shared" si="45"/>
        <v>10</v>
      </c>
      <c r="CZ42">
        <f t="shared" si="46"/>
        <v>1</v>
      </c>
      <c r="DA42">
        <f t="shared" si="15"/>
        <v>0</v>
      </c>
      <c r="DB42">
        <f t="shared" si="16"/>
        <v>5</v>
      </c>
    </row>
    <row r="43" spans="1:106" x14ac:dyDescent="0.15">
      <c r="A43" t="s">
        <v>94</v>
      </c>
      <c r="B43" t="s">
        <v>46</v>
      </c>
      <c r="C43" t="s">
        <v>95</v>
      </c>
      <c r="CE43">
        <f t="shared" si="48"/>
        <v>0</v>
      </c>
      <c r="CF43">
        <f t="shared" ref="CF43:CF49" si="50">CE43-CG43</f>
        <v>0</v>
      </c>
      <c r="CG43">
        <f t="shared" ref="CG43:CG49" si="51">BatSplit(D43:CD43,InnsBattedIn)</f>
        <v>0</v>
      </c>
      <c r="CH43">
        <f t="shared" ref="CH43:CH49" si="52">BatSplit(D43:CD43,NotOuts)</f>
        <v>0</v>
      </c>
      <c r="CI43">
        <f t="shared" ref="CI43:CI49" si="53">BatSplit(D43:CD43,HighestScore)</f>
        <v>0</v>
      </c>
      <c r="CJ43" s="89">
        <f t="shared" si="14"/>
        <v>0</v>
      </c>
      <c r="CK43">
        <f t="shared" si="49"/>
        <v>0</v>
      </c>
      <c r="CL43" s="75" t="e">
        <f t="shared" si="47"/>
        <v>#DIV/0!</v>
      </c>
      <c r="CM43">
        <f t="shared" ref="CM43:CM49" si="54">BatSplit(D43:CD43,BatPts)</f>
        <v>0</v>
      </c>
      <c r="CN43">
        <f t="shared" ref="CN43:CN49" si="55">BatSplit(D43:CD43,FldPts)</f>
        <v>0</v>
      </c>
      <c r="CO43" s="7">
        <f t="array" ref="CO43">SUM(IF(ISERR(FIND("*",D43:CD43)),0,1))</f>
        <v>0</v>
      </c>
      <c r="CP43" s="7">
        <f t="array" ref="CP43">SUM(IF(ISERR(FIND("+",D43:CD43)),0,1))</f>
        <v>0</v>
      </c>
      <c r="CQ43">
        <f t="shared" ref="CQ43:CQ49" si="56">BatSplit(D43:CD43,Ducks)</f>
        <v>0</v>
      </c>
      <c r="CR43" s="7">
        <f t="array" ref="CR43">SUM(IF(ISERR(FIND(CR$4,$D43:$CD43)),0,1))</f>
        <v>0</v>
      </c>
      <c r="CS43" s="7">
        <f t="array" ref="CS43">SUM(IF(ISERR(FIND(CS$4,$D43:$CD43)),0,1))</f>
        <v>0</v>
      </c>
      <c r="CT43" s="7">
        <f t="array" ref="CT43">SUM(IF(ISERR(FIND(CT$4,$D43:$CD43)),0,1))</f>
        <v>0</v>
      </c>
      <c r="CU43" s="7">
        <f t="array" ref="CU43">SUM(IF(ISERR(FIND(CU$4,$D43:$CD43)),0,1))</f>
        <v>0</v>
      </c>
      <c r="CV43" s="7">
        <f t="array" ref="CV43">SUM(IF(ISERR(FIND(CV$4,$D43:$CD43)),0,1))</f>
        <v>0</v>
      </c>
      <c r="CW43">
        <f t="shared" ref="CW43:CW49" si="57">BatSplit(D43:CD43,Catches)</f>
        <v>0</v>
      </c>
      <c r="CX43">
        <f t="shared" ref="CX43:CX49" si="58">BatSplit(D43:CD43,Fours)</f>
        <v>0</v>
      </c>
      <c r="CY43">
        <f t="shared" ref="CY43:CY49" si="59">BatSplit(D43:CD43,Sixes)</f>
        <v>0</v>
      </c>
      <c r="CZ43">
        <f t="shared" ref="CZ43:CZ49" si="60">BatSplit(D43:CD43,Stumpings)</f>
        <v>0</v>
      </c>
      <c r="DA43">
        <f t="shared" si="15"/>
        <v>0</v>
      </c>
      <c r="DB43">
        <f t="shared" si="16"/>
        <v>0</v>
      </c>
    </row>
    <row r="44" spans="1:106" x14ac:dyDescent="0.15">
      <c r="A44" t="str">
        <f>UPPER(LEFT(B44,2)&amp;LEFT(C44,2))</f>
        <v>DESH</v>
      </c>
      <c r="B44" t="s">
        <v>28</v>
      </c>
      <c r="C44" t="s">
        <v>76</v>
      </c>
      <c r="D44" t="s">
        <v>310</v>
      </c>
      <c r="F44" t="s">
        <v>362</v>
      </c>
      <c r="G44" t="s">
        <v>388</v>
      </c>
      <c r="H44" t="s">
        <v>404</v>
      </c>
      <c r="I44" t="s">
        <v>425</v>
      </c>
      <c r="K44" t="s">
        <v>438</v>
      </c>
      <c r="L44" t="s">
        <v>492</v>
      </c>
      <c r="Q44" t="s">
        <v>492</v>
      </c>
      <c r="R44" t="s">
        <v>477</v>
      </c>
      <c r="S44" t="s">
        <v>586</v>
      </c>
      <c r="AA44" t="s">
        <v>476</v>
      </c>
      <c r="AH44" t="s">
        <v>972</v>
      </c>
      <c r="AJ44" t="s">
        <v>716</v>
      </c>
      <c r="AK44" t="s">
        <v>739</v>
      </c>
      <c r="AM44" t="s">
        <v>1016</v>
      </c>
      <c r="AO44" t="s">
        <v>802</v>
      </c>
      <c r="AS44" t="s">
        <v>463</v>
      </c>
      <c r="AU44" t="s">
        <v>875</v>
      </c>
      <c r="AW44" t="s">
        <v>1059</v>
      </c>
      <c r="AX44" t="s">
        <v>476</v>
      </c>
      <c r="AY44" t="s">
        <v>948</v>
      </c>
      <c r="BB44" t="s">
        <v>1018</v>
      </c>
      <c r="BD44" t="s">
        <v>989</v>
      </c>
      <c r="BE44" t="s">
        <v>1005</v>
      </c>
      <c r="BO44" s="10"/>
      <c r="CE44">
        <f t="shared" si="48"/>
        <v>24</v>
      </c>
      <c r="CF44">
        <f t="shared" si="50"/>
        <v>9</v>
      </c>
      <c r="CG44">
        <f t="shared" si="51"/>
        <v>15</v>
      </c>
      <c r="CH44">
        <f t="shared" si="52"/>
        <v>3</v>
      </c>
      <c r="CI44">
        <f t="shared" si="53"/>
        <v>36</v>
      </c>
      <c r="CJ44" s="89">
        <f t="shared" si="14"/>
        <v>36</v>
      </c>
      <c r="CK44">
        <f t="shared" si="49"/>
        <v>167</v>
      </c>
      <c r="CL44" s="75">
        <f t="shared" si="47"/>
        <v>13.916666666666666</v>
      </c>
      <c r="CM44">
        <f t="shared" si="54"/>
        <v>282</v>
      </c>
      <c r="CN44">
        <f t="shared" si="55"/>
        <v>45</v>
      </c>
      <c r="CO44" s="7">
        <f t="array" ref="CO44">SUM(IF(ISERR(FIND("*",D44:CD44)),0,1))</f>
        <v>18</v>
      </c>
      <c r="CP44" s="7">
        <f t="array" ref="CP44">SUM(IF(ISERR(FIND("+",D44:CD44)),0,1))</f>
        <v>0</v>
      </c>
      <c r="CQ44">
        <f t="shared" si="56"/>
        <v>1</v>
      </c>
      <c r="CR44" s="7">
        <f t="array" ref="CR44">SUM(IF(ISERR(FIND(CR$4,$D44:$CD44)),0,1))</f>
        <v>8</v>
      </c>
      <c r="CS44" s="7">
        <f t="array" ref="CS44">SUM(IF(ISERR(FIND(CS$4,$D44:$CD44)),0,1))</f>
        <v>1</v>
      </c>
      <c r="CT44" s="7">
        <f t="array" ref="CT44">SUM(IF(ISERR(FIND(CT$4,$D44:$CD44)),0,1))</f>
        <v>1</v>
      </c>
      <c r="CU44" s="7">
        <f t="array" ref="CU44">SUM(IF(ISERR(FIND(CU$4,$D44:$CD44)),0,1))</f>
        <v>1</v>
      </c>
      <c r="CV44" s="7">
        <f t="array" ref="CV44">SUM(IF(ISERR(FIND(CV$4,$D44:$CD44)),0,1))</f>
        <v>1</v>
      </c>
      <c r="CW44">
        <f t="shared" si="57"/>
        <v>9</v>
      </c>
      <c r="CX44">
        <f t="shared" si="58"/>
        <v>20</v>
      </c>
      <c r="CY44">
        <f t="shared" si="59"/>
        <v>1</v>
      </c>
      <c r="CZ44">
        <f t="shared" si="60"/>
        <v>0</v>
      </c>
      <c r="DA44">
        <f t="shared" si="15"/>
        <v>0</v>
      </c>
      <c r="DB44">
        <f t="shared" si="16"/>
        <v>1</v>
      </c>
    </row>
    <row r="45" spans="1:106" x14ac:dyDescent="0.15">
      <c r="A45" t="str">
        <f t="shared" si="35"/>
        <v>MISI</v>
      </c>
      <c r="B45" t="s">
        <v>33</v>
      </c>
      <c r="C45" t="s">
        <v>77</v>
      </c>
      <c r="AG45" t="s">
        <v>698</v>
      </c>
      <c r="AO45" t="s">
        <v>318</v>
      </c>
      <c r="CE45">
        <f t="shared" si="48"/>
        <v>2</v>
      </c>
      <c r="CF45">
        <f t="shared" si="50"/>
        <v>1</v>
      </c>
      <c r="CG45">
        <f t="shared" si="51"/>
        <v>1</v>
      </c>
      <c r="CH45">
        <f t="shared" si="52"/>
        <v>0</v>
      </c>
      <c r="CI45">
        <f t="shared" si="53"/>
        <v>10</v>
      </c>
      <c r="CJ45" s="89">
        <f t="shared" si="14"/>
        <v>10</v>
      </c>
      <c r="CK45">
        <f t="shared" si="49"/>
        <v>10</v>
      </c>
      <c r="CL45" s="75">
        <f t="shared" si="47"/>
        <v>10</v>
      </c>
      <c r="CM45">
        <f t="shared" si="54"/>
        <v>20</v>
      </c>
      <c r="CN45">
        <f t="shared" si="55"/>
        <v>5</v>
      </c>
      <c r="CO45" s="7">
        <f t="array" ref="CO45">SUM(IF(ISERR(FIND("*",D45:CD45)),0,1))</f>
        <v>0</v>
      </c>
      <c r="CP45" s="7">
        <f t="array" ref="CP45">SUM(IF(ISERR(FIND("+",D45:CD45)),0,1))</f>
        <v>0</v>
      </c>
      <c r="CQ45">
        <f t="shared" si="56"/>
        <v>0</v>
      </c>
      <c r="CR45" s="7">
        <f t="array" ref="CR45">SUM(IF(ISERR(FIND(CR$4,$D45:$CD45)),0,1))</f>
        <v>1</v>
      </c>
      <c r="CS45" s="7">
        <f t="array" ref="CS45">SUM(IF(ISERR(FIND(CS$4,$D45:$CD45)),0,1))</f>
        <v>0</v>
      </c>
      <c r="CT45" s="7">
        <f t="array" ref="CT45">SUM(IF(ISERR(FIND(CT$4,$D45:$CD45)),0,1))</f>
        <v>0</v>
      </c>
      <c r="CU45" s="7">
        <f t="array" ref="CU45">SUM(IF(ISERR(FIND(CU$4,$D45:$CD45)),0,1))</f>
        <v>0</v>
      </c>
      <c r="CV45" s="7">
        <f t="array" ref="CV45">SUM(IF(ISERR(FIND(CV$4,$D45:$CD45)),0,1))</f>
        <v>0</v>
      </c>
      <c r="CW45">
        <f t="shared" si="57"/>
        <v>1</v>
      </c>
      <c r="CX45">
        <f t="shared" si="58"/>
        <v>2</v>
      </c>
      <c r="CY45">
        <f t="shared" si="59"/>
        <v>0</v>
      </c>
      <c r="CZ45">
        <f t="shared" si="60"/>
        <v>0</v>
      </c>
      <c r="DA45">
        <f t="shared" si="15"/>
        <v>0</v>
      </c>
      <c r="DB45">
        <f t="shared" si="16"/>
        <v>0</v>
      </c>
    </row>
    <row r="46" spans="1:106" x14ac:dyDescent="0.15">
      <c r="A46" t="str">
        <f>UPPER(LEFT(B46,2)&amp;LEFT(C46,2))</f>
        <v>DASN</v>
      </c>
      <c r="B46" t="s">
        <v>35</v>
      </c>
      <c r="C46" t="s">
        <v>78</v>
      </c>
      <c r="D46" t="s">
        <v>306</v>
      </c>
      <c r="E46" t="s">
        <v>345</v>
      </c>
      <c r="L46" t="s">
        <v>308</v>
      </c>
      <c r="O46" t="s">
        <v>505</v>
      </c>
      <c r="P46" t="s">
        <v>526</v>
      </c>
      <c r="Q46" t="s">
        <v>541</v>
      </c>
      <c r="S46" t="s">
        <v>308</v>
      </c>
      <c r="AC46" t="s">
        <v>787</v>
      </c>
      <c r="AH46" t="s">
        <v>970</v>
      </c>
      <c r="AO46" t="s">
        <v>632</v>
      </c>
      <c r="AQ46" t="s">
        <v>809</v>
      </c>
      <c r="AR46" t="s">
        <v>830</v>
      </c>
      <c r="AT46" t="s">
        <v>859</v>
      </c>
      <c r="BC46" t="s">
        <v>955</v>
      </c>
      <c r="CE46">
        <f t="shared" si="48"/>
        <v>14</v>
      </c>
      <c r="CF46">
        <f t="shared" si="50"/>
        <v>2</v>
      </c>
      <c r="CG46">
        <f t="shared" si="51"/>
        <v>12</v>
      </c>
      <c r="CH46">
        <f t="shared" si="52"/>
        <v>1</v>
      </c>
      <c r="CI46">
        <f t="shared" si="53"/>
        <v>32</v>
      </c>
      <c r="CJ46" s="89">
        <f t="shared" si="14"/>
        <v>32</v>
      </c>
      <c r="CK46">
        <f t="shared" si="49"/>
        <v>101</v>
      </c>
      <c r="CL46" s="75">
        <f t="shared" si="47"/>
        <v>9.1818181818181817</v>
      </c>
      <c r="CM46">
        <f t="shared" si="54"/>
        <v>171</v>
      </c>
      <c r="CN46">
        <f t="shared" si="55"/>
        <v>5</v>
      </c>
      <c r="CO46" s="7">
        <f t="array" ref="CO46">SUM(IF(ISERR(FIND("*",D46:CD46)),0,1))</f>
        <v>0</v>
      </c>
      <c r="CP46" s="7">
        <f t="array" ref="CP46">SUM(IF(ISERR(FIND("+",D46:CD46)),0,1))</f>
        <v>0</v>
      </c>
      <c r="CQ46">
        <f t="shared" si="56"/>
        <v>0</v>
      </c>
      <c r="CR46" s="7">
        <f t="array" ref="CR46">SUM(IF(ISERR(FIND(CR$4,$D46:$CD46)),0,1))</f>
        <v>5</v>
      </c>
      <c r="CS46" s="7">
        <f t="array" ref="CS46">SUM(IF(ISERR(FIND(CS$4,$D46:$CD46)),0,1))</f>
        <v>4</v>
      </c>
      <c r="CT46" s="7">
        <f t="array" ref="CT46">SUM(IF(ISERR(FIND(CT$4,$D46:$CD46)),0,1))</f>
        <v>1</v>
      </c>
      <c r="CU46" s="7">
        <f t="array" ref="CU46">SUM(IF(ISERR(FIND(CU$4,$D46:$CD46)),0,1))</f>
        <v>0</v>
      </c>
      <c r="CV46" s="7">
        <f t="array" ref="CV46">SUM(IF(ISERR(FIND(CV$4,$D46:$CD46)),0,1))</f>
        <v>1</v>
      </c>
      <c r="CW46">
        <f t="shared" si="57"/>
        <v>1</v>
      </c>
      <c r="CX46">
        <f t="shared" si="58"/>
        <v>11</v>
      </c>
      <c r="CY46">
        <f t="shared" si="59"/>
        <v>0</v>
      </c>
      <c r="CZ46">
        <f t="shared" si="60"/>
        <v>0</v>
      </c>
      <c r="DA46">
        <f t="shared" si="15"/>
        <v>0</v>
      </c>
      <c r="DB46">
        <f t="shared" si="16"/>
        <v>1</v>
      </c>
    </row>
    <row r="47" spans="1:106" x14ac:dyDescent="0.15">
      <c r="A47" t="str">
        <f t="shared" si="35"/>
        <v>TOSP</v>
      </c>
      <c r="B47" t="s">
        <v>51</v>
      </c>
      <c r="C47" t="s">
        <v>79</v>
      </c>
      <c r="D47" t="s">
        <v>308</v>
      </c>
      <c r="E47" t="s">
        <v>346</v>
      </c>
      <c r="G47" t="s">
        <v>384</v>
      </c>
      <c r="H47" t="s">
        <v>410</v>
      </c>
      <c r="M47" t="s">
        <v>451</v>
      </c>
      <c r="N47" t="s">
        <v>487</v>
      </c>
      <c r="O47" t="s">
        <v>507</v>
      </c>
      <c r="Q47" t="s">
        <v>542</v>
      </c>
      <c r="U47" t="s">
        <v>1020</v>
      </c>
      <c r="W47" t="s">
        <v>635</v>
      </c>
      <c r="X47" t="s">
        <v>308</v>
      </c>
      <c r="AG47" t="s">
        <v>693</v>
      </c>
      <c r="AK47" t="s">
        <v>743</v>
      </c>
      <c r="AM47" t="s">
        <v>773</v>
      </c>
      <c r="AQ47" t="s">
        <v>423</v>
      </c>
      <c r="AS47" t="s">
        <v>1043</v>
      </c>
      <c r="AT47" t="s">
        <v>861</v>
      </c>
      <c r="AW47" t="s">
        <v>1049</v>
      </c>
      <c r="CE47">
        <f t="shared" si="48"/>
        <v>18</v>
      </c>
      <c r="CF47">
        <f t="shared" si="50"/>
        <v>2</v>
      </c>
      <c r="CG47">
        <f t="shared" si="51"/>
        <v>16</v>
      </c>
      <c r="CH47">
        <f t="shared" si="52"/>
        <v>1</v>
      </c>
      <c r="CI47">
        <f t="shared" si="53"/>
        <v>59</v>
      </c>
      <c r="CJ47" s="89">
        <f t="shared" si="14"/>
        <v>59</v>
      </c>
      <c r="CK47">
        <f t="shared" si="49"/>
        <v>355</v>
      </c>
      <c r="CL47" s="75">
        <f t="shared" si="47"/>
        <v>23.666666666666668</v>
      </c>
      <c r="CM47">
        <f t="shared" si="54"/>
        <v>445</v>
      </c>
      <c r="CN47">
        <f t="shared" si="55"/>
        <v>30</v>
      </c>
      <c r="CO47" s="7">
        <f t="array" ref="CO47">SUM(IF(ISERR(FIND("*",D47:CD47)),0,1))</f>
        <v>0</v>
      </c>
      <c r="CP47" s="7">
        <f t="array" ref="CP47">SUM(IF(ISERR(FIND("+",D47:CD47)),0,1))</f>
        <v>1</v>
      </c>
      <c r="CQ47">
        <f t="shared" si="56"/>
        <v>2</v>
      </c>
      <c r="CR47" s="7">
        <f t="array" ref="CR47">SUM(IF(ISERR(FIND(CR$4,$D47:$CD47)),0,1))</f>
        <v>7</v>
      </c>
      <c r="CS47" s="7">
        <f t="array" ref="CS47">SUM(IF(ISERR(FIND(CS$4,$D47:$CD47)),0,1))</f>
        <v>5</v>
      </c>
      <c r="CT47" s="7">
        <f t="array" ref="CT47">SUM(IF(ISERR(FIND(CT$4,$D47:$CD47)),0,1))</f>
        <v>2</v>
      </c>
      <c r="CU47" s="7">
        <f t="array" ref="CU47">SUM(IF(ISERR(FIND(CU$4,$D47:$CD47)),0,1))</f>
        <v>0</v>
      </c>
      <c r="CV47" s="7">
        <f t="array" ref="CV47">SUM(IF(ISERR(FIND(CV$4,$D47:$CD47)),0,1))</f>
        <v>1</v>
      </c>
      <c r="CW47">
        <f t="shared" si="57"/>
        <v>6</v>
      </c>
      <c r="CX47">
        <f t="shared" si="58"/>
        <v>54</v>
      </c>
      <c r="CY47">
        <f t="shared" si="59"/>
        <v>5</v>
      </c>
      <c r="CZ47">
        <f t="shared" si="60"/>
        <v>0</v>
      </c>
      <c r="DA47">
        <f t="shared" si="15"/>
        <v>0</v>
      </c>
      <c r="DB47">
        <f t="shared" si="16"/>
        <v>7</v>
      </c>
    </row>
    <row r="48" spans="1:106" x14ac:dyDescent="0.15">
      <c r="A48" t="str">
        <f>UPPER(LEFT(B48,2)&amp;LEFT(C48,2))</f>
        <v>DATH</v>
      </c>
      <c r="B48" t="s">
        <v>67</v>
      </c>
      <c r="C48" t="s">
        <v>80</v>
      </c>
      <c r="G48" t="s">
        <v>380</v>
      </c>
      <c r="AJ48" t="s">
        <v>714</v>
      </c>
      <c r="AP48" t="s">
        <v>382</v>
      </c>
      <c r="CE48">
        <f t="shared" si="48"/>
        <v>3</v>
      </c>
      <c r="CF48">
        <f t="shared" si="50"/>
        <v>0</v>
      </c>
      <c r="CG48">
        <f t="shared" si="51"/>
        <v>3</v>
      </c>
      <c r="CH48">
        <f t="shared" si="52"/>
        <v>0</v>
      </c>
      <c r="CI48">
        <f t="shared" si="53"/>
        <v>19</v>
      </c>
      <c r="CJ48" s="89">
        <f t="shared" si="14"/>
        <v>19</v>
      </c>
      <c r="CK48">
        <f t="shared" si="49"/>
        <v>19</v>
      </c>
      <c r="CL48" s="75">
        <f t="shared" si="47"/>
        <v>6.333333333333333</v>
      </c>
      <c r="CM48">
        <f t="shared" si="54"/>
        <v>24</v>
      </c>
      <c r="CN48">
        <f t="shared" si="55"/>
        <v>15</v>
      </c>
      <c r="CO48" s="7">
        <f t="array" ref="CO48">SUM(IF(ISERR(FIND("*",D48:CD48)),0,1))</f>
        <v>0</v>
      </c>
      <c r="CP48" s="7">
        <f t="array" ref="CP48">SUM(IF(ISERR(FIND("+",D48:CD48)),0,1))</f>
        <v>0</v>
      </c>
      <c r="CQ48">
        <f t="shared" si="56"/>
        <v>2</v>
      </c>
      <c r="CR48" s="7">
        <f t="array" ref="CR48">SUM(IF(ISERR(FIND(CR$4,$D48:$CD48)),0,1))</f>
        <v>0</v>
      </c>
      <c r="CS48" s="7">
        <f t="array" ref="CS48">SUM(IF(ISERR(FIND(CS$4,$D48:$CD48)),0,1))</f>
        <v>2</v>
      </c>
      <c r="CT48" s="7">
        <f t="array" ref="CT48">SUM(IF(ISERR(FIND(CT$4,$D48:$CD48)),0,1))</f>
        <v>1</v>
      </c>
      <c r="CU48" s="7">
        <f t="array" ref="CU48">SUM(IF(ISERR(FIND(CU$4,$D48:$CD48)),0,1))</f>
        <v>0</v>
      </c>
      <c r="CV48" s="7">
        <f t="array" ref="CV48">SUM(IF(ISERR(FIND(CV$4,$D48:$CD48)),0,1))</f>
        <v>0</v>
      </c>
      <c r="CW48">
        <f t="shared" si="57"/>
        <v>3</v>
      </c>
      <c r="CX48">
        <f t="shared" si="58"/>
        <v>4</v>
      </c>
      <c r="CY48">
        <f t="shared" si="59"/>
        <v>0</v>
      </c>
      <c r="CZ48">
        <f t="shared" si="60"/>
        <v>0</v>
      </c>
      <c r="DA48">
        <f t="shared" si="15"/>
        <v>0</v>
      </c>
      <c r="DB48">
        <f t="shared" si="16"/>
        <v>0</v>
      </c>
    </row>
    <row r="49" spans="1:106" x14ac:dyDescent="0.15">
      <c r="A49" t="str">
        <f>UPPER(LEFT(B49,2)&amp;LEFT(C49,2))</f>
        <v>MIWO</v>
      </c>
      <c r="B49" t="s">
        <v>33</v>
      </c>
      <c r="C49" t="s">
        <v>81</v>
      </c>
      <c r="E49" t="s">
        <v>344</v>
      </c>
      <c r="G49" t="s">
        <v>382</v>
      </c>
      <c r="H49" t="s">
        <v>403</v>
      </c>
      <c r="I49" t="s">
        <v>419</v>
      </c>
      <c r="K49" t="s">
        <v>462</v>
      </c>
      <c r="M49" t="s">
        <v>446</v>
      </c>
      <c r="N49" t="s">
        <v>493</v>
      </c>
      <c r="P49" t="s">
        <v>523</v>
      </c>
      <c r="Q49" t="s">
        <v>543</v>
      </c>
      <c r="R49" t="s">
        <v>553</v>
      </c>
      <c r="T49" t="s">
        <v>621</v>
      </c>
      <c r="U49" t="s">
        <v>565</v>
      </c>
      <c r="V49" t="s">
        <v>590</v>
      </c>
      <c r="X49" t="s">
        <v>684</v>
      </c>
      <c r="AA49" t="s">
        <v>671</v>
      </c>
      <c r="AG49" t="s">
        <v>692</v>
      </c>
      <c r="AN49" t="s">
        <v>722</v>
      </c>
      <c r="AP49" t="s">
        <v>754</v>
      </c>
      <c r="AR49" t="s">
        <v>1017</v>
      </c>
      <c r="AT49" t="s">
        <v>858</v>
      </c>
      <c r="AX49" t="s">
        <v>906</v>
      </c>
      <c r="AZ49" t="s">
        <v>634</v>
      </c>
      <c r="BA49" t="s">
        <v>913</v>
      </c>
      <c r="BC49" t="s">
        <v>953</v>
      </c>
      <c r="BD49" t="s">
        <v>990</v>
      </c>
      <c r="BE49" t="s">
        <v>1003</v>
      </c>
      <c r="CE49">
        <f t="shared" si="48"/>
        <v>26</v>
      </c>
      <c r="CF49">
        <f t="shared" si="50"/>
        <v>1</v>
      </c>
      <c r="CG49">
        <f t="shared" si="51"/>
        <v>25</v>
      </c>
      <c r="CH49">
        <f t="shared" si="52"/>
        <v>1</v>
      </c>
      <c r="CI49">
        <f t="shared" si="53"/>
        <v>51</v>
      </c>
      <c r="CJ49" s="89">
        <f t="shared" si="14"/>
        <v>51</v>
      </c>
      <c r="CK49">
        <f t="shared" si="49"/>
        <v>255</v>
      </c>
      <c r="CL49" s="75">
        <f t="shared" si="47"/>
        <v>10.625</v>
      </c>
      <c r="CM49">
        <f t="shared" si="54"/>
        <v>375</v>
      </c>
      <c r="CN49">
        <f t="shared" si="55"/>
        <v>42</v>
      </c>
      <c r="CO49" s="7">
        <f t="array" ref="CO49">SUM(IF(ISERR(FIND("*",D49:CD49)),0,1))</f>
        <v>16</v>
      </c>
      <c r="CP49" s="7">
        <f t="array" ref="CP49">SUM(IF(ISERR(FIND("+",D49:CD49)),0,1))</f>
        <v>1</v>
      </c>
      <c r="CQ49">
        <f t="shared" si="56"/>
        <v>4</v>
      </c>
      <c r="CR49" s="7">
        <f t="array" ref="CR49">SUM(IF(ISERR(FIND(CR$4,$D49:$CD49)),0,1))</f>
        <v>14</v>
      </c>
      <c r="CS49" s="7">
        <f t="array" ref="CS49">SUM(IF(ISERR(FIND(CS$4,$D49:$CD49)),0,1))</f>
        <v>9</v>
      </c>
      <c r="CT49" s="7">
        <f t="array" ref="CT49">SUM(IF(ISERR(FIND(CT$4,$D49:$CD49)),0,1))</f>
        <v>1</v>
      </c>
      <c r="CU49" s="7">
        <f t="array" ref="CU49">SUM(IF(ISERR(FIND(CU$4,$D49:$CD49)),0,1))</f>
        <v>0</v>
      </c>
      <c r="CV49" s="7">
        <f t="array" ref="CV49">SUM(IF(ISERR(FIND(CV$4,$D49:$CD49)),0,1))</f>
        <v>0</v>
      </c>
      <c r="CW49">
        <f t="shared" si="57"/>
        <v>7</v>
      </c>
      <c r="CX49">
        <f t="shared" si="58"/>
        <v>29</v>
      </c>
      <c r="CY49">
        <f t="shared" si="59"/>
        <v>0</v>
      </c>
      <c r="CZ49">
        <f t="shared" si="60"/>
        <v>1</v>
      </c>
      <c r="DA49">
        <f t="shared" si="15"/>
        <v>1</v>
      </c>
      <c r="DB49">
        <f t="shared" si="16"/>
        <v>3</v>
      </c>
    </row>
    <row r="50" spans="1:106" x14ac:dyDescent="0.15">
      <c r="A50" t="str">
        <f>UPPER(LEFT(B50,2)&amp;LEFT(C50,2))</f>
        <v>RIWO</v>
      </c>
      <c r="B50" t="s">
        <v>82</v>
      </c>
      <c r="C50" t="s">
        <v>83</v>
      </c>
      <c r="D50" t="s">
        <v>316</v>
      </c>
      <c r="E50" t="s">
        <v>343</v>
      </c>
      <c r="H50" t="s">
        <v>406</v>
      </c>
      <c r="K50" t="s">
        <v>440</v>
      </c>
      <c r="L50" t="s">
        <v>309</v>
      </c>
      <c r="P50" t="s">
        <v>531</v>
      </c>
      <c r="Q50" t="s">
        <v>476</v>
      </c>
      <c r="R50" t="s">
        <v>559</v>
      </c>
      <c r="U50" t="s">
        <v>567</v>
      </c>
      <c r="Z50" t="s">
        <v>641</v>
      </c>
      <c r="AA50" t="s">
        <v>674</v>
      </c>
      <c r="AC50" t="s">
        <v>785</v>
      </c>
      <c r="AH50" t="s">
        <v>969</v>
      </c>
      <c r="AN50" t="s">
        <v>723</v>
      </c>
      <c r="AP50" t="s">
        <v>752</v>
      </c>
      <c r="AW50" t="s">
        <v>505</v>
      </c>
      <c r="AX50" t="s">
        <v>907</v>
      </c>
      <c r="AY50" t="s">
        <v>640</v>
      </c>
      <c r="BC50" t="s">
        <v>960</v>
      </c>
      <c r="BE50" t="s">
        <v>1001</v>
      </c>
      <c r="CE50">
        <f>BatSplit(D50:CD50,MatchesPlayed)</f>
        <v>20</v>
      </c>
      <c r="CF50">
        <f>CE50-CG50</f>
        <v>3</v>
      </c>
      <c r="CG50">
        <f>BatSplit(D50:CD50,InnsBattedIn)</f>
        <v>17</v>
      </c>
      <c r="CH50">
        <f>BatSplit(D50:CD50,NotOuts)</f>
        <v>2</v>
      </c>
      <c r="CI50">
        <f>BatSplit(D50:CD50,HighestScore)</f>
        <v>33</v>
      </c>
      <c r="CJ50" s="89">
        <f t="shared" si="14"/>
        <v>33</v>
      </c>
      <c r="CK50">
        <f>BatSplit(D50:CD50,RunsScored)</f>
        <v>214</v>
      </c>
      <c r="CL50" s="75">
        <f t="shared" si="47"/>
        <v>14.266666666666667</v>
      </c>
      <c r="CM50">
        <f>BatSplit(D50:CD50,BatPts)</f>
        <v>304</v>
      </c>
      <c r="CN50">
        <f>BatSplit(D50:CD50,FldPts)</f>
        <v>24</v>
      </c>
      <c r="CO50" s="7">
        <f t="array" ref="CO50">SUM(IF(ISERR(FIND("*",D50:CD50)),0,1))</f>
        <v>1</v>
      </c>
      <c r="CP50" s="7">
        <f t="array" ref="CP50">SUM(IF(ISERR(FIND("+",D50:CD50)),0,1))</f>
        <v>4</v>
      </c>
      <c r="CQ50">
        <f>BatSplit(D50:CD50,Ducks)</f>
        <v>2</v>
      </c>
      <c r="CR50" s="7">
        <f t="array" ref="CR50">SUM(IF(ISERR(FIND(CR$4,$D50:$CD50)),0,1))</f>
        <v>5</v>
      </c>
      <c r="CS50" s="7">
        <f t="array" ref="CS50">SUM(IF(ISERR(FIND(CS$4,$D50:$CD50)),0,1))</f>
        <v>9</v>
      </c>
      <c r="CT50" s="7">
        <f t="array" ref="CT50">SUM(IF(ISERR(FIND(CT$4,$D50:$CD50)),0,1))</f>
        <v>1</v>
      </c>
      <c r="CU50" s="7">
        <f t="array" ref="CU50">SUM(IF(ISERR(FIND(CU$4,$D50:$CD50)),0,1))</f>
        <v>0</v>
      </c>
      <c r="CV50" s="7">
        <f t="array" ref="CV50">SUM(IF(ISERR(FIND(CV$4,$D50:$CD50)),0,1))</f>
        <v>0</v>
      </c>
      <c r="CW50">
        <f>BatSplit(D50:CD50,Catches)</f>
        <v>4</v>
      </c>
      <c r="CX50">
        <f>BatSplit(D50:CD50,Fours)</f>
        <v>30</v>
      </c>
      <c r="CY50">
        <f>BatSplit(D50:CD50,Sixes)</f>
        <v>1</v>
      </c>
      <c r="CZ50">
        <f>BatSplit(D50:CD50,Stumpings)</f>
        <v>1</v>
      </c>
      <c r="DA50">
        <f t="shared" si="15"/>
        <v>2</v>
      </c>
      <c r="DB50">
        <f t="shared" si="16"/>
        <v>3</v>
      </c>
    </row>
    <row r="51" spans="1:106" x14ac:dyDescent="0.15">
      <c r="A51" t="str">
        <f>UPPER(LEFT(B51,2)&amp;LEFT(C51,2))</f>
        <v>JOWO</v>
      </c>
      <c r="B51" t="s">
        <v>84</v>
      </c>
      <c r="C51" t="s">
        <v>140</v>
      </c>
      <c r="D51" t="s">
        <v>311</v>
      </c>
      <c r="F51" t="s">
        <v>369</v>
      </c>
      <c r="S51" t="s">
        <v>587</v>
      </c>
      <c r="V51" t="s">
        <v>477</v>
      </c>
      <c r="AC51" t="s">
        <v>791</v>
      </c>
      <c r="CE51">
        <f>BatSplit(D51:CD51,MatchesPlayed)</f>
        <v>5</v>
      </c>
      <c r="CF51">
        <f>CE51-CG51</f>
        <v>3</v>
      </c>
      <c r="CG51">
        <f>BatSplit(D51:CD51,InnsBattedIn)</f>
        <v>2</v>
      </c>
      <c r="CH51">
        <f>BatSplit(D51:CD51,NotOuts)</f>
        <v>2</v>
      </c>
      <c r="CI51" s="88">
        <f>BatSplit(D51:CD51,HighestScore)</f>
        <v>-49</v>
      </c>
      <c r="CJ51" s="89" t="str">
        <f t="shared" si="14"/>
        <v>49*</v>
      </c>
      <c r="CK51">
        <f>BatSplit(D51:CD51,RunsScored)</f>
        <v>57</v>
      </c>
      <c r="CL51" s="75" t="e">
        <f>CK51/(CG51-CH51)</f>
        <v>#DIV/0!</v>
      </c>
      <c r="CM51">
        <f>BatSplit(D51:CD51,BatPts)</f>
        <v>82</v>
      </c>
      <c r="CN51">
        <f>BatSplit(D51:CD51,FldPts)</f>
        <v>10</v>
      </c>
      <c r="CO51" s="7">
        <f t="array" ref="CO51">SUM(IF(ISERR(FIND("*",D51:CD51)),0,1))</f>
        <v>0</v>
      </c>
      <c r="CP51" s="7">
        <f t="array" ref="CP51">SUM(IF(ISERR(FIND("+",D51:CD51)),0,1))</f>
        <v>0</v>
      </c>
      <c r="CQ51">
        <f>BatSplit(D51:CD51,Ducks)</f>
        <v>0</v>
      </c>
      <c r="CR51" s="7">
        <f t="array" ref="CR51">SUM(IF(ISERR(FIND(CR$4,$D51:$CD51)),0,1))</f>
        <v>0</v>
      </c>
      <c r="CS51" s="7">
        <f t="array" ref="CS51">SUM(IF(ISERR(FIND(CS$4,$D51:$CD51)),0,1))</f>
        <v>0</v>
      </c>
      <c r="CT51" s="7">
        <f t="array" ref="CT51">SUM(IF(ISERR(FIND(CT$4,$D51:$CD51)),0,1))</f>
        <v>0</v>
      </c>
      <c r="CU51" s="7">
        <f t="array" ref="CU51">SUM(IF(ISERR(FIND(CU$4,$D51:$CD51)),0,1))</f>
        <v>0</v>
      </c>
      <c r="CV51" s="7">
        <f t="array" ref="CV51">SUM(IF(ISERR(FIND(CV$4,$D51:$CD51)),0,1))</f>
        <v>0</v>
      </c>
      <c r="CW51">
        <f>BatSplit(D51:CD51,Catches)</f>
        <v>2</v>
      </c>
      <c r="CX51">
        <f>BatSplit(D51:CD51,Fours)</f>
        <v>4</v>
      </c>
      <c r="CY51">
        <f>BatSplit(D51:CD51,Sixes)</f>
        <v>3</v>
      </c>
      <c r="CZ51">
        <f>BatSplit(D51:CD51,Stumpings)</f>
        <v>0</v>
      </c>
      <c r="DA51">
        <f t="shared" si="15"/>
        <v>0</v>
      </c>
      <c r="DB51">
        <f t="shared" si="16"/>
        <v>1</v>
      </c>
    </row>
    <row r="52" spans="1:106" x14ac:dyDescent="0.15">
      <c r="A52" t="str">
        <f t="shared" si="35"/>
        <v>ROWO</v>
      </c>
      <c r="B52" t="s">
        <v>85</v>
      </c>
      <c r="C52" t="s">
        <v>142</v>
      </c>
      <c r="D52" t="s">
        <v>309</v>
      </c>
      <c r="F52" t="s">
        <v>370</v>
      </c>
      <c r="L52" t="s">
        <v>478</v>
      </c>
      <c r="S52" t="s">
        <v>311</v>
      </c>
      <c r="V52" t="s">
        <v>311</v>
      </c>
      <c r="AO52" t="s">
        <v>803</v>
      </c>
      <c r="AS52" t="s">
        <v>311</v>
      </c>
      <c r="AY52" t="s">
        <v>309</v>
      </c>
      <c r="BB52" t="s">
        <v>477</v>
      </c>
      <c r="CE52">
        <f>BatSplit(D52:CD52,MatchesPlayed)</f>
        <v>9</v>
      </c>
      <c r="CF52">
        <f>CE52-CG52</f>
        <v>7</v>
      </c>
      <c r="CG52">
        <f>BatSplit(D52:CD52,InnsBattedIn)</f>
        <v>2</v>
      </c>
      <c r="CH52">
        <f>BatSplit(D52:CD52,NotOuts)</f>
        <v>1</v>
      </c>
      <c r="CI52">
        <f>BatSplit(D52:CD52,HighestScore)</f>
        <v>-6</v>
      </c>
      <c r="CJ52" s="89" t="str">
        <f t="shared" si="14"/>
        <v>6*</v>
      </c>
      <c r="CK52">
        <f>BatSplit(D52:CD52,RunsScored)</f>
        <v>9</v>
      </c>
      <c r="CL52" s="75">
        <f>CK52/(CG52-CH52)</f>
        <v>9</v>
      </c>
      <c r="CM52">
        <f>BatSplit(D52:CD52,BatPts)</f>
        <v>54</v>
      </c>
      <c r="CN52">
        <f>BatSplit(D52:CD52,FldPts)</f>
        <v>5</v>
      </c>
      <c r="CO52" s="7">
        <f t="array" ref="CO52">SUM(IF(ISERR(FIND("*",D52:CD52)),0,1))</f>
        <v>0</v>
      </c>
      <c r="CP52" s="7">
        <f t="array" ref="CP52">SUM(IF(ISERR(FIND("+",D52:CD52)),0,1))</f>
        <v>0</v>
      </c>
      <c r="CQ52">
        <f>BatSplit(D52:CD52,Ducks)</f>
        <v>0</v>
      </c>
      <c r="CR52" s="7">
        <f t="array" ref="CR52">SUM(IF(ISERR(FIND(CR$4,$D52:$CD52)),0,1))</f>
        <v>0</v>
      </c>
      <c r="CS52" s="7">
        <f t="array" ref="CS52">SUM(IF(ISERR(FIND(CS$4,$D52:$CD52)),0,1))</f>
        <v>0</v>
      </c>
      <c r="CT52" s="7">
        <f t="array" ref="CT52">SUM(IF(ISERR(FIND(CT$4,$D52:$CD52)),0,1))</f>
        <v>0</v>
      </c>
      <c r="CU52" s="7">
        <f t="array" ref="CU52">SUM(IF(ISERR(FIND(CU$4,$D52:$CD52)),0,1))</f>
        <v>0</v>
      </c>
      <c r="CV52" s="7">
        <f t="array" ref="CV52">SUM(IF(ISERR(FIND(CV$4,$D52:$CD52)),0,1))</f>
        <v>1</v>
      </c>
      <c r="CW52">
        <f>BatSplit(D52:CD52,Catches)</f>
        <v>1</v>
      </c>
      <c r="CX52">
        <f>BatSplit(D52:CD52,Fours)</f>
        <v>1</v>
      </c>
      <c r="CY52">
        <f>BatSplit(D52:CD52,Sixes)</f>
        <v>0</v>
      </c>
      <c r="CZ52">
        <f>BatSplit(D52:CD52,Stumpings)</f>
        <v>0</v>
      </c>
      <c r="DA52">
        <f t="shared" si="15"/>
        <v>0</v>
      </c>
      <c r="DB52">
        <f t="shared" si="16"/>
        <v>0</v>
      </c>
    </row>
    <row r="53" spans="1:106" x14ac:dyDescent="0.15">
      <c r="A53" t="str">
        <f>UPPER(LEFT(B53,2)&amp;LEFT(C53,2))</f>
        <v>BOYO</v>
      </c>
      <c r="B53" t="s">
        <v>86</v>
      </c>
      <c r="C53" t="s">
        <v>87</v>
      </c>
      <c r="D53" s="11"/>
      <c r="E53" t="s">
        <v>348</v>
      </c>
      <c r="H53" t="s">
        <v>411</v>
      </c>
      <c r="U53" t="s">
        <v>477</v>
      </c>
      <c r="X53" t="s">
        <v>478</v>
      </c>
      <c r="AA53" t="s">
        <v>318</v>
      </c>
      <c r="AG53" t="s">
        <v>699</v>
      </c>
      <c r="AJ53" t="s">
        <v>719</v>
      </c>
      <c r="AN53" t="s">
        <v>726</v>
      </c>
      <c r="AP53" t="s">
        <v>755</v>
      </c>
      <c r="AR53" t="s">
        <v>831</v>
      </c>
      <c r="AT53" t="s">
        <v>775</v>
      </c>
      <c r="AX53" t="s">
        <v>318</v>
      </c>
      <c r="BA53" t="s">
        <v>476</v>
      </c>
      <c r="BD53" t="s">
        <v>368</v>
      </c>
      <c r="CE53">
        <f>BatSplit(D53:CD53,MatchesPlayed)</f>
        <v>14</v>
      </c>
      <c r="CF53">
        <f>CE53-CG53</f>
        <v>5</v>
      </c>
      <c r="CG53">
        <f>BatSplit(D53:CD53,InnsBattedIn)</f>
        <v>9</v>
      </c>
      <c r="CH53">
        <f>BatSplit(D53:CD53,NotOuts)</f>
        <v>3</v>
      </c>
      <c r="CI53">
        <f>BatSplit(D53:CD53,HighestScore)</f>
        <v>15</v>
      </c>
      <c r="CJ53" s="89">
        <f t="shared" si="14"/>
        <v>15</v>
      </c>
      <c r="CK53">
        <f>BatSplit(D53:CD53,RunsScored)</f>
        <v>55</v>
      </c>
      <c r="CL53" s="75">
        <f>CK53/(CG53-CH53)</f>
        <v>9.1666666666666661</v>
      </c>
      <c r="CM53">
        <f>BatSplit(D53:CD53,BatPts)</f>
        <v>115</v>
      </c>
      <c r="CN53">
        <f>BatSplit(D53:CD53,FldPts)</f>
        <v>25</v>
      </c>
      <c r="CO53" s="7">
        <f t="array" ref="CO53">SUM(IF(ISERR(FIND("*",D53:CD53)),0,1))</f>
        <v>0</v>
      </c>
      <c r="CP53" s="7">
        <f t="array" ref="CP53">SUM(IF(ISERR(FIND("+",D53:CD53)),0,1))</f>
        <v>0</v>
      </c>
      <c r="CQ53">
        <f>BatSplit(D53:CD53,Ducks)</f>
        <v>2</v>
      </c>
      <c r="CR53" s="7">
        <f t="array" ref="CR53">SUM(IF(ISERR(FIND(CR$4,$D53:$CD53)),0,1))</f>
        <v>3</v>
      </c>
      <c r="CS53" s="7">
        <f t="array" ref="CS53">SUM(IF(ISERR(FIND(CS$4,$D53:$CD53)),0,1))</f>
        <v>3</v>
      </c>
      <c r="CT53" s="7">
        <f t="array" ref="CT53">SUM(IF(ISERR(FIND(CT$4,$D53:$CD53)),0,1))</f>
        <v>0</v>
      </c>
      <c r="CU53" s="7">
        <f t="array" ref="CU53">SUM(IF(ISERR(FIND(CU$4,$D53:$CD53)),0,1))</f>
        <v>0</v>
      </c>
      <c r="CV53" s="7">
        <f t="array" ref="CV53">SUM(IF(ISERR(FIND(CV$4,$D53:$CD53)),0,1))</f>
        <v>0</v>
      </c>
      <c r="CW53">
        <f>BatSplit(D53:CD53,Catches)</f>
        <v>5</v>
      </c>
      <c r="CX53">
        <f>BatSplit(D53:CD53,Fours)</f>
        <v>9</v>
      </c>
      <c r="CY53">
        <f>BatSplit(D53:CD53,Sixes)</f>
        <v>0</v>
      </c>
      <c r="CZ53">
        <f>BatSplit(D53:CD53,Stumpings)</f>
        <v>0</v>
      </c>
      <c r="DA53">
        <f t="shared" si="15"/>
        <v>0</v>
      </c>
      <c r="DB53">
        <f t="shared" si="16"/>
        <v>0</v>
      </c>
    </row>
    <row r="54" spans="1:106" x14ac:dyDescent="0.15">
      <c r="B54" t="s">
        <v>39</v>
      </c>
      <c r="C54" t="s">
        <v>427</v>
      </c>
      <c r="D54" s="11"/>
      <c r="I54" t="s">
        <v>350</v>
      </c>
      <c r="L54" t="s">
        <v>476</v>
      </c>
      <c r="R54" t="s">
        <v>309</v>
      </c>
      <c r="U54" t="s">
        <v>570</v>
      </c>
      <c r="V54" t="s">
        <v>476</v>
      </c>
      <c r="AA54" t="s">
        <v>676</v>
      </c>
      <c r="AC54" t="s">
        <v>790</v>
      </c>
      <c r="AG54" t="s">
        <v>700</v>
      </c>
      <c r="AJ54" t="s">
        <v>717</v>
      </c>
      <c r="AK54" t="s">
        <v>368</v>
      </c>
      <c r="AT54" t="s">
        <v>864</v>
      </c>
      <c r="AU54" t="s">
        <v>477</v>
      </c>
      <c r="AX54" t="s">
        <v>908</v>
      </c>
      <c r="AY54" t="s">
        <v>477</v>
      </c>
      <c r="BC54" t="s">
        <v>958</v>
      </c>
      <c r="BE54" t="s">
        <v>412</v>
      </c>
      <c r="CE54">
        <f t="shared" ref="CE54:CE64" si="61">BatSplit(D54:CD54,MatchesPlayed)</f>
        <v>16</v>
      </c>
      <c r="CF54">
        <f t="shared" ref="CF54:CF64" si="62">CE54-CG54</f>
        <v>5</v>
      </c>
      <c r="CG54">
        <f t="shared" ref="CG54:CG64" si="63">BatSplit(D54:CD54,InnsBattedIn)</f>
        <v>11</v>
      </c>
      <c r="CH54">
        <f t="shared" ref="CH54:CH64" si="64">BatSplit(D54:CD54,NotOuts)</f>
        <v>5</v>
      </c>
      <c r="CI54">
        <f t="shared" ref="CI54:CI64" si="65">BatSplit(D54:CD54,HighestScore)</f>
        <v>-8</v>
      </c>
      <c r="CJ54" s="89" t="str">
        <f t="shared" si="14"/>
        <v>8*</v>
      </c>
      <c r="CK54">
        <f t="shared" ref="CK54:CK64" si="66">BatSplit(D54:CD54,RunsScored)</f>
        <v>33</v>
      </c>
      <c r="CL54" s="75">
        <f t="shared" ref="CL54:CL64" si="67">CK54/(CG54-CH54)</f>
        <v>5.5</v>
      </c>
      <c r="CM54">
        <f t="shared" ref="CM54:CM64" si="68">BatSplit(D54:CD54,BatPts)</f>
        <v>108</v>
      </c>
      <c r="CN54">
        <f t="shared" ref="CN54:CN64" si="69">BatSplit(D54:CD54,FldPts)</f>
        <v>10</v>
      </c>
      <c r="CO54" s="7">
        <f t="array" ref="CO54">SUM(IF(ISERR(FIND("*",D54:CD54)),0,1))</f>
        <v>0</v>
      </c>
      <c r="CP54" s="7">
        <f t="array" ref="CP54">SUM(IF(ISERR(FIND("+",D54:CD54)),0,1))</f>
        <v>0</v>
      </c>
      <c r="CQ54">
        <f t="shared" ref="CQ54:CQ64" si="70">BatSplit(D54:CD54,Ducks)</f>
        <v>1</v>
      </c>
      <c r="CR54" s="7">
        <f t="array" ref="CR54">SUM(IF(ISERR(FIND(CR$4,$D54:$CD54)),0,1))</f>
        <v>2</v>
      </c>
      <c r="CS54" s="7">
        <f t="array" ref="CS54">SUM(IF(ISERR(FIND(CS$4,$D54:$CD54)),0,1))</f>
        <v>3</v>
      </c>
      <c r="CT54" s="7">
        <f t="array" ref="CT54">SUM(IF(ISERR(FIND(CT$4,$D54:$CD54)),0,1))</f>
        <v>0</v>
      </c>
      <c r="CU54" s="7">
        <f t="array" ref="CU54">SUM(IF(ISERR(FIND(CU$4,$D54:$CD54)),0,1))</f>
        <v>0</v>
      </c>
      <c r="CV54" s="7">
        <f t="array" ref="CV54">SUM(IF(ISERR(FIND(CV$4,$D54:$CD54)),0,1))</f>
        <v>1</v>
      </c>
      <c r="CW54">
        <f t="shared" ref="CW54:CW64" si="71">BatSplit(D54:CD54,Catches)</f>
        <v>2</v>
      </c>
      <c r="CX54">
        <f t="shared" ref="CX54:CX64" si="72">BatSplit(D54:CD54,Fours)</f>
        <v>1</v>
      </c>
      <c r="CY54">
        <f t="shared" ref="CY54:CY64" si="73">BatSplit(D54:CD54,Sixes)</f>
        <v>0</v>
      </c>
      <c r="CZ54">
        <f t="shared" ref="CZ54:CZ64" si="74">BatSplit(D54:CD54,Stumpings)</f>
        <v>0</v>
      </c>
      <c r="DA54">
        <f t="shared" si="15"/>
        <v>0</v>
      </c>
      <c r="DB54">
        <f t="shared" si="16"/>
        <v>0</v>
      </c>
    </row>
    <row r="55" spans="1:106" x14ac:dyDescent="0.15">
      <c r="B55" t="s">
        <v>42</v>
      </c>
      <c r="C55" t="s">
        <v>443</v>
      </c>
      <c r="D55" s="11"/>
      <c r="K55" t="s">
        <v>410</v>
      </c>
      <c r="CE55">
        <f t="shared" si="61"/>
        <v>1</v>
      </c>
      <c r="CF55">
        <f t="shared" si="62"/>
        <v>0</v>
      </c>
      <c r="CG55">
        <f t="shared" si="63"/>
        <v>1</v>
      </c>
      <c r="CH55">
        <f t="shared" si="64"/>
        <v>0</v>
      </c>
      <c r="CI55">
        <f t="shared" si="65"/>
        <v>0</v>
      </c>
      <c r="CJ55" s="89">
        <f t="shared" si="14"/>
        <v>0</v>
      </c>
      <c r="CK55">
        <f t="shared" si="66"/>
        <v>0</v>
      </c>
      <c r="CL55" s="75">
        <f t="shared" si="67"/>
        <v>0</v>
      </c>
      <c r="CM55">
        <f t="shared" si="68"/>
        <v>0</v>
      </c>
      <c r="CN55">
        <f t="shared" si="69"/>
        <v>0</v>
      </c>
      <c r="CO55" s="7">
        <f t="array" ref="CO55">SUM(IF(ISERR(FIND("*",D55:CD55)),0,1))</f>
        <v>0</v>
      </c>
      <c r="CP55" s="7">
        <f t="array" ref="CP55">SUM(IF(ISERR(FIND("+",D55:CD55)),0,1))</f>
        <v>0</v>
      </c>
      <c r="CQ55">
        <f t="shared" si="70"/>
        <v>1</v>
      </c>
      <c r="CR55" s="7">
        <f t="array" ref="CR55">SUM(IF(ISERR(FIND(CR$4,$D55:$CD55)),0,1))</f>
        <v>0</v>
      </c>
      <c r="CS55" s="7">
        <f t="array" ref="CS55">SUM(IF(ISERR(FIND(CS$4,$D55:$CD55)),0,1))</f>
        <v>0</v>
      </c>
      <c r="CT55" s="7">
        <f t="array" ref="CT55">SUM(IF(ISERR(FIND(CT$4,$D55:$CD55)),0,1))</f>
        <v>0</v>
      </c>
      <c r="CU55" s="7">
        <f t="array" ref="CU55">SUM(IF(ISERR(FIND(CU$4,$D55:$CD55)),0,1))</f>
        <v>0</v>
      </c>
      <c r="CV55" s="7">
        <f t="array" ref="CV55">SUM(IF(ISERR(FIND(CV$4,$D55:$CD55)),0,1))</f>
        <v>1</v>
      </c>
      <c r="CW55">
        <f t="shared" si="71"/>
        <v>0</v>
      </c>
      <c r="CX55">
        <f t="shared" si="72"/>
        <v>0</v>
      </c>
      <c r="CY55">
        <f t="shared" si="73"/>
        <v>0</v>
      </c>
      <c r="CZ55">
        <f t="shared" si="74"/>
        <v>0</v>
      </c>
      <c r="DA55">
        <f t="shared" si="15"/>
        <v>0</v>
      </c>
      <c r="DB55">
        <f t="shared" si="16"/>
        <v>0</v>
      </c>
    </row>
    <row r="56" spans="1:106" x14ac:dyDescent="0.15">
      <c r="B56" t="s">
        <v>444</v>
      </c>
      <c r="C56" t="s">
        <v>47</v>
      </c>
      <c r="D56" s="11"/>
      <c r="K56" t="s">
        <v>387</v>
      </c>
      <c r="CE56">
        <f t="shared" si="61"/>
        <v>1</v>
      </c>
      <c r="CF56">
        <f t="shared" si="62"/>
        <v>0</v>
      </c>
      <c r="CG56">
        <f t="shared" si="63"/>
        <v>1</v>
      </c>
      <c r="CH56">
        <f t="shared" si="64"/>
        <v>0</v>
      </c>
      <c r="CI56">
        <f t="shared" si="65"/>
        <v>1</v>
      </c>
      <c r="CJ56" s="89">
        <f t="shared" si="14"/>
        <v>1</v>
      </c>
      <c r="CK56">
        <f t="shared" si="66"/>
        <v>1</v>
      </c>
      <c r="CL56" s="75">
        <f t="shared" si="67"/>
        <v>1</v>
      </c>
      <c r="CM56">
        <f t="shared" si="68"/>
        <v>6</v>
      </c>
      <c r="CN56">
        <f t="shared" si="69"/>
        <v>0</v>
      </c>
      <c r="CO56" s="7">
        <f t="array" ref="CO56">SUM(IF(ISERR(FIND("*",D56:CD56)),0,1))</f>
        <v>0</v>
      </c>
      <c r="CP56" s="7">
        <f t="array" ref="CP56">SUM(IF(ISERR(FIND("+",D56:CD56)),0,1))</f>
        <v>0</v>
      </c>
      <c r="CQ56">
        <f t="shared" si="70"/>
        <v>0</v>
      </c>
      <c r="CR56" s="7">
        <f t="array" ref="CR56">SUM(IF(ISERR(FIND(CR$4,$D56:$CD56)),0,1))</f>
        <v>1</v>
      </c>
      <c r="CS56" s="7">
        <f t="array" ref="CS56">SUM(IF(ISERR(FIND(CS$4,$D56:$CD56)),0,1))</f>
        <v>0</v>
      </c>
      <c r="CT56" s="7">
        <f t="array" ref="CT56">SUM(IF(ISERR(FIND(CT$4,$D56:$CD56)),0,1))</f>
        <v>0</v>
      </c>
      <c r="CU56" s="7">
        <f t="array" ref="CU56">SUM(IF(ISERR(FIND(CU$4,$D56:$CD56)),0,1))</f>
        <v>0</v>
      </c>
      <c r="CV56" s="7">
        <f t="array" ref="CV56">SUM(IF(ISERR(FIND(CV$4,$D56:$CD56)),0,1))</f>
        <v>0</v>
      </c>
      <c r="CW56">
        <f t="shared" si="71"/>
        <v>0</v>
      </c>
      <c r="CX56">
        <f t="shared" si="72"/>
        <v>0</v>
      </c>
      <c r="CY56">
        <f t="shared" si="73"/>
        <v>0</v>
      </c>
      <c r="CZ56">
        <f t="shared" si="74"/>
        <v>0</v>
      </c>
      <c r="DA56">
        <f t="shared" si="15"/>
        <v>0</v>
      </c>
      <c r="DB56">
        <f t="shared" si="16"/>
        <v>0</v>
      </c>
    </row>
    <row r="57" spans="1:106" x14ac:dyDescent="0.15">
      <c r="B57" t="s">
        <v>88</v>
      </c>
      <c r="C57" t="s">
        <v>449</v>
      </c>
      <c r="D57" s="11"/>
      <c r="M57" t="s">
        <v>450</v>
      </c>
      <c r="T57" t="s">
        <v>408</v>
      </c>
      <c r="W57" t="s">
        <v>632</v>
      </c>
      <c r="AG57" t="s">
        <v>694</v>
      </c>
      <c r="AY57" t="s">
        <v>932</v>
      </c>
      <c r="BB57" t="s">
        <v>568</v>
      </c>
      <c r="CE57">
        <f t="shared" si="61"/>
        <v>6</v>
      </c>
      <c r="CF57">
        <f t="shared" si="62"/>
        <v>0</v>
      </c>
      <c r="CG57">
        <f t="shared" si="63"/>
        <v>6</v>
      </c>
      <c r="CH57">
        <f t="shared" si="64"/>
        <v>1</v>
      </c>
      <c r="CI57">
        <f t="shared" si="65"/>
        <v>10</v>
      </c>
      <c r="CJ57" s="89">
        <f t="shared" si="14"/>
        <v>10</v>
      </c>
      <c r="CK57">
        <f t="shared" si="66"/>
        <v>22</v>
      </c>
      <c r="CL57" s="75">
        <f t="shared" si="67"/>
        <v>4.4000000000000004</v>
      </c>
      <c r="CM57">
        <f t="shared" si="68"/>
        <v>37</v>
      </c>
      <c r="CN57">
        <f t="shared" si="69"/>
        <v>10</v>
      </c>
      <c r="CO57" s="7">
        <f t="array" ref="CO57">SUM(IF(ISERR(FIND("*",D57:CD57)),0,1))</f>
        <v>0</v>
      </c>
      <c r="CP57" s="7">
        <f t="array" ref="CP57">SUM(IF(ISERR(FIND("+",D57:CD57)),0,1))</f>
        <v>0</v>
      </c>
      <c r="CQ57">
        <f t="shared" si="70"/>
        <v>3</v>
      </c>
      <c r="CR57" s="7">
        <f t="array" ref="CR57">SUM(IF(ISERR(FIND(CR$4,$D57:$CD57)),0,1))</f>
        <v>4</v>
      </c>
      <c r="CS57" s="7">
        <f t="array" ref="CS57">SUM(IF(ISERR(FIND(CS$4,$D57:$CD57)),0,1))</f>
        <v>1</v>
      </c>
      <c r="CT57" s="7">
        <f t="array" ref="CT57">SUM(IF(ISERR(FIND(CT$4,$D57:$CD57)),0,1))</f>
        <v>0</v>
      </c>
      <c r="CU57" s="7">
        <f t="array" ref="CU57">SUM(IF(ISERR(FIND(CU$4,$D57:$CD57)),0,1))</f>
        <v>0</v>
      </c>
      <c r="CV57" s="7">
        <f t="array" ref="CV57">SUM(IF(ISERR(FIND(CV$4,$D57:$CD57)),0,1))</f>
        <v>0</v>
      </c>
      <c r="CW57">
        <f t="shared" si="71"/>
        <v>2</v>
      </c>
      <c r="CX57">
        <f t="shared" si="72"/>
        <v>1</v>
      </c>
      <c r="CY57">
        <f t="shared" si="73"/>
        <v>0</v>
      </c>
      <c r="CZ57">
        <f t="shared" si="74"/>
        <v>0</v>
      </c>
      <c r="DA57">
        <f t="shared" si="15"/>
        <v>0</v>
      </c>
      <c r="DB57">
        <f t="shared" si="16"/>
        <v>0</v>
      </c>
    </row>
    <row r="58" spans="1:106" x14ac:dyDescent="0.15">
      <c r="B58" t="s">
        <v>49</v>
      </c>
      <c r="C58" t="s">
        <v>453</v>
      </c>
      <c r="M58" t="s">
        <v>309</v>
      </c>
      <c r="T58" t="s">
        <v>626</v>
      </c>
      <c r="W58" t="s">
        <v>636</v>
      </c>
      <c r="AG58" t="s">
        <v>697</v>
      </c>
      <c r="AJ58" t="s">
        <v>713</v>
      </c>
      <c r="AK58" t="s">
        <v>742</v>
      </c>
      <c r="BB58" t="s">
        <v>309</v>
      </c>
      <c r="BE58" t="s">
        <v>311</v>
      </c>
      <c r="CE58">
        <f t="shared" si="61"/>
        <v>8</v>
      </c>
      <c r="CF58">
        <f t="shared" si="62"/>
        <v>3</v>
      </c>
      <c r="CG58">
        <f t="shared" si="63"/>
        <v>5</v>
      </c>
      <c r="CH58">
        <f t="shared" si="64"/>
        <v>1</v>
      </c>
      <c r="CI58">
        <f t="shared" si="65"/>
        <v>10</v>
      </c>
      <c r="CJ58" s="89">
        <f t="shared" si="14"/>
        <v>10</v>
      </c>
      <c r="CK58">
        <f t="shared" si="66"/>
        <v>33</v>
      </c>
      <c r="CL58" s="75">
        <f t="shared" si="67"/>
        <v>8.25</v>
      </c>
      <c r="CM58">
        <f t="shared" si="68"/>
        <v>68</v>
      </c>
      <c r="CN58">
        <f t="shared" si="69"/>
        <v>5</v>
      </c>
      <c r="CO58" s="7">
        <f t="array" ref="CO58">SUM(IF(ISERR(FIND("*",D58:CD58)),0,1))</f>
        <v>0</v>
      </c>
      <c r="CP58" s="7">
        <f t="array" ref="CP58">SUM(IF(ISERR(FIND("+",D58:CD58)),0,1))</f>
        <v>0</v>
      </c>
      <c r="CQ58">
        <f t="shared" si="70"/>
        <v>1</v>
      </c>
      <c r="CR58" s="7">
        <f t="array" ref="CR58">SUM(IF(ISERR(FIND(CR$4,$D58:$CD58)),0,1))</f>
        <v>2</v>
      </c>
      <c r="CS58" s="7">
        <f t="array" ref="CS58">SUM(IF(ISERR(FIND(CS$4,$D58:$CD58)),0,1))</f>
        <v>1</v>
      </c>
      <c r="CT58" s="7">
        <f t="array" ref="CT58">SUM(IF(ISERR(FIND(CT$4,$D58:$CD58)),0,1))</f>
        <v>0</v>
      </c>
      <c r="CU58" s="7">
        <f t="array" ref="CU58">SUM(IF(ISERR(FIND(CU$4,$D58:$CD58)),0,1))</f>
        <v>1</v>
      </c>
      <c r="CV58" s="7">
        <f t="array" ref="CV58">SUM(IF(ISERR(FIND(CV$4,$D58:$CD58)),0,1))</f>
        <v>0</v>
      </c>
      <c r="CW58">
        <f t="shared" si="71"/>
        <v>1</v>
      </c>
      <c r="CX58">
        <f t="shared" si="72"/>
        <v>5</v>
      </c>
      <c r="CY58">
        <f t="shared" si="73"/>
        <v>0</v>
      </c>
      <c r="CZ58">
        <f t="shared" si="74"/>
        <v>0</v>
      </c>
      <c r="DA58">
        <f t="shared" si="15"/>
        <v>0</v>
      </c>
      <c r="DB58">
        <f t="shared" si="16"/>
        <v>0</v>
      </c>
    </row>
    <row r="59" spans="1:106" x14ac:dyDescent="0.15">
      <c r="B59" t="s">
        <v>454</v>
      </c>
      <c r="C59" t="s">
        <v>1080</v>
      </c>
      <c r="M59" t="s">
        <v>311</v>
      </c>
      <c r="CE59">
        <f t="shared" si="61"/>
        <v>1</v>
      </c>
      <c r="CF59">
        <f t="shared" si="62"/>
        <v>1</v>
      </c>
      <c r="CG59">
        <f t="shared" si="63"/>
        <v>0</v>
      </c>
      <c r="CH59">
        <f t="shared" si="64"/>
        <v>0</v>
      </c>
      <c r="CI59">
        <f t="shared" si="65"/>
        <v>0</v>
      </c>
      <c r="CJ59" s="89">
        <f t="shared" si="14"/>
        <v>0</v>
      </c>
      <c r="CK59">
        <f t="shared" si="66"/>
        <v>0</v>
      </c>
      <c r="CL59" s="75" t="e">
        <f t="shared" si="67"/>
        <v>#DIV/0!</v>
      </c>
      <c r="CM59">
        <f t="shared" si="68"/>
        <v>5</v>
      </c>
      <c r="CN59">
        <f t="shared" si="69"/>
        <v>0</v>
      </c>
      <c r="CO59" s="7">
        <f t="array" ref="CO59">SUM(IF(ISERR(FIND("*",D59:CD59)),0,1))</f>
        <v>0</v>
      </c>
      <c r="CP59" s="7">
        <f t="array" ref="CP59">SUM(IF(ISERR(FIND("+",D59:CD59)),0,1))</f>
        <v>0</v>
      </c>
      <c r="CQ59">
        <f t="shared" si="70"/>
        <v>0</v>
      </c>
      <c r="CR59" s="7">
        <f t="array" ref="CR59">SUM(IF(ISERR(FIND(CR$4,$D59:$CD59)),0,1))</f>
        <v>0</v>
      </c>
      <c r="CS59" s="7">
        <f t="array" ref="CS59">SUM(IF(ISERR(FIND(CS$4,$D59:$CD59)),0,1))</f>
        <v>0</v>
      </c>
      <c r="CT59" s="7">
        <f t="array" ref="CT59">SUM(IF(ISERR(FIND(CT$4,$D59:$CD59)),0,1))</f>
        <v>0</v>
      </c>
      <c r="CU59" s="7">
        <f t="array" ref="CU59">SUM(IF(ISERR(FIND(CU$4,$D59:$CD59)),0,1))</f>
        <v>0</v>
      </c>
      <c r="CV59" s="7">
        <f t="array" ref="CV59">SUM(IF(ISERR(FIND(CV$4,$D59:$CD59)),0,1))</f>
        <v>0</v>
      </c>
      <c r="CW59">
        <f t="shared" si="71"/>
        <v>0</v>
      </c>
      <c r="CX59">
        <f t="shared" si="72"/>
        <v>0</v>
      </c>
      <c r="CY59">
        <f t="shared" si="73"/>
        <v>0</v>
      </c>
      <c r="CZ59">
        <f t="shared" si="74"/>
        <v>0</v>
      </c>
      <c r="DA59">
        <f t="shared" si="15"/>
        <v>0</v>
      </c>
      <c r="DB59">
        <f t="shared" si="16"/>
        <v>0</v>
      </c>
    </row>
    <row r="60" spans="1:106" x14ac:dyDescent="0.15">
      <c r="B60" t="s">
        <v>31</v>
      </c>
      <c r="C60" t="s">
        <v>557</v>
      </c>
      <c r="R60" t="s">
        <v>558</v>
      </c>
      <c r="CE60">
        <f t="shared" si="61"/>
        <v>1</v>
      </c>
      <c r="CF60">
        <f t="shared" si="62"/>
        <v>1</v>
      </c>
      <c r="CG60">
        <f t="shared" si="63"/>
        <v>0</v>
      </c>
      <c r="CH60">
        <f t="shared" si="64"/>
        <v>0</v>
      </c>
      <c r="CI60">
        <f t="shared" si="65"/>
        <v>0</v>
      </c>
      <c r="CJ60" s="89">
        <f t="shared" si="14"/>
        <v>0</v>
      </c>
      <c r="CK60">
        <f t="shared" si="66"/>
        <v>0</v>
      </c>
      <c r="CL60" s="75" t="e">
        <f t="shared" si="67"/>
        <v>#DIV/0!</v>
      </c>
      <c r="CM60">
        <f t="shared" si="68"/>
        <v>5</v>
      </c>
      <c r="CN60">
        <f t="shared" si="69"/>
        <v>0</v>
      </c>
      <c r="CO60" s="7">
        <f t="array" ref="CO60">SUM(IF(ISERR(FIND("*",D60:CD60)),0,1))</f>
        <v>0</v>
      </c>
      <c r="CP60" s="7">
        <f t="array" ref="CP60">SUM(IF(ISERR(FIND("+",D60:CD60)),0,1))</f>
        <v>0</v>
      </c>
      <c r="CQ60">
        <f t="shared" si="70"/>
        <v>0</v>
      </c>
      <c r="CR60" s="7">
        <f t="array" ref="CR60">SUM(IF(ISERR(FIND(CR$4,$D60:$CD60)),0,1))</f>
        <v>0</v>
      </c>
      <c r="CS60" s="7">
        <f t="array" ref="CS60">SUM(IF(ISERR(FIND(CS$4,$D60:$CD60)),0,1))</f>
        <v>0</v>
      </c>
      <c r="CT60" s="7">
        <f t="array" ref="CT60">SUM(IF(ISERR(FIND(CT$4,$D60:$CD60)),0,1))</f>
        <v>0</v>
      </c>
      <c r="CU60" s="7">
        <f t="array" ref="CU60">SUM(IF(ISERR(FIND(CU$4,$D60:$CD60)),0,1))</f>
        <v>0</v>
      </c>
      <c r="CV60" s="7">
        <f t="array" ref="CV60">SUM(IF(ISERR(FIND(CV$4,$D60:$CD60)),0,1))</f>
        <v>0</v>
      </c>
      <c r="CW60">
        <f t="shared" si="71"/>
        <v>0</v>
      </c>
      <c r="CX60">
        <f t="shared" si="72"/>
        <v>0</v>
      </c>
      <c r="CY60">
        <f t="shared" si="73"/>
        <v>0</v>
      </c>
      <c r="CZ60">
        <f t="shared" si="74"/>
        <v>0</v>
      </c>
      <c r="DA60">
        <f t="shared" si="15"/>
        <v>0</v>
      </c>
      <c r="DB60">
        <f t="shared" si="16"/>
        <v>0</v>
      </c>
    </row>
    <row r="61" spans="1:106" x14ac:dyDescent="0.15">
      <c r="B61" t="s">
        <v>71</v>
      </c>
      <c r="C61" t="s">
        <v>1085</v>
      </c>
      <c r="V61" t="s">
        <v>591</v>
      </c>
      <c r="CE61">
        <f t="shared" si="61"/>
        <v>1</v>
      </c>
      <c r="CF61">
        <f t="shared" si="62"/>
        <v>0</v>
      </c>
      <c r="CG61">
        <f t="shared" si="63"/>
        <v>1</v>
      </c>
      <c r="CH61">
        <f t="shared" si="64"/>
        <v>1</v>
      </c>
      <c r="CI61">
        <f t="shared" si="65"/>
        <v>-4</v>
      </c>
      <c r="CJ61" s="89" t="str">
        <f t="shared" si="14"/>
        <v>4*</v>
      </c>
      <c r="CK61">
        <f t="shared" si="66"/>
        <v>4</v>
      </c>
      <c r="CL61" s="75" t="e">
        <f t="shared" si="67"/>
        <v>#DIV/0!</v>
      </c>
      <c r="CM61">
        <f t="shared" si="68"/>
        <v>9</v>
      </c>
      <c r="CN61">
        <f t="shared" si="69"/>
        <v>5</v>
      </c>
      <c r="CO61" s="7">
        <f t="array" ref="CO61">SUM(IF(ISERR(FIND("*",D61:CD61)),0,1))</f>
        <v>0</v>
      </c>
      <c r="CP61" s="7">
        <f t="array" ref="CP61">SUM(IF(ISERR(FIND("+",D61:CD61)),0,1))</f>
        <v>0</v>
      </c>
      <c r="CQ61">
        <f t="shared" si="70"/>
        <v>0</v>
      </c>
      <c r="CR61" s="7">
        <f t="array" ref="CR61">SUM(IF(ISERR(FIND(CR$4,$D61:$CD61)),0,1))</f>
        <v>0</v>
      </c>
      <c r="CS61" s="7">
        <f t="array" ref="CS61">SUM(IF(ISERR(FIND(CS$4,$D61:$CD61)),0,1))</f>
        <v>0</v>
      </c>
      <c r="CT61" s="7">
        <f t="array" ref="CT61">SUM(IF(ISERR(FIND(CT$4,$D61:$CD61)),0,1))</f>
        <v>0</v>
      </c>
      <c r="CU61" s="7">
        <f t="array" ref="CU61">SUM(IF(ISERR(FIND(CU$4,$D61:$CD61)),0,1))</f>
        <v>0</v>
      </c>
      <c r="CV61" s="7">
        <f t="array" ref="CV61">SUM(IF(ISERR(FIND(CV$4,$D61:$CD61)),0,1))</f>
        <v>0</v>
      </c>
      <c r="CW61">
        <f t="shared" si="71"/>
        <v>1</v>
      </c>
      <c r="CX61">
        <f t="shared" si="72"/>
        <v>1</v>
      </c>
      <c r="CY61">
        <f t="shared" si="73"/>
        <v>0</v>
      </c>
      <c r="CZ61">
        <f t="shared" si="74"/>
        <v>0</v>
      </c>
      <c r="DA61">
        <f t="shared" si="15"/>
        <v>0</v>
      </c>
      <c r="DB61">
        <f t="shared" si="16"/>
        <v>0</v>
      </c>
    </row>
    <row r="62" spans="1:106" x14ac:dyDescent="0.15">
      <c r="B62" t="s">
        <v>96</v>
      </c>
      <c r="C62" t="s">
        <v>642</v>
      </c>
      <c r="Z62" t="s">
        <v>643</v>
      </c>
      <c r="CE62">
        <f t="shared" si="61"/>
        <v>1</v>
      </c>
      <c r="CF62">
        <f t="shared" si="62"/>
        <v>0</v>
      </c>
      <c r="CG62">
        <f t="shared" si="63"/>
        <v>1</v>
      </c>
      <c r="CH62">
        <f t="shared" si="64"/>
        <v>0</v>
      </c>
      <c r="CI62">
        <f t="shared" si="65"/>
        <v>18</v>
      </c>
      <c r="CJ62" s="89">
        <f t="shared" si="14"/>
        <v>18</v>
      </c>
      <c r="CK62">
        <f t="shared" si="66"/>
        <v>18</v>
      </c>
      <c r="CL62" s="75">
        <f t="shared" si="67"/>
        <v>18</v>
      </c>
      <c r="CM62">
        <f t="shared" si="68"/>
        <v>23</v>
      </c>
      <c r="CN62">
        <f t="shared" si="69"/>
        <v>0</v>
      </c>
      <c r="CO62" s="7">
        <f t="array" ref="CO62">SUM(IF(ISERR(FIND("*",D62:CD62)),0,1))</f>
        <v>0</v>
      </c>
      <c r="CP62" s="7">
        <f t="array" ref="CP62">SUM(IF(ISERR(FIND("+",D62:CD62)),0,1))</f>
        <v>0</v>
      </c>
      <c r="CQ62">
        <f t="shared" si="70"/>
        <v>0</v>
      </c>
      <c r="CR62" s="7">
        <f t="array" ref="CR62">SUM(IF(ISERR(FIND(CR$4,$D62:$CD62)),0,1))</f>
        <v>1</v>
      </c>
      <c r="CS62" s="7">
        <f t="array" ref="CS62">SUM(IF(ISERR(FIND(CS$4,$D62:$CD62)),0,1))</f>
        <v>0</v>
      </c>
      <c r="CT62" s="7">
        <f t="array" ref="CT62">SUM(IF(ISERR(FIND(CT$4,$D62:$CD62)),0,1))</f>
        <v>0</v>
      </c>
      <c r="CU62" s="7">
        <f t="array" ref="CU62">SUM(IF(ISERR(FIND(CU$4,$D62:$CD62)),0,1))</f>
        <v>0</v>
      </c>
      <c r="CV62" s="7">
        <f t="array" ref="CV62">SUM(IF(ISERR(FIND(CV$4,$D62:$CD62)),0,1))</f>
        <v>0</v>
      </c>
      <c r="CW62">
        <f t="shared" si="71"/>
        <v>0</v>
      </c>
      <c r="CX62">
        <f t="shared" si="72"/>
        <v>2</v>
      </c>
      <c r="CY62">
        <f t="shared" si="73"/>
        <v>0</v>
      </c>
      <c r="CZ62">
        <f t="shared" si="74"/>
        <v>0</v>
      </c>
      <c r="DA62">
        <f t="shared" si="15"/>
        <v>0</v>
      </c>
      <c r="DB62">
        <f t="shared" si="16"/>
        <v>0</v>
      </c>
    </row>
    <row r="63" spans="1:106" x14ac:dyDescent="0.15">
      <c r="B63" t="s">
        <v>644</v>
      </c>
      <c r="C63" t="s">
        <v>645</v>
      </c>
      <c r="Z63" t="s">
        <v>646</v>
      </c>
      <c r="AM63" t="s">
        <v>775</v>
      </c>
      <c r="AO63" t="s">
        <v>801</v>
      </c>
      <c r="AQ63" t="s">
        <v>350</v>
      </c>
      <c r="BB63" t="s">
        <v>951</v>
      </c>
      <c r="BD63" t="s">
        <v>987</v>
      </c>
      <c r="CE63">
        <f t="shared" si="61"/>
        <v>6</v>
      </c>
      <c r="CF63">
        <f t="shared" si="62"/>
        <v>0</v>
      </c>
      <c r="CG63">
        <f t="shared" si="63"/>
        <v>6</v>
      </c>
      <c r="CH63">
        <f t="shared" si="64"/>
        <v>3</v>
      </c>
      <c r="CI63">
        <f t="shared" si="65"/>
        <v>11</v>
      </c>
      <c r="CJ63" s="89">
        <f t="shared" si="14"/>
        <v>11</v>
      </c>
      <c r="CK63">
        <f t="shared" si="66"/>
        <v>30</v>
      </c>
      <c r="CL63" s="75">
        <f t="shared" si="67"/>
        <v>10</v>
      </c>
      <c r="CM63">
        <f t="shared" si="68"/>
        <v>55</v>
      </c>
      <c r="CN63">
        <f t="shared" si="69"/>
        <v>5</v>
      </c>
      <c r="CO63" s="7">
        <f t="array" ref="CO63">SUM(IF(ISERR(FIND("*",D63:CD63)),0,1))</f>
        <v>0</v>
      </c>
      <c r="CP63" s="7">
        <f t="array" ref="CP63">SUM(IF(ISERR(FIND("+",D63:CD63)),0,1))</f>
        <v>0</v>
      </c>
      <c r="CQ63">
        <f t="shared" si="70"/>
        <v>1</v>
      </c>
      <c r="CR63" s="7">
        <f t="array" ref="CR63">SUM(IF(ISERR(FIND(CR$4,$D63:$CD63)),0,1))</f>
        <v>2</v>
      </c>
      <c r="CS63" s="7">
        <f t="array" ref="CS63">SUM(IF(ISERR(FIND(CS$4,$D63:$CD63)),0,1))</f>
        <v>1</v>
      </c>
      <c r="CT63" s="7">
        <f t="array" ref="CT63">SUM(IF(ISERR(FIND(CT$4,$D63:$CD63)),0,1))</f>
        <v>0</v>
      </c>
      <c r="CU63" s="7">
        <f t="array" ref="CU63">SUM(IF(ISERR(FIND(CU$4,$D63:$CD63)),0,1))</f>
        <v>0</v>
      </c>
      <c r="CV63" s="7">
        <f t="array" ref="CV63">SUM(IF(ISERR(FIND(CV$4,$D63:$CD63)),0,1))</f>
        <v>0</v>
      </c>
      <c r="CW63">
        <f t="shared" si="71"/>
        <v>1</v>
      </c>
      <c r="CX63">
        <f t="shared" si="72"/>
        <v>3</v>
      </c>
      <c r="CY63">
        <f t="shared" si="73"/>
        <v>0</v>
      </c>
      <c r="CZ63">
        <f t="shared" si="74"/>
        <v>0</v>
      </c>
      <c r="DA63">
        <f t="shared" si="15"/>
        <v>0</v>
      </c>
      <c r="DB63">
        <f t="shared" si="16"/>
        <v>0</v>
      </c>
    </row>
    <row r="64" spans="1:106" x14ac:dyDescent="0.15">
      <c r="B64" t="s">
        <v>832</v>
      </c>
      <c r="C64" t="s">
        <v>1081</v>
      </c>
      <c r="AR64" t="s">
        <v>833</v>
      </c>
      <c r="CE64">
        <f t="shared" si="61"/>
        <v>1</v>
      </c>
      <c r="CF64">
        <f t="shared" si="62"/>
        <v>0</v>
      </c>
      <c r="CG64">
        <f t="shared" si="63"/>
        <v>1</v>
      </c>
      <c r="CH64">
        <f t="shared" si="64"/>
        <v>0</v>
      </c>
      <c r="CI64">
        <f t="shared" si="65"/>
        <v>4</v>
      </c>
      <c r="CJ64" s="89">
        <f t="shared" si="14"/>
        <v>4</v>
      </c>
      <c r="CK64">
        <f t="shared" si="66"/>
        <v>4</v>
      </c>
      <c r="CL64" s="75">
        <f t="shared" si="67"/>
        <v>4</v>
      </c>
      <c r="CM64">
        <f t="shared" si="68"/>
        <v>9</v>
      </c>
      <c r="CN64">
        <f t="shared" si="69"/>
        <v>0</v>
      </c>
      <c r="CO64" s="7">
        <f t="array" ref="CO64">SUM(IF(ISERR(FIND("*",D64:CD64)),0,1))</f>
        <v>0</v>
      </c>
      <c r="CP64" s="7">
        <f t="array" ref="CP64">SUM(IF(ISERR(FIND("+",D64:CD64)),0,1))</f>
        <v>0</v>
      </c>
      <c r="CQ64">
        <f t="shared" si="70"/>
        <v>0</v>
      </c>
      <c r="CR64" s="7">
        <f t="array" ref="CR64">SUM(IF(ISERR(FIND(CR$4,$D64:$CD64)),0,1))</f>
        <v>0</v>
      </c>
      <c r="CS64" s="7">
        <f t="array" ref="CS64">SUM(IF(ISERR(FIND(CS$4,$D64:$CD64)),0,1))</f>
        <v>0</v>
      </c>
      <c r="CT64" s="7">
        <f t="array" ref="CT64">SUM(IF(ISERR(FIND(CT$4,$D64:$CD64)),0,1))</f>
        <v>0</v>
      </c>
      <c r="CU64" s="7">
        <f t="array" ref="CU64">SUM(IF(ISERR(FIND(CU$4,$D64:$CD64)),0,1))</f>
        <v>1</v>
      </c>
      <c r="CV64" s="7">
        <f t="array" ref="CV64">SUM(IF(ISERR(FIND(CV$4,$D64:$CD64)),0,1))</f>
        <v>0</v>
      </c>
      <c r="CW64">
        <f t="shared" si="71"/>
        <v>0</v>
      </c>
      <c r="CX64">
        <f t="shared" si="72"/>
        <v>0</v>
      </c>
      <c r="CY64">
        <f t="shared" si="73"/>
        <v>0</v>
      </c>
      <c r="CZ64">
        <f t="shared" si="74"/>
        <v>0</v>
      </c>
      <c r="DA64">
        <f t="shared" si="15"/>
        <v>0</v>
      </c>
      <c r="DB64">
        <f t="shared" si="16"/>
        <v>0</v>
      </c>
    </row>
    <row r="65" spans="2:106" x14ac:dyDescent="0.15">
      <c r="B65" t="s">
        <v>59</v>
      </c>
      <c r="C65" t="s">
        <v>874</v>
      </c>
      <c r="AU65" t="s">
        <v>634</v>
      </c>
      <c r="CE65">
        <f>BatSplit(D65:CD65,MatchesPlayed)</f>
        <v>1</v>
      </c>
      <c r="CF65">
        <f>CE65-CG65</f>
        <v>0</v>
      </c>
      <c r="CG65">
        <f>BatSplit(D65:CD65,InnsBattedIn)</f>
        <v>1</v>
      </c>
      <c r="CH65">
        <f>BatSplit(D65:CD65,NotOuts)</f>
        <v>0</v>
      </c>
      <c r="CI65">
        <f>BatSplit(D65:CD65,HighestScore)</f>
        <v>0</v>
      </c>
      <c r="CJ65" s="89">
        <f t="shared" si="14"/>
        <v>0</v>
      </c>
      <c r="CK65">
        <f>BatSplit(D65:CD65,RunsScored)</f>
        <v>0</v>
      </c>
      <c r="CL65" s="75">
        <f>CK65/(CG65-CH65)</f>
        <v>0</v>
      </c>
      <c r="CM65">
        <f>BatSplit(D65:CD65,BatPts)</f>
        <v>0</v>
      </c>
      <c r="CN65">
        <f>BatSplit(D65:CD65,FldPts)</f>
        <v>0</v>
      </c>
      <c r="CO65" s="7">
        <f t="array" ref="CO65">SUM(IF(ISERR(FIND("*",D65:CD65)),0,1))</f>
        <v>0</v>
      </c>
      <c r="CP65" s="7">
        <f t="array" ref="CP65">SUM(IF(ISERR(FIND("+",D65:CD65)),0,1))</f>
        <v>0</v>
      </c>
      <c r="CQ65">
        <f>BatSplit(D65:CD65,Ducks)</f>
        <v>1</v>
      </c>
      <c r="CR65" s="7">
        <f t="array" ref="CR65">SUM(IF(ISERR(FIND(CR$4,$D65:$CD65)),0,1))</f>
        <v>1</v>
      </c>
      <c r="CS65" s="7">
        <f t="array" ref="CS65">SUM(IF(ISERR(FIND(CS$4,$D65:$CD65)),0,1))</f>
        <v>0</v>
      </c>
      <c r="CT65" s="7">
        <f t="array" ref="CT65">SUM(IF(ISERR(FIND(CT$4,$D65:$CD65)),0,1))</f>
        <v>0</v>
      </c>
      <c r="CU65" s="7">
        <f t="array" ref="CU65">SUM(IF(ISERR(FIND(CU$4,$D65:$CD65)),0,1))</f>
        <v>0</v>
      </c>
      <c r="CV65" s="7">
        <f t="array" ref="CV65">SUM(IF(ISERR(FIND(CV$4,$D65:$CD65)),0,1))</f>
        <v>0</v>
      </c>
      <c r="CW65">
        <f>BatSplit(D65:CD65,Catches)</f>
        <v>0</v>
      </c>
      <c r="CX65">
        <f>BatSplit(D65:CD65,Fours)</f>
        <v>0</v>
      </c>
      <c r="CY65">
        <f>BatSplit(D65:CD65,Sixes)</f>
        <v>0</v>
      </c>
      <c r="CZ65">
        <f>BatSplit(D65:CD65,Stumpings)</f>
        <v>0</v>
      </c>
      <c r="DA65">
        <f t="shared" si="15"/>
        <v>0</v>
      </c>
      <c r="DB65">
        <f t="shared" si="16"/>
        <v>0</v>
      </c>
    </row>
    <row r="66" spans="2:106" x14ac:dyDescent="0.15">
      <c r="B66" t="s">
        <v>911</v>
      </c>
      <c r="C66" t="s">
        <v>905</v>
      </c>
      <c r="AX66" t="s">
        <v>309</v>
      </c>
      <c r="BA66" t="s">
        <v>916</v>
      </c>
      <c r="CE66">
        <f>BatSplit(D66:CD66,MatchesPlayed)</f>
        <v>2</v>
      </c>
      <c r="CF66">
        <f>CE66-CG66</f>
        <v>1</v>
      </c>
      <c r="CG66">
        <f>BatSplit(D66:CD66,InnsBattedIn)</f>
        <v>1</v>
      </c>
      <c r="CH66">
        <f>BatSplit(D66:CD66,NotOuts)</f>
        <v>0</v>
      </c>
      <c r="CI66">
        <f>BatSplit(D66:CD66,HighestScore)</f>
        <v>3</v>
      </c>
      <c r="CJ66" s="89">
        <f t="shared" si="14"/>
        <v>3</v>
      </c>
      <c r="CK66">
        <f>BatSplit(D66:CD66,RunsScored)</f>
        <v>3</v>
      </c>
      <c r="CL66" s="75">
        <f>CK66/(CG66-CH66)</f>
        <v>3</v>
      </c>
      <c r="CM66">
        <f>BatSplit(D66:CD66,BatPts)</f>
        <v>13</v>
      </c>
      <c r="CN66">
        <f>BatSplit(D66:CD66,FldPts)</f>
        <v>5</v>
      </c>
      <c r="CO66" s="7">
        <f t="array" ref="CO66">SUM(IF(ISERR(FIND("*",D66:CD66)),0,1))</f>
        <v>0</v>
      </c>
      <c r="CP66" s="7">
        <f t="array" ref="CP66">SUM(IF(ISERR(FIND("+",D66:CD66)),0,1))</f>
        <v>0</v>
      </c>
      <c r="CQ66">
        <f>BatSplit(D66:CD66,Ducks)</f>
        <v>0</v>
      </c>
      <c r="CR66" s="7">
        <f t="array" ref="CR66">SUM(IF(ISERR(FIND(CR$4,$D66:$CD66)),0,1))</f>
        <v>1</v>
      </c>
      <c r="CS66" s="7">
        <f t="array" ref="CS66">SUM(IF(ISERR(FIND(CS$4,$D66:$CD66)),0,1))</f>
        <v>0</v>
      </c>
      <c r="CT66" s="7">
        <f t="array" ref="CT66">SUM(IF(ISERR(FIND(CT$4,$D66:$CD66)),0,1))</f>
        <v>0</v>
      </c>
      <c r="CU66" s="7">
        <f t="array" ref="CU66">SUM(IF(ISERR(FIND(CU$4,$D66:$CD66)),0,1))</f>
        <v>0</v>
      </c>
      <c r="CV66" s="7">
        <f t="array" ref="CV66">SUM(IF(ISERR(FIND(CV$4,$D66:$CD66)),0,1))</f>
        <v>0</v>
      </c>
      <c r="CW66">
        <f>BatSplit(D66:CD66,Catches)</f>
        <v>1</v>
      </c>
      <c r="CX66">
        <f>BatSplit(D66:CD66,Fours)</f>
        <v>0</v>
      </c>
      <c r="CY66">
        <f>BatSplit(D66:CD66,Sixes)</f>
        <v>0</v>
      </c>
      <c r="CZ66">
        <f>BatSplit(D66:CD66,Stumpings)</f>
        <v>0</v>
      </c>
      <c r="DA66">
        <f t="shared" si="15"/>
        <v>0</v>
      </c>
      <c r="DB66">
        <f t="shared" si="16"/>
        <v>0</v>
      </c>
    </row>
    <row r="67" spans="2:106" x14ac:dyDescent="0.15">
      <c r="B67" t="s">
        <v>934</v>
      </c>
      <c r="C67" t="s">
        <v>933</v>
      </c>
      <c r="AY67" t="s">
        <v>311</v>
      </c>
      <c r="BC67" t="s">
        <v>477</v>
      </c>
      <c r="CE67">
        <f>BatSplit(D67:CD67,MatchesPlayed)</f>
        <v>2</v>
      </c>
      <c r="CF67">
        <f>CE67-CG67</f>
        <v>2</v>
      </c>
      <c r="CG67">
        <f>BatSplit(D67:CD67,InnsBattedIn)</f>
        <v>0</v>
      </c>
      <c r="CH67">
        <f>BatSplit(D67:CD67,NotOuts)</f>
        <v>0</v>
      </c>
      <c r="CI67">
        <f>BatSplit(D67:CD67,HighestScore)</f>
        <v>0</v>
      </c>
      <c r="CJ67" s="89">
        <f t="shared" si="14"/>
        <v>0</v>
      </c>
      <c r="CK67">
        <f>BatSplit(D67:CD67,RunsScored)</f>
        <v>0</v>
      </c>
      <c r="CL67" s="75" t="e">
        <f>CK67/(CG67-CH67)</f>
        <v>#DIV/0!</v>
      </c>
      <c r="CM67">
        <f>BatSplit(D67:CD67,BatPts)</f>
        <v>10</v>
      </c>
      <c r="CN67">
        <f>BatSplit(D67:CD67,FldPts)</f>
        <v>0</v>
      </c>
      <c r="CO67" s="7">
        <f t="array" ref="CO67">SUM(IF(ISERR(FIND("*",D67:CD67)),0,1))</f>
        <v>0</v>
      </c>
      <c r="CP67" s="7">
        <f t="array" ref="CP67">SUM(IF(ISERR(FIND("+",D67:CD67)),0,1))</f>
        <v>0</v>
      </c>
      <c r="CQ67">
        <f>BatSplit(D67:CD67,Ducks)</f>
        <v>0</v>
      </c>
      <c r="CR67" s="7">
        <f t="array" ref="CR67">SUM(IF(ISERR(FIND(CR$4,$D67:$CD67)),0,1))</f>
        <v>0</v>
      </c>
      <c r="CS67" s="7">
        <f t="array" ref="CS67">SUM(IF(ISERR(FIND(CS$4,$D67:$CD67)),0,1))</f>
        <v>0</v>
      </c>
      <c r="CT67" s="7">
        <f t="array" ref="CT67">SUM(IF(ISERR(FIND(CT$4,$D67:$CD67)),0,1))</f>
        <v>0</v>
      </c>
      <c r="CU67" s="7">
        <f t="array" ref="CU67">SUM(IF(ISERR(FIND(CU$4,$D67:$CD67)),0,1))</f>
        <v>0</v>
      </c>
      <c r="CV67" s="7">
        <f t="array" ref="CV67">SUM(IF(ISERR(FIND(CV$4,$D67:$CD67)),0,1))</f>
        <v>0</v>
      </c>
      <c r="CW67">
        <f>BatSplit(D67:CD67,Catches)</f>
        <v>0</v>
      </c>
      <c r="CX67">
        <f>BatSplit(D67:CD67,Fours)</f>
        <v>0</v>
      </c>
      <c r="CY67">
        <f>BatSplit(D67:CD67,Sixes)</f>
        <v>0</v>
      </c>
      <c r="CZ67">
        <f>BatSplit(D67:CD67,Stumpings)</f>
        <v>0</v>
      </c>
      <c r="DA67">
        <f t="shared" si="15"/>
        <v>0</v>
      </c>
      <c r="DB67">
        <f t="shared" si="16"/>
        <v>0</v>
      </c>
    </row>
    <row r="68" spans="2:106" x14ac:dyDescent="0.15">
      <c r="CO68">
        <f>SUM(CO5:CO67)</f>
        <v>45</v>
      </c>
      <c r="CQ68">
        <f t="shared" ref="CQ68:CZ68" si="75">SUM(CQ5:CQ67)</f>
        <v>53</v>
      </c>
      <c r="CR68">
        <f t="shared" si="75"/>
        <v>158</v>
      </c>
      <c r="CS68">
        <f t="shared" si="75"/>
        <v>117</v>
      </c>
      <c r="CT68">
        <f t="shared" si="75"/>
        <v>16</v>
      </c>
      <c r="CU68">
        <f t="shared" si="75"/>
        <v>9</v>
      </c>
      <c r="CV68">
        <f t="shared" si="75"/>
        <v>19</v>
      </c>
      <c r="CW68">
        <f t="shared" si="75"/>
        <v>136</v>
      </c>
      <c r="CX68">
        <f t="shared" si="75"/>
        <v>738</v>
      </c>
      <c r="CY68">
        <f t="shared" si="75"/>
        <v>46</v>
      </c>
      <c r="CZ68">
        <f t="shared" si="75"/>
        <v>12</v>
      </c>
      <c r="DA68">
        <f>SUM(DA5:DA67)</f>
        <v>35</v>
      </c>
      <c r="DB68">
        <f>SUM(DB5:DB67)</f>
        <v>78</v>
      </c>
    </row>
    <row r="69" spans="2:106" x14ac:dyDescent="0.15">
      <c r="D69">
        <f t="array" ref="D69">SUM(IF(NOT(ISERR(FIND("*",D5:D67))),1,0))</f>
        <v>1</v>
      </c>
      <c r="E69">
        <f t="array" ref="E69">SUM(IF(NOT(ISERR(FIND("*",E5:E67))),1,0))</f>
        <v>1</v>
      </c>
      <c r="F69">
        <f t="array" ref="F69">SUM(IF(NOT(ISERR(FIND("*",F5:F67))),1,0))</f>
        <v>1</v>
      </c>
      <c r="G69">
        <f t="array" ref="G69">SUM(IF(NOT(ISERR(FIND("*",G5:G67))),1,0))</f>
        <v>1</v>
      </c>
      <c r="H69">
        <f t="array" ref="H69">SUM(IF(NOT(ISERR(FIND("*",H5:H67))),1,0))</f>
        <v>1</v>
      </c>
      <c r="I69">
        <f t="array" ref="I69">SUM(IF(NOT(ISERR(FIND("*",I5:I67))),1,0))</f>
        <v>1</v>
      </c>
      <c r="J69">
        <f t="array" ref="J69">SUM(IF(NOT(ISERR(FIND("*",J5:J67))),1,0))</f>
        <v>0</v>
      </c>
      <c r="K69">
        <f t="array" ref="K69">SUM(IF(NOT(ISERR(FIND("*",K5:K67))),1,0))</f>
        <v>1</v>
      </c>
      <c r="L69">
        <f t="array" ref="L69">SUM(IF(NOT(ISERR(FIND("*",L5:L67))),1,0))</f>
        <v>1</v>
      </c>
      <c r="M69">
        <f t="array" ref="M69">SUM(IF(NOT(ISERR(FIND("*",M5:M67))),1,0))</f>
        <v>1</v>
      </c>
      <c r="N69">
        <f t="array" ref="N69">SUM(IF(NOT(ISERR(FIND("*",N5:N67))),1,0))</f>
        <v>1</v>
      </c>
      <c r="O69">
        <f t="array" ref="O69">SUM(IF(NOT(ISERR(FIND("*",O5:O67))),1,0))</f>
        <v>1</v>
      </c>
      <c r="P69">
        <f t="array" ref="P69">SUM(IF(NOT(ISERR(FIND("*",P5:P67))),1,0))</f>
        <v>1</v>
      </c>
      <c r="Q69">
        <f t="array" ref="Q69">SUM(IF(NOT(ISERR(FIND("*",Q5:Q67))),1,0))</f>
        <v>1</v>
      </c>
      <c r="R69">
        <f t="array" ref="R69">SUM(IF(NOT(ISERR(FIND("*",R5:R67))),1,0))</f>
        <v>1</v>
      </c>
      <c r="S69">
        <f t="array" ref="S69">SUM(IF(NOT(ISERR(FIND("*",S5:S67))),1,0))</f>
        <v>1</v>
      </c>
      <c r="T69">
        <f t="array" ref="T69">SUM(IF(NOT(ISERR(FIND("*",T5:T67))),1,0))</f>
        <v>1</v>
      </c>
      <c r="U69">
        <f t="array" ref="U69">SUM(IF(NOT(ISERR(FIND("*",U5:U67))),1,0))</f>
        <v>1</v>
      </c>
      <c r="V69">
        <f t="array" ref="V69">SUM(IF(NOT(ISERR(FIND("*",V5:V67))),1,0))</f>
        <v>1</v>
      </c>
      <c r="W69">
        <f t="array" ref="W69">SUM(IF(NOT(ISERR(FIND("*",W5:W67))),1,0))</f>
        <v>1</v>
      </c>
      <c r="X69">
        <f t="array" ref="X69">SUM(IF(NOT(ISERR(FIND("*",X5:X67))),1,0))</f>
        <v>1</v>
      </c>
      <c r="Y69">
        <f t="array" ref="Y69">SUM(IF(NOT(ISERR(FIND("*",Y5:Y67))),1,0))</f>
        <v>0</v>
      </c>
      <c r="Z69">
        <f t="array" ref="Z69">SUM(IF(NOT(ISERR(FIND("*",Z5:Z67))),1,0))</f>
        <v>1</v>
      </c>
      <c r="AA69">
        <f t="array" ref="AA69">SUM(IF(NOT(ISERR(FIND("*",AA5:AA67))),1,0))</f>
        <v>1</v>
      </c>
      <c r="AB69">
        <f t="array" ref="AB69">SUM(IF(NOT(ISERR(FIND("*",AB5:AB67))),1,0))</f>
        <v>0</v>
      </c>
      <c r="AC69">
        <f t="array" ref="AC69">SUM(IF(NOT(ISERR(FIND("*",AC5:AC67))),1,0))</f>
        <v>1</v>
      </c>
      <c r="AD69">
        <f t="array" ref="AD69">SUM(IF(NOT(ISERR(FIND("*",AD5:AD67))),1,0))</f>
        <v>0</v>
      </c>
      <c r="AE69">
        <f t="array" ref="AE69">SUM(IF(NOT(ISERR(FIND("*",AE5:AE67))),1,0))</f>
        <v>0</v>
      </c>
      <c r="AF69">
        <f t="array" ref="AF69">SUM(IF(NOT(ISERR(FIND("*",AF5:AF67))),1,0))</f>
        <v>0</v>
      </c>
      <c r="AG69">
        <f t="array" ref="AG69">SUM(IF(NOT(ISERR(FIND("*",AG5:AG67))),1,0))</f>
        <v>1</v>
      </c>
      <c r="AH69">
        <f t="array" ref="AH69">SUM(IF(NOT(ISERR(FIND("*",AH5:AH67))),1,0))</f>
        <v>1</v>
      </c>
      <c r="AI69">
        <f t="array" ref="AI69">SUM(IF(NOT(ISERR(FIND("*",AI5:AI67))),1,0))</f>
        <v>0</v>
      </c>
      <c r="AJ69">
        <f t="array" ref="AJ69">SUM(IF(NOT(ISERR(FIND("*",AJ5:AJ67))),1,0))</f>
        <v>1</v>
      </c>
      <c r="AK69">
        <f t="array" ref="AK69">SUM(IF(NOT(ISERR(FIND("*",AK5:AK67))),1,0))</f>
        <v>1</v>
      </c>
      <c r="AL69">
        <f t="array" ref="AL69">SUM(IF(NOT(ISERR(FIND("*",AL5:AL67))),1,0))</f>
        <v>0</v>
      </c>
      <c r="AM69">
        <f t="array" ref="AM69">SUM(IF(NOT(ISERR(FIND("*",AM5:AM67))),1,0))</f>
        <v>1</v>
      </c>
      <c r="AN69">
        <f t="array" ref="AN69">SUM(IF(NOT(ISERR(FIND("*",AN5:AN67))),1,0))</f>
        <v>1</v>
      </c>
      <c r="AO69">
        <f t="array" ref="AO69">SUM(IF(NOT(ISERR(FIND("*",AO5:AO67))),1,0))</f>
        <v>1</v>
      </c>
      <c r="AP69">
        <f t="array" ref="AP69">SUM(IF(NOT(ISERR(FIND("*",AP5:AP67))),1,0))</f>
        <v>1</v>
      </c>
      <c r="AQ69">
        <f t="array" ref="AQ69">SUM(IF(NOT(ISERR(FIND("*",AQ5:AQ67))),1,0))</f>
        <v>1</v>
      </c>
      <c r="AR69">
        <f t="array" ref="AR69">SUM(IF(NOT(ISERR(FIND("*",AR5:AR67))),1,0))</f>
        <v>1</v>
      </c>
      <c r="AS69">
        <f t="array" ref="AS69">SUM(IF(NOT(ISERR(FIND("*",AS5:AS67))),1,0))</f>
        <v>1</v>
      </c>
      <c r="AT69">
        <f t="array" ref="AT69">SUM(IF(NOT(ISERR(FIND("*",AT5:AT67))),1,0))</f>
        <v>1</v>
      </c>
      <c r="AU69">
        <f t="array" ref="AU69">SUM(IF(NOT(ISERR(FIND("*",AU5:AU67))),1,0))</f>
        <v>1</v>
      </c>
      <c r="AV69">
        <f t="array" ref="AV69">SUM(IF(NOT(ISERR(FIND("*",AV5:AV67))),1,0))</f>
        <v>0</v>
      </c>
      <c r="AW69">
        <f t="array" ref="AW69">SUM(IF(NOT(ISERR(FIND("*",AW5:AW67))),1,0))</f>
        <v>1</v>
      </c>
      <c r="AX69">
        <f t="array" ref="AX69">SUM(IF(NOT(ISERR(FIND("*",AX5:AX67))),1,0))</f>
        <v>1</v>
      </c>
      <c r="AY69">
        <f t="array" ref="AY69">SUM(IF(NOT(ISERR(FIND("*",AY5:AY67))),1,0))</f>
        <v>1</v>
      </c>
      <c r="AZ69">
        <f t="array" ref="AZ69">SUM(IF(NOT(ISERR(FIND("*",AZ5:AZ67))),1,0))</f>
        <v>1</v>
      </c>
      <c r="BA69">
        <f t="array" ref="BA69">SUM(IF(NOT(ISERR(FIND("*",BA5:BA67))),1,0))</f>
        <v>1</v>
      </c>
      <c r="BB69">
        <f t="array" ref="BB69">SUM(IF(NOT(ISERR(FIND("*",BB5:BB67))),1,0))</f>
        <v>1</v>
      </c>
      <c r="BC69">
        <f t="array" ref="BC69">SUM(IF(NOT(ISERR(FIND("*",BC5:BC67))),1,0))</f>
        <v>1</v>
      </c>
      <c r="BD69">
        <f t="array" ref="BD69">SUM(IF(NOT(ISERR(FIND("*",BD5:BD67))),1,0))</f>
        <v>1</v>
      </c>
      <c r="BE69">
        <f t="array" ref="BE69">SUM(IF(NOT(ISERR(FIND("*",BE5:BE67))),1,0))</f>
        <v>1</v>
      </c>
      <c r="BF69">
        <f t="array" ref="BF69">SUM(IF(NOT(ISERR(FIND("*",BF5:BF67))),1,0))</f>
        <v>0</v>
      </c>
      <c r="BG69">
        <f t="array" ref="BG69">SUM(IF(NOT(ISERR(FIND("*",BG5:BG67))),1,0))</f>
        <v>0</v>
      </c>
      <c r="CO69">
        <f>SUM(D69:BG69)</f>
        <v>45</v>
      </c>
    </row>
    <row r="70" spans="2:106" x14ac:dyDescent="0.15">
      <c r="D70">
        <f t="array" ref="D70">SUM(IF(NOT(ISERR(FIND("+",D5:D67))),1,0))</f>
        <v>1</v>
      </c>
      <c r="E70">
        <f t="array" ref="E70">SUM(IF(NOT(ISERR(FIND("+",E5:E67))),1,0))</f>
        <v>1</v>
      </c>
      <c r="F70">
        <f t="array" ref="F70">SUM(IF(NOT(ISERR(FIND("+",F5:F67))),1,0))</f>
        <v>1</v>
      </c>
      <c r="G70">
        <f t="array" ref="G70">SUM(IF(NOT(ISERR(FIND("+",G5:G67))),1,0))</f>
        <v>1</v>
      </c>
      <c r="H70">
        <f t="array" ref="H70">SUM(IF(NOT(ISERR(FIND("+",H5:H67))),1,0))</f>
        <v>1</v>
      </c>
      <c r="I70">
        <f t="array" ref="I70">SUM(IF(NOT(ISERR(FIND("+",I5:I67))),1,0))</f>
        <v>1</v>
      </c>
      <c r="J70">
        <f t="array" ref="J70">SUM(IF(NOT(ISERR(FIND("+",J5:J67))),1,0))</f>
        <v>0</v>
      </c>
      <c r="K70">
        <f t="array" ref="K70">SUM(IF(NOT(ISERR(FIND("+",K5:K67))),1,0))</f>
        <v>1</v>
      </c>
      <c r="L70">
        <f t="array" ref="L70">SUM(IF(NOT(ISERR(FIND("+",L5:L67))),1,0))</f>
        <v>1</v>
      </c>
      <c r="M70">
        <f t="array" ref="M70">SUM(IF(NOT(ISERR(FIND("+",M5:M67))),1,0))</f>
        <v>1</v>
      </c>
      <c r="N70">
        <f t="array" ref="N70">SUM(IF(NOT(ISERR(FIND("+",N5:N67))),1,0))</f>
        <v>1</v>
      </c>
      <c r="O70">
        <f t="array" ref="O70">SUM(IF(NOT(ISERR(FIND("+",O5:O67))),1,0))</f>
        <v>1</v>
      </c>
      <c r="P70">
        <f t="array" ref="P70">SUM(IF(NOT(ISERR(FIND("+",P5:P67))),1,0))</f>
        <v>1</v>
      </c>
      <c r="Q70">
        <f t="array" ref="Q70">SUM(IF(NOT(ISERR(FIND("+",Q5:Q67))),1,0))</f>
        <v>1</v>
      </c>
      <c r="R70">
        <f t="array" ref="R70">SUM(IF(NOT(ISERR(FIND("+",R5:R67))),1,0))</f>
        <v>1</v>
      </c>
      <c r="S70">
        <f t="array" ref="S70">SUM(IF(NOT(ISERR(FIND("+",S5:S67))),1,0))</f>
        <v>1</v>
      </c>
      <c r="T70">
        <f t="array" ref="T70">SUM(IF(NOT(ISERR(FIND("+",T5:T67))),1,0))</f>
        <v>1</v>
      </c>
      <c r="U70">
        <f t="array" ref="U70">SUM(IF(NOT(ISERR(FIND("+",U5:U67))),1,0))</f>
        <v>2</v>
      </c>
      <c r="V70">
        <f t="array" ref="V70">SUM(IF(NOT(ISERR(FIND("+",V5:V67))),1,0))</f>
        <v>1</v>
      </c>
      <c r="W70">
        <f t="array" ref="W70">SUM(IF(NOT(ISERR(FIND("+",W5:W67))),1,0))</f>
        <v>1</v>
      </c>
      <c r="X70">
        <f t="array" ref="X70">SUM(IF(NOT(ISERR(FIND("+",X5:X67))),1,0))</f>
        <v>1</v>
      </c>
      <c r="Y70">
        <f t="array" ref="Y70">SUM(IF(NOT(ISERR(FIND("+",Y5:Y67))),1,0))</f>
        <v>0</v>
      </c>
      <c r="Z70">
        <f t="array" ref="Z70">SUM(IF(NOT(ISERR(FIND("+",Z5:Z67))),1,0))</f>
        <v>1</v>
      </c>
      <c r="AA70">
        <f t="array" ref="AA70">SUM(IF(NOT(ISERR(FIND("+",AA5:AA67))),1,0))</f>
        <v>1</v>
      </c>
      <c r="AB70">
        <f t="array" ref="AB70">SUM(IF(NOT(ISERR(FIND("+",AB5:AB67))),1,0))</f>
        <v>0</v>
      </c>
      <c r="AC70">
        <f t="array" ref="AC70">SUM(IF(NOT(ISERR(FIND("+",AC5:AC67))),1,0))</f>
        <v>1</v>
      </c>
      <c r="AD70">
        <f t="array" ref="AD70">SUM(IF(NOT(ISERR(FIND("+",AD5:AD67))),1,0))</f>
        <v>0</v>
      </c>
      <c r="AE70">
        <f t="array" ref="AE70">SUM(IF(NOT(ISERR(FIND("+",AE5:AE67))),1,0))</f>
        <v>0</v>
      </c>
      <c r="AF70">
        <f t="array" ref="AF70">SUM(IF(NOT(ISERR(FIND("+",AF5:AF67))),1,0))</f>
        <v>0</v>
      </c>
      <c r="AG70">
        <f t="array" ref="AG70">SUM(IF(NOT(ISERR(FIND("+",AG5:AG67))),1,0))</f>
        <v>1</v>
      </c>
      <c r="AH70">
        <f t="array" ref="AH70">SUM(IF(NOT(ISERR(FIND("+",AH5:AH67))),1,0))</f>
        <v>1</v>
      </c>
      <c r="AI70">
        <f t="array" ref="AI70">SUM(IF(NOT(ISERR(FIND("+",AI5:AI67))),1,0))</f>
        <v>0</v>
      </c>
      <c r="AJ70">
        <f t="array" ref="AJ70">SUM(IF(NOT(ISERR(FIND("+",AJ5:AJ67))),1,0))</f>
        <v>1</v>
      </c>
      <c r="AK70">
        <f t="array" ref="AK70">SUM(IF(NOT(ISERR(FIND("+",AK5:AK67))),1,0))</f>
        <v>1</v>
      </c>
      <c r="AL70">
        <f t="array" ref="AL70">SUM(IF(NOT(ISERR(FIND("+",AL5:AL67))),1,0))</f>
        <v>0</v>
      </c>
      <c r="AM70">
        <f t="array" ref="AM70">SUM(IF(NOT(ISERR(FIND("+",AM5:AM67))),1,0))</f>
        <v>1</v>
      </c>
      <c r="AN70">
        <f t="array" ref="AN70">SUM(IF(NOT(ISERR(FIND("+",AN5:AN67))),1,0))</f>
        <v>1</v>
      </c>
      <c r="AO70">
        <f t="array" ref="AO70">SUM(IF(NOT(ISERR(FIND("+",AO5:AO67))),1,0))</f>
        <v>1</v>
      </c>
      <c r="AP70">
        <f t="array" ref="AP70">SUM(IF(NOT(ISERR(FIND("+",AP5:AP67))),1,0))</f>
        <v>1</v>
      </c>
      <c r="AQ70">
        <f t="array" ref="AQ70">SUM(IF(NOT(ISERR(FIND("+",AQ5:AQ67))),1,0))</f>
        <v>1</v>
      </c>
      <c r="AR70">
        <f t="array" ref="AR70">SUM(IF(NOT(ISERR(FIND("+",AR5:AR67))),1,0))</f>
        <v>1</v>
      </c>
      <c r="AS70">
        <f t="array" ref="AS70">SUM(IF(NOT(ISERR(FIND("+",AS5:AS67))),1,0))</f>
        <v>1</v>
      </c>
      <c r="AT70">
        <f t="array" ref="AT70">SUM(IF(NOT(ISERR(FIND("+",AT5:AT67))),1,0))</f>
        <v>1</v>
      </c>
      <c r="AU70">
        <f t="array" ref="AU70">SUM(IF(NOT(ISERR(FIND("+",AU5:AU67))),1,0))</f>
        <v>1</v>
      </c>
      <c r="AV70">
        <f t="array" ref="AV70">SUM(IF(NOT(ISERR(FIND("+",AV5:AV67))),1,0))</f>
        <v>0</v>
      </c>
      <c r="AW70">
        <f t="array" ref="AW70">SUM(IF(NOT(ISERR(FIND("+",AW5:AW67))),1,0))</f>
        <v>1</v>
      </c>
      <c r="AX70">
        <f t="array" ref="AX70">SUM(IF(NOT(ISERR(FIND("+",AX5:AX67))),1,0))</f>
        <v>1</v>
      </c>
      <c r="AY70">
        <f t="array" ref="AY70">SUM(IF(NOT(ISERR(FIND("+",AY5:AY67))),1,0))</f>
        <v>1</v>
      </c>
      <c r="AZ70">
        <f t="array" ref="AZ70">SUM(IF(NOT(ISERR(FIND("+",AZ5:AZ67))),1,0))</f>
        <v>1</v>
      </c>
      <c r="BA70">
        <f t="array" ref="BA70">SUM(IF(NOT(ISERR(FIND("+",BA5:BA67))),1,0))</f>
        <v>1</v>
      </c>
      <c r="BB70">
        <f t="array" ref="BB70">SUM(IF(NOT(ISERR(FIND("+",BB5:BB67))),1,0))</f>
        <v>1</v>
      </c>
      <c r="BC70">
        <f t="array" ref="BC70">SUM(IF(NOT(ISERR(FIND("+",BC5:BC67))),1,0))</f>
        <v>1</v>
      </c>
      <c r="BD70">
        <f t="array" ref="BD70">SUM(IF(NOT(ISERR(FIND("+",BD5:BD67))),1,0))</f>
        <v>2</v>
      </c>
      <c r="BE70">
        <f t="array" ref="BE70">SUM(IF(NOT(ISERR(FIND("+",BE5:BE67))),1,0))</f>
        <v>2</v>
      </c>
      <c r="BF70">
        <f t="array" ref="BF70">SUM(IF(NOT(ISERR(FIND("+",BF5:BF67))),1,0))</f>
        <v>0</v>
      </c>
      <c r="BG70">
        <f t="array" ref="BG70">SUM(IF(NOT(ISERR(FIND("+",BG5:BG67))),1,0))</f>
        <v>0</v>
      </c>
      <c r="CO70">
        <f>SUM(D70:BG70)</f>
        <v>48</v>
      </c>
    </row>
    <row r="72" spans="2:106" x14ac:dyDescent="0.15">
      <c r="C72" t="s">
        <v>1023</v>
      </c>
      <c r="D72">
        <f>BatSplit(D5:D67,RunsScored)</f>
        <v>45</v>
      </c>
      <c r="E72">
        <f t="shared" ref="E72:BG72" si="76">BatSplit(E5:E67,RunsScored)</f>
        <v>157</v>
      </c>
      <c r="F72">
        <f t="shared" si="76"/>
        <v>101</v>
      </c>
      <c r="G72">
        <f t="shared" si="76"/>
        <v>112</v>
      </c>
      <c r="H72">
        <f t="shared" si="76"/>
        <v>87</v>
      </c>
      <c r="I72">
        <f t="shared" si="76"/>
        <v>101</v>
      </c>
      <c r="J72">
        <f t="shared" si="76"/>
        <v>0</v>
      </c>
      <c r="K72">
        <f t="shared" si="76"/>
        <v>97</v>
      </c>
      <c r="L72">
        <f t="shared" si="76"/>
        <v>163</v>
      </c>
      <c r="M72">
        <f t="shared" si="76"/>
        <v>117</v>
      </c>
      <c r="N72">
        <f t="shared" si="76"/>
        <v>91</v>
      </c>
      <c r="O72">
        <f t="shared" si="76"/>
        <v>123</v>
      </c>
      <c r="P72">
        <f t="shared" si="76"/>
        <v>56</v>
      </c>
      <c r="Q72">
        <f t="shared" si="76"/>
        <v>169</v>
      </c>
      <c r="R72">
        <f t="shared" si="76"/>
        <v>98</v>
      </c>
      <c r="S72">
        <f t="shared" si="76"/>
        <v>159</v>
      </c>
      <c r="T72">
        <f t="shared" si="76"/>
        <v>108</v>
      </c>
      <c r="U72">
        <f t="shared" si="76"/>
        <v>199</v>
      </c>
      <c r="V72">
        <f t="shared" si="76"/>
        <v>106</v>
      </c>
      <c r="W72">
        <f t="shared" si="76"/>
        <v>159</v>
      </c>
      <c r="X72">
        <f t="shared" si="76"/>
        <v>195</v>
      </c>
      <c r="Y72">
        <f t="shared" si="76"/>
        <v>0</v>
      </c>
      <c r="Z72">
        <f t="shared" si="76"/>
        <v>120</v>
      </c>
      <c r="AA72">
        <f t="shared" si="76"/>
        <v>89</v>
      </c>
      <c r="AB72">
        <f t="shared" si="76"/>
        <v>0</v>
      </c>
      <c r="AC72">
        <f t="shared" si="76"/>
        <v>133</v>
      </c>
      <c r="AD72">
        <f t="shared" si="76"/>
        <v>0</v>
      </c>
      <c r="AE72">
        <f t="shared" si="76"/>
        <v>0</v>
      </c>
      <c r="AF72">
        <f t="shared" si="76"/>
        <v>0</v>
      </c>
      <c r="AG72">
        <f t="shared" si="76"/>
        <v>148</v>
      </c>
      <c r="AH72">
        <f t="shared" si="76"/>
        <v>145</v>
      </c>
      <c r="AI72">
        <f t="shared" si="76"/>
        <v>0</v>
      </c>
      <c r="AJ72">
        <f t="shared" si="76"/>
        <v>111</v>
      </c>
      <c r="AK72">
        <f t="shared" si="76"/>
        <v>166</v>
      </c>
      <c r="AL72">
        <f t="shared" si="76"/>
        <v>0</v>
      </c>
      <c r="AM72">
        <f t="shared" si="76"/>
        <v>104</v>
      </c>
      <c r="AN72">
        <f t="shared" si="76"/>
        <v>203</v>
      </c>
      <c r="AO72">
        <f t="shared" si="76"/>
        <v>111</v>
      </c>
      <c r="AP72">
        <f t="shared" si="76"/>
        <v>116</v>
      </c>
      <c r="AQ72">
        <f t="shared" si="76"/>
        <v>101</v>
      </c>
      <c r="AR72">
        <f t="shared" si="76"/>
        <v>135</v>
      </c>
      <c r="AS72">
        <f t="shared" si="76"/>
        <v>206</v>
      </c>
      <c r="AT72">
        <f t="shared" si="76"/>
        <v>181</v>
      </c>
      <c r="AU72">
        <f t="shared" si="76"/>
        <v>176</v>
      </c>
      <c r="AV72">
        <f t="shared" si="76"/>
        <v>0</v>
      </c>
      <c r="AW72">
        <f t="shared" si="76"/>
        <v>135</v>
      </c>
      <c r="AX72">
        <f t="shared" si="76"/>
        <v>89</v>
      </c>
      <c r="AY72">
        <f t="shared" si="76"/>
        <v>166</v>
      </c>
      <c r="AZ72">
        <f t="shared" si="76"/>
        <v>133</v>
      </c>
      <c r="BA72">
        <f t="shared" si="76"/>
        <v>133</v>
      </c>
      <c r="BB72">
        <f t="shared" si="76"/>
        <v>93</v>
      </c>
      <c r="BC72">
        <f t="shared" si="76"/>
        <v>166</v>
      </c>
      <c r="BD72">
        <f t="shared" si="76"/>
        <v>157</v>
      </c>
      <c r="BE72">
        <f t="shared" si="76"/>
        <v>74</v>
      </c>
      <c r="BF72">
        <f t="shared" si="76"/>
        <v>0</v>
      </c>
      <c r="BG72">
        <f t="shared" si="76"/>
        <v>0</v>
      </c>
      <c r="CG72">
        <f>SUM(CG5:CG67)</f>
        <v>397</v>
      </c>
      <c r="CH72">
        <f>SUM(CH5:CH67)</f>
        <v>78</v>
      </c>
      <c r="CI72">
        <f>SUM(CI5:CI67)</f>
        <v>430</v>
      </c>
      <c r="CK72">
        <f>SUM(CK5:CK67)</f>
        <v>5834</v>
      </c>
      <c r="CO72">
        <f>SUM(D72:BG72)</f>
        <v>5834</v>
      </c>
    </row>
    <row r="73" spans="2:106" x14ac:dyDescent="0.15">
      <c r="C73" t="s">
        <v>1022</v>
      </c>
      <c r="D73">
        <f t="array" ref="D73:BG73">TRANSPOSE(Matches!X5:X58)</f>
        <v>5</v>
      </c>
      <c r="E73">
        <v>21</v>
      </c>
      <c r="F73">
        <v>14</v>
      </c>
      <c r="G73">
        <v>13</v>
      </c>
      <c r="H73">
        <v>17</v>
      </c>
      <c r="I73">
        <v>10</v>
      </c>
      <c r="J73">
        <v>0</v>
      </c>
      <c r="K73">
        <v>19</v>
      </c>
      <c r="L73">
        <v>15</v>
      </c>
      <c r="M73">
        <v>15</v>
      </c>
      <c r="N73">
        <v>22</v>
      </c>
      <c r="O73">
        <v>17</v>
      </c>
      <c r="P73">
        <v>5</v>
      </c>
      <c r="Q73">
        <v>46</v>
      </c>
      <c r="R73">
        <v>14</v>
      </c>
      <c r="S73">
        <v>15</v>
      </c>
      <c r="T73">
        <v>26</v>
      </c>
      <c r="U73">
        <v>25</v>
      </c>
      <c r="V73">
        <v>19</v>
      </c>
      <c r="W73">
        <v>10</v>
      </c>
      <c r="X73">
        <v>13</v>
      </c>
      <c r="Y73">
        <v>0</v>
      </c>
      <c r="Z73">
        <v>13</v>
      </c>
      <c r="AA73">
        <v>13</v>
      </c>
      <c r="AB73">
        <v>0</v>
      </c>
      <c r="AC73">
        <v>22</v>
      </c>
      <c r="AD73">
        <v>0</v>
      </c>
      <c r="AE73">
        <v>0</v>
      </c>
      <c r="AF73">
        <v>0</v>
      </c>
      <c r="AG73">
        <v>31</v>
      </c>
      <c r="AH73">
        <v>13</v>
      </c>
      <c r="AI73">
        <v>0</v>
      </c>
      <c r="AJ73">
        <v>38</v>
      </c>
      <c r="AK73">
        <v>11</v>
      </c>
      <c r="AL73">
        <v>0</v>
      </c>
      <c r="AM73">
        <v>14</v>
      </c>
      <c r="AN73">
        <v>15</v>
      </c>
      <c r="AO73">
        <v>12</v>
      </c>
      <c r="AP73">
        <v>26</v>
      </c>
      <c r="AQ73">
        <v>15</v>
      </c>
      <c r="AR73">
        <v>39</v>
      </c>
      <c r="AS73">
        <v>15</v>
      </c>
      <c r="AT73">
        <v>30</v>
      </c>
      <c r="AU73">
        <v>16</v>
      </c>
      <c r="AV73">
        <v>0</v>
      </c>
      <c r="AW73">
        <v>23</v>
      </c>
      <c r="AX73">
        <v>12</v>
      </c>
      <c r="AY73">
        <v>14</v>
      </c>
      <c r="AZ73">
        <v>6</v>
      </c>
      <c r="BA73">
        <v>13</v>
      </c>
      <c r="BB73">
        <v>16</v>
      </c>
      <c r="BC73">
        <v>48</v>
      </c>
      <c r="BD73">
        <v>16</v>
      </c>
      <c r="BE73">
        <v>27</v>
      </c>
      <c r="BF73" t="e">
        <v>#N/A</v>
      </c>
      <c r="BG73" t="e">
        <v>#N/A</v>
      </c>
      <c r="CO73" t="e">
        <f>SUM(D73:BG73)</f>
        <v>#N/A</v>
      </c>
    </row>
    <row r="74" spans="2:106" s="86" customFormat="1" x14ac:dyDescent="0.15">
      <c r="C74" s="86" t="s">
        <v>1024</v>
      </c>
      <c r="D74" s="86">
        <f>D73+D72</f>
        <v>50</v>
      </c>
      <c r="E74" s="86">
        <f t="shared" ref="E74:BG74" si="77">E73+E72</f>
        <v>178</v>
      </c>
      <c r="F74" s="86">
        <f t="shared" si="77"/>
        <v>115</v>
      </c>
      <c r="G74" s="86">
        <f t="shared" si="77"/>
        <v>125</v>
      </c>
      <c r="H74" s="86">
        <f t="shared" si="77"/>
        <v>104</v>
      </c>
      <c r="I74" s="86">
        <f t="shared" si="77"/>
        <v>111</v>
      </c>
      <c r="J74" s="86">
        <f t="shared" si="77"/>
        <v>0</v>
      </c>
      <c r="K74" s="86">
        <f t="shared" si="77"/>
        <v>116</v>
      </c>
      <c r="L74" s="86">
        <f t="shared" si="77"/>
        <v>178</v>
      </c>
      <c r="M74" s="86">
        <f t="shared" si="77"/>
        <v>132</v>
      </c>
      <c r="N74" s="86">
        <f t="shared" si="77"/>
        <v>113</v>
      </c>
      <c r="O74" s="86">
        <f t="shared" si="77"/>
        <v>140</v>
      </c>
      <c r="P74" s="86">
        <f t="shared" si="77"/>
        <v>61</v>
      </c>
      <c r="Q74" s="86">
        <f t="shared" si="77"/>
        <v>215</v>
      </c>
      <c r="R74" s="86">
        <f t="shared" si="77"/>
        <v>112</v>
      </c>
      <c r="S74" s="86">
        <f t="shared" si="77"/>
        <v>174</v>
      </c>
      <c r="T74" s="86">
        <f t="shared" si="77"/>
        <v>134</v>
      </c>
      <c r="U74" s="86">
        <f t="shared" si="77"/>
        <v>224</v>
      </c>
      <c r="V74" s="86">
        <f t="shared" si="77"/>
        <v>125</v>
      </c>
      <c r="W74" s="86">
        <f t="shared" si="77"/>
        <v>169</v>
      </c>
      <c r="X74" s="86">
        <f t="shared" si="77"/>
        <v>208</v>
      </c>
      <c r="Y74" s="86">
        <f t="shared" si="77"/>
        <v>0</v>
      </c>
      <c r="Z74" s="86">
        <f t="shared" si="77"/>
        <v>133</v>
      </c>
      <c r="AA74" s="86">
        <f t="shared" si="77"/>
        <v>102</v>
      </c>
      <c r="AB74" s="86">
        <f t="shared" si="77"/>
        <v>0</v>
      </c>
      <c r="AC74" s="86">
        <f t="shared" si="77"/>
        <v>155</v>
      </c>
      <c r="AD74" s="86">
        <f t="shared" si="77"/>
        <v>0</v>
      </c>
      <c r="AE74" s="86">
        <f t="shared" si="77"/>
        <v>0</v>
      </c>
      <c r="AF74" s="86">
        <f t="shared" si="77"/>
        <v>0</v>
      </c>
      <c r="AG74" s="86">
        <f t="shared" si="77"/>
        <v>179</v>
      </c>
      <c r="AH74" s="86">
        <f t="shared" si="77"/>
        <v>158</v>
      </c>
      <c r="AI74" s="86">
        <f t="shared" si="77"/>
        <v>0</v>
      </c>
      <c r="AJ74" s="86">
        <f t="shared" si="77"/>
        <v>149</v>
      </c>
      <c r="AK74" s="86">
        <f t="shared" si="77"/>
        <v>177</v>
      </c>
      <c r="AL74" s="86">
        <f t="shared" si="77"/>
        <v>0</v>
      </c>
      <c r="AM74" s="86">
        <f t="shared" si="77"/>
        <v>118</v>
      </c>
      <c r="AN74" s="86">
        <f t="shared" si="77"/>
        <v>218</v>
      </c>
      <c r="AO74" s="86">
        <f t="shared" si="77"/>
        <v>123</v>
      </c>
      <c r="AP74" s="86">
        <f t="shared" si="77"/>
        <v>142</v>
      </c>
      <c r="AQ74" s="86">
        <f t="shared" si="77"/>
        <v>116</v>
      </c>
      <c r="AR74" s="86">
        <f t="shared" si="77"/>
        <v>174</v>
      </c>
      <c r="AS74" s="86">
        <f t="shared" si="77"/>
        <v>221</v>
      </c>
      <c r="AT74" s="86">
        <f t="shared" si="77"/>
        <v>211</v>
      </c>
      <c r="AU74" s="86">
        <f t="shared" si="77"/>
        <v>192</v>
      </c>
      <c r="AV74" s="86">
        <f t="shared" si="77"/>
        <v>0</v>
      </c>
      <c r="AW74" s="86">
        <f t="shared" si="77"/>
        <v>158</v>
      </c>
      <c r="AX74" s="86">
        <f t="shared" si="77"/>
        <v>101</v>
      </c>
      <c r="AY74" s="86">
        <f t="shared" si="77"/>
        <v>180</v>
      </c>
      <c r="AZ74" s="86">
        <f t="shared" si="77"/>
        <v>139</v>
      </c>
      <c r="BA74" s="86">
        <f t="shared" si="77"/>
        <v>146</v>
      </c>
      <c r="BB74" s="86">
        <f t="shared" si="77"/>
        <v>109</v>
      </c>
      <c r="BC74" s="86">
        <f t="shared" si="77"/>
        <v>214</v>
      </c>
      <c r="BD74" s="86">
        <f t="shared" si="77"/>
        <v>173</v>
      </c>
      <c r="BE74" s="86">
        <f t="shared" si="77"/>
        <v>101</v>
      </c>
      <c r="BF74" s="86" t="e">
        <f t="shared" si="77"/>
        <v>#N/A</v>
      </c>
      <c r="BG74" s="86" t="e">
        <f t="shared" si="77"/>
        <v>#N/A</v>
      </c>
      <c r="CL74" s="73"/>
      <c r="CO74" s="86" t="e">
        <f>SUM(D74:BG74)</f>
        <v>#N/A</v>
      </c>
    </row>
    <row r="75" spans="2:106" x14ac:dyDescent="0.15">
      <c r="D75" s="3"/>
    </row>
    <row r="76" spans="2:106" x14ac:dyDescent="0.15">
      <c r="C76" t="s">
        <v>1090</v>
      </c>
      <c r="D76" s="3" t="str">
        <f ca="1">OFFSET($C$4,findcellcontaining("*",D5:D67),0)</f>
        <v>Shewan</v>
      </c>
      <c r="E76" s="3" t="str">
        <f t="shared" ref="E76:BP76" ca="1" si="78">OFFSET($C$4,findcellcontaining("*",E5:E67),0)</f>
        <v>Woodhouse</v>
      </c>
      <c r="F76" s="3" t="str">
        <f t="shared" ca="1" si="78"/>
        <v>Shewan</v>
      </c>
      <c r="G76" s="3" t="str">
        <f t="shared" ca="1" si="78"/>
        <v>Shewan</v>
      </c>
      <c r="H76" s="3" t="str">
        <f t="shared" ca="1" si="78"/>
        <v>Woodhouse</v>
      </c>
      <c r="I76" s="3" t="str">
        <f t="shared" ca="1" si="78"/>
        <v>Shewan</v>
      </c>
      <c r="J76" s="3" t="e">
        <f t="shared" ca="1" si="78"/>
        <v>#N/A</v>
      </c>
      <c r="K76" s="3" t="str">
        <f t="shared" ca="1" si="78"/>
        <v>Woodhouse</v>
      </c>
      <c r="L76" s="3" t="str">
        <f t="shared" ca="1" si="78"/>
        <v>Shewan</v>
      </c>
      <c r="M76" s="3" t="str">
        <f t="shared" ca="1" si="78"/>
        <v>Morris D</v>
      </c>
      <c r="N76" s="3" t="str">
        <f t="shared" ca="1" si="78"/>
        <v>Woodhouse</v>
      </c>
      <c r="O76" s="3" t="str">
        <f t="shared" ca="1" si="78"/>
        <v>Brocks</v>
      </c>
      <c r="P76" s="3" t="str">
        <f t="shared" ca="1" si="78"/>
        <v>Worthington</v>
      </c>
      <c r="Q76" s="3" t="str">
        <f t="shared" ca="1" si="78"/>
        <v>Shewan</v>
      </c>
      <c r="R76" s="3" t="str">
        <f t="shared" ca="1" si="78"/>
        <v>Woodhouse</v>
      </c>
      <c r="S76" s="3" t="str">
        <f t="shared" ca="1" si="78"/>
        <v>Shewan</v>
      </c>
      <c r="T76" s="3" t="str">
        <f t="shared" ca="1" si="78"/>
        <v>Morris D</v>
      </c>
      <c r="U76" s="3" t="str">
        <f t="shared" ca="1" si="78"/>
        <v>Woodhouse</v>
      </c>
      <c r="V76" s="3" t="str">
        <f t="shared" ca="1" si="78"/>
        <v>Brocks</v>
      </c>
      <c r="W76" s="3" t="str">
        <f t="shared" ca="1" si="78"/>
        <v>Morris D</v>
      </c>
      <c r="X76" s="3" t="str">
        <f t="shared" ca="1" si="78"/>
        <v>Woodhouse</v>
      </c>
      <c r="Y76" s="3" t="e">
        <f t="shared" ca="1" si="78"/>
        <v>#N/A</v>
      </c>
      <c r="Z76" s="3" t="str">
        <f t="shared" ca="1" si="78"/>
        <v>Morris D</v>
      </c>
      <c r="AA76" s="3" t="str">
        <f t="shared" ca="1" si="78"/>
        <v>Woodhouse</v>
      </c>
      <c r="AB76" s="3" t="e">
        <f t="shared" ca="1" si="78"/>
        <v>#N/A</v>
      </c>
      <c r="AC76" s="3" t="str">
        <f t="shared" ca="1" si="78"/>
        <v>Morris D</v>
      </c>
      <c r="AD76" s="3" t="e">
        <f t="shared" ca="1" si="78"/>
        <v>#N/A</v>
      </c>
      <c r="AE76" s="3" t="e">
        <f t="shared" ca="1" si="78"/>
        <v>#N/A</v>
      </c>
      <c r="AF76" s="3" t="e">
        <f t="shared" ca="1" si="78"/>
        <v>#N/A</v>
      </c>
      <c r="AG76" s="3" t="str">
        <f t="shared" ca="1" si="78"/>
        <v>Woodhouse</v>
      </c>
      <c r="AH76" s="3" t="str">
        <f t="shared" ca="1" si="78"/>
        <v>Shewan</v>
      </c>
      <c r="AI76" s="3" t="e">
        <f t="shared" ca="1" si="78"/>
        <v>#N/A</v>
      </c>
      <c r="AJ76" s="3" t="str">
        <f t="shared" ca="1" si="78"/>
        <v>Shewan</v>
      </c>
      <c r="AK76" s="3" t="str">
        <f t="shared" ca="1" si="78"/>
        <v>Shewan</v>
      </c>
      <c r="AL76" s="3" t="e">
        <f t="shared" ca="1" si="78"/>
        <v>#N/A</v>
      </c>
      <c r="AM76" s="3" t="str">
        <f t="shared" ca="1" si="78"/>
        <v>Shewan</v>
      </c>
      <c r="AN76" s="3" t="str">
        <f t="shared" ca="1" si="78"/>
        <v>Woodhouse</v>
      </c>
      <c r="AO76" s="3" t="str">
        <f t="shared" ca="1" si="78"/>
        <v>Shewan</v>
      </c>
      <c r="AP76" s="3" t="str">
        <f t="shared" ca="1" si="78"/>
        <v>Woodhouse</v>
      </c>
      <c r="AQ76" s="3" t="str">
        <f t="shared" ca="1" si="78"/>
        <v>Brocks</v>
      </c>
      <c r="AR76" s="3" t="str">
        <f t="shared" ca="1" si="78"/>
        <v>Woodhouse</v>
      </c>
      <c r="AS76" s="3" t="str">
        <f t="shared" ca="1" si="78"/>
        <v>Shewan</v>
      </c>
      <c r="AT76" s="3" t="str">
        <f t="shared" ca="1" si="78"/>
        <v>Woodhouse</v>
      </c>
      <c r="AU76" s="3" t="str">
        <f t="shared" ca="1" si="78"/>
        <v>Shewan</v>
      </c>
      <c r="AV76" s="3" t="e">
        <f t="shared" ca="1" si="78"/>
        <v>#N/A</v>
      </c>
      <c r="AW76" s="3" t="str">
        <f t="shared" ca="1" si="78"/>
        <v>Shewan</v>
      </c>
      <c r="AX76" s="3" t="str">
        <f t="shared" ca="1" si="78"/>
        <v>Woodhouse</v>
      </c>
      <c r="AY76" s="3" t="str">
        <f t="shared" ca="1" si="78"/>
        <v>Shewan</v>
      </c>
      <c r="AZ76" s="3" t="str">
        <f t="shared" ca="1" si="78"/>
        <v>Elliston</v>
      </c>
      <c r="BA76" s="3" t="str">
        <f t="shared" ca="1" si="78"/>
        <v>Woodhouse</v>
      </c>
      <c r="BB76" s="3" t="str">
        <f t="shared" ca="1" si="78"/>
        <v>Shewan</v>
      </c>
      <c r="BC76" s="3" t="str">
        <f t="shared" ca="1" si="78"/>
        <v>Morris D</v>
      </c>
      <c r="BD76" s="3" t="str">
        <f t="shared" ca="1" si="78"/>
        <v>Woodhouse</v>
      </c>
      <c r="BE76" s="3" t="str">
        <f t="shared" ca="1" si="78"/>
        <v>Shewan</v>
      </c>
      <c r="BF76" s="3" t="e">
        <f t="shared" ca="1" si="78"/>
        <v>#N/A</v>
      </c>
      <c r="BG76" s="3" t="e">
        <f t="shared" ca="1" si="78"/>
        <v>#N/A</v>
      </c>
      <c r="BH76" s="3" t="e">
        <f t="shared" ca="1" si="78"/>
        <v>#N/A</v>
      </c>
      <c r="BI76" s="3" t="e">
        <f t="shared" ca="1" si="78"/>
        <v>#N/A</v>
      </c>
      <c r="BJ76" s="3" t="e">
        <f t="shared" ca="1" si="78"/>
        <v>#N/A</v>
      </c>
      <c r="BK76" s="3" t="e">
        <f t="shared" ca="1" si="78"/>
        <v>#N/A</v>
      </c>
      <c r="BL76" s="3" t="e">
        <f t="shared" ca="1" si="78"/>
        <v>#N/A</v>
      </c>
      <c r="BM76" s="3" t="e">
        <f t="shared" ca="1" si="78"/>
        <v>#N/A</v>
      </c>
      <c r="BN76" s="3" t="e">
        <f t="shared" ca="1" si="78"/>
        <v>#N/A</v>
      </c>
      <c r="BO76" s="3" t="e">
        <f t="shared" ca="1" si="78"/>
        <v>#N/A</v>
      </c>
      <c r="BP76" s="3" t="e">
        <f t="shared" ca="1" si="78"/>
        <v>#N/A</v>
      </c>
      <c r="BQ76" s="3" t="e">
        <f t="shared" ref="BQ76:CD76" ca="1" si="79">OFFSET($C$4,findcellcontaining("*",BQ5:BQ67),0)</f>
        <v>#N/A</v>
      </c>
      <c r="BR76" s="3" t="e">
        <f t="shared" ca="1" si="79"/>
        <v>#N/A</v>
      </c>
      <c r="BS76" s="3" t="e">
        <f t="shared" ca="1" si="79"/>
        <v>#N/A</v>
      </c>
      <c r="BT76" s="3" t="e">
        <f t="shared" ca="1" si="79"/>
        <v>#N/A</v>
      </c>
      <c r="BU76" s="3" t="e">
        <f t="shared" ca="1" si="79"/>
        <v>#N/A</v>
      </c>
      <c r="BV76" s="3" t="e">
        <f t="shared" ca="1" si="79"/>
        <v>#N/A</v>
      </c>
      <c r="BW76" s="3" t="e">
        <f t="shared" ca="1" si="79"/>
        <v>#N/A</v>
      </c>
      <c r="BX76" s="3" t="e">
        <f t="shared" ca="1" si="79"/>
        <v>#N/A</v>
      </c>
      <c r="BY76" s="3" t="e">
        <f t="shared" ca="1" si="79"/>
        <v>#N/A</v>
      </c>
      <c r="BZ76" s="3" t="e">
        <f t="shared" ca="1" si="79"/>
        <v>#N/A</v>
      </c>
      <c r="CA76" s="3" t="e">
        <f t="shared" ca="1" si="79"/>
        <v>#N/A</v>
      </c>
      <c r="CB76" s="3" t="e">
        <f t="shared" ca="1" si="79"/>
        <v>#N/A</v>
      </c>
      <c r="CC76" s="3" t="e">
        <f t="shared" ca="1" si="79"/>
        <v>#N/A</v>
      </c>
      <c r="CD76" s="3" t="e">
        <f t="shared" ca="1" si="79"/>
        <v>#N/A</v>
      </c>
    </row>
    <row r="77" spans="2:106" x14ac:dyDescent="0.15">
      <c r="CO77" s="87" t="e">
        <f>CO74/(CG72-CH72)</f>
        <v>#N/A</v>
      </c>
    </row>
    <row r="81" spans="4:4" x14ac:dyDescent="0.15">
      <c r="D81">
        <f>MAX(D83:BG134)</f>
        <v>0</v>
      </c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Q60"/>
  <sheetViews>
    <sheetView tabSelected="1" workbookViewId="0">
      <pane xSplit="2" ySplit="4" topLeftCell="W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BC6" sqref="BC6"/>
    </sheetView>
  </sheetViews>
  <sheetFormatPr defaultRowHeight="10.5" x14ac:dyDescent="0.15"/>
  <cols>
    <col min="1" max="1" width="7" style="3" customWidth="1"/>
    <col min="2" max="2" width="11" style="3" customWidth="1"/>
    <col min="3" max="3" width="12.140625" style="3" bestFit="1" customWidth="1"/>
    <col min="4" max="4" width="12.5703125" style="3" bestFit="1" customWidth="1"/>
    <col min="5" max="5" width="11.5703125" style="3" bestFit="1" customWidth="1"/>
    <col min="6" max="6" width="12.5703125" style="3" bestFit="1" customWidth="1"/>
    <col min="7" max="7" width="11.5703125" style="3" bestFit="1" customWidth="1"/>
    <col min="8" max="8" width="14.140625" style="3" bestFit="1" customWidth="1"/>
    <col min="9" max="9" width="2.85546875" style="3" bestFit="1" customWidth="1"/>
    <col min="10" max="10" width="11.5703125" style="3" bestFit="1" customWidth="1"/>
    <col min="11" max="12" width="12.5703125" style="3" bestFit="1" customWidth="1"/>
    <col min="13" max="13" width="11.5703125" style="3" bestFit="1" customWidth="1"/>
    <col min="14" max="16" width="12.5703125" style="3" bestFit="1" customWidth="1"/>
    <col min="17" max="17" width="13.140625" style="3" bestFit="1" customWidth="1"/>
    <col min="18" max="18" width="15.85546875" style="3" customWidth="1"/>
    <col min="19" max="19" width="11.85546875" style="3" bestFit="1" customWidth="1"/>
    <col min="20" max="20" width="12.5703125" style="3" bestFit="1" customWidth="1"/>
    <col min="21" max="21" width="15.42578125" style="3" customWidth="1"/>
    <col min="22" max="22" width="11.5703125" style="3" bestFit="1" customWidth="1"/>
    <col min="23" max="23" width="13.140625" style="3" bestFit="1" customWidth="1"/>
    <col min="24" max="24" width="3.28515625" style="3" customWidth="1"/>
    <col min="25" max="26" width="12.5703125" style="3" bestFit="1" customWidth="1"/>
    <col min="27" max="27" width="3.28515625" style="3" customWidth="1"/>
    <col min="28" max="28" width="12.5703125" style="3" bestFit="1" customWidth="1"/>
    <col min="29" max="31" width="3.28515625" style="3" customWidth="1"/>
    <col min="32" max="33" width="11.5703125" style="3" bestFit="1" customWidth="1"/>
    <col min="34" max="34" width="3.28515625" style="3" customWidth="1"/>
    <col min="35" max="36" width="11.5703125" style="3" bestFit="1" customWidth="1"/>
    <col min="37" max="37" width="2.85546875" style="3" bestFit="1" customWidth="1"/>
    <col min="38" max="38" width="10.7109375" style="3" bestFit="1" customWidth="1"/>
    <col min="39" max="39" width="13.140625" style="3" bestFit="1" customWidth="1"/>
    <col min="40" max="41" width="12.5703125" style="3" bestFit="1" customWidth="1"/>
    <col min="42" max="42" width="11.5703125" style="3" bestFit="1" customWidth="1"/>
    <col min="43" max="45" width="12.5703125" style="3" bestFit="1" customWidth="1"/>
    <col min="46" max="46" width="11.5703125" style="3" bestFit="1" customWidth="1"/>
    <col min="47" max="47" width="3.28515625" style="3" customWidth="1"/>
    <col min="48" max="48" width="11.5703125" style="3" bestFit="1" customWidth="1"/>
    <col min="49" max="49" width="12.140625" style="3" customWidth="1"/>
    <col min="50" max="50" width="11.5703125" style="3" bestFit="1" customWidth="1"/>
    <col min="51" max="51" width="12.5703125" style="3" bestFit="1" customWidth="1"/>
    <col min="52" max="52" width="13.5703125" style="3" customWidth="1"/>
    <col min="53" max="53" width="9.140625" style="3"/>
    <col min="54" max="54" width="9.140625" style="3" bestFit="1"/>
    <col min="55" max="56" width="11.5703125" style="3" bestFit="1" customWidth="1"/>
    <col min="57" max="58" width="3.28515625" style="3" customWidth="1"/>
    <col min="59" max="81" width="3.28515625" style="3" hidden="1" customWidth="1"/>
    <col min="82" max="82" width="9.140625" style="3"/>
    <col min="83" max="83" width="7" style="79" bestFit="1" customWidth="1"/>
    <col min="84" max="84" width="5" style="79" bestFit="1" customWidth="1"/>
    <col min="85" max="85" width="5.85546875" style="79" bestFit="1" customWidth="1"/>
    <col min="86" max="86" width="7" style="79" bestFit="1" customWidth="1"/>
    <col min="87" max="88" width="5" style="79" bestFit="1" customWidth="1"/>
    <col min="89" max="89" width="6.140625" style="80" bestFit="1" customWidth="1"/>
    <col min="90" max="91" width="5.5703125" style="79" bestFit="1" customWidth="1"/>
    <col min="92" max="92" width="4.7109375" style="63" bestFit="1" customWidth="1"/>
    <col min="93" max="93" width="7.85546875" style="79" bestFit="1" customWidth="1"/>
    <col min="94" max="94" width="5.85546875" style="79" bestFit="1" customWidth="1"/>
    <col min="95" max="95" width="7.5703125" style="79" bestFit="1" customWidth="1"/>
    <col min="96" max="16384" width="9.140625" style="3"/>
  </cols>
  <sheetData>
    <row r="1" spans="1:95" s="4" customFormat="1" ht="51" x14ac:dyDescent="0.15">
      <c r="B1" s="4" t="str">
        <f t="array" ref="B1:CC4">TRANSPOSE(Matches!B4:E81)</f>
        <v>Date</v>
      </c>
      <c r="C1" s="5">
        <v>35547</v>
      </c>
      <c r="D1" s="5">
        <v>35553</v>
      </c>
      <c r="E1" s="5">
        <v>35554</v>
      </c>
      <c r="F1" s="5">
        <v>35555</v>
      </c>
      <c r="G1" s="5">
        <v>35560</v>
      </c>
      <c r="H1" s="5">
        <v>35561</v>
      </c>
      <c r="I1" s="5">
        <v>35561</v>
      </c>
      <c r="J1" s="5">
        <v>35567</v>
      </c>
      <c r="K1" s="5">
        <v>35568</v>
      </c>
      <c r="L1" s="5">
        <v>35568</v>
      </c>
      <c r="M1" s="5">
        <v>35574</v>
      </c>
      <c r="N1" s="5">
        <v>35575</v>
      </c>
      <c r="O1" s="5">
        <v>35576</v>
      </c>
      <c r="P1" s="5">
        <v>35577</v>
      </c>
      <c r="Q1" s="5">
        <v>35581</v>
      </c>
      <c r="R1" s="5">
        <v>35582</v>
      </c>
      <c r="S1" s="5">
        <v>35582</v>
      </c>
      <c r="T1" s="5">
        <v>35588</v>
      </c>
      <c r="U1" s="5">
        <v>35589</v>
      </c>
      <c r="V1" s="5">
        <v>35589</v>
      </c>
      <c r="W1" s="5">
        <v>35595</v>
      </c>
      <c r="X1" s="5">
        <v>35596</v>
      </c>
      <c r="Y1" s="5">
        <v>35596</v>
      </c>
      <c r="Z1" s="5">
        <v>35602</v>
      </c>
      <c r="AA1" s="5">
        <v>35603</v>
      </c>
      <c r="AB1" s="5">
        <v>35603</v>
      </c>
      <c r="AC1" s="5">
        <v>35609</v>
      </c>
      <c r="AD1" s="5">
        <v>35610</v>
      </c>
      <c r="AE1" s="5">
        <v>35610</v>
      </c>
      <c r="AF1" s="5">
        <v>35616</v>
      </c>
      <c r="AG1" s="5">
        <v>35617</v>
      </c>
      <c r="AH1" s="5">
        <v>35624</v>
      </c>
      <c r="AI1" s="5">
        <v>35630</v>
      </c>
      <c r="AJ1" s="5">
        <v>35631</v>
      </c>
      <c r="AK1" s="5">
        <v>35637</v>
      </c>
      <c r="AL1" s="5">
        <v>35638</v>
      </c>
      <c r="AM1" s="5">
        <v>35644</v>
      </c>
      <c r="AN1" s="5">
        <v>35645</v>
      </c>
      <c r="AO1" s="5">
        <v>35651</v>
      </c>
      <c r="AP1" s="5">
        <v>35652</v>
      </c>
      <c r="AQ1" s="5">
        <v>35658</v>
      </c>
      <c r="AR1" s="5">
        <v>35659</v>
      </c>
      <c r="AS1" s="5">
        <v>35665</v>
      </c>
      <c r="AT1" s="5">
        <v>35666</v>
      </c>
      <c r="AU1" s="5">
        <v>35672</v>
      </c>
      <c r="AV1" s="5">
        <v>35673</v>
      </c>
      <c r="AW1" s="5">
        <v>35679</v>
      </c>
      <c r="AX1" s="5">
        <v>35680</v>
      </c>
      <c r="AY1" s="5">
        <v>35680</v>
      </c>
      <c r="AZ1" s="5">
        <v>35686</v>
      </c>
      <c r="BA1" s="5">
        <v>35687</v>
      </c>
      <c r="BB1" s="5">
        <v>35687</v>
      </c>
      <c r="BC1" s="5">
        <v>35693</v>
      </c>
      <c r="BD1" s="5">
        <v>35694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>
        <v>0</v>
      </c>
      <c r="CB1" s="5" t="e">
        <v>#N/A</v>
      </c>
      <c r="CC1" s="5" t="e">
        <v>#N/A</v>
      </c>
      <c r="CE1" s="76"/>
      <c r="CF1" s="76"/>
      <c r="CG1" s="76"/>
      <c r="CH1" s="76"/>
      <c r="CI1" s="76"/>
      <c r="CJ1" s="76"/>
      <c r="CK1" s="77"/>
      <c r="CL1" s="78"/>
      <c r="CM1" s="78"/>
      <c r="CN1" s="62"/>
      <c r="CO1" s="78"/>
      <c r="CP1" s="78"/>
      <c r="CQ1" s="78"/>
    </row>
    <row r="2" spans="1:95" ht="87.75" customHeight="1" x14ac:dyDescent="0.15">
      <c r="B2" s="3" t="str">
        <v>Opp</v>
      </c>
      <c r="C2" s="2" t="str">
        <v>Selsdon</v>
      </c>
      <c r="D2" s="2" t="str">
        <v>West Wickham</v>
      </c>
      <c r="E2" s="2" t="str">
        <v>Commonwealth Offices [30-over match]</v>
      </c>
      <c r="F2" s="2" t="str">
        <v>Seaford</v>
      </c>
      <c r="G2" s="2" t="str">
        <v>Park Hill [20-over match - rain]</v>
      </c>
      <c r="H2" s="2" t="str">
        <v>Falcon</v>
      </c>
      <c r="I2" s="2" t="str">
        <v>Morden 2nds</v>
      </c>
      <c r="J2" s="2" t="str">
        <v>West Wickham</v>
      </c>
      <c r="K2" s="2" t="str">
        <v>Thurlow Park RAFA</v>
      </c>
      <c r="L2" s="2" t="str">
        <v>Merton Saints</v>
      </c>
      <c r="M2" s="2" t="str">
        <v>Frensham</v>
      </c>
      <c r="N2" s="2" t="str">
        <v>Woodgreen</v>
      </c>
      <c r="O2" s="2" t="str">
        <v>Steeple Langford</v>
      </c>
      <c r="P2" s="2" t="str">
        <v>Cove</v>
      </c>
      <c r="Q2" s="2" t="str">
        <v>Deansbank</v>
      </c>
      <c r="R2" s="2" t="str">
        <v>Bromley Common II</v>
      </c>
      <c r="S2" s="2" t="str">
        <v>Surrey Gymkhana</v>
      </c>
      <c r="T2" s="2" t="str">
        <v>Merton</v>
      </c>
      <c r="U2" s="2" t="str">
        <v>Frensham</v>
      </c>
      <c r="V2" s="2" t="str">
        <v>Merton Saints</v>
      </c>
      <c r="W2" s="2" t="str">
        <v>Caterham</v>
      </c>
      <c r="X2" s="2" t="str">
        <v>Warlingham Park Hosp</v>
      </c>
      <c r="Y2" s="2" t="str">
        <v>4 C's</v>
      </c>
      <c r="Z2" s="2" t="str">
        <v>Hamsey Green</v>
      </c>
      <c r="AA2" s="2" t="str">
        <v>Carshalton</v>
      </c>
      <c r="AB2" s="2" t="str">
        <v>Addington</v>
      </c>
      <c r="AC2" s="2" t="str">
        <v>Central YMCA [No play]</v>
      </c>
      <c r="AD2" s="2" t="str">
        <v>?</v>
      </c>
      <c r="AE2" s="2" t="str">
        <v>Sunderland Supporters [no play]</v>
      </c>
      <c r="AF2" s="2" t="str">
        <v>Deansbank</v>
      </c>
      <c r="AG2" s="2" t="str">
        <v>Murray</v>
      </c>
      <c r="AH2" s="2" t="str">
        <v>DOUBLE WICKET</v>
      </c>
      <c r="AI2" s="2" t="str">
        <v>Park Hill</v>
      </c>
      <c r="AJ2" s="2" t="str">
        <v>Falcon</v>
      </c>
      <c r="AK2" s="2" t="str">
        <v>LESSA Wanderers [no play]</v>
      </c>
      <c r="AL2" s="2" t="str">
        <v>Blenden</v>
      </c>
      <c r="AM2" s="2" t="str">
        <v>Flying Wickets</v>
      </c>
      <c r="AN2" s="2" t="str">
        <v>Whyteleaf</v>
      </c>
      <c r="AO2" s="2" t="str">
        <v>Sutton</v>
      </c>
      <c r="AP2" s="2" t="str">
        <v>Addington</v>
      </c>
      <c r="AQ2" s="2" t="str">
        <v>Riverside</v>
      </c>
      <c r="AR2" s="2" t="str">
        <v>Hextable</v>
      </c>
      <c r="AS2" s="2" t="str">
        <v>Central YMCA</v>
      </c>
      <c r="AT2" s="2" t="str">
        <v>Eltham</v>
      </c>
      <c r="AU2" s="2" t="str">
        <v>Hamsey Green [no play]</v>
      </c>
      <c r="AV2" s="2" t="str">
        <v>Puttenham &amp; Wandborough</v>
      </c>
      <c r="AW2" s="2" t="str">
        <v>LESSA Wanderers</v>
      </c>
      <c r="AX2" s="2" t="str">
        <v>Selsdon</v>
      </c>
      <c r="AY2" s="2" t="str">
        <v>Morden 2nds</v>
      </c>
      <c r="AZ2" s="2" t="str">
        <v>Graveney</v>
      </c>
      <c r="BA2" s="2" t="str">
        <v>Beddington</v>
      </c>
      <c r="BB2" s="2" t="str">
        <v>East Cheam</v>
      </c>
      <c r="BC2" s="2" t="str">
        <v>Mad Hatters</v>
      </c>
      <c r="BD2" s="2" t="str">
        <v>Murray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 t="e">
        <v>#N/A</v>
      </c>
      <c r="CC2" s="2" t="e">
        <v>#N/A</v>
      </c>
    </row>
    <row r="3" spans="1:95" ht="11.25" customHeight="1" x14ac:dyDescent="0.15">
      <c r="B3" s="3" t="str">
        <v>Venue</v>
      </c>
      <c r="C3" s="2" t="str">
        <v>A</v>
      </c>
      <c r="D3" s="2" t="str">
        <v>H</v>
      </c>
      <c r="E3" s="2" t="str">
        <v>H</v>
      </c>
      <c r="F3" s="2" t="str">
        <v>A</v>
      </c>
      <c r="G3" s="2" t="str">
        <v>H</v>
      </c>
      <c r="H3" s="2" t="str">
        <v>A</v>
      </c>
      <c r="I3" s="2" t="str">
        <v>H</v>
      </c>
      <c r="J3" s="2" t="str">
        <v>A</v>
      </c>
      <c r="K3" s="2" t="str">
        <v>H</v>
      </c>
      <c r="L3" s="2" t="str">
        <v>A</v>
      </c>
      <c r="M3" s="2" t="str">
        <v>A</v>
      </c>
      <c r="N3" s="2" t="str">
        <v>A</v>
      </c>
      <c r="O3" s="2" t="str">
        <v>A</v>
      </c>
      <c r="P3" s="2" t="str">
        <v>A</v>
      </c>
      <c r="Q3" s="2" t="str">
        <v>H</v>
      </c>
      <c r="R3" s="2" t="str">
        <v>H</v>
      </c>
      <c r="S3" s="2" t="str">
        <v>A</v>
      </c>
      <c r="T3" s="2" t="str">
        <v>A</v>
      </c>
      <c r="U3" s="2" t="str">
        <v>A</v>
      </c>
      <c r="V3" s="2" t="str">
        <v>H</v>
      </c>
      <c r="W3" s="2" t="str">
        <v>H</v>
      </c>
      <c r="X3" s="2" t="str">
        <v>A</v>
      </c>
      <c r="Y3" s="2" t="str">
        <v>H</v>
      </c>
      <c r="Z3" s="2" t="str">
        <v>H</v>
      </c>
      <c r="AA3" s="2" t="str">
        <v>H</v>
      </c>
      <c r="AB3" s="2" t="str">
        <v>A</v>
      </c>
      <c r="AC3" s="2" t="str">
        <v>A</v>
      </c>
      <c r="AD3" s="2" t="str">
        <v>?</v>
      </c>
      <c r="AE3" s="2" t="str">
        <v>H</v>
      </c>
      <c r="AF3" s="2" t="str">
        <v>A</v>
      </c>
      <c r="AG3" s="2" t="str">
        <v>A</v>
      </c>
      <c r="AH3" s="2" t="str">
        <v>H</v>
      </c>
      <c r="AI3" s="2" t="str">
        <v>A</v>
      </c>
      <c r="AJ3" s="2" t="str">
        <v>H</v>
      </c>
      <c r="AK3" s="2" t="str">
        <v>A</v>
      </c>
      <c r="AL3" s="2" t="str">
        <v>H</v>
      </c>
      <c r="AM3" s="2" t="str">
        <v>H</v>
      </c>
      <c r="AN3" s="2" t="str">
        <v>A</v>
      </c>
      <c r="AO3" s="2" t="str">
        <v>A</v>
      </c>
      <c r="AP3" s="2" t="str">
        <v>H</v>
      </c>
      <c r="AQ3" s="2" t="str">
        <v>H</v>
      </c>
      <c r="AR3" s="2" t="str">
        <v>H</v>
      </c>
      <c r="AS3" s="2" t="str">
        <v>H</v>
      </c>
      <c r="AT3" s="2" t="str">
        <v>H</v>
      </c>
      <c r="AU3" s="2" t="str">
        <v>A</v>
      </c>
      <c r="AV3" s="2" t="str">
        <v>A</v>
      </c>
      <c r="AW3" s="2" t="str">
        <v>H</v>
      </c>
      <c r="AX3" s="2" t="str">
        <v>H</v>
      </c>
      <c r="AY3" s="2" t="str">
        <v>A</v>
      </c>
      <c r="AZ3" s="2" t="str">
        <v>H</v>
      </c>
      <c r="BA3" s="2" t="str">
        <v>A</v>
      </c>
      <c r="BB3" s="2" t="str">
        <v>H</v>
      </c>
      <c r="BC3" s="2" t="str">
        <v>H</v>
      </c>
      <c r="BD3" s="2" t="str">
        <v>H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 t="e">
        <v>#N/A</v>
      </c>
      <c r="CC3" s="2" t="e">
        <v>#N/A</v>
      </c>
      <c r="CP3" s="79">
        <f>SUM(CP5:CP44)</f>
        <v>233</v>
      </c>
      <c r="CQ3" s="79">
        <f>SUM(CQ5:CQ44)</f>
        <v>17</v>
      </c>
    </row>
    <row r="4" spans="1:95" ht="11.25" customHeight="1" x14ac:dyDescent="0.15">
      <c r="B4" s="3" t="str">
        <v>Result</v>
      </c>
      <c r="C4" s="2" t="str">
        <v>W</v>
      </c>
      <c r="D4" s="2" t="str">
        <v>L</v>
      </c>
      <c r="E4" s="2" t="str">
        <v>L</v>
      </c>
      <c r="F4" s="2" t="str">
        <v>W</v>
      </c>
      <c r="G4" s="2" t="str">
        <v>L</v>
      </c>
      <c r="H4" s="2" t="str">
        <v>W</v>
      </c>
      <c r="I4" s="2">
        <v>0</v>
      </c>
      <c r="J4" s="2" t="str">
        <v>L</v>
      </c>
      <c r="K4" s="2" t="str">
        <v>W</v>
      </c>
      <c r="L4" s="2" t="str">
        <v>W</v>
      </c>
      <c r="M4" s="2" t="str">
        <v>W</v>
      </c>
      <c r="N4" s="2" t="str">
        <v>L</v>
      </c>
      <c r="O4" s="2" t="str">
        <v>L</v>
      </c>
      <c r="P4" s="2" t="str">
        <v>D</v>
      </c>
      <c r="Q4" s="2" t="str">
        <v>W</v>
      </c>
      <c r="R4" s="2" t="str">
        <v>W</v>
      </c>
      <c r="S4" s="2" t="str">
        <v>L</v>
      </c>
      <c r="T4" s="2" t="str">
        <v>W</v>
      </c>
      <c r="U4" s="2" t="str">
        <v>W</v>
      </c>
      <c r="V4" s="2" t="str">
        <v>D</v>
      </c>
      <c r="W4" s="2" t="str">
        <v>W</v>
      </c>
      <c r="X4" s="2">
        <v>0</v>
      </c>
      <c r="Y4" s="2" t="str">
        <v>W</v>
      </c>
      <c r="Z4" s="2" t="str">
        <v>D</v>
      </c>
      <c r="AA4" s="2">
        <v>0</v>
      </c>
      <c r="AB4" s="2" t="str">
        <v>D</v>
      </c>
      <c r="AC4" s="2">
        <v>0</v>
      </c>
      <c r="AD4" s="2">
        <v>0</v>
      </c>
      <c r="AE4" s="2">
        <v>0</v>
      </c>
      <c r="AF4" s="2" t="str">
        <v>L</v>
      </c>
      <c r="AG4" s="2" t="str">
        <v>D</v>
      </c>
      <c r="AH4" s="2">
        <v>0</v>
      </c>
      <c r="AI4" s="2" t="str">
        <v>D</v>
      </c>
      <c r="AJ4" s="2" t="str">
        <v>D</v>
      </c>
      <c r="AK4" s="2">
        <v>0</v>
      </c>
      <c r="AL4" s="2" t="str">
        <v>W</v>
      </c>
      <c r="AM4" s="2" t="str">
        <v>W</v>
      </c>
      <c r="AN4" s="2" t="str">
        <v>W</v>
      </c>
      <c r="AO4" s="2" t="str">
        <v>L</v>
      </c>
      <c r="AP4" s="2" t="str">
        <v>D</v>
      </c>
      <c r="AQ4" s="2" t="str">
        <v>D</v>
      </c>
      <c r="AR4" s="2" t="str">
        <v>D</v>
      </c>
      <c r="AS4" s="2" t="str">
        <v>W</v>
      </c>
      <c r="AT4" s="2" t="str">
        <v>D</v>
      </c>
      <c r="AU4" s="2">
        <v>0</v>
      </c>
      <c r="AV4" s="2" t="str">
        <v>D</v>
      </c>
      <c r="AW4" s="2" t="str">
        <v>W</v>
      </c>
      <c r="AX4" s="2" t="str">
        <v>W</v>
      </c>
      <c r="AY4" s="2" t="str">
        <v>D</v>
      </c>
      <c r="AZ4" s="2" t="str">
        <v>L</v>
      </c>
      <c r="BA4" s="2" t="str">
        <v>W</v>
      </c>
      <c r="BB4" s="2" t="str">
        <v>D</v>
      </c>
      <c r="BC4" s="2" t="str">
        <v>W</v>
      </c>
      <c r="BD4" s="2" t="str">
        <v>D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 t="e">
        <v>#N/A</v>
      </c>
      <c r="CC4" s="2" t="e">
        <v>#N/A</v>
      </c>
      <c r="CE4" s="64" t="s">
        <v>9</v>
      </c>
      <c r="CF4" s="64" t="s">
        <v>104</v>
      </c>
      <c r="CG4" s="64" t="s">
        <v>105</v>
      </c>
      <c r="CH4" s="64" t="s">
        <v>106</v>
      </c>
      <c r="CI4" s="64" t="s">
        <v>12</v>
      </c>
      <c r="CJ4" s="64" t="s">
        <v>107</v>
      </c>
      <c r="CK4" s="61" t="s">
        <v>108</v>
      </c>
      <c r="CL4" s="64" t="s">
        <v>109</v>
      </c>
      <c r="CM4" s="64" t="s">
        <v>110</v>
      </c>
      <c r="CN4" s="63" t="s">
        <v>200</v>
      </c>
      <c r="CO4" s="79" t="s">
        <v>111</v>
      </c>
      <c r="CP4" s="79" t="s">
        <v>324</v>
      </c>
      <c r="CQ4" s="79" t="s">
        <v>325</v>
      </c>
    </row>
    <row r="5" spans="1:95" ht="11.25" customHeight="1" x14ac:dyDescent="0.15">
      <c r="A5" s="3" t="s">
        <v>148</v>
      </c>
      <c r="B5" s="3" t="s">
        <v>34</v>
      </c>
      <c r="N5" s="3" t="s">
        <v>518</v>
      </c>
      <c r="Q5" s="3" t="s">
        <v>562</v>
      </c>
      <c r="W5" s="3" t="s">
        <v>612</v>
      </c>
      <c r="Z5" s="3" t="s">
        <v>681</v>
      </c>
      <c r="AY5" s="3" t="s">
        <v>1066</v>
      </c>
      <c r="AZ5" s="3" t="s">
        <v>922</v>
      </c>
      <c r="BC5" s="3" t="s">
        <v>1095</v>
      </c>
      <c r="CE5" s="79">
        <f>BowlSplit(C5:BC5,InnsBowledIn)</f>
        <v>7</v>
      </c>
      <c r="CF5" s="79">
        <f t="shared" ref="CF5:CF30" si="0">BowlSplit(C5:CC5,BallsBowled)</f>
        <v>177</v>
      </c>
      <c r="CG5" s="81">
        <f t="shared" ref="CG5:CG30" si="1">BowlSplit(C5:CC5,OversBowled)</f>
        <v>29.3</v>
      </c>
      <c r="CH5" s="79">
        <f t="shared" ref="CH5:CH30" si="2">BowlSplit(C5:CC5,Maidens)</f>
        <v>0</v>
      </c>
      <c r="CI5" s="79">
        <f t="shared" ref="CI5:CI30" si="3">BowlSplit(C5:CC5,RunsConceded)</f>
        <v>141</v>
      </c>
      <c r="CJ5" s="79">
        <f t="shared" ref="CJ5:CJ30" si="4">BowlSplit(C5:CC5,WicketsTaken)</f>
        <v>9</v>
      </c>
      <c r="CK5" s="82">
        <f>IF(CJ5&gt;0,CI5/CJ5,"")</f>
        <v>15.666666666666666</v>
      </c>
      <c r="CL5" s="83">
        <f>IF(CJ5&gt;0,CF5/CJ5,"")</f>
        <v>19.666666666666668</v>
      </c>
      <c r="CM5" s="83">
        <f>IF(CF5&gt;0,6*CI5/CF5,"")</f>
        <v>4.7796610169491522</v>
      </c>
      <c r="CN5" s="63" t="str">
        <f t="shared" ref="CN5:CN30" si="5">BowlSplit(C5:CC5,BestBowling)</f>
        <v>3-58</v>
      </c>
      <c r="CO5" s="79">
        <f t="shared" ref="CO5:CO30" si="6">BowlSplit(C5:CC5,BowlPts)</f>
        <v>100</v>
      </c>
      <c r="CP5" s="79">
        <f t="shared" ref="CP5:CP30" si="7">BowlSplit(C5:CC5,Wides)</f>
        <v>3</v>
      </c>
      <c r="CQ5" s="79">
        <f t="shared" ref="CQ5:CQ30" si="8">BowlSplit(C5:CC5,NoBalls)</f>
        <v>0</v>
      </c>
    </row>
    <row r="6" spans="1:95" ht="11.25" customHeight="1" x14ac:dyDescent="0.15">
      <c r="A6" s="3" t="s">
        <v>112</v>
      </c>
      <c r="B6" s="3" t="s">
        <v>36</v>
      </c>
      <c r="C6" s="3" t="s">
        <v>312</v>
      </c>
      <c r="F6" s="3" t="s">
        <v>391</v>
      </c>
      <c r="H6" s="3" t="s">
        <v>428</v>
      </c>
      <c r="M6" s="84" t="s">
        <v>496</v>
      </c>
      <c r="N6" s="3" t="s">
        <v>515</v>
      </c>
      <c r="R6" s="3" t="s">
        <v>594</v>
      </c>
      <c r="U6" s="3" t="s">
        <v>1033</v>
      </c>
      <c r="Y6" s="3" t="s">
        <v>663</v>
      </c>
      <c r="AG6" s="3" t="s">
        <v>976</v>
      </c>
      <c r="AJ6" s="3" t="s">
        <v>735</v>
      </c>
      <c r="AP6" s="3" t="s">
        <v>816</v>
      </c>
      <c r="AR6" s="3" t="s">
        <v>847</v>
      </c>
      <c r="AT6" s="3" t="s">
        <v>877</v>
      </c>
      <c r="CE6" s="79">
        <f t="shared" ref="CE6:CE30" si="9">BowlSplit(C6:CC6,InnsBowledIn)</f>
        <v>13</v>
      </c>
      <c r="CF6" s="79">
        <f t="shared" si="0"/>
        <v>624</v>
      </c>
      <c r="CG6" s="81">
        <f t="shared" si="1"/>
        <v>104</v>
      </c>
      <c r="CH6" s="79">
        <f t="shared" si="2"/>
        <v>25</v>
      </c>
      <c r="CI6" s="79">
        <f t="shared" si="3"/>
        <v>320</v>
      </c>
      <c r="CJ6" s="79">
        <f t="shared" si="4"/>
        <v>18</v>
      </c>
      <c r="CK6" s="82">
        <f t="shared" ref="CK6:CK30" si="10">IF(CJ6&gt;0,CI6/CJ6,"")</f>
        <v>17.777777777777779</v>
      </c>
      <c r="CL6" s="83">
        <f t="shared" ref="CL6:CL30" si="11">IF(CJ6&gt;0,CF6/CJ6,"")</f>
        <v>34.666666666666664</v>
      </c>
      <c r="CM6" s="83">
        <f t="shared" ref="CM6:CM30" si="12">IF(CF6&gt;0,6*CI6/CF6,"")</f>
        <v>3.0769230769230771</v>
      </c>
      <c r="CN6" s="63" t="str">
        <f t="shared" si="5"/>
        <v>4-17</v>
      </c>
      <c r="CO6" s="79">
        <f t="shared" si="6"/>
        <v>285</v>
      </c>
      <c r="CP6" s="79">
        <f t="shared" si="7"/>
        <v>7</v>
      </c>
      <c r="CQ6" s="79">
        <f t="shared" si="8"/>
        <v>1</v>
      </c>
    </row>
    <row r="7" spans="1:95" ht="11.25" customHeight="1" x14ac:dyDescent="0.15">
      <c r="A7" s="3" t="s">
        <v>205</v>
      </c>
      <c r="B7" s="3" t="s">
        <v>1091</v>
      </c>
      <c r="D7" s="3" t="s">
        <v>354</v>
      </c>
      <c r="G7" s="3" t="s">
        <v>1070</v>
      </c>
      <c r="J7" s="3" t="s">
        <v>1072</v>
      </c>
      <c r="T7" s="3" t="s">
        <v>573</v>
      </c>
      <c r="Z7" s="3" t="s">
        <v>683</v>
      </c>
      <c r="AZ7" s="3" t="s">
        <v>921</v>
      </c>
      <c r="CE7" s="79">
        <f t="shared" si="9"/>
        <v>6</v>
      </c>
      <c r="CF7" s="79">
        <f t="shared" si="0"/>
        <v>291</v>
      </c>
      <c r="CG7" s="81">
        <f t="shared" si="1"/>
        <v>48.3</v>
      </c>
      <c r="CH7" s="79">
        <f t="shared" si="2"/>
        <v>8</v>
      </c>
      <c r="CI7" s="79">
        <f t="shared" si="3"/>
        <v>149</v>
      </c>
      <c r="CJ7" s="79">
        <f t="shared" si="4"/>
        <v>10</v>
      </c>
      <c r="CK7" s="82">
        <f t="shared" si="10"/>
        <v>14.9</v>
      </c>
      <c r="CL7" s="83">
        <f t="shared" si="11"/>
        <v>29.1</v>
      </c>
      <c r="CM7" s="83">
        <f t="shared" si="12"/>
        <v>3.0721649484536084</v>
      </c>
      <c r="CN7" s="63" t="str">
        <f t="shared" si="5"/>
        <v>3-6</v>
      </c>
      <c r="CO7" s="79">
        <f t="shared" si="6"/>
        <v>148</v>
      </c>
      <c r="CP7" s="79">
        <f t="shared" si="7"/>
        <v>3</v>
      </c>
      <c r="CQ7" s="79">
        <f t="shared" si="8"/>
        <v>3</v>
      </c>
    </row>
    <row r="8" spans="1:95" ht="11.25" customHeight="1" x14ac:dyDescent="0.15">
      <c r="A8" s="3" t="s">
        <v>114</v>
      </c>
      <c r="B8" s="3" t="s">
        <v>115</v>
      </c>
      <c r="F8" s="3" t="s">
        <v>390</v>
      </c>
      <c r="L8" s="3" t="s">
        <v>457</v>
      </c>
      <c r="M8" s="84"/>
      <c r="P8" s="3" t="s">
        <v>547</v>
      </c>
      <c r="S8" s="3" t="s">
        <v>651</v>
      </c>
      <c r="V8" s="3" t="s">
        <v>656</v>
      </c>
      <c r="AI8" s="3" t="s">
        <v>705</v>
      </c>
      <c r="AT8" s="3" t="s">
        <v>878</v>
      </c>
      <c r="AV8" s="3" t="s">
        <v>1060</v>
      </c>
      <c r="AX8" s="3" t="s">
        <v>936</v>
      </c>
      <c r="BA8" s="3" t="s">
        <v>942</v>
      </c>
      <c r="BD8" s="3" t="s">
        <v>1013</v>
      </c>
      <c r="CE8" s="79">
        <f t="shared" si="9"/>
        <v>11</v>
      </c>
      <c r="CF8" s="79">
        <f t="shared" si="0"/>
        <v>491</v>
      </c>
      <c r="CG8" s="81">
        <f t="shared" si="1"/>
        <v>81.5</v>
      </c>
      <c r="CH8" s="79">
        <f t="shared" si="2"/>
        <v>13</v>
      </c>
      <c r="CI8" s="79">
        <f t="shared" si="3"/>
        <v>303</v>
      </c>
      <c r="CJ8" s="79">
        <f t="shared" si="4"/>
        <v>16</v>
      </c>
      <c r="CK8" s="82">
        <f t="shared" si="10"/>
        <v>18.9375</v>
      </c>
      <c r="CL8" s="83">
        <f t="shared" si="11"/>
        <v>30.6875</v>
      </c>
      <c r="CM8" s="83">
        <f t="shared" si="12"/>
        <v>3.7026476578411405</v>
      </c>
      <c r="CN8" s="63" t="str">
        <f t="shared" si="5"/>
        <v>4-27</v>
      </c>
      <c r="CO8" s="79">
        <f t="shared" si="6"/>
        <v>208</v>
      </c>
      <c r="CP8" s="79">
        <f t="shared" si="7"/>
        <v>2</v>
      </c>
      <c r="CQ8" s="79">
        <f t="shared" si="8"/>
        <v>0</v>
      </c>
    </row>
    <row r="9" spans="1:95" ht="11.25" customHeight="1" x14ac:dyDescent="0.15">
      <c r="A9" s="3" t="s">
        <v>117</v>
      </c>
      <c r="B9" s="3" t="s">
        <v>47</v>
      </c>
      <c r="J9" s="3" t="s">
        <v>456</v>
      </c>
      <c r="AQ9" s="3" t="s">
        <v>840</v>
      </c>
      <c r="CE9" s="79">
        <f t="shared" si="9"/>
        <v>2</v>
      </c>
      <c r="CF9" s="79">
        <f t="shared" si="0"/>
        <v>36</v>
      </c>
      <c r="CG9" s="81">
        <f t="shared" si="1"/>
        <v>6</v>
      </c>
      <c r="CH9" s="79">
        <f t="shared" si="2"/>
        <v>0</v>
      </c>
      <c r="CI9" s="79">
        <f t="shared" si="3"/>
        <v>24</v>
      </c>
      <c r="CJ9" s="79">
        <f t="shared" si="4"/>
        <v>0</v>
      </c>
      <c r="CK9" s="82" t="str">
        <f t="shared" si="10"/>
        <v/>
      </c>
      <c r="CL9" s="83" t="str">
        <f t="shared" si="11"/>
        <v/>
      </c>
      <c r="CM9" s="83">
        <f t="shared" si="12"/>
        <v>4</v>
      </c>
      <c r="CN9" s="63" t="str">
        <f t="shared" si="5"/>
        <v>0-6</v>
      </c>
      <c r="CO9" s="79">
        <f t="shared" si="6"/>
        <v>5</v>
      </c>
      <c r="CP9" s="79">
        <f t="shared" si="7"/>
        <v>2</v>
      </c>
      <c r="CQ9" s="79">
        <f t="shared" si="8"/>
        <v>0</v>
      </c>
    </row>
    <row r="10" spans="1:95" ht="11.25" customHeight="1" x14ac:dyDescent="0.15">
      <c r="A10" s="3" t="s">
        <v>118</v>
      </c>
      <c r="B10" s="3" t="s">
        <v>48</v>
      </c>
      <c r="E10" s="3" t="s">
        <v>373</v>
      </c>
      <c r="G10" s="3" t="s">
        <v>400</v>
      </c>
      <c r="L10" s="3" t="s">
        <v>461</v>
      </c>
      <c r="M10" s="84" t="s">
        <v>498</v>
      </c>
      <c r="S10" s="3" t="s">
        <v>652</v>
      </c>
      <c r="V10" s="3" t="s">
        <v>660</v>
      </c>
      <c r="Y10" s="3" t="s">
        <v>666</v>
      </c>
      <c r="AG10" s="3" t="s">
        <v>977</v>
      </c>
      <c r="AI10" s="3" t="s">
        <v>708</v>
      </c>
      <c r="AO10" s="3" t="s">
        <v>763</v>
      </c>
      <c r="AQ10" s="3" t="s">
        <v>843</v>
      </c>
      <c r="AR10" s="3" t="s">
        <v>849</v>
      </c>
      <c r="AY10" s="3" t="s">
        <v>895</v>
      </c>
      <c r="BB10" s="3" t="s">
        <v>1068</v>
      </c>
      <c r="BD10" s="3" t="s">
        <v>1012</v>
      </c>
      <c r="CE10" s="79">
        <f t="shared" si="9"/>
        <v>15</v>
      </c>
      <c r="CF10" s="79">
        <f t="shared" si="0"/>
        <v>636</v>
      </c>
      <c r="CG10" s="81">
        <f t="shared" si="1"/>
        <v>106</v>
      </c>
      <c r="CH10" s="79">
        <f t="shared" si="2"/>
        <v>12</v>
      </c>
      <c r="CI10" s="79">
        <f t="shared" si="3"/>
        <v>434</v>
      </c>
      <c r="CJ10" s="79">
        <f t="shared" si="4"/>
        <v>20</v>
      </c>
      <c r="CK10" s="82">
        <f t="shared" si="10"/>
        <v>21.7</v>
      </c>
      <c r="CL10" s="83">
        <f t="shared" si="11"/>
        <v>31.8</v>
      </c>
      <c r="CM10" s="83">
        <f t="shared" si="12"/>
        <v>4.0943396226415096</v>
      </c>
      <c r="CN10" s="63" t="str">
        <f t="shared" si="5"/>
        <v>3-30</v>
      </c>
      <c r="CO10" s="79">
        <f t="shared" si="6"/>
        <v>227</v>
      </c>
      <c r="CP10" s="79">
        <f t="shared" si="7"/>
        <v>12</v>
      </c>
      <c r="CQ10" s="79">
        <f t="shared" si="8"/>
        <v>1</v>
      </c>
    </row>
    <row r="11" spans="1:95" ht="11.25" customHeight="1" x14ac:dyDescent="0.15">
      <c r="A11" s="3" t="s">
        <v>146</v>
      </c>
      <c r="B11" s="3" t="s">
        <v>54</v>
      </c>
      <c r="J11" s="3" t="s">
        <v>1073</v>
      </c>
      <c r="CE11" s="79">
        <f t="shared" si="9"/>
        <v>1</v>
      </c>
      <c r="CF11" s="79">
        <f t="shared" si="0"/>
        <v>36</v>
      </c>
      <c r="CG11" s="81">
        <f t="shared" si="1"/>
        <v>6</v>
      </c>
      <c r="CH11" s="79">
        <f t="shared" si="2"/>
        <v>1</v>
      </c>
      <c r="CI11" s="79">
        <f t="shared" si="3"/>
        <v>35</v>
      </c>
      <c r="CJ11" s="79">
        <f t="shared" si="4"/>
        <v>1</v>
      </c>
      <c r="CK11" s="82">
        <f t="shared" si="10"/>
        <v>35</v>
      </c>
      <c r="CL11" s="83">
        <f t="shared" si="11"/>
        <v>36</v>
      </c>
      <c r="CM11" s="83">
        <f t="shared" si="12"/>
        <v>5.833333333333333</v>
      </c>
      <c r="CN11" s="63" t="str">
        <f t="shared" si="5"/>
        <v>1-35</v>
      </c>
      <c r="CO11" s="79">
        <f t="shared" si="6"/>
        <v>6</v>
      </c>
      <c r="CP11" s="79">
        <f t="shared" si="7"/>
        <v>4</v>
      </c>
      <c r="CQ11" s="79">
        <f t="shared" si="8"/>
        <v>0</v>
      </c>
    </row>
    <row r="12" spans="1:95" ht="11.25" customHeight="1" x14ac:dyDescent="0.15">
      <c r="A12" s="3" t="s">
        <v>120</v>
      </c>
      <c r="B12" s="3" t="s">
        <v>56</v>
      </c>
      <c r="K12" s="3" t="s">
        <v>1030</v>
      </c>
      <c r="S12" s="3" t="s">
        <v>653</v>
      </c>
      <c r="U12" s="3" t="s">
        <v>598</v>
      </c>
      <c r="AN12" s="3" t="s">
        <v>1038</v>
      </c>
      <c r="AT12" s="3" t="s">
        <v>879</v>
      </c>
      <c r="BB12" s="3" t="s">
        <v>1067</v>
      </c>
      <c r="CE12" s="79">
        <f t="shared" si="9"/>
        <v>6</v>
      </c>
      <c r="CF12" s="79">
        <f t="shared" si="0"/>
        <v>138</v>
      </c>
      <c r="CG12" s="81">
        <f t="shared" si="1"/>
        <v>23</v>
      </c>
      <c r="CH12" s="79">
        <f t="shared" si="2"/>
        <v>1</v>
      </c>
      <c r="CI12" s="79">
        <f t="shared" si="3"/>
        <v>150</v>
      </c>
      <c r="CJ12" s="79">
        <f t="shared" si="4"/>
        <v>5</v>
      </c>
      <c r="CK12" s="82">
        <f t="shared" si="10"/>
        <v>30</v>
      </c>
      <c r="CL12" s="83">
        <f t="shared" si="11"/>
        <v>27.6</v>
      </c>
      <c r="CM12" s="83">
        <f t="shared" si="12"/>
        <v>6.5217391304347823</v>
      </c>
      <c r="CN12" s="63" t="str">
        <f t="shared" si="5"/>
        <v>2-29</v>
      </c>
      <c r="CO12" s="79">
        <f t="shared" si="6"/>
        <v>31</v>
      </c>
      <c r="CP12" s="79">
        <f t="shared" si="7"/>
        <v>14</v>
      </c>
      <c r="CQ12" s="79">
        <f t="shared" si="8"/>
        <v>0</v>
      </c>
    </row>
    <row r="13" spans="1:95" ht="11.25" customHeight="1" x14ac:dyDescent="0.15">
      <c r="A13" s="3" t="s">
        <v>121</v>
      </c>
      <c r="B13" s="3" t="s">
        <v>122</v>
      </c>
      <c r="C13" s="3" t="s">
        <v>1029</v>
      </c>
      <c r="F13" s="3" t="s">
        <v>392</v>
      </c>
      <c r="K13" s="3" t="s">
        <v>479</v>
      </c>
      <c r="M13" s="84"/>
      <c r="O13" s="3" t="s">
        <v>533</v>
      </c>
      <c r="R13" s="3" t="s">
        <v>593</v>
      </c>
      <c r="AG13" s="3" t="s">
        <v>978</v>
      </c>
      <c r="AP13" s="3" t="s">
        <v>815</v>
      </c>
      <c r="AR13" s="3" t="s">
        <v>845</v>
      </c>
      <c r="AS13" s="3" t="s">
        <v>865</v>
      </c>
      <c r="CE13" s="79">
        <f t="shared" si="9"/>
        <v>9</v>
      </c>
      <c r="CF13" s="79">
        <f t="shared" si="0"/>
        <v>246</v>
      </c>
      <c r="CG13" s="81">
        <f t="shared" si="1"/>
        <v>41</v>
      </c>
      <c r="CH13" s="79">
        <f t="shared" si="2"/>
        <v>1</v>
      </c>
      <c r="CI13" s="79">
        <f t="shared" si="3"/>
        <v>205</v>
      </c>
      <c r="CJ13" s="79">
        <f t="shared" si="4"/>
        <v>15</v>
      </c>
      <c r="CK13" s="82">
        <f t="shared" si="10"/>
        <v>13.666666666666666</v>
      </c>
      <c r="CL13" s="83">
        <f t="shared" si="11"/>
        <v>16.399999999999999</v>
      </c>
      <c r="CM13" s="83">
        <f t="shared" si="12"/>
        <v>5</v>
      </c>
      <c r="CN13" s="63" t="str">
        <f t="shared" si="5"/>
        <v>3-10</v>
      </c>
      <c r="CO13" s="79">
        <f t="shared" si="6"/>
        <v>151</v>
      </c>
      <c r="CP13" s="79">
        <f t="shared" si="7"/>
        <v>18</v>
      </c>
      <c r="CQ13" s="79">
        <f t="shared" si="8"/>
        <v>0</v>
      </c>
    </row>
    <row r="14" spans="1:95" ht="11.25" customHeight="1" x14ac:dyDescent="0.15">
      <c r="A14" s="3" t="s">
        <v>123</v>
      </c>
      <c r="B14" s="3" t="s">
        <v>124</v>
      </c>
      <c r="D14" s="3" t="s">
        <v>352</v>
      </c>
      <c r="F14" s="3" t="s">
        <v>394</v>
      </c>
      <c r="H14" s="3" t="s">
        <v>430</v>
      </c>
      <c r="M14" s="84"/>
      <c r="N14" s="3" t="s">
        <v>513</v>
      </c>
      <c r="P14" s="3" t="s">
        <v>546</v>
      </c>
      <c r="T14" s="3" t="s">
        <v>574</v>
      </c>
      <c r="W14" s="3" t="s">
        <v>608</v>
      </c>
      <c r="AG14" s="3" t="s">
        <v>1034</v>
      </c>
      <c r="AL14" s="3" t="s">
        <v>781</v>
      </c>
      <c r="AO14" s="3" t="s">
        <v>761</v>
      </c>
      <c r="AV14" s="3" t="s">
        <v>1055</v>
      </c>
      <c r="AW14" s="3" t="s">
        <v>903</v>
      </c>
      <c r="AY14" s="3" t="s">
        <v>893</v>
      </c>
      <c r="AZ14" s="3" t="s">
        <v>924</v>
      </c>
      <c r="BC14" s="3" t="s">
        <v>996</v>
      </c>
      <c r="CE14" s="79">
        <f t="shared" si="9"/>
        <v>15</v>
      </c>
      <c r="CF14" s="79">
        <f t="shared" si="0"/>
        <v>893</v>
      </c>
      <c r="CG14" s="81">
        <f t="shared" si="1"/>
        <v>148.5</v>
      </c>
      <c r="CH14" s="79">
        <f t="shared" si="2"/>
        <v>35</v>
      </c>
      <c r="CI14" s="79">
        <f t="shared" si="3"/>
        <v>430</v>
      </c>
      <c r="CJ14" s="79">
        <f t="shared" si="4"/>
        <v>25</v>
      </c>
      <c r="CK14" s="82">
        <f t="shared" si="10"/>
        <v>17.2</v>
      </c>
      <c r="CL14" s="83">
        <f t="shared" si="11"/>
        <v>35.72</v>
      </c>
      <c r="CM14" s="83">
        <f t="shared" si="12"/>
        <v>2.8891377379619261</v>
      </c>
      <c r="CN14" s="63" t="str">
        <f t="shared" si="5"/>
        <v>5-13</v>
      </c>
      <c r="CO14" s="79">
        <f t="shared" si="6"/>
        <v>375</v>
      </c>
      <c r="CP14" s="79">
        <f t="shared" si="7"/>
        <v>21</v>
      </c>
      <c r="CQ14" s="79">
        <f t="shared" si="8"/>
        <v>0</v>
      </c>
    </row>
    <row r="15" spans="1:95" ht="11.25" customHeight="1" x14ac:dyDescent="0.15">
      <c r="A15" s="3" t="s">
        <v>125</v>
      </c>
      <c r="B15" s="3" t="s">
        <v>126</v>
      </c>
      <c r="N15" s="3" t="s">
        <v>517</v>
      </c>
      <c r="T15" s="3" t="s">
        <v>575</v>
      </c>
      <c r="AO15" s="3" t="s">
        <v>762</v>
      </c>
      <c r="AY15" s="3" t="s">
        <v>894</v>
      </c>
      <c r="BC15" s="3" t="s">
        <v>993</v>
      </c>
      <c r="CE15" s="79">
        <f t="shared" si="9"/>
        <v>5</v>
      </c>
      <c r="CF15" s="79">
        <f t="shared" si="0"/>
        <v>186</v>
      </c>
      <c r="CG15" s="81">
        <f t="shared" si="1"/>
        <v>31</v>
      </c>
      <c r="CH15" s="79">
        <f t="shared" si="2"/>
        <v>6</v>
      </c>
      <c r="CI15" s="79">
        <f t="shared" si="3"/>
        <v>102</v>
      </c>
      <c r="CJ15" s="79">
        <f t="shared" si="4"/>
        <v>5</v>
      </c>
      <c r="CK15" s="82">
        <f t="shared" si="10"/>
        <v>20.399999999999999</v>
      </c>
      <c r="CL15" s="83">
        <f t="shared" si="11"/>
        <v>37.200000000000003</v>
      </c>
      <c r="CM15" s="83">
        <f t="shared" si="12"/>
        <v>3.2903225806451615</v>
      </c>
      <c r="CN15" s="63" t="str">
        <f t="shared" si="5"/>
        <v>2-18</v>
      </c>
      <c r="CO15" s="79">
        <f t="shared" si="6"/>
        <v>86</v>
      </c>
      <c r="CP15" s="79">
        <f t="shared" si="7"/>
        <v>21</v>
      </c>
      <c r="CQ15" s="79">
        <f t="shared" si="8"/>
        <v>0</v>
      </c>
    </row>
    <row r="16" spans="1:95" ht="11.25" customHeight="1" x14ac:dyDescent="0.15">
      <c r="A16" s="3" t="s">
        <v>204</v>
      </c>
      <c r="B16" s="3" t="s">
        <v>97</v>
      </c>
      <c r="CE16" s="79">
        <f t="shared" si="9"/>
        <v>0</v>
      </c>
      <c r="CF16" s="79">
        <f t="shared" si="0"/>
        <v>0</v>
      </c>
      <c r="CG16" s="81">
        <f t="shared" si="1"/>
        <v>0</v>
      </c>
      <c r="CH16" s="79">
        <f t="shared" si="2"/>
        <v>0</v>
      </c>
      <c r="CI16" s="79">
        <f t="shared" si="3"/>
        <v>0</v>
      </c>
      <c r="CJ16" s="79">
        <f t="shared" si="4"/>
        <v>0</v>
      </c>
      <c r="CK16" s="82" t="str">
        <f t="shared" si="10"/>
        <v/>
      </c>
      <c r="CL16" s="83" t="str">
        <f t="shared" si="11"/>
        <v/>
      </c>
      <c r="CM16" s="83" t="str">
        <f t="shared" si="12"/>
        <v/>
      </c>
      <c r="CN16" s="63" t="str">
        <f t="shared" si="5"/>
        <v/>
      </c>
      <c r="CO16" s="79">
        <f t="shared" si="6"/>
        <v>0</v>
      </c>
      <c r="CP16" s="79">
        <f t="shared" si="7"/>
        <v>0</v>
      </c>
      <c r="CQ16" s="79">
        <f t="shared" si="8"/>
        <v>0</v>
      </c>
    </row>
    <row r="17" spans="1:95" ht="11.25" customHeight="1" x14ac:dyDescent="0.15">
      <c r="A17" s="3" t="s">
        <v>202</v>
      </c>
      <c r="B17" s="3" t="s">
        <v>101</v>
      </c>
      <c r="C17" s="3" t="s">
        <v>313</v>
      </c>
      <c r="H17" s="3" t="s">
        <v>429</v>
      </c>
      <c r="N17" s="3" t="s">
        <v>516</v>
      </c>
      <c r="P17" s="3" t="s">
        <v>549</v>
      </c>
      <c r="S17" s="3" t="s">
        <v>654</v>
      </c>
      <c r="AB17" s="3" t="s">
        <v>794</v>
      </c>
      <c r="AM17" s="3" t="s">
        <v>731</v>
      </c>
      <c r="AY17" s="3" t="s">
        <v>896</v>
      </c>
      <c r="CE17" s="79">
        <f t="shared" si="9"/>
        <v>8</v>
      </c>
      <c r="CF17" s="79">
        <f t="shared" si="0"/>
        <v>228</v>
      </c>
      <c r="CG17" s="81">
        <f t="shared" si="1"/>
        <v>38</v>
      </c>
      <c r="CH17" s="79">
        <f t="shared" si="2"/>
        <v>4</v>
      </c>
      <c r="CI17" s="79">
        <f t="shared" si="3"/>
        <v>194</v>
      </c>
      <c r="CJ17" s="79">
        <f t="shared" si="4"/>
        <v>5</v>
      </c>
      <c r="CK17" s="82">
        <f t="shared" si="10"/>
        <v>38.799999999999997</v>
      </c>
      <c r="CL17" s="83">
        <f t="shared" si="11"/>
        <v>45.6</v>
      </c>
      <c r="CM17" s="83">
        <f t="shared" si="12"/>
        <v>5.1052631578947372</v>
      </c>
      <c r="CN17" s="63" t="str">
        <f t="shared" si="5"/>
        <v>2-9</v>
      </c>
      <c r="CO17" s="79">
        <f t="shared" si="6"/>
        <v>39</v>
      </c>
      <c r="CP17" s="79">
        <f t="shared" si="7"/>
        <v>12</v>
      </c>
      <c r="CQ17" s="79">
        <f t="shared" si="8"/>
        <v>1</v>
      </c>
    </row>
    <row r="18" spans="1:95" ht="11.25" customHeight="1" x14ac:dyDescent="0.15">
      <c r="A18" s="3" t="s">
        <v>127</v>
      </c>
      <c r="B18" s="3" t="s">
        <v>64</v>
      </c>
      <c r="G18" s="3" t="s">
        <v>1071</v>
      </c>
      <c r="M18" s="3" t="s">
        <v>497</v>
      </c>
      <c r="Q18" s="3" t="s">
        <v>560</v>
      </c>
      <c r="W18" s="3" t="s">
        <v>609</v>
      </c>
      <c r="Z18" s="3" t="s">
        <v>678</v>
      </c>
      <c r="AM18" s="3" t="s">
        <v>728</v>
      </c>
      <c r="AO18" s="3" t="s">
        <v>760</v>
      </c>
      <c r="AZ18" s="3" t="s">
        <v>925</v>
      </c>
      <c r="BC18" s="3" t="s">
        <v>994</v>
      </c>
      <c r="CE18" s="79">
        <f t="shared" si="9"/>
        <v>9</v>
      </c>
      <c r="CF18" s="79">
        <f t="shared" si="0"/>
        <v>408</v>
      </c>
      <c r="CG18" s="81">
        <f t="shared" si="1"/>
        <v>68</v>
      </c>
      <c r="CH18" s="79">
        <f t="shared" si="2"/>
        <v>18</v>
      </c>
      <c r="CI18" s="79">
        <f t="shared" si="3"/>
        <v>207</v>
      </c>
      <c r="CJ18" s="79">
        <f t="shared" si="4"/>
        <v>8</v>
      </c>
      <c r="CK18" s="82">
        <f t="shared" si="10"/>
        <v>25.875</v>
      </c>
      <c r="CL18" s="83">
        <f t="shared" si="11"/>
        <v>51</v>
      </c>
      <c r="CM18" s="83">
        <f t="shared" si="12"/>
        <v>3.0441176470588234</v>
      </c>
      <c r="CN18" s="63" t="str">
        <f t="shared" si="5"/>
        <v>3-34</v>
      </c>
      <c r="CO18" s="79">
        <f t="shared" si="6"/>
        <v>143</v>
      </c>
      <c r="CP18" s="79">
        <f t="shared" si="7"/>
        <v>18</v>
      </c>
      <c r="CQ18" s="79">
        <f t="shared" si="8"/>
        <v>1</v>
      </c>
    </row>
    <row r="19" spans="1:95" ht="11.25" customHeight="1" x14ac:dyDescent="0.15">
      <c r="A19" s="3" t="s">
        <v>128</v>
      </c>
      <c r="B19" s="3" t="s">
        <v>66</v>
      </c>
      <c r="M19" s="84"/>
      <c r="AQ19" s="3" t="s">
        <v>844</v>
      </c>
      <c r="CE19" s="79">
        <f t="shared" si="9"/>
        <v>1</v>
      </c>
      <c r="CF19" s="79">
        <f t="shared" si="0"/>
        <v>6</v>
      </c>
      <c r="CG19" s="81">
        <f t="shared" si="1"/>
        <v>1</v>
      </c>
      <c r="CH19" s="79">
        <f t="shared" si="2"/>
        <v>0</v>
      </c>
      <c r="CI19" s="79">
        <f t="shared" si="3"/>
        <v>2</v>
      </c>
      <c r="CJ19" s="79">
        <f t="shared" si="4"/>
        <v>1</v>
      </c>
      <c r="CK19" s="82">
        <f t="shared" si="10"/>
        <v>2</v>
      </c>
      <c r="CL19" s="83">
        <f t="shared" si="11"/>
        <v>6</v>
      </c>
      <c r="CM19" s="83">
        <f t="shared" si="12"/>
        <v>2</v>
      </c>
      <c r="CN19" s="63" t="str">
        <f t="shared" si="5"/>
        <v>1-2</v>
      </c>
      <c r="CO19" s="79">
        <f t="shared" si="6"/>
        <v>20</v>
      </c>
      <c r="CP19" s="79">
        <f t="shared" si="7"/>
        <v>2</v>
      </c>
      <c r="CQ19" s="79">
        <f t="shared" si="8"/>
        <v>0</v>
      </c>
    </row>
    <row r="20" spans="1:95" ht="11.25" customHeight="1" x14ac:dyDescent="0.15">
      <c r="A20" s="3" t="s">
        <v>129</v>
      </c>
      <c r="B20" s="3" t="s">
        <v>130</v>
      </c>
      <c r="D20" s="3" t="s">
        <v>355</v>
      </c>
      <c r="E20" s="3" t="s">
        <v>372</v>
      </c>
      <c r="L20" s="3" t="s">
        <v>460</v>
      </c>
      <c r="M20" s="84" t="s">
        <v>499</v>
      </c>
      <c r="S20" s="3" t="s">
        <v>655</v>
      </c>
      <c r="V20" s="3" t="s">
        <v>661</v>
      </c>
      <c r="Y20" s="3" t="s">
        <v>665</v>
      </c>
      <c r="AB20" s="3" t="s">
        <v>1065</v>
      </c>
      <c r="AJ20" s="3" t="s">
        <v>737</v>
      </c>
      <c r="AM20" s="3" t="s">
        <v>729</v>
      </c>
      <c r="AN20" s="3" t="s">
        <v>1039</v>
      </c>
      <c r="AO20" s="3" t="s">
        <v>1077</v>
      </c>
      <c r="AS20" s="3" t="s">
        <v>854</v>
      </c>
      <c r="AT20" s="3" t="s">
        <v>880</v>
      </c>
      <c r="AV20" s="3" t="s">
        <v>1058</v>
      </c>
      <c r="AZ20" s="3" t="s">
        <v>920</v>
      </c>
      <c r="BB20" s="3" t="s">
        <v>963</v>
      </c>
      <c r="CE20" s="79">
        <f t="shared" si="9"/>
        <v>17</v>
      </c>
      <c r="CF20" s="79">
        <f t="shared" si="0"/>
        <v>857</v>
      </c>
      <c r="CG20" s="81">
        <f t="shared" si="1"/>
        <v>142.5</v>
      </c>
      <c r="CH20" s="79">
        <f t="shared" si="2"/>
        <v>41</v>
      </c>
      <c r="CI20" s="79">
        <f t="shared" si="3"/>
        <v>449</v>
      </c>
      <c r="CJ20" s="79">
        <f t="shared" si="4"/>
        <v>24</v>
      </c>
      <c r="CK20" s="82">
        <f t="shared" si="10"/>
        <v>18.708333333333332</v>
      </c>
      <c r="CL20" s="83">
        <f t="shared" si="11"/>
        <v>35.708333333333336</v>
      </c>
      <c r="CM20" s="83">
        <f t="shared" si="12"/>
        <v>3.1435239206534424</v>
      </c>
      <c r="CN20" s="63" t="str">
        <f t="shared" si="5"/>
        <v>4-29</v>
      </c>
      <c r="CO20" s="79">
        <f t="shared" si="6"/>
        <v>351</v>
      </c>
      <c r="CP20" s="79">
        <f t="shared" si="7"/>
        <v>7</v>
      </c>
      <c r="CQ20" s="79">
        <f t="shared" si="8"/>
        <v>0</v>
      </c>
    </row>
    <row r="21" spans="1:95" ht="11.25" customHeight="1" x14ac:dyDescent="0.15">
      <c r="A21" s="3" t="s">
        <v>169</v>
      </c>
      <c r="B21" s="3" t="s">
        <v>70</v>
      </c>
      <c r="BA21" s="3" t="s">
        <v>940</v>
      </c>
      <c r="CE21" s="79">
        <f>BowlSplit(C21:CC21,InnsBowledIn)</f>
        <v>1</v>
      </c>
      <c r="CF21" s="79">
        <f>BowlSplit(C21:CC21,BallsBowled)</f>
        <v>6</v>
      </c>
      <c r="CG21" s="81">
        <f>BowlSplit(C21:CC21,OversBowled)</f>
        <v>1</v>
      </c>
      <c r="CH21" s="79">
        <f>BowlSplit(C21:CC21,Maidens)</f>
        <v>0</v>
      </c>
      <c r="CI21" s="79">
        <f>BowlSplit(C21:CC21,RunsConceded)</f>
        <v>2</v>
      </c>
      <c r="CJ21" s="79">
        <f>BowlSplit(C21:CC21,WicketsTaken)</f>
        <v>1</v>
      </c>
      <c r="CK21" s="82">
        <f>IF(CJ21&gt;0,CI21/CJ21,"")</f>
        <v>2</v>
      </c>
      <c r="CL21" s="83">
        <f>IF(CJ21&gt;0,CF21/CJ21,"")</f>
        <v>6</v>
      </c>
      <c r="CM21" s="83">
        <f>IF(CF21&gt;0,6*CI21/CF21,"")</f>
        <v>2</v>
      </c>
      <c r="CN21" s="63" t="str">
        <f>BowlSplit(C21:CC21,BestBowling)</f>
        <v>1-2</v>
      </c>
      <c r="CO21" s="79">
        <f>BowlSplit(C21:CC21,BowlPts)</f>
        <v>20</v>
      </c>
      <c r="CP21" s="79">
        <f>BowlSplit(C21:CC21,Wides)</f>
        <v>0</v>
      </c>
      <c r="CQ21" s="79">
        <f>BowlSplit(C21:CC21,NoBalls)</f>
        <v>0</v>
      </c>
    </row>
    <row r="22" spans="1:95" ht="11.25" customHeight="1" x14ac:dyDescent="0.15">
      <c r="A22" s="3" t="s">
        <v>132</v>
      </c>
      <c r="B22" s="3" t="s">
        <v>74</v>
      </c>
      <c r="M22" s="84" t="s">
        <v>500</v>
      </c>
      <c r="CE22" s="79">
        <f t="shared" si="9"/>
        <v>1</v>
      </c>
      <c r="CF22" s="79">
        <f t="shared" si="0"/>
        <v>48</v>
      </c>
      <c r="CG22" s="81">
        <f t="shared" si="1"/>
        <v>8</v>
      </c>
      <c r="CH22" s="79">
        <f t="shared" si="2"/>
        <v>1</v>
      </c>
      <c r="CI22" s="79">
        <f t="shared" si="3"/>
        <v>44</v>
      </c>
      <c r="CJ22" s="79">
        <f t="shared" si="4"/>
        <v>1</v>
      </c>
      <c r="CK22" s="82">
        <f t="shared" si="10"/>
        <v>44</v>
      </c>
      <c r="CL22" s="83">
        <f t="shared" si="11"/>
        <v>48</v>
      </c>
      <c r="CM22" s="83">
        <f t="shared" si="12"/>
        <v>5.5</v>
      </c>
      <c r="CN22" s="63" t="str">
        <f t="shared" si="5"/>
        <v>1-44</v>
      </c>
      <c r="CO22" s="79">
        <f t="shared" si="6"/>
        <v>6</v>
      </c>
      <c r="CP22" s="79">
        <f t="shared" si="7"/>
        <v>1</v>
      </c>
      <c r="CQ22" s="79">
        <f t="shared" si="8"/>
        <v>0</v>
      </c>
    </row>
    <row r="23" spans="1:95" ht="11.25" customHeight="1" x14ac:dyDescent="0.15">
      <c r="A23" s="3" t="s">
        <v>133</v>
      </c>
      <c r="B23" s="3" t="s">
        <v>75</v>
      </c>
      <c r="K23" s="3" t="s">
        <v>480</v>
      </c>
      <c r="M23" s="84"/>
      <c r="O23" s="3" t="s">
        <v>532</v>
      </c>
      <c r="S23" s="3" t="s">
        <v>650</v>
      </c>
      <c r="V23" s="3" t="s">
        <v>657</v>
      </c>
      <c r="AG23" s="3" t="s">
        <v>979</v>
      </c>
      <c r="AI23" s="3" t="s">
        <v>704</v>
      </c>
      <c r="AL23" s="3" t="s">
        <v>778</v>
      </c>
      <c r="AM23" s="3" t="s">
        <v>732</v>
      </c>
      <c r="AP23" s="3" t="s">
        <v>818</v>
      </c>
      <c r="AQ23" s="3" t="s">
        <v>841</v>
      </c>
      <c r="AT23" s="3" t="s">
        <v>881</v>
      </c>
      <c r="AV23" s="3" t="s">
        <v>1057</v>
      </c>
      <c r="AX23" s="3" t="s">
        <v>935</v>
      </c>
      <c r="BB23" s="3" t="s">
        <v>962</v>
      </c>
      <c r="BD23" s="3" t="s">
        <v>1009</v>
      </c>
      <c r="CE23" s="79">
        <f t="shared" si="9"/>
        <v>15</v>
      </c>
      <c r="CF23" s="79">
        <f t="shared" si="0"/>
        <v>729</v>
      </c>
      <c r="CG23" s="81">
        <f t="shared" si="1"/>
        <v>121.3</v>
      </c>
      <c r="CH23" s="79">
        <f t="shared" si="2"/>
        <v>23</v>
      </c>
      <c r="CI23" s="79">
        <f t="shared" si="3"/>
        <v>431</v>
      </c>
      <c r="CJ23" s="79">
        <f t="shared" si="4"/>
        <v>18</v>
      </c>
      <c r="CK23" s="82">
        <f t="shared" si="10"/>
        <v>23.944444444444443</v>
      </c>
      <c r="CL23" s="83">
        <f t="shared" si="11"/>
        <v>40.5</v>
      </c>
      <c r="CM23" s="83">
        <f t="shared" si="12"/>
        <v>3.5473251028806585</v>
      </c>
      <c r="CN23" s="63" t="str">
        <f t="shared" si="5"/>
        <v>4-84</v>
      </c>
      <c r="CO23" s="79">
        <f t="shared" si="6"/>
        <v>268</v>
      </c>
      <c r="CP23" s="79">
        <f t="shared" si="7"/>
        <v>13</v>
      </c>
      <c r="CQ23" s="79">
        <f t="shared" si="8"/>
        <v>2</v>
      </c>
    </row>
    <row r="24" spans="1:95" ht="11.25" customHeight="1" x14ac:dyDescent="0.15">
      <c r="A24" s="3" t="s">
        <v>134</v>
      </c>
      <c r="B24" s="3" t="s">
        <v>76</v>
      </c>
      <c r="C24" s="3" t="s">
        <v>315</v>
      </c>
      <c r="E24" s="3" t="s">
        <v>371</v>
      </c>
      <c r="F24" s="3" t="s">
        <v>393</v>
      </c>
      <c r="G24" s="3" t="s">
        <v>401</v>
      </c>
      <c r="H24" s="3" t="s">
        <v>431</v>
      </c>
      <c r="J24" s="3" t="s">
        <v>1074</v>
      </c>
      <c r="K24" s="3" t="s">
        <v>482</v>
      </c>
      <c r="M24" s="84"/>
      <c r="P24" s="3" t="s">
        <v>545</v>
      </c>
      <c r="Q24" s="3" t="s">
        <v>561</v>
      </c>
      <c r="R24" s="3" t="s">
        <v>595</v>
      </c>
      <c r="Z24" s="3" t="s">
        <v>679</v>
      </c>
      <c r="AG24" s="3" t="s">
        <v>975</v>
      </c>
      <c r="AI24" s="3" t="s">
        <v>703</v>
      </c>
      <c r="AJ24" s="3" t="s">
        <v>733</v>
      </c>
      <c r="AL24" s="3" t="s">
        <v>780</v>
      </c>
      <c r="AN24" s="3" t="s">
        <v>805</v>
      </c>
      <c r="AR24" s="3" t="s">
        <v>848</v>
      </c>
      <c r="AT24" s="3" t="s">
        <v>882</v>
      </c>
      <c r="AV24" s="3" t="s">
        <v>1061</v>
      </c>
      <c r="AW24" s="3" t="s">
        <v>902</v>
      </c>
      <c r="AX24" s="3" t="s">
        <v>937</v>
      </c>
      <c r="BA24" s="3" t="s">
        <v>944</v>
      </c>
      <c r="BC24" s="3" t="s">
        <v>992</v>
      </c>
      <c r="BD24" s="3" t="s">
        <v>1008</v>
      </c>
      <c r="CE24" s="79">
        <f t="shared" si="9"/>
        <v>24</v>
      </c>
      <c r="CF24" s="79">
        <f t="shared" si="0"/>
        <v>1233</v>
      </c>
      <c r="CG24" s="81">
        <f t="shared" si="1"/>
        <v>205.3</v>
      </c>
      <c r="CH24" s="79">
        <f t="shared" si="2"/>
        <v>40</v>
      </c>
      <c r="CI24" s="79">
        <f t="shared" si="3"/>
        <v>608</v>
      </c>
      <c r="CJ24" s="79">
        <f t="shared" si="4"/>
        <v>47</v>
      </c>
      <c r="CK24" s="82">
        <f t="shared" si="10"/>
        <v>12.936170212765957</v>
      </c>
      <c r="CL24" s="83">
        <f t="shared" si="11"/>
        <v>26.23404255319149</v>
      </c>
      <c r="CM24" s="83">
        <f t="shared" si="12"/>
        <v>2.9586374695863746</v>
      </c>
      <c r="CN24" s="63" t="str">
        <f t="shared" si="5"/>
        <v>7-37</v>
      </c>
      <c r="CO24" s="79">
        <f t="shared" si="6"/>
        <v>690</v>
      </c>
      <c r="CP24" s="79">
        <f t="shared" si="7"/>
        <v>10</v>
      </c>
      <c r="CQ24" s="79">
        <f t="shared" si="8"/>
        <v>0</v>
      </c>
    </row>
    <row r="25" spans="1:95" ht="11.25" customHeight="1" x14ac:dyDescent="0.15">
      <c r="A25" s="3" t="s">
        <v>135</v>
      </c>
      <c r="B25" s="3" t="s">
        <v>77</v>
      </c>
      <c r="M25" s="84"/>
      <c r="AF25" s="3" t="s">
        <v>1076</v>
      </c>
      <c r="AN25" s="3" t="s">
        <v>1040</v>
      </c>
      <c r="CE25" s="79">
        <f t="shared" si="9"/>
        <v>2</v>
      </c>
      <c r="CF25" s="79">
        <f t="shared" si="0"/>
        <v>60</v>
      </c>
      <c r="CG25" s="81">
        <f t="shared" si="1"/>
        <v>10</v>
      </c>
      <c r="CH25" s="79">
        <f t="shared" si="2"/>
        <v>1</v>
      </c>
      <c r="CI25" s="79">
        <f t="shared" si="3"/>
        <v>49</v>
      </c>
      <c r="CJ25" s="79">
        <f t="shared" si="4"/>
        <v>7</v>
      </c>
      <c r="CK25" s="82">
        <f t="shared" si="10"/>
        <v>7</v>
      </c>
      <c r="CL25" s="83">
        <f t="shared" si="11"/>
        <v>8.5714285714285712</v>
      </c>
      <c r="CM25" s="83">
        <f t="shared" si="12"/>
        <v>4.9000000000000004</v>
      </c>
      <c r="CN25" s="63" t="str">
        <f t="shared" si="5"/>
        <v>4-9</v>
      </c>
      <c r="CO25" s="79">
        <f t="shared" si="6"/>
        <v>76</v>
      </c>
      <c r="CP25" s="79">
        <f t="shared" si="7"/>
        <v>0</v>
      </c>
      <c r="CQ25" s="79">
        <f t="shared" si="8"/>
        <v>0</v>
      </c>
    </row>
    <row r="26" spans="1:95" ht="11.25" customHeight="1" x14ac:dyDescent="0.15">
      <c r="A26" s="3" t="s">
        <v>137</v>
      </c>
      <c r="B26" s="3" t="s">
        <v>79</v>
      </c>
      <c r="C26" s="3" t="s">
        <v>314</v>
      </c>
      <c r="D26" s="3" t="s">
        <v>351</v>
      </c>
      <c r="F26" s="3" t="s">
        <v>389</v>
      </c>
      <c r="G26" s="3" t="s">
        <v>398</v>
      </c>
      <c r="L26" s="3" t="s">
        <v>458</v>
      </c>
      <c r="M26" s="3" t="s">
        <v>495</v>
      </c>
      <c r="N26" s="3" t="s">
        <v>514</v>
      </c>
      <c r="P26" s="3" t="s">
        <v>548</v>
      </c>
      <c r="T26" s="3" t="s">
        <v>571</v>
      </c>
      <c r="V26" s="3" t="s">
        <v>658</v>
      </c>
      <c r="W26" s="3" t="s">
        <v>610</v>
      </c>
      <c r="AF26" s="3" t="s">
        <v>1075</v>
      </c>
      <c r="AJ26" s="3" t="s">
        <v>734</v>
      </c>
      <c r="AL26" s="3" t="s">
        <v>779</v>
      </c>
      <c r="AP26" s="3" t="s">
        <v>817</v>
      </c>
      <c r="AR26" s="3" t="s">
        <v>846</v>
      </c>
      <c r="AS26" s="3" t="s">
        <v>853</v>
      </c>
      <c r="AV26" s="3" t="s">
        <v>1056</v>
      </c>
      <c r="CE26" s="79">
        <f t="shared" si="9"/>
        <v>18</v>
      </c>
      <c r="CF26" s="79">
        <f t="shared" si="0"/>
        <v>890</v>
      </c>
      <c r="CG26" s="81">
        <f t="shared" si="1"/>
        <v>148.19999999999999</v>
      </c>
      <c r="CH26" s="79">
        <f t="shared" si="2"/>
        <v>31</v>
      </c>
      <c r="CI26" s="79">
        <f t="shared" si="3"/>
        <v>567</v>
      </c>
      <c r="CJ26" s="79">
        <f t="shared" si="4"/>
        <v>28</v>
      </c>
      <c r="CK26" s="82">
        <f t="shared" si="10"/>
        <v>20.25</v>
      </c>
      <c r="CL26" s="83">
        <f t="shared" si="11"/>
        <v>31.785714285714285</v>
      </c>
      <c r="CM26" s="83">
        <f t="shared" si="12"/>
        <v>3.8224719101123594</v>
      </c>
      <c r="CN26" s="63" t="str">
        <f t="shared" si="5"/>
        <v>4-48</v>
      </c>
      <c r="CO26" s="79">
        <f t="shared" si="6"/>
        <v>366</v>
      </c>
      <c r="CP26" s="79">
        <f t="shared" si="7"/>
        <v>4</v>
      </c>
      <c r="CQ26" s="79">
        <f t="shared" si="8"/>
        <v>3</v>
      </c>
    </row>
    <row r="27" spans="1:95" ht="11.25" customHeight="1" x14ac:dyDescent="0.15">
      <c r="A27" s="3" t="s">
        <v>138</v>
      </c>
      <c r="B27" s="3" t="s">
        <v>83</v>
      </c>
      <c r="M27" s="84"/>
      <c r="O27" s="3" t="s">
        <v>534</v>
      </c>
      <c r="CE27" s="79">
        <f t="shared" si="9"/>
        <v>1</v>
      </c>
      <c r="CF27" s="79">
        <f t="shared" si="0"/>
        <v>60</v>
      </c>
      <c r="CG27" s="81">
        <f t="shared" si="1"/>
        <v>10</v>
      </c>
      <c r="CH27" s="79">
        <f t="shared" si="2"/>
        <v>0</v>
      </c>
      <c r="CI27" s="79">
        <f t="shared" si="3"/>
        <v>49</v>
      </c>
      <c r="CJ27" s="79">
        <f t="shared" si="4"/>
        <v>2</v>
      </c>
      <c r="CK27" s="82">
        <f t="shared" si="10"/>
        <v>24.5</v>
      </c>
      <c r="CL27" s="83">
        <f t="shared" si="11"/>
        <v>30</v>
      </c>
      <c r="CM27" s="83">
        <f t="shared" si="12"/>
        <v>4.9000000000000004</v>
      </c>
      <c r="CN27" s="63" t="str">
        <f t="shared" si="5"/>
        <v>2-49</v>
      </c>
      <c r="CO27" s="79">
        <f t="shared" si="6"/>
        <v>20</v>
      </c>
      <c r="CP27" s="79">
        <f t="shared" si="7"/>
        <v>2</v>
      </c>
      <c r="CQ27" s="79">
        <f t="shared" si="8"/>
        <v>2</v>
      </c>
    </row>
    <row r="28" spans="1:95" ht="11.25" customHeight="1" x14ac:dyDescent="0.15">
      <c r="A28" s="3" t="s">
        <v>139</v>
      </c>
      <c r="B28" s="3" t="s">
        <v>140</v>
      </c>
      <c r="C28" s="3" t="s">
        <v>1028</v>
      </c>
      <c r="E28" s="3" t="s">
        <v>374</v>
      </c>
      <c r="R28" s="3" t="s">
        <v>596</v>
      </c>
      <c r="U28" s="3" t="s">
        <v>599</v>
      </c>
      <c r="AB28" s="3" t="s">
        <v>793</v>
      </c>
      <c r="CE28" s="79">
        <f t="shared" si="9"/>
        <v>5</v>
      </c>
      <c r="CF28" s="79">
        <f t="shared" si="0"/>
        <v>234</v>
      </c>
      <c r="CG28" s="81">
        <f t="shared" si="1"/>
        <v>39</v>
      </c>
      <c r="CH28" s="79">
        <f t="shared" si="2"/>
        <v>6</v>
      </c>
      <c r="CI28" s="79">
        <f t="shared" si="3"/>
        <v>127</v>
      </c>
      <c r="CJ28" s="79">
        <f t="shared" si="4"/>
        <v>6</v>
      </c>
      <c r="CK28" s="82">
        <f t="shared" si="10"/>
        <v>21.166666666666668</v>
      </c>
      <c r="CL28" s="83">
        <f t="shared" si="11"/>
        <v>39</v>
      </c>
      <c r="CM28" s="83">
        <f t="shared" si="12"/>
        <v>3.2564102564102564</v>
      </c>
      <c r="CN28" s="63" t="str">
        <f t="shared" si="5"/>
        <v>2-21</v>
      </c>
      <c r="CO28" s="79">
        <f t="shared" si="6"/>
        <v>86</v>
      </c>
      <c r="CP28" s="79">
        <f t="shared" si="7"/>
        <v>2</v>
      </c>
      <c r="CQ28" s="79">
        <f t="shared" si="8"/>
        <v>0</v>
      </c>
    </row>
    <row r="29" spans="1:95" ht="11.25" customHeight="1" x14ac:dyDescent="0.15">
      <c r="A29" s="3" t="s">
        <v>141</v>
      </c>
      <c r="B29" s="3" t="s">
        <v>142</v>
      </c>
      <c r="E29" s="3" t="s">
        <v>375</v>
      </c>
      <c r="K29" s="3" t="s">
        <v>483</v>
      </c>
      <c r="M29" s="84"/>
      <c r="R29" s="3" t="s">
        <v>597</v>
      </c>
      <c r="U29" s="3" t="s">
        <v>1032</v>
      </c>
      <c r="AN29" s="3" t="s">
        <v>1041</v>
      </c>
      <c r="AR29" s="3" t="s">
        <v>850</v>
      </c>
      <c r="AX29" s="3" t="s">
        <v>938</v>
      </c>
      <c r="BA29" s="3" t="s">
        <v>945</v>
      </c>
      <c r="CE29" s="79">
        <f t="shared" si="9"/>
        <v>8</v>
      </c>
      <c r="CF29" s="79">
        <f t="shared" si="0"/>
        <v>522</v>
      </c>
      <c r="CG29" s="81">
        <f t="shared" si="1"/>
        <v>87</v>
      </c>
      <c r="CH29" s="79">
        <f t="shared" si="2"/>
        <v>28</v>
      </c>
      <c r="CI29" s="79">
        <f t="shared" si="3"/>
        <v>199</v>
      </c>
      <c r="CJ29" s="79">
        <f t="shared" si="4"/>
        <v>24</v>
      </c>
      <c r="CK29" s="82">
        <f t="shared" si="10"/>
        <v>8.2916666666666661</v>
      </c>
      <c r="CL29" s="83">
        <f t="shared" si="11"/>
        <v>21.75</v>
      </c>
      <c r="CM29" s="83">
        <f t="shared" si="12"/>
        <v>2.2873563218390807</v>
      </c>
      <c r="CN29" s="63" t="str">
        <f t="shared" si="5"/>
        <v>5-6</v>
      </c>
      <c r="CO29" s="79">
        <f t="shared" si="6"/>
        <v>343</v>
      </c>
      <c r="CP29" s="79">
        <f t="shared" si="7"/>
        <v>13</v>
      </c>
      <c r="CQ29" s="79">
        <f t="shared" si="8"/>
        <v>2</v>
      </c>
    </row>
    <row r="30" spans="1:95" ht="11.25" customHeight="1" x14ac:dyDescent="0.15">
      <c r="A30" s="3" t="s">
        <v>143</v>
      </c>
      <c r="B30" s="3" t="s">
        <v>87</v>
      </c>
      <c r="D30" s="3" t="s">
        <v>353</v>
      </c>
      <c r="G30" s="3" t="s">
        <v>402</v>
      </c>
      <c r="T30" s="3" t="s">
        <v>576</v>
      </c>
      <c r="W30" s="3" t="s">
        <v>611</v>
      </c>
      <c r="Z30" s="3" t="s">
        <v>680</v>
      </c>
      <c r="AF30" s="3" t="s">
        <v>702</v>
      </c>
      <c r="AI30" s="3" t="s">
        <v>707</v>
      </c>
      <c r="AM30" s="3" t="s">
        <v>730</v>
      </c>
      <c r="AO30" s="3" t="s">
        <v>764</v>
      </c>
      <c r="AQ30" s="3" t="s">
        <v>842</v>
      </c>
      <c r="AS30" s="3" t="s">
        <v>856</v>
      </c>
      <c r="AW30" s="3" t="s">
        <v>904</v>
      </c>
      <c r="AZ30" s="3" t="s">
        <v>923</v>
      </c>
      <c r="BC30" s="3" t="s">
        <v>995</v>
      </c>
      <c r="CE30" s="79">
        <f t="shared" si="9"/>
        <v>14</v>
      </c>
      <c r="CF30" s="79">
        <f t="shared" si="0"/>
        <v>423</v>
      </c>
      <c r="CG30" s="81">
        <f t="shared" si="1"/>
        <v>70.3</v>
      </c>
      <c r="CH30" s="79">
        <f t="shared" si="2"/>
        <v>5</v>
      </c>
      <c r="CI30" s="79">
        <f t="shared" si="3"/>
        <v>356</v>
      </c>
      <c r="CJ30" s="79">
        <f t="shared" si="4"/>
        <v>24</v>
      </c>
      <c r="CK30" s="82">
        <f t="shared" si="10"/>
        <v>14.833333333333334</v>
      </c>
      <c r="CL30" s="83">
        <f t="shared" si="11"/>
        <v>17.625</v>
      </c>
      <c r="CM30" s="83">
        <f t="shared" si="12"/>
        <v>5.0496453900709222</v>
      </c>
      <c r="CN30" s="63" t="str">
        <f t="shared" si="5"/>
        <v>4-22</v>
      </c>
      <c r="CO30" s="79">
        <f t="shared" si="6"/>
        <v>230</v>
      </c>
      <c r="CP30" s="79">
        <f t="shared" si="7"/>
        <v>4</v>
      </c>
      <c r="CQ30" s="79">
        <f t="shared" si="8"/>
        <v>0</v>
      </c>
    </row>
    <row r="31" spans="1:95" x14ac:dyDescent="0.15">
      <c r="B31" s="3" t="s">
        <v>427</v>
      </c>
      <c r="H31" s="3" t="s">
        <v>432</v>
      </c>
      <c r="K31" s="3" t="s">
        <v>481</v>
      </c>
      <c r="Q31" s="3" t="s">
        <v>563</v>
      </c>
      <c r="T31" s="3" t="s">
        <v>572</v>
      </c>
      <c r="U31" s="3" t="s">
        <v>1031</v>
      </c>
      <c r="Z31" s="3" t="s">
        <v>682</v>
      </c>
      <c r="AB31" s="3" t="s">
        <v>792</v>
      </c>
      <c r="AF31" s="3" t="s">
        <v>701</v>
      </c>
      <c r="AI31" s="3" t="s">
        <v>706</v>
      </c>
      <c r="AJ31" s="3" t="s">
        <v>736</v>
      </c>
      <c r="AS31" s="3" t="s">
        <v>855</v>
      </c>
      <c r="AT31" s="3" t="s">
        <v>883</v>
      </c>
      <c r="AX31" s="3" t="s">
        <v>1062</v>
      </c>
      <c r="BB31" s="3" t="s">
        <v>961</v>
      </c>
      <c r="BD31" s="3" t="s">
        <v>1010</v>
      </c>
      <c r="CE31" s="79">
        <f t="shared" ref="CE31:CE36" si="13">BowlSplit(C31:CC31,InnsBowledIn)</f>
        <v>15</v>
      </c>
      <c r="CF31" s="79">
        <f t="shared" ref="CF31:CF36" si="14">BowlSplit(C31:CC31,BallsBowled)</f>
        <v>451</v>
      </c>
      <c r="CG31" s="81">
        <f t="shared" ref="CG31:CG36" si="15">BowlSplit(C31:CC31,OversBowled)</f>
        <v>75.099999999999994</v>
      </c>
      <c r="CH31" s="79">
        <f t="shared" ref="CH31:CH36" si="16">BowlSplit(C31:CC31,Maidens)</f>
        <v>6</v>
      </c>
      <c r="CI31" s="79">
        <f t="shared" ref="CI31:CI36" si="17">BowlSplit(C31:CC31,RunsConceded)</f>
        <v>403</v>
      </c>
      <c r="CJ31" s="79">
        <f t="shared" ref="CJ31:CJ36" si="18">BowlSplit(C31:CC31,WicketsTaken)</f>
        <v>11</v>
      </c>
      <c r="CK31" s="82">
        <f t="shared" ref="CK31:CK36" si="19">IF(CJ31&gt;0,CI31/CJ31,"")</f>
        <v>36.636363636363633</v>
      </c>
      <c r="CL31" s="83">
        <f t="shared" ref="CL31:CL36" si="20">IF(CJ31&gt;0,CF31/CJ31,"")</f>
        <v>41</v>
      </c>
      <c r="CM31" s="83">
        <f t="shared" ref="CM31:CM36" si="21">IF(CF31&gt;0,6*CI31/CF31,"")</f>
        <v>5.3614190687361418</v>
      </c>
      <c r="CN31" s="63" t="str">
        <f t="shared" ref="CN31:CN36" si="22">BowlSplit(C31:CC31,BestBowling)</f>
        <v>3-9</v>
      </c>
      <c r="CO31" s="79">
        <f t="shared" ref="CO31:CO36" si="23">BowlSplit(C31:CC31,BowlPts)</f>
        <v>116</v>
      </c>
      <c r="CP31" s="79">
        <f t="shared" ref="CP31:CP36" si="24">BowlSplit(C31:CC31,Wides)</f>
        <v>21</v>
      </c>
      <c r="CQ31" s="79">
        <f t="shared" ref="CQ31:CQ36" si="25">BowlSplit(C31:CC31,NoBalls)</f>
        <v>0</v>
      </c>
    </row>
    <row r="32" spans="1:95" x14ac:dyDescent="0.15">
      <c r="B32" s="3" t="s">
        <v>443</v>
      </c>
      <c r="J32" s="3" t="s">
        <v>455</v>
      </c>
      <c r="CE32" s="79">
        <f t="shared" si="13"/>
        <v>1</v>
      </c>
      <c r="CF32" s="79">
        <f t="shared" si="14"/>
        <v>30</v>
      </c>
      <c r="CG32" s="81">
        <f t="shared" si="15"/>
        <v>5</v>
      </c>
      <c r="CH32" s="79">
        <f t="shared" si="16"/>
        <v>1</v>
      </c>
      <c r="CI32" s="79">
        <f t="shared" si="17"/>
        <v>19</v>
      </c>
      <c r="CJ32" s="79">
        <f t="shared" si="18"/>
        <v>0</v>
      </c>
      <c r="CK32" s="82" t="str">
        <f t="shared" si="19"/>
        <v/>
      </c>
      <c r="CL32" s="83" t="str">
        <f t="shared" si="20"/>
        <v/>
      </c>
      <c r="CM32" s="83">
        <f t="shared" si="21"/>
        <v>3.8</v>
      </c>
      <c r="CN32" s="63" t="str">
        <f t="shared" si="22"/>
        <v>0-19</v>
      </c>
      <c r="CO32" s="79">
        <f t="shared" si="23"/>
        <v>6</v>
      </c>
      <c r="CP32" s="79">
        <f t="shared" si="24"/>
        <v>0</v>
      </c>
      <c r="CQ32" s="79">
        <f t="shared" si="25"/>
        <v>0</v>
      </c>
    </row>
    <row r="33" spans="2:95" x14ac:dyDescent="0.15">
      <c r="B33" s="3" t="s">
        <v>453</v>
      </c>
      <c r="L33" s="3" t="s">
        <v>459</v>
      </c>
      <c r="S33" s="3" t="s">
        <v>667</v>
      </c>
      <c r="V33" s="3" t="s">
        <v>659</v>
      </c>
      <c r="BA33" s="3" t="s">
        <v>943</v>
      </c>
      <c r="BD33" s="3" t="s">
        <v>1011</v>
      </c>
      <c r="CE33" s="79">
        <f t="shared" si="13"/>
        <v>5</v>
      </c>
      <c r="CF33" s="79">
        <f t="shared" si="14"/>
        <v>102</v>
      </c>
      <c r="CG33" s="81">
        <f t="shared" si="15"/>
        <v>17</v>
      </c>
      <c r="CH33" s="79">
        <f t="shared" si="16"/>
        <v>1</v>
      </c>
      <c r="CI33" s="79">
        <f t="shared" si="17"/>
        <v>95</v>
      </c>
      <c r="CJ33" s="79">
        <f t="shared" si="18"/>
        <v>0</v>
      </c>
      <c r="CK33" s="82" t="str">
        <f t="shared" si="19"/>
        <v/>
      </c>
      <c r="CL33" s="83" t="str">
        <f t="shared" si="20"/>
        <v/>
      </c>
      <c r="CM33" s="83">
        <f t="shared" si="21"/>
        <v>5.5882352941176467</v>
      </c>
      <c r="CN33" s="63" t="str">
        <f t="shared" si="22"/>
        <v>0-3</v>
      </c>
      <c r="CO33" s="79">
        <f t="shared" si="23"/>
        <v>6</v>
      </c>
      <c r="CP33" s="79">
        <f t="shared" si="24"/>
        <v>8</v>
      </c>
      <c r="CQ33" s="79">
        <f t="shared" si="25"/>
        <v>1</v>
      </c>
    </row>
    <row r="34" spans="2:95" x14ac:dyDescent="0.15">
      <c r="B34" s="3" t="s">
        <v>557</v>
      </c>
      <c r="Q34" s="3" t="s">
        <v>399</v>
      </c>
      <c r="CE34" s="79">
        <f t="shared" si="13"/>
        <v>1</v>
      </c>
      <c r="CF34" s="79">
        <f t="shared" si="14"/>
        <v>24</v>
      </c>
      <c r="CG34" s="81">
        <f t="shared" si="15"/>
        <v>4</v>
      </c>
      <c r="CH34" s="79">
        <f t="shared" si="16"/>
        <v>0</v>
      </c>
      <c r="CI34" s="79">
        <f t="shared" si="17"/>
        <v>27</v>
      </c>
      <c r="CJ34" s="79">
        <f t="shared" si="18"/>
        <v>1</v>
      </c>
      <c r="CK34" s="82">
        <f t="shared" si="19"/>
        <v>27</v>
      </c>
      <c r="CL34" s="83">
        <f t="shared" si="20"/>
        <v>24</v>
      </c>
      <c r="CM34" s="83">
        <f t="shared" si="21"/>
        <v>6.75</v>
      </c>
      <c r="CN34" s="63" t="str">
        <f t="shared" si="22"/>
        <v>1-27</v>
      </c>
      <c r="CO34" s="79">
        <f t="shared" si="23"/>
        <v>5</v>
      </c>
      <c r="CP34" s="79">
        <f t="shared" si="24"/>
        <v>2</v>
      </c>
      <c r="CQ34" s="79">
        <f t="shared" si="25"/>
        <v>0</v>
      </c>
    </row>
    <row r="35" spans="2:95" x14ac:dyDescent="0.15">
      <c r="B35" s="3" t="s">
        <v>645</v>
      </c>
      <c r="Y35" s="3" t="s">
        <v>664</v>
      </c>
      <c r="AN35" s="3" t="s">
        <v>804</v>
      </c>
      <c r="AP35" s="3" t="s">
        <v>819</v>
      </c>
      <c r="BA35" s="3" t="s">
        <v>941</v>
      </c>
      <c r="CE35" s="79">
        <f t="shared" si="13"/>
        <v>4</v>
      </c>
      <c r="CF35" s="79">
        <f t="shared" si="14"/>
        <v>108</v>
      </c>
      <c r="CG35" s="81">
        <f t="shared" si="15"/>
        <v>18</v>
      </c>
      <c r="CH35" s="79">
        <f t="shared" si="16"/>
        <v>2</v>
      </c>
      <c r="CI35" s="79">
        <f t="shared" si="17"/>
        <v>62</v>
      </c>
      <c r="CJ35" s="79">
        <f t="shared" si="18"/>
        <v>2</v>
      </c>
      <c r="CK35" s="82">
        <f t="shared" si="19"/>
        <v>31</v>
      </c>
      <c r="CL35" s="83">
        <f t="shared" si="20"/>
        <v>54</v>
      </c>
      <c r="CM35" s="83">
        <f t="shared" si="21"/>
        <v>3.4444444444444446</v>
      </c>
      <c r="CN35" s="63" t="str">
        <f t="shared" si="22"/>
        <v>2-11</v>
      </c>
      <c r="CO35" s="79">
        <f t="shared" si="23"/>
        <v>37</v>
      </c>
      <c r="CP35" s="79">
        <f t="shared" si="24"/>
        <v>3</v>
      </c>
      <c r="CQ35" s="79">
        <f t="shared" si="25"/>
        <v>0</v>
      </c>
    </row>
    <row r="36" spans="2:95" x14ac:dyDescent="0.15">
      <c r="B36" s="3" t="s">
        <v>642</v>
      </c>
      <c r="Y36" s="3" t="s">
        <v>662</v>
      </c>
      <c r="CE36" s="79">
        <f t="shared" si="13"/>
        <v>1</v>
      </c>
      <c r="CF36" s="79">
        <f t="shared" si="14"/>
        <v>24</v>
      </c>
      <c r="CG36" s="81">
        <f t="shared" si="15"/>
        <v>4</v>
      </c>
      <c r="CH36" s="79">
        <f t="shared" si="16"/>
        <v>0</v>
      </c>
      <c r="CI36" s="79">
        <f t="shared" si="17"/>
        <v>20</v>
      </c>
      <c r="CJ36" s="79">
        <f t="shared" si="18"/>
        <v>0</v>
      </c>
      <c r="CK36" s="82" t="str">
        <f t="shared" si="19"/>
        <v/>
      </c>
      <c r="CL36" s="83" t="str">
        <f t="shared" si="20"/>
        <v/>
      </c>
      <c r="CM36" s="83">
        <f t="shared" si="21"/>
        <v>5</v>
      </c>
      <c r="CN36" s="63" t="str">
        <f t="shared" si="22"/>
        <v>0-20</v>
      </c>
      <c r="CO36" s="79">
        <f t="shared" si="23"/>
        <v>0</v>
      </c>
      <c r="CP36" s="79">
        <f t="shared" si="24"/>
        <v>0</v>
      </c>
      <c r="CQ36" s="79">
        <f t="shared" si="25"/>
        <v>0</v>
      </c>
    </row>
    <row r="37" spans="2:95" x14ac:dyDescent="0.15">
      <c r="B37" s="3" t="s">
        <v>905</v>
      </c>
      <c r="AW37" s="3" t="s">
        <v>1078</v>
      </c>
      <c r="CE37" s="79">
        <f>BowlSplit(C37:CC37,InnsBowledIn)</f>
        <v>1</v>
      </c>
      <c r="CF37" s="79">
        <f>BowlSplit(C37:CC37,BallsBowled)</f>
        <v>7</v>
      </c>
      <c r="CG37" s="81">
        <f>BowlSplit(C37:CC37,OversBowled)</f>
        <v>1.1000000000000001</v>
      </c>
      <c r="CH37" s="79">
        <f>BowlSplit(C37:CC37,Maidens)</f>
        <v>0</v>
      </c>
      <c r="CI37" s="79">
        <f>BowlSplit(C37:CC37,RunsConceded)</f>
        <v>3</v>
      </c>
      <c r="CJ37" s="79">
        <f>BowlSplit(C37:CC37,WicketsTaken)</f>
        <v>1</v>
      </c>
      <c r="CK37" s="82">
        <f>IF(CJ37&gt;0,CI37/CJ37,"")</f>
        <v>3</v>
      </c>
      <c r="CL37" s="83">
        <f>IF(CJ37&gt;0,CF37/CJ37,"")</f>
        <v>7</v>
      </c>
      <c r="CM37" s="83">
        <f>IF(CF37&gt;0,6*CI37/CF37,"")</f>
        <v>2.5714285714285716</v>
      </c>
      <c r="CN37" s="63" t="str">
        <f>BowlSplit(C37:CC37,BestBowling)</f>
        <v>1-3</v>
      </c>
      <c r="CO37" s="79">
        <f>BowlSplit(C37:CC37,BowlPts)</f>
        <v>20</v>
      </c>
      <c r="CP37" s="79">
        <f>BowlSplit(C37:CC37,Wides)</f>
        <v>1</v>
      </c>
      <c r="CQ37" s="79">
        <f>BowlSplit(C37:CC37,NoBalls)</f>
        <v>0</v>
      </c>
    </row>
    <row r="38" spans="2:95" x14ac:dyDescent="0.15">
      <c r="B38" s="3" t="s">
        <v>933</v>
      </c>
      <c r="AX38" s="3" t="s">
        <v>939</v>
      </c>
      <c r="BB38" s="3" t="s">
        <v>1069</v>
      </c>
      <c r="CE38" s="79">
        <f>BowlSplit(C38:CC38,InnsBowledIn)</f>
        <v>2</v>
      </c>
      <c r="CF38" s="79">
        <f>BowlSplit(C38:CC38,BallsBowled)</f>
        <v>60</v>
      </c>
      <c r="CG38" s="81">
        <f>BowlSplit(C38:CC38,OversBowled)</f>
        <v>10</v>
      </c>
      <c r="CH38" s="79">
        <f>BowlSplit(C38:CC38,Maidens)</f>
        <v>2</v>
      </c>
      <c r="CI38" s="79">
        <f>BowlSplit(C38:CC38,RunsConceded)</f>
        <v>49</v>
      </c>
      <c r="CJ38" s="79">
        <f>BowlSplit(C38:CC38,WicketsTaken)</f>
        <v>2</v>
      </c>
      <c r="CK38" s="82">
        <f>IF(CJ38&gt;0,CI38/CJ38,"")</f>
        <v>24.5</v>
      </c>
      <c r="CL38" s="83">
        <f>IF(CJ38&gt;0,CF38/CJ38,"")</f>
        <v>30</v>
      </c>
      <c r="CM38" s="83">
        <f>IF(CF38&gt;0,6*CI38/CF38,"")</f>
        <v>4.9000000000000004</v>
      </c>
      <c r="CN38" s="63" t="str">
        <f>BowlSplit(C38:CC38,BestBowling)</f>
        <v>2-21</v>
      </c>
      <c r="CO38" s="79">
        <f>BowlSplit(C38:CC38,BowlPts)</f>
        <v>17</v>
      </c>
      <c r="CP38" s="79">
        <f>BowlSplit(C38:CC38,Wides)</f>
        <v>3</v>
      </c>
      <c r="CQ38" s="79">
        <f>BowlSplit(C38:CC38,NoBalls)</f>
        <v>0</v>
      </c>
    </row>
    <row r="40" spans="2:95" x14ac:dyDescent="0.15">
      <c r="B40" s="3" t="s">
        <v>1025</v>
      </c>
      <c r="C40" s="3">
        <f>BowlSplit(C5:C38,RunsConceded)</f>
        <v>47</v>
      </c>
      <c r="D40" s="3">
        <f t="shared" ref="D40:BF40" si="26">BowlSplit(D5:D38,RunsConceded)</f>
        <v>170</v>
      </c>
      <c r="E40" s="3">
        <f t="shared" si="26"/>
        <v>131</v>
      </c>
      <c r="F40" s="3">
        <f t="shared" si="26"/>
        <v>119</v>
      </c>
      <c r="G40" s="3">
        <f t="shared" si="26"/>
        <v>134</v>
      </c>
      <c r="H40" s="3">
        <f t="shared" si="26"/>
        <v>86</v>
      </c>
      <c r="I40" s="3">
        <f t="shared" si="26"/>
        <v>0</v>
      </c>
      <c r="J40" s="3">
        <f t="shared" si="26"/>
        <v>134</v>
      </c>
      <c r="K40" s="3">
        <f t="shared" si="26"/>
        <v>168</v>
      </c>
      <c r="L40" s="3">
        <f t="shared" si="26"/>
        <v>130</v>
      </c>
      <c r="M40" s="3">
        <f t="shared" si="26"/>
        <v>104</v>
      </c>
      <c r="N40" s="3">
        <f t="shared" si="26"/>
        <v>152</v>
      </c>
      <c r="O40" s="3">
        <f t="shared" si="26"/>
        <v>186</v>
      </c>
      <c r="P40" s="3">
        <f t="shared" si="26"/>
        <v>174</v>
      </c>
      <c r="Q40" s="3">
        <f t="shared" si="26"/>
        <v>99</v>
      </c>
      <c r="R40" s="3">
        <f t="shared" si="26"/>
        <v>163</v>
      </c>
      <c r="S40" s="3">
        <f t="shared" si="26"/>
        <v>272</v>
      </c>
      <c r="T40" s="3">
        <f t="shared" si="26"/>
        <v>102</v>
      </c>
      <c r="U40" s="3">
        <f t="shared" si="26"/>
        <v>118</v>
      </c>
      <c r="V40" s="3">
        <f t="shared" si="26"/>
        <v>96</v>
      </c>
      <c r="W40" s="3">
        <f t="shared" si="26"/>
        <v>114</v>
      </c>
      <c r="X40" s="3">
        <f t="shared" si="26"/>
        <v>0</v>
      </c>
      <c r="Y40" s="3">
        <f t="shared" si="26"/>
        <v>120</v>
      </c>
      <c r="Z40" s="3">
        <f t="shared" si="26"/>
        <v>111</v>
      </c>
      <c r="AA40" s="3">
        <f t="shared" si="26"/>
        <v>0</v>
      </c>
      <c r="AB40" s="3">
        <f t="shared" si="26"/>
        <v>155</v>
      </c>
      <c r="AC40" s="3">
        <f t="shared" si="26"/>
        <v>0</v>
      </c>
      <c r="AD40" s="3">
        <f t="shared" si="26"/>
        <v>0</v>
      </c>
      <c r="AE40" s="3">
        <f t="shared" si="26"/>
        <v>0</v>
      </c>
      <c r="AF40" s="3">
        <f t="shared" si="26"/>
        <v>187</v>
      </c>
      <c r="AG40" s="3">
        <f t="shared" si="26"/>
        <v>180</v>
      </c>
      <c r="AH40" s="3">
        <f t="shared" si="26"/>
        <v>0</v>
      </c>
      <c r="AI40" s="3">
        <f t="shared" si="26"/>
        <v>169</v>
      </c>
      <c r="AJ40" s="3">
        <f t="shared" si="26"/>
        <v>115</v>
      </c>
      <c r="AK40" s="3">
        <f t="shared" si="26"/>
        <v>0</v>
      </c>
      <c r="AL40" s="3">
        <f t="shared" si="26"/>
        <v>101</v>
      </c>
      <c r="AM40" s="3">
        <f t="shared" si="26"/>
        <v>139</v>
      </c>
      <c r="AN40" s="3">
        <f t="shared" si="26"/>
        <v>102</v>
      </c>
      <c r="AO40" s="3">
        <f t="shared" si="26"/>
        <v>171</v>
      </c>
      <c r="AP40" s="3">
        <f t="shared" si="26"/>
        <v>138</v>
      </c>
      <c r="AQ40" s="3">
        <f t="shared" si="26"/>
        <v>133</v>
      </c>
      <c r="AR40" s="3">
        <f t="shared" si="26"/>
        <v>129</v>
      </c>
      <c r="AS40" s="3">
        <f t="shared" si="26"/>
        <v>189</v>
      </c>
      <c r="AT40" s="3">
        <f t="shared" si="26"/>
        <v>136</v>
      </c>
      <c r="AU40" s="3">
        <f t="shared" si="26"/>
        <v>0</v>
      </c>
      <c r="AV40" s="3">
        <f t="shared" si="26"/>
        <v>150</v>
      </c>
      <c r="AW40" s="3">
        <f t="shared" si="26"/>
        <v>92</v>
      </c>
      <c r="AX40" s="3">
        <f t="shared" si="26"/>
        <v>165</v>
      </c>
      <c r="AY40" s="3">
        <f t="shared" si="26"/>
        <v>170</v>
      </c>
      <c r="AZ40" s="3">
        <f t="shared" si="26"/>
        <v>130</v>
      </c>
      <c r="BA40" s="3">
        <f t="shared" si="26"/>
        <v>105</v>
      </c>
      <c r="BB40" s="3">
        <f t="shared" si="26"/>
        <v>134</v>
      </c>
      <c r="BC40" s="3">
        <f t="shared" si="26"/>
        <v>156</v>
      </c>
      <c r="BD40" s="3">
        <f t="shared" si="26"/>
        <v>179</v>
      </c>
      <c r="BE40" s="3">
        <f t="shared" si="26"/>
        <v>0</v>
      </c>
      <c r="BF40" s="3">
        <f t="shared" si="26"/>
        <v>0</v>
      </c>
      <c r="CE40" s="79">
        <f>SUM(C40:BF40)</f>
        <v>6255</v>
      </c>
      <c r="CJ40" s="79">
        <f>SUM(CJ5:CJ38)</f>
        <v>337</v>
      </c>
    </row>
    <row r="41" spans="2:95" x14ac:dyDescent="0.15">
      <c r="B41" s="3" t="s">
        <v>1026</v>
      </c>
      <c r="C41" s="3">
        <f t="array" ref="C41:BF42">TRANSPOSE(Matches!Q5:R58)</f>
        <v>0</v>
      </c>
      <c r="D41" s="3">
        <v>6</v>
      </c>
      <c r="E41" s="3">
        <v>1</v>
      </c>
      <c r="F41" s="3">
        <v>2</v>
      </c>
      <c r="G41" s="3">
        <v>2</v>
      </c>
      <c r="H41" s="3">
        <v>3</v>
      </c>
      <c r="I41" s="3">
        <v>0</v>
      </c>
      <c r="J41" s="3">
        <v>11</v>
      </c>
      <c r="K41" s="3">
        <v>7</v>
      </c>
      <c r="L41" s="3">
        <v>0</v>
      </c>
      <c r="M41" s="3">
        <v>4</v>
      </c>
      <c r="N41" s="3">
        <v>8</v>
      </c>
      <c r="O41" s="3">
        <v>6</v>
      </c>
      <c r="P41" s="3">
        <v>5</v>
      </c>
      <c r="Q41" s="3">
        <v>8</v>
      </c>
      <c r="R41" s="3">
        <v>5</v>
      </c>
      <c r="S41" s="3">
        <v>6</v>
      </c>
      <c r="T41" s="3">
        <v>6</v>
      </c>
      <c r="U41" s="3">
        <v>2</v>
      </c>
      <c r="V41" s="3">
        <v>8</v>
      </c>
      <c r="W41" s="3">
        <v>8</v>
      </c>
      <c r="X41" s="3">
        <v>0</v>
      </c>
      <c r="Y41" s="3">
        <v>9</v>
      </c>
      <c r="Z41" s="3">
        <v>0</v>
      </c>
      <c r="AA41" s="3">
        <v>0</v>
      </c>
      <c r="AB41" s="3">
        <v>7</v>
      </c>
      <c r="AC41" s="3">
        <v>0</v>
      </c>
      <c r="AD41" s="3">
        <v>0</v>
      </c>
      <c r="AE41" s="3">
        <v>0</v>
      </c>
      <c r="AF41" s="3">
        <v>5</v>
      </c>
      <c r="AG41" s="3">
        <v>1</v>
      </c>
      <c r="AH41" s="3">
        <v>0</v>
      </c>
      <c r="AI41" s="3">
        <v>3</v>
      </c>
      <c r="AJ41" s="3">
        <v>2</v>
      </c>
      <c r="AK41" s="3">
        <v>0</v>
      </c>
      <c r="AL41" s="3">
        <v>0</v>
      </c>
      <c r="AM41" s="3">
        <v>1</v>
      </c>
      <c r="AN41" s="3">
        <v>1</v>
      </c>
      <c r="AO41" s="3">
        <v>0</v>
      </c>
      <c r="AP41" s="3">
        <v>8</v>
      </c>
      <c r="AQ41" s="3">
        <v>0</v>
      </c>
      <c r="AR41" s="3">
        <v>7</v>
      </c>
      <c r="AS41" s="3">
        <v>19</v>
      </c>
      <c r="AT41" s="3">
        <v>3</v>
      </c>
      <c r="AU41" s="3">
        <v>0</v>
      </c>
      <c r="AV41" s="3">
        <v>1</v>
      </c>
      <c r="AW41" s="3">
        <v>1</v>
      </c>
      <c r="AX41" s="3">
        <v>12</v>
      </c>
      <c r="AY41" s="3">
        <v>3</v>
      </c>
      <c r="AZ41" s="3">
        <v>14</v>
      </c>
      <c r="BA41" s="3">
        <v>1</v>
      </c>
      <c r="BB41" s="3">
        <v>19</v>
      </c>
      <c r="BC41" s="3">
        <v>13</v>
      </c>
      <c r="BD41" s="3">
        <v>6</v>
      </c>
      <c r="BE41" s="3" t="e">
        <v>#N/A</v>
      </c>
      <c r="BF41" s="3" t="e">
        <v>#N/A</v>
      </c>
      <c r="CE41" s="79" t="e">
        <f>SUM(C41:BF41)</f>
        <v>#N/A</v>
      </c>
    </row>
    <row r="42" spans="2:95" x14ac:dyDescent="0.15">
      <c r="B42" s="3" t="s">
        <v>1027</v>
      </c>
      <c r="C42" s="3">
        <v>2</v>
      </c>
      <c r="D42" s="3">
        <v>5</v>
      </c>
      <c r="E42" s="3">
        <v>5</v>
      </c>
      <c r="F42" s="3">
        <v>0</v>
      </c>
      <c r="G42" s="3">
        <v>1</v>
      </c>
      <c r="H42" s="3">
        <v>3</v>
      </c>
      <c r="I42" s="3">
        <v>0</v>
      </c>
      <c r="J42" s="3">
        <v>3</v>
      </c>
      <c r="K42" s="3">
        <v>2</v>
      </c>
      <c r="L42" s="3">
        <v>1</v>
      </c>
      <c r="M42" s="3">
        <v>1</v>
      </c>
      <c r="N42" s="3">
        <v>4</v>
      </c>
      <c r="O42" s="3">
        <v>1</v>
      </c>
      <c r="P42" s="3">
        <v>2</v>
      </c>
      <c r="Q42" s="3">
        <v>3</v>
      </c>
      <c r="R42" s="3">
        <v>2</v>
      </c>
      <c r="S42" s="3">
        <v>2</v>
      </c>
      <c r="T42" s="3">
        <v>0</v>
      </c>
      <c r="U42" s="3">
        <v>1</v>
      </c>
      <c r="V42" s="3">
        <v>1</v>
      </c>
      <c r="W42" s="3">
        <v>3</v>
      </c>
      <c r="X42" s="3">
        <v>0</v>
      </c>
      <c r="Y42" s="3">
        <v>2</v>
      </c>
      <c r="Z42" s="3">
        <v>4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8</v>
      </c>
      <c r="AG42" s="3">
        <v>2</v>
      </c>
      <c r="AH42" s="3">
        <v>0</v>
      </c>
      <c r="AI42" s="3">
        <v>3</v>
      </c>
      <c r="AJ42" s="3">
        <v>8</v>
      </c>
      <c r="AK42" s="3">
        <v>0</v>
      </c>
      <c r="AL42" s="3">
        <v>8</v>
      </c>
      <c r="AM42" s="3">
        <v>1</v>
      </c>
      <c r="AN42" s="3">
        <v>2</v>
      </c>
      <c r="AO42" s="3">
        <v>0</v>
      </c>
      <c r="AP42" s="3">
        <v>2</v>
      </c>
      <c r="AQ42" s="3">
        <v>1</v>
      </c>
      <c r="AR42" s="3">
        <v>1</v>
      </c>
      <c r="AS42" s="3">
        <v>1</v>
      </c>
      <c r="AT42" s="3">
        <v>0</v>
      </c>
      <c r="AU42" s="3">
        <v>0</v>
      </c>
      <c r="AV42" s="3">
        <v>0</v>
      </c>
      <c r="AW42" s="3">
        <v>4</v>
      </c>
      <c r="AX42" s="3">
        <v>1</v>
      </c>
      <c r="AY42" s="3">
        <v>7</v>
      </c>
      <c r="AZ42" s="3">
        <v>5</v>
      </c>
      <c r="BA42" s="3">
        <v>2</v>
      </c>
      <c r="BB42" s="3">
        <v>1</v>
      </c>
      <c r="BC42" s="3">
        <v>2</v>
      </c>
      <c r="BD42" s="3">
        <v>2</v>
      </c>
      <c r="BE42" s="3" t="e">
        <v>#N/A</v>
      </c>
      <c r="BF42" s="3" t="e">
        <v>#N/A</v>
      </c>
      <c r="CE42" s="79" t="e">
        <f>SUM(C42:BF42)</f>
        <v>#N/A</v>
      </c>
    </row>
    <row r="43" spans="2:95" s="80" customFormat="1" x14ac:dyDescent="0.15">
      <c r="B43" s="80" t="s">
        <v>1024</v>
      </c>
      <c r="C43" s="80">
        <f>SUM(C40:C42)</f>
        <v>49</v>
      </c>
      <c r="D43" s="80">
        <f t="shared" ref="D43:BF43" si="27">SUM(D40:D42)</f>
        <v>181</v>
      </c>
      <c r="E43" s="80">
        <f t="shared" si="27"/>
        <v>137</v>
      </c>
      <c r="F43" s="80">
        <f t="shared" si="27"/>
        <v>121</v>
      </c>
      <c r="G43" s="80">
        <f t="shared" si="27"/>
        <v>137</v>
      </c>
      <c r="H43" s="80">
        <f t="shared" si="27"/>
        <v>92</v>
      </c>
      <c r="I43" s="80">
        <f t="shared" si="27"/>
        <v>0</v>
      </c>
      <c r="J43" s="80">
        <f t="shared" si="27"/>
        <v>148</v>
      </c>
      <c r="K43" s="80">
        <f t="shared" si="27"/>
        <v>177</v>
      </c>
      <c r="L43" s="80">
        <f t="shared" si="27"/>
        <v>131</v>
      </c>
      <c r="M43" s="80">
        <f t="shared" si="27"/>
        <v>109</v>
      </c>
      <c r="N43" s="80">
        <f t="shared" si="27"/>
        <v>164</v>
      </c>
      <c r="O43" s="80">
        <f t="shared" si="27"/>
        <v>193</v>
      </c>
      <c r="P43" s="80">
        <f t="shared" si="27"/>
        <v>181</v>
      </c>
      <c r="Q43" s="80">
        <f t="shared" si="27"/>
        <v>110</v>
      </c>
      <c r="R43" s="80">
        <f t="shared" si="27"/>
        <v>170</v>
      </c>
      <c r="S43" s="80">
        <f t="shared" si="27"/>
        <v>280</v>
      </c>
      <c r="T43" s="80">
        <f t="shared" si="27"/>
        <v>108</v>
      </c>
      <c r="U43" s="80">
        <f t="shared" si="27"/>
        <v>121</v>
      </c>
      <c r="V43" s="80">
        <f t="shared" si="27"/>
        <v>105</v>
      </c>
      <c r="W43" s="80">
        <f t="shared" si="27"/>
        <v>125</v>
      </c>
      <c r="X43" s="80">
        <f t="shared" si="27"/>
        <v>0</v>
      </c>
      <c r="Y43" s="80">
        <f t="shared" si="27"/>
        <v>131</v>
      </c>
      <c r="Z43" s="80">
        <f t="shared" si="27"/>
        <v>115</v>
      </c>
      <c r="AA43" s="80">
        <f t="shared" si="27"/>
        <v>0</v>
      </c>
      <c r="AB43" s="80">
        <f t="shared" si="27"/>
        <v>162</v>
      </c>
      <c r="AC43" s="80">
        <f t="shared" si="27"/>
        <v>0</v>
      </c>
      <c r="AD43" s="80">
        <f t="shared" si="27"/>
        <v>0</v>
      </c>
      <c r="AE43" s="80">
        <f t="shared" si="27"/>
        <v>0</v>
      </c>
      <c r="AF43" s="80">
        <f t="shared" si="27"/>
        <v>200</v>
      </c>
      <c r="AG43" s="80">
        <f t="shared" si="27"/>
        <v>183</v>
      </c>
      <c r="AH43" s="80">
        <f t="shared" si="27"/>
        <v>0</v>
      </c>
      <c r="AI43" s="80">
        <f t="shared" si="27"/>
        <v>175</v>
      </c>
      <c r="AJ43" s="80">
        <f t="shared" si="27"/>
        <v>125</v>
      </c>
      <c r="AK43" s="80">
        <f t="shared" si="27"/>
        <v>0</v>
      </c>
      <c r="AL43" s="80">
        <f t="shared" si="27"/>
        <v>109</v>
      </c>
      <c r="AM43" s="80">
        <f t="shared" si="27"/>
        <v>141</v>
      </c>
      <c r="AN43" s="80">
        <f t="shared" si="27"/>
        <v>105</v>
      </c>
      <c r="AO43" s="80">
        <f t="shared" si="27"/>
        <v>171</v>
      </c>
      <c r="AP43" s="80">
        <f t="shared" si="27"/>
        <v>148</v>
      </c>
      <c r="AQ43" s="80">
        <f t="shared" si="27"/>
        <v>134</v>
      </c>
      <c r="AR43" s="80">
        <f t="shared" si="27"/>
        <v>137</v>
      </c>
      <c r="AS43" s="80">
        <f t="shared" si="27"/>
        <v>209</v>
      </c>
      <c r="AT43" s="80">
        <f t="shared" si="27"/>
        <v>139</v>
      </c>
      <c r="AU43" s="80">
        <f t="shared" si="27"/>
        <v>0</v>
      </c>
      <c r="AV43" s="80">
        <f t="shared" si="27"/>
        <v>151</v>
      </c>
      <c r="AW43" s="80">
        <f t="shared" si="27"/>
        <v>97</v>
      </c>
      <c r="AX43" s="80">
        <f t="shared" si="27"/>
        <v>178</v>
      </c>
      <c r="AY43" s="80">
        <f t="shared" si="27"/>
        <v>180</v>
      </c>
      <c r="AZ43" s="80">
        <f t="shared" si="27"/>
        <v>149</v>
      </c>
      <c r="BA43" s="80">
        <f t="shared" si="27"/>
        <v>108</v>
      </c>
      <c r="BB43" s="80">
        <f t="shared" si="27"/>
        <v>154</v>
      </c>
      <c r="BC43" s="80">
        <f t="shared" si="27"/>
        <v>171</v>
      </c>
      <c r="BD43" s="80">
        <f t="shared" si="27"/>
        <v>187</v>
      </c>
      <c r="BE43" s="80" t="e">
        <f t="shared" si="27"/>
        <v>#N/A</v>
      </c>
      <c r="BF43" s="80" t="e">
        <f t="shared" si="27"/>
        <v>#N/A</v>
      </c>
      <c r="CE43" s="80" t="e">
        <f>SUM(C43:BF43)</f>
        <v>#N/A</v>
      </c>
      <c r="CN43" s="85"/>
    </row>
    <row r="44" spans="2:95" x14ac:dyDescent="0.15">
      <c r="B44" s="3" t="s">
        <v>105</v>
      </c>
      <c r="C44" s="3">
        <f>BowlSplit(C5:C38,OversBowled)</f>
        <v>23</v>
      </c>
      <c r="D44" s="3">
        <f t="shared" ref="D44:BF44" si="28">BowlSplit(D5:D38,OversBowled)</f>
        <v>41</v>
      </c>
      <c r="E44" s="3">
        <f t="shared" si="28"/>
        <v>29</v>
      </c>
      <c r="F44" s="3">
        <f t="shared" si="28"/>
        <v>44.5</v>
      </c>
      <c r="G44" s="3">
        <f t="shared" si="28"/>
        <v>20</v>
      </c>
      <c r="H44" s="3">
        <f t="shared" si="28"/>
        <v>38.5</v>
      </c>
      <c r="I44" s="3">
        <f t="shared" si="28"/>
        <v>0</v>
      </c>
      <c r="J44" s="3">
        <f t="shared" si="28"/>
        <v>40</v>
      </c>
      <c r="K44" s="3">
        <f t="shared" si="28"/>
        <v>44</v>
      </c>
      <c r="L44" s="3">
        <f t="shared" si="28"/>
        <v>41</v>
      </c>
      <c r="M44" s="3">
        <f t="shared" si="28"/>
        <v>45</v>
      </c>
      <c r="N44" s="3">
        <f t="shared" si="28"/>
        <v>41</v>
      </c>
      <c r="O44" s="3">
        <f t="shared" si="28"/>
        <v>38</v>
      </c>
      <c r="P44" s="3">
        <f t="shared" si="28"/>
        <v>35</v>
      </c>
      <c r="Q44" s="3">
        <f t="shared" si="28"/>
        <v>29.3</v>
      </c>
      <c r="R44" s="3">
        <f t="shared" si="28"/>
        <v>40</v>
      </c>
      <c r="S44" s="3">
        <f t="shared" si="28"/>
        <v>40</v>
      </c>
      <c r="T44" s="3">
        <f t="shared" si="28"/>
        <v>40.299999999999997</v>
      </c>
      <c r="U44" s="3">
        <f t="shared" si="28"/>
        <v>35.1</v>
      </c>
      <c r="V44" s="3">
        <f t="shared" si="28"/>
        <v>40</v>
      </c>
      <c r="W44" s="3">
        <f t="shared" si="28"/>
        <v>30.3</v>
      </c>
      <c r="X44" s="3">
        <f t="shared" si="28"/>
        <v>0</v>
      </c>
      <c r="Y44" s="3">
        <f t="shared" si="28"/>
        <v>43.4</v>
      </c>
      <c r="Z44" s="3">
        <f t="shared" si="28"/>
        <v>38</v>
      </c>
      <c r="AA44" s="3">
        <f t="shared" si="28"/>
        <v>0</v>
      </c>
      <c r="AB44" s="3">
        <f t="shared" si="28"/>
        <v>30</v>
      </c>
      <c r="AC44" s="3">
        <f t="shared" si="28"/>
        <v>0</v>
      </c>
      <c r="AD44" s="3">
        <f t="shared" si="28"/>
        <v>0</v>
      </c>
      <c r="AE44" s="3">
        <f t="shared" si="28"/>
        <v>0</v>
      </c>
      <c r="AF44" s="3">
        <f t="shared" si="28"/>
        <v>29.5</v>
      </c>
      <c r="AG44" s="3">
        <f t="shared" si="28"/>
        <v>44.2</v>
      </c>
      <c r="AH44" s="3">
        <f t="shared" si="28"/>
        <v>0</v>
      </c>
      <c r="AI44" s="3">
        <f t="shared" si="28"/>
        <v>45</v>
      </c>
      <c r="AJ44" s="3">
        <f t="shared" si="28"/>
        <v>37</v>
      </c>
      <c r="AK44" s="3">
        <f t="shared" si="28"/>
        <v>0</v>
      </c>
      <c r="AL44" s="3">
        <f t="shared" si="28"/>
        <v>37.5</v>
      </c>
      <c r="AM44" s="3">
        <f t="shared" si="28"/>
        <v>33.4</v>
      </c>
      <c r="AN44" s="3">
        <f t="shared" si="28"/>
        <v>41</v>
      </c>
      <c r="AO44" s="3">
        <f t="shared" si="28"/>
        <v>46</v>
      </c>
      <c r="AP44" s="3">
        <f t="shared" si="28"/>
        <v>40</v>
      </c>
      <c r="AQ44" s="3">
        <f t="shared" si="28"/>
        <v>39</v>
      </c>
      <c r="AR44" s="3">
        <f t="shared" si="28"/>
        <v>36</v>
      </c>
      <c r="AS44" s="3">
        <f t="shared" si="28"/>
        <v>41</v>
      </c>
      <c r="AT44" s="3">
        <f t="shared" si="28"/>
        <v>37</v>
      </c>
      <c r="AU44" s="3">
        <f t="shared" si="28"/>
        <v>0</v>
      </c>
      <c r="AV44" s="3">
        <f t="shared" si="28"/>
        <v>43</v>
      </c>
      <c r="AW44" s="3">
        <f t="shared" si="28"/>
        <v>27.1</v>
      </c>
      <c r="AX44" s="3">
        <f t="shared" si="28"/>
        <v>41</v>
      </c>
      <c r="AY44" s="3">
        <f t="shared" si="28"/>
        <v>45</v>
      </c>
      <c r="AZ44" s="3">
        <f t="shared" si="28"/>
        <v>32.1</v>
      </c>
      <c r="BA44" s="3">
        <f t="shared" si="28"/>
        <v>49</v>
      </c>
      <c r="BB44" s="3">
        <f t="shared" si="28"/>
        <v>39</v>
      </c>
      <c r="BC44" s="3">
        <f t="shared" si="28"/>
        <v>40.4</v>
      </c>
      <c r="BD44" s="3">
        <f t="shared" si="28"/>
        <v>38</v>
      </c>
      <c r="BE44" s="3">
        <f t="shared" si="28"/>
        <v>0</v>
      </c>
      <c r="BF44" s="3">
        <f t="shared" si="28"/>
        <v>0</v>
      </c>
    </row>
    <row r="45" spans="2:95" x14ac:dyDescent="0.15">
      <c r="B45" s="3" t="s">
        <v>104</v>
      </c>
      <c r="C45" s="3">
        <f>BowlSplit(C5:C38,BallsBowled)</f>
        <v>138</v>
      </c>
      <c r="D45" s="3">
        <f t="shared" ref="D45:BF45" si="29">BowlSplit(D5:D38,BallsBowled)</f>
        <v>246</v>
      </c>
      <c r="E45" s="3">
        <f t="shared" si="29"/>
        <v>174</v>
      </c>
      <c r="F45" s="3">
        <f t="shared" si="29"/>
        <v>269</v>
      </c>
      <c r="G45" s="3">
        <f t="shared" si="29"/>
        <v>120</v>
      </c>
      <c r="H45" s="3">
        <f t="shared" si="29"/>
        <v>233</v>
      </c>
      <c r="I45" s="3">
        <f t="shared" si="29"/>
        <v>0</v>
      </c>
      <c r="J45" s="3">
        <f t="shared" si="29"/>
        <v>240</v>
      </c>
      <c r="K45" s="3">
        <f t="shared" si="29"/>
        <v>264</v>
      </c>
      <c r="L45" s="3">
        <f t="shared" si="29"/>
        <v>246</v>
      </c>
      <c r="M45" s="3">
        <f t="shared" si="29"/>
        <v>270</v>
      </c>
      <c r="N45" s="3">
        <f t="shared" si="29"/>
        <v>246</v>
      </c>
      <c r="O45" s="3">
        <f t="shared" si="29"/>
        <v>228</v>
      </c>
      <c r="P45" s="3">
        <f t="shared" si="29"/>
        <v>210</v>
      </c>
      <c r="Q45" s="3">
        <f t="shared" si="29"/>
        <v>177</v>
      </c>
      <c r="R45" s="3">
        <f t="shared" si="29"/>
        <v>240</v>
      </c>
      <c r="S45" s="3">
        <f t="shared" si="29"/>
        <v>240</v>
      </c>
      <c r="T45" s="3">
        <f t="shared" si="29"/>
        <v>243</v>
      </c>
      <c r="U45" s="3">
        <f t="shared" si="29"/>
        <v>211</v>
      </c>
      <c r="V45" s="3">
        <f t="shared" si="29"/>
        <v>240</v>
      </c>
      <c r="W45" s="3">
        <f t="shared" si="29"/>
        <v>183</v>
      </c>
      <c r="X45" s="3">
        <f t="shared" si="29"/>
        <v>0</v>
      </c>
      <c r="Y45" s="3">
        <f t="shared" si="29"/>
        <v>262</v>
      </c>
      <c r="Z45" s="3">
        <f t="shared" si="29"/>
        <v>228</v>
      </c>
      <c r="AA45" s="3">
        <f t="shared" si="29"/>
        <v>0</v>
      </c>
      <c r="AB45" s="3">
        <f t="shared" si="29"/>
        <v>180</v>
      </c>
      <c r="AC45" s="3">
        <f t="shared" si="29"/>
        <v>0</v>
      </c>
      <c r="AD45" s="3">
        <f t="shared" si="29"/>
        <v>0</v>
      </c>
      <c r="AE45" s="3">
        <f t="shared" si="29"/>
        <v>0</v>
      </c>
      <c r="AF45" s="3">
        <f t="shared" si="29"/>
        <v>179</v>
      </c>
      <c r="AG45" s="3">
        <f t="shared" si="29"/>
        <v>266</v>
      </c>
      <c r="AH45" s="3">
        <f t="shared" si="29"/>
        <v>0</v>
      </c>
      <c r="AI45" s="3">
        <f t="shared" si="29"/>
        <v>270</v>
      </c>
      <c r="AJ45" s="3">
        <f t="shared" si="29"/>
        <v>222</v>
      </c>
      <c r="AK45" s="3">
        <f t="shared" si="29"/>
        <v>0</v>
      </c>
      <c r="AL45" s="3">
        <f t="shared" si="29"/>
        <v>227</v>
      </c>
      <c r="AM45" s="3">
        <f t="shared" si="29"/>
        <v>202</v>
      </c>
      <c r="AN45" s="3">
        <f t="shared" si="29"/>
        <v>246</v>
      </c>
      <c r="AO45" s="3">
        <f t="shared" si="29"/>
        <v>276</v>
      </c>
      <c r="AP45" s="3">
        <f t="shared" si="29"/>
        <v>240</v>
      </c>
      <c r="AQ45" s="3">
        <f t="shared" si="29"/>
        <v>234</v>
      </c>
      <c r="AR45" s="3">
        <f t="shared" si="29"/>
        <v>216</v>
      </c>
      <c r="AS45" s="3">
        <f t="shared" si="29"/>
        <v>246</v>
      </c>
      <c r="AT45" s="3">
        <f t="shared" si="29"/>
        <v>222</v>
      </c>
      <c r="AU45" s="3">
        <f t="shared" si="29"/>
        <v>0</v>
      </c>
      <c r="AV45" s="3">
        <f t="shared" si="29"/>
        <v>258</v>
      </c>
      <c r="AW45" s="3">
        <f t="shared" si="29"/>
        <v>163</v>
      </c>
      <c r="AX45" s="3">
        <f t="shared" si="29"/>
        <v>246</v>
      </c>
      <c r="AY45" s="3">
        <f t="shared" si="29"/>
        <v>270</v>
      </c>
      <c r="AZ45" s="3">
        <f t="shared" si="29"/>
        <v>193</v>
      </c>
      <c r="BA45" s="3">
        <f t="shared" si="29"/>
        <v>294</v>
      </c>
      <c r="BB45" s="3">
        <f t="shared" si="29"/>
        <v>234</v>
      </c>
      <c r="BC45" s="3">
        <f t="shared" si="29"/>
        <v>244</v>
      </c>
      <c r="BD45" s="3">
        <f t="shared" si="29"/>
        <v>228</v>
      </c>
      <c r="BE45" s="3">
        <f t="shared" si="29"/>
        <v>0</v>
      </c>
      <c r="BF45" s="3">
        <f t="shared" si="29"/>
        <v>0</v>
      </c>
      <c r="CE45" s="79">
        <f>SUM(C45:BF45)</f>
        <v>10264</v>
      </c>
      <c r="CF45" s="79">
        <f>INT(CE45/6)</f>
        <v>1710</v>
      </c>
      <c r="CG45" s="79">
        <f>CE45-CF45*6</f>
        <v>4</v>
      </c>
      <c r="CH45" s="79">
        <f>CF45+CG45/10</f>
        <v>1710.4</v>
      </c>
    </row>
    <row r="52" spans="83:86" x14ac:dyDescent="0.15">
      <c r="CE52" s="79">
        <v>361</v>
      </c>
    </row>
    <row r="53" spans="83:86" x14ac:dyDescent="0.15">
      <c r="CE53" s="79" t="e">
        <f>CE43/CE52</f>
        <v>#N/A</v>
      </c>
    </row>
    <row r="59" spans="83:86" x14ac:dyDescent="0.15">
      <c r="CH59" s="79">
        <f>1577*6+3</f>
        <v>9465</v>
      </c>
    </row>
    <row r="60" spans="83:86" x14ac:dyDescent="0.15">
      <c r="CH60" s="79">
        <f>6598/CH59</f>
        <v>0.69709455890121497</v>
      </c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96"/>
  <sheetViews>
    <sheetView topLeftCell="A10" workbookViewId="0">
      <selection activeCell="B50" sqref="B50"/>
    </sheetView>
  </sheetViews>
  <sheetFormatPr defaultRowHeight="10.5" x14ac:dyDescent="0.15"/>
  <cols>
    <col min="1" max="1" width="11.85546875" customWidth="1"/>
    <col min="2" max="3" width="11.28515625" customWidth="1"/>
    <col min="4" max="4" width="12.7109375" customWidth="1"/>
    <col min="5" max="5" width="11.7109375" customWidth="1"/>
  </cols>
  <sheetData>
    <row r="1" spans="1:41" s="9" customFormat="1" x14ac:dyDescent="0.15">
      <c r="A1" s="9" t="s">
        <v>158</v>
      </c>
      <c r="B1" s="9" t="s">
        <v>149</v>
      </c>
      <c r="C1" s="9" t="s">
        <v>149</v>
      </c>
      <c r="D1" s="9" t="s">
        <v>207</v>
      </c>
      <c r="E1" s="9" t="s">
        <v>151</v>
      </c>
      <c r="F1" s="9" t="s">
        <v>152</v>
      </c>
      <c r="G1" s="9" t="s">
        <v>152</v>
      </c>
      <c r="H1" s="9" t="s">
        <v>245</v>
      </c>
      <c r="I1" s="9" t="s">
        <v>245</v>
      </c>
      <c r="J1" s="9" t="s">
        <v>223</v>
      </c>
      <c r="K1" s="9" t="s">
        <v>157</v>
      </c>
      <c r="L1" s="9" t="s">
        <v>157</v>
      </c>
      <c r="M1" s="9" t="s">
        <v>157</v>
      </c>
      <c r="N1" s="9" t="s">
        <v>159</v>
      </c>
      <c r="O1" s="9" t="s">
        <v>154</v>
      </c>
      <c r="P1" s="9" t="s">
        <v>154</v>
      </c>
      <c r="Q1" s="9" t="s">
        <v>292</v>
      </c>
      <c r="R1" s="9" t="s">
        <v>166</v>
      </c>
      <c r="S1" s="9" t="s">
        <v>166</v>
      </c>
      <c r="T1" s="9" t="s">
        <v>153</v>
      </c>
      <c r="U1" s="9" t="s">
        <v>156</v>
      </c>
      <c r="V1" s="9" t="s">
        <v>156</v>
      </c>
      <c r="W1" s="9" t="s">
        <v>156</v>
      </c>
      <c r="X1" s="9" t="s">
        <v>160</v>
      </c>
      <c r="Y1" s="9" t="s">
        <v>164</v>
      </c>
      <c r="Z1" s="9" t="s">
        <v>332</v>
      </c>
      <c r="AA1" s="9" t="s">
        <v>765</v>
      </c>
      <c r="AB1" s="9" t="s">
        <v>765</v>
      </c>
      <c r="AC1" s="9" t="s">
        <v>209</v>
      </c>
      <c r="AD1" s="9" t="s">
        <v>213</v>
      </c>
      <c r="AE1" s="9" t="s">
        <v>150</v>
      </c>
      <c r="AF1" s="9" t="s">
        <v>150</v>
      </c>
      <c r="AG1" s="9" t="s">
        <v>236</v>
      </c>
      <c r="AH1" s="9" t="s">
        <v>236</v>
      </c>
    </row>
    <row r="2" spans="1:41" s="9" customFormat="1" x14ac:dyDescent="0.15">
      <c r="A2" s="9" t="s">
        <v>237</v>
      </c>
      <c r="B2" s="9" t="s">
        <v>238</v>
      </c>
      <c r="C2" s="9" t="s">
        <v>239</v>
      </c>
      <c r="D2" s="9" t="s">
        <v>240</v>
      </c>
      <c r="F2" s="9" t="s">
        <v>246</v>
      </c>
      <c r="G2" s="9" t="s">
        <v>247</v>
      </c>
      <c r="H2" s="9" t="s">
        <v>248</v>
      </c>
      <c r="I2" s="9" t="s">
        <v>249</v>
      </c>
      <c r="K2" s="9" t="s">
        <v>285</v>
      </c>
      <c r="L2" s="9" t="s">
        <v>321</v>
      </c>
      <c r="M2" s="9" t="s">
        <v>286</v>
      </c>
      <c r="N2" s="9" t="s">
        <v>287</v>
      </c>
      <c r="O2" s="9" t="s">
        <v>289</v>
      </c>
      <c r="P2" s="9" t="s">
        <v>290</v>
      </c>
      <c r="R2" s="9" t="s">
        <v>322</v>
      </c>
      <c r="S2" s="9" t="s">
        <v>323</v>
      </c>
      <c r="T2" s="9" t="s">
        <v>326</v>
      </c>
      <c r="U2" s="9" t="s">
        <v>328</v>
      </c>
      <c r="V2" s="9" t="s">
        <v>329</v>
      </c>
      <c r="W2" s="9" t="s">
        <v>330</v>
      </c>
      <c r="X2" s="9" t="s">
        <v>331</v>
      </c>
      <c r="Y2" s="9" t="s">
        <v>333</v>
      </c>
      <c r="Z2" s="9" t="s">
        <v>334</v>
      </c>
      <c r="AA2" s="9" t="s">
        <v>335</v>
      </c>
      <c r="AB2" s="9" t="s">
        <v>336</v>
      </c>
      <c r="AC2" s="9" t="s">
        <v>356</v>
      </c>
      <c r="AD2" s="9" t="s">
        <v>395</v>
      </c>
      <c r="AE2" s="9" t="s">
        <v>464</v>
      </c>
      <c r="AF2" s="9" t="s">
        <v>465</v>
      </c>
      <c r="AG2" s="9" t="s">
        <v>466</v>
      </c>
      <c r="AH2" s="9" t="s">
        <v>467</v>
      </c>
    </row>
    <row r="3" spans="1:41" x14ac:dyDescent="0.15">
      <c r="A3" t="s">
        <v>206</v>
      </c>
      <c r="B3" t="s">
        <v>118</v>
      </c>
      <c r="C3" t="s">
        <v>137</v>
      </c>
      <c r="D3" t="s">
        <v>125</v>
      </c>
      <c r="E3" t="s">
        <v>121</v>
      </c>
      <c r="F3" t="s">
        <v>112</v>
      </c>
      <c r="G3" t="s">
        <v>112</v>
      </c>
      <c r="H3" t="s">
        <v>112</v>
      </c>
      <c r="I3" t="s">
        <v>134</v>
      </c>
      <c r="J3" t="s">
        <v>125</v>
      </c>
      <c r="K3" t="s">
        <v>134</v>
      </c>
      <c r="L3" t="s">
        <v>112</v>
      </c>
      <c r="M3" t="s">
        <v>137</v>
      </c>
      <c r="N3" t="s">
        <v>146</v>
      </c>
      <c r="O3" t="s">
        <v>133</v>
      </c>
      <c r="P3" t="s">
        <v>112</v>
      </c>
      <c r="Q3" t="s">
        <v>133</v>
      </c>
      <c r="R3" t="s">
        <v>134</v>
      </c>
      <c r="S3" t="s">
        <v>134</v>
      </c>
      <c r="T3" t="s">
        <v>145</v>
      </c>
      <c r="U3" t="s">
        <v>112</v>
      </c>
      <c r="V3" t="s">
        <v>112</v>
      </c>
      <c r="W3" t="s">
        <v>114</v>
      </c>
      <c r="X3" t="s">
        <v>133</v>
      </c>
      <c r="Y3" t="s">
        <v>133</v>
      </c>
      <c r="Z3" t="s">
        <v>133</v>
      </c>
      <c r="AA3" t="s">
        <v>121</v>
      </c>
      <c r="AB3" t="s">
        <v>174</v>
      </c>
      <c r="AC3" t="s">
        <v>137</v>
      </c>
      <c r="AD3" t="s">
        <v>137</v>
      </c>
      <c r="AE3" t="s">
        <v>201</v>
      </c>
      <c r="AF3" t="s">
        <v>147</v>
      </c>
      <c r="AG3" t="s">
        <v>137</v>
      </c>
      <c r="AH3" t="s">
        <v>137</v>
      </c>
    </row>
    <row r="4" spans="1:41" x14ac:dyDescent="0.15">
      <c r="A4" t="s">
        <v>121</v>
      </c>
      <c r="B4" t="s">
        <v>206</v>
      </c>
      <c r="C4" t="s">
        <v>206</v>
      </c>
      <c r="D4" t="s">
        <v>134</v>
      </c>
      <c r="E4" t="s">
        <v>206</v>
      </c>
      <c r="F4" t="s">
        <v>137</v>
      </c>
      <c r="G4" t="s">
        <v>118</v>
      </c>
      <c r="H4" t="s">
        <v>133</v>
      </c>
      <c r="I4" t="s">
        <v>137</v>
      </c>
      <c r="J4" t="s">
        <v>132</v>
      </c>
      <c r="K4" t="s">
        <v>121</v>
      </c>
      <c r="L4" t="s">
        <v>134</v>
      </c>
      <c r="M4" t="s">
        <v>133</v>
      </c>
      <c r="N4" t="s">
        <v>148</v>
      </c>
      <c r="O4" t="s">
        <v>134</v>
      </c>
      <c r="P4" t="s">
        <v>129</v>
      </c>
      <c r="Q4" t="s">
        <v>148</v>
      </c>
      <c r="R4" t="s">
        <v>170</v>
      </c>
      <c r="S4" t="s">
        <v>170</v>
      </c>
      <c r="T4" t="s">
        <v>136</v>
      </c>
      <c r="U4" t="s">
        <v>134</v>
      </c>
      <c r="V4" t="s">
        <v>129</v>
      </c>
      <c r="W4" t="s">
        <v>137</v>
      </c>
      <c r="X4" t="s">
        <v>146</v>
      </c>
      <c r="Y4" t="s">
        <v>137</v>
      </c>
      <c r="Z4" t="s">
        <v>129</v>
      </c>
      <c r="AA4" t="s">
        <v>171</v>
      </c>
      <c r="AB4" t="s">
        <v>146</v>
      </c>
      <c r="AC4" t="s">
        <v>134</v>
      </c>
      <c r="AD4" t="s">
        <v>148</v>
      </c>
      <c r="AE4" t="s">
        <v>121</v>
      </c>
      <c r="AF4" t="s">
        <v>250</v>
      </c>
      <c r="AG4" t="s">
        <v>134</v>
      </c>
      <c r="AH4" t="s">
        <v>112</v>
      </c>
    </row>
    <row r="5" spans="1:41" x14ac:dyDescent="0.15">
      <c r="A5" t="s">
        <v>167</v>
      </c>
      <c r="B5" t="s">
        <v>121</v>
      </c>
      <c r="C5" t="s">
        <v>121</v>
      </c>
      <c r="D5" t="s">
        <v>146</v>
      </c>
      <c r="E5" t="s">
        <v>141</v>
      </c>
      <c r="F5" t="s">
        <v>170</v>
      </c>
      <c r="G5" t="s">
        <v>250</v>
      </c>
      <c r="H5" t="s">
        <v>121</v>
      </c>
      <c r="I5" t="s">
        <v>146</v>
      </c>
      <c r="J5" t="s">
        <v>148</v>
      </c>
      <c r="K5" t="s">
        <v>206</v>
      </c>
      <c r="L5" t="s">
        <v>146</v>
      </c>
      <c r="M5" t="s">
        <v>145</v>
      </c>
      <c r="N5" t="s">
        <v>136</v>
      </c>
      <c r="O5" t="s">
        <v>201</v>
      </c>
      <c r="P5" t="s">
        <v>146</v>
      </c>
      <c r="Q5" t="s">
        <v>146</v>
      </c>
      <c r="R5" t="s">
        <v>121</v>
      </c>
      <c r="S5" t="s">
        <v>121</v>
      </c>
      <c r="T5" t="s">
        <v>170</v>
      </c>
      <c r="U5" t="s">
        <v>147</v>
      </c>
      <c r="V5" t="s">
        <v>146</v>
      </c>
      <c r="W5" t="s">
        <v>203</v>
      </c>
      <c r="X5" t="s">
        <v>203</v>
      </c>
      <c r="Y5" t="s">
        <v>121</v>
      </c>
      <c r="Z5" t="s">
        <v>123</v>
      </c>
      <c r="AA5" t="s">
        <v>136</v>
      </c>
      <c r="AB5" t="s">
        <v>169</v>
      </c>
      <c r="AC5" t="s">
        <v>117</v>
      </c>
      <c r="AD5" t="s">
        <v>170</v>
      </c>
      <c r="AE5" t="s">
        <v>148</v>
      </c>
      <c r="AF5" t="s">
        <v>204</v>
      </c>
      <c r="AG5" t="s">
        <v>206</v>
      </c>
      <c r="AH5" t="s">
        <v>117</v>
      </c>
    </row>
    <row r="6" spans="1:41" x14ac:dyDescent="0.15">
      <c r="A6" t="s">
        <v>146</v>
      </c>
      <c r="B6" t="s">
        <v>145</v>
      </c>
      <c r="C6" t="s">
        <v>145</v>
      </c>
      <c r="D6" t="s">
        <v>204</v>
      </c>
      <c r="E6" t="s">
        <v>169</v>
      </c>
      <c r="F6" t="s">
        <v>121</v>
      </c>
      <c r="G6" t="s">
        <v>145</v>
      </c>
      <c r="H6" t="s">
        <v>170</v>
      </c>
      <c r="I6" t="s">
        <v>172</v>
      </c>
      <c r="J6" t="s">
        <v>146</v>
      </c>
      <c r="K6" t="s">
        <v>120</v>
      </c>
      <c r="L6" t="s">
        <v>172</v>
      </c>
      <c r="M6" t="s">
        <v>121</v>
      </c>
      <c r="N6" t="s">
        <v>174</v>
      </c>
      <c r="O6" t="s">
        <v>121</v>
      </c>
      <c r="P6" t="s">
        <v>203</v>
      </c>
      <c r="Q6" t="s">
        <v>169</v>
      </c>
      <c r="R6" t="s">
        <v>172</v>
      </c>
      <c r="S6" t="s">
        <v>172</v>
      </c>
      <c r="T6" t="s">
        <v>172</v>
      </c>
      <c r="U6" t="s">
        <v>170</v>
      </c>
      <c r="V6" t="s">
        <v>203</v>
      </c>
      <c r="W6" t="s">
        <v>169</v>
      </c>
      <c r="X6" t="s">
        <v>136</v>
      </c>
      <c r="Y6" t="s">
        <v>146</v>
      </c>
      <c r="Z6" t="s">
        <v>90</v>
      </c>
      <c r="AA6" t="s">
        <v>145</v>
      </c>
      <c r="AB6" t="s">
        <v>145</v>
      </c>
      <c r="AC6" t="s">
        <v>146</v>
      </c>
      <c r="AD6" t="s">
        <v>121</v>
      </c>
      <c r="AE6" t="s">
        <v>171</v>
      </c>
      <c r="AF6" t="s">
        <v>203</v>
      </c>
      <c r="AG6" t="s">
        <v>172</v>
      </c>
      <c r="AH6" t="s">
        <v>172</v>
      </c>
    </row>
    <row r="7" spans="1:41" x14ac:dyDescent="0.15">
      <c r="A7" t="s">
        <v>136</v>
      </c>
      <c r="B7" t="s">
        <v>170</v>
      </c>
      <c r="C7" t="s">
        <v>170</v>
      </c>
      <c r="D7" t="s">
        <v>136</v>
      </c>
      <c r="E7" t="s">
        <v>136</v>
      </c>
      <c r="F7" t="s">
        <v>172</v>
      </c>
      <c r="G7" t="s">
        <v>172</v>
      </c>
      <c r="H7" t="s">
        <v>172</v>
      </c>
      <c r="I7" t="s">
        <v>145</v>
      </c>
      <c r="J7" t="s">
        <v>203</v>
      </c>
      <c r="K7" t="s">
        <v>170</v>
      </c>
      <c r="L7" t="s">
        <v>148</v>
      </c>
      <c r="M7" t="s">
        <v>136</v>
      </c>
      <c r="N7" t="s">
        <v>139</v>
      </c>
      <c r="O7" t="s">
        <v>250</v>
      </c>
      <c r="P7" t="s">
        <v>250</v>
      </c>
      <c r="Q7" t="s">
        <v>136</v>
      </c>
      <c r="R7" t="s">
        <v>136</v>
      </c>
      <c r="S7" t="s">
        <v>136</v>
      </c>
      <c r="T7" t="s">
        <v>139</v>
      </c>
      <c r="U7" t="s">
        <v>121</v>
      </c>
      <c r="V7" t="s">
        <v>174</v>
      </c>
      <c r="W7" t="s">
        <v>136</v>
      </c>
      <c r="X7" t="s">
        <v>145</v>
      </c>
      <c r="Y7" t="s">
        <v>145</v>
      </c>
      <c r="Z7" t="s">
        <v>120</v>
      </c>
      <c r="AA7" t="s">
        <v>202</v>
      </c>
      <c r="AB7" t="s">
        <v>134</v>
      </c>
      <c r="AC7" t="s">
        <v>170</v>
      </c>
      <c r="AD7" t="s">
        <v>250</v>
      </c>
      <c r="AE7" t="s">
        <v>139</v>
      </c>
      <c r="AF7" t="s">
        <v>139</v>
      </c>
      <c r="AG7" t="s">
        <v>121</v>
      </c>
      <c r="AH7" t="s">
        <v>121</v>
      </c>
    </row>
    <row r="8" spans="1:41" x14ac:dyDescent="0.15">
      <c r="A8" t="s">
        <v>143</v>
      </c>
      <c r="B8" t="s">
        <v>136</v>
      </c>
      <c r="C8" t="s">
        <v>148</v>
      </c>
      <c r="D8" t="s">
        <v>145</v>
      </c>
      <c r="E8" t="s">
        <v>119</v>
      </c>
      <c r="F8" t="s">
        <v>136</v>
      </c>
      <c r="G8" t="s">
        <v>136</v>
      </c>
      <c r="H8" t="s">
        <v>136</v>
      </c>
      <c r="I8" t="s">
        <v>250</v>
      </c>
      <c r="J8" t="s">
        <v>121</v>
      </c>
      <c r="K8" t="s">
        <v>172</v>
      </c>
      <c r="L8" t="s">
        <v>250</v>
      </c>
      <c r="M8" t="s">
        <v>169</v>
      </c>
      <c r="N8" t="s">
        <v>123</v>
      </c>
      <c r="O8" t="s">
        <v>204</v>
      </c>
      <c r="P8" t="s">
        <v>136</v>
      </c>
      <c r="Q8" t="s">
        <v>205</v>
      </c>
      <c r="R8" t="s">
        <v>145</v>
      </c>
      <c r="S8" t="s">
        <v>123</v>
      </c>
      <c r="T8" t="s">
        <v>123</v>
      </c>
      <c r="U8" t="s">
        <v>136</v>
      </c>
      <c r="V8" t="s">
        <v>145</v>
      </c>
      <c r="W8" t="s">
        <v>145</v>
      </c>
      <c r="X8" t="s">
        <v>119</v>
      </c>
      <c r="Y8" t="s">
        <v>136</v>
      </c>
      <c r="Z8" t="s">
        <v>202</v>
      </c>
      <c r="AA8" t="s">
        <v>119</v>
      </c>
      <c r="AB8" t="s">
        <v>137</v>
      </c>
      <c r="AC8" t="s">
        <v>172</v>
      </c>
      <c r="AD8" t="s">
        <v>136</v>
      </c>
      <c r="AE8" t="s">
        <v>205</v>
      </c>
      <c r="AF8" t="s">
        <v>143</v>
      </c>
      <c r="AG8" t="s">
        <v>145</v>
      </c>
      <c r="AH8" t="s">
        <v>145</v>
      </c>
    </row>
    <row r="9" spans="1:41" x14ac:dyDescent="0.15">
      <c r="A9" t="s">
        <v>119</v>
      </c>
      <c r="B9" t="s">
        <v>119</v>
      </c>
      <c r="C9" t="s">
        <v>139</v>
      </c>
      <c r="D9" t="s">
        <v>123</v>
      </c>
      <c r="E9" t="s">
        <v>148</v>
      </c>
      <c r="F9" t="s">
        <v>123</v>
      </c>
      <c r="G9" t="s">
        <v>123</v>
      </c>
      <c r="H9" t="s">
        <v>143</v>
      </c>
      <c r="I9" t="s">
        <v>139</v>
      </c>
      <c r="J9" t="s">
        <v>119</v>
      </c>
      <c r="K9" t="s">
        <v>90</v>
      </c>
      <c r="L9" t="s">
        <v>123</v>
      </c>
      <c r="M9" t="s">
        <v>205</v>
      </c>
      <c r="N9" t="s">
        <v>143</v>
      </c>
      <c r="O9" t="s">
        <v>116</v>
      </c>
      <c r="P9" t="s">
        <v>119</v>
      </c>
      <c r="Q9" t="s">
        <v>119</v>
      </c>
      <c r="R9" t="s">
        <v>123</v>
      </c>
      <c r="S9" t="s">
        <v>128</v>
      </c>
      <c r="T9" t="s">
        <v>90</v>
      </c>
      <c r="U9" t="s">
        <v>113</v>
      </c>
      <c r="V9" t="s">
        <v>119</v>
      </c>
      <c r="W9" t="s">
        <v>205</v>
      </c>
      <c r="X9" t="s">
        <v>123</v>
      </c>
      <c r="Y9" t="s">
        <v>123</v>
      </c>
      <c r="Z9" t="s">
        <v>121</v>
      </c>
      <c r="AA9" t="s">
        <v>143</v>
      </c>
      <c r="AB9" t="s">
        <v>202</v>
      </c>
      <c r="AC9" t="s">
        <v>145</v>
      </c>
      <c r="AD9" t="s">
        <v>123</v>
      </c>
      <c r="AE9" t="s">
        <v>120</v>
      </c>
      <c r="AF9" t="s">
        <v>141</v>
      </c>
      <c r="AG9" t="s">
        <v>250</v>
      </c>
      <c r="AH9" t="s">
        <v>250</v>
      </c>
    </row>
    <row r="10" spans="1:41" x14ac:dyDescent="0.15">
      <c r="A10" t="s">
        <v>123</v>
      </c>
      <c r="B10" t="s">
        <v>123</v>
      </c>
      <c r="C10" t="s">
        <v>123</v>
      </c>
      <c r="D10" t="s">
        <v>90</v>
      </c>
      <c r="E10" t="s">
        <v>123</v>
      </c>
      <c r="F10" t="s">
        <v>90</v>
      </c>
      <c r="G10" t="s">
        <v>119</v>
      </c>
      <c r="H10" t="s">
        <v>119</v>
      </c>
      <c r="I10" t="s">
        <v>141</v>
      </c>
      <c r="J10" t="s">
        <v>120</v>
      </c>
      <c r="K10" t="s">
        <v>119</v>
      </c>
      <c r="L10" t="s">
        <v>139</v>
      </c>
      <c r="M10" t="s">
        <v>123</v>
      </c>
      <c r="N10" t="s">
        <v>205</v>
      </c>
      <c r="O10" t="s">
        <v>119</v>
      </c>
      <c r="P10" t="s">
        <v>123</v>
      </c>
      <c r="Q10" t="s">
        <v>123</v>
      </c>
      <c r="R10" t="s">
        <v>128</v>
      </c>
      <c r="S10" t="s">
        <v>90</v>
      </c>
      <c r="T10" t="s">
        <v>143</v>
      </c>
      <c r="U10" t="s">
        <v>205</v>
      </c>
      <c r="V10" t="s">
        <v>90</v>
      </c>
      <c r="W10" t="s">
        <v>123</v>
      </c>
      <c r="X10" t="s">
        <v>139</v>
      </c>
      <c r="Y10" t="s">
        <v>202</v>
      </c>
      <c r="Z10" t="s">
        <v>145</v>
      </c>
      <c r="AA10" t="s">
        <v>139</v>
      </c>
      <c r="AB10" t="s">
        <v>141</v>
      </c>
      <c r="AC10" t="s">
        <v>205</v>
      </c>
      <c r="AD10" t="s">
        <v>128</v>
      </c>
      <c r="AE10" t="s">
        <v>123</v>
      </c>
      <c r="AF10" t="s">
        <v>202</v>
      </c>
      <c r="AG10" t="s">
        <v>205</v>
      </c>
      <c r="AH10" t="s">
        <v>123</v>
      </c>
    </row>
    <row r="11" spans="1:41" x14ac:dyDescent="0.15">
      <c r="A11" t="s">
        <v>141</v>
      </c>
      <c r="B11" t="s">
        <v>143</v>
      </c>
      <c r="C11" t="s">
        <v>119</v>
      </c>
      <c r="D11" t="s">
        <v>139</v>
      </c>
      <c r="E11" t="s">
        <v>125</v>
      </c>
      <c r="F11" t="s">
        <v>141</v>
      </c>
      <c r="G11" t="s">
        <v>90</v>
      </c>
      <c r="H11" t="s">
        <v>123</v>
      </c>
      <c r="I11" t="s">
        <v>143</v>
      </c>
      <c r="J11" t="s">
        <v>123</v>
      </c>
      <c r="K11" t="s">
        <v>143</v>
      </c>
      <c r="L11" t="s">
        <v>119</v>
      </c>
      <c r="M11" t="s">
        <v>143</v>
      </c>
      <c r="N11" t="s">
        <v>206</v>
      </c>
      <c r="O11" t="s">
        <v>123</v>
      </c>
      <c r="P11" t="s">
        <v>139</v>
      </c>
      <c r="Q11" t="s">
        <v>139</v>
      </c>
      <c r="R11" t="s">
        <v>90</v>
      </c>
      <c r="S11" t="s">
        <v>135</v>
      </c>
      <c r="T11" t="s">
        <v>206</v>
      </c>
      <c r="U11" t="s">
        <v>128</v>
      </c>
      <c r="V11" t="s">
        <v>139</v>
      </c>
      <c r="W11" t="s">
        <v>141</v>
      </c>
      <c r="X11" t="s">
        <v>143</v>
      </c>
      <c r="Y11" t="s">
        <v>120</v>
      </c>
      <c r="Z11" t="s">
        <v>136</v>
      </c>
      <c r="AA11" t="s">
        <v>137</v>
      </c>
      <c r="AB11" t="s">
        <v>123</v>
      </c>
      <c r="AC11" t="s">
        <v>143</v>
      </c>
      <c r="AD11" t="s">
        <v>141</v>
      </c>
      <c r="AE11" t="s">
        <v>206</v>
      </c>
      <c r="AF11" t="s">
        <v>117</v>
      </c>
      <c r="AG11" t="s">
        <v>116</v>
      </c>
      <c r="AH11" t="s">
        <v>116</v>
      </c>
    </row>
    <row r="12" spans="1:41" x14ac:dyDescent="0.15">
      <c r="A12" t="s">
        <v>137</v>
      </c>
      <c r="B12" t="s">
        <v>113</v>
      </c>
      <c r="C12" t="s">
        <v>143</v>
      </c>
      <c r="D12" t="s">
        <v>143</v>
      </c>
      <c r="E12" t="s">
        <v>143</v>
      </c>
      <c r="F12" t="s">
        <v>143</v>
      </c>
      <c r="G12" t="s">
        <v>139</v>
      </c>
      <c r="H12" t="s">
        <v>141</v>
      </c>
      <c r="I12" t="s">
        <v>120</v>
      </c>
      <c r="J12" t="s">
        <v>143</v>
      </c>
      <c r="K12" t="s">
        <v>133</v>
      </c>
      <c r="L12" t="s">
        <v>120</v>
      </c>
      <c r="M12" t="s">
        <v>90</v>
      </c>
      <c r="N12" t="s">
        <v>112</v>
      </c>
      <c r="O12" t="s">
        <v>143</v>
      </c>
      <c r="P12" t="s">
        <v>143</v>
      </c>
      <c r="Q12" t="s">
        <v>117</v>
      </c>
      <c r="R12" t="s">
        <v>135</v>
      </c>
      <c r="S12" t="s">
        <v>206</v>
      </c>
      <c r="T12" t="s">
        <v>121</v>
      </c>
      <c r="U12" t="s">
        <v>90</v>
      </c>
      <c r="V12" t="s">
        <v>143</v>
      </c>
      <c r="W12" t="s">
        <v>143</v>
      </c>
      <c r="X12" t="s">
        <v>117</v>
      </c>
      <c r="Y12" t="s">
        <v>143</v>
      </c>
      <c r="Z12" t="s">
        <v>167</v>
      </c>
      <c r="AA12" t="s">
        <v>129</v>
      </c>
      <c r="AB12" t="s">
        <v>143</v>
      </c>
      <c r="AC12" t="s">
        <v>119</v>
      </c>
      <c r="AD12" t="s">
        <v>143</v>
      </c>
      <c r="AE12" t="s">
        <v>112</v>
      </c>
      <c r="AF12" t="s">
        <v>134</v>
      </c>
      <c r="AG12" t="s">
        <v>128</v>
      </c>
      <c r="AH12" t="s">
        <v>128</v>
      </c>
    </row>
    <row r="13" spans="1:41" s="9" customFormat="1" x14ac:dyDescent="0.15">
      <c r="A13" s="9" t="s">
        <v>125</v>
      </c>
      <c r="B13" s="9" t="s">
        <v>138</v>
      </c>
      <c r="C13" s="9" t="s">
        <v>173</v>
      </c>
      <c r="D13" s="9" t="s">
        <v>206</v>
      </c>
      <c r="E13" s="9" t="s">
        <v>129</v>
      </c>
      <c r="F13" s="9" t="s">
        <v>206</v>
      </c>
      <c r="G13" s="9" t="s">
        <v>117</v>
      </c>
      <c r="H13" s="9" t="s">
        <v>206</v>
      </c>
      <c r="I13" s="9" t="s">
        <v>138</v>
      </c>
      <c r="J13" s="9" t="s">
        <v>206</v>
      </c>
      <c r="K13" s="9" t="s">
        <v>145</v>
      </c>
      <c r="L13" s="9" t="s">
        <v>206</v>
      </c>
      <c r="M13" s="9" t="s">
        <v>138</v>
      </c>
      <c r="N13" s="9" t="s">
        <v>127</v>
      </c>
      <c r="O13" s="9" t="s">
        <v>206</v>
      </c>
      <c r="P13" s="9" t="s">
        <v>206</v>
      </c>
      <c r="Q13" s="9" t="s">
        <v>206</v>
      </c>
      <c r="R13" s="9" t="s">
        <v>206</v>
      </c>
      <c r="S13" s="9" t="s">
        <v>138</v>
      </c>
      <c r="T13" s="9" t="s">
        <v>137</v>
      </c>
      <c r="U13" s="9" t="s">
        <v>206</v>
      </c>
      <c r="V13" s="9" t="s">
        <v>206</v>
      </c>
      <c r="W13" s="9" t="s">
        <v>117</v>
      </c>
      <c r="X13" s="9" t="s">
        <v>201</v>
      </c>
      <c r="Y13" s="9" t="s">
        <v>206</v>
      </c>
      <c r="Z13" s="9" t="s">
        <v>117</v>
      </c>
      <c r="AA13" s="9" t="s">
        <v>206</v>
      </c>
      <c r="AB13" s="9" t="s">
        <v>173</v>
      </c>
      <c r="AC13" s="9" t="s">
        <v>135</v>
      </c>
      <c r="AD13" s="9" t="s">
        <v>117</v>
      </c>
      <c r="AE13" s="9" t="s">
        <v>132</v>
      </c>
      <c r="AF13" s="9" t="s">
        <v>133</v>
      </c>
      <c r="AG13" s="9" t="s">
        <v>143</v>
      </c>
      <c r="AH13" s="9" t="s">
        <v>90</v>
      </c>
    </row>
    <row r="14" spans="1:41" s="9" customFormat="1" ht="12.75" x14ac:dyDescent="0.15">
      <c r="A14" s="35" t="s">
        <v>241</v>
      </c>
      <c r="B14" s="35" t="s">
        <v>242</v>
      </c>
      <c r="C14" s="35"/>
      <c r="D14" s="35" t="s">
        <v>243</v>
      </c>
      <c r="E14" s="35" t="s">
        <v>244</v>
      </c>
      <c r="F14" s="35" t="s">
        <v>241</v>
      </c>
      <c r="G14" s="35" t="s">
        <v>241</v>
      </c>
      <c r="H14" s="35" t="s">
        <v>241</v>
      </c>
      <c r="I14" s="35" t="s">
        <v>241</v>
      </c>
      <c r="J14" s="35" t="s">
        <v>241</v>
      </c>
      <c r="K14" s="35" t="s">
        <v>241</v>
      </c>
      <c r="L14" s="35" t="s">
        <v>241</v>
      </c>
      <c r="M14" s="35" t="s">
        <v>241</v>
      </c>
      <c r="N14" s="35" t="s">
        <v>288</v>
      </c>
      <c r="O14" s="35" t="s">
        <v>291</v>
      </c>
      <c r="P14" s="35" t="s">
        <v>291</v>
      </c>
      <c r="Q14" s="35" t="s">
        <v>241</v>
      </c>
      <c r="R14" s="35" t="s">
        <v>288</v>
      </c>
      <c r="S14" s="35" t="s">
        <v>288</v>
      </c>
      <c r="T14" s="35" t="s">
        <v>327</v>
      </c>
      <c r="U14" s="35" t="s">
        <v>327</v>
      </c>
      <c r="V14" s="35" t="s">
        <v>327</v>
      </c>
      <c r="W14" s="35" t="s">
        <v>327</v>
      </c>
      <c r="X14" s="35" t="s">
        <v>327</v>
      </c>
      <c r="Y14" s="35" t="s">
        <v>241</v>
      </c>
      <c r="Z14" s="35" t="s">
        <v>241</v>
      </c>
      <c r="AA14" s="35" t="s">
        <v>241</v>
      </c>
      <c r="AB14" s="35" t="s">
        <v>241</v>
      </c>
      <c r="AC14" s="9" t="s">
        <v>288</v>
      </c>
      <c r="AE14" s="71" t="s">
        <v>327</v>
      </c>
      <c r="AF14" s="71" t="s">
        <v>327</v>
      </c>
    </row>
    <row r="15" spans="1:41" x14ac:dyDescent="0.15">
      <c r="A15">
        <f>SUM(A16:A26)</f>
        <v>55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54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54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55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54</v>
      </c>
      <c r="Z15">
        <f t="shared" si="1"/>
        <v>55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54</v>
      </c>
      <c r="AE15">
        <f t="shared" si="1"/>
        <v>55</v>
      </c>
      <c r="AF15">
        <f t="shared" si="1"/>
        <v>55</v>
      </c>
      <c r="AG15">
        <f t="shared" si="1"/>
        <v>55</v>
      </c>
      <c r="AH15">
        <f t="shared" ref="AH15:AO15" si="2">SUM(AH16:AH26)</f>
        <v>55</v>
      </c>
      <c r="AI15" t="e">
        <f t="shared" si="2"/>
        <v>#N/A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VLOOKUP(A3,$A$44:$C$95,3,FALSE)</f>
        <v>4</v>
      </c>
      <c r="B16">
        <f t="shared" ref="B16:AO16" si="3">VLOOKUP(B3,$A$44:$C$95,3,FALSE)</f>
        <v>9</v>
      </c>
      <c r="C16">
        <f t="shared" si="3"/>
        <v>5</v>
      </c>
      <c r="D16">
        <f t="shared" si="3"/>
        <v>2</v>
      </c>
      <c r="E16">
        <f t="shared" si="3"/>
        <v>16</v>
      </c>
      <c r="F16">
        <f t="shared" si="3"/>
        <v>7</v>
      </c>
      <c r="G16">
        <f t="shared" si="3"/>
        <v>7</v>
      </c>
      <c r="H16">
        <f t="shared" si="3"/>
        <v>7</v>
      </c>
      <c r="I16">
        <f t="shared" si="3"/>
        <v>14</v>
      </c>
      <c r="J16">
        <f t="shared" si="3"/>
        <v>2</v>
      </c>
      <c r="K16">
        <f t="shared" si="3"/>
        <v>14</v>
      </c>
      <c r="L16">
        <f t="shared" si="3"/>
        <v>7</v>
      </c>
      <c r="M16">
        <f t="shared" si="3"/>
        <v>5</v>
      </c>
      <c r="N16">
        <f t="shared" si="3"/>
        <v>7</v>
      </c>
      <c r="O16">
        <f t="shared" si="3"/>
        <v>4</v>
      </c>
      <c r="P16">
        <f t="shared" si="3"/>
        <v>7</v>
      </c>
      <c r="Q16">
        <f t="shared" si="3"/>
        <v>4</v>
      </c>
      <c r="R16">
        <f t="shared" si="3"/>
        <v>14</v>
      </c>
      <c r="S16">
        <f t="shared" si="3"/>
        <v>14</v>
      </c>
      <c r="T16">
        <f t="shared" si="3"/>
        <v>4</v>
      </c>
      <c r="U16">
        <f t="shared" si="3"/>
        <v>7</v>
      </c>
      <c r="V16">
        <f t="shared" si="3"/>
        <v>7</v>
      </c>
      <c r="W16">
        <f t="shared" si="3"/>
        <v>5</v>
      </c>
      <c r="X16">
        <f t="shared" si="3"/>
        <v>4</v>
      </c>
      <c r="Y16">
        <f t="shared" si="3"/>
        <v>4</v>
      </c>
      <c r="Z16">
        <f t="shared" si="3"/>
        <v>4</v>
      </c>
      <c r="AA16">
        <f t="shared" si="3"/>
        <v>16</v>
      </c>
      <c r="AB16">
        <f t="shared" si="3"/>
        <v>4</v>
      </c>
      <c r="AC16">
        <f t="shared" si="3"/>
        <v>5</v>
      </c>
      <c r="AD16">
        <f t="shared" si="3"/>
        <v>5</v>
      </c>
      <c r="AE16">
        <f t="shared" si="3"/>
        <v>1</v>
      </c>
      <c r="AF16">
        <f t="shared" si="3"/>
        <v>1</v>
      </c>
      <c r="AG16">
        <f t="shared" si="3"/>
        <v>5</v>
      </c>
      <c r="AH16">
        <f t="shared" si="3"/>
        <v>5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VLOOKUP(A4,$A$44:$C$95,3,FALSE)</f>
        <v>16</v>
      </c>
      <c r="B17">
        <f t="shared" si="4"/>
        <v>4</v>
      </c>
      <c r="C17">
        <f t="shared" si="4"/>
        <v>4</v>
      </c>
      <c r="D17">
        <f t="shared" si="4"/>
        <v>14</v>
      </c>
      <c r="E17">
        <f t="shared" si="4"/>
        <v>4</v>
      </c>
      <c r="F17">
        <f t="shared" si="4"/>
        <v>5</v>
      </c>
      <c r="G17">
        <f t="shared" si="4"/>
        <v>9</v>
      </c>
      <c r="H17">
        <f t="shared" si="4"/>
        <v>4</v>
      </c>
      <c r="I17">
        <f t="shared" si="4"/>
        <v>5</v>
      </c>
      <c r="J17">
        <f t="shared" si="4"/>
        <v>5</v>
      </c>
      <c r="K17">
        <f t="shared" si="4"/>
        <v>16</v>
      </c>
      <c r="L17">
        <f t="shared" si="4"/>
        <v>14</v>
      </c>
      <c r="M17">
        <f t="shared" si="4"/>
        <v>4</v>
      </c>
      <c r="N17">
        <f t="shared" si="4"/>
        <v>2</v>
      </c>
      <c r="O17">
        <f t="shared" si="4"/>
        <v>14</v>
      </c>
      <c r="P17">
        <f t="shared" si="4"/>
        <v>7</v>
      </c>
      <c r="Q17">
        <f t="shared" si="4"/>
        <v>2</v>
      </c>
      <c r="R17">
        <f t="shared" si="4"/>
        <v>2</v>
      </c>
      <c r="S17">
        <f t="shared" si="4"/>
        <v>2</v>
      </c>
      <c r="T17">
        <f t="shared" si="4"/>
        <v>3</v>
      </c>
      <c r="U17">
        <f t="shared" si="4"/>
        <v>14</v>
      </c>
      <c r="V17">
        <f t="shared" si="4"/>
        <v>7</v>
      </c>
      <c r="W17">
        <f t="shared" si="4"/>
        <v>5</v>
      </c>
      <c r="X17">
        <f t="shared" si="4"/>
        <v>7</v>
      </c>
      <c r="Y17">
        <f t="shared" si="4"/>
        <v>5</v>
      </c>
      <c r="Z17">
        <f t="shared" si="4"/>
        <v>7</v>
      </c>
      <c r="AA17">
        <f t="shared" si="4"/>
        <v>1</v>
      </c>
      <c r="AB17">
        <f t="shared" si="4"/>
        <v>7</v>
      </c>
      <c r="AC17">
        <f t="shared" si="4"/>
        <v>14</v>
      </c>
      <c r="AD17">
        <f t="shared" si="4"/>
        <v>2</v>
      </c>
      <c r="AE17">
        <f t="shared" si="4"/>
        <v>16</v>
      </c>
      <c r="AF17">
        <f t="shared" si="4"/>
        <v>1</v>
      </c>
      <c r="AG17">
        <f t="shared" si="4"/>
        <v>14</v>
      </c>
      <c r="AH17">
        <f t="shared" si="4"/>
        <v>7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VLOOKUP(A5,$A$44:$C$95,3,FALSE)</f>
        <v>1</v>
      </c>
      <c r="B18">
        <f t="shared" si="5"/>
        <v>16</v>
      </c>
      <c r="C18">
        <f t="shared" si="5"/>
        <v>16</v>
      </c>
      <c r="D18">
        <f t="shared" si="5"/>
        <v>7</v>
      </c>
      <c r="E18">
        <f t="shared" si="5"/>
        <v>5</v>
      </c>
      <c r="F18">
        <f t="shared" si="5"/>
        <v>2</v>
      </c>
      <c r="G18">
        <f t="shared" si="5"/>
        <v>1</v>
      </c>
      <c r="H18">
        <f t="shared" si="5"/>
        <v>16</v>
      </c>
      <c r="I18">
        <f t="shared" si="5"/>
        <v>7</v>
      </c>
      <c r="J18">
        <f t="shared" si="5"/>
        <v>2</v>
      </c>
      <c r="K18">
        <f t="shared" si="5"/>
        <v>4</v>
      </c>
      <c r="L18">
        <f t="shared" si="5"/>
        <v>7</v>
      </c>
      <c r="M18">
        <f t="shared" si="5"/>
        <v>4</v>
      </c>
      <c r="N18">
        <f t="shared" si="5"/>
        <v>3</v>
      </c>
      <c r="O18">
        <f t="shared" si="5"/>
        <v>1</v>
      </c>
      <c r="P18">
        <f t="shared" si="5"/>
        <v>7</v>
      </c>
      <c r="Q18">
        <f t="shared" si="5"/>
        <v>7</v>
      </c>
      <c r="R18">
        <f t="shared" si="5"/>
        <v>16</v>
      </c>
      <c r="S18">
        <f t="shared" si="5"/>
        <v>16</v>
      </c>
      <c r="T18">
        <f t="shared" si="5"/>
        <v>2</v>
      </c>
      <c r="U18">
        <f t="shared" si="5"/>
        <v>1</v>
      </c>
      <c r="V18">
        <f t="shared" si="5"/>
        <v>7</v>
      </c>
      <c r="W18">
        <f t="shared" si="5"/>
        <v>6</v>
      </c>
      <c r="X18">
        <f t="shared" si="5"/>
        <v>6</v>
      </c>
      <c r="Y18">
        <f t="shared" si="5"/>
        <v>16</v>
      </c>
      <c r="Z18">
        <f t="shared" si="5"/>
        <v>6</v>
      </c>
      <c r="AA18">
        <f t="shared" si="5"/>
        <v>3</v>
      </c>
      <c r="AB18">
        <f t="shared" si="5"/>
        <v>4</v>
      </c>
      <c r="AC18">
        <f t="shared" si="5"/>
        <v>10</v>
      </c>
      <c r="AD18">
        <f t="shared" si="5"/>
        <v>2</v>
      </c>
      <c r="AE18">
        <f t="shared" si="5"/>
        <v>2</v>
      </c>
      <c r="AF18">
        <f t="shared" si="5"/>
        <v>2</v>
      </c>
      <c r="AG18">
        <f t="shared" si="5"/>
        <v>4</v>
      </c>
      <c r="AH18">
        <f t="shared" si="5"/>
        <v>10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VLOOKUP(A6,$A$44:$C$95,3,FALSE)</f>
        <v>7</v>
      </c>
      <c r="B19">
        <f t="shared" si="6"/>
        <v>4</v>
      </c>
      <c r="C19">
        <f t="shared" si="6"/>
        <v>4</v>
      </c>
      <c r="D19">
        <f t="shared" si="6"/>
        <v>2</v>
      </c>
      <c r="E19">
        <f t="shared" si="6"/>
        <v>4</v>
      </c>
      <c r="F19">
        <f t="shared" si="6"/>
        <v>16</v>
      </c>
      <c r="G19">
        <f t="shared" si="6"/>
        <v>4</v>
      </c>
      <c r="H19">
        <f t="shared" si="6"/>
        <v>2</v>
      </c>
      <c r="I19">
        <f t="shared" si="6"/>
        <v>2</v>
      </c>
      <c r="J19">
        <f t="shared" si="6"/>
        <v>7</v>
      </c>
      <c r="K19">
        <f t="shared" si="6"/>
        <v>1</v>
      </c>
      <c r="L19">
        <f t="shared" si="6"/>
        <v>2</v>
      </c>
      <c r="M19">
        <f t="shared" si="6"/>
        <v>16</v>
      </c>
      <c r="N19">
        <f t="shared" si="6"/>
        <v>4</v>
      </c>
      <c r="O19">
        <f t="shared" si="6"/>
        <v>16</v>
      </c>
      <c r="P19">
        <f t="shared" si="6"/>
        <v>6</v>
      </c>
      <c r="Q19">
        <f t="shared" si="6"/>
        <v>4</v>
      </c>
      <c r="R19">
        <f t="shared" si="6"/>
        <v>2</v>
      </c>
      <c r="S19">
        <f t="shared" si="6"/>
        <v>2</v>
      </c>
      <c r="T19">
        <f t="shared" si="6"/>
        <v>2</v>
      </c>
      <c r="U19">
        <f t="shared" si="6"/>
        <v>2</v>
      </c>
      <c r="V19">
        <f t="shared" si="6"/>
        <v>6</v>
      </c>
      <c r="W19">
        <f t="shared" si="6"/>
        <v>4</v>
      </c>
      <c r="X19">
        <f t="shared" si="6"/>
        <v>3</v>
      </c>
      <c r="Y19">
        <f t="shared" si="6"/>
        <v>7</v>
      </c>
      <c r="Z19">
        <f t="shared" si="6"/>
        <v>2</v>
      </c>
      <c r="AA19">
        <f t="shared" si="6"/>
        <v>4</v>
      </c>
      <c r="AB19">
        <f t="shared" si="6"/>
        <v>4</v>
      </c>
      <c r="AC19">
        <f t="shared" si="6"/>
        <v>7</v>
      </c>
      <c r="AD19">
        <f t="shared" si="6"/>
        <v>16</v>
      </c>
      <c r="AE19">
        <f t="shared" si="6"/>
        <v>1</v>
      </c>
      <c r="AF19">
        <f t="shared" si="6"/>
        <v>6</v>
      </c>
      <c r="AG19">
        <f t="shared" si="6"/>
        <v>2</v>
      </c>
      <c r="AH19">
        <f t="shared" si="6"/>
        <v>2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VLOOKUP(A7,$A$44:$C$95,3,FALSE)</f>
        <v>3</v>
      </c>
      <c r="B20">
        <f t="shared" si="7"/>
        <v>2</v>
      </c>
      <c r="C20">
        <f t="shared" si="7"/>
        <v>2</v>
      </c>
      <c r="D20">
        <f t="shared" si="7"/>
        <v>3</v>
      </c>
      <c r="E20">
        <f t="shared" si="7"/>
        <v>3</v>
      </c>
      <c r="F20">
        <f t="shared" si="7"/>
        <v>2</v>
      </c>
      <c r="G20">
        <f t="shared" si="7"/>
        <v>2</v>
      </c>
      <c r="H20">
        <f t="shared" si="7"/>
        <v>2</v>
      </c>
      <c r="I20">
        <f t="shared" si="7"/>
        <v>4</v>
      </c>
      <c r="J20">
        <f t="shared" si="7"/>
        <v>6</v>
      </c>
      <c r="K20">
        <f t="shared" si="7"/>
        <v>2</v>
      </c>
      <c r="L20">
        <f t="shared" si="7"/>
        <v>2</v>
      </c>
      <c r="M20">
        <f t="shared" si="7"/>
        <v>3</v>
      </c>
      <c r="N20">
        <f t="shared" si="7"/>
        <v>8</v>
      </c>
      <c r="O20">
        <f t="shared" si="7"/>
        <v>1</v>
      </c>
      <c r="P20">
        <f t="shared" si="7"/>
        <v>1</v>
      </c>
      <c r="Q20">
        <f t="shared" si="7"/>
        <v>3</v>
      </c>
      <c r="R20">
        <f t="shared" si="7"/>
        <v>3</v>
      </c>
      <c r="S20">
        <f t="shared" si="7"/>
        <v>3</v>
      </c>
      <c r="T20">
        <f t="shared" si="7"/>
        <v>8</v>
      </c>
      <c r="U20">
        <f t="shared" si="7"/>
        <v>16</v>
      </c>
      <c r="V20">
        <f t="shared" si="7"/>
        <v>4</v>
      </c>
      <c r="W20">
        <f t="shared" si="7"/>
        <v>3</v>
      </c>
      <c r="X20">
        <f t="shared" si="7"/>
        <v>4</v>
      </c>
      <c r="Y20">
        <f t="shared" si="7"/>
        <v>4</v>
      </c>
      <c r="Z20">
        <f t="shared" si="7"/>
        <v>1</v>
      </c>
      <c r="AA20">
        <f t="shared" si="7"/>
        <v>1</v>
      </c>
      <c r="AB20">
        <f t="shared" si="7"/>
        <v>14</v>
      </c>
      <c r="AC20">
        <f t="shared" si="7"/>
        <v>2</v>
      </c>
      <c r="AD20">
        <f t="shared" si="7"/>
        <v>1</v>
      </c>
      <c r="AE20">
        <f t="shared" si="7"/>
        <v>8</v>
      </c>
      <c r="AF20">
        <f t="shared" si="7"/>
        <v>8</v>
      </c>
      <c r="AG20">
        <f t="shared" si="7"/>
        <v>16</v>
      </c>
      <c r="AH20">
        <f t="shared" si="7"/>
        <v>16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VLOOKUP(A8,$A$44:$C$95,3,FALSE)</f>
        <v>3</v>
      </c>
      <c r="B21">
        <f t="shared" si="8"/>
        <v>3</v>
      </c>
      <c r="C21">
        <f t="shared" si="8"/>
        <v>2</v>
      </c>
      <c r="D21">
        <f t="shared" si="8"/>
        <v>4</v>
      </c>
      <c r="E21">
        <f t="shared" si="8"/>
        <v>3</v>
      </c>
      <c r="F21">
        <f t="shared" si="8"/>
        <v>3</v>
      </c>
      <c r="G21">
        <f t="shared" si="8"/>
        <v>3</v>
      </c>
      <c r="H21">
        <f t="shared" si="8"/>
        <v>3</v>
      </c>
      <c r="I21">
        <f t="shared" si="8"/>
        <v>1</v>
      </c>
      <c r="J21">
        <f t="shared" si="8"/>
        <v>16</v>
      </c>
      <c r="K21">
        <f t="shared" si="8"/>
        <v>2</v>
      </c>
      <c r="L21">
        <f t="shared" si="8"/>
        <v>1</v>
      </c>
      <c r="M21">
        <f t="shared" si="8"/>
        <v>4</v>
      </c>
      <c r="N21">
        <f t="shared" si="8"/>
        <v>6</v>
      </c>
      <c r="O21">
        <f t="shared" si="8"/>
        <v>2</v>
      </c>
      <c r="P21">
        <f t="shared" si="8"/>
        <v>3</v>
      </c>
      <c r="Q21">
        <f t="shared" si="8"/>
        <v>4</v>
      </c>
      <c r="R21">
        <f t="shared" si="8"/>
        <v>4</v>
      </c>
      <c r="S21">
        <f t="shared" si="8"/>
        <v>6</v>
      </c>
      <c r="T21">
        <f t="shared" si="8"/>
        <v>6</v>
      </c>
      <c r="U21">
        <f t="shared" si="8"/>
        <v>3</v>
      </c>
      <c r="V21">
        <f t="shared" si="8"/>
        <v>4</v>
      </c>
      <c r="W21">
        <f t="shared" si="8"/>
        <v>4</v>
      </c>
      <c r="X21">
        <f t="shared" si="8"/>
        <v>3</v>
      </c>
      <c r="Y21">
        <f t="shared" si="8"/>
        <v>3</v>
      </c>
      <c r="Z21">
        <f t="shared" si="8"/>
        <v>1</v>
      </c>
      <c r="AA21">
        <f t="shared" si="8"/>
        <v>3</v>
      </c>
      <c r="AB21">
        <f t="shared" si="8"/>
        <v>5</v>
      </c>
      <c r="AC21">
        <f t="shared" si="8"/>
        <v>2</v>
      </c>
      <c r="AD21">
        <f t="shared" si="8"/>
        <v>3</v>
      </c>
      <c r="AE21">
        <f t="shared" si="8"/>
        <v>4</v>
      </c>
      <c r="AF21">
        <f t="shared" si="8"/>
        <v>3</v>
      </c>
      <c r="AG21">
        <f t="shared" si="8"/>
        <v>4</v>
      </c>
      <c r="AH21">
        <f t="shared" si="8"/>
        <v>4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VLOOKUP(A9,$A$44:$C$95,3,FALSE)</f>
        <v>3</v>
      </c>
      <c r="B22">
        <f t="shared" si="9"/>
        <v>3</v>
      </c>
      <c r="C22">
        <f t="shared" si="9"/>
        <v>8</v>
      </c>
      <c r="D22">
        <f t="shared" si="9"/>
        <v>6</v>
      </c>
      <c r="E22">
        <f t="shared" si="9"/>
        <v>2</v>
      </c>
      <c r="F22">
        <f t="shared" si="9"/>
        <v>6</v>
      </c>
      <c r="G22">
        <f t="shared" si="9"/>
        <v>6</v>
      </c>
      <c r="H22">
        <f t="shared" si="9"/>
        <v>3</v>
      </c>
      <c r="I22">
        <f t="shared" si="9"/>
        <v>8</v>
      </c>
      <c r="J22">
        <f t="shared" si="9"/>
        <v>3</v>
      </c>
      <c r="K22">
        <f t="shared" si="9"/>
        <v>2</v>
      </c>
      <c r="L22">
        <f t="shared" si="9"/>
        <v>6</v>
      </c>
      <c r="M22">
        <f t="shared" si="9"/>
        <v>4</v>
      </c>
      <c r="N22">
        <f t="shared" si="9"/>
        <v>3</v>
      </c>
      <c r="O22">
        <f t="shared" si="9"/>
        <v>1</v>
      </c>
      <c r="P22">
        <f t="shared" si="9"/>
        <v>3</v>
      </c>
      <c r="Q22">
        <f t="shared" si="9"/>
        <v>3</v>
      </c>
      <c r="R22">
        <f t="shared" si="9"/>
        <v>6</v>
      </c>
      <c r="S22">
        <f t="shared" si="9"/>
        <v>1</v>
      </c>
      <c r="T22">
        <f t="shared" si="9"/>
        <v>2</v>
      </c>
      <c r="U22">
        <f t="shared" si="9"/>
        <v>1</v>
      </c>
      <c r="V22">
        <f t="shared" si="9"/>
        <v>3</v>
      </c>
      <c r="W22">
        <f t="shared" si="9"/>
        <v>4</v>
      </c>
      <c r="X22">
        <f t="shared" si="9"/>
        <v>6</v>
      </c>
      <c r="Y22">
        <f t="shared" si="9"/>
        <v>6</v>
      </c>
      <c r="Z22">
        <f t="shared" si="9"/>
        <v>16</v>
      </c>
      <c r="AA22">
        <f t="shared" si="9"/>
        <v>3</v>
      </c>
      <c r="AB22">
        <f t="shared" si="9"/>
        <v>1</v>
      </c>
      <c r="AC22">
        <f t="shared" si="9"/>
        <v>4</v>
      </c>
      <c r="AD22">
        <f t="shared" si="9"/>
        <v>6</v>
      </c>
      <c r="AE22">
        <f t="shared" si="9"/>
        <v>1</v>
      </c>
      <c r="AF22">
        <f t="shared" si="9"/>
        <v>5</v>
      </c>
      <c r="AG22">
        <f t="shared" si="9"/>
        <v>1</v>
      </c>
      <c r="AH22">
        <f t="shared" si="9"/>
        <v>1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VLOOKUP(A10,$A$44:$C$95,3,FALSE)</f>
        <v>6</v>
      </c>
      <c r="B23">
        <f t="shared" si="10"/>
        <v>6</v>
      </c>
      <c r="C23">
        <f t="shared" si="10"/>
        <v>6</v>
      </c>
      <c r="D23">
        <f t="shared" si="10"/>
        <v>2</v>
      </c>
      <c r="E23">
        <f t="shared" si="10"/>
        <v>6</v>
      </c>
      <c r="F23">
        <f t="shared" si="10"/>
        <v>2</v>
      </c>
      <c r="G23">
        <f t="shared" si="10"/>
        <v>3</v>
      </c>
      <c r="H23">
        <f t="shared" si="10"/>
        <v>3</v>
      </c>
      <c r="I23">
        <f t="shared" si="10"/>
        <v>5</v>
      </c>
      <c r="J23">
        <f t="shared" si="10"/>
        <v>1</v>
      </c>
      <c r="K23">
        <f t="shared" si="10"/>
        <v>3</v>
      </c>
      <c r="L23">
        <f t="shared" si="10"/>
        <v>8</v>
      </c>
      <c r="M23">
        <f t="shared" si="10"/>
        <v>6</v>
      </c>
      <c r="N23">
        <f t="shared" si="10"/>
        <v>4</v>
      </c>
      <c r="O23">
        <f t="shared" si="10"/>
        <v>3</v>
      </c>
      <c r="P23">
        <f t="shared" si="10"/>
        <v>6</v>
      </c>
      <c r="Q23">
        <f t="shared" si="10"/>
        <v>6</v>
      </c>
      <c r="R23">
        <f t="shared" si="10"/>
        <v>1</v>
      </c>
      <c r="S23">
        <f t="shared" si="10"/>
        <v>2</v>
      </c>
      <c r="T23">
        <f t="shared" si="10"/>
        <v>3</v>
      </c>
      <c r="U23">
        <f t="shared" si="10"/>
        <v>4</v>
      </c>
      <c r="V23">
        <f t="shared" si="10"/>
        <v>2</v>
      </c>
      <c r="W23">
        <f t="shared" si="10"/>
        <v>6</v>
      </c>
      <c r="X23">
        <f t="shared" si="10"/>
        <v>8</v>
      </c>
      <c r="Y23">
        <f t="shared" si="10"/>
        <v>1</v>
      </c>
      <c r="Z23">
        <f t="shared" si="10"/>
        <v>4</v>
      </c>
      <c r="AA23">
        <f t="shared" si="10"/>
        <v>8</v>
      </c>
      <c r="AB23">
        <f t="shared" si="10"/>
        <v>5</v>
      </c>
      <c r="AC23">
        <f t="shared" si="10"/>
        <v>4</v>
      </c>
      <c r="AD23">
        <f t="shared" si="10"/>
        <v>1</v>
      </c>
      <c r="AE23">
        <f t="shared" si="10"/>
        <v>6</v>
      </c>
      <c r="AF23">
        <f t="shared" si="10"/>
        <v>1</v>
      </c>
      <c r="AG23">
        <f t="shared" si="10"/>
        <v>4</v>
      </c>
      <c r="AH23">
        <f t="shared" si="10"/>
        <v>6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VLOOKUP(A11,$A$44:$C$95,3,FALSE)</f>
        <v>5</v>
      </c>
      <c r="B24">
        <f t="shared" si="11"/>
        <v>3</v>
      </c>
      <c r="C24">
        <f t="shared" si="11"/>
        <v>3</v>
      </c>
      <c r="D24">
        <f t="shared" si="11"/>
        <v>8</v>
      </c>
      <c r="E24">
        <f t="shared" si="11"/>
        <v>2</v>
      </c>
      <c r="F24">
        <f t="shared" si="11"/>
        <v>5</v>
      </c>
      <c r="G24">
        <f t="shared" si="11"/>
        <v>2</v>
      </c>
      <c r="H24">
        <f t="shared" si="11"/>
        <v>6</v>
      </c>
      <c r="I24">
        <f t="shared" si="11"/>
        <v>3</v>
      </c>
      <c r="J24">
        <f t="shared" si="11"/>
        <v>6</v>
      </c>
      <c r="K24">
        <f t="shared" si="11"/>
        <v>3</v>
      </c>
      <c r="L24">
        <f t="shared" si="11"/>
        <v>3</v>
      </c>
      <c r="M24">
        <f t="shared" si="11"/>
        <v>3</v>
      </c>
      <c r="N24">
        <f t="shared" si="11"/>
        <v>4</v>
      </c>
      <c r="O24">
        <f t="shared" si="11"/>
        <v>6</v>
      </c>
      <c r="P24">
        <f t="shared" si="11"/>
        <v>8</v>
      </c>
      <c r="Q24">
        <f t="shared" si="11"/>
        <v>8</v>
      </c>
      <c r="R24">
        <f t="shared" si="11"/>
        <v>2</v>
      </c>
      <c r="S24">
        <f t="shared" si="11"/>
        <v>1</v>
      </c>
      <c r="T24">
        <f t="shared" si="11"/>
        <v>4</v>
      </c>
      <c r="U24">
        <f t="shared" si="11"/>
        <v>1</v>
      </c>
      <c r="V24">
        <f t="shared" si="11"/>
        <v>8</v>
      </c>
      <c r="W24">
        <f t="shared" si="11"/>
        <v>5</v>
      </c>
      <c r="X24">
        <f t="shared" si="11"/>
        <v>3</v>
      </c>
      <c r="Y24">
        <f t="shared" si="11"/>
        <v>1</v>
      </c>
      <c r="Z24">
        <f t="shared" si="11"/>
        <v>3</v>
      </c>
      <c r="AA24">
        <f t="shared" si="11"/>
        <v>5</v>
      </c>
      <c r="AB24">
        <f t="shared" si="11"/>
        <v>6</v>
      </c>
      <c r="AC24">
        <f t="shared" si="11"/>
        <v>3</v>
      </c>
      <c r="AD24">
        <f t="shared" si="11"/>
        <v>5</v>
      </c>
      <c r="AE24">
        <f t="shared" si="11"/>
        <v>4</v>
      </c>
      <c r="AF24">
        <f t="shared" si="11"/>
        <v>10</v>
      </c>
      <c r="AG24">
        <f t="shared" si="11"/>
        <v>1</v>
      </c>
      <c r="AH24">
        <f t="shared" si="11"/>
        <v>1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VLOOKUP(A12,$A$44:$C$95,3,FALSE)</f>
        <v>5</v>
      </c>
      <c r="B25">
        <f t="shared" si="12"/>
        <v>1</v>
      </c>
      <c r="C25">
        <f t="shared" si="12"/>
        <v>3</v>
      </c>
      <c r="D25">
        <f t="shared" si="12"/>
        <v>3</v>
      </c>
      <c r="E25">
        <f t="shared" si="12"/>
        <v>3</v>
      </c>
      <c r="F25">
        <f t="shared" si="12"/>
        <v>3</v>
      </c>
      <c r="G25">
        <f t="shared" si="12"/>
        <v>8</v>
      </c>
      <c r="H25">
        <f t="shared" si="12"/>
        <v>5</v>
      </c>
      <c r="I25">
        <f t="shared" si="12"/>
        <v>1</v>
      </c>
      <c r="J25">
        <f t="shared" si="12"/>
        <v>3</v>
      </c>
      <c r="K25">
        <f t="shared" si="12"/>
        <v>4</v>
      </c>
      <c r="L25">
        <f t="shared" si="12"/>
        <v>1</v>
      </c>
      <c r="M25">
        <f t="shared" si="12"/>
        <v>2</v>
      </c>
      <c r="N25">
        <f t="shared" si="12"/>
        <v>7</v>
      </c>
      <c r="O25">
        <f t="shared" si="12"/>
        <v>3</v>
      </c>
      <c r="P25">
        <f t="shared" si="12"/>
        <v>3</v>
      </c>
      <c r="Q25">
        <f t="shared" si="12"/>
        <v>10</v>
      </c>
      <c r="R25">
        <f t="shared" si="12"/>
        <v>1</v>
      </c>
      <c r="S25">
        <f t="shared" si="12"/>
        <v>4</v>
      </c>
      <c r="T25">
        <f t="shared" si="12"/>
        <v>16</v>
      </c>
      <c r="U25">
        <f t="shared" si="12"/>
        <v>2</v>
      </c>
      <c r="V25">
        <f t="shared" si="12"/>
        <v>3</v>
      </c>
      <c r="W25">
        <f t="shared" si="12"/>
        <v>3</v>
      </c>
      <c r="X25">
        <f t="shared" si="12"/>
        <v>10</v>
      </c>
      <c r="Y25">
        <f t="shared" si="12"/>
        <v>3</v>
      </c>
      <c r="Z25">
        <f t="shared" si="12"/>
        <v>1</v>
      </c>
      <c r="AA25">
        <f t="shared" si="12"/>
        <v>7</v>
      </c>
      <c r="AB25">
        <f t="shared" si="12"/>
        <v>3</v>
      </c>
      <c r="AC25">
        <f t="shared" si="12"/>
        <v>3</v>
      </c>
      <c r="AD25">
        <f t="shared" si="12"/>
        <v>3</v>
      </c>
      <c r="AE25">
        <f t="shared" si="12"/>
        <v>7</v>
      </c>
      <c r="AF25">
        <f t="shared" si="12"/>
        <v>14</v>
      </c>
      <c r="AG25">
        <f t="shared" si="12"/>
        <v>1</v>
      </c>
      <c r="AH25">
        <f t="shared" si="12"/>
        <v>1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VLOOKUP(A13,$A$44:$C$95,3,FALSE)</f>
        <v>2</v>
      </c>
      <c r="B26">
        <f t="shared" si="13"/>
        <v>4</v>
      </c>
      <c r="C26">
        <f t="shared" si="13"/>
        <v>2</v>
      </c>
      <c r="D26">
        <f t="shared" si="13"/>
        <v>4</v>
      </c>
      <c r="E26">
        <f t="shared" si="13"/>
        <v>7</v>
      </c>
      <c r="F26">
        <f t="shared" si="13"/>
        <v>4</v>
      </c>
      <c r="G26">
        <f t="shared" si="13"/>
        <v>10</v>
      </c>
      <c r="H26">
        <f t="shared" si="13"/>
        <v>4</v>
      </c>
      <c r="I26">
        <f t="shared" si="13"/>
        <v>4</v>
      </c>
      <c r="J26">
        <f t="shared" si="13"/>
        <v>4</v>
      </c>
      <c r="K26">
        <f t="shared" si="13"/>
        <v>4</v>
      </c>
      <c r="L26">
        <f t="shared" si="13"/>
        <v>4</v>
      </c>
      <c r="M26">
        <f t="shared" si="13"/>
        <v>4</v>
      </c>
      <c r="N26">
        <f t="shared" si="13"/>
        <v>6</v>
      </c>
      <c r="O26">
        <f t="shared" si="13"/>
        <v>4</v>
      </c>
      <c r="P26">
        <f t="shared" si="13"/>
        <v>4</v>
      </c>
      <c r="Q26">
        <f t="shared" si="13"/>
        <v>4</v>
      </c>
      <c r="R26">
        <f t="shared" si="13"/>
        <v>4</v>
      </c>
      <c r="S26">
        <f t="shared" si="13"/>
        <v>4</v>
      </c>
      <c r="T26">
        <f t="shared" si="13"/>
        <v>5</v>
      </c>
      <c r="U26">
        <f t="shared" si="13"/>
        <v>4</v>
      </c>
      <c r="V26">
        <f t="shared" si="13"/>
        <v>4</v>
      </c>
      <c r="W26">
        <f t="shared" si="13"/>
        <v>10</v>
      </c>
      <c r="X26">
        <f t="shared" si="13"/>
        <v>1</v>
      </c>
      <c r="Y26">
        <f t="shared" si="13"/>
        <v>4</v>
      </c>
      <c r="Z26">
        <f t="shared" si="13"/>
        <v>10</v>
      </c>
      <c r="AA26">
        <f t="shared" si="13"/>
        <v>4</v>
      </c>
      <c r="AB26">
        <f t="shared" si="13"/>
        <v>2</v>
      </c>
      <c r="AC26">
        <f t="shared" si="13"/>
        <v>1</v>
      </c>
      <c r="AD26">
        <f t="shared" si="13"/>
        <v>10</v>
      </c>
      <c r="AE26">
        <f t="shared" si="13"/>
        <v>5</v>
      </c>
      <c r="AF26">
        <f t="shared" si="13"/>
        <v>4</v>
      </c>
      <c r="AG26">
        <f t="shared" si="13"/>
        <v>3</v>
      </c>
      <c r="AH26">
        <f t="shared" si="13"/>
        <v>2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9">
        <v>0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</row>
    <row r="29" spans="1:41" x14ac:dyDescent="0.15">
      <c r="A29">
        <f ca="1">VLOOKUP(A3,$A$44:$F$95,6)</f>
        <v>627</v>
      </c>
      <c r="B29">
        <f t="shared" ref="B29:AO29" ca="1" si="14">VLOOKUP(B3,$A$44:$F$95,6)</f>
        <v>449</v>
      </c>
      <c r="C29">
        <f t="shared" ca="1" si="14"/>
        <v>841</v>
      </c>
      <c r="D29">
        <f t="shared" ca="1" si="14"/>
        <v>160</v>
      </c>
      <c r="E29">
        <f t="shared" ca="1" si="14"/>
        <v>1142</v>
      </c>
      <c r="F29">
        <f t="shared" ca="1" si="14"/>
        <v>494</v>
      </c>
      <c r="G29">
        <f t="shared" ca="1" si="14"/>
        <v>494</v>
      </c>
      <c r="H29">
        <f t="shared" ca="1" si="14"/>
        <v>494</v>
      </c>
      <c r="I29">
        <f t="shared" ca="1" si="14"/>
        <v>1017</v>
      </c>
      <c r="J29">
        <f t="shared" ca="1" si="14"/>
        <v>160</v>
      </c>
      <c r="K29">
        <f t="shared" ca="1" si="14"/>
        <v>1017</v>
      </c>
      <c r="L29">
        <f t="shared" ca="1" si="14"/>
        <v>494</v>
      </c>
      <c r="M29">
        <f t="shared" ca="1" si="14"/>
        <v>841</v>
      </c>
      <c r="N29">
        <f t="shared" ca="1" si="14"/>
        <v>466</v>
      </c>
      <c r="O29">
        <f t="shared" ca="1" si="14"/>
        <v>823</v>
      </c>
      <c r="P29">
        <f t="shared" ca="1" si="14"/>
        <v>494</v>
      </c>
      <c r="Q29">
        <f t="shared" ca="1" si="14"/>
        <v>823</v>
      </c>
      <c r="R29">
        <f t="shared" ca="1" si="14"/>
        <v>1017</v>
      </c>
      <c r="S29">
        <f t="shared" ca="1" si="14"/>
        <v>1017</v>
      </c>
      <c r="T29">
        <f t="shared" ca="1" si="14"/>
        <v>417</v>
      </c>
      <c r="U29">
        <f t="shared" ca="1" si="14"/>
        <v>494</v>
      </c>
      <c r="V29">
        <f t="shared" ca="1" si="14"/>
        <v>494</v>
      </c>
      <c r="W29">
        <f t="shared" ca="1" si="14"/>
        <v>691</v>
      </c>
      <c r="X29">
        <f t="shared" ca="1" si="14"/>
        <v>823</v>
      </c>
      <c r="Y29">
        <f t="shared" ca="1" si="14"/>
        <v>823</v>
      </c>
      <c r="Z29">
        <f t="shared" ca="1" si="14"/>
        <v>823</v>
      </c>
      <c r="AA29">
        <f t="shared" ca="1" si="14"/>
        <v>1142</v>
      </c>
      <c r="AB29">
        <f t="shared" ca="1" si="14"/>
        <v>39</v>
      </c>
      <c r="AC29">
        <f t="shared" ca="1" si="14"/>
        <v>841</v>
      </c>
      <c r="AD29">
        <f t="shared" ca="1" si="14"/>
        <v>841</v>
      </c>
      <c r="AE29">
        <f t="shared" ca="1" si="14"/>
        <v>0</v>
      </c>
      <c r="AF29">
        <f t="shared" ca="1" si="14"/>
        <v>0</v>
      </c>
      <c r="AG29">
        <f t="shared" ca="1" si="14"/>
        <v>841</v>
      </c>
      <c r="AH29">
        <f t="shared" ca="1" si="14"/>
        <v>841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VLOOKUP(A4,$A$44:$F$95,6)</f>
        <v>1142</v>
      </c>
      <c r="B30">
        <f t="shared" ca="1" si="15"/>
        <v>627</v>
      </c>
      <c r="C30">
        <f t="shared" ca="1" si="15"/>
        <v>627</v>
      </c>
      <c r="D30">
        <f t="shared" ca="1" si="15"/>
        <v>1017</v>
      </c>
      <c r="E30">
        <f t="shared" ca="1" si="15"/>
        <v>627</v>
      </c>
      <c r="F30">
        <f t="shared" ca="1" si="15"/>
        <v>841</v>
      </c>
      <c r="G30">
        <f t="shared" ca="1" si="15"/>
        <v>449</v>
      </c>
      <c r="H30">
        <f t="shared" ca="1" si="15"/>
        <v>823</v>
      </c>
      <c r="I30">
        <f t="shared" ca="1" si="15"/>
        <v>841</v>
      </c>
      <c r="J30">
        <f t="shared" ca="1" si="15"/>
        <v>179</v>
      </c>
      <c r="K30">
        <f t="shared" ca="1" si="15"/>
        <v>1142</v>
      </c>
      <c r="L30">
        <f t="shared" ca="1" si="15"/>
        <v>1017</v>
      </c>
      <c r="M30">
        <f t="shared" ca="1" si="15"/>
        <v>823</v>
      </c>
      <c r="N30">
        <f t="shared" ca="1" si="15"/>
        <v>208</v>
      </c>
      <c r="O30">
        <f t="shared" ca="1" si="15"/>
        <v>1017</v>
      </c>
      <c r="P30">
        <f t="shared" ca="1" si="15"/>
        <v>544</v>
      </c>
      <c r="Q30">
        <f t="shared" ca="1" si="15"/>
        <v>208</v>
      </c>
      <c r="R30">
        <f t="shared" ca="1" si="15"/>
        <v>134</v>
      </c>
      <c r="S30">
        <f t="shared" ca="1" si="15"/>
        <v>134</v>
      </c>
      <c r="T30">
        <f t="shared" ca="1" si="15"/>
        <v>176</v>
      </c>
      <c r="U30">
        <f t="shared" ca="1" si="15"/>
        <v>1017</v>
      </c>
      <c r="V30">
        <f t="shared" ca="1" si="15"/>
        <v>544</v>
      </c>
      <c r="W30">
        <f t="shared" ca="1" si="15"/>
        <v>841</v>
      </c>
      <c r="X30">
        <f t="shared" ca="1" si="15"/>
        <v>466</v>
      </c>
      <c r="Y30">
        <f t="shared" ca="1" si="15"/>
        <v>841</v>
      </c>
      <c r="Z30">
        <f t="shared" ca="1" si="15"/>
        <v>544</v>
      </c>
      <c r="AA30">
        <f t="shared" ca="1" si="15"/>
        <v>17</v>
      </c>
      <c r="AB30">
        <f t="shared" ca="1" si="15"/>
        <v>466</v>
      </c>
      <c r="AC30">
        <f t="shared" ca="1" si="15"/>
        <v>1017</v>
      </c>
      <c r="AD30">
        <f t="shared" ca="1" si="15"/>
        <v>208</v>
      </c>
      <c r="AE30">
        <f t="shared" ca="1" si="15"/>
        <v>1142</v>
      </c>
      <c r="AF30">
        <f t="shared" ca="1" si="15"/>
        <v>0</v>
      </c>
      <c r="AG30">
        <f t="shared" ca="1" si="15"/>
        <v>1017</v>
      </c>
      <c r="AH30">
        <f t="shared" ca="1" si="15"/>
        <v>494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VLOOKUP(A5,$A$44:$F$95,6)</f>
        <v>7</v>
      </c>
      <c r="B31">
        <f t="shared" ca="1" si="16"/>
        <v>1142</v>
      </c>
      <c r="C31">
        <f t="shared" ca="1" si="16"/>
        <v>1142</v>
      </c>
      <c r="D31">
        <f t="shared" ca="1" si="16"/>
        <v>466</v>
      </c>
      <c r="E31">
        <f t="shared" ca="1" si="16"/>
        <v>402</v>
      </c>
      <c r="F31">
        <f t="shared" ca="1" si="16"/>
        <v>134</v>
      </c>
      <c r="G31">
        <f t="shared" ca="1" si="16"/>
        <v>0</v>
      </c>
      <c r="H31">
        <f t="shared" ca="1" si="16"/>
        <v>1142</v>
      </c>
      <c r="I31">
        <f t="shared" ca="1" si="16"/>
        <v>466</v>
      </c>
      <c r="J31">
        <f t="shared" ca="1" si="16"/>
        <v>208</v>
      </c>
      <c r="K31">
        <f t="shared" ca="1" si="16"/>
        <v>627</v>
      </c>
      <c r="L31">
        <f t="shared" ca="1" si="16"/>
        <v>466</v>
      </c>
      <c r="M31">
        <f t="shared" ca="1" si="16"/>
        <v>417</v>
      </c>
      <c r="N31">
        <f t="shared" ca="1" si="16"/>
        <v>176</v>
      </c>
      <c r="O31">
        <f t="shared" ca="1" si="16"/>
        <v>0</v>
      </c>
      <c r="P31">
        <f t="shared" ca="1" si="16"/>
        <v>466</v>
      </c>
      <c r="Q31">
        <f t="shared" ca="1" si="16"/>
        <v>466</v>
      </c>
      <c r="R31">
        <f t="shared" ca="1" si="16"/>
        <v>1142</v>
      </c>
      <c r="S31">
        <f t="shared" ca="1" si="16"/>
        <v>1142</v>
      </c>
      <c r="T31">
        <f t="shared" ca="1" si="16"/>
        <v>134</v>
      </c>
      <c r="U31">
        <f t="shared" ca="1" si="16"/>
        <v>0</v>
      </c>
      <c r="V31">
        <f t="shared" ca="1" si="16"/>
        <v>466</v>
      </c>
      <c r="W31">
        <f t="shared" ca="1" si="16"/>
        <v>289</v>
      </c>
      <c r="X31">
        <f t="shared" ca="1" si="16"/>
        <v>289</v>
      </c>
      <c r="Y31">
        <f t="shared" ca="1" si="16"/>
        <v>1142</v>
      </c>
      <c r="Z31">
        <f t="shared" ca="1" si="16"/>
        <v>568</v>
      </c>
      <c r="AA31">
        <f t="shared" ca="1" si="16"/>
        <v>176</v>
      </c>
      <c r="AB31">
        <f t="shared" ca="1" si="16"/>
        <v>182</v>
      </c>
      <c r="AC31">
        <f t="shared" ca="1" si="16"/>
        <v>991</v>
      </c>
      <c r="AD31">
        <f t="shared" ca="1" si="16"/>
        <v>134</v>
      </c>
      <c r="AE31">
        <f t="shared" ca="1" si="16"/>
        <v>208</v>
      </c>
      <c r="AF31">
        <f t="shared" ca="1" si="16"/>
        <v>0</v>
      </c>
      <c r="AG31">
        <f t="shared" ca="1" si="16"/>
        <v>627</v>
      </c>
      <c r="AH31">
        <f t="shared" ca="1" si="16"/>
        <v>991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VLOOKUP(A6,$A$44:$F$95,6)</f>
        <v>466</v>
      </c>
      <c r="B32">
        <f t="shared" ca="1" si="17"/>
        <v>417</v>
      </c>
      <c r="C32">
        <f t="shared" ca="1" si="17"/>
        <v>417</v>
      </c>
      <c r="D32">
        <f t="shared" ca="1" si="17"/>
        <v>0</v>
      </c>
      <c r="E32">
        <f t="shared" ca="1" si="17"/>
        <v>182</v>
      </c>
      <c r="F32">
        <f t="shared" ca="1" si="17"/>
        <v>1142</v>
      </c>
      <c r="G32">
        <f t="shared" ca="1" si="17"/>
        <v>417</v>
      </c>
      <c r="H32">
        <f t="shared" ca="1" si="17"/>
        <v>134</v>
      </c>
      <c r="I32">
        <f t="shared" ca="1" si="17"/>
        <v>93</v>
      </c>
      <c r="J32">
        <f t="shared" ca="1" si="17"/>
        <v>466</v>
      </c>
      <c r="K32">
        <f t="shared" ca="1" si="17"/>
        <v>107</v>
      </c>
      <c r="L32">
        <f t="shared" ca="1" si="17"/>
        <v>93</v>
      </c>
      <c r="M32">
        <f t="shared" ca="1" si="17"/>
        <v>1142</v>
      </c>
      <c r="N32">
        <f t="shared" ca="1" si="17"/>
        <v>39</v>
      </c>
      <c r="O32">
        <f t="shared" ca="1" si="17"/>
        <v>1142</v>
      </c>
      <c r="P32">
        <f t="shared" ca="1" si="17"/>
        <v>289</v>
      </c>
      <c r="Q32">
        <f t="shared" ca="1" si="17"/>
        <v>182</v>
      </c>
      <c r="R32">
        <f t="shared" ca="1" si="17"/>
        <v>93</v>
      </c>
      <c r="S32">
        <f t="shared" ca="1" si="17"/>
        <v>93</v>
      </c>
      <c r="T32">
        <f t="shared" ca="1" si="17"/>
        <v>93</v>
      </c>
      <c r="U32">
        <f t="shared" ca="1" si="17"/>
        <v>134</v>
      </c>
      <c r="V32">
        <f t="shared" ca="1" si="17"/>
        <v>289</v>
      </c>
      <c r="W32">
        <f t="shared" ca="1" si="17"/>
        <v>182</v>
      </c>
      <c r="X32">
        <f t="shared" ca="1" si="17"/>
        <v>176</v>
      </c>
      <c r="Y32">
        <f t="shared" ca="1" si="17"/>
        <v>466</v>
      </c>
      <c r="Z32">
        <f t="shared" ca="1" si="17"/>
        <v>0</v>
      </c>
      <c r="AA32">
        <f t="shared" ca="1" si="17"/>
        <v>417</v>
      </c>
      <c r="AB32">
        <f t="shared" ca="1" si="17"/>
        <v>417</v>
      </c>
      <c r="AC32">
        <f t="shared" ca="1" si="17"/>
        <v>466</v>
      </c>
      <c r="AD32">
        <f t="shared" ca="1" si="17"/>
        <v>1142</v>
      </c>
      <c r="AE32">
        <f t="shared" ca="1" si="17"/>
        <v>17</v>
      </c>
      <c r="AF32">
        <f t="shared" ca="1" si="17"/>
        <v>289</v>
      </c>
      <c r="AG32">
        <f t="shared" ca="1" si="17"/>
        <v>93</v>
      </c>
      <c r="AH32">
        <f t="shared" ca="1" si="17"/>
        <v>93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VLOOKUP(A7,$A$44:$F$95,6)</f>
        <v>176</v>
      </c>
      <c r="B33">
        <f t="shared" ca="1" si="18"/>
        <v>134</v>
      </c>
      <c r="C33">
        <f t="shared" ca="1" si="18"/>
        <v>134</v>
      </c>
      <c r="D33">
        <f t="shared" ca="1" si="18"/>
        <v>176</v>
      </c>
      <c r="E33">
        <f t="shared" ca="1" si="18"/>
        <v>176</v>
      </c>
      <c r="F33">
        <f t="shared" ca="1" si="18"/>
        <v>93</v>
      </c>
      <c r="G33">
        <f t="shared" ca="1" si="18"/>
        <v>93</v>
      </c>
      <c r="H33">
        <f t="shared" ca="1" si="18"/>
        <v>93</v>
      </c>
      <c r="I33">
        <f t="shared" ca="1" si="18"/>
        <v>417</v>
      </c>
      <c r="J33">
        <f t="shared" ca="1" si="18"/>
        <v>289</v>
      </c>
      <c r="K33">
        <f t="shared" ca="1" si="18"/>
        <v>134</v>
      </c>
      <c r="L33">
        <f t="shared" ca="1" si="18"/>
        <v>208</v>
      </c>
      <c r="M33">
        <f t="shared" ca="1" si="18"/>
        <v>176</v>
      </c>
      <c r="N33">
        <f t="shared" ca="1" si="18"/>
        <v>178</v>
      </c>
      <c r="O33">
        <f t="shared" ca="1" si="18"/>
        <v>0</v>
      </c>
      <c r="P33">
        <f t="shared" ca="1" si="18"/>
        <v>0</v>
      </c>
      <c r="Q33">
        <f t="shared" ca="1" si="18"/>
        <v>176</v>
      </c>
      <c r="R33">
        <f t="shared" ca="1" si="18"/>
        <v>176</v>
      </c>
      <c r="S33">
        <f t="shared" ca="1" si="18"/>
        <v>176</v>
      </c>
      <c r="T33">
        <f t="shared" ca="1" si="18"/>
        <v>178</v>
      </c>
      <c r="U33">
        <f t="shared" ca="1" si="18"/>
        <v>1142</v>
      </c>
      <c r="V33">
        <f t="shared" ca="1" si="18"/>
        <v>39</v>
      </c>
      <c r="W33">
        <f t="shared" ca="1" si="18"/>
        <v>176</v>
      </c>
      <c r="X33">
        <f t="shared" ca="1" si="18"/>
        <v>417</v>
      </c>
      <c r="Y33">
        <f t="shared" ca="1" si="18"/>
        <v>417</v>
      </c>
      <c r="Z33">
        <f t="shared" ca="1" si="18"/>
        <v>107</v>
      </c>
      <c r="AA33">
        <f t="shared" ca="1" si="18"/>
        <v>120</v>
      </c>
      <c r="AB33">
        <f t="shared" ca="1" si="18"/>
        <v>1017</v>
      </c>
      <c r="AC33">
        <f t="shared" ca="1" si="18"/>
        <v>134</v>
      </c>
      <c r="AD33">
        <f t="shared" ca="1" si="18"/>
        <v>0</v>
      </c>
      <c r="AE33">
        <f t="shared" ca="1" si="18"/>
        <v>178</v>
      </c>
      <c r="AF33">
        <f t="shared" ca="1" si="18"/>
        <v>178</v>
      </c>
      <c r="AG33">
        <f t="shared" ca="1" si="18"/>
        <v>1142</v>
      </c>
      <c r="AH33">
        <f t="shared" ca="1" si="18"/>
        <v>1142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VLOOKUP(A8,$A$44:$F$95,6)</f>
        <v>370</v>
      </c>
      <c r="B34">
        <f t="shared" ca="1" si="19"/>
        <v>176</v>
      </c>
      <c r="C34">
        <f t="shared" ca="1" si="19"/>
        <v>208</v>
      </c>
      <c r="D34">
        <f t="shared" ca="1" si="19"/>
        <v>417</v>
      </c>
      <c r="E34">
        <f t="shared" ca="1" si="19"/>
        <v>16</v>
      </c>
      <c r="F34">
        <f t="shared" ca="1" si="19"/>
        <v>176</v>
      </c>
      <c r="G34">
        <f t="shared" ca="1" si="19"/>
        <v>176</v>
      </c>
      <c r="H34">
        <f t="shared" ca="1" si="19"/>
        <v>176</v>
      </c>
      <c r="I34">
        <f t="shared" ca="1" si="19"/>
        <v>0</v>
      </c>
      <c r="J34">
        <f t="shared" ca="1" si="19"/>
        <v>1142</v>
      </c>
      <c r="K34">
        <f t="shared" ca="1" si="19"/>
        <v>93</v>
      </c>
      <c r="L34">
        <f t="shared" ca="1" si="19"/>
        <v>0</v>
      </c>
      <c r="M34">
        <f t="shared" ca="1" si="19"/>
        <v>182</v>
      </c>
      <c r="N34">
        <f t="shared" ca="1" si="19"/>
        <v>568</v>
      </c>
      <c r="O34">
        <f t="shared" ca="1" si="19"/>
        <v>0</v>
      </c>
      <c r="P34">
        <f t="shared" ca="1" si="19"/>
        <v>176</v>
      </c>
      <c r="Q34">
        <f t="shared" ca="1" si="19"/>
        <v>183</v>
      </c>
      <c r="R34">
        <f t="shared" ca="1" si="19"/>
        <v>417</v>
      </c>
      <c r="S34">
        <f t="shared" ca="1" si="19"/>
        <v>568</v>
      </c>
      <c r="T34">
        <f t="shared" ca="1" si="19"/>
        <v>568</v>
      </c>
      <c r="U34">
        <f t="shared" ca="1" si="19"/>
        <v>176</v>
      </c>
      <c r="V34">
        <f t="shared" ca="1" si="19"/>
        <v>417</v>
      </c>
      <c r="W34">
        <f t="shared" ca="1" si="19"/>
        <v>417</v>
      </c>
      <c r="X34">
        <f t="shared" ca="1" si="19"/>
        <v>16</v>
      </c>
      <c r="Y34">
        <f t="shared" ca="1" si="19"/>
        <v>176</v>
      </c>
      <c r="Z34">
        <f t="shared" ca="1" si="19"/>
        <v>120</v>
      </c>
      <c r="AA34">
        <f t="shared" ca="1" si="19"/>
        <v>16</v>
      </c>
      <c r="AB34">
        <f t="shared" ca="1" si="19"/>
        <v>841</v>
      </c>
      <c r="AC34">
        <f t="shared" ca="1" si="19"/>
        <v>93</v>
      </c>
      <c r="AD34">
        <f t="shared" ca="1" si="19"/>
        <v>176</v>
      </c>
      <c r="AE34">
        <f t="shared" ca="1" si="19"/>
        <v>183</v>
      </c>
      <c r="AF34">
        <f t="shared" ca="1" si="19"/>
        <v>370</v>
      </c>
      <c r="AG34">
        <f t="shared" ca="1" si="19"/>
        <v>417</v>
      </c>
      <c r="AH34">
        <f t="shared" ca="1" si="19"/>
        <v>417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VLOOKUP(A9,$A$44:$F$95,6)</f>
        <v>16</v>
      </c>
      <c r="B35">
        <f t="shared" ca="1" si="20"/>
        <v>16</v>
      </c>
      <c r="C35">
        <f t="shared" ca="1" si="20"/>
        <v>178</v>
      </c>
      <c r="D35">
        <f t="shared" ca="1" si="20"/>
        <v>568</v>
      </c>
      <c r="E35">
        <f t="shared" ca="1" si="20"/>
        <v>208</v>
      </c>
      <c r="F35">
        <f t="shared" ca="1" si="20"/>
        <v>568</v>
      </c>
      <c r="G35">
        <f t="shared" ca="1" si="20"/>
        <v>568</v>
      </c>
      <c r="H35">
        <f t="shared" ca="1" si="20"/>
        <v>370</v>
      </c>
      <c r="I35">
        <f t="shared" ca="1" si="20"/>
        <v>178</v>
      </c>
      <c r="J35">
        <f t="shared" ca="1" si="20"/>
        <v>16</v>
      </c>
      <c r="K35">
        <f t="shared" ca="1" si="20"/>
        <v>0</v>
      </c>
      <c r="L35">
        <f t="shared" ca="1" si="20"/>
        <v>568</v>
      </c>
      <c r="M35">
        <f t="shared" ca="1" si="20"/>
        <v>183</v>
      </c>
      <c r="N35">
        <f t="shared" ca="1" si="20"/>
        <v>370</v>
      </c>
      <c r="O35">
        <f t="shared" ca="1" si="20"/>
        <v>0</v>
      </c>
      <c r="P35">
        <f t="shared" ca="1" si="20"/>
        <v>16</v>
      </c>
      <c r="Q35">
        <f t="shared" ca="1" si="20"/>
        <v>16</v>
      </c>
      <c r="R35">
        <f t="shared" ca="1" si="20"/>
        <v>568</v>
      </c>
      <c r="S35">
        <f t="shared" ca="1" si="20"/>
        <v>30</v>
      </c>
      <c r="T35">
        <f t="shared" ca="1" si="20"/>
        <v>0</v>
      </c>
      <c r="U35">
        <f t="shared" ca="1" si="20"/>
        <v>0</v>
      </c>
      <c r="V35">
        <f t="shared" ca="1" si="20"/>
        <v>16</v>
      </c>
      <c r="W35">
        <f t="shared" ca="1" si="20"/>
        <v>183</v>
      </c>
      <c r="X35">
        <f t="shared" ca="1" si="20"/>
        <v>568</v>
      </c>
      <c r="Y35">
        <f t="shared" ca="1" si="20"/>
        <v>568</v>
      </c>
      <c r="Z35">
        <f t="shared" ca="1" si="20"/>
        <v>1142</v>
      </c>
      <c r="AA35">
        <f t="shared" ca="1" si="20"/>
        <v>370</v>
      </c>
      <c r="AB35">
        <f t="shared" ca="1" si="20"/>
        <v>120</v>
      </c>
      <c r="AC35">
        <f t="shared" ca="1" si="20"/>
        <v>417</v>
      </c>
      <c r="AD35">
        <f t="shared" ca="1" si="20"/>
        <v>568</v>
      </c>
      <c r="AE35">
        <f t="shared" ca="1" si="20"/>
        <v>107</v>
      </c>
      <c r="AF35">
        <f t="shared" ca="1" si="20"/>
        <v>402</v>
      </c>
      <c r="AG35">
        <f t="shared" ca="1" si="20"/>
        <v>0</v>
      </c>
      <c r="AH35">
        <f t="shared" ca="1" si="20"/>
        <v>0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VLOOKUP(A10,$A$44:$F$95,6)</f>
        <v>568</v>
      </c>
      <c r="B36">
        <f t="shared" ca="1" si="21"/>
        <v>568</v>
      </c>
      <c r="C36">
        <f t="shared" ca="1" si="21"/>
        <v>568</v>
      </c>
      <c r="D36">
        <f t="shared" ca="1" si="21"/>
        <v>0</v>
      </c>
      <c r="E36">
        <f t="shared" ca="1" si="21"/>
        <v>568</v>
      </c>
      <c r="F36">
        <f t="shared" ca="1" si="21"/>
        <v>0</v>
      </c>
      <c r="G36">
        <f t="shared" ca="1" si="21"/>
        <v>16</v>
      </c>
      <c r="H36">
        <f t="shared" ca="1" si="21"/>
        <v>16</v>
      </c>
      <c r="I36">
        <f t="shared" ca="1" si="21"/>
        <v>402</v>
      </c>
      <c r="J36">
        <f t="shared" ca="1" si="21"/>
        <v>107</v>
      </c>
      <c r="K36">
        <f t="shared" ca="1" si="21"/>
        <v>16</v>
      </c>
      <c r="L36">
        <f t="shared" ca="1" si="21"/>
        <v>178</v>
      </c>
      <c r="M36">
        <f t="shared" ca="1" si="21"/>
        <v>568</v>
      </c>
      <c r="N36">
        <f t="shared" ca="1" si="21"/>
        <v>183</v>
      </c>
      <c r="O36">
        <f t="shared" ca="1" si="21"/>
        <v>16</v>
      </c>
      <c r="P36">
        <f t="shared" ca="1" si="21"/>
        <v>568</v>
      </c>
      <c r="Q36">
        <f t="shared" ca="1" si="21"/>
        <v>568</v>
      </c>
      <c r="R36">
        <f t="shared" ca="1" si="21"/>
        <v>30</v>
      </c>
      <c r="S36">
        <f t="shared" ca="1" si="21"/>
        <v>0</v>
      </c>
      <c r="T36">
        <f t="shared" ca="1" si="21"/>
        <v>370</v>
      </c>
      <c r="U36">
        <f t="shared" ca="1" si="21"/>
        <v>183</v>
      </c>
      <c r="V36">
        <f t="shared" ca="1" si="21"/>
        <v>0</v>
      </c>
      <c r="W36">
        <f t="shared" ca="1" si="21"/>
        <v>568</v>
      </c>
      <c r="X36">
        <f t="shared" ca="1" si="21"/>
        <v>178</v>
      </c>
      <c r="Y36">
        <f t="shared" ca="1" si="21"/>
        <v>120</v>
      </c>
      <c r="Z36">
        <f t="shared" ca="1" si="21"/>
        <v>417</v>
      </c>
      <c r="AA36">
        <f t="shared" ca="1" si="21"/>
        <v>178</v>
      </c>
      <c r="AB36">
        <f t="shared" ca="1" si="21"/>
        <v>402</v>
      </c>
      <c r="AC36">
        <f t="shared" ca="1" si="21"/>
        <v>183</v>
      </c>
      <c r="AD36">
        <f t="shared" ca="1" si="21"/>
        <v>30</v>
      </c>
      <c r="AE36">
        <f t="shared" ca="1" si="21"/>
        <v>568</v>
      </c>
      <c r="AF36">
        <f t="shared" ca="1" si="21"/>
        <v>120</v>
      </c>
      <c r="AG36">
        <f t="shared" ca="1" si="21"/>
        <v>183</v>
      </c>
      <c r="AH36">
        <f t="shared" ca="1" si="21"/>
        <v>568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VLOOKUP(A11,$A$44:$F$95,6)</f>
        <v>402</v>
      </c>
      <c r="B37">
        <f t="shared" ca="1" si="22"/>
        <v>370</v>
      </c>
      <c r="C37">
        <f t="shared" ca="1" si="22"/>
        <v>16</v>
      </c>
      <c r="D37">
        <f t="shared" ca="1" si="22"/>
        <v>178</v>
      </c>
      <c r="E37">
        <f t="shared" ca="1" si="22"/>
        <v>160</v>
      </c>
      <c r="F37">
        <f t="shared" ca="1" si="22"/>
        <v>402</v>
      </c>
      <c r="G37">
        <f t="shared" ca="1" si="22"/>
        <v>0</v>
      </c>
      <c r="H37">
        <f t="shared" ca="1" si="22"/>
        <v>568</v>
      </c>
      <c r="I37">
        <f t="shared" ca="1" si="22"/>
        <v>370</v>
      </c>
      <c r="J37">
        <f t="shared" ca="1" si="22"/>
        <v>568</v>
      </c>
      <c r="K37">
        <f t="shared" ca="1" si="22"/>
        <v>370</v>
      </c>
      <c r="L37">
        <f t="shared" ca="1" si="22"/>
        <v>16</v>
      </c>
      <c r="M37">
        <f t="shared" ca="1" si="22"/>
        <v>370</v>
      </c>
      <c r="N37">
        <f t="shared" ca="1" si="22"/>
        <v>627</v>
      </c>
      <c r="O37">
        <f t="shared" ca="1" si="22"/>
        <v>568</v>
      </c>
      <c r="P37">
        <f t="shared" ca="1" si="22"/>
        <v>178</v>
      </c>
      <c r="Q37">
        <f t="shared" ca="1" si="22"/>
        <v>178</v>
      </c>
      <c r="R37">
        <f t="shared" ca="1" si="22"/>
        <v>0</v>
      </c>
      <c r="S37">
        <f t="shared" ca="1" si="22"/>
        <v>101</v>
      </c>
      <c r="T37">
        <f t="shared" ca="1" si="22"/>
        <v>627</v>
      </c>
      <c r="U37">
        <f t="shared" ca="1" si="22"/>
        <v>30</v>
      </c>
      <c r="V37">
        <f t="shared" ca="1" si="22"/>
        <v>178</v>
      </c>
      <c r="W37">
        <f t="shared" ca="1" si="22"/>
        <v>402</v>
      </c>
      <c r="X37">
        <f t="shared" ca="1" si="22"/>
        <v>370</v>
      </c>
      <c r="Y37">
        <f t="shared" ca="1" si="22"/>
        <v>107</v>
      </c>
      <c r="Z37">
        <f t="shared" ca="1" si="22"/>
        <v>176</v>
      </c>
      <c r="AA37">
        <f t="shared" ca="1" si="22"/>
        <v>841</v>
      </c>
      <c r="AB37">
        <f t="shared" ca="1" si="22"/>
        <v>568</v>
      </c>
      <c r="AC37">
        <f t="shared" ca="1" si="22"/>
        <v>370</v>
      </c>
      <c r="AD37">
        <f t="shared" ca="1" si="22"/>
        <v>402</v>
      </c>
      <c r="AE37">
        <f t="shared" ca="1" si="22"/>
        <v>627</v>
      </c>
      <c r="AF37">
        <f t="shared" ca="1" si="22"/>
        <v>991</v>
      </c>
      <c r="AG37">
        <f t="shared" ca="1" si="22"/>
        <v>0</v>
      </c>
      <c r="AH37">
        <f t="shared" ca="1" si="22"/>
        <v>0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VLOOKUP(A12,$A$44:$F$95,6)</f>
        <v>841</v>
      </c>
      <c r="B38">
        <f t="shared" ca="1" si="23"/>
        <v>0</v>
      </c>
      <c r="C38">
        <f t="shared" ca="1" si="23"/>
        <v>370</v>
      </c>
      <c r="D38">
        <f t="shared" ca="1" si="23"/>
        <v>370</v>
      </c>
      <c r="E38">
        <f t="shared" ca="1" si="23"/>
        <v>370</v>
      </c>
      <c r="F38">
        <f t="shared" ca="1" si="23"/>
        <v>370</v>
      </c>
      <c r="G38">
        <f t="shared" ca="1" si="23"/>
        <v>178</v>
      </c>
      <c r="H38">
        <f t="shared" ca="1" si="23"/>
        <v>402</v>
      </c>
      <c r="I38">
        <f t="shared" ca="1" si="23"/>
        <v>107</v>
      </c>
      <c r="J38">
        <f t="shared" ca="1" si="23"/>
        <v>370</v>
      </c>
      <c r="K38">
        <f t="shared" ca="1" si="23"/>
        <v>823</v>
      </c>
      <c r="L38">
        <f t="shared" ca="1" si="23"/>
        <v>107</v>
      </c>
      <c r="M38">
        <f t="shared" ca="1" si="23"/>
        <v>0</v>
      </c>
      <c r="N38">
        <f t="shared" ca="1" si="23"/>
        <v>494</v>
      </c>
      <c r="O38">
        <f t="shared" ca="1" si="23"/>
        <v>370</v>
      </c>
      <c r="P38">
        <f t="shared" ca="1" si="23"/>
        <v>370</v>
      </c>
      <c r="Q38">
        <f t="shared" ca="1" si="23"/>
        <v>991</v>
      </c>
      <c r="R38">
        <f t="shared" ca="1" si="23"/>
        <v>101</v>
      </c>
      <c r="S38">
        <f t="shared" ca="1" si="23"/>
        <v>627</v>
      </c>
      <c r="T38">
        <f t="shared" ca="1" si="23"/>
        <v>1142</v>
      </c>
      <c r="U38">
        <f t="shared" ca="1" si="23"/>
        <v>0</v>
      </c>
      <c r="V38">
        <f t="shared" ca="1" si="23"/>
        <v>370</v>
      </c>
      <c r="W38">
        <f t="shared" ca="1" si="23"/>
        <v>370</v>
      </c>
      <c r="X38">
        <f t="shared" ca="1" si="23"/>
        <v>991</v>
      </c>
      <c r="Y38">
        <f t="shared" ca="1" si="23"/>
        <v>370</v>
      </c>
      <c r="Z38">
        <f t="shared" ca="1" si="23"/>
        <v>7</v>
      </c>
      <c r="AA38">
        <f t="shared" ca="1" si="23"/>
        <v>544</v>
      </c>
      <c r="AB38">
        <f t="shared" ca="1" si="23"/>
        <v>370</v>
      </c>
      <c r="AC38">
        <f t="shared" ca="1" si="23"/>
        <v>16</v>
      </c>
      <c r="AD38">
        <f t="shared" ca="1" si="23"/>
        <v>370</v>
      </c>
      <c r="AE38">
        <f t="shared" ca="1" si="23"/>
        <v>494</v>
      </c>
      <c r="AF38">
        <f t="shared" ca="1" si="23"/>
        <v>1017</v>
      </c>
      <c r="AG38">
        <f t="shared" ca="1" si="23"/>
        <v>30</v>
      </c>
      <c r="AH38">
        <f t="shared" ca="1" si="23"/>
        <v>30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VLOOKUP(A13,$A$44:$F$95,6)</f>
        <v>160</v>
      </c>
      <c r="B39">
        <f t="shared" ca="1" si="24"/>
        <v>348</v>
      </c>
      <c r="C39">
        <f t="shared" ca="1" si="24"/>
        <v>5</v>
      </c>
      <c r="D39">
        <f t="shared" ca="1" si="24"/>
        <v>627</v>
      </c>
      <c r="E39">
        <f t="shared" ca="1" si="24"/>
        <v>544</v>
      </c>
      <c r="F39">
        <f t="shared" ca="1" si="24"/>
        <v>627</v>
      </c>
      <c r="G39">
        <f t="shared" ca="1" si="24"/>
        <v>991</v>
      </c>
      <c r="H39">
        <f t="shared" ca="1" si="24"/>
        <v>627</v>
      </c>
      <c r="I39">
        <f t="shared" ca="1" si="24"/>
        <v>348</v>
      </c>
      <c r="J39">
        <f t="shared" ca="1" si="24"/>
        <v>627</v>
      </c>
      <c r="K39">
        <f t="shared" ca="1" si="24"/>
        <v>417</v>
      </c>
      <c r="L39">
        <f t="shared" ca="1" si="24"/>
        <v>627</v>
      </c>
      <c r="M39">
        <f t="shared" ca="1" si="24"/>
        <v>348</v>
      </c>
      <c r="N39">
        <f t="shared" ca="1" si="24"/>
        <v>492</v>
      </c>
      <c r="O39">
        <f t="shared" ca="1" si="24"/>
        <v>627</v>
      </c>
      <c r="P39">
        <f t="shared" ca="1" si="24"/>
        <v>627</v>
      </c>
      <c r="Q39">
        <f t="shared" ca="1" si="24"/>
        <v>627</v>
      </c>
      <c r="R39">
        <f t="shared" ca="1" si="24"/>
        <v>627</v>
      </c>
      <c r="S39">
        <f t="shared" ca="1" si="24"/>
        <v>348</v>
      </c>
      <c r="T39">
        <f t="shared" ca="1" si="24"/>
        <v>841</v>
      </c>
      <c r="U39">
        <f t="shared" ca="1" si="24"/>
        <v>627</v>
      </c>
      <c r="V39">
        <f t="shared" ca="1" si="24"/>
        <v>627</v>
      </c>
      <c r="W39">
        <f t="shared" ca="1" si="24"/>
        <v>991</v>
      </c>
      <c r="X39">
        <f t="shared" ca="1" si="24"/>
        <v>0</v>
      </c>
      <c r="Y39">
        <f t="shared" ca="1" si="24"/>
        <v>627</v>
      </c>
      <c r="Z39">
        <f t="shared" ca="1" si="24"/>
        <v>991</v>
      </c>
      <c r="AA39">
        <f t="shared" ca="1" si="24"/>
        <v>627</v>
      </c>
      <c r="AB39">
        <f t="shared" ca="1" si="24"/>
        <v>5</v>
      </c>
      <c r="AC39">
        <f t="shared" ca="1" si="24"/>
        <v>101</v>
      </c>
      <c r="AD39">
        <f t="shared" ca="1" si="24"/>
        <v>991</v>
      </c>
      <c r="AE39">
        <f t="shared" ca="1" si="24"/>
        <v>179</v>
      </c>
      <c r="AF39">
        <f t="shared" ca="1" si="24"/>
        <v>823</v>
      </c>
      <c r="AG39">
        <f t="shared" ca="1" si="24"/>
        <v>370</v>
      </c>
      <c r="AH39">
        <f t="shared" ca="1" si="24"/>
        <v>0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4775</v>
      </c>
      <c r="B41">
        <f t="shared" ref="B41:AO41" ca="1" si="25">SUM(B28:B39)</f>
        <v>4247</v>
      </c>
      <c r="C41">
        <f t="shared" ca="1" si="25"/>
        <v>4506</v>
      </c>
      <c r="D41">
        <f t="shared" ca="1" si="25"/>
        <v>3979</v>
      </c>
      <c r="E41">
        <f t="shared" ca="1" si="25"/>
        <v>4395</v>
      </c>
      <c r="F41">
        <f t="shared" ca="1" si="25"/>
        <v>4847</v>
      </c>
      <c r="G41">
        <f t="shared" ca="1" si="25"/>
        <v>3382</v>
      </c>
      <c r="H41">
        <f t="shared" ca="1" si="25"/>
        <v>4845</v>
      </c>
      <c r="I41">
        <f t="shared" ca="1" si="25"/>
        <v>4239</v>
      </c>
      <c r="J41">
        <f t="shared" ca="1" si="25"/>
        <v>4132</v>
      </c>
      <c r="K41">
        <f t="shared" ca="1" si="25"/>
        <v>4746</v>
      </c>
      <c r="L41">
        <f t="shared" ca="1" si="25"/>
        <v>3774</v>
      </c>
      <c r="M41">
        <f t="shared" ca="1" si="25"/>
        <v>5050</v>
      </c>
      <c r="N41">
        <f t="shared" ca="1" si="25"/>
        <v>3801</v>
      </c>
      <c r="O41">
        <f t="shared" ca="1" si="25"/>
        <v>4563</v>
      </c>
      <c r="P41">
        <f t="shared" ca="1" si="25"/>
        <v>3728</v>
      </c>
      <c r="Q41">
        <f t="shared" ca="1" si="25"/>
        <v>4418</v>
      </c>
      <c r="R41">
        <f t="shared" ca="1" si="25"/>
        <v>4305</v>
      </c>
      <c r="S41">
        <f t="shared" ca="1" si="25"/>
        <v>4236</v>
      </c>
      <c r="T41">
        <f t="shared" ca="1" si="25"/>
        <v>4546</v>
      </c>
      <c r="U41">
        <f t="shared" ca="1" si="25"/>
        <v>3803</v>
      </c>
      <c r="V41">
        <f t="shared" ca="1" si="25"/>
        <v>3440</v>
      </c>
      <c r="W41">
        <f t="shared" ca="1" si="25"/>
        <v>5110</v>
      </c>
      <c r="X41">
        <f t="shared" ca="1" si="25"/>
        <v>4294</v>
      </c>
      <c r="Y41">
        <f t="shared" ca="1" si="25"/>
        <v>5657</v>
      </c>
      <c r="Z41">
        <f t="shared" ca="1" si="25"/>
        <v>4895</v>
      </c>
      <c r="AA41">
        <f t="shared" ca="1" si="25"/>
        <v>4448</v>
      </c>
      <c r="AB41">
        <f t="shared" ca="1" si="25"/>
        <v>4427</v>
      </c>
      <c r="AC41">
        <f t="shared" ca="1" si="25"/>
        <v>4629</v>
      </c>
      <c r="AD41">
        <f t="shared" ca="1" si="25"/>
        <v>4862</v>
      </c>
      <c r="AE41">
        <f t="shared" ca="1" si="25"/>
        <v>3703</v>
      </c>
      <c r="AF41">
        <f t="shared" ca="1" si="25"/>
        <v>4190</v>
      </c>
      <c r="AG41">
        <f t="shared" ca="1" si="25"/>
        <v>4720</v>
      </c>
      <c r="AH41">
        <f t="shared" ca="1" si="25"/>
        <v>4576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RANK(A41,OFFSET($A$41,0,0,1,$H$43))</f>
        <v>8</v>
      </c>
      <c r="B42">
        <f t="shared" ref="B42:Q42" ca="1" si="26">RANK(B41,OFFSET($A$41,0,0,1,$H$43))</f>
        <v>22</v>
      </c>
      <c r="C42">
        <f t="shared" ca="1" si="26"/>
        <v>15</v>
      </c>
      <c r="D42">
        <f t="shared" ca="1" si="26"/>
        <v>27</v>
      </c>
      <c r="E42">
        <f t="shared" ca="1" si="26"/>
        <v>19</v>
      </c>
      <c r="F42">
        <f t="shared" ca="1" si="26"/>
        <v>6</v>
      </c>
      <c r="G42">
        <f t="shared" ca="1" si="26"/>
        <v>34</v>
      </c>
      <c r="H42">
        <f t="shared" ca="1" si="26"/>
        <v>7</v>
      </c>
      <c r="I42">
        <f t="shared" ca="1" si="26"/>
        <v>23</v>
      </c>
      <c r="J42">
        <f t="shared" ca="1" si="26"/>
        <v>26</v>
      </c>
      <c r="K42">
        <f t="shared" ca="1" si="26"/>
        <v>9</v>
      </c>
      <c r="L42">
        <f t="shared" ca="1" si="26"/>
        <v>30</v>
      </c>
      <c r="M42">
        <f t="shared" ca="1" si="26"/>
        <v>3</v>
      </c>
      <c r="N42">
        <f t="shared" ca="1" si="26"/>
        <v>29</v>
      </c>
      <c r="O42">
        <f t="shared" ca="1" si="26"/>
        <v>13</v>
      </c>
      <c r="P42">
        <f t="shared" ca="1" si="26"/>
        <v>31</v>
      </c>
      <c r="Q42">
        <f t="shared" ca="1" si="26"/>
        <v>18</v>
      </c>
      <c r="R42">
        <f t="shared" ref="R42:AG42" ca="1" si="27">RANK(R41,OFFSET($A$41,0,0,1,$H$43))</f>
        <v>20</v>
      </c>
      <c r="S42">
        <f t="shared" ca="1" si="27"/>
        <v>24</v>
      </c>
      <c r="T42">
        <f t="shared" ca="1" si="27"/>
        <v>14</v>
      </c>
      <c r="U42">
        <f t="shared" ca="1" si="27"/>
        <v>28</v>
      </c>
      <c r="V42">
        <f t="shared" ca="1" si="27"/>
        <v>33</v>
      </c>
      <c r="W42">
        <f t="shared" ca="1" si="27"/>
        <v>2</v>
      </c>
      <c r="X42">
        <f t="shared" ca="1" si="27"/>
        <v>21</v>
      </c>
      <c r="Y42">
        <f t="shared" ca="1" si="27"/>
        <v>1</v>
      </c>
      <c r="Z42">
        <f t="shared" ca="1" si="27"/>
        <v>4</v>
      </c>
      <c r="AA42">
        <f t="shared" ca="1" si="27"/>
        <v>16</v>
      </c>
      <c r="AB42">
        <f t="shared" ca="1" si="27"/>
        <v>17</v>
      </c>
      <c r="AC42">
        <f t="shared" ca="1" si="27"/>
        <v>11</v>
      </c>
      <c r="AD42">
        <f t="shared" ca="1" si="27"/>
        <v>5</v>
      </c>
      <c r="AE42">
        <f t="shared" ca="1" si="27"/>
        <v>32</v>
      </c>
      <c r="AF42">
        <f t="shared" ca="1" si="27"/>
        <v>25</v>
      </c>
      <c r="AG42">
        <f t="shared" ca="1" si="27"/>
        <v>10</v>
      </c>
      <c r="AH42">
        <f t="shared" ref="AH42:AO42" ca="1" si="28">RANK(AH41,OFFSET($A$41,0,0,1,$H$43))</f>
        <v>12</v>
      </c>
      <c r="AI42" t="e">
        <f t="shared" ca="1" si="28"/>
        <v>#N/A</v>
      </c>
      <c r="AJ42" t="e">
        <f t="shared" ca="1" si="28"/>
        <v>#N/A</v>
      </c>
      <c r="AK42" t="e">
        <f t="shared" ca="1" si="28"/>
        <v>#N/A</v>
      </c>
      <c r="AL42" t="e">
        <f t="shared" ca="1" si="28"/>
        <v>#N/A</v>
      </c>
      <c r="AM42" t="e">
        <f t="shared" ca="1" si="28"/>
        <v>#N/A</v>
      </c>
      <c r="AN42" t="e">
        <f t="shared" ca="1" si="28"/>
        <v>#N/A</v>
      </c>
      <c r="AO42" t="e">
        <f t="shared" ca="1" si="28"/>
        <v>#N/A</v>
      </c>
    </row>
    <row r="43" spans="1:41" x14ac:dyDescent="0.15">
      <c r="C43" t="s">
        <v>176</v>
      </c>
      <c r="D43" t="s">
        <v>177</v>
      </c>
      <c r="E43" t="s">
        <v>178</v>
      </c>
      <c r="F43" t="s">
        <v>179</v>
      </c>
      <c r="G43" t="s">
        <v>180</v>
      </c>
      <c r="H43">
        <f>COUNTA(1:1)</f>
        <v>34</v>
      </c>
    </row>
    <row r="44" spans="1:41" x14ac:dyDescent="0.15">
      <c r="A44" t="s">
        <v>146</v>
      </c>
      <c r="B44" t="s">
        <v>160</v>
      </c>
      <c r="C44">
        <v>7</v>
      </c>
      <c r="D44">
        <f t="array" ref="D44">SUM(IF($3:$13=A44,1,0))</f>
        <v>13</v>
      </c>
      <c r="E44">
        <f>MATCH(A44,FantasyPts!$A$5:$A$57,0)</f>
        <v>1</v>
      </c>
      <c r="F44">
        <f ca="1">OFFSET(FantasyPts!$C$4,'Fantasy Teams'!E44,0)</f>
        <v>466</v>
      </c>
      <c r="H44">
        <f ca="1">MATCH(L44,OFFSET($A$42,0,0,1,$H$43),0)</f>
        <v>25</v>
      </c>
      <c r="I44">
        <f ca="1">IF(ISNA(H44),H43+MATCH(L43,OFFSET($A$42,0,H43+1,1,100),0),0)</f>
        <v>0</v>
      </c>
      <c r="J44">
        <f t="array" aca="1" ref="J44" ca="1">MAX(IF(ISNA(H44:I44),0,H44:I44))</f>
        <v>25</v>
      </c>
      <c r="K44" t="str">
        <f t="shared" ref="K44:K75" ca="1" si="29">OFFSET($A$2,0,J44-1)</f>
        <v>Social Officer's Select XI</v>
      </c>
      <c r="L44">
        <v>1</v>
      </c>
      <c r="M44" t="str">
        <f ca="1">OFFSET($A$1,0,J44-1)</f>
        <v>David Sharpe</v>
      </c>
      <c r="N44" t="str">
        <f ca="1">IF(K44=0,"",K44)</f>
        <v>Social Officer's Select XI</v>
      </c>
      <c r="O44">
        <f ca="1">OFFSET($A$41,0,J44-1)</f>
        <v>5657</v>
      </c>
    </row>
    <row r="45" spans="1:41" x14ac:dyDescent="0.15">
      <c r="A45" t="s">
        <v>206</v>
      </c>
      <c r="B45" t="s">
        <v>207</v>
      </c>
      <c r="C45">
        <v>4</v>
      </c>
      <c r="D45">
        <f t="array" ref="D45">SUM(IF($3:$13=A45,1,0))</f>
        <v>23</v>
      </c>
      <c r="E45">
        <f>MATCH(A45,FantasyPts!$A$5:$A$57,0)</f>
        <v>2</v>
      </c>
      <c r="F45">
        <f ca="1">OFFSET(FantasyPts!$C$4,'Fantasy Teams'!E45,0)</f>
        <v>627</v>
      </c>
      <c r="H45">
        <f t="shared" ref="H45:H60" ca="1" si="30">MATCH(L45,OFFSET($A$42,0,0,1,$H$43),0)</f>
        <v>23</v>
      </c>
      <c r="I45">
        <f t="shared" ref="I45:I60" ca="1" si="31">IF(ISNA(H45),1+H44+MATCH(L44,OFFSET($A$42,0,H44+1,1,100),0),0)</f>
        <v>0</v>
      </c>
      <c r="J45">
        <f t="array" aca="1" ref="J45" ca="1">MAX(IF(ISNA(H45:I45),0,H45:I45))</f>
        <v>23</v>
      </c>
      <c r="K45" t="str">
        <f t="shared" ca="1" si="29"/>
        <v>Tiger Balsa-Woods</v>
      </c>
      <c r="L45">
        <f t="shared" ref="L45:L76" si="32">L44+1</f>
        <v>2</v>
      </c>
      <c r="M45" t="str">
        <f t="shared" ref="M45:M60" ca="1" si="33">OFFSET($A$1,0,J45-1)</f>
        <v>Del Shewan</v>
      </c>
      <c r="N45" t="str">
        <f t="shared" ref="N45:N60" ca="1" si="34">IF(K45=0,"",K45)</f>
        <v>Tiger Balsa-Woods</v>
      </c>
      <c r="O45">
        <f t="shared" ref="O45:O60" ca="1" si="35">OFFSET($A$41,0,J45-1)</f>
        <v>5110</v>
      </c>
    </row>
    <row r="46" spans="1:41" x14ac:dyDescent="0.15">
      <c r="A46" t="s">
        <v>123</v>
      </c>
      <c r="B46" t="s">
        <v>162</v>
      </c>
      <c r="C46">
        <v>6</v>
      </c>
      <c r="D46">
        <f t="array" ref="D46">SUM(IF($3:$13=A46,1,0))</f>
        <v>26</v>
      </c>
      <c r="E46">
        <f>MATCH(A46,FantasyPts!$A$5:$A$57,0)</f>
        <v>3</v>
      </c>
      <c r="F46">
        <f ca="1">OFFSET(FantasyPts!$C$4,'Fantasy Teams'!E46,0)</f>
        <v>568</v>
      </c>
      <c r="H46">
        <f t="shared" ca="1" si="30"/>
        <v>13</v>
      </c>
      <c r="I46">
        <f t="shared" ca="1" si="31"/>
        <v>0</v>
      </c>
      <c r="J46">
        <f t="array" aca="1" ref="J46" ca="1">MAX(IF(ISNA(H46:I46),0,H46:I46))</f>
        <v>13</v>
      </c>
      <c r="K46" t="str">
        <f t="shared" ca="1" si="29"/>
        <v>One Star XI</v>
      </c>
      <c r="L46">
        <f t="shared" si="32"/>
        <v>3</v>
      </c>
      <c r="M46" t="str">
        <f t="shared" ca="1" si="33"/>
        <v>Mike Woodhouse</v>
      </c>
      <c r="N46" t="str">
        <f t="shared" ca="1" si="34"/>
        <v>One Star XI</v>
      </c>
      <c r="O46">
        <f t="shared" ca="1" si="35"/>
        <v>5050</v>
      </c>
    </row>
    <row r="47" spans="1:41" x14ac:dyDescent="0.15">
      <c r="A47" t="s">
        <v>202</v>
      </c>
      <c r="B47" t="s">
        <v>208</v>
      </c>
      <c r="C47">
        <v>1</v>
      </c>
      <c r="D47">
        <f t="array" ref="D47">SUM(IF($3:$13=A47,1,0))</f>
        <v>5</v>
      </c>
      <c r="E47">
        <f>MATCH(A47,FantasyPts!$A$5:$A$57,0)</f>
        <v>4</v>
      </c>
      <c r="F47">
        <f ca="1">OFFSET(FantasyPts!$C$4,'Fantasy Teams'!E47,0)</f>
        <v>120</v>
      </c>
      <c r="H47">
        <f t="shared" ca="1" si="30"/>
        <v>26</v>
      </c>
      <c r="I47">
        <f t="shared" ca="1" si="31"/>
        <v>0</v>
      </c>
      <c r="J47">
        <f t="array" aca="1" ref="J47" ca="1">MAX(IF(ISNA(H47:I47),0,H47:I47))</f>
        <v>26</v>
      </c>
      <c r="K47" t="str">
        <f t="shared" ca="1" si="29"/>
        <v>The Storm Troopers</v>
      </c>
      <c r="L47">
        <f t="shared" si="32"/>
        <v>4</v>
      </c>
      <c r="M47" t="str">
        <f t="shared" ca="1" si="33"/>
        <v>Teresa Grant</v>
      </c>
      <c r="N47" t="str">
        <f t="shared" ca="1" si="34"/>
        <v>The Storm Troopers</v>
      </c>
      <c r="O47">
        <f t="shared" ca="1" si="35"/>
        <v>4895</v>
      </c>
    </row>
    <row r="48" spans="1:41" x14ac:dyDescent="0.15">
      <c r="A48" t="s">
        <v>143</v>
      </c>
      <c r="B48" t="s">
        <v>161</v>
      </c>
      <c r="C48">
        <v>3</v>
      </c>
      <c r="D48">
        <f t="array" ref="D48">SUM(IF($3:$13=A48,1,0))</f>
        <v>25</v>
      </c>
      <c r="E48">
        <f>MATCH(A48,FantasyPts!$A$5:$A$57,0)</f>
        <v>5</v>
      </c>
      <c r="F48">
        <f ca="1">OFFSET(FantasyPts!$C$4,'Fantasy Teams'!E48,0)</f>
        <v>370</v>
      </c>
      <c r="H48">
        <f t="shared" ca="1" si="30"/>
        <v>30</v>
      </c>
      <c r="I48">
        <f t="shared" ca="1" si="31"/>
        <v>0</v>
      </c>
      <c r="J48">
        <f t="array" aca="1" ref="J48" ca="1">MAX(IF(ISNA(H48:I48),0,H48:I48))</f>
        <v>30</v>
      </c>
      <c r="K48" t="str">
        <f t="shared" ca="1" si="29"/>
        <v>Thatch's Catch's</v>
      </c>
      <c r="L48">
        <f t="shared" si="32"/>
        <v>5</v>
      </c>
      <c r="M48" t="str">
        <f t="shared" ca="1" si="33"/>
        <v>Dave Thatcher</v>
      </c>
      <c r="N48" t="str">
        <f t="shared" ca="1" si="34"/>
        <v>Thatch's Catch's</v>
      </c>
      <c r="O48">
        <f t="shared" ca="1" si="35"/>
        <v>4862</v>
      </c>
    </row>
    <row r="49" spans="1:15" x14ac:dyDescent="0.15">
      <c r="A49" t="s">
        <v>168</v>
      </c>
      <c r="B49" t="s">
        <v>155</v>
      </c>
      <c r="C49">
        <v>1</v>
      </c>
      <c r="D49">
        <f t="array" ref="D49">SUM(IF($3:$13=A49,1,0))</f>
        <v>0</v>
      </c>
      <c r="E49">
        <f>MATCH(A49,FantasyPts!$A$5:$A$57,0)</f>
        <v>6</v>
      </c>
      <c r="F49">
        <f ca="1">OFFSET(FantasyPts!$C$4,'Fantasy Teams'!E49,0)</f>
        <v>0</v>
      </c>
      <c r="H49">
        <f t="shared" ca="1" si="30"/>
        <v>6</v>
      </c>
      <c r="I49">
        <f t="shared" ca="1" si="31"/>
        <v>0</v>
      </c>
      <c r="J49">
        <f t="array" aca="1" ref="J49" ca="1">MAX(IF(ISNA(H49:I49),0,H49:I49))</f>
        <v>6</v>
      </c>
      <c r="K49" t="str">
        <f t="shared" ca="1" si="29"/>
        <v>All Stars XI</v>
      </c>
      <c r="L49">
        <f t="shared" si="32"/>
        <v>6</v>
      </c>
      <c r="M49" t="str">
        <f t="shared" ca="1" si="33"/>
        <v>John Leadley</v>
      </c>
      <c r="N49" t="str">
        <f t="shared" ca="1" si="34"/>
        <v>All Stars XI</v>
      </c>
      <c r="O49">
        <f t="shared" ca="1" si="35"/>
        <v>4847</v>
      </c>
    </row>
    <row r="50" spans="1:15" x14ac:dyDescent="0.15">
      <c r="A50" t="s">
        <v>205</v>
      </c>
      <c r="B50" t="s">
        <v>1092</v>
      </c>
      <c r="C50">
        <v>4</v>
      </c>
      <c r="D50">
        <f t="array" ref="D50">SUM(IF($3:$13=A50,1,0))</f>
        <v>8</v>
      </c>
      <c r="E50">
        <f>MATCH(A50,FantasyPts!$A$5:$A$57,0)</f>
        <v>7</v>
      </c>
      <c r="F50">
        <f ca="1">OFFSET(FantasyPts!$C$4,'Fantasy Teams'!E50,0)</f>
        <v>183</v>
      </c>
      <c r="H50">
        <f t="shared" ca="1" si="30"/>
        <v>8</v>
      </c>
      <c r="I50">
        <f t="shared" ca="1" si="31"/>
        <v>0</v>
      </c>
      <c r="J50">
        <f t="array" aca="1" ref="J50" ca="1">MAX(IF(ISNA(H50:I50),0,H50:I50))</f>
        <v>8</v>
      </c>
      <c r="K50" t="str">
        <f t="shared" ca="1" si="29"/>
        <v>Lesley's Lads</v>
      </c>
      <c r="L50">
        <f t="shared" si="32"/>
        <v>7</v>
      </c>
      <c r="M50" t="str">
        <f t="shared" ca="1" si="33"/>
        <v>Lesley Leadley</v>
      </c>
      <c r="N50" t="str">
        <f t="shared" ca="1" si="34"/>
        <v>Lesley's Lads</v>
      </c>
      <c r="O50">
        <f t="shared" ca="1" si="35"/>
        <v>4845</v>
      </c>
    </row>
    <row r="51" spans="1:15" x14ac:dyDescent="0.15">
      <c r="A51" t="s">
        <v>125</v>
      </c>
      <c r="B51" t="s">
        <v>210</v>
      </c>
      <c r="C51">
        <v>2</v>
      </c>
      <c r="D51">
        <f t="array" ref="D51">SUM(IF($3:$13=A51,1,0))</f>
        <v>4</v>
      </c>
      <c r="E51">
        <f>MATCH(A51,FantasyPts!$A$5:$A$57,0)</f>
        <v>8</v>
      </c>
      <c r="F51">
        <f ca="1">OFFSET(FantasyPts!$C$4,'Fantasy Teams'!E51,0)</f>
        <v>160</v>
      </c>
      <c r="H51">
        <f t="shared" ca="1" si="30"/>
        <v>1</v>
      </c>
      <c r="I51">
        <f t="shared" ca="1" si="31"/>
        <v>0</v>
      </c>
      <c r="J51">
        <f t="array" aca="1" ref="J51" ca="1">MAX(IF(ISNA(H51:I51),0,H51:I51))</f>
        <v>1</v>
      </c>
      <c r="K51" t="str">
        <f t="shared" ca="1" si="29"/>
        <v>Japanese Air Force</v>
      </c>
      <c r="L51">
        <f t="shared" si="32"/>
        <v>8</v>
      </c>
      <c r="M51" t="str">
        <f t="shared" ca="1" si="33"/>
        <v>Dave Morris</v>
      </c>
      <c r="N51" t="str">
        <f t="shared" ca="1" si="34"/>
        <v>Japanese Air Force</v>
      </c>
      <c r="O51">
        <f t="shared" ca="1" si="35"/>
        <v>4775</v>
      </c>
    </row>
    <row r="52" spans="1:15" x14ac:dyDescent="0.15">
      <c r="A52" t="s">
        <v>147</v>
      </c>
      <c r="B52" t="s">
        <v>211</v>
      </c>
      <c r="C52">
        <v>1</v>
      </c>
      <c r="D52">
        <f t="array" ref="D52">SUM(IF($3:$13=A52,1,0))</f>
        <v>2</v>
      </c>
      <c r="E52">
        <f>MATCH(A52,FantasyPts!$A$5:$A$57,0)</f>
        <v>9</v>
      </c>
      <c r="F52">
        <f ca="1">OFFSET(FantasyPts!$C$4,'Fantasy Teams'!E52,0)</f>
        <v>0</v>
      </c>
      <c r="H52">
        <f t="shared" ca="1" si="30"/>
        <v>11</v>
      </c>
      <c r="I52">
        <f t="shared" ca="1" si="31"/>
        <v>0</v>
      </c>
      <c r="J52">
        <f t="array" aca="1" ref="J52" ca="1">MAX(IF(ISNA(H52:I52),0,H52:I52))</f>
        <v>11</v>
      </c>
      <c r="K52" t="str">
        <f t="shared" ca="1" si="29"/>
        <v>Joel Shedley XI</v>
      </c>
      <c r="L52">
        <f t="shared" si="32"/>
        <v>9</v>
      </c>
      <c r="M52" t="str">
        <f t="shared" ca="1" si="33"/>
        <v>Mike Woodhouse</v>
      </c>
      <c r="N52" t="str">
        <f t="shared" ca="1" si="34"/>
        <v>Joel Shedley XI</v>
      </c>
      <c r="O52">
        <f t="shared" ca="1" si="35"/>
        <v>4746</v>
      </c>
    </row>
    <row r="53" spans="1:15" x14ac:dyDescent="0.15">
      <c r="A53" t="s">
        <v>112</v>
      </c>
      <c r="B53" t="s">
        <v>212</v>
      </c>
      <c r="C53">
        <v>7</v>
      </c>
      <c r="D53">
        <f t="array" ref="D53">SUM(IF($3:$13=A53,1,0))</f>
        <v>10</v>
      </c>
      <c r="E53">
        <f>MATCH(A53,FantasyPts!$A$5:$A$57,0)</f>
        <v>10</v>
      </c>
      <c r="F53">
        <f ca="1">OFFSET(FantasyPts!$C$4,'Fantasy Teams'!E53,0)</f>
        <v>494</v>
      </c>
      <c r="H53">
        <f t="shared" ca="1" si="30"/>
        <v>33</v>
      </c>
      <c r="I53">
        <f t="shared" ca="1" si="31"/>
        <v>0</v>
      </c>
      <c r="J53">
        <f t="array" aca="1" ref="J53" ca="1">MAX(IF(ISNA(H53:I53),0,H53:I53))</f>
        <v>33</v>
      </c>
      <c r="K53" t="str">
        <f t="shared" ca="1" si="29"/>
        <v>1st XI</v>
      </c>
      <c r="L53">
        <f t="shared" si="32"/>
        <v>10</v>
      </c>
      <c r="M53" t="str">
        <f t="shared" ca="1" si="33"/>
        <v>Tony Springer</v>
      </c>
      <c r="N53" t="str">
        <f t="shared" ca="1" si="34"/>
        <v>1st XI</v>
      </c>
      <c r="O53">
        <f t="shared" ca="1" si="35"/>
        <v>4720</v>
      </c>
    </row>
    <row r="54" spans="1:15" x14ac:dyDescent="0.15">
      <c r="A54" t="s">
        <v>129</v>
      </c>
      <c r="B54" t="s">
        <v>158</v>
      </c>
      <c r="C54">
        <v>7</v>
      </c>
      <c r="D54">
        <f t="array" ref="D54">SUM(IF($3:$13=A54,1,0))</f>
        <v>5</v>
      </c>
      <c r="E54">
        <f>MATCH(A54,FantasyPts!$A$5:$A$57,0)</f>
        <v>11</v>
      </c>
      <c r="F54">
        <f ca="1">OFFSET(FantasyPts!$C$4,'Fantasy Teams'!E54,0)</f>
        <v>544</v>
      </c>
      <c r="H54">
        <f t="shared" ca="1" si="30"/>
        <v>29</v>
      </c>
      <c r="I54">
        <f t="shared" ca="1" si="31"/>
        <v>0</v>
      </c>
      <c r="J54">
        <f t="array" aca="1" ref="J54" ca="1">MAX(IF(ISNA(H54:I54),0,H54:I54))</f>
        <v>29</v>
      </c>
      <c r="K54" t="str">
        <f t="shared" ca="1" si="29"/>
        <v>Gone to the Spar shop!</v>
      </c>
      <c r="L54">
        <f t="shared" si="32"/>
        <v>11</v>
      </c>
      <c r="M54" t="str">
        <f t="shared" ca="1" si="33"/>
        <v>Chris Clarke</v>
      </c>
      <c r="N54" t="str">
        <f t="shared" ca="1" si="34"/>
        <v>Gone to the Spar shop!</v>
      </c>
      <c r="O54">
        <f t="shared" ca="1" si="35"/>
        <v>4629</v>
      </c>
    </row>
    <row r="55" spans="1:15" x14ac:dyDescent="0.15">
      <c r="A55" t="s">
        <v>133</v>
      </c>
      <c r="B55" t="s">
        <v>164</v>
      </c>
      <c r="C55">
        <v>4</v>
      </c>
      <c r="D55">
        <f t="array" ref="D55">SUM(IF($3:$13=A55,1,0))</f>
        <v>9</v>
      </c>
      <c r="E55">
        <f>MATCH(A55,FantasyPts!$A$5:$A$57,0)</f>
        <v>12</v>
      </c>
      <c r="F55">
        <f ca="1">OFFSET(FantasyPts!$C$4,'Fantasy Teams'!E55,0)</f>
        <v>823</v>
      </c>
      <c r="H55">
        <f t="shared" ca="1" si="30"/>
        <v>34</v>
      </c>
      <c r="I55">
        <f t="shared" ca="1" si="31"/>
        <v>0</v>
      </c>
      <c r="J55">
        <f t="array" aca="1" ref="J55" ca="1">MAX(IF(ISNA(H55:I55),0,H55:I55))</f>
        <v>34</v>
      </c>
      <c r="K55" t="str">
        <f t="shared" ca="1" si="29"/>
        <v>2nd XI</v>
      </c>
      <c r="L55">
        <f t="shared" si="32"/>
        <v>12</v>
      </c>
      <c r="M55" t="str">
        <f t="shared" ca="1" si="33"/>
        <v>Tony Springer</v>
      </c>
      <c r="N55" t="str">
        <f t="shared" ca="1" si="34"/>
        <v>2nd XI</v>
      </c>
      <c r="O55">
        <f t="shared" ca="1" si="35"/>
        <v>4576</v>
      </c>
    </row>
    <row r="56" spans="1:15" x14ac:dyDescent="0.15">
      <c r="A56" t="s">
        <v>136</v>
      </c>
      <c r="B56" t="s">
        <v>153</v>
      </c>
      <c r="C56">
        <v>3</v>
      </c>
      <c r="D56">
        <f t="array" ref="D56">SUM(IF($3:$13=A56,1,0))</f>
        <v>21</v>
      </c>
      <c r="E56">
        <f>MATCH(A56,FantasyPts!$A$5:$A$57,0)</f>
        <v>13</v>
      </c>
      <c r="F56">
        <f ca="1">OFFSET(FantasyPts!$C$4,'Fantasy Teams'!E56,0)</f>
        <v>176</v>
      </c>
      <c r="H56">
        <f t="shared" ca="1" si="30"/>
        <v>15</v>
      </c>
      <c r="I56">
        <f t="shared" ca="1" si="31"/>
        <v>0</v>
      </c>
      <c r="J56">
        <f t="array" aca="1" ref="J56" ca="1">MAX(IF(ISNA(H56:I56),0,H56:I56))</f>
        <v>15</v>
      </c>
      <c r="K56" t="str">
        <f t="shared" ca="1" si="29"/>
        <v>Geoff's Supers I</v>
      </c>
      <c r="L56">
        <f t="shared" si="32"/>
        <v>13</v>
      </c>
      <c r="M56" t="str">
        <f t="shared" ca="1" si="33"/>
        <v>Geoff Cooper</v>
      </c>
      <c r="N56" t="str">
        <f t="shared" ca="1" si="34"/>
        <v>Geoff's Supers I</v>
      </c>
      <c r="O56">
        <f t="shared" ca="1" si="35"/>
        <v>4563</v>
      </c>
    </row>
    <row r="57" spans="1:15" x14ac:dyDescent="0.15">
      <c r="A57" t="s">
        <v>174</v>
      </c>
      <c r="B57" t="s">
        <v>213</v>
      </c>
      <c r="C57">
        <v>4</v>
      </c>
      <c r="D57">
        <f t="array" ref="D57">SUM(IF($3:$13=A57,1,0))</f>
        <v>3</v>
      </c>
      <c r="E57">
        <f>MATCH(A57,FantasyPts!$A$5:$A$57,0)</f>
        <v>14</v>
      </c>
      <c r="F57">
        <f ca="1">OFFSET(FantasyPts!$C$4,'Fantasy Teams'!E57,0)</f>
        <v>39</v>
      </c>
      <c r="H57">
        <f t="shared" ca="1" si="30"/>
        <v>20</v>
      </c>
      <c r="I57">
        <f t="shared" ca="1" si="31"/>
        <v>0</v>
      </c>
      <c r="J57">
        <f t="array" aca="1" ref="J57" ca="1">MAX(IF(ISNA(H57:I57),0,H57:I57))</f>
        <v>20</v>
      </c>
      <c r="K57" t="str">
        <f t="shared" ca="1" si="29"/>
        <v>Snowy's Select XI</v>
      </c>
      <c r="L57">
        <f t="shared" si="32"/>
        <v>14</v>
      </c>
      <c r="M57" t="str">
        <f t="shared" ca="1" si="33"/>
        <v>David Snow</v>
      </c>
      <c r="N57" t="str">
        <f t="shared" ca="1" si="34"/>
        <v>Snowy's Select XI</v>
      </c>
      <c r="O57">
        <f t="shared" ca="1" si="35"/>
        <v>4546</v>
      </c>
    </row>
    <row r="58" spans="1:15" x14ac:dyDescent="0.15">
      <c r="A58" t="s">
        <v>134</v>
      </c>
      <c r="B58" t="s">
        <v>156</v>
      </c>
      <c r="C58">
        <v>14</v>
      </c>
      <c r="D58">
        <f t="array" ref="D58">SUM(IF($3:$13=A58,1,0))</f>
        <v>12</v>
      </c>
      <c r="E58">
        <f>MATCH(A58,FantasyPts!$A$5:$A$57,0)</f>
        <v>15</v>
      </c>
      <c r="F58">
        <f ca="1">OFFSET(FantasyPts!$C$4,'Fantasy Teams'!E58,0)</f>
        <v>1017</v>
      </c>
      <c r="H58">
        <f t="shared" ca="1" si="30"/>
        <v>3</v>
      </c>
      <c r="I58">
        <f t="shared" ca="1" si="31"/>
        <v>0</v>
      </c>
      <c r="J58">
        <f t="array" aca="1" ref="J58" ca="1">MAX(IF(ISNA(H58:I58),0,H58:I58))</f>
        <v>3</v>
      </c>
      <c r="K58" t="str">
        <f t="shared" ca="1" si="29"/>
        <v>Dugdale B's</v>
      </c>
      <c r="L58">
        <f t="shared" si="32"/>
        <v>15</v>
      </c>
      <c r="M58" t="str">
        <f t="shared" ca="1" si="33"/>
        <v>Ted Dugdale</v>
      </c>
      <c r="N58" t="str">
        <f t="shared" ca="1" si="34"/>
        <v>Dugdale B's</v>
      </c>
      <c r="O58">
        <f t="shared" ca="1" si="35"/>
        <v>4506</v>
      </c>
    </row>
    <row r="59" spans="1:15" x14ac:dyDescent="0.15">
      <c r="A59" t="s">
        <v>171</v>
      </c>
      <c r="B59" t="s">
        <v>214</v>
      </c>
      <c r="C59">
        <v>1</v>
      </c>
      <c r="D59">
        <f t="array" ref="D59">SUM(IF($3:$13=A59,1,0))</f>
        <v>2</v>
      </c>
      <c r="E59">
        <f>MATCH(A59,FantasyPts!$A$5:$A$57,0)</f>
        <v>16</v>
      </c>
      <c r="F59">
        <f ca="1">OFFSET(FantasyPts!$C$4,'Fantasy Teams'!E59,0)</f>
        <v>17</v>
      </c>
      <c r="H59">
        <f t="shared" ca="1" si="30"/>
        <v>27</v>
      </c>
      <c r="I59">
        <f t="shared" ca="1" si="31"/>
        <v>0</v>
      </c>
      <c r="J59">
        <f t="array" aca="1" ref="J59" ca="1">MAX(IF(ISNA(H59:I59),0,H59:I59))</f>
        <v>27</v>
      </c>
      <c r="K59" t="str">
        <f t="shared" ca="1" si="29"/>
        <v>Rampton Escape Committee</v>
      </c>
      <c r="L59">
        <f t="shared" si="32"/>
        <v>16</v>
      </c>
      <c r="M59" t="str">
        <f t="shared" ca="1" si="33"/>
        <v>Barbara Merritt</v>
      </c>
      <c r="N59" t="str">
        <f t="shared" ca="1" si="34"/>
        <v>Rampton Escape Committee</v>
      </c>
      <c r="O59">
        <f t="shared" ca="1" si="35"/>
        <v>4448</v>
      </c>
    </row>
    <row r="60" spans="1:15" x14ac:dyDescent="0.15">
      <c r="A60" t="s">
        <v>114</v>
      </c>
      <c r="B60" t="s">
        <v>154</v>
      </c>
      <c r="C60">
        <v>5</v>
      </c>
      <c r="D60">
        <f t="array" ref="D60">SUM(IF($3:$13=A60,1,0))</f>
        <v>1</v>
      </c>
      <c r="E60">
        <f>MATCH(A60,FantasyPts!$A$5:$A$57,0)</f>
        <v>17</v>
      </c>
      <c r="F60">
        <f ca="1">OFFSET(FantasyPts!$C$4,'Fantasy Teams'!E60,0)</f>
        <v>691</v>
      </c>
      <c r="H60">
        <f t="shared" ca="1" si="30"/>
        <v>28</v>
      </c>
      <c r="I60">
        <f t="shared" ca="1" si="31"/>
        <v>0</v>
      </c>
      <c r="J60">
        <f t="array" aca="1" ref="J60" ca="1">MAX(IF(ISNA(H60:I60),0,H60:I60))</f>
        <v>28</v>
      </c>
      <c r="K60" t="str">
        <f t="shared" ca="1" si="29"/>
        <v>The Fugitives</v>
      </c>
      <c r="L60">
        <f t="shared" si="32"/>
        <v>17</v>
      </c>
      <c r="M60" t="str">
        <f t="shared" ca="1" si="33"/>
        <v>Barbara Merritt</v>
      </c>
      <c r="N60" t="str">
        <f t="shared" ca="1" si="34"/>
        <v>The Fugitives</v>
      </c>
      <c r="O60">
        <f t="shared" ca="1" si="35"/>
        <v>4427</v>
      </c>
    </row>
    <row r="61" spans="1:15" x14ac:dyDescent="0.15">
      <c r="A61" t="s">
        <v>167</v>
      </c>
      <c r="B61" t="s">
        <v>215</v>
      </c>
      <c r="C61">
        <v>1</v>
      </c>
      <c r="D61">
        <f t="array" ref="D61">SUM(IF($3:$13=A61,1,0))</f>
        <v>2</v>
      </c>
      <c r="E61">
        <f>MATCH(A61,FantasyPts!$A$5:$A$57,0)</f>
        <v>18</v>
      </c>
      <c r="F61">
        <f ca="1">OFFSET(FantasyPts!$C$4,'Fantasy Teams'!E61,0)</f>
        <v>7</v>
      </c>
      <c r="H61">
        <f t="shared" ref="H61:H76" ca="1" si="36">MATCH(L61,OFFSET($A$42,0,0,1,$H$43),0)</f>
        <v>17</v>
      </c>
      <c r="I61">
        <f t="shared" ref="I61:I76" ca="1" si="37">IF(ISNA(H61),1+H60+MATCH(L60,OFFSET($A$42,0,H60+1,1,100),0),0)</f>
        <v>0</v>
      </c>
      <c r="J61">
        <f t="array" aca="1" ref="J61" ca="1">MAX(IF(ISNA(H61:I61),0,H61:I61))</f>
        <v>17</v>
      </c>
      <c r="K61">
        <f t="shared" ca="1" si="29"/>
        <v>0</v>
      </c>
      <c r="L61">
        <f t="shared" si="32"/>
        <v>18</v>
      </c>
      <c r="M61" t="str">
        <f t="shared" ref="M61:M76" ca="1" si="38">OFFSET($A$1,0,J61-1)</f>
        <v>Dennis Bradley</v>
      </c>
      <c r="N61" t="str">
        <f t="shared" ref="N61:N76" ca="1" si="39">IF(K61=0,"",K61)</f>
        <v/>
      </c>
      <c r="O61">
        <f t="shared" ref="O61:O76" ca="1" si="40">OFFSET($A$41,0,J61-1)</f>
        <v>4418</v>
      </c>
    </row>
    <row r="62" spans="1:15" x14ac:dyDescent="0.15">
      <c r="A62" t="s">
        <v>201</v>
      </c>
      <c r="B62" t="s">
        <v>216</v>
      </c>
      <c r="C62">
        <v>1</v>
      </c>
      <c r="D62">
        <f t="array" ref="D62">SUM(IF($3:$13=A62,1,0))</f>
        <v>3</v>
      </c>
      <c r="E62">
        <f>MATCH(A62,FantasyPts!$A$5:$A$57,0)</f>
        <v>19</v>
      </c>
      <c r="F62">
        <f ca="1">OFFSET(FantasyPts!$C$4,'Fantasy Teams'!E62,0)</f>
        <v>0</v>
      </c>
      <c r="H62">
        <f t="shared" ca="1" si="36"/>
        <v>5</v>
      </c>
      <c r="I62">
        <f t="shared" ca="1" si="37"/>
        <v>0</v>
      </c>
      <c r="J62">
        <f t="array" aca="1" ref="J62" ca="1">MAX(IF(ISNA(H62:I62),0,H62:I62))</f>
        <v>5</v>
      </c>
      <c r="K62">
        <f t="shared" ca="1" si="29"/>
        <v>0</v>
      </c>
      <c r="L62">
        <f t="shared" si="32"/>
        <v>19</v>
      </c>
      <c r="M62" t="str">
        <f t="shared" ca="1" si="38"/>
        <v>Mike Bowers</v>
      </c>
      <c r="N62" t="str">
        <f t="shared" ca="1" si="39"/>
        <v/>
      </c>
      <c r="O62">
        <f t="shared" ca="1" si="40"/>
        <v>4395</v>
      </c>
    </row>
    <row r="63" spans="1:15" x14ac:dyDescent="0.15">
      <c r="A63" t="s">
        <v>127</v>
      </c>
      <c r="B63" t="s">
        <v>217</v>
      </c>
      <c r="C63">
        <v>6</v>
      </c>
      <c r="D63">
        <f t="array" ref="D63">SUM(IF($3:$13=A63,1,0))</f>
        <v>1</v>
      </c>
      <c r="E63">
        <f>MATCH(A63,FantasyPts!$A$5:$A$57,0)</f>
        <v>20</v>
      </c>
      <c r="F63">
        <f ca="1">OFFSET(FantasyPts!$C$4,'Fantasy Teams'!E63,0)</f>
        <v>492</v>
      </c>
      <c r="H63">
        <f t="shared" ca="1" si="36"/>
        <v>18</v>
      </c>
      <c r="I63">
        <f t="shared" ca="1" si="37"/>
        <v>0</v>
      </c>
      <c r="J63">
        <f t="array" aca="1" ref="J63" ca="1">MAX(IF(ISNA(H63:I63),0,H63:I63))</f>
        <v>18</v>
      </c>
      <c r="K63" t="str">
        <f t="shared" ca="1" si="29"/>
        <v>Hosking 1sts</v>
      </c>
      <c r="L63">
        <f t="shared" si="32"/>
        <v>20</v>
      </c>
      <c r="M63" t="str">
        <f t="shared" ca="1" si="38"/>
        <v>Mike Hosking</v>
      </c>
      <c r="N63" t="str">
        <f t="shared" ca="1" si="39"/>
        <v>Hosking 1sts</v>
      </c>
      <c r="O63">
        <f t="shared" ca="1" si="40"/>
        <v>4305</v>
      </c>
    </row>
    <row r="64" spans="1:15" x14ac:dyDescent="0.15">
      <c r="A64" t="s">
        <v>173</v>
      </c>
      <c r="B64" t="s">
        <v>218</v>
      </c>
      <c r="C64">
        <v>2</v>
      </c>
      <c r="D64">
        <f t="array" ref="D64">SUM(IF($3:$13=A64,1,0))</f>
        <v>2</v>
      </c>
      <c r="E64">
        <f>MATCH(A64,FantasyPts!$A$5:$A$57,0)</f>
        <v>21</v>
      </c>
      <c r="F64">
        <f ca="1">OFFSET(FantasyPts!$C$4,'Fantasy Teams'!E64,0)</f>
        <v>5</v>
      </c>
      <c r="H64">
        <f t="shared" ca="1" si="36"/>
        <v>24</v>
      </c>
      <c r="I64">
        <f t="shared" ca="1" si="37"/>
        <v>0</v>
      </c>
      <c r="J64">
        <f t="array" aca="1" ref="J64" ca="1">MAX(IF(ISNA(H64:I64),0,H64:I64))</f>
        <v>24</v>
      </c>
      <c r="K64" t="str">
        <f t="shared" ca="1" si="29"/>
        <v>It's In The Tennis Court!</v>
      </c>
      <c r="L64">
        <f t="shared" si="32"/>
        <v>21</v>
      </c>
      <c r="M64" t="str">
        <f t="shared" ca="1" si="38"/>
        <v>Adrian Hawksworth</v>
      </c>
      <c r="N64" t="str">
        <f t="shared" ca="1" si="39"/>
        <v>It's In The Tennis Court!</v>
      </c>
      <c r="O64">
        <f t="shared" ca="1" si="40"/>
        <v>4294</v>
      </c>
    </row>
    <row r="65" spans="1:15" x14ac:dyDescent="0.15">
      <c r="A65" t="s">
        <v>118</v>
      </c>
      <c r="B65" t="s">
        <v>219</v>
      </c>
      <c r="C65">
        <v>9</v>
      </c>
      <c r="D65">
        <f t="array" ref="D65">SUM(IF($3:$13=A65,1,0))</f>
        <v>2</v>
      </c>
      <c r="E65">
        <f>MATCH(A65,FantasyPts!$A$5:$A$57,0)</f>
        <v>22</v>
      </c>
      <c r="F65">
        <f ca="1">OFFSET(FantasyPts!$C$4,'Fantasy Teams'!E65,0)</f>
        <v>449</v>
      </c>
      <c r="H65">
        <f t="shared" ca="1" si="36"/>
        <v>2</v>
      </c>
      <c r="I65">
        <f t="shared" ca="1" si="37"/>
        <v>0</v>
      </c>
      <c r="J65">
        <f t="array" aca="1" ref="J65" ca="1">MAX(IF(ISNA(H65:I65),0,H65:I65))</f>
        <v>2</v>
      </c>
      <c r="K65" t="str">
        <f t="shared" ca="1" si="29"/>
        <v>Dugdale A's</v>
      </c>
      <c r="L65">
        <f t="shared" si="32"/>
        <v>22</v>
      </c>
      <c r="M65" t="str">
        <f t="shared" ca="1" si="38"/>
        <v>Ted Dugdale</v>
      </c>
      <c r="N65" t="str">
        <f t="shared" ca="1" si="39"/>
        <v>Dugdale A's</v>
      </c>
      <c r="O65">
        <f t="shared" ca="1" si="40"/>
        <v>4247</v>
      </c>
    </row>
    <row r="66" spans="1:15" x14ac:dyDescent="0.15">
      <c r="A66" t="s">
        <v>121</v>
      </c>
      <c r="B66" t="s">
        <v>152</v>
      </c>
      <c r="C66">
        <v>16</v>
      </c>
      <c r="D66">
        <f t="array" ref="D66">SUM(IF($3:$13=A66,1,0))</f>
        <v>21</v>
      </c>
      <c r="E66">
        <f>MATCH(A66,FantasyPts!$A$5:$A$57,0)</f>
        <v>23</v>
      </c>
      <c r="F66">
        <f ca="1">OFFSET(FantasyPts!$C$4,'Fantasy Teams'!E66,0)</f>
        <v>1142</v>
      </c>
      <c r="H66">
        <f t="shared" ca="1" si="36"/>
        <v>9</v>
      </c>
      <c r="I66">
        <f t="shared" ca="1" si="37"/>
        <v>0</v>
      </c>
      <c r="J66">
        <f t="array" aca="1" ref="J66" ca="1">MAX(IF(ISNA(H66:I66),0,H66:I66))</f>
        <v>9</v>
      </c>
      <c r="K66" t="str">
        <f t="shared" ca="1" si="29"/>
        <v>Lesley's Boys</v>
      </c>
      <c r="L66">
        <f t="shared" si="32"/>
        <v>23</v>
      </c>
      <c r="M66" t="str">
        <f t="shared" ca="1" si="38"/>
        <v>Lesley Leadley</v>
      </c>
      <c r="N66" t="str">
        <f t="shared" ca="1" si="39"/>
        <v>Lesley's Boys</v>
      </c>
      <c r="O66">
        <f t="shared" ca="1" si="40"/>
        <v>4239</v>
      </c>
    </row>
    <row r="67" spans="1:15" x14ac:dyDescent="0.15">
      <c r="A67" t="s">
        <v>139</v>
      </c>
      <c r="B67" t="s">
        <v>220</v>
      </c>
      <c r="C67">
        <v>8</v>
      </c>
      <c r="D67">
        <f t="array" ref="D67">SUM(IF($3:$13=A67,1,0))</f>
        <v>14</v>
      </c>
      <c r="E67">
        <f>MATCH(A67,FantasyPts!$A$5:$A$57,0)</f>
        <v>24</v>
      </c>
      <c r="F67">
        <f ca="1">OFFSET(FantasyPts!$C$4,'Fantasy Teams'!E67,0)</f>
        <v>178</v>
      </c>
      <c r="H67">
        <f t="shared" ca="1" si="36"/>
        <v>19</v>
      </c>
      <c r="I67">
        <f t="shared" ca="1" si="37"/>
        <v>0</v>
      </c>
      <c r="J67">
        <f t="array" aca="1" ref="J67" ca="1">MAX(IF(ISNA(H67:I67),0,H67:I67))</f>
        <v>19</v>
      </c>
      <c r="K67" t="str">
        <f t="shared" ca="1" si="29"/>
        <v>Hosking 2nds</v>
      </c>
      <c r="L67">
        <f t="shared" si="32"/>
        <v>24</v>
      </c>
      <c r="M67" t="str">
        <f t="shared" ca="1" si="38"/>
        <v>Mike Hosking</v>
      </c>
      <c r="N67" t="str">
        <f t="shared" ca="1" si="39"/>
        <v>Hosking 2nds</v>
      </c>
      <c r="O67">
        <f t="shared" ca="1" si="40"/>
        <v>4236</v>
      </c>
    </row>
    <row r="68" spans="1:15" x14ac:dyDescent="0.15">
      <c r="A68" t="s">
        <v>131</v>
      </c>
      <c r="B68" t="s">
        <v>221</v>
      </c>
      <c r="C68">
        <v>1</v>
      </c>
      <c r="D68">
        <f t="array" ref="D68">SUM(IF($3:$13=A68,1,0))</f>
        <v>0</v>
      </c>
      <c r="E68">
        <f>MATCH(A68,FantasyPts!$A$5:$A$57,0)</f>
        <v>25</v>
      </c>
      <c r="F68">
        <f ca="1">OFFSET(FantasyPts!$C$4,'Fantasy Teams'!E68,0)</f>
        <v>0</v>
      </c>
      <c r="H68">
        <f t="shared" ca="1" si="36"/>
        <v>32</v>
      </c>
      <c r="I68">
        <f t="shared" ca="1" si="37"/>
        <v>0</v>
      </c>
      <c r="J68">
        <f t="array" aca="1" ref="J68" ca="1">MAX(IF(ISNA(H68:I68),0,H68:I68))</f>
        <v>32</v>
      </c>
      <c r="K68" t="str">
        <f t="shared" ca="1" si="29"/>
        <v>The Persuaders</v>
      </c>
      <c r="L68">
        <f t="shared" si="32"/>
        <v>25</v>
      </c>
      <c r="M68" t="str">
        <f t="shared" ca="1" si="38"/>
        <v>Vince Reid</v>
      </c>
      <c r="N68" t="str">
        <f t="shared" ca="1" si="39"/>
        <v>The Persuaders</v>
      </c>
      <c r="O68">
        <f t="shared" ca="1" si="40"/>
        <v>4190</v>
      </c>
    </row>
    <row r="69" spans="1:15" x14ac:dyDescent="0.15">
      <c r="A69" t="s">
        <v>128</v>
      </c>
      <c r="B69" t="s">
        <v>222</v>
      </c>
      <c r="C69">
        <v>1</v>
      </c>
      <c r="D69">
        <f t="array" ref="D69">SUM(IF($3:$13=A69,1,0))</f>
        <v>6</v>
      </c>
      <c r="E69">
        <f>MATCH(A69,FantasyPts!$A$5:$A$57,0)</f>
        <v>26</v>
      </c>
      <c r="F69">
        <f ca="1">OFFSET(FantasyPts!$C$4,'Fantasy Teams'!E69,0)</f>
        <v>30</v>
      </c>
      <c r="H69">
        <f t="shared" ca="1" si="36"/>
        <v>10</v>
      </c>
      <c r="I69">
        <f t="shared" ca="1" si="37"/>
        <v>0</v>
      </c>
      <c r="J69">
        <f t="array" aca="1" ref="J69" ca="1">MAX(IF(ISNA(H69:I69),0,H69:I69))</f>
        <v>10</v>
      </c>
      <c r="K69">
        <f t="shared" ca="1" si="29"/>
        <v>0</v>
      </c>
      <c r="L69">
        <f t="shared" si="32"/>
        <v>26</v>
      </c>
      <c r="M69" t="str">
        <f t="shared" ca="1" si="38"/>
        <v>Luke Hickey</v>
      </c>
      <c r="N69" t="str">
        <f t="shared" ca="1" si="39"/>
        <v/>
      </c>
      <c r="O69">
        <f t="shared" ca="1" si="40"/>
        <v>4132</v>
      </c>
    </row>
    <row r="70" spans="1:15" x14ac:dyDescent="0.15">
      <c r="A70" t="s">
        <v>120</v>
      </c>
      <c r="B70" t="s">
        <v>223</v>
      </c>
      <c r="C70">
        <v>1</v>
      </c>
      <c r="D70">
        <f t="array" ref="D70">SUM(IF($3:$13=A70,1,0))</f>
        <v>7</v>
      </c>
      <c r="E70">
        <f>MATCH(A70,FantasyPts!$A$5:$A$57,0)</f>
        <v>27</v>
      </c>
      <c r="F70">
        <f ca="1">OFFSET(FantasyPts!$C$4,'Fantasy Teams'!E70,0)</f>
        <v>107</v>
      </c>
      <c r="H70">
        <f t="shared" ca="1" si="36"/>
        <v>4</v>
      </c>
      <c r="I70">
        <f t="shared" ca="1" si="37"/>
        <v>0</v>
      </c>
      <c r="J70">
        <f t="array" aca="1" ref="J70" ca="1">MAX(IF(ISNA(H70:I70),0,H70:I70))</f>
        <v>4</v>
      </c>
      <c r="K70" t="str">
        <f t="shared" ca="1" si="29"/>
        <v>People's Front Of Judea XI</v>
      </c>
      <c r="L70">
        <f t="shared" si="32"/>
        <v>27</v>
      </c>
      <c r="M70" t="str">
        <f t="shared" ca="1" si="38"/>
        <v>Alex Hamilton</v>
      </c>
      <c r="N70" t="str">
        <f t="shared" ca="1" si="39"/>
        <v>People's Front Of Judea XI</v>
      </c>
      <c r="O70">
        <f t="shared" ca="1" si="40"/>
        <v>3979</v>
      </c>
    </row>
    <row r="71" spans="1:15" x14ac:dyDescent="0.15">
      <c r="A71" t="s">
        <v>116</v>
      </c>
      <c r="B71" t="s">
        <v>224</v>
      </c>
      <c r="C71">
        <v>1</v>
      </c>
      <c r="D71">
        <f t="array" ref="D71">SUM(IF($3:$13=A71,1,0))</f>
        <v>3</v>
      </c>
      <c r="E71">
        <f>MATCH(A71,FantasyPts!$A$5:$A$57,0)</f>
        <v>28</v>
      </c>
      <c r="F71">
        <f ca="1">OFFSET(FantasyPts!$C$4,'Fantasy Teams'!E71,0)</f>
        <v>0</v>
      </c>
      <c r="H71">
        <f t="shared" ca="1" si="36"/>
        <v>21</v>
      </c>
      <c r="I71">
        <f t="shared" ca="1" si="37"/>
        <v>0</v>
      </c>
      <c r="J71">
        <f t="array" aca="1" ref="J71" ca="1">MAX(IF(ISNA(H71:I71),0,H71:I71))</f>
        <v>21</v>
      </c>
      <c r="K71" t="str">
        <f t="shared" ca="1" si="29"/>
        <v>Jocks Wahey!</v>
      </c>
      <c r="L71">
        <f t="shared" si="32"/>
        <v>28</v>
      </c>
      <c r="M71" t="str">
        <f t="shared" ca="1" si="38"/>
        <v>Del Shewan</v>
      </c>
      <c r="N71" t="str">
        <f t="shared" ca="1" si="39"/>
        <v>Jocks Wahey!</v>
      </c>
      <c r="O71">
        <f t="shared" ca="1" si="40"/>
        <v>3803</v>
      </c>
    </row>
    <row r="72" spans="1:15" x14ac:dyDescent="0.15">
      <c r="A72" t="s">
        <v>148</v>
      </c>
      <c r="B72" t="s">
        <v>151</v>
      </c>
      <c r="C72">
        <v>2</v>
      </c>
      <c r="D72">
        <f t="array" ref="D72">SUM(IF($3:$13=A72,1,0))</f>
        <v>8</v>
      </c>
      <c r="E72">
        <f>MATCH(A72,FantasyPts!$A$5:$A$57,0)</f>
        <v>29</v>
      </c>
      <c r="F72">
        <f ca="1">OFFSET(FantasyPts!$C$4,'Fantasy Teams'!E72,0)</f>
        <v>208</v>
      </c>
      <c r="H72">
        <f t="shared" ca="1" si="36"/>
        <v>14</v>
      </c>
      <c r="I72">
        <f t="shared" ca="1" si="37"/>
        <v>0</v>
      </c>
      <c r="J72">
        <f t="array" aca="1" ref="J72" ca="1">MAX(IF(ISNA(H72:I72),0,H72:I72))</f>
        <v>14</v>
      </c>
      <c r="K72" t="str">
        <f t="shared" ca="1" si="29"/>
        <v>How much is Fowler?</v>
      </c>
      <c r="L72">
        <f t="shared" si="32"/>
        <v>29</v>
      </c>
      <c r="M72" t="str">
        <f t="shared" ca="1" si="38"/>
        <v>Paul Oakes</v>
      </c>
      <c r="N72" t="str">
        <f t="shared" ca="1" si="39"/>
        <v>How much is Fowler?</v>
      </c>
      <c r="O72">
        <f t="shared" ca="1" si="40"/>
        <v>3801</v>
      </c>
    </row>
    <row r="73" spans="1:15" x14ac:dyDescent="0.15">
      <c r="A73" t="s">
        <v>170</v>
      </c>
      <c r="B73" t="s">
        <v>166</v>
      </c>
      <c r="C73">
        <v>2</v>
      </c>
      <c r="D73">
        <f t="array" ref="D73">SUM(IF($3:$13=A73,1,0))</f>
        <v>11</v>
      </c>
      <c r="E73">
        <f>MATCH(A73,FantasyPts!$A$5:$A$57,0)</f>
        <v>30</v>
      </c>
      <c r="F73">
        <f ca="1">OFFSET(FantasyPts!$C$4,'Fantasy Teams'!E73,0)</f>
        <v>134</v>
      </c>
      <c r="H73">
        <f t="shared" ca="1" si="36"/>
        <v>12</v>
      </c>
      <c r="I73">
        <f t="shared" ca="1" si="37"/>
        <v>0</v>
      </c>
      <c r="J73">
        <f t="array" aca="1" ref="J73" ca="1">MAX(IF(ISNA(H73:I73),0,H73:I73))</f>
        <v>12</v>
      </c>
      <c r="K73" t="str">
        <f t="shared" ca="1" si="29"/>
        <v>It's a Laugh, Innit?</v>
      </c>
      <c r="L73">
        <f t="shared" si="32"/>
        <v>30</v>
      </c>
      <c r="M73" t="str">
        <f t="shared" ca="1" si="38"/>
        <v>Mike Woodhouse</v>
      </c>
      <c r="N73" t="str">
        <f t="shared" ca="1" si="39"/>
        <v>It's a Laugh, Innit?</v>
      </c>
      <c r="O73">
        <f t="shared" ca="1" si="40"/>
        <v>3774</v>
      </c>
    </row>
    <row r="74" spans="1:15" x14ac:dyDescent="0.15">
      <c r="A74" t="s">
        <v>135</v>
      </c>
      <c r="B74" t="s">
        <v>225</v>
      </c>
      <c r="C74">
        <v>1</v>
      </c>
      <c r="D74">
        <f t="array" ref="D74">SUM(IF($3:$13=A74,1,0))</f>
        <v>3</v>
      </c>
      <c r="E74">
        <f>MATCH(A74,FantasyPts!$A$5:$A$57,0)</f>
        <v>31</v>
      </c>
      <c r="F74">
        <f ca="1">OFFSET(FantasyPts!$C$4,'Fantasy Teams'!E74,0)</f>
        <v>101</v>
      </c>
      <c r="H74">
        <f t="shared" ca="1" si="36"/>
        <v>16</v>
      </c>
      <c r="I74">
        <f t="shared" ca="1" si="37"/>
        <v>0</v>
      </c>
      <c r="J74">
        <f t="array" aca="1" ref="J74" ca="1">MAX(IF(ISNA(H74:I74),0,H74:I74))</f>
        <v>16</v>
      </c>
      <c r="K74" t="str">
        <f t="shared" ca="1" si="29"/>
        <v>Geoff's Supers II</v>
      </c>
      <c r="L74">
        <f t="shared" si="32"/>
        <v>31</v>
      </c>
      <c r="M74" t="str">
        <f t="shared" ca="1" si="38"/>
        <v>Geoff Cooper</v>
      </c>
      <c r="N74" t="str">
        <f t="shared" ca="1" si="39"/>
        <v>Geoff's Supers II</v>
      </c>
      <c r="O74">
        <f t="shared" ca="1" si="40"/>
        <v>3728</v>
      </c>
    </row>
    <row r="75" spans="1:15" x14ac:dyDescent="0.15">
      <c r="A75" t="s">
        <v>145</v>
      </c>
      <c r="B75" t="s">
        <v>157</v>
      </c>
      <c r="C75">
        <v>4</v>
      </c>
      <c r="D75">
        <f t="array" ref="D75">SUM(IF($3:$13=A75,1,0))</f>
        <v>19</v>
      </c>
      <c r="E75">
        <f>MATCH(A75,FantasyPts!$A$5:$A$57,0)</f>
        <v>32</v>
      </c>
      <c r="F75">
        <f ca="1">OFFSET(FantasyPts!$C$4,'Fantasy Teams'!E75,0)</f>
        <v>417</v>
      </c>
      <c r="H75">
        <f t="shared" ca="1" si="36"/>
        <v>31</v>
      </c>
      <c r="I75">
        <f t="shared" ca="1" si="37"/>
        <v>0</v>
      </c>
      <c r="J75">
        <f t="array" aca="1" ref="J75" ca="1">MAX(IF(ISNA(H75:I75),0,H75:I75))</f>
        <v>31</v>
      </c>
      <c r="K75" t="str">
        <f t="shared" ca="1" si="29"/>
        <v>The Avengers</v>
      </c>
      <c r="L75">
        <f t="shared" si="32"/>
        <v>32</v>
      </c>
      <c r="M75" t="str">
        <f t="shared" ca="1" si="38"/>
        <v>Vince Reid</v>
      </c>
      <c r="N75" t="str">
        <f t="shared" ca="1" si="39"/>
        <v>The Avengers</v>
      </c>
      <c r="O75">
        <f t="shared" ca="1" si="40"/>
        <v>3703</v>
      </c>
    </row>
    <row r="76" spans="1:15" x14ac:dyDescent="0.15">
      <c r="A76" t="s">
        <v>169</v>
      </c>
      <c r="B76" t="s">
        <v>226</v>
      </c>
      <c r="C76">
        <v>4</v>
      </c>
      <c r="D76">
        <f t="array" ref="D76">SUM(IF($3:$13=A76,1,0))</f>
        <v>5</v>
      </c>
      <c r="E76">
        <f>MATCH(A76,FantasyPts!$A$5:$A$57,0)</f>
        <v>33</v>
      </c>
      <c r="F76">
        <f ca="1">OFFSET(FantasyPts!$C$4,'Fantasy Teams'!E76,0)</f>
        <v>182</v>
      </c>
      <c r="H76">
        <f t="shared" ca="1" si="36"/>
        <v>22</v>
      </c>
      <c r="I76">
        <f t="shared" ca="1" si="37"/>
        <v>0</v>
      </c>
      <c r="J76">
        <f t="array" aca="1" ref="J76" ca="1">MAX(IF(ISNA(H76:I76),0,H76:I76))</f>
        <v>22</v>
      </c>
      <c r="K76" t="str">
        <f t="shared" ref="K76:K96" ca="1" si="41">OFFSET($A$2,0,J76-1)</f>
        <v>Wide Boys</v>
      </c>
      <c r="L76">
        <f t="shared" si="32"/>
        <v>33</v>
      </c>
      <c r="M76" t="str">
        <f t="shared" ca="1" si="38"/>
        <v>Del Shewan</v>
      </c>
      <c r="N76" t="str">
        <f t="shared" ca="1" si="39"/>
        <v>Wide Boys</v>
      </c>
      <c r="O76">
        <f t="shared" ca="1" si="40"/>
        <v>3440</v>
      </c>
    </row>
    <row r="77" spans="1:15" x14ac:dyDescent="0.15">
      <c r="A77" t="s">
        <v>175</v>
      </c>
      <c r="B77" t="s">
        <v>227</v>
      </c>
      <c r="C77">
        <v>1</v>
      </c>
      <c r="D77">
        <f t="array" ref="D77">SUM(IF($3:$13=A77,1,0))</f>
        <v>0</v>
      </c>
      <c r="E77">
        <f>MATCH(A77,FantasyPts!$A$5:$A$57,0)</f>
        <v>34</v>
      </c>
      <c r="F77">
        <f ca="1">OFFSET(FantasyPts!$C$4,'Fantasy Teams'!E77,0)</f>
        <v>0</v>
      </c>
      <c r="H77">
        <f t="shared" ref="H77:H92" ca="1" si="42">MATCH(L77,OFFSET($A$42,0,0,1,$H$43),0)</f>
        <v>7</v>
      </c>
      <c r="I77">
        <f t="shared" ref="I77:I92" ca="1" si="43">IF(ISNA(H77),1+H76+MATCH(L76,OFFSET($A$42,0,H76+1,1,100),0),0)</f>
        <v>0</v>
      </c>
      <c r="J77">
        <f t="array" aca="1" ref="J77" ca="1">MAX(IF(ISNA(H77:I77),0,H77:I77))</f>
        <v>7</v>
      </c>
      <c r="K77" t="str">
        <f t="shared" ca="1" si="41"/>
        <v>Fallen Stars XI</v>
      </c>
      <c r="L77">
        <f t="shared" ref="L77:L96" si="44">L76+1</f>
        <v>34</v>
      </c>
      <c r="M77" t="str">
        <f t="shared" ref="M77:M92" ca="1" si="45">OFFSET($A$1,0,J77-1)</f>
        <v>John Leadley</v>
      </c>
      <c r="N77" t="str">
        <f t="shared" ref="N77:N92" ca="1" si="46">IF(K77=0,"",K77)</f>
        <v>Fallen Stars XI</v>
      </c>
      <c r="O77">
        <f t="shared" ref="O77:O92" ca="1" si="47">OFFSET($A$41,0,J77-1)</f>
        <v>3382</v>
      </c>
    </row>
    <row r="78" spans="1:15" x14ac:dyDescent="0.15">
      <c r="A78" t="s">
        <v>181</v>
      </c>
      <c r="B78" t="s">
        <v>228</v>
      </c>
      <c r="C78">
        <v>1</v>
      </c>
      <c r="D78">
        <f t="array" ref="D78">SUM(IF($3:$13=A78,1,0))</f>
        <v>0</v>
      </c>
      <c r="E78">
        <f>MATCH(A78,FantasyPts!$A$5:$A$57,0)</f>
        <v>35</v>
      </c>
      <c r="F78">
        <f ca="1">OFFSET(FantasyPts!$C$4,'Fantasy Teams'!E78,0)</f>
        <v>0</v>
      </c>
      <c r="H78" t="e">
        <f t="shared" ca="1" si="42"/>
        <v>#N/A</v>
      </c>
      <c r="I78" t="e">
        <f t="shared" ca="1" si="43"/>
        <v>#N/A</v>
      </c>
      <c r="J78">
        <f t="array" aca="1" ref="J78" ca="1">MAX(IF(ISNA(H78:I78),0,H78:I78))</f>
        <v>0</v>
      </c>
      <c r="K78" t="e">
        <f t="shared" ca="1" si="41"/>
        <v>#REF!</v>
      </c>
      <c r="L78">
        <f t="shared" si="44"/>
        <v>35</v>
      </c>
      <c r="M78" t="e">
        <f t="shared" ca="1" si="45"/>
        <v>#REF!</v>
      </c>
      <c r="N78" t="e">
        <f t="shared" ca="1" si="46"/>
        <v>#REF!</v>
      </c>
      <c r="O78" t="e">
        <f t="shared" ca="1" si="47"/>
        <v>#REF!</v>
      </c>
    </row>
    <row r="79" spans="1:15" x14ac:dyDescent="0.15">
      <c r="A79" t="s">
        <v>172</v>
      </c>
      <c r="B79" t="s">
        <v>159</v>
      </c>
      <c r="C79">
        <v>2</v>
      </c>
      <c r="D79">
        <f t="array" ref="D79">SUM(IF($3:$13=A79,1,0))</f>
        <v>12</v>
      </c>
      <c r="E79">
        <f>MATCH(A79,FantasyPts!$A$5:$A$57,0)</f>
        <v>36</v>
      </c>
      <c r="F79">
        <f ca="1">OFFSET(FantasyPts!$C$4,'Fantasy Teams'!E79,0)</f>
        <v>93</v>
      </c>
      <c r="H79" t="e">
        <f t="shared" ca="1" si="42"/>
        <v>#N/A</v>
      </c>
      <c r="I79" t="e">
        <f t="shared" ca="1" si="43"/>
        <v>#N/A</v>
      </c>
      <c r="J79">
        <f t="array" aca="1" ref="J79" ca="1">MAX(IF(ISNA(H79:I79),0,H79:I79))</f>
        <v>0</v>
      </c>
      <c r="K79" t="e">
        <f t="shared" ca="1" si="41"/>
        <v>#REF!</v>
      </c>
      <c r="L79">
        <f t="shared" si="44"/>
        <v>36</v>
      </c>
      <c r="M79" t="e">
        <f t="shared" ca="1" si="45"/>
        <v>#REF!</v>
      </c>
      <c r="N79" t="e">
        <f t="shared" ca="1" si="46"/>
        <v>#REF!</v>
      </c>
      <c r="O79" t="e">
        <f t="shared" ca="1" si="47"/>
        <v>#REF!</v>
      </c>
    </row>
    <row r="80" spans="1:15" x14ac:dyDescent="0.15">
      <c r="A80" t="s">
        <v>113</v>
      </c>
      <c r="B80" t="s">
        <v>229</v>
      </c>
      <c r="C80">
        <v>1</v>
      </c>
      <c r="D80">
        <f t="array" ref="D80">SUM(IF($3:$13=A80,1,0))</f>
        <v>2</v>
      </c>
      <c r="E80">
        <f>MATCH(A80,FantasyPts!$A$5:$A$57,0)</f>
        <v>37</v>
      </c>
      <c r="F80">
        <f ca="1">OFFSET(FantasyPts!$C$4,'Fantasy Teams'!E80,0)</f>
        <v>0</v>
      </c>
      <c r="H80" t="e">
        <f t="shared" ca="1" si="42"/>
        <v>#N/A</v>
      </c>
      <c r="I80" t="e">
        <f t="shared" ca="1" si="43"/>
        <v>#N/A</v>
      </c>
      <c r="J80">
        <f t="array" aca="1" ref="J80" ca="1">MAX(IF(ISNA(H80:I80),0,H80:I80))</f>
        <v>0</v>
      </c>
      <c r="K80" t="e">
        <f t="shared" ca="1" si="41"/>
        <v>#REF!</v>
      </c>
      <c r="L80">
        <f t="shared" si="44"/>
        <v>37</v>
      </c>
      <c r="M80" t="e">
        <f t="shared" ca="1" si="45"/>
        <v>#REF!</v>
      </c>
      <c r="N80" t="e">
        <f t="shared" ca="1" si="46"/>
        <v>#REF!</v>
      </c>
      <c r="O80" t="e">
        <f t="shared" ca="1" si="47"/>
        <v>#REF!</v>
      </c>
    </row>
    <row r="81" spans="1:15" x14ac:dyDescent="0.15">
      <c r="A81" t="s">
        <v>119</v>
      </c>
      <c r="B81" t="s">
        <v>230</v>
      </c>
      <c r="C81">
        <v>3</v>
      </c>
      <c r="D81">
        <f t="array" ref="D81">SUM(IF($3:$13=A81,1,0))</f>
        <v>16</v>
      </c>
      <c r="E81">
        <f>MATCH(A81,FantasyPts!$A$5:$A$57,0)</f>
        <v>38</v>
      </c>
      <c r="F81">
        <f ca="1">OFFSET(FantasyPts!$C$4,'Fantasy Teams'!E81,0)</f>
        <v>16</v>
      </c>
      <c r="H81" t="e">
        <f t="shared" ca="1" si="42"/>
        <v>#N/A</v>
      </c>
      <c r="I81" t="e">
        <f t="shared" ca="1" si="43"/>
        <v>#N/A</v>
      </c>
      <c r="J81">
        <f t="array" aca="1" ref="J81" ca="1">MAX(IF(ISNA(H81:I81),0,H81:I81))</f>
        <v>0</v>
      </c>
      <c r="K81" t="e">
        <f t="shared" ca="1" si="41"/>
        <v>#REF!</v>
      </c>
      <c r="L81">
        <f t="shared" si="44"/>
        <v>38</v>
      </c>
      <c r="M81" t="e">
        <f t="shared" ca="1" si="45"/>
        <v>#REF!</v>
      </c>
      <c r="N81" t="e">
        <f t="shared" ca="1" si="46"/>
        <v>#REF!</v>
      </c>
      <c r="O81" t="e">
        <f t="shared" ca="1" si="47"/>
        <v>#REF!</v>
      </c>
    </row>
    <row r="82" spans="1:15" x14ac:dyDescent="0.15">
      <c r="A82" t="s">
        <v>203</v>
      </c>
      <c r="B82" t="s">
        <v>231</v>
      </c>
      <c r="C82">
        <v>6</v>
      </c>
      <c r="D82">
        <f t="array" ref="D82">SUM(IF($3:$13=A82,1,0))</f>
        <v>6</v>
      </c>
      <c r="E82">
        <f>MATCH(A82,FantasyPts!$A$5:$A$57,0)</f>
        <v>39</v>
      </c>
      <c r="F82">
        <f ca="1">OFFSET(FantasyPts!$C$4,'Fantasy Teams'!E82,0)</f>
        <v>289</v>
      </c>
      <c r="H82" t="e">
        <f t="shared" ca="1" si="42"/>
        <v>#N/A</v>
      </c>
      <c r="I82" t="e">
        <f t="shared" ca="1" si="43"/>
        <v>#N/A</v>
      </c>
      <c r="J82">
        <f t="array" aca="1" ref="J82" ca="1">MAX(IF(ISNA(H82:I82),0,H82:I82))</f>
        <v>0</v>
      </c>
      <c r="K82" t="e">
        <f t="shared" ca="1" si="41"/>
        <v>#REF!</v>
      </c>
      <c r="L82">
        <f t="shared" si="44"/>
        <v>39</v>
      </c>
      <c r="M82" t="e">
        <f t="shared" ca="1" si="45"/>
        <v>#REF!</v>
      </c>
      <c r="N82" t="e">
        <f t="shared" ca="1" si="46"/>
        <v>#REF!</v>
      </c>
      <c r="O82" t="e">
        <f t="shared" ca="1" si="47"/>
        <v>#REF!</v>
      </c>
    </row>
    <row r="83" spans="1:15" x14ac:dyDescent="0.15">
      <c r="A83" t="s">
        <v>204</v>
      </c>
      <c r="B83" t="s">
        <v>232</v>
      </c>
      <c r="C83">
        <v>2</v>
      </c>
      <c r="D83">
        <f t="array" ref="D83">SUM(IF($3:$13=A83,1,0))</f>
        <v>3</v>
      </c>
      <c r="E83">
        <f>MATCH(A83,FantasyPts!$A$5:$A$57,0)</f>
        <v>40</v>
      </c>
      <c r="F83">
        <f ca="1">OFFSET(FantasyPts!$C$4,'Fantasy Teams'!E83,0)</f>
        <v>0</v>
      </c>
      <c r="H83" t="e">
        <f t="shared" ca="1" si="42"/>
        <v>#N/A</v>
      </c>
      <c r="I83" t="e">
        <f t="shared" ca="1" si="43"/>
        <v>#N/A</v>
      </c>
      <c r="J83">
        <f t="array" aca="1" ref="J83" ca="1">MAX(IF(ISNA(H83:I83),0,H83:I83))</f>
        <v>0</v>
      </c>
      <c r="K83" t="e">
        <f t="shared" ca="1" si="41"/>
        <v>#REF!</v>
      </c>
      <c r="L83">
        <f t="shared" si="44"/>
        <v>40</v>
      </c>
      <c r="M83" t="e">
        <f t="shared" ca="1" si="45"/>
        <v>#REF!</v>
      </c>
      <c r="N83" t="e">
        <f t="shared" ca="1" si="46"/>
        <v>#REF!</v>
      </c>
      <c r="O83" t="e">
        <f t="shared" ca="1" si="47"/>
        <v>#REF!</v>
      </c>
    </row>
    <row r="84" spans="1:15" x14ac:dyDescent="0.15">
      <c r="A84" t="s">
        <v>138</v>
      </c>
      <c r="B84" t="s">
        <v>233</v>
      </c>
      <c r="C84">
        <v>4</v>
      </c>
      <c r="D84">
        <f t="array" ref="D84">SUM(IF($3:$13=A84,1,0))</f>
        <v>4</v>
      </c>
      <c r="E84">
        <f>MATCH(A84,FantasyPts!$A$5:$A$57,0)</f>
        <v>41</v>
      </c>
      <c r="F84">
        <f ca="1">OFFSET(FantasyPts!$C$4,'Fantasy Teams'!E84,0)</f>
        <v>348</v>
      </c>
      <c r="H84" t="e">
        <f t="shared" ca="1" si="42"/>
        <v>#N/A</v>
      </c>
      <c r="I84" t="e">
        <f t="shared" ca="1" si="43"/>
        <v>#N/A</v>
      </c>
      <c r="J84">
        <f t="array" aca="1" ref="J84" ca="1">MAX(IF(ISNA(H84:I84),0,H84:I84))</f>
        <v>0</v>
      </c>
      <c r="K84" t="e">
        <f t="shared" ca="1" si="41"/>
        <v>#REF!</v>
      </c>
      <c r="L84">
        <f t="shared" si="44"/>
        <v>41</v>
      </c>
      <c r="M84" t="e">
        <f t="shared" ca="1" si="45"/>
        <v>#REF!</v>
      </c>
      <c r="N84" t="e">
        <f t="shared" ca="1" si="46"/>
        <v>#REF!</v>
      </c>
      <c r="O84" t="e">
        <f t="shared" ca="1" si="47"/>
        <v>#REF!</v>
      </c>
    </row>
    <row r="85" spans="1:15" x14ac:dyDescent="0.15">
      <c r="A85" t="s">
        <v>250</v>
      </c>
      <c r="B85" t="s">
        <v>234</v>
      </c>
      <c r="C85">
        <v>1</v>
      </c>
      <c r="D85">
        <f t="array" ref="D85">SUM(IF($3:$13=A85,1,0))</f>
        <v>9</v>
      </c>
      <c r="E85">
        <f>MATCH(A85,FantasyPts!$A$5:$A$57,0)</f>
        <v>42</v>
      </c>
      <c r="F85">
        <f ca="1">OFFSET(FantasyPts!$C$4,'Fantasy Teams'!E85,0)</f>
        <v>0</v>
      </c>
      <c r="H85" t="e">
        <f t="shared" ca="1" si="42"/>
        <v>#N/A</v>
      </c>
      <c r="I85" t="e">
        <f t="shared" ca="1" si="43"/>
        <v>#N/A</v>
      </c>
      <c r="J85">
        <f t="array" aca="1" ref="J85" ca="1">MAX(IF(ISNA(H85:I85),0,H85:I85))</f>
        <v>0</v>
      </c>
      <c r="K85" t="e">
        <f t="shared" ca="1" si="41"/>
        <v>#REF!</v>
      </c>
      <c r="L85">
        <f t="shared" si="44"/>
        <v>42</v>
      </c>
      <c r="M85" t="e">
        <f t="shared" ca="1" si="45"/>
        <v>#REF!</v>
      </c>
      <c r="N85" t="e">
        <f t="shared" ca="1" si="46"/>
        <v>#REF!</v>
      </c>
      <c r="O85" t="e">
        <f t="shared" ca="1" si="47"/>
        <v>#REF!</v>
      </c>
    </row>
    <row r="86" spans="1:15" x14ac:dyDescent="0.15">
      <c r="A86" t="s">
        <v>90</v>
      </c>
      <c r="B86" t="s">
        <v>163</v>
      </c>
      <c r="C86">
        <v>2</v>
      </c>
      <c r="D86">
        <f t="array" ref="D86">SUM(IF($3:$13=A86,1,0))</f>
        <v>12</v>
      </c>
      <c r="E86">
        <f>MATCH(A86,FantasyPts!$A$5:$A$57,0)</f>
        <v>43</v>
      </c>
      <c r="F86">
        <f ca="1">OFFSET(FantasyPts!$C$4,'Fantasy Teams'!E86,0)</f>
        <v>0</v>
      </c>
      <c r="H86" t="e">
        <f t="shared" ca="1" si="42"/>
        <v>#N/A</v>
      </c>
      <c r="I86" t="e">
        <f t="shared" ca="1" si="43"/>
        <v>#N/A</v>
      </c>
      <c r="J86">
        <f t="array" aca="1" ref="J86" ca="1">MAX(IF(ISNA(H86:I86),0,H86:I86))</f>
        <v>0</v>
      </c>
      <c r="K86" t="e">
        <f t="shared" ca="1" si="41"/>
        <v>#REF!</v>
      </c>
      <c r="L86">
        <f t="shared" si="44"/>
        <v>43</v>
      </c>
      <c r="M86" t="e">
        <f t="shared" ca="1" si="45"/>
        <v>#REF!</v>
      </c>
      <c r="N86" t="e">
        <f t="shared" ca="1" si="46"/>
        <v>#REF!</v>
      </c>
      <c r="O86" t="e">
        <f t="shared" ca="1" si="47"/>
        <v>#REF!</v>
      </c>
    </row>
    <row r="87" spans="1:15" x14ac:dyDescent="0.15">
      <c r="A87" t="s">
        <v>141</v>
      </c>
      <c r="B87" t="s">
        <v>235</v>
      </c>
      <c r="C87">
        <v>5</v>
      </c>
      <c r="D87">
        <f t="array" ref="D87">SUM(IF($3:$13=A87,1,0))</f>
        <v>9</v>
      </c>
      <c r="E87">
        <f>MATCH(A87,FantasyPts!$A$5:$A$57,0)</f>
        <v>44</v>
      </c>
      <c r="F87">
        <f ca="1">OFFSET(FantasyPts!$C$4,'Fantasy Teams'!E87,0)</f>
        <v>402</v>
      </c>
      <c r="H87" t="e">
        <f t="shared" ca="1" si="42"/>
        <v>#N/A</v>
      </c>
      <c r="I87" t="e">
        <f t="shared" ca="1" si="43"/>
        <v>#N/A</v>
      </c>
      <c r="J87">
        <f t="array" aca="1" ref="J87" ca="1">MAX(IF(ISNA(H87:I87),0,H87:I87))</f>
        <v>0</v>
      </c>
      <c r="K87" t="e">
        <f t="shared" ca="1" si="41"/>
        <v>#REF!</v>
      </c>
      <c r="L87">
        <f t="shared" si="44"/>
        <v>44</v>
      </c>
      <c r="M87" t="e">
        <f t="shared" ca="1" si="45"/>
        <v>#REF!</v>
      </c>
      <c r="N87" t="e">
        <f t="shared" ca="1" si="46"/>
        <v>#REF!</v>
      </c>
      <c r="O87" t="e">
        <f t="shared" ca="1" si="47"/>
        <v>#REF!</v>
      </c>
    </row>
    <row r="88" spans="1:15" x14ac:dyDescent="0.15">
      <c r="A88" t="s">
        <v>117</v>
      </c>
      <c r="B88" t="s">
        <v>149</v>
      </c>
      <c r="C88">
        <v>10</v>
      </c>
      <c r="D88">
        <f t="array" ref="D88">SUM(IF($3:$13=A88,1,0))</f>
        <v>9</v>
      </c>
      <c r="E88">
        <f>MATCH(A88,FantasyPts!$A$5:$A$57,0)</f>
        <v>45</v>
      </c>
      <c r="F88">
        <f ca="1">OFFSET(FantasyPts!$C$4,'Fantasy Teams'!E88,0)</f>
        <v>991</v>
      </c>
      <c r="H88" t="e">
        <f t="shared" ca="1" si="42"/>
        <v>#N/A</v>
      </c>
      <c r="I88" t="e">
        <f t="shared" ca="1" si="43"/>
        <v>#N/A</v>
      </c>
      <c r="J88">
        <f t="array" aca="1" ref="J88" ca="1">MAX(IF(ISNA(H88:I88),0,H88:I88))</f>
        <v>0</v>
      </c>
      <c r="K88" t="e">
        <f t="shared" ca="1" si="41"/>
        <v>#REF!</v>
      </c>
      <c r="L88">
        <f t="shared" si="44"/>
        <v>45</v>
      </c>
      <c r="M88" t="e">
        <f t="shared" ca="1" si="45"/>
        <v>#REF!</v>
      </c>
      <c r="N88" t="e">
        <f t="shared" ca="1" si="46"/>
        <v>#REF!</v>
      </c>
      <c r="O88" t="e">
        <f t="shared" ca="1" si="47"/>
        <v>#REF!</v>
      </c>
    </row>
    <row r="89" spans="1:15" x14ac:dyDescent="0.15">
      <c r="A89" t="s">
        <v>94</v>
      </c>
      <c r="B89" t="s">
        <v>165</v>
      </c>
      <c r="C89">
        <v>1</v>
      </c>
      <c r="D89">
        <f t="array" ref="D89">SUM(IF($3:$13=A89,1,0))</f>
        <v>0</v>
      </c>
      <c r="E89">
        <f>MATCH(A89,FantasyPts!$A$5:$A$57,0)</f>
        <v>46</v>
      </c>
      <c r="F89">
        <f ca="1">OFFSET(FantasyPts!$C$4,'Fantasy Teams'!E89,0)</f>
        <v>0</v>
      </c>
      <c r="H89" t="e">
        <f t="shared" ca="1" si="42"/>
        <v>#N/A</v>
      </c>
      <c r="I89" t="e">
        <f t="shared" ca="1" si="43"/>
        <v>#N/A</v>
      </c>
      <c r="J89">
        <f t="array" aca="1" ref="J89" ca="1">MAX(IF(ISNA(H89:I89),0,H89:I89))</f>
        <v>0</v>
      </c>
      <c r="K89" t="e">
        <f t="shared" ca="1" si="41"/>
        <v>#REF!</v>
      </c>
      <c r="L89">
        <f t="shared" si="44"/>
        <v>46</v>
      </c>
      <c r="M89" t="e">
        <f t="shared" ca="1" si="45"/>
        <v>#REF!</v>
      </c>
      <c r="N89" t="e">
        <f t="shared" ca="1" si="46"/>
        <v>#REF!</v>
      </c>
      <c r="O89" t="e">
        <f t="shared" ca="1" si="47"/>
        <v>#REF!</v>
      </c>
    </row>
    <row r="90" spans="1:15" x14ac:dyDescent="0.15">
      <c r="A90" t="s">
        <v>137</v>
      </c>
      <c r="B90" t="s">
        <v>236</v>
      </c>
      <c r="C90">
        <v>5</v>
      </c>
      <c r="D90">
        <f t="array" ref="D90">SUM(IF($3:$13=A90,1,0))</f>
        <v>14</v>
      </c>
      <c r="E90">
        <f>MATCH(A90,FantasyPts!$A$5:$A$57,0)</f>
        <v>47</v>
      </c>
      <c r="F90">
        <f ca="1">OFFSET(FantasyPts!$C$4,'Fantasy Teams'!E90,0)</f>
        <v>841</v>
      </c>
      <c r="H90" t="e">
        <f t="shared" ca="1" si="42"/>
        <v>#N/A</v>
      </c>
      <c r="I90" t="e">
        <f t="shared" ca="1" si="43"/>
        <v>#N/A</v>
      </c>
      <c r="J90">
        <f t="array" aca="1" ref="J90" ca="1">MAX(IF(ISNA(H90:I90),0,H90:I90))</f>
        <v>0</v>
      </c>
      <c r="K90" t="e">
        <f t="shared" ca="1" si="41"/>
        <v>#REF!</v>
      </c>
      <c r="L90">
        <f t="shared" si="44"/>
        <v>47</v>
      </c>
      <c r="M90" t="e">
        <f t="shared" ca="1" si="45"/>
        <v>#REF!</v>
      </c>
      <c r="N90" t="e">
        <f t="shared" ca="1" si="46"/>
        <v>#REF!</v>
      </c>
      <c r="O90" t="e">
        <f t="shared" ca="1" si="47"/>
        <v>#REF!</v>
      </c>
    </row>
    <row r="91" spans="1:15" x14ac:dyDescent="0.15">
      <c r="A91" t="s">
        <v>132</v>
      </c>
      <c r="B91" t="s">
        <v>150</v>
      </c>
      <c r="C91">
        <v>5</v>
      </c>
      <c r="D91">
        <f t="array" ref="D91">SUM(IF($3:$13=A91,1,0))</f>
        <v>2</v>
      </c>
      <c r="E91">
        <f>MATCH(A91,FantasyPts!$A$5:$A$57,0)</f>
        <v>48</v>
      </c>
      <c r="F91">
        <f ca="1">OFFSET(FantasyPts!$C$4,'Fantasy Teams'!E91,0)</f>
        <v>179</v>
      </c>
      <c r="H91" t="e">
        <f t="shared" ca="1" si="42"/>
        <v>#N/A</v>
      </c>
      <c r="I91" t="e">
        <f t="shared" ca="1" si="43"/>
        <v>#N/A</v>
      </c>
      <c r="J91">
        <f t="array" aca="1" ref="J91" ca="1">MAX(IF(ISNA(H91:I91),0,H91:I91))</f>
        <v>0</v>
      </c>
      <c r="K91" t="e">
        <f t="shared" ca="1" si="41"/>
        <v>#REF!</v>
      </c>
      <c r="L91">
        <f t="shared" si="44"/>
        <v>48</v>
      </c>
      <c r="M91" t="e">
        <f t="shared" ca="1" si="45"/>
        <v>#REF!</v>
      </c>
      <c r="N91" t="e">
        <f t="shared" ca="1" si="46"/>
        <v>#REF!</v>
      </c>
      <c r="O91" t="e">
        <f t="shared" ca="1" si="47"/>
        <v>#REF!</v>
      </c>
    </row>
    <row r="92" spans="1:15" x14ac:dyDescent="0.15">
      <c r="H92" t="e">
        <f t="shared" ca="1" si="42"/>
        <v>#N/A</v>
      </c>
      <c r="I92" t="e">
        <f t="shared" ca="1" si="43"/>
        <v>#N/A</v>
      </c>
      <c r="J92">
        <f t="array" aca="1" ref="J92" ca="1">MAX(IF(ISNA(H92:I92),0,H92:I92))</f>
        <v>0</v>
      </c>
      <c r="K92" t="e">
        <f t="shared" ca="1" si="41"/>
        <v>#REF!</v>
      </c>
      <c r="L92">
        <f t="shared" si="44"/>
        <v>49</v>
      </c>
      <c r="M92" t="e">
        <f t="shared" ca="1" si="45"/>
        <v>#REF!</v>
      </c>
      <c r="N92" t="e">
        <f t="shared" ca="1" si="46"/>
        <v>#REF!</v>
      </c>
      <c r="O92" t="e">
        <f t="shared" ca="1" si="47"/>
        <v>#REF!</v>
      </c>
    </row>
    <row r="93" spans="1:15" x14ac:dyDescent="0.15">
      <c r="H93" t="e">
        <f ca="1">MATCH(L93,OFFSET($A$42,0,0,1,$H$43),0)</f>
        <v>#N/A</v>
      </c>
      <c r="I93" t="e">
        <f ca="1">IF(ISNA(H93),1+H92+MATCH(L92,OFFSET($A$42,0,H92+1,1,100),0),0)</f>
        <v>#N/A</v>
      </c>
      <c r="J93">
        <f t="array" aca="1" ref="J93" ca="1">MAX(IF(ISNA(H93:I93),0,H93:I93))</f>
        <v>0</v>
      </c>
      <c r="K93" t="e">
        <f t="shared" ca="1" si="41"/>
        <v>#REF!</v>
      </c>
      <c r="L93">
        <f t="shared" si="44"/>
        <v>50</v>
      </c>
      <c r="M93" t="e">
        <f ca="1">OFFSET($A$1,0,J93-1)</f>
        <v>#REF!</v>
      </c>
      <c r="N93" t="e">
        <f ca="1">IF(K93=0,"",K93)</f>
        <v>#REF!</v>
      </c>
      <c r="O93" t="e">
        <f ca="1">OFFSET($A$41,0,J93-1)</f>
        <v>#REF!</v>
      </c>
    </row>
    <row r="94" spans="1:15" x14ac:dyDescent="0.15">
      <c r="H94" t="e">
        <f ca="1">MATCH(L94,OFFSET($A$42,0,0,1,$H$43),0)</f>
        <v>#N/A</v>
      </c>
      <c r="I94" t="e">
        <f ca="1">IF(ISNA(H94),1+H93+MATCH(L93,OFFSET($A$42,0,H93+1,1,100),0),0)</f>
        <v>#N/A</v>
      </c>
      <c r="J94">
        <f t="array" aca="1" ref="J94" ca="1">MAX(IF(ISNA(H94:I94),0,H94:I94))</f>
        <v>0</v>
      </c>
      <c r="K94" t="e">
        <f t="shared" ca="1" si="41"/>
        <v>#REF!</v>
      </c>
      <c r="L94">
        <f t="shared" si="44"/>
        <v>51</v>
      </c>
      <c r="M94" t="e">
        <f ca="1">OFFSET($A$1,0,J94-1)</f>
        <v>#REF!</v>
      </c>
      <c r="N94" t="e">
        <f ca="1">IF(K94=0,"",K94)</f>
        <v>#REF!</v>
      </c>
      <c r="O94" t="e">
        <f ca="1">OFFSET($A$41,0,J94-1)</f>
        <v>#REF!</v>
      </c>
    </row>
    <row r="95" spans="1:15" x14ac:dyDescent="0.15">
      <c r="H95" t="e">
        <f ca="1">MATCH(L95,OFFSET($A$42,0,0,1,$H$43),0)</f>
        <v>#N/A</v>
      </c>
      <c r="I95" t="e">
        <f ca="1">IF(ISNA(H95),1+H94+MATCH(L94,OFFSET($A$42,0,H94+1,1,100),0),0)</f>
        <v>#N/A</v>
      </c>
      <c r="J95">
        <f t="array" aca="1" ref="J95" ca="1">MAX(IF(ISNA(H95:I95),0,H95:I95))</f>
        <v>0</v>
      </c>
      <c r="K95" t="e">
        <f t="shared" ca="1" si="41"/>
        <v>#REF!</v>
      </c>
      <c r="L95">
        <f t="shared" si="44"/>
        <v>52</v>
      </c>
      <c r="M95" t="e">
        <f ca="1">OFFSET($A$1,0,J95-1)</f>
        <v>#REF!</v>
      </c>
      <c r="N95" t="e">
        <f ca="1">IF(K95=0,"",K95)</f>
        <v>#REF!</v>
      </c>
      <c r="O95" t="e">
        <f ca="1">OFFSET($A$41,0,J95-1)</f>
        <v>#REF!</v>
      </c>
    </row>
    <row r="96" spans="1:15" x14ac:dyDescent="0.15">
      <c r="H96" t="e">
        <f ca="1">MATCH(L96,OFFSET($A$42,0,0,1,$H$43),0)</f>
        <v>#N/A</v>
      </c>
      <c r="I96" t="e">
        <f ca="1">IF(ISNA(H96),1+H95+MATCH(L95,OFFSET($A$42,0,H95+1,1,100),0),0)</f>
        <v>#N/A</v>
      </c>
      <c r="J96">
        <f t="array" aca="1" ref="J96" ca="1">MAX(IF(ISNA(H96:I96),0,H96:I96))</f>
        <v>0</v>
      </c>
      <c r="K96" t="e">
        <f t="shared" ca="1" si="41"/>
        <v>#REF!</v>
      </c>
      <c r="L96">
        <f t="shared" si="44"/>
        <v>53</v>
      </c>
      <c r="M96" t="e">
        <f ca="1">OFFSET($A$1,0,J96-1)</f>
        <v>#REF!</v>
      </c>
      <c r="N96" t="e">
        <f ca="1">IF(K96=0,"",K96)</f>
        <v>#REF!</v>
      </c>
      <c r="O96" t="e">
        <f ca="1">OFFSET($A$41,0,J96-1)</f>
        <v>#REF!</v>
      </c>
    </row>
  </sheetData>
  <sheetCalcPr fullCalcOnLoad="1"/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B11" sqref="B11"/>
    </sheetView>
  </sheetViews>
  <sheetFormatPr defaultRowHeight="11.25" x14ac:dyDescent="0.2"/>
  <cols>
    <col min="1" max="1" width="11.7109375" style="8" customWidth="1"/>
    <col min="2" max="2" width="17.5703125" style="8" bestFit="1" customWidth="1"/>
    <col min="3" max="3" width="9.5703125" style="15" customWidth="1"/>
    <col min="4" max="4" width="9.5703125" style="8" customWidth="1"/>
    <col min="5" max="5" width="9.5703125" style="8" hidden="1" customWidth="1"/>
    <col min="6" max="6" width="9.5703125" style="8" customWidth="1"/>
    <col min="7" max="7" width="9.5703125" style="8" hidden="1" customWidth="1"/>
    <col min="8" max="10" width="9.5703125" style="8" customWidth="1"/>
    <col min="11" max="11" width="9.140625" style="8"/>
    <col min="12" max="12" width="0" style="8" hidden="1" customWidth="1"/>
    <col min="13" max="14" width="9.140625" style="8"/>
    <col min="15" max="15" width="4.42578125" style="8" customWidth="1"/>
    <col min="16" max="16" width="15" style="8" customWidth="1"/>
    <col min="17" max="17" width="10.42578125" style="12" customWidth="1"/>
    <col min="18" max="16384" width="9.140625" style="8"/>
  </cols>
  <sheetData>
    <row r="1" spans="1:20" x14ac:dyDescent="0.2">
      <c r="A1" s="8" t="s">
        <v>182</v>
      </c>
      <c r="C1" s="15">
        <v>89</v>
      </c>
    </row>
    <row r="2" spans="1:20" x14ac:dyDescent="0.2">
      <c r="A2" s="8" t="s">
        <v>183</v>
      </c>
      <c r="C2" s="15">
        <v>91</v>
      </c>
    </row>
    <row r="4" spans="1:20" ht="22.5" x14ac:dyDescent="0.2">
      <c r="A4" s="14"/>
      <c r="B4" s="14" t="s">
        <v>184</v>
      </c>
      <c r="C4" s="14" t="s">
        <v>185</v>
      </c>
      <c r="D4" s="14" t="s">
        <v>186</v>
      </c>
      <c r="E4" s="14" t="s">
        <v>187</v>
      </c>
      <c r="F4" s="14" t="s">
        <v>188</v>
      </c>
      <c r="G4" s="14" t="s">
        <v>189</v>
      </c>
      <c r="H4" s="14" t="s">
        <v>190</v>
      </c>
      <c r="I4" s="14" t="s">
        <v>191</v>
      </c>
      <c r="J4" s="14" t="s">
        <v>176</v>
      </c>
      <c r="K4" s="14" t="s">
        <v>192</v>
      </c>
      <c r="M4" s="14" t="s">
        <v>193</v>
      </c>
    </row>
    <row r="5" spans="1:20" x14ac:dyDescent="0.2">
      <c r="A5" t="s">
        <v>146</v>
      </c>
      <c r="B5" t="s">
        <v>160</v>
      </c>
      <c r="C5" s="15">
        <f t="shared" ref="C5:C17" ca="1" si="0">F5+H5+I5+D5</f>
        <v>466</v>
      </c>
      <c r="D5" s="15">
        <f ca="1">IF(NOT(ISNA(E5)),5*OFFSET(Batting!$CE$4,E5,0,1,1),0)</f>
        <v>105</v>
      </c>
      <c r="E5" s="15">
        <f>MATCH(A5,Batting!$A$5:$A$78,0)</f>
        <v>17</v>
      </c>
      <c r="F5" s="15">
        <f ca="1">IF(NOT(ISNA(E5)),OFFSET(Batting!$B$4,E5,$C$1,1,1)-D5,0)</f>
        <v>310</v>
      </c>
      <c r="G5" s="15">
        <f>MATCH(A5,Bowling!$A$5:$A$34,0)</f>
        <v>7</v>
      </c>
      <c r="H5" s="15">
        <f ca="1">IF(NOT(ISNA(G5)),OFFSET(Bowling!$CO$4,G5,0,1,1),0)</f>
        <v>6</v>
      </c>
      <c r="I5" s="15">
        <f ca="1">IF(NOT(ISNA(E5)),OFFSET(Batting!$B$4,E5,$C$1+1,1,1),0)</f>
        <v>45</v>
      </c>
      <c r="J5" s="15">
        <f>VLOOKUP(A5,'Fantasy Teams'!$A$44:$C$95,3)</f>
        <v>7</v>
      </c>
      <c r="K5" s="16">
        <f ca="1">INT(C5*1000/J5)/1000</f>
        <v>66.570999999999998</v>
      </c>
      <c r="L5" s="8">
        <f ca="1">K5+ROW(K5)/1000000</f>
        <v>66.571005</v>
      </c>
      <c r="M5" s="8">
        <f ca="1">RANK(L5,$L$5:$L$52)</f>
        <v>22</v>
      </c>
      <c r="N5" s="8">
        <f ca="1">MATCH(O5,$M$5:$M$55,0)</f>
        <v>12</v>
      </c>
      <c r="O5" s="8">
        <v>1</v>
      </c>
      <c r="P5" s="8" t="str">
        <f t="shared" ref="P5:P31" ca="1" si="1">OFFSET($B$4,N5,0)</f>
        <v>David Sharpe</v>
      </c>
      <c r="Q5" s="12">
        <f t="shared" ref="Q5:Q31" ca="1" si="2">OFFSET($K$4,N5,0)</f>
        <v>205.75</v>
      </c>
      <c r="R5" s="8">
        <f t="shared" ref="R5:R52" ca="1" si="3">OFFSET($J$4,N5,0)</f>
        <v>4</v>
      </c>
    </row>
    <row r="6" spans="1:20" x14ac:dyDescent="0.2">
      <c r="A6" t="s">
        <v>206</v>
      </c>
      <c r="B6" t="s">
        <v>207</v>
      </c>
      <c r="C6" s="15">
        <f t="shared" ca="1" si="0"/>
        <v>627</v>
      </c>
      <c r="D6" s="15">
        <f ca="1">IF(NOT(ISNA(E6)),5*OFFSET(Batting!$CE$4,E6,0,1,1),0)</f>
        <v>110</v>
      </c>
      <c r="E6" s="15">
        <f>MATCH(A6,Batting!$A$5:$A$78,0)</f>
        <v>15</v>
      </c>
      <c r="F6" s="15">
        <f ca="1">IF(NOT(ISNA(E6)),OFFSET(Batting!$B$4,E6,$C$1,1,1)-D6,0)</f>
        <v>451</v>
      </c>
      <c r="G6" s="15" t="e">
        <f>MATCH(A6,Bowling!$A$5:$A$34,0)</f>
        <v>#N/A</v>
      </c>
      <c r="H6" s="15">
        <f ca="1">IF(NOT(ISNA(G6)),OFFSET(Bowling!$CO$4,G6,0,1,1),0)</f>
        <v>0</v>
      </c>
      <c r="I6" s="15">
        <f ca="1">IF(NOT(ISNA(E6)),OFFSET(Batting!$B$4,E6,$C$1+1,1,1),0)</f>
        <v>66</v>
      </c>
      <c r="J6" s="15">
        <f>VLOOKUP(A6,'Fantasy Teams'!$A$44:$C$95,3)</f>
        <v>4</v>
      </c>
      <c r="K6" s="16">
        <f t="shared" ref="K6:K52" ca="1" si="4">INT(C6*1000/J6)/1000</f>
        <v>156.75</v>
      </c>
      <c r="L6" s="8">
        <f t="shared" ref="L6:L52" ca="1" si="5">K6+ROW(K6)/1000000</f>
        <v>156.75000600000001</v>
      </c>
      <c r="M6" s="8">
        <f t="shared" ref="M6:M52" ca="1" si="6">RANK(L6,$L$5:$L$52)</f>
        <v>3</v>
      </c>
      <c r="N6" s="8">
        <f t="shared" ref="N6:N52" ca="1" si="7">MATCH(O6,$M$5:$M$55,0)</f>
        <v>47</v>
      </c>
      <c r="O6" s="8">
        <f>O5+1</f>
        <v>2</v>
      </c>
      <c r="P6" s="8" t="str">
        <f t="shared" ca="1" si="1"/>
        <v>Tony Springer</v>
      </c>
      <c r="Q6" s="12">
        <f t="shared" ca="1" si="2"/>
        <v>168.2</v>
      </c>
      <c r="R6" s="8">
        <f t="shared" ca="1" si="3"/>
        <v>5</v>
      </c>
    </row>
    <row r="7" spans="1:20" x14ac:dyDescent="0.2">
      <c r="A7" t="s">
        <v>123</v>
      </c>
      <c r="B7" t="s">
        <v>162</v>
      </c>
      <c r="C7" s="15">
        <f t="shared" ca="1" si="0"/>
        <v>568</v>
      </c>
      <c r="D7" s="15">
        <f ca="1">IF(NOT(ISNA(E7)),5*OFFSET(Batting!$CE$4,E7,0,1,1),0)</f>
        <v>75</v>
      </c>
      <c r="E7" s="15">
        <f>MATCH(A7,Batting!$A$5:$A$78,0)</f>
        <v>24</v>
      </c>
      <c r="F7" s="15">
        <f ca="1">IF(NOT(ISNA(E7)),OFFSET(Batting!$B$4,E7,$C$1,1,1)-D7,0)</f>
        <v>98</v>
      </c>
      <c r="G7" s="15">
        <f>MATCH(A7,Bowling!$A$5:$A$34,0)</f>
        <v>10</v>
      </c>
      <c r="H7" s="15">
        <f ca="1">IF(NOT(ISNA(G7)),OFFSET(Bowling!$CO$4,G7,0,1,1),0)</f>
        <v>375</v>
      </c>
      <c r="I7" s="15">
        <f ca="1">IF(NOT(ISNA(E7)),OFFSET(Batting!$B$4,E7,$C$1+1,1,1),0)</f>
        <v>20</v>
      </c>
      <c r="J7" s="15">
        <f>VLOOKUP(A7,'Fantasy Teams'!$A$44:$C$95,3)</f>
        <v>6</v>
      </c>
      <c r="K7" s="16">
        <f t="shared" ca="1" si="4"/>
        <v>94.665999999999997</v>
      </c>
      <c r="L7" s="8">
        <f t="shared" ca="1" si="5"/>
        <v>94.666006999999993</v>
      </c>
      <c r="M7" s="8">
        <f t="shared" ca="1" si="6"/>
        <v>12</v>
      </c>
      <c r="N7" s="8">
        <f t="shared" ca="1" si="7"/>
        <v>2</v>
      </c>
      <c r="O7" s="8">
        <f t="shared" ref="O7:O52" si="8">O6+1</f>
        <v>3</v>
      </c>
      <c r="P7" s="8" t="str">
        <f t="shared" ca="1" si="1"/>
        <v>Alex Hamilton</v>
      </c>
      <c r="Q7" s="12">
        <f t="shared" ca="1" si="2"/>
        <v>156.75</v>
      </c>
      <c r="R7" s="8">
        <f t="shared" ca="1" si="3"/>
        <v>4</v>
      </c>
    </row>
    <row r="8" spans="1:20" x14ac:dyDescent="0.2">
      <c r="A8" t="s">
        <v>202</v>
      </c>
      <c r="B8" t="s">
        <v>208</v>
      </c>
      <c r="C8" s="15">
        <f t="shared" ca="1" si="0"/>
        <v>120</v>
      </c>
      <c r="D8" s="15">
        <f ca="1">IF(NOT(ISNA(E8)),5*OFFSET(Batting!$CE$4,E8,0,1,1),0)</f>
        <v>50</v>
      </c>
      <c r="E8" s="15">
        <f>MATCH(A8,Batting!$A$5:$A$78,0)</f>
        <v>28</v>
      </c>
      <c r="F8" s="15">
        <f ca="1">IF(NOT(ISNA(E8)),OFFSET(Batting!$B$4,E8,$C$1,1,1)-D8,0)</f>
        <v>31</v>
      </c>
      <c r="G8" s="15">
        <f>MATCH(A8,Bowling!$A$5:$A$34,0)</f>
        <v>13</v>
      </c>
      <c r="H8" s="15">
        <f ca="1">IF(NOT(ISNA(G8)),OFFSET(Bowling!$CO$4,G8,0,1,1),0)</f>
        <v>39</v>
      </c>
      <c r="I8" s="15">
        <f ca="1">IF(NOT(ISNA(E8)),OFFSET(Batting!$B$4,E8,$C$1+1,1,1),0)</f>
        <v>0</v>
      </c>
      <c r="J8" s="15">
        <f>VLOOKUP(A8,'Fantasy Teams'!$A$44:$C$95,3)</f>
        <v>1</v>
      </c>
      <c r="K8" s="16">
        <f t="shared" ca="1" si="4"/>
        <v>120</v>
      </c>
      <c r="L8" s="8">
        <f t="shared" ca="1" si="5"/>
        <v>120.00000799999999</v>
      </c>
      <c r="M8" s="8">
        <f t="shared" ca="1" si="6"/>
        <v>6</v>
      </c>
      <c r="N8" s="8">
        <f t="shared" ca="1" si="7"/>
        <v>17</v>
      </c>
      <c r="O8" s="8">
        <f t="shared" si="8"/>
        <v>4</v>
      </c>
      <c r="P8" s="8" t="str">
        <f t="shared" ca="1" si="1"/>
        <v>Geoff Cooper</v>
      </c>
      <c r="Q8" s="12">
        <f t="shared" ca="1" si="2"/>
        <v>138.19999999999999</v>
      </c>
      <c r="R8" s="8">
        <f t="shared" ca="1" si="3"/>
        <v>5</v>
      </c>
    </row>
    <row r="9" spans="1:20" x14ac:dyDescent="0.2">
      <c r="A9" t="s">
        <v>143</v>
      </c>
      <c r="B9" t="s">
        <v>161</v>
      </c>
      <c r="C9" s="15">
        <f t="shared" ca="1" si="0"/>
        <v>370</v>
      </c>
      <c r="D9" s="15">
        <f ca="1">IF(NOT(ISNA(E9)),5*OFFSET(Batting!$CE$4,E9,0,1,1),0)</f>
        <v>70</v>
      </c>
      <c r="E9" s="15">
        <f>MATCH(A9,Batting!$A$5:$A$78,0)</f>
        <v>49</v>
      </c>
      <c r="F9" s="15">
        <f ca="1">IF(NOT(ISNA(E9)),OFFSET(Batting!$B$4,E9,$C$1,1,1)-D9,0)</f>
        <v>45</v>
      </c>
      <c r="G9" s="15">
        <f>MATCH(A9,Bowling!$A$5:$A$34,0)</f>
        <v>26</v>
      </c>
      <c r="H9" s="15">
        <f ca="1">IF(NOT(ISNA(G9)),OFFSET(Bowling!$CO$4,G9,0,1,1),0)</f>
        <v>230</v>
      </c>
      <c r="I9" s="15">
        <f ca="1">IF(NOT(ISNA(E9)),OFFSET(Batting!$B$4,E9,$C$1+1,1,1),0)</f>
        <v>25</v>
      </c>
      <c r="J9" s="15">
        <f>VLOOKUP(A9,'Fantasy Teams'!$A$44:$C$95,3)</f>
        <v>3</v>
      </c>
      <c r="K9" s="16">
        <f t="shared" ca="1" si="4"/>
        <v>123.333</v>
      </c>
      <c r="L9" s="8">
        <f t="shared" ca="1" si="5"/>
        <v>123.333009</v>
      </c>
      <c r="M9" s="8">
        <f t="shared" ca="1" si="6"/>
        <v>5</v>
      </c>
      <c r="N9" s="8">
        <f t="shared" ca="1" si="7"/>
        <v>5</v>
      </c>
      <c r="O9" s="8">
        <f t="shared" si="8"/>
        <v>5</v>
      </c>
      <c r="P9" s="8" t="str">
        <f t="shared" ca="1" si="1"/>
        <v>Bob Young</v>
      </c>
      <c r="Q9" s="12">
        <f t="shared" ca="1" si="2"/>
        <v>123.333</v>
      </c>
      <c r="R9" s="8">
        <f t="shared" ca="1" si="3"/>
        <v>3</v>
      </c>
    </row>
    <row r="10" spans="1:20" x14ac:dyDescent="0.2">
      <c r="A10" t="s">
        <v>168</v>
      </c>
      <c r="B10" t="s">
        <v>155</v>
      </c>
      <c r="C10" s="15">
        <f t="shared" ca="1" si="0"/>
        <v>0</v>
      </c>
      <c r="D10" s="15">
        <f ca="1">IF(NOT(ISNA(E10)),5*OFFSET(Batting!$CE$4,E10,0,1,1),0)</f>
        <v>5</v>
      </c>
      <c r="E10" s="15">
        <f>MATCH(A10,Batting!$A$5:$A$78,0)</f>
        <v>11</v>
      </c>
      <c r="F10" s="15">
        <f ca="1">IF(NOT(ISNA(E10)),OFFSET(Batting!$B$4,E10,$C$1,1,1)-D10,0)</f>
        <v>-5</v>
      </c>
      <c r="G10" s="15" t="e">
        <f>MATCH(A10,Bowling!$A$5:$A$34,0)</f>
        <v>#N/A</v>
      </c>
      <c r="H10" s="15">
        <f ca="1">IF(NOT(ISNA(G10)),OFFSET(Bowling!$CO$4,G10,0,1,1),0)</f>
        <v>0</v>
      </c>
      <c r="I10" s="15">
        <f ca="1">IF(NOT(ISNA(E10)),OFFSET(Batting!$B$4,E10,$C$1+1,1,1),0)</f>
        <v>0</v>
      </c>
      <c r="J10" s="15">
        <f>VLOOKUP(A10,'Fantasy Teams'!$A$44:$C$95,3)</f>
        <v>1</v>
      </c>
      <c r="K10" s="16">
        <f t="shared" ca="1" si="4"/>
        <v>0</v>
      </c>
      <c r="L10" s="8">
        <f t="shared" ca="1" si="5"/>
        <v>1.0000000000000001E-5</v>
      </c>
      <c r="M10" s="8">
        <f t="shared" ca="1" si="6"/>
        <v>48</v>
      </c>
      <c r="N10" s="8">
        <f t="shared" ca="1" si="7"/>
        <v>4</v>
      </c>
      <c r="O10" s="8">
        <f t="shared" si="8"/>
        <v>6</v>
      </c>
      <c r="P10" s="8" t="str">
        <f t="shared" ca="1" si="1"/>
        <v>Austen Merritt</v>
      </c>
      <c r="Q10" s="12">
        <f t="shared" ca="1" si="2"/>
        <v>120</v>
      </c>
      <c r="R10" s="8">
        <f t="shared" ca="1" si="3"/>
        <v>1</v>
      </c>
    </row>
    <row r="11" spans="1:20" x14ac:dyDescent="0.2">
      <c r="A11" t="s">
        <v>205</v>
      </c>
      <c r="B11" t="s">
        <v>1092</v>
      </c>
      <c r="C11" s="15">
        <f t="shared" ca="1" si="0"/>
        <v>183</v>
      </c>
      <c r="D11" s="15">
        <f ca="1">IF(NOT(ISNA(E11)),5*OFFSET(Batting!$CE$4,E11,0,1,1),0)</f>
        <v>30</v>
      </c>
      <c r="E11" s="15">
        <f>MATCH(A11,Batting!$A$5:$A$78,0)</f>
        <v>8</v>
      </c>
      <c r="F11" s="15">
        <f ca="1">IF(NOT(ISNA(E11)),OFFSET(Batting!$B$4,E11,$C$1,1,1)-D11,0)</f>
        <v>5</v>
      </c>
      <c r="G11" s="15">
        <f>MATCH(A11,Bowling!$A$5:$A$34,0)</f>
        <v>3</v>
      </c>
      <c r="H11" s="15">
        <f ca="1">IF(NOT(ISNA(G11)),OFFSET(Bowling!$CO$4,G11,0,1,1),0)</f>
        <v>148</v>
      </c>
      <c r="I11" s="15">
        <f ca="1">IF(NOT(ISNA(E11)),OFFSET(Batting!$B$4,E11,$C$1+1,1,1),0)</f>
        <v>0</v>
      </c>
      <c r="J11" s="15">
        <f>VLOOKUP(A11,'Fantasy Teams'!$A$44:$C$95,3)</f>
        <v>4</v>
      </c>
      <c r="K11" s="16">
        <f t="shared" ca="1" si="4"/>
        <v>45.75</v>
      </c>
      <c r="L11" s="8">
        <f t="shared" ca="1" si="5"/>
        <v>45.750011000000001</v>
      </c>
      <c r="M11" s="8">
        <f t="shared" ca="1" si="6"/>
        <v>27</v>
      </c>
      <c r="N11" s="8">
        <f t="shared" ca="1" si="7"/>
        <v>27</v>
      </c>
      <c r="O11" s="8">
        <f t="shared" si="8"/>
        <v>7</v>
      </c>
      <c r="P11" s="8" t="str">
        <f t="shared" ca="1" si="1"/>
        <v>Luke Hickey</v>
      </c>
      <c r="Q11" s="12">
        <f t="shared" ca="1" si="2"/>
        <v>107</v>
      </c>
      <c r="R11" s="8">
        <f t="shared" ca="1" si="3"/>
        <v>1</v>
      </c>
    </row>
    <row r="12" spans="1:20" x14ac:dyDescent="0.2">
      <c r="A12" t="s">
        <v>125</v>
      </c>
      <c r="B12" t="s">
        <v>210</v>
      </c>
      <c r="C12" s="15">
        <f t="shared" ca="1" si="0"/>
        <v>160</v>
      </c>
      <c r="D12" s="15">
        <f ca="1">IF(NOT(ISNA(E12)),5*OFFSET(Batting!$CE$4,E12,0,1,1),0)</f>
        <v>50</v>
      </c>
      <c r="E12" s="15">
        <f>MATCH(A12,Batting!$A$5:$A$78,0)</f>
        <v>25</v>
      </c>
      <c r="F12" s="15">
        <f ca="1">IF(NOT(ISNA(E12)),OFFSET(Batting!$B$4,E12,$C$1,1,1)-D12,0)</f>
        <v>19</v>
      </c>
      <c r="G12" s="15">
        <f>MATCH(A12,Bowling!$A$5:$A$34,0)</f>
        <v>11</v>
      </c>
      <c r="H12" s="15">
        <f ca="1">IF(NOT(ISNA(G12)),OFFSET(Bowling!$CO$4,G12,0,1,1),0)</f>
        <v>86</v>
      </c>
      <c r="I12" s="15">
        <f ca="1">IF(NOT(ISNA(E12)),OFFSET(Batting!$B$4,E12,$C$1+1,1,1),0)</f>
        <v>5</v>
      </c>
      <c r="J12" s="15">
        <f>VLOOKUP(A12,'Fantasy Teams'!$A$44:$C$95,3)</f>
        <v>2</v>
      </c>
      <c r="K12" s="16">
        <f t="shared" ca="1" si="4"/>
        <v>80</v>
      </c>
      <c r="L12" s="8">
        <f t="shared" ca="1" si="5"/>
        <v>80.000011999999998</v>
      </c>
      <c r="M12" s="8">
        <f t="shared" ca="1" si="6"/>
        <v>16</v>
      </c>
      <c r="N12" s="8">
        <f t="shared" ca="1" si="7"/>
        <v>32</v>
      </c>
      <c r="O12" s="8">
        <f t="shared" si="8"/>
        <v>8</v>
      </c>
      <c r="P12" s="8" t="str">
        <f t="shared" ca="1" si="1"/>
        <v>Mike Woodhouse</v>
      </c>
      <c r="Q12" s="12">
        <f t="shared" ca="1" si="2"/>
        <v>104.25</v>
      </c>
      <c r="R12" s="8">
        <f t="shared" ca="1" si="3"/>
        <v>4</v>
      </c>
    </row>
    <row r="13" spans="1:20" x14ac:dyDescent="0.2">
      <c r="A13" t="s">
        <v>147</v>
      </c>
      <c r="B13" t="s">
        <v>211</v>
      </c>
      <c r="C13" s="15">
        <f t="shared" ca="1" si="0"/>
        <v>0</v>
      </c>
      <c r="D13" s="15">
        <f ca="1">IF(NOT(ISNA(E13)),5*OFFSET(Batting!$CE$4,E13,0,1,1),0)</f>
        <v>0</v>
      </c>
      <c r="E13" s="15">
        <f>MATCH(A13,Batting!$A$5:$A$78,0)</f>
        <v>14</v>
      </c>
      <c r="F13" s="15">
        <f ca="1">IF(NOT(ISNA(E13)),OFFSET(Batting!$B$4,E13,$C$1,1,1)-D13,0)</f>
        <v>0</v>
      </c>
      <c r="G13" s="15" t="e">
        <f>MATCH(A13,Bowling!$A$5:$A$34,0)</f>
        <v>#N/A</v>
      </c>
      <c r="H13" s="15">
        <f ca="1">IF(NOT(ISNA(G13)),OFFSET(Bowling!$CO$4,G13,0,1,1),0)</f>
        <v>0</v>
      </c>
      <c r="I13" s="15">
        <f ca="1">IF(NOT(ISNA(E13)),OFFSET(Batting!$B$4,E13,$C$1+1,1,1),0)</f>
        <v>0</v>
      </c>
      <c r="J13" s="15">
        <f>VLOOKUP(A13,'Fantasy Teams'!$A$44:$C$95,3)</f>
        <v>1</v>
      </c>
      <c r="K13" s="16">
        <f t="shared" ca="1" si="4"/>
        <v>0</v>
      </c>
      <c r="L13" s="8">
        <f t="shared" ca="1" si="5"/>
        <v>1.2999999999999999E-5</v>
      </c>
      <c r="M13" s="8">
        <f t="shared" ca="1" si="6"/>
        <v>47</v>
      </c>
      <c r="N13" s="8">
        <f t="shared" ca="1" si="7"/>
        <v>29</v>
      </c>
      <c r="O13" s="8">
        <f t="shared" si="8"/>
        <v>9</v>
      </c>
      <c r="P13" s="8" t="str">
        <f t="shared" ca="1" si="1"/>
        <v>Mike Bowers</v>
      </c>
      <c r="Q13" s="12">
        <f t="shared" ca="1" si="2"/>
        <v>104</v>
      </c>
      <c r="R13" s="8">
        <f t="shared" ca="1" si="3"/>
        <v>2</v>
      </c>
    </row>
    <row r="14" spans="1:20" x14ac:dyDescent="0.2">
      <c r="A14" t="s">
        <v>112</v>
      </c>
      <c r="B14" t="s">
        <v>212</v>
      </c>
      <c r="C14" s="15">
        <f t="shared" ca="1" si="0"/>
        <v>494</v>
      </c>
      <c r="D14" s="15">
        <f ca="1">IF(NOT(ISNA(E14)),5*OFFSET(Batting!$CE$4,E14,0,1,1),0)</f>
        <v>70</v>
      </c>
      <c r="E14" s="15">
        <f>MATCH(A14,Batting!$A$5:$A$78,0)</f>
        <v>4</v>
      </c>
      <c r="F14" s="15">
        <f ca="1">IF(NOT(ISNA(E14)),OFFSET(Batting!$B$4,E14,$C$1,1,1)-D14,0)</f>
        <v>114</v>
      </c>
      <c r="G14" s="15">
        <f>MATCH(A14,Bowling!$A$5:$A$34,0)</f>
        <v>2</v>
      </c>
      <c r="H14" s="15">
        <f ca="1">IF(NOT(ISNA(G14)),OFFSET(Bowling!$CO$4,G14,0,1,1),0)</f>
        <v>285</v>
      </c>
      <c r="I14" s="15">
        <f ca="1">IF(NOT(ISNA(E14)),OFFSET(Batting!$B$4,E14,$C$1+1,1,1),0)</f>
        <v>25</v>
      </c>
      <c r="J14" s="15">
        <f>VLOOKUP(A14,'Fantasy Teams'!$A$44:$C$95,3)</f>
        <v>7</v>
      </c>
      <c r="K14" s="16">
        <f t="shared" ca="1" si="4"/>
        <v>70.570999999999998</v>
      </c>
      <c r="L14" s="8">
        <f t="shared" ca="1" si="5"/>
        <v>70.571013999999991</v>
      </c>
      <c r="M14" s="8">
        <f t="shared" ca="1" si="6"/>
        <v>20</v>
      </c>
      <c r="N14" s="8">
        <f t="shared" ca="1" si="7"/>
        <v>31</v>
      </c>
      <c r="O14" s="8">
        <f t="shared" si="8"/>
        <v>10</v>
      </c>
      <c r="P14" s="8" t="str">
        <f t="shared" ca="1" si="1"/>
        <v>Mike Simmons</v>
      </c>
      <c r="Q14" s="12">
        <f t="shared" ca="1" si="2"/>
        <v>101</v>
      </c>
      <c r="R14" s="8">
        <f t="shared" ca="1" si="3"/>
        <v>1</v>
      </c>
    </row>
    <row r="15" spans="1:20" x14ac:dyDescent="0.2">
      <c r="A15" t="s">
        <v>129</v>
      </c>
      <c r="B15" t="s">
        <v>158</v>
      </c>
      <c r="C15" s="15">
        <f t="shared" ca="1" si="0"/>
        <v>544</v>
      </c>
      <c r="D15" s="15">
        <f ca="1">IF(NOT(ISNA(E15)),5*OFFSET(Batting!$CE$4,E15,0,1,1),0)</f>
        <v>85</v>
      </c>
      <c r="E15" s="15">
        <f>MATCH(A15,Batting!$A$5:$A$78,0)</f>
        <v>31</v>
      </c>
      <c r="F15" s="15">
        <f ca="1">IF(NOT(ISNA(E15)),OFFSET(Batting!$B$4,E15,$C$1,1,1)-D15,0)</f>
        <v>98</v>
      </c>
      <c r="G15" s="15">
        <f>MATCH(A15,Bowling!$A$5:$A$34,0)</f>
        <v>16</v>
      </c>
      <c r="H15" s="15">
        <f ca="1">IF(NOT(ISNA(G15)),OFFSET(Bowling!$CO$4,G15,0,1,1),0)</f>
        <v>351</v>
      </c>
      <c r="I15" s="15">
        <f ca="1">IF(NOT(ISNA(E15)),OFFSET(Batting!$B$4,E15,$C$1+1,1,1),0)</f>
        <v>10</v>
      </c>
      <c r="J15" s="15">
        <f>VLOOKUP(A15,'Fantasy Teams'!$A$44:$C$95,3)</f>
        <v>7</v>
      </c>
      <c r="K15" s="16">
        <f t="shared" ca="1" si="4"/>
        <v>77.713999999999999</v>
      </c>
      <c r="L15" s="8">
        <f t="shared" ca="1" si="5"/>
        <v>77.714015000000003</v>
      </c>
      <c r="M15" s="8">
        <f t="shared" ca="1" si="6"/>
        <v>17</v>
      </c>
      <c r="N15" s="8">
        <f t="shared" ca="1" si="7"/>
        <v>45</v>
      </c>
      <c r="O15" s="8">
        <f t="shared" si="8"/>
        <v>11</v>
      </c>
      <c r="P15" s="8" t="str">
        <f t="shared" ca="1" si="1"/>
        <v>Ted Dugdale</v>
      </c>
      <c r="Q15" s="12">
        <f t="shared" ca="1" si="2"/>
        <v>99.1</v>
      </c>
      <c r="R15" s="8">
        <f t="shared" ca="1" si="3"/>
        <v>10</v>
      </c>
      <c r="S15" s="8">
        <f ca="1">SUM(R5:R15)</f>
        <v>40</v>
      </c>
      <c r="T15" s="8">
        <f t="array" aca="1" ref="T15" ca="1">SUM(Q5:Q15*R5:R15)</f>
        <v>5295.9989999999998</v>
      </c>
    </row>
    <row r="16" spans="1:20" x14ac:dyDescent="0.2">
      <c r="A16" t="s">
        <v>133</v>
      </c>
      <c r="B16" t="s">
        <v>164</v>
      </c>
      <c r="C16" s="15">
        <f t="shared" ca="1" si="0"/>
        <v>823</v>
      </c>
      <c r="D16" s="15">
        <f ca="1">IF(NOT(ISNA(E16)),5*OFFSET(Batting!$CE$4,E16,0,1,1),0)</f>
        <v>110</v>
      </c>
      <c r="E16" s="15">
        <f>MATCH(A16,Batting!$A$5:$A$78,0)</f>
        <v>38</v>
      </c>
      <c r="F16" s="15">
        <f ca="1">IF(NOT(ISNA(E16)),OFFSET(Batting!$B$4,E16,$C$1,1,1)-D16,0)</f>
        <v>400</v>
      </c>
      <c r="G16" s="15">
        <f>MATCH(A16,Bowling!$A$5:$A$34,0)</f>
        <v>19</v>
      </c>
      <c r="H16" s="15">
        <f ca="1">IF(NOT(ISNA(G16)),OFFSET(Bowling!$CO$4,G16,0,1,1),0)</f>
        <v>268</v>
      </c>
      <c r="I16" s="15">
        <f ca="1">IF(NOT(ISNA(E16)),OFFSET(Batting!$B$4,E16,$C$1+1,1,1),0)</f>
        <v>45</v>
      </c>
      <c r="J16" s="15">
        <f>VLOOKUP(A16,'Fantasy Teams'!$A$44:$C$95,3)</f>
        <v>4</v>
      </c>
      <c r="K16" s="16">
        <f t="shared" ca="1" si="4"/>
        <v>205.75</v>
      </c>
      <c r="L16" s="8">
        <f t="shared" ca="1" si="5"/>
        <v>205.75001599999999</v>
      </c>
      <c r="M16" s="8">
        <f t="shared" ca="1" si="6"/>
        <v>1</v>
      </c>
      <c r="N16" s="8">
        <f t="shared" ca="1" si="7"/>
        <v>3</v>
      </c>
      <c r="O16" s="8">
        <f t="shared" si="8"/>
        <v>12</v>
      </c>
      <c r="P16" s="8" t="str">
        <f t="shared" ca="1" si="1"/>
        <v>Andy Mander</v>
      </c>
      <c r="Q16" s="12">
        <f t="shared" ca="1" si="2"/>
        <v>94.665999999999997</v>
      </c>
      <c r="R16" s="8">
        <f t="shared" ca="1" si="3"/>
        <v>6</v>
      </c>
    </row>
    <row r="17" spans="1:18" x14ac:dyDescent="0.2">
      <c r="A17" t="s">
        <v>136</v>
      </c>
      <c r="B17" t="s">
        <v>153</v>
      </c>
      <c r="C17" s="15">
        <f t="shared" ca="1" si="0"/>
        <v>176</v>
      </c>
      <c r="D17" s="15">
        <f ca="1">IF(NOT(ISNA(E17)),5*OFFSET(Batting!$CE$4,E17,0,1,1),0)</f>
        <v>70</v>
      </c>
      <c r="E17" s="15">
        <f>MATCH(A17,Batting!$A$5:$A$78,0)</f>
        <v>42</v>
      </c>
      <c r="F17" s="15">
        <f ca="1">IF(NOT(ISNA(E17)),OFFSET(Batting!$B$4,E17,$C$1,1,1)-D17,0)</f>
        <v>101</v>
      </c>
      <c r="G17" s="15" t="e">
        <f>MATCH(A17,Bowling!$A$5:$A$34,0)</f>
        <v>#N/A</v>
      </c>
      <c r="H17" s="15">
        <f ca="1">IF(NOT(ISNA(G17)),OFFSET(Bowling!$CO$4,G17,0,1,1),0)</f>
        <v>0</v>
      </c>
      <c r="I17" s="15">
        <f ca="1">IF(NOT(ISNA(E17)),OFFSET(Batting!$B$4,E17,$C$1+1,1,1),0)</f>
        <v>5</v>
      </c>
      <c r="J17" s="15">
        <f>VLOOKUP(A17,'Fantasy Teams'!$A$44:$C$95,3)</f>
        <v>3</v>
      </c>
      <c r="K17" s="16">
        <f t="shared" ca="1" si="4"/>
        <v>58.665999999999997</v>
      </c>
      <c r="L17" s="8">
        <f t="shared" ca="1" si="5"/>
        <v>58.666016999999997</v>
      </c>
      <c r="M17" s="8">
        <f t="shared" ca="1" si="6"/>
        <v>23</v>
      </c>
      <c r="N17" s="8">
        <f t="shared" ca="1" si="7"/>
        <v>41</v>
      </c>
      <c r="O17" s="8">
        <f t="shared" si="8"/>
        <v>13</v>
      </c>
      <c r="P17" s="8" t="str">
        <f t="shared" ca="1" si="1"/>
        <v>Rick Worthington</v>
      </c>
      <c r="Q17" s="12">
        <f t="shared" ca="1" si="2"/>
        <v>87</v>
      </c>
      <c r="R17" s="8">
        <f t="shared" ca="1" si="3"/>
        <v>4</v>
      </c>
    </row>
    <row r="18" spans="1:18" x14ac:dyDescent="0.2">
      <c r="A18" t="s">
        <v>174</v>
      </c>
      <c r="B18" t="s">
        <v>213</v>
      </c>
      <c r="C18" s="15">
        <f t="shared" ref="C18:C32" ca="1" si="9">F18+H18+I18+D18</f>
        <v>39</v>
      </c>
      <c r="D18" s="15">
        <f ca="1">IF(NOT(ISNA(E18)),5*OFFSET(Batting!$CE$4,E18,0,1,1),0)</f>
        <v>15</v>
      </c>
      <c r="E18" s="15">
        <f>MATCH(A18,Batting!$A$5:$A$78,0)</f>
        <v>44</v>
      </c>
      <c r="F18" s="15">
        <f ca="1">IF(NOT(ISNA(E18)),OFFSET(Batting!$B$4,E18,$C$1,1,1)-D18,0)</f>
        <v>9</v>
      </c>
      <c r="G18" s="15" t="e">
        <f>MATCH(A18,Bowling!$A$5:$A$34,0)</f>
        <v>#N/A</v>
      </c>
      <c r="H18" s="15">
        <f ca="1">IF(NOT(ISNA(G18)),OFFSET(Bowling!$CO$4,G18,0,1,1),0)</f>
        <v>0</v>
      </c>
      <c r="I18" s="15">
        <f ca="1">IF(NOT(ISNA(E18)),OFFSET(Batting!$B$4,E18,$C$1+1,1,1),0)</f>
        <v>15</v>
      </c>
      <c r="J18" s="15">
        <f>VLOOKUP(A18,'Fantasy Teams'!$A$44:$C$95,3)</f>
        <v>4</v>
      </c>
      <c r="K18" s="16">
        <f t="shared" ca="1" si="4"/>
        <v>9.75</v>
      </c>
      <c r="L18" s="8">
        <f t="shared" ca="1" si="5"/>
        <v>9.7500180000000007</v>
      </c>
      <c r="M18" s="8">
        <f t="shared" ca="1" si="6"/>
        <v>33</v>
      </c>
      <c r="N18" s="8">
        <f t="shared" ca="1" si="7"/>
        <v>20</v>
      </c>
      <c r="O18" s="8">
        <f t="shared" si="8"/>
        <v>14</v>
      </c>
      <c r="P18" s="8" t="str">
        <f t="shared" ca="1" si="1"/>
        <v>Jeff Middleton</v>
      </c>
      <c r="Q18" s="12">
        <f t="shared" ca="1" si="2"/>
        <v>82</v>
      </c>
      <c r="R18" s="8">
        <f t="shared" ca="1" si="3"/>
        <v>6</v>
      </c>
    </row>
    <row r="19" spans="1:18" x14ac:dyDescent="0.2">
      <c r="A19" t="s">
        <v>134</v>
      </c>
      <c r="B19" t="s">
        <v>156</v>
      </c>
      <c r="C19" s="15">
        <f t="shared" ca="1" si="9"/>
        <v>1017</v>
      </c>
      <c r="D19" s="15">
        <f ca="1">IF(NOT(ISNA(E19)),5*OFFSET(Batting!$CE$4,E19,0,1,1),0)</f>
        <v>120</v>
      </c>
      <c r="E19" s="15">
        <f>MATCH(A19,Batting!$A$5:$A$78,0)</f>
        <v>40</v>
      </c>
      <c r="F19" s="15">
        <f ca="1">IF(NOT(ISNA(E19)),OFFSET(Batting!$B$4,E19,$C$1,1,1)-D19,0)</f>
        <v>162</v>
      </c>
      <c r="G19" s="15">
        <f>MATCH(A19,Bowling!$A$5:$A$34,0)</f>
        <v>20</v>
      </c>
      <c r="H19" s="15">
        <f ca="1">IF(NOT(ISNA(G19)),OFFSET(Bowling!$CO$4,G19,0,1,1),0)</f>
        <v>690</v>
      </c>
      <c r="I19" s="15">
        <f ca="1">IF(NOT(ISNA(E19)),OFFSET(Batting!$B$4,E19,$C$1+1,1,1),0)</f>
        <v>45</v>
      </c>
      <c r="J19" s="15">
        <f>VLOOKUP(A19,'Fantasy Teams'!$A$44:$C$95,3)</f>
        <v>14</v>
      </c>
      <c r="K19" s="16">
        <f t="shared" ca="1" si="4"/>
        <v>72.641999999999996</v>
      </c>
      <c r="L19" s="8">
        <f t="shared" ca="1" si="5"/>
        <v>72.642018999999991</v>
      </c>
      <c r="M19" s="8">
        <f t="shared" ca="1" si="6"/>
        <v>18</v>
      </c>
      <c r="N19" s="8">
        <f t="shared" ca="1" si="7"/>
        <v>44</v>
      </c>
      <c r="O19" s="8">
        <f t="shared" si="8"/>
        <v>15</v>
      </c>
      <c r="P19" s="8" t="str">
        <f t="shared" ca="1" si="1"/>
        <v>Rob Worthy</v>
      </c>
      <c r="Q19" s="12">
        <f t="shared" ca="1" si="2"/>
        <v>80.400000000000006</v>
      </c>
      <c r="R19" s="8">
        <f t="shared" ca="1" si="3"/>
        <v>5</v>
      </c>
    </row>
    <row r="20" spans="1:18" x14ac:dyDescent="0.2">
      <c r="A20" t="s">
        <v>171</v>
      </c>
      <c r="B20" t="s">
        <v>214</v>
      </c>
      <c r="C20" s="15">
        <f t="shared" ca="1" si="9"/>
        <v>17</v>
      </c>
      <c r="D20" s="15">
        <f ca="1">IF(NOT(ISNA(E20)),5*OFFSET(Batting!$CE$4,E20,0,1,1),0)</f>
        <v>15</v>
      </c>
      <c r="E20" s="15">
        <f>MATCH(A20,Batting!$A$5:$A$78,0)</f>
        <v>7</v>
      </c>
      <c r="F20" s="15">
        <f ca="1">IF(NOT(ISNA(E20)),OFFSET(Batting!$B$4,E20,$C$1,1,1)-D20,0)</f>
        <v>2</v>
      </c>
      <c r="G20" s="15" t="e">
        <f>MATCH(A20,Bowling!$A$5:$A$34,0)</f>
        <v>#N/A</v>
      </c>
      <c r="H20" s="15">
        <f ca="1">IF(NOT(ISNA(G20)),OFFSET(Bowling!$CO$4,G20,0,1,1),0)</f>
        <v>0</v>
      </c>
      <c r="I20" s="15">
        <f ca="1">IF(NOT(ISNA(E20)),OFFSET(Batting!$B$4,E20,$C$1+1,1,1),0)</f>
        <v>0</v>
      </c>
      <c r="J20" s="15">
        <f>VLOOKUP(A20,'Fantasy Teams'!$A$44:$C$95,3)</f>
        <v>1</v>
      </c>
      <c r="K20" s="16">
        <f t="shared" ca="1" si="4"/>
        <v>17</v>
      </c>
      <c r="L20" s="8">
        <f t="shared" ca="1" si="5"/>
        <v>17.000019999999999</v>
      </c>
      <c r="M20" s="8">
        <f t="shared" ca="1" si="6"/>
        <v>32</v>
      </c>
      <c r="N20" s="8">
        <f t="shared" ca="1" si="7"/>
        <v>8</v>
      </c>
      <c r="O20" s="8">
        <f t="shared" si="8"/>
        <v>16</v>
      </c>
      <c r="P20" s="8" t="str">
        <f t="shared" ca="1" si="1"/>
        <v>Colin Mander</v>
      </c>
      <c r="Q20" s="12">
        <f t="shared" ca="1" si="2"/>
        <v>80</v>
      </c>
      <c r="R20" s="8">
        <f t="shared" ca="1" si="3"/>
        <v>2</v>
      </c>
    </row>
    <row r="21" spans="1:18" x14ac:dyDescent="0.2">
      <c r="A21" t="s">
        <v>114</v>
      </c>
      <c r="B21" t="s">
        <v>154</v>
      </c>
      <c r="C21" s="15">
        <f t="shared" ca="1" si="9"/>
        <v>691</v>
      </c>
      <c r="D21" s="15">
        <f ca="1">IF(NOT(ISNA(E21)),5*OFFSET(Batting!$CE$4,E21,0,1,1),0)</f>
        <v>75</v>
      </c>
      <c r="E21" s="15">
        <f>MATCH(A21,Batting!$A$5:$A$78,0)</f>
        <v>9</v>
      </c>
      <c r="F21" s="15">
        <f ca="1">IF(NOT(ISNA(E21)),OFFSET(Batting!$B$4,E21,$C$1,1,1)-D21,0)</f>
        <v>388</v>
      </c>
      <c r="G21" s="15">
        <f>MATCH(A21,Bowling!$A$5:$A$34,0)</f>
        <v>4</v>
      </c>
      <c r="H21" s="15">
        <f ca="1">IF(NOT(ISNA(G21)),OFFSET(Bowling!$CO$4,G21,0,1,1),0)</f>
        <v>208</v>
      </c>
      <c r="I21" s="15">
        <f ca="1">IF(NOT(ISNA(E21)),OFFSET(Batting!$B$4,E21,$C$1+1,1,1),0)</f>
        <v>20</v>
      </c>
      <c r="J21" s="15">
        <f>VLOOKUP(A21,'Fantasy Teams'!$A$44:$C$95,3)</f>
        <v>5</v>
      </c>
      <c r="K21" s="16">
        <f t="shared" ca="1" si="4"/>
        <v>138.19999999999999</v>
      </c>
      <c r="L21" s="8">
        <f t="shared" ca="1" si="5"/>
        <v>138.20002099999999</v>
      </c>
      <c r="M21" s="8">
        <f t="shared" ca="1" si="6"/>
        <v>4</v>
      </c>
      <c r="N21" s="8">
        <f t="shared" ca="1" si="7"/>
        <v>11</v>
      </c>
      <c r="O21" s="8">
        <f t="shared" si="8"/>
        <v>17</v>
      </c>
      <c r="P21" s="8" t="str">
        <f t="shared" ca="1" si="1"/>
        <v>Dave Morris</v>
      </c>
      <c r="Q21" s="12">
        <f t="shared" ca="1" si="2"/>
        <v>77.713999999999999</v>
      </c>
      <c r="R21" s="8">
        <f t="shared" ca="1" si="3"/>
        <v>7</v>
      </c>
    </row>
    <row r="22" spans="1:18" x14ac:dyDescent="0.2">
      <c r="A22" t="s">
        <v>167</v>
      </c>
      <c r="B22" t="s">
        <v>215</v>
      </c>
      <c r="C22" s="15">
        <f t="shared" ca="1" si="9"/>
        <v>7</v>
      </c>
      <c r="D22" s="15">
        <f ca="1">IF(NOT(ISNA(E22)),5*OFFSET(Batting!$CE$4,E22,0,1,1),0)</f>
        <v>5</v>
      </c>
      <c r="E22" s="15">
        <f>MATCH(A22,Batting!$A$5:$A$78,0)</f>
        <v>1</v>
      </c>
      <c r="F22" s="15">
        <f ca="1">IF(NOT(ISNA(E22)),OFFSET(Batting!$B$4,E22,$C$1,1,1)-D22,0)</f>
        <v>2</v>
      </c>
      <c r="G22" s="15" t="e">
        <f>MATCH(A22,Bowling!$A$5:$A$34,0)</f>
        <v>#N/A</v>
      </c>
      <c r="H22" s="15">
        <f ca="1">IF(NOT(ISNA(G22)),OFFSET(Bowling!$CO$4,G22,0,1,1),0)</f>
        <v>0</v>
      </c>
      <c r="I22" s="15">
        <f ca="1">IF(NOT(ISNA(E22)),OFFSET(Batting!$B$4,E22,$C$1+1,1,1),0)</f>
        <v>0</v>
      </c>
      <c r="J22" s="15">
        <f>VLOOKUP(A22,'Fantasy Teams'!$A$44:$C$95,3)</f>
        <v>1</v>
      </c>
      <c r="K22" s="16">
        <f t="shared" ca="1" si="4"/>
        <v>7</v>
      </c>
      <c r="L22" s="8">
        <f t="shared" ca="1" si="5"/>
        <v>7.0000220000000004</v>
      </c>
      <c r="M22" s="8">
        <f t="shared" ca="1" si="6"/>
        <v>34</v>
      </c>
      <c r="N22" s="8">
        <f t="shared" ca="1" si="7"/>
        <v>15</v>
      </c>
      <c r="O22" s="8">
        <f t="shared" si="8"/>
        <v>18</v>
      </c>
      <c r="P22" s="8" t="str">
        <f t="shared" ca="1" si="1"/>
        <v>Del Shewan</v>
      </c>
      <c r="Q22" s="12">
        <f t="shared" ca="1" si="2"/>
        <v>72.641999999999996</v>
      </c>
      <c r="R22" s="8">
        <f t="shared" ca="1" si="3"/>
        <v>14</v>
      </c>
    </row>
    <row r="23" spans="1:18" x14ac:dyDescent="0.2">
      <c r="A23" t="s">
        <v>201</v>
      </c>
      <c r="B23" t="s">
        <v>216</v>
      </c>
      <c r="C23" s="15">
        <f t="shared" ca="1" si="9"/>
        <v>0</v>
      </c>
      <c r="D23" s="15">
        <f ca="1">IF(NOT(ISNA(E23)),5*OFFSET(Batting!$CE$4,E23,0,1,1),0)</f>
        <v>0</v>
      </c>
      <c r="E23" s="15">
        <f>MATCH(A23,Batting!$A$5:$A$78,0)</f>
        <v>6</v>
      </c>
      <c r="F23" s="15">
        <f ca="1">IF(NOT(ISNA(E23)),OFFSET(Batting!$B$4,E23,$C$1,1,1)-D23,0)</f>
        <v>0</v>
      </c>
      <c r="G23" s="15" t="e">
        <f>MATCH(A23,Bowling!$A$5:$A$34,0)</f>
        <v>#N/A</v>
      </c>
      <c r="H23" s="15">
        <f ca="1">IF(NOT(ISNA(G23)),OFFSET(Bowling!$CO$4,G23,0,1,1),0)</f>
        <v>0</v>
      </c>
      <c r="I23" s="15">
        <f ca="1">IF(NOT(ISNA(E23)),OFFSET(Batting!$B$4,E23,$C$1+1,1,1),0)</f>
        <v>0</v>
      </c>
      <c r="J23" s="15">
        <f>VLOOKUP(A23,'Fantasy Teams'!$A$44:$C$95,3)</f>
        <v>1</v>
      </c>
      <c r="K23" s="16">
        <f t="shared" ca="1" si="4"/>
        <v>0</v>
      </c>
      <c r="L23" s="8">
        <f t="shared" ca="1" si="5"/>
        <v>2.3E-5</v>
      </c>
      <c r="M23" s="8">
        <f t="shared" ca="1" si="6"/>
        <v>46</v>
      </c>
      <c r="N23" s="8">
        <f t="shared" ca="1" si="7"/>
        <v>23</v>
      </c>
      <c r="O23" s="8">
        <f t="shared" si="8"/>
        <v>19</v>
      </c>
      <c r="P23" s="8" t="str">
        <f t="shared" ca="1" si="1"/>
        <v>John Leadley</v>
      </c>
      <c r="Q23" s="12">
        <f t="shared" ca="1" si="2"/>
        <v>71.375</v>
      </c>
      <c r="R23" s="8">
        <f t="shared" ca="1" si="3"/>
        <v>16</v>
      </c>
    </row>
    <row r="24" spans="1:18" x14ac:dyDescent="0.2">
      <c r="A24" t="s">
        <v>127</v>
      </c>
      <c r="B24" t="s">
        <v>217</v>
      </c>
      <c r="C24" s="15">
        <f t="shared" ca="1" si="9"/>
        <v>492</v>
      </c>
      <c r="D24" s="15">
        <f ca="1">IF(NOT(ISNA(E24)),5*OFFSET(Batting!$CE$4,E24,0,1,1),0)</f>
        <v>50</v>
      </c>
      <c r="E24" s="15">
        <f>MATCH(A24,Batting!$A$5:$A$78,0)</f>
        <v>29</v>
      </c>
      <c r="F24" s="15">
        <f ca="1">IF(NOT(ISNA(E24)),OFFSET(Batting!$B$4,E24,$C$1,1,1)-D24,0)</f>
        <v>279</v>
      </c>
      <c r="G24" s="15">
        <f>MATCH(A24,Bowling!$A$5:$A$34,0)</f>
        <v>14</v>
      </c>
      <c r="H24" s="15">
        <f ca="1">IF(NOT(ISNA(G24)),OFFSET(Bowling!$CO$4,G24,0,1,1),0)</f>
        <v>143</v>
      </c>
      <c r="I24" s="15">
        <f ca="1">IF(NOT(ISNA(E24)),OFFSET(Batting!$B$4,E24,$C$1+1,1,1),0)</f>
        <v>20</v>
      </c>
      <c r="J24" s="15">
        <f>VLOOKUP(A24,'Fantasy Teams'!$A$44:$C$95,3)</f>
        <v>6</v>
      </c>
      <c r="K24" s="16">
        <f t="shared" ca="1" si="4"/>
        <v>82</v>
      </c>
      <c r="L24" s="8">
        <f t="shared" ca="1" si="5"/>
        <v>82.000023999999996</v>
      </c>
      <c r="M24" s="8">
        <f t="shared" ca="1" si="6"/>
        <v>14</v>
      </c>
      <c r="N24" s="8">
        <f t="shared" ca="1" si="7"/>
        <v>10</v>
      </c>
      <c r="O24" s="8">
        <f t="shared" si="8"/>
        <v>20</v>
      </c>
      <c r="P24" s="8" t="str">
        <f t="shared" ca="1" si="1"/>
        <v>David Brocks</v>
      </c>
      <c r="Q24" s="12">
        <f t="shared" ca="1" si="2"/>
        <v>70.570999999999998</v>
      </c>
      <c r="R24" s="8">
        <f t="shared" ca="1" si="3"/>
        <v>7</v>
      </c>
    </row>
    <row r="25" spans="1:18" x14ac:dyDescent="0.2">
      <c r="A25" t="s">
        <v>173</v>
      </c>
      <c r="B25" t="s">
        <v>218</v>
      </c>
      <c r="C25" s="15">
        <f t="shared" ca="1" si="9"/>
        <v>5</v>
      </c>
      <c r="D25" s="15">
        <f ca="1">IF(NOT(ISNA(E25)),5*OFFSET(Batting!$CE$4,E25,0,1,1),0)</f>
        <v>5</v>
      </c>
      <c r="E25" s="15">
        <f>MATCH(A25,Batting!$A$5:$A$78,0)</f>
        <v>2</v>
      </c>
      <c r="F25" s="15">
        <f ca="1">IF(NOT(ISNA(E25)),OFFSET(Batting!$B$4,E25,$C$1,1,1)-D25,0)</f>
        <v>-5</v>
      </c>
      <c r="G25" s="15" t="e">
        <f>MATCH(A25,Bowling!$A$5:$A$34,0)</f>
        <v>#N/A</v>
      </c>
      <c r="H25" s="15">
        <f ca="1">IF(NOT(ISNA(G25)),OFFSET(Bowling!$CO$4,G25,0,1,1),0)</f>
        <v>0</v>
      </c>
      <c r="I25" s="15">
        <f ca="1">IF(NOT(ISNA(E25)),OFFSET(Batting!$B$4,E25,$C$1+1,1,1),0)</f>
        <v>5</v>
      </c>
      <c r="J25" s="15">
        <f>VLOOKUP(A25,'Fantasy Teams'!$A$44:$C$95,3)</f>
        <v>2</v>
      </c>
      <c r="K25" s="16">
        <f t="shared" ca="1" si="4"/>
        <v>2.5</v>
      </c>
      <c r="L25" s="8">
        <f t="shared" ca="1" si="5"/>
        <v>2.5000249999999999</v>
      </c>
      <c r="M25" s="8">
        <f t="shared" ca="1" si="6"/>
        <v>36</v>
      </c>
      <c r="N25" s="8">
        <f t="shared" ca="1" si="7"/>
        <v>30</v>
      </c>
      <c r="O25" s="8">
        <f t="shared" si="8"/>
        <v>21</v>
      </c>
      <c r="P25" s="8" t="str">
        <f t="shared" ca="1" si="1"/>
        <v>Mike Hosking</v>
      </c>
      <c r="Q25" s="12">
        <f t="shared" ca="1" si="2"/>
        <v>67</v>
      </c>
      <c r="R25" s="8">
        <f t="shared" ca="1" si="3"/>
        <v>2</v>
      </c>
    </row>
    <row r="26" spans="1:18" x14ac:dyDescent="0.2">
      <c r="A26" t="s">
        <v>118</v>
      </c>
      <c r="B26" t="s">
        <v>219</v>
      </c>
      <c r="C26" s="15">
        <f t="shared" ca="1" si="9"/>
        <v>449</v>
      </c>
      <c r="D26" s="15">
        <f ca="1">IF(NOT(ISNA(E26)),5*OFFSET(Batting!$CE$4,E26,0,1,1),0)</f>
        <v>85</v>
      </c>
      <c r="E26" s="15">
        <f>MATCH(A26,Batting!$A$5:$A$78,0)</f>
        <v>13</v>
      </c>
      <c r="F26" s="15">
        <f ca="1">IF(NOT(ISNA(E26)),OFFSET(Batting!$B$4,E26,$C$1,1,1)-D26,0)</f>
        <v>112</v>
      </c>
      <c r="G26" s="15">
        <f>MATCH(A26,Bowling!$A$5:$A$34,0)</f>
        <v>6</v>
      </c>
      <c r="H26" s="15">
        <f ca="1">IF(NOT(ISNA(G26)),OFFSET(Bowling!$CO$4,G26,0,1,1),0)</f>
        <v>227</v>
      </c>
      <c r="I26" s="15">
        <f ca="1">IF(NOT(ISNA(E26)),OFFSET(Batting!$B$4,E26,$C$1+1,1,1),0)</f>
        <v>25</v>
      </c>
      <c r="J26" s="15">
        <f>VLOOKUP(A26,'Fantasy Teams'!$A$44:$C$95,3)</f>
        <v>9</v>
      </c>
      <c r="K26" s="16">
        <f t="shared" ca="1" si="4"/>
        <v>49.887999999999998</v>
      </c>
      <c r="L26" s="8">
        <f t="shared" ca="1" si="5"/>
        <v>49.888025999999996</v>
      </c>
      <c r="M26" s="8">
        <f t="shared" ca="1" si="6"/>
        <v>24</v>
      </c>
      <c r="N26" s="8">
        <f t="shared" ca="1" si="7"/>
        <v>1</v>
      </c>
      <c r="O26" s="8">
        <f t="shared" si="8"/>
        <v>22</v>
      </c>
      <c r="P26" s="8" t="str">
        <f t="shared" ca="1" si="1"/>
        <v>Adrian Hawksworth</v>
      </c>
      <c r="Q26" s="12">
        <f t="shared" ca="1" si="2"/>
        <v>66.570999999999998</v>
      </c>
      <c r="R26" s="8">
        <f t="shared" ca="1" si="3"/>
        <v>7</v>
      </c>
    </row>
    <row r="27" spans="1:18" x14ac:dyDescent="0.2">
      <c r="A27" t="s">
        <v>121</v>
      </c>
      <c r="B27" t="s">
        <v>152</v>
      </c>
      <c r="C27" s="15">
        <f t="shared" ca="1" si="9"/>
        <v>1142</v>
      </c>
      <c r="D27" s="15">
        <f ca="1">IF(NOT(ISNA(E27)),5*OFFSET(Batting!$CE$4,E27,0,1,1),0)</f>
        <v>85</v>
      </c>
      <c r="E27" s="15">
        <f>MATCH(A27,Batting!$A$5:$A$78,0)</f>
        <v>21</v>
      </c>
      <c r="F27" s="15">
        <f ca="1">IF(NOT(ISNA(E27)),OFFSET(Batting!$B$4,E27,$C$1,1,1)-D27,0)</f>
        <v>863</v>
      </c>
      <c r="G27" s="15">
        <f>MATCH(A27,Bowling!$A$5:$A$34,0)</f>
        <v>9</v>
      </c>
      <c r="H27" s="15">
        <f ca="1">IF(NOT(ISNA(G27)),OFFSET(Bowling!$CO$4,G27,0,1,1),0)</f>
        <v>151</v>
      </c>
      <c r="I27" s="15">
        <f ca="1">IF(NOT(ISNA(E27)),OFFSET(Batting!$B$4,E27,$C$1+1,1,1),0)</f>
        <v>43</v>
      </c>
      <c r="J27" s="15">
        <f>VLOOKUP(A27,'Fantasy Teams'!$A$44:$C$95,3)</f>
        <v>16</v>
      </c>
      <c r="K27" s="16">
        <f t="shared" ca="1" si="4"/>
        <v>71.375</v>
      </c>
      <c r="L27" s="8">
        <f t="shared" ca="1" si="5"/>
        <v>71.375027000000003</v>
      </c>
      <c r="M27" s="8">
        <f t="shared" ca="1" si="6"/>
        <v>19</v>
      </c>
      <c r="N27" s="8">
        <f t="shared" ca="1" si="7"/>
        <v>13</v>
      </c>
      <c r="O27" s="8">
        <f t="shared" si="8"/>
        <v>23</v>
      </c>
      <c r="P27" s="8" t="str">
        <f t="shared" ca="1" si="1"/>
        <v>David Snow</v>
      </c>
      <c r="Q27" s="12">
        <f t="shared" ca="1" si="2"/>
        <v>58.665999999999997</v>
      </c>
      <c r="R27" s="8">
        <f t="shared" ca="1" si="3"/>
        <v>3</v>
      </c>
    </row>
    <row r="28" spans="1:18" x14ac:dyDescent="0.2">
      <c r="A28" t="s">
        <v>139</v>
      </c>
      <c r="B28" t="s">
        <v>220</v>
      </c>
      <c r="C28" s="15">
        <f t="shared" ca="1" si="9"/>
        <v>178</v>
      </c>
      <c r="D28" s="15">
        <f ca="1">IF(NOT(ISNA(E28)),5*OFFSET(Batting!$CE$4,E28,0,1,1),0)</f>
        <v>25</v>
      </c>
      <c r="E28" s="15">
        <f>MATCH(A28,Batting!$A$5:$A$78,0)</f>
        <v>47</v>
      </c>
      <c r="F28" s="15">
        <f ca="1">IF(NOT(ISNA(E28)),OFFSET(Batting!$B$4,E28,$C$1,1,1)-D28,0)</f>
        <v>57</v>
      </c>
      <c r="G28" s="15">
        <f>MATCH(A28,Bowling!$A$5:$A$34,0)</f>
        <v>24</v>
      </c>
      <c r="H28" s="15">
        <f ca="1">IF(NOT(ISNA(G28)),OFFSET(Bowling!$CO$4,G28,0,1,1),0)</f>
        <v>86</v>
      </c>
      <c r="I28" s="15">
        <f ca="1">IF(NOT(ISNA(E28)),OFFSET(Batting!$B$4,E28,$C$1+1,1,1),0)</f>
        <v>10</v>
      </c>
      <c r="J28" s="15">
        <f>VLOOKUP(A28,'Fantasy Teams'!$A$44:$C$95,3)</f>
        <v>8</v>
      </c>
      <c r="K28" s="16">
        <f t="shared" ca="1" si="4"/>
        <v>22.25</v>
      </c>
      <c r="L28" s="8">
        <f t="shared" ca="1" si="5"/>
        <v>22.250028</v>
      </c>
      <c r="M28" s="8">
        <f t="shared" ca="1" si="6"/>
        <v>31</v>
      </c>
      <c r="N28" s="8">
        <f t="shared" ca="1" si="7"/>
        <v>22</v>
      </c>
      <c r="O28" s="8">
        <f t="shared" si="8"/>
        <v>24</v>
      </c>
      <c r="P28" s="8" t="str">
        <f t="shared" ca="1" si="1"/>
        <v>John Elliston</v>
      </c>
      <c r="Q28" s="12">
        <f t="shared" ca="1" si="2"/>
        <v>49.887999999999998</v>
      </c>
      <c r="R28" s="8">
        <f t="shared" ca="1" si="3"/>
        <v>9</v>
      </c>
    </row>
    <row r="29" spans="1:18" x14ac:dyDescent="0.2">
      <c r="A29" t="s">
        <v>131</v>
      </c>
      <c r="B29" t="s">
        <v>221</v>
      </c>
      <c r="C29" s="15">
        <f t="shared" ca="1" si="9"/>
        <v>0</v>
      </c>
      <c r="D29" s="15">
        <f ca="1">IF(NOT(ISNA(E29)),5*OFFSET(Batting!$CE$4,E29,0,1,1),0)</f>
        <v>0</v>
      </c>
      <c r="E29" s="15">
        <f>MATCH(A29,Batting!$A$5:$A$78,0)</f>
        <v>35</v>
      </c>
      <c r="F29" s="15">
        <f ca="1">IF(NOT(ISNA(E29)),OFFSET(Batting!$B$4,E29,$C$1,1,1)-D29,0)</f>
        <v>0</v>
      </c>
      <c r="G29" s="15" t="e">
        <f>MATCH(A29,Bowling!$A$5:$A$34,0)</f>
        <v>#N/A</v>
      </c>
      <c r="H29" s="15">
        <f ca="1">IF(NOT(ISNA(G29)),OFFSET(Bowling!$CO$4,G29,0,1,1),0)</f>
        <v>0</v>
      </c>
      <c r="I29" s="15">
        <f ca="1">IF(NOT(ISNA(E29)),OFFSET(Batting!$B$4,E29,$C$1+1,1,1),0)</f>
        <v>0</v>
      </c>
      <c r="J29" s="15">
        <f>VLOOKUP(A29,'Fantasy Teams'!$A$44:$C$95,3)</f>
        <v>1</v>
      </c>
      <c r="K29" s="16">
        <f t="shared" ca="1" si="4"/>
        <v>0</v>
      </c>
      <c r="L29" s="8">
        <f t="shared" ca="1" si="5"/>
        <v>2.9E-5</v>
      </c>
      <c r="M29" s="8">
        <f t="shared" ca="1" si="6"/>
        <v>45</v>
      </c>
      <c r="N29" s="8">
        <f t="shared" ca="1" si="7"/>
        <v>39</v>
      </c>
      <c r="O29" s="8">
        <f t="shared" si="8"/>
        <v>25</v>
      </c>
      <c r="P29" s="8" t="str">
        <f t="shared" ca="1" si="1"/>
        <v>Richard Hawksworth</v>
      </c>
      <c r="Q29" s="12">
        <f t="shared" ca="1" si="2"/>
        <v>48.165999999999997</v>
      </c>
      <c r="R29" s="8">
        <f t="shared" ca="1" si="3"/>
        <v>6</v>
      </c>
    </row>
    <row r="30" spans="1:18" x14ac:dyDescent="0.2">
      <c r="A30" t="s">
        <v>128</v>
      </c>
      <c r="B30" t="s">
        <v>222</v>
      </c>
      <c r="C30" s="15">
        <f t="shared" ca="1" si="9"/>
        <v>30</v>
      </c>
      <c r="D30" s="15">
        <f ca="1">IF(NOT(ISNA(E30)),5*OFFSET(Batting!$CE$4,E30,0,1,1),0)</f>
        <v>10</v>
      </c>
      <c r="E30" s="15">
        <f>MATCH(A30,Batting!$A$5:$A$78,0)</f>
        <v>30</v>
      </c>
      <c r="F30" s="15">
        <f ca="1">IF(NOT(ISNA(E30)),OFFSET(Batting!$B$4,E30,$C$1,1,1)-D30,0)</f>
        <v>0</v>
      </c>
      <c r="G30" s="15">
        <f>MATCH(A30,Bowling!$A$5:$A$34,0)</f>
        <v>15</v>
      </c>
      <c r="H30" s="15">
        <f ca="1">IF(NOT(ISNA(G30)),OFFSET(Bowling!$CO$4,G30,0,1,1),0)</f>
        <v>20</v>
      </c>
      <c r="I30" s="15">
        <f ca="1">IF(NOT(ISNA(E30)),OFFSET(Batting!$B$4,E30,$C$1+1,1,1),0)</f>
        <v>0</v>
      </c>
      <c r="J30" s="15">
        <f>VLOOKUP(A30,'Fantasy Teams'!$A$44:$C$95,3)</f>
        <v>1</v>
      </c>
      <c r="K30" s="16">
        <f t="shared" ca="1" si="4"/>
        <v>30</v>
      </c>
      <c r="L30" s="8">
        <f t="shared" ca="1" si="5"/>
        <v>30.000029999999999</v>
      </c>
      <c r="M30" s="8">
        <f t="shared" ca="1" si="6"/>
        <v>30</v>
      </c>
      <c r="N30" s="8">
        <f t="shared" ca="1" si="7"/>
        <v>36</v>
      </c>
      <c r="O30" s="8">
        <f t="shared" si="8"/>
        <v>26</v>
      </c>
      <c r="P30" s="8" t="str">
        <f t="shared" ca="1" si="1"/>
        <v>Paul Oakes</v>
      </c>
      <c r="Q30" s="12">
        <f t="shared" ca="1" si="2"/>
        <v>46.5</v>
      </c>
      <c r="R30" s="8">
        <f t="shared" ca="1" si="3"/>
        <v>2</v>
      </c>
    </row>
    <row r="31" spans="1:18" x14ac:dyDescent="0.2">
      <c r="A31" t="s">
        <v>120</v>
      </c>
      <c r="B31" t="s">
        <v>223</v>
      </c>
      <c r="C31" s="15">
        <f t="shared" ca="1" si="9"/>
        <v>107</v>
      </c>
      <c r="D31" s="15">
        <f ca="1">IF(NOT(ISNA(E31)),5*OFFSET(Batting!$CE$4,E31,0,1,1),0)</f>
        <v>70</v>
      </c>
      <c r="E31" s="15">
        <f>MATCH(A31,Batting!$A$5:$A$78,0)</f>
        <v>19</v>
      </c>
      <c r="F31" s="15">
        <f ca="1">IF(NOT(ISNA(E31)),OFFSET(Batting!$B$4,E31,$C$1,1,1)-D31,0)</f>
        <v>1</v>
      </c>
      <c r="G31" s="15">
        <f>MATCH(A31,Bowling!$A$5:$A$34,0)</f>
        <v>8</v>
      </c>
      <c r="H31" s="15">
        <f ca="1">IF(NOT(ISNA(G31)),OFFSET(Bowling!$CO$4,G31,0,1,1),0)</f>
        <v>31</v>
      </c>
      <c r="I31" s="15">
        <f ca="1">IF(NOT(ISNA(E31)),OFFSET(Batting!$B$4,E31,$C$1+1,1,1),0)</f>
        <v>5</v>
      </c>
      <c r="J31" s="15">
        <f>VLOOKUP(A31,'Fantasy Teams'!$A$44:$C$95,3)</f>
        <v>1</v>
      </c>
      <c r="K31" s="16">
        <f t="shared" ca="1" si="4"/>
        <v>107</v>
      </c>
      <c r="L31" s="8">
        <f t="shared" ca="1" si="5"/>
        <v>107.00003100000001</v>
      </c>
      <c r="M31" s="8">
        <f t="shared" ca="1" si="6"/>
        <v>7</v>
      </c>
      <c r="N31" s="8">
        <f t="shared" ca="1" si="7"/>
        <v>7</v>
      </c>
      <c r="O31" s="8">
        <f t="shared" si="8"/>
        <v>27</v>
      </c>
      <c r="P31" s="8" t="str">
        <f t="shared" ca="1" si="1"/>
        <v>Chris Clark</v>
      </c>
      <c r="Q31" s="12">
        <f t="shared" ca="1" si="2"/>
        <v>45.75</v>
      </c>
      <c r="R31" s="8">
        <f t="shared" ca="1" si="3"/>
        <v>4</v>
      </c>
    </row>
    <row r="32" spans="1:18" x14ac:dyDescent="0.2">
      <c r="A32" t="s">
        <v>116</v>
      </c>
      <c r="B32" t="s">
        <v>224</v>
      </c>
      <c r="C32" s="15">
        <f t="shared" ca="1" si="9"/>
        <v>0</v>
      </c>
      <c r="D32" s="15">
        <f ca="1">IF(NOT(ISNA(E32)),5*OFFSET(Batting!$CE$4,E32,0,1,1),0)</f>
        <v>0</v>
      </c>
      <c r="E32" s="15">
        <f>MATCH(A32,Batting!$A$5:$A$78,0)</f>
        <v>10</v>
      </c>
      <c r="F32" s="15">
        <f ca="1">IF(NOT(ISNA(E32)),OFFSET(Batting!$B$4,E32,$C$1,1,1)-D32,0)</f>
        <v>0</v>
      </c>
      <c r="G32" s="15" t="e">
        <f>MATCH(A32,Bowling!$A$5:$A$34,0)</f>
        <v>#N/A</v>
      </c>
      <c r="H32" s="15">
        <f ca="1">IF(NOT(ISNA(G32)),OFFSET(Bowling!$CO$4,G32,0,1,1),0)</f>
        <v>0</v>
      </c>
      <c r="I32" s="15">
        <f ca="1">IF(NOT(ISNA(E32)),OFFSET(Batting!$B$4,E32,$C$1+1,1,1),0)</f>
        <v>0</v>
      </c>
      <c r="J32" s="15">
        <f>VLOOKUP(A32,'Fantasy Teams'!$A$44:$C$95,3)</f>
        <v>1</v>
      </c>
      <c r="K32" s="16">
        <f t="shared" ca="1" si="4"/>
        <v>0</v>
      </c>
      <c r="L32" s="8">
        <f t="shared" ca="1" si="5"/>
        <v>3.1999999999999999E-5</v>
      </c>
      <c r="M32" s="8">
        <f t="shared" ca="1" si="6"/>
        <v>44</v>
      </c>
      <c r="N32" s="8">
        <f t="shared" ca="1" si="7"/>
        <v>33</v>
      </c>
      <c r="O32" s="8">
        <f t="shared" si="8"/>
        <v>28</v>
      </c>
      <c r="P32" s="8" t="str">
        <f t="shared" ref="P32:P46" ca="1" si="10">OFFSET($B$4,N32,0)</f>
        <v>Namish Patel</v>
      </c>
      <c r="Q32" s="12">
        <f t="shared" ref="Q32:Q46" ca="1" si="11">OFFSET($K$4,N32,0)</f>
        <v>45.5</v>
      </c>
      <c r="R32" s="8">
        <f t="shared" ca="1" si="3"/>
        <v>4</v>
      </c>
    </row>
    <row r="33" spans="1:18" x14ac:dyDescent="0.2">
      <c r="A33" t="s">
        <v>148</v>
      </c>
      <c r="B33" t="s">
        <v>151</v>
      </c>
      <c r="C33" s="15">
        <f t="shared" ref="C33:C43" ca="1" si="12">F33+H33+I33+D33</f>
        <v>208</v>
      </c>
      <c r="D33" s="15">
        <f ca="1">IF(NOT(ISNA(E33)),5*OFFSET(Batting!$CE$4,E33,0,1,1),0)</f>
        <v>60</v>
      </c>
      <c r="E33" s="15">
        <f>MATCH(A33,Batting!$A$5:$A$78,0)</f>
        <v>3</v>
      </c>
      <c r="F33" s="15">
        <f ca="1">IF(NOT(ISNA(E33)),OFFSET(Batting!$B$4,E33,$C$1,1,1)-D33,0)</f>
        <v>43</v>
      </c>
      <c r="G33" s="15">
        <f>MATCH(A33,Bowling!$A$5:$A$34,0)</f>
        <v>1</v>
      </c>
      <c r="H33" s="15">
        <f ca="1">IF(NOT(ISNA(G33)),OFFSET(Bowling!$CO$4,G33,0,1,1),0)</f>
        <v>100</v>
      </c>
      <c r="I33" s="15">
        <f ca="1">IF(NOT(ISNA(E33)),OFFSET(Batting!$B$4,E33,$C$1+1,1,1),0)</f>
        <v>5</v>
      </c>
      <c r="J33" s="15">
        <f>VLOOKUP(A33,'Fantasy Teams'!$A$44:$C$95,3)</f>
        <v>2</v>
      </c>
      <c r="K33" s="16">
        <f t="shared" ca="1" si="4"/>
        <v>104</v>
      </c>
      <c r="L33" s="8">
        <f t="shared" ca="1" si="5"/>
        <v>104.000033</v>
      </c>
      <c r="M33" s="8">
        <f t="shared" ca="1" si="6"/>
        <v>9</v>
      </c>
      <c r="N33" s="8">
        <f t="shared" ca="1" si="7"/>
        <v>48</v>
      </c>
      <c r="O33" s="8">
        <f t="shared" si="8"/>
        <v>29</v>
      </c>
      <c r="P33" s="8" t="str">
        <f t="shared" ca="1" si="10"/>
        <v>Vince Reid</v>
      </c>
      <c r="Q33" s="12">
        <f t="shared" ca="1" si="11"/>
        <v>35.799999999999997</v>
      </c>
      <c r="R33" s="8">
        <f t="shared" ca="1" si="3"/>
        <v>5</v>
      </c>
    </row>
    <row r="34" spans="1:18" x14ac:dyDescent="0.2">
      <c r="A34" t="s">
        <v>170</v>
      </c>
      <c r="B34" t="s">
        <v>166</v>
      </c>
      <c r="C34" s="15">
        <f t="shared" ca="1" si="12"/>
        <v>134</v>
      </c>
      <c r="D34" s="15">
        <f ca="1">IF(NOT(ISNA(E34)),5*OFFSET(Batting!$CE$4,E34,0,1,1),0)</f>
        <v>40</v>
      </c>
      <c r="E34" s="15">
        <f>MATCH(A34,Batting!$A$5:$A$78,0)</f>
        <v>20</v>
      </c>
      <c r="F34" s="15">
        <f ca="1">IF(NOT(ISNA(E34)),OFFSET(Batting!$B$4,E34,$C$1,1,1)-D34,0)</f>
        <v>79</v>
      </c>
      <c r="G34" s="15" t="e">
        <f>MATCH(A34,Bowling!$A$5:$A$34,0)</f>
        <v>#N/A</v>
      </c>
      <c r="H34" s="15">
        <f ca="1">IF(NOT(ISNA(G34)),OFFSET(Bowling!$CO$4,G34,0,1,1),0)</f>
        <v>0</v>
      </c>
      <c r="I34" s="15">
        <f ca="1">IF(NOT(ISNA(E34)),OFFSET(Batting!$B$4,E34,$C$1+1,1,1),0)</f>
        <v>15</v>
      </c>
      <c r="J34" s="15">
        <f>VLOOKUP(A34,'Fantasy Teams'!$A$44:$C$95,3)</f>
        <v>2</v>
      </c>
      <c r="K34" s="16">
        <f t="shared" ca="1" si="4"/>
        <v>67</v>
      </c>
      <c r="L34" s="8">
        <f t="shared" ca="1" si="5"/>
        <v>67.000033999999999</v>
      </c>
      <c r="M34" s="8">
        <f t="shared" ca="1" si="6"/>
        <v>21</v>
      </c>
      <c r="N34" s="8">
        <f t="shared" ca="1" si="7"/>
        <v>26</v>
      </c>
      <c r="O34" s="8">
        <f t="shared" si="8"/>
        <v>30</v>
      </c>
      <c r="P34" s="8" t="str">
        <f t="shared" ca="1" si="10"/>
        <v>Les Miller</v>
      </c>
      <c r="Q34" s="12">
        <f t="shared" ca="1" si="11"/>
        <v>30</v>
      </c>
      <c r="R34" s="8">
        <f t="shared" ca="1" si="3"/>
        <v>1</v>
      </c>
    </row>
    <row r="35" spans="1:18" x14ac:dyDescent="0.2">
      <c r="A35" t="s">
        <v>135</v>
      </c>
      <c r="B35" t="s">
        <v>225</v>
      </c>
      <c r="C35" s="15">
        <f t="shared" ca="1" si="12"/>
        <v>101</v>
      </c>
      <c r="D35" s="15">
        <f ca="1">IF(NOT(ISNA(E35)),5*OFFSET(Batting!$CE$4,E35,0,1,1),0)</f>
        <v>10</v>
      </c>
      <c r="E35" s="15">
        <f>MATCH(A35,Batting!$A$5:$A$78,0)</f>
        <v>41</v>
      </c>
      <c r="F35" s="15">
        <f ca="1">IF(NOT(ISNA(E35)),OFFSET(Batting!$B$4,E35,$C$1,1,1)-D35,0)</f>
        <v>10</v>
      </c>
      <c r="G35" s="15">
        <f>MATCH(A35,Bowling!$A$5:$A$34,0)</f>
        <v>21</v>
      </c>
      <c r="H35" s="15">
        <f ca="1">IF(NOT(ISNA(G35)),OFFSET(Bowling!$CO$4,G35,0,1,1),0)</f>
        <v>76</v>
      </c>
      <c r="I35" s="15">
        <f ca="1">IF(NOT(ISNA(E35)),OFFSET(Batting!$B$4,E35,$C$1+1,1,1),0)</f>
        <v>5</v>
      </c>
      <c r="J35" s="15">
        <f>VLOOKUP(A35,'Fantasy Teams'!$A$44:$C$95,3)</f>
        <v>1</v>
      </c>
      <c r="K35" s="16">
        <f t="shared" ca="1" si="4"/>
        <v>101</v>
      </c>
      <c r="L35" s="8">
        <f t="shared" ca="1" si="5"/>
        <v>101.000035</v>
      </c>
      <c r="M35" s="8">
        <f t="shared" ca="1" si="6"/>
        <v>10</v>
      </c>
      <c r="N35" s="8">
        <f t="shared" ca="1" si="7"/>
        <v>24</v>
      </c>
      <c r="O35" s="8">
        <f t="shared" si="8"/>
        <v>31</v>
      </c>
      <c r="P35" s="8" t="str">
        <f t="shared" ca="1" si="10"/>
        <v>Jon Worthy</v>
      </c>
      <c r="Q35" s="12">
        <f t="shared" ca="1" si="11"/>
        <v>22.25</v>
      </c>
      <c r="R35" s="8">
        <f t="shared" ca="1" si="3"/>
        <v>8</v>
      </c>
    </row>
    <row r="36" spans="1:18" x14ac:dyDescent="0.2">
      <c r="A36" t="s">
        <v>145</v>
      </c>
      <c r="B36" t="s">
        <v>157</v>
      </c>
      <c r="C36" s="15">
        <f t="shared" ca="1" si="12"/>
        <v>417</v>
      </c>
      <c r="D36" s="15">
        <f ca="1">IF(NOT(ISNA(E36)),5*OFFSET(Batting!$CE$4,E36,0,1,1),0)</f>
        <v>130</v>
      </c>
      <c r="E36" s="15">
        <f>MATCH(A36,Batting!$A$5:$A$78,0)</f>
        <v>45</v>
      </c>
      <c r="F36" s="15">
        <f ca="1">IF(NOT(ISNA(E36)),OFFSET(Batting!$B$4,E36,$C$1,1,1)-D36,0)</f>
        <v>245</v>
      </c>
      <c r="G36" s="15" t="e">
        <f>MATCH(A36,Bowling!$A$5:$A$34,0)</f>
        <v>#N/A</v>
      </c>
      <c r="H36" s="15">
        <f ca="1">IF(NOT(ISNA(G36)),OFFSET(Bowling!$CO$4,G36,0,1,1),0)</f>
        <v>0</v>
      </c>
      <c r="I36" s="15">
        <f ca="1">IF(NOT(ISNA(E36)),OFFSET(Batting!$B$4,E36,$C$1+1,1,1),0)</f>
        <v>42</v>
      </c>
      <c r="J36" s="15">
        <f>VLOOKUP(A36,'Fantasy Teams'!$A$44:$C$95,3)</f>
        <v>4</v>
      </c>
      <c r="K36" s="16">
        <f t="shared" ca="1" si="4"/>
        <v>104.25</v>
      </c>
      <c r="L36" s="8">
        <f t="shared" ca="1" si="5"/>
        <v>104.25003599999999</v>
      </c>
      <c r="M36" s="8">
        <f t="shared" ca="1" si="6"/>
        <v>8</v>
      </c>
      <c r="N36" s="8">
        <f t="shared" ca="1" si="7"/>
        <v>16</v>
      </c>
      <c r="O36" s="8">
        <f t="shared" si="8"/>
        <v>32</v>
      </c>
      <c r="P36" s="8" t="str">
        <f t="shared" ca="1" si="10"/>
        <v>Geoff Chick</v>
      </c>
      <c r="Q36" s="12">
        <f t="shared" ca="1" si="11"/>
        <v>17</v>
      </c>
      <c r="R36" s="8">
        <f t="shared" ca="1" si="3"/>
        <v>1</v>
      </c>
    </row>
    <row r="37" spans="1:18" x14ac:dyDescent="0.2">
      <c r="A37" t="s">
        <v>169</v>
      </c>
      <c r="B37" t="s">
        <v>226</v>
      </c>
      <c r="C37" s="15">
        <f t="shared" ca="1" si="12"/>
        <v>182</v>
      </c>
      <c r="D37" s="15">
        <f ca="1">IF(NOT(ISNA(E37)),5*OFFSET(Batting!$CE$4,E37,0,1,1),0)</f>
        <v>65</v>
      </c>
      <c r="E37" s="15">
        <f>MATCH(A37,Batting!$A$5:$A$78,0)</f>
        <v>34</v>
      </c>
      <c r="F37" s="15">
        <f ca="1">IF(NOT(ISNA(E37)),OFFSET(Batting!$B$4,E37,$C$1,1,1)-D37,0)</f>
        <v>82</v>
      </c>
      <c r="G37" s="15">
        <f>MATCH(A37,Bowling!$A$5:$A$34,0)</f>
        <v>17</v>
      </c>
      <c r="H37" s="15">
        <f ca="1">IF(NOT(ISNA(G37)),OFFSET(Bowling!$CO$4,G37,0,1,1),0)</f>
        <v>20</v>
      </c>
      <c r="I37" s="15">
        <f ca="1">IF(NOT(ISNA(E37)),OFFSET(Batting!$B$4,E37,$C$1+1,1,1),0)</f>
        <v>15</v>
      </c>
      <c r="J37" s="15">
        <f>VLOOKUP(A37,'Fantasy Teams'!$A$44:$C$95,3)</f>
        <v>4</v>
      </c>
      <c r="K37" s="16">
        <f t="shared" ca="1" si="4"/>
        <v>45.5</v>
      </c>
      <c r="L37" s="8">
        <f t="shared" ca="1" si="5"/>
        <v>45.500036999999999</v>
      </c>
      <c r="M37" s="8">
        <f t="shared" ca="1" si="6"/>
        <v>28</v>
      </c>
      <c r="N37" s="8">
        <f t="shared" ca="1" si="7"/>
        <v>14</v>
      </c>
      <c r="O37" s="8">
        <f t="shared" si="8"/>
        <v>33</v>
      </c>
      <c r="P37" s="8" t="str">
        <f t="shared" ca="1" si="10"/>
        <v>Dave Thatcher</v>
      </c>
      <c r="Q37" s="12">
        <f t="shared" ca="1" si="11"/>
        <v>9.75</v>
      </c>
      <c r="R37" s="8">
        <f t="shared" ca="1" si="3"/>
        <v>4</v>
      </c>
    </row>
    <row r="38" spans="1:18" x14ac:dyDescent="0.2">
      <c r="A38" t="s">
        <v>175</v>
      </c>
      <c r="B38" t="s">
        <v>227</v>
      </c>
      <c r="C38" s="15">
        <f t="shared" ca="1" si="12"/>
        <v>0</v>
      </c>
      <c r="D38" s="15">
        <f ca="1">IF(NOT(ISNA(E38)),5*OFFSET(Batting!$CE$4,E38,0,1,1),0)</f>
        <v>0</v>
      </c>
      <c r="E38" s="15">
        <f>MATCH(A38,Batting!$A$5:$A$78,0)</f>
        <v>22</v>
      </c>
      <c r="F38" s="15">
        <f ca="1">IF(NOT(ISNA(E38)),OFFSET(Batting!$B$4,E38,$C$1,1,1)-D38,0)</f>
        <v>0</v>
      </c>
      <c r="G38" s="15" t="e">
        <f>MATCH(A38,Bowling!$A$5:$A$34,0)</f>
        <v>#N/A</v>
      </c>
      <c r="H38" s="15">
        <f ca="1">IF(NOT(ISNA(G38)),OFFSET(Bowling!$CO$4,G38,0,1,1),0)</f>
        <v>0</v>
      </c>
      <c r="I38" s="15">
        <f ca="1">IF(NOT(ISNA(E38)),OFFSET(Batting!$B$4,E38,$C$1+1,1,1),0)</f>
        <v>0</v>
      </c>
      <c r="J38" s="15">
        <f>VLOOKUP(A38,'Fantasy Teams'!$A$44:$C$95,3)</f>
        <v>1</v>
      </c>
      <c r="K38" s="16">
        <f t="shared" ca="1" si="4"/>
        <v>0</v>
      </c>
      <c r="L38" s="8">
        <f t="shared" ca="1" si="5"/>
        <v>3.8000000000000002E-5</v>
      </c>
      <c r="M38" s="8">
        <f t="shared" ca="1" si="6"/>
        <v>43</v>
      </c>
      <c r="N38" s="8">
        <f t="shared" ca="1" si="7"/>
        <v>18</v>
      </c>
      <c r="O38" s="8">
        <f t="shared" si="8"/>
        <v>34</v>
      </c>
      <c r="P38" s="8" t="str">
        <f t="shared" ca="1" si="10"/>
        <v>Glyn Angell</v>
      </c>
      <c r="Q38" s="12">
        <f t="shared" ca="1" si="11"/>
        <v>7</v>
      </c>
      <c r="R38" s="8">
        <f t="shared" ca="1" si="3"/>
        <v>1</v>
      </c>
    </row>
    <row r="39" spans="1:18" x14ac:dyDescent="0.2">
      <c r="A39" t="s">
        <v>181</v>
      </c>
      <c r="B39" t="s">
        <v>228</v>
      </c>
      <c r="C39" s="15">
        <f t="shared" ca="1" si="12"/>
        <v>0</v>
      </c>
      <c r="D39" s="15">
        <f ca="1">IF(NOT(ISNA(E39)),5*OFFSET(Batting!$CE$4,E39,0,1,1),0)</f>
        <v>0</v>
      </c>
      <c r="E39" s="15">
        <f>MATCH(A39,Batting!$A$5:$A$78,0)</f>
        <v>23</v>
      </c>
      <c r="F39" s="15">
        <f ca="1">IF(NOT(ISNA(E39)),OFFSET(Batting!$B$4,E39,$C$1,1,1)-D39,0)</f>
        <v>0</v>
      </c>
      <c r="G39" s="15" t="e">
        <f>MATCH(A39,Bowling!$A$5:$A$34,0)</f>
        <v>#N/A</v>
      </c>
      <c r="H39" s="15">
        <f ca="1">IF(NOT(ISNA(G39)),OFFSET(Bowling!$CO$4,G39,0,1,1),0)</f>
        <v>0</v>
      </c>
      <c r="I39" s="15">
        <f ca="1">IF(NOT(ISNA(E39)),OFFSET(Batting!$B$4,E39,$C$1+1,1,1),0)</f>
        <v>0</v>
      </c>
      <c r="J39" s="15">
        <f>VLOOKUP(A39,'Fantasy Teams'!$A$44:$C$95,3)</f>
        <v>1</v>
      </c>
      <c r="K39" s="16">
        <f t="shared" ca="1" si="4"/>
        <v>0</v>
      </c>
      <c r="L39" s="8">
        <f t="shared" ca="1" si="5"/>
        <v>3.8999999999999999E-5</v>
      </c>
      <c r="M39" s="8">
        <f t="shared" ca="1" si="6"/>
        <v>42</v>
      </c>
      <c r="N39" s="8">
        <f t="shared" ca="1" si="7"/>
        <v>38</v>
      </c>
      <c r="O39" s="8">
        <f t="shared" si="8"/>
        <v>35</v>
      </c>
      <c r="P39" s="8" t="str">
        <f t="shared" ca="1" si="10"/>
        <v>Pete Harris</v>
      </c>
      <c r="Q39" s="12">
        <f t="shared" ca="1" si="11"/>
        <v>5.3330000000000002</v>
      </c>
      <c r="R39" s="8">
        <f t="shared" ca="1" si="3"/>
        <v>3</v>
      </c>
    </row>
    <row r="40" spans="1:18" x14ac:dyDescent="0.2">
      <c r="A40" t="s">
        <v>172</v>
      </c>
      <c r="B40" t="s">
        <v>159</v>
      </c>
      <c r="C40" s="15">
        <f t="shared" ca="1" si="12"/>
        <v>93</v>
      </c>
      <c r="D40" s="15">
        <f ca="1">IF(NOT(ISNA(E40)),5*OFFSET(Batting!$CE$4,E40,0,1,1),0)</f>
        <v>85</v>
      </c>
      <c r="E40" s="15">
        <f>MATCH(A40,Batting!$A$5:$A$78,0)</f>
        <v>33</v>
      </c>
      <c r="F40" s="15">
        <f ca="1">IF(NOT(ISNA(E40)),OFFSET(Batting!$B$4,E40,$C$1,1,1)-D40,0)</f>
        <v>-2</v>
      </c>
      <c r="G40" s="15" t="e">
        <f>MATCH(A40,Bowling!$A$5:$A$34,0)</f>
        <v>#N/A</v>
      </c>
      <c r="H40" s="15">
        <f ca="1">IF(NOT(ISNA(G40)),OFFSET(Bowling!$CO$4,G40,0,1,1),0)</f>
        <v>0</v>
      </c>
      <c r="I40" s="15">
        <f ca="1">IF(NOT(ISNA(E40)),OFFSET(Batting!$B$4,E40,$C$1+1,1,1),0)</f>
        <v>10</v>
      </c>
      <c r="J40" s="15">
        <f>VLOOKUP(A40,'Fantasy Teams'!$A$44:$C$95,3)</f>
        <v>2</v>
      </c>
      <c r="K40" s="16">
        <f t="shared" ca="1" si="4"/>
        <v>46.5</v>
      </c>
      <c r="L40" s="8">
        <f t="shared" ca="1" si="5"/>
        <v>46.500039999999998</v>
      </c>
      <c r="M40" s="8">
        <f t="shared" ca="1" si="6"/>
        <v>26</v>
      </c>
      <c r="N40" s="8">
        <f t="shared" ca="1" si="7"/>
        <v>21</v>
      </c>
      <c r="O40" s="8">
        <f t="shared" si="8"/>
        <v>36</v>
      </c>
      <c r="P40" s="8" t="str">
        <f t="shared" ca="1" si="10"/>
        <v>John Bailey</v>
      </c>
      <c r="Q40" s="12">
        <f t="shared" ca="1" si="11"/>
        <v>2.5</v>
      </c>
      <c r="R40" s="8">
        <f t="shared" ca="1" si="3"/>
        <v>2</v>
      </c>
    </row>
    <row r="41" spans="1:18" x14ac:dyDescent="0.2">
      <c r="A41" t="s">
        <v>113</v>
      </c>
      <c r="B41" t="s">
        <v>229</v>
      </c>
      <c r="C41" s="15">
        <f t="shared" ca="1" si="12"/>
        <v>0</v>
      </c>
      <c r="D41" s="15">
        <f ca="1">IF(NOT(ISNA(E41)),5*OFFSET(Batting!$CE$4,E41,0,1,1),0)</f>
        <v>0</v>
      </c>
      <c r="E41" s="15">
        <f>MATCH(A41,Batting!$A$5:$A$78,0)</f>
        <v>5</v>
      </c>
      <c r="F41" s="15">
        <f ca="1">IF(NOT(ISNA(E41)),OFFSET(Batting!$B$4,E41,$C$1,1,1)-D41,0)</f>
        <v>0</v>
      </c>
      <c r="G41" s="15" t="e">
        <f>MATCH(A41,Bowling!$A$5:$A$34,0)</f>
        <v>#N/A</v>
      </c>
      <c r="H41" s="15">
        <f ca="1">IF(NOT(ISNA(G41)),OFFSET(Bowling!$CO$4,G41,0,1,1),0)</f>
        <v>0</v>
      </c>
      <c r="I41" s="15">
        <f ca="1">IF(NOT(ISNA(E41)),OFFSET(Batting!$B$4,E41,$C$1+1,1,1),0)</f>
        <v>0</v>
      </c>
      <c r="J41" s="15">
        <f>VLOOKUP(A41,'Fantasy Teams'!$A$44:$C$95,3)</f>
        <v>1</v>
      </c>
      <c r="K41" s="16">
        <f t="shared" ca="1" si="4"/>
        <v>0</v>
      </c>
      <c r="L41" s="8">
        <f t="shared" ca="1" si="5"/>
        <v>4.1E-5</v>
      </c>
      <c r="M41" s="8">
        <f t="shared" ca="1" si="6"/>
        <v>41</v>
      </c>
      <c r="N41" s="8">
        <f t="shared" ca="1" si="7"/>
        <v>46</v>
      </c>
      <c r="O41" s="8">
        <f t="shared" si="8"/>
        <v>37</v>
      </c>
      <c r="P41" s="8" t="str">
        <f t="shared" ca="1" si="10"/>
        <v>Ted Shephard</v>
      </c>
      <c r="Q41" s="12">
        <f t="shared" ca="1" si="11"/>
        <v>0</v>
      </c>
      <c r="R41" s="8">
        <f t="shared" ca="1" si="3"/>
        <v>1</v>
      </c>
    </row>
    <row r="42" spans="1:18" x14ac:dyDescent="0.2">
      <c r="A42" t="s">
        <v>119</v>
      </c>
      <c r="B42" t="s">
        <v>230</v>
      </c>
      <c r="C42" s="15">
        <f t="shared" ca="1" si="12"/>
        <v>16</v>
      </c>
      <c r="D42" s="15">
        <f ca="1">IF(NOT(ISNA(E42)),5*OFFSET(Batting!$CE$4,E42,0,1,1),0)</f>
        <v>5</v>
      </c>
      <c r="E42" s="15">
        <f>MATCH(A42,Batting!$A$5:$A$78,0)</f>
        <v>16</v>
      </c>
      <c r="F42" s="15">
        <f ca="1">IF(NOT(ISNA(E42)),OFFSET(Batting!$B$4,E42,$C$1,1,1)-D42,0)</f>
        <v>11</v>
      </c>
      <c r="G42" s="15" t="e">
        <f>MATCH(A42,Bowling!$A$5:$A$34,0)</f>
        <v>#N/A</v>
      </c>
      <c r="H42" s="15">
        <f ca="1">IF(NOT(ISNA(G42)),OFFSET(Bowling!$CO$4,G42,0,1,1),0)</f>
        <v>0</v>
      </c>
      <c r="I42" s="15">
        <f ca="1">IF(NOT(ISNA(E42)),OFFSET(Batting!$B$4,E42,$C$1+1,1,1),0)</f>
        <v>0</v>
      </c>
      <c r="J42" s="15">
        <f>VLOOKUP(A42,'Fantasy Teams'!$A$44:$C$95,3)</f>
        <v>3</v>
      </c>
      <c r="K42" s="16">
        <f t="shared" ca="1" si="4"/>
        <v>5.3330000000000002</v>
      </c>
      <c r="L42" s="8">
        <f t="shared" ca="1" si="5"/>
        <v>5.3330419999999998</v>
      </c>
      <c r="M42" s="8">
        <f t="shared" ca="1" si="6"/>
        <v>35</v>
      </c>
      <c r="N42" s="8">
        <f t="shared" ca="1" si="7"/>
        <v>43</v>
      </c>
      <c r="O42" s="8">
        <f t="shared" si="8"/>
        <v>38</v>
      </c>
      <c r="P42" s="8" t="str">
        <f t="shared" ca="1" si="10"/>
        <v>Ron Morris</v>
      </c>
      <c r="Q42" s="12">
        <f t="shared" ca="1" si="11"/>
        <v>0</v>
      </c>
      <c r="R42" s="8">
        <f t="shared" ca="1" si="3"/>
        <v>2</v>
      </c>
    </row>
    <row r="43" spans="1:18" x14ac:dyDescent="0.2">
      <c r="A43" t="s">
        <v>203</v>
      </c>
      <c r="B43" t="s">
        <v>231</v>
      </c>
      <c r="C43" s="15">
        <f t="shared" ca="1" si="12"/>
        <v>289</v>
      </c>
      <c r="D43" s="15">
        <f ca="1">IF(NOT(ISNA(E43)),5*OFFSET(Batting!$CE$4,E43,0,1,1),0)</f>
        <v>25</v>
      </c>
      <c r="E43" s="15">
        <f>MATCH(A43,Batting!$A$5:$A$78,0)</f>
        <v>18</v>
      </c>
      <c r="F43" s="15">
        <f ca="1">IF(NOT(ISNA(E43)),OFFSET(Batting!$B$4,E43,$C$1,1,1)-D43,0)</f>
        <v>264</v>
      </c>
      <c r="G43" s="15" t="e">
        <f>MATCH(A43,Bowling!$A$5:$A$34,0)</f>
        <v>#N/A</v>
      </c>
      <c r="H43" s="15">
        <f ca="1">IF(NOT(ISNA(G43)),OFFSET(Bowling!$CO$4,G43,0,1,1),0)</f>
        <v>0</v>
      </c>
      <c r="I43" s="15">
        <f ca="1">IF(NOT(ISNA(E43)),OFFSET(Batting!$B$4,E43,$C$1+1,1,1),0)</f>
        <v>0</v>
      </c>
      <c r="J43" s="15">
        <f>VLOOKUP(A43,'Fantasy Teams'!$A$44:$C$95,3)</f>
        <v>6</v>
      </c>
      <c r="K43" s="16">
        <f t="shared" ca="1" si="4"/>
        <v>48.165999999999997</v>
      </c>
      <c r="L43" s="8">
        <f t="shared" ca="1" si="5"/>
        <v>48.166042999999995</v>
      </c>
      <c r="M43" s="8">
        <f t="shared" ca="1" si="6"/>
        <v>25</v>
      </c>
      <c r="N43" s="8">
        <f t="shared" ca="1" si="7"/>
        <v>42</v>
      </c>
      <c r="O43" s="8">
        <f t="shared" si="8"/>
        <v>39</v>
      </c>
      <c r="P43" s="8" t="str">
        <f t="shared" ca="1" si="10"/>
        <v>Robert McCann</v>
      </c>
      <c r="Q43" s="12">
        <f t="shared" ca="1" si="11"/>
        <v>0</v>
      </c>
      <c r="R43" s="8">
        <f t="shared" ca="1" si="3"/>
        <v>1</v>
      </c>
    </row>
    <row r="44" spans="1:18" x14ac:dyDescent="0.2">
      <c r="A44" t="s">
        <v>204</v>
      </c>
      <c r="B44" t="s">
        <v>232</v>
      </c>
      <c r="C44" s="15">
        <f ca="1">F44+H44+I44+D44</f>
        <v>0</v>
      </c>
      <c r="D44" s="15">
        <f ca="1">IF(NOT(ISNA(E44)),5*OFFSET(Batting!$CE$4,E44,0,1,1),0)</f>
        <v>0</v>
      </c>
      <c r="E44" s="15">
        <f>MATCH(A44,Batting!$A$5:$A$78,0)</f>
        <v>27</v>
      </c>
      <c r="F44" s="15">
        <f ca="1">IF(NOT(ISNA(E44)),OFFSET(Batting!$B$4,E44,$C$1,1,1)-D44,0)</f>
        <v>0</v>
      </c>
      <c r="G44" s="15">
        <f>MATCH(A44,Bowling!$A$5:$A$34,0)</f>
        <v>12</v>
      </c>
      <c r="H44" s="15">
        <f ca="1">IF(NOT(ISNA(G44)),OFFSET(Bowling!$CO$4,G44,0,1,1),0)</f>
        <v>0</v>
      </c>
      <c r="I44" s="15">
        <f ca="1">IF(NOT(ISNA(E44)),OFFSET(Batting!$B$4,E44,$C$1+1,1,1),0)</f>
        <v>0</v>
      </c>
      <c r="J44" s="15">
        <f>VLOOKUP(A44,'Fantasy Teams'!$A$44:$C$95,3)</f>
        <v>2</v>
      </c>
      <c r="K44" s="16">
        <f t="shared" ca="1" si="4"/>
        <v>0</v>
      </c>
      <c r="L44" s="8">
        <f t="shared" ca="1" si="5"/>
        <v>4.3999999999999999E-5</v>
      </c>
      <c r="M44" s="8">
        <f t="shared" ca="1" si="6"/>
        <v>40</v>
      </c>
      <c r="N44" s="8">
        <f t="shared" ca="1" si="7"/>
        <v>40</v>
      </c>
      <c r="O44" s="8">
        <f t="shared" si="8"/>
        <v>40</v>
      </c>
      <c r="P44" s="8" t="str">
        <f t="shared" ca="1" si="10"/>
        <v>Richard McGall</v>
      </c>
      <c r="Q44" s="12">
        <f t="shared" ca="1" si="11"/>
        <v>0</v>
      </c>
      <c r="R44" s="8">
        <f t="shared" ca="1" si="3"/>
        <v>2</v>
      </c>
    </row>
    <row r="45" spans="1:18" x14ac:dyDescent="0.2">
      <c r="A45" t="s">
        <v>138</v>
      </c>
      <c r="B45" t="s">
        <v>233</v>
      </c>
      <c r="C45" s="15">
        <f ca="1">F45+H45+I45+D45</f>
        <v>348</v>
      </c>
      <c r="D45" s="15">
        <f ca="1">IF(NOT(ISNA(E45)),5*OFFSET(Batting!$CE$4,E45,0,1,1),0)</f>
        <v>100</v>
      </c>
      <c r="E45" s="15">
        <f>MATCH(A45,Batting!$A$5:$A$78,0)</f>
        <v>46</v>
      </c>
      <c r="F45" s="15">
        <f ca="1">IF(NOT(ISNA(E45)),OFFSET(Batting!$B$4,E45,$C$1,1,1)-D45,0)</f>
        <v>204</v>
      </c>
      <c r="G45" s="15">
        <f>MATCH(A45,Bowling!$A$5:$A$34,0)</f>
        <v>23</v>
      </c>
      <c r="H45" s="15">
        <f ca="1">IF(NOT(ISNA(G45)),OFFSET(Bowling!$CO$4,G45,0,1,1),0)</f>
        <v>20</v>
      </c>
      <c r="I45" s="15">
        <f ca="1">IF(NOT(ISNA(E45)),OFFSET(Batting!$B$4,E45,$C$1+1,1,1),0)</f>
        <v>24</v>
      </c>
      <c r="J45" s="15">
        <f>VLOOKUP(A45,'Fantasy Teams'!$A$44:$C$95,3)</f>
        <v>4</v>
      </c>
      <c r="K45" s="16">
        <f t="shared" ca="1" si="4"/>
        <v>87</v>
      </c>
      <c r="L45" s="8">
        <f t="shared" ca="1" si="5"/>
        <v>87.000045</v>
      </c>
      <c r="M45" s="8">
        <f t="shared" ca="1" si="6"/>
        <v>13</v>
      </c>
      <c r="N45" s="8">
        <f t="shared" ca="1" si="7"/>
        <v>37</v>
      </c>
      <c r="O45" s="8">
        <f t="shared" si="8"/>
        <v>41</v>
      </c>
      <c r="P45" s="8" t="str">
        <f t="shared" ca="1" si="10"/>
        <v>Pete Canavan</v>
      </c>
      <c r="Q45" s="12">
        <f t="shared" ca="1" si="11"/>
        <v>0</v>
      </c>
      <c r="R45" s="8">
        <f t="shared" ca="1" si="3"/>
        <v>1</v>
      </c>
    </row>
    <row r="46" spans="1:18" x14ac:dyDescent="0.2">
      <c r="A46" t="s">
        <v>250</v>
      </c>
      <c r="B46" t="s">
        <v>234</v>
      </c>
      <c r="C46" s="15">
        <f ca="1">F46+H46+I46+D46</f>
        <v>0</v>
      </c>
      <c r="D46" s="15">
        <f ca="1">IF(NOT(ISNA(E46)),5*OFFSET(Batting!$CE$4,E46,0,1,1),0)</f>
        <v>0</v>
      </c>
      <c r="E46" s="15">
        <f>MATCH(A46,Batting!$A$5:$A$78,0)</f>
        <v>26</v>
      </c>
      <c r="F46" s="15">
        <f ca="1">IF(NOT(ISNA(E46)),OFFSET(Batting!$B$4,E46,$C$1,1,1)-D46,0)</f>
        <v>0</v>
      </c>
      <c r="G46" s="15" t="e">
        <f>MATCH(A46,Bowling!$A$5:$A$34,0)</f>
        <v>#N/A</v>
      </c>
      <c r="H46" s="15">
        <f ca="1">IF(NOT(ISNA(G46)),OFFSET(Bowling!$CO$4,G46,0,1,1),0)</f>
        <v>0</v>
      </c>
      <c r="I46" s="15">
        <f ca="1">IF(NOT(ISNA(E46)),OFFSET(Batting!$B$4,E46,$C$1+1,1,1),0)</f>
        <v>0</v>
      </c>
      <c r="J46" s="15">
        <f>VLOOKUP(A46,'Fantasy Teams'!$A$44:$C$95,3)</f>
        <v>1</v>
      </c>
      <c r="K46" s="16">
        <f t="shared" ca="1" si="4"/>
        <v>0</v>
      </c>
      <c r="L46" s="8">
        <f t="shared" ca="1" si="5"/>
        <v>4.6E-5</v>
      </c>
      <c r="M46" s="8">
        <f t="shared" ca="1" si="6"/>
        <v>39</v>
      </c>
      <c r="N46" s="8">
        <f t="shared" ca="1" si="7"/>
        <v>35</v>
      </c>
      <c r="O46" s="8">
        <f t="shared" si="8"/>
        <v>42</v>
      </c>
      <c r="P46" s="8" t="str">
        <f t="shared" ca="1" si="10"/>
        <v>Paul Lushey</v>
      </c>
      <c r="Q46" s="12">
        <f t="shared" ca="1" si="11"/>
        <v>0</v>
      </c>
      <c r="R46" s="8">
        <f t="shared" ca="1" si="3"/>
        <v>1</v>
      </c>
    </row>
    <row r="47" spans="1:18" x14ac:dyDescent="0.2">
      <c r="A47" t="s">
        <v>90</v>
      </c>
      <c r="B47" t="s">
        <v>163</v>
      </c>
      <c r="C47" s="15">
        <f t="shared" ref="C47:C52" ca="1" si="13">F47+H47+I47+D47</f>
        <v>0</v>
      </c>
      <c r="D47" s="15">
        <f ca="1">IF(NOT(ISNA(E47)),5*OFFSET(Batting!$CE$4,E47,0,1,1),0)</f>
        <v>0</v>
      </c>
      <c r="E47" s="15">
        <f>MATCH(A47,Batting!$A$5:$A$78,0)</f>
        <v>32</v>
      </c>
      <c r="F47" s="15">
        <f ca="1">IF(NOT(ISNA(E47)),OFFSET(Batting!$B$4,E47,$C$1,1,1)-D47,0)</f>
        <v>0</v>
      </c>
      <c r="G47" s="15" t="e">
        <f>MATCH(A47,Bowling!$A$5:$A$34,0)</f>
        <v>#N/A</v>
      </c>
      <c r="H47" s="15">
        <f ca="1">IF(NOT(ISNA(G47)),OFFSET(Bowling!$CO$4,G47,0,1,1),0)</f>
        <v>0</v>
      </c>
      <c r="I47" s="15">
        <f ca="1">IF(NOT(ISNA(E47)),OFFSET(Batting!$B$4,E47,$C$1+1,1,1),0)</f>
        <v>0</v>
      </c>
      <c r="J47" s="15">
        <f>VLOOKUP(A47,'Fantasy Teams'!$A$44:$C$95,3)</f>
        <v>2</v>
      </c>
      <c r="K47" s="16">
        <f t="shared" ca="1" si="4"/>
        <v>0</v>
      </c>
      <c r="L47" s="8">
        <f t="shared" ca="1" si="5"/>
        <v>4.6999999999999997E-5</v>
      </c>
      <c r="M47" s="8">
        <f t="shared" ca="1" si="6"/>
        <v>38</v>
      </c>
      <c r="N47" s="8">
        <f t="shared" ca="1" si="7"/>
        <v>34</v>
      </c>
      <c r="O47" s="8">
        <f t="shared" si="8"/>
        <v>43</v>
      </c>
      <c r="P47" s="8" t="str">
        <f t="shared" ref="P47:P52" ca="1" si="14">OFFSET($B$4,N47,0)</f>
        <v>Paul Leadley</v>
      </c>
      <c r="Q47" s="12">
        <f t="shared" ref="Q47:Q52" ca="1" si="15">OFFSET($K$4,N47,0)</f>
        <v>0</v>
      </c>
      <c r="R47" s="8">
        <f t="shared" ca="1" si="3"/>
        <v>1</v>
      </c>
    </row>
    <row r="48" spans="1:18" x14ac:dyDescent="0.2">
      <c r="A48" t="s">
        <v>141</v>
      </c>
      <c r="B48" t="s">
        <v>235</v>
      </c>
      <c r="C48" s="15">
        <f t="shared" ca="1" si="13"/>
        <v>402</v>
      </c>
      <c r="D48" s="15">
        <f ca="1">IF(NOT(ISNA(E48)),5*OFFSET(Batting!$CE$4,E48,0,1,1),0)</f>
        <v>45</v>
      </c>
      <c r="E48" s="15">
        <f>MATCH(A48,Batting!$A$5:$A$78,0)</f>
        <v>48</v>
      </c>
      <c r="F48" s="15">
        <f ca="1">IF(NOT(ISNA(E48)),OFFSET(Batting!$B$4,E48,$C$1,1,1)-D48,0)</f>
        <v>9</v>
      </c>
      <c r="G48" s="15">
        <f>MATCH(A48,Bowling!$A$5:$A$34,0)</f>
        <v>25</v>
      </c>
      <c r="H48" s="15">
        <f ca="1">IF(NOT(ISNA(G48)),OFFSET(Bowling!$CO$4,G48,0,1,1),0)</f>
        <v>343</v>
      </c>
      <c r="I48" s="15">
        <f ca="1">IF(NOT(ISNA(E48)),OFFSET(Batting!$B$4,E48,$C$1+1,1,1),0)</f>
        <v>5</v>
      </c>
      <c r="J48" s="15">
        <f>VLOOKUP(A48,'Fantasy Teams'!$A$44:$C$95,3)</f>
        <v>5</v>
      </c>
      <c r="K48" s="16">
        <f t="shared" ca="1" si="4"/>
        <v>80.400000000000006</v>
      </c>
      <c r="L48" s="8">
        <f t="shared" ca="1" si="5"/>
        <v>80.400048000000012</v>
      </c>
      <c r="M48" s="8">
        <f t="shared" ca="1" si="6"/>
        <v>15</v>
      </c>
      <c r="N48" s="8">
        <f t="shared" ca="1" si="7"/>
        <v>28</v>
      </c>
      <c r="O48" s="8">
        <f t="shared" si="8"/>
        <v>44</v>
      </c>
      <c r="P48" s="8" t="str">
        <f t="shared" ca="1" si="14"/>
        <v>Mark Daly</v>
      </c>
      <c r="Q48" s="12">
        <f t="shared" ca="1" si="15"/>
        <v>0</v>
      </c>
      <c r="R48" s="8">
        <f t="shared" ca="1" si="3"/>
        <v>1</v>
      </c>
    </row>
    <row r="49" spans="1:18" x14ac:dyDescent="0.2">
      <c r="A49" t="s">
        <v>117</v>
      </c>
      <c r="B49" t="s">
        <v>149</v>
      </c>
      <c r="C49" s="15">
        <f t="shared" ca="1" si="13"/>
        <v>991</v>
      </c>
      <c r="D49" s="15">
        <f ca="1">IF(NOT(ISNA(E49)),5*OFFSET(Batting!$CE$4,E49,0,1,1),0)</f>
        <v>125</v>
      </c>
      <c r="E49" s="15">
        <f>MATCH(A49,Batting!$A$5:$A$78,0)</f>
        <v>12</v>
      </c>
      <c r="F49" s="15">
        <f ca="1">IF(NOT(ISNA(E49)),OFFSET(Batting!$B$4,E49,$C$1,1,1)-D49,0)</f>
        <v>796</v>
      </c>
      <c r="G49" s="15">
        <f>MATCH(A49,Bowling!$A$5:$A$34,0)</f>
        <v>5</v>
      </c>
      <c r="H49" s="15">
        <f ca="1">IF(NOT(ISNA(G49)),OFFSET(Bowling!$CO$4,G49,0,1,1),0)</f>
        <v>5</v>
      </c>
      <c r="I49" s="15">
        <f ca="1">IF(NOT(ISNA(E49)),OFFSET(Batting!$B$4,E49,$C$1+1,1,1),0)</f>
        <v>65</v>
      </c>
      <c r="J49" s="15">
        <f>VLOOKUP(A49,'Fantasy Teams'!$A$44:$C$95,3)</f>
        <v>10</v>
      </c>
      <c r="K49" s="16">
        <f t="shared" ca="1" si="4"/>
        <v>99.1</v>
      </c>
      <c r="L49" s="8">
        <f t="shared" ca="1" si="5"/>
        <v>99.100048999999999</v>
      </c>
      <c r="M49" s="8">
        <f t="shared" ca="1" si="6"/>
        <v>11</v>
      </c>
      <c r="N49" s="8">
        <f t="shared" ca="1" si="7"/>
        <v>25</v>
      </c>
      <c r="O49" s="8">
        <f t="shared" si="8"/>
        <v>45</v>
      </c>
      <c r="P49" s="8" t="str">
        <f t="shared" ca="1" si="14"/>
        <v>Ken Persad</v>
      </c>
      <c r="Q49" s="12">
        <f t="shared" ca="1" si="15"/>
        <v>0</v>
      </c>
      <c r="R49" s="8">
        <f t="shared" ca="1" si="3"/>
        <v>1</v>
      </c>
    </row>
    <row r="50" spans="1:18" x14ac:dyDescent="0.2">
      <c r="A50" t="s">
        <v>94</v>
      </c>
      <c r="B50" t="s">
        <v>165</v>
      </c>
      <c r="C50" s="15">
        <f t="shared" ca="1" si="13"/>
        <v>0</v>
      </c>
      <c r="D50" s="15">
        <f ca="1">IF(NOT(ISNA(E50)),5*OFFSET(Batting!$CE$4,E50,0,1,1),0)</f>
        <v>0</v>
      </c>
      <c r="E50" s="15">
        <f>MATCH(A50,Batting!$A$5:$A$78,0)</f>
        <v>39</v>
      </c>
      <c r="F50" s="15">
        <f ca="1">IF(NOT(ISNA(E50)),OFFSET(Batting!$B$4,E50,$C$1,1,1)-D50,0)</f>
        <v>0</v>
      </c>
      <c r="G50" s="15" t="e">
        <f>MATCH(A50,Bowling!$A$5:$A$34,0)</f>
        <v>#N/A</v>
      </c>
      <c r="H50" s="15">
        <f ca="1">IF(NOT(ISNA(G50)),OFFSET(Bowling!$CO$4,G50,0,1,1),0)</f>
        <v>0</v>
      </c>
      <c r="I50" s="15">
        <f ca="1">IF(NOT(ISNA(E50)),OFFSET(Batting!$B$4,E50,$C$1+1,1,1),0)</f>
        <v>0</v>
      </c>
      <c r="J50" s="15">
        <f>VLOOKUP(A50,'Fantasy Teams'!$A$44:$C$95,3)</f>
        <v>1</v>
      </c>
      <c r="K50" s="16">
        <f t="shared" ca="1" si="4"/>
        <v>0</v>
      </c>
      <c r="L50" s="8">
        <f t="shared" ca="1" si="5"/>
        <v>5.0000000000000002E-5</v>
      </c>
      <c r="M50" s="8">
        <f t="shared" ca="1" si="6"/>
        <v>37</v>
      </c>
      <c r="N50" s="8">
        <f t="shared" ca="1" si="7"/>
        <v>19</v>
      </c>
      <c r="O50" s="8">
        <f t="shared" si="8"/>
        <v>46</v>
      </c>
      <c r="P50" s="8" t="str">
        <f t="shared" ca="1" si="14"/>
        <v>James Cartwright</v>
      </c>
      <c r="Q50" s="12">
        <f t="shared" ca="1" si="15"/>
        <v>0</v>
      </c>
      <c r="R50" s="8">
        <f t="shared" ca="1" si="3"/>
        <v>1</v>
      </c>
    </row>
    <row r="51" spans="1:18" x14ac:dyDescent="0.2">
      <c r="A51" t="s">
        <v>137</v>
      </c>
      <c r="B51" t="s">
        <v>236</v>
      </c>
      <c r="C51" s="15">
        <f t="shared" ca="1" si="13"/>
        <v>841</v>
      </c>
      <c r="D51" s="15">
        <f ca="1">IF(NOT(ISNA(E51)),5*OFFSET(Batting!$CE$4,E51,0,1,1),0)</f>
        <v>90</v>
      </c>
      <c r="E51" s="15">
        <f>MATCH(A51,Batting!$A$5:$A$78,0)</f>
        <v>43</v>
      </c>
      <c r="F51" s="15">
        <f ca="1">IF(NOT(ISNA(E51)),OFFSET(Batting!$B$4,E51,$C$1,1,1)-D51,0)</f>
        <v>355</v>
      </c>
      <c r="G51" s="15">
        <f>MATCH(A51,Bowling!$A$5:$A$34,0)</f>
        <v>22</v>
      </c>
      <c r="H51" s="15">
        <f ca="1">IF(NOT(ISNA(G51)),OFFSET(Bowling!$CO$4,G51,0,1,1),0)</f>
        <v>366</v>
      </c>
      <c r="I51" s="15">
        <f ca="1">IF(NOT(ISNA(E51)),OFFSET(Batting!$B$4,E51,$C$1+1,1,1),0)</f>
        <v>30</v>
      </c>
      <c r="J51" s="15">
        <f>VLOOKUP(A51,'Fantasy Teams'!$A$44:$C$95,3)</f>
        <v>5</v>
      </c>
      <c r="K51" s="16">
        <f t="shared" ca="1" si="4"/>
        <v>168.2</v>
      </c>
      <c r="L51" s="8">
        <f t="shared" ca="1" si="5"/>
        <v>168.200051</v>
      </c>
      <c r="M51" s="8">
        <f t="shared" ca="1" si="6"/>
        <v>2</v>
      </c>
      <c r="N51" s="8">
        <f t="shared" ca="1" si="7"/>
        <v>9</v>
      </c>
      <c r="O51" s="8">
        <f t="shared" si="8"/>
        <v>47</v>
      </c>
      <c r="P51" s="8" t="str">
        <f t="shared" ca="1" si="14"/>
        <v>Craig Feltham</v>
      </c>
      <c r="Q51" s="12">
        <f t="shared" ca="1" si="15"/>
        <v>0</v>
      </c>
      <c r="R51" s="8">
        <f t="shared" ca="1" si="3"/>
        <v>1</v>
      </c>
    </row>
    <row r="52" spans="1:18" x14ac:dyDescent="0.2">
      <c r="A52" t="s">
        <v>132</v>
      </c>
      <c r="B52" t="s">
        <v>150</v>
      </c>
      <c r="C52" s="15">
        <f t="shared" ca="1" si="13"/>
        <v>179</v>
      </c>
      <c r="D52" s="15">
        <f ca="1">IF(NOT(ISNA(E52)),5*OFFSET(Batting!$CE$4,E52,0,1,1),0)</f>
        <v>50</v>
      </c>
      <c r="E52" s="15">
        <f>MATCH(A52,Batting!$A$5:$A$78,0)</f>
        <v>36</v>
      </c>
      <c r="F52" s="15">
        <f ca="1">IF(NOT(ISNA(E52)),OFFSET(Batting!$B$4,E52,$C$1,1,1)-D52,0)</f>
        <v>118</v>
      </c>
      <c r="G52" s="15">
        <f>MATCH(A52,Bowling!$A$5:$A$34,0)</f>
        <v>18</v>
      </c>
      <c r="H52" s="15">
        <f ca="1">IF(NOT(ISNA(G52)),OFFSET(Bowling!$CO$4,G52,0,1,1),0)</f>
        <v>6</v>
      </c>
      <c r="I52" s="15">
        <f ca="1">IF(NOT(ISNA(E52)),OFFSET(Batting!$B$4,E52,$C$1+1,1,1),0)</f>
        <v>5</v>
      </c>
      <c r="J52" s="15">
        <f>VLOOKUP(A52,'Fantasy Teams'!$A$44:$C$95,3)</f>
        <v>5</v>
      </c>
      <c r="K52" s="16">
        <f t="shared" ca="1" si="4"/>
        <v>35.799999999999997</v>
      </c>
      <c r="L52" s="8">
        <f t="shared" ca="1" si="5"/>
        <v>35.800051999999994</v>
      </c>
      <c r="M52" s="8">
        <f t="shared" ca="1" si="6"/>
        <v>29</v>
      </c>
      <c r="N52" s="8">
        <f t="shared" ca="1" si="7"/>
        <v>6</v>
      </c>
      <c r="O52" s="8">
        <f t="shared" si="8"/>
        <v>48</v>
      </c>
      <c r="P52" s="8" t="str">
        <f t="shared" ca="1" si="14"/>
        <v>Brian Davies</v>
      </c>
      <c r="Q52" s="12">
        <f t="shared" ca="1" si="15"/>
        <v>0</v>
      </c>
      <c r="R52" s="8">
        <f t="shared" ca="1" si="3"/>
        <v>1</v>
      </c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2"/>
  <sheetViews>
    <sheetView workbookViewId="0"/>
  </sheetViews>
  <sheetFormatPr defaultRowHeight="12.75" customHeight="1" x14ac:dyDescent="0.2"/>
  <cols>
    <col min="1" max="1" width="19.42578125" style="22" customWidth="1"/>
    <col min="2" max="7" width="9.7109375" style="26" customWidth="1"/>
    <col min="8" max="8" width="9.7109375" style="27" customWidth="1"/>
    <col min="9" max="16384" width="9.140625" style="22"/>
  </cols>
  <sheetData>
    <row r="1" spans="1:8" ht="12.75" customHeight="1" x14ac:dyDescent="0.25">
      <c r="A1" s="19" t="s">
        <v>184</v>
      </c>
      <c r="B1" s="20" t="s">
        <v>194</v>
      </c>
      <c r="C1" s="20" t="s">
        <v>195</v>
      </c>
      <c r="D1" s="20" t="s">
        <v>188</v>
      </c>
      <c r="E1" s="20" t="s">
        <v>190</v>
      </c>
      <c r="F1" s="20" t="s">
        <v>191</v>
      </c>
      <c r="G1" s="20" t="s">
        <v>176</v>
      </c>
      <c r="H1" s="21" t="s">
        <v>196</v>
      </c>
    </row>
    <row r="2" spans="1:8" ht="12.75" customHeight="1" x14ac:dyDescent="0.3">
      <c r="A2" s="23" t="str">
        <f>FantasyPts!B5</f>
        <v>Adrian Hawksworth</v>
      </c>
      <c r="B2" s="24">
        <f ca="1">FantasyPts!C5</f>
        <v>466</v>
      </c>
      <c r="C2" s="24">
        <f ca="1">FantasyPts!D5</f>
        <v>105</v>
      </c>
      <c r="D2" s="24">
        <f ca="1">FantasyPts!F5</f>
        <v>310</v>
      </c>
      <c r="E2" s="24">
        <f ca="1">FantasyPts!H5</f>
        <v>6</v>
      </c>
      <c r="F2" s="24">
        <f ca="1">FantasyPts!I5</f>
        <v>45</v>
      </c>
      <c r="G2" s="24">
        <f>FantasyPts!J5</f>
        <v>7</v>
      </c>
      <c r="H2" s="25">
        <f ca="1">FantasyPts!K5</f>
        <v>66.570999999999998</v>
      </c>
    </row>
    <row r="3" spans="1:8" ht="12.75" customHeight="1" x14ac:dyDescent="0.3">
      <c r="A3" s="23" t="str">
        <f>FantasyPts!B6</f>
        <v>Alex Hamilton</v>
      </c>
      <c r="B3" s="24">
        <f ca="1">FantasyPts!C6</f>
        <v>627</v>
      </c>
      <c r="C3" s="24">
        <f ca="1">FantasyPts!D6</f>
        <v>110</v>
      </c>
      <c r="D3" s="24">
        <f ca="1">FantasyPts!F6</f>
        <v>451</v>
      </c>
      <c r="E3" s="24">
        <f ca="1">FantasyPts!H6</f>
        <v>0</v>
      </c>
      <c r="F3" s="24">
        <f ca="1">FantasyPts!I6</f>
        <v>66</v>
      </c>
      <c r="G3" s="24">
        <f>FantasyPts!J6</f>
        <v>4</v>
      </c>
      <c r="H3" s="25">
        <f ca="1">FantasyPts!K6</f>
        <v>156.75</v>
      </c>
    </row>
    <row r="4" spans="1:8" ht="12.75" customHeight="1" x14ac:dyDescent="0.3">
      <c r="A4" s="23" t="str">
        <f>FantasyPts!B7</f>
        <v>Andy Mander</v>
      </c>
      <c r="B4" s="24">
        <f ca="1">FantasyPts!C7</f>
        <v>568</v>
      </c>
      <c r="C4" s="24">
        <f ca="1">FantasyPts!D7</f>
        <v>75</v>
      </c>
      <c r="D4" s="24">
        <f ca="1">FantasyPts!F7</f>
        <v>98</v>
      </c>
      <c r="E4" s="24">
        <f ca="1">FantasyPts!H7</f>
        <v>375</v>
      </c>
      <c r="F4" s="24">
        <f ca="1">FantasyPts!I7</f>
        <v>20</v>
      </c>
      <c r="G4" s="24">
        <f>FantasyPts!J7</f>
        <v>6</v>
      </c>
      <c r="H4" s="25">
        <f ca="1">FantasyPts!K7</f>
        <v>94.665999999999997</v>
      </c>
    </row>
    <row r="5" spans="1:8" ht="12.75" customHeight="1" x14ac:dyDescent="0.3">
      <c r="A5" s="23" t="str">
        <f>FantasyPts!B8</f>
        <v>Austen Merritt</v>
      </c>
      <c r="B5" s="24">
        <f ca="1">FantasyPts!C8</f>
        <v>120</v>
      </c>
      <c r="C5" s="24">
        <f ca="1">FantasyPts!D8</f>
        <v>50</v>
      </c>
      <c r="D5" s="24">
        <f ca="1">FantasyPts!F8</f>
        <v>31</v>
      </c>
      <c r="E5" s="24">
        <f ca="1">FantasyPts!H8</f>
        <v>39</v>
      </c>
      <c r="F5" s="24">
        <f ca="1">FantasyPts!I8</f>
        <v>0</v>
      </c>
      <c r="G5" s="24">
        <f>FantasyPts!J8</f>
        <v>1</v>
      </c>
      <c r="H5" s="25">
        <f ca="1">FantasyPts!K8</f>
        <v>120</v>
      </c>
    </row>
    <row r="6" spans="1:8" ht="12.75" customHeight="1" x14ac:dyDescent="0.3">
      <c r="A6" s="23" t="str">
        <f>FantasyPts!B9</f>
        <v>Bob Young</v>
      </c>
      <c r="B6" s="24">
        <f ca="1">FantasyPts!C9</f>
        <v>370</v>
      </c>
      <c r="C6" s="24">
        <f ca="1">FantasyPts!D9</f>
        <v>70</v>
      </c>
      <c r="D6" s="24">
        <f ca="1">FantasyPts!F9</f>
        <v>45</v>
      </c>
      <c r="E6" s="24">
        <f ca="1">FantasyPts!H9</f>
        <v>230</v>
      </c>
      <c r="F6" s="24">
        <f ca="1">FantasyPts!I9</f>
        <v>25</v>
      </c>
      <c r="G6" s="24">
        <f>FantasyPts!J9</f>
        <v>3</v>
      </c>
      <c r="H6" s="25">
        <f ca="1">FantasyPts!K9</f>
        <v>123.333</v>
      </c>
    </row>
    <row r="7" spans="1:8" ht="12.75" customHeight="1" x14ac:dyDescent="0.3">
      <c r="A7" s="23" t="str">
        <f>FantasyPts!B10</f>
        <v>Brian Davies</v>
      </c>
      <c r="B7" s="24">
        <f ca="1">FantasyPts!C10</f>
        <v>0</v>
      </c>
      <c r="C7" s="24">
        <f ca="1">FantasyPts!D10</f>
        <v>5</v>
      </c>
      <c r="D7" s="24">
        <f ca="1">FantasyPts!F10</f>
        <v>-5</v>
      </c>
      <c r="E7" s="24">
        <f ca="1">FantasyPts!H10</f>
        <v>0</v>
      </c>
      <c r="F7" s="24">
        <f ca="1">FantasyPts!I10</f>
        <v>0</v>
      </c>
      <c r="G7" s="24">
        <f>FantasyPts!J10</f>
        <v>1</v>
      </c>
      <c r="H7" s="25">
        <f ca="1">FantasyPts!K10</f>
        <v>0</v>
      </c>
    </row>
    <row r="8" spans="1:8" ht="12.75" customHeight="1" x14ac:dyDescent="0.3">
      <c r="A8" s="23" t="str">
        <f>FantasyPts!B11</f>
        <v>Chris Clark</v>
      </c>
      <c r="B8" s="24">
        <f ca="1">FantasyPts!C11</f>
        <v>183</v>
      </c>
      <c r="C8" s="24">
        <f ca="1">FantasyPts!D11</f>
        <v>30</v>
      </c>
      <c r="D8" s="24">
        <f ca="1">FantasyPts!F11</f>
        <v>5</v>
      </c>
      <c r="E8" s="24">
        <f ca="1">FantasyPts!H11</f>
        <v>148</v>
      </c>
      <c r="F8" s="24">
        <f ca="1">FantasyPts!I11</f>
        <v>0</v>
      </c>
      <c r="G8" s="24">
        <f>FantasyPts!J11</f>
        <v>4</v>
      </c>
      <c r="H8" s="25">
        <f ca="1">FantasyPts!K11</f>
        <v>45.75</v>
      </c>
    </row>
    <row r="9" spans="1:8" ht="12.75" customHeight="1" x14ac:dyDescent="0.3">
      <c r="A9" s="23" t="str">
        <f>FantasyPts!B12</f>
        <v>Colin Mander</v>
      </c>
      <c r="B9" s="24">
        <f ca="1">FantasyPts!C12</f>
        <v>160</v>
      </c>
      <c r="C9" s="24">
        <f ca="1">FantasyPts!D12</f>
        <v>50</v>
      </c>
      <c r="D9" s="24">
        <f ca="1">FantasyPts!F12</f>
        <v>19</v>
      </c>
      <c r="E9" s="24">
        <f ca="1">FantasyPts!H12</f>
        <v>86</v>
      </c>
      <c r="F9" s="24">
        <f ca="1">FantasyPts!I12</f>
        <v>5</v>
      </c>
      <c r="G9" s="24">
        <f>FantasyPts!J12</f>
        <v>2</v>
      </c>
      <c r="H9" s="25">
        <f ca="1">FantasyPts!K12</f>
        <v>80</v>
      </c>
    </row>
    <row r="10" spans="1:8" ht="12.75" customHeight="1" x14ac:dyDescent="0.3">
      <c r="A10" s="23" t="str">
        <f>FantasyPts!B13</f>
        <v>Craig Feltham</v>
      </c>
      <c r="B10" s="24">
        <f ca="1">FantasyPts!C13</f>
        <v>0</v>
      </c>
      <c r="C10" s="24">
        <f ca="1">FantasyPts!D13</f>
        <v>0</v>
      </c>
      <c r="D10" s="24">
        <f ca="1">FantasyPts!F13</f>
        <v>0</v>
      </c>
      <c r="E10" s="24">
        <f ca="1">FantasyPts!H13</f>
        <v>0</v>
      </c>
      <c r="F10" s="24">
        <f ca="1">FantasyPts!I13</f>
        <v>0</v>
      </c>
      <c r="G10" s="24">
        <f>FantasyPts!J13</f>
        <v>1</v>
      </c>
      <c r="H10" s="25">
        <f ca="1">FantasyPts!K13</f>
        <v>0</v>
      </c>
    </row>
    <row r="11" spans="1:8" ht="12.75" customHeight="1" x14ac:dyDescent="0.3">
      <c r="A11" s="23" t="str">
        <f>FantasyPts!B14</f>
        <v>David Brocks</v>
      </c>
      <c r="B11" s="24">
        <f ca="1">FantasyPts!C14</f>
        <v>494</v>
      </c>
      <c r="C11" s="24">
        <f ca="1">FantasyPts!D14</f>
        <v>70</v>
      </c>
      <c r="D11" s="24">
        <f ca="1">FantasyPts!F14</f>
        <v>114</v>
      </c>
      <c r="E11" s="24">
        <f ca="1">FantasyPts!H14</f>
        <v>285</v>
      </c>
      <c r="F11" s="24">
        <f ca="1">FantasyPts!I14</f>
        <v>25</v>
      </c>
      <c r="G11" s="24">
        <f>FantasyPts!J14</f>
        <v>7</v>
      </c>
      <c r="H11" s="25">
        <f ca="1">FantasyPts!K14</f>
        <v>70.570999999999998</v>
      </c>
    </row>
    <row r="12" spans="1:8" ht="12.75" customHeight="1" x14ac:dyDescent="0.3">
      <c r="A12" s="23" t="str">
        <f>FantasyPts!B15</f>
        <v>Dave Morris</v>
      </c>
      <c r="B12" s="24">
        <f ca="1">FantasyPts!C15</f>
        <v>544</v>
      </c>
      <c r="C12" s="24">
        <f ca="1">FantasyPts!D15</f>
        <v>85</v>
      </c>
      <c r="D12" s="24">
        <f ca="1">FantasyPts!F15</f>
        <v>98</v>
      </c>
      <c r="E12" s="24">
        <f ca="1">FantasyPts!H15</f>
        <v>351</v>
      </c>
      <c r="F12" s="24">
        <f ca="1">FantasyPts!I15</f>
        <v>10</v>
      </c>
      <c r="G12" s="24">
        <f>FantasyPts!J15</f>
        <v>7</v>
      </c>
      <c r="H12" s="25">
        <f ca="1">FantasyPts!K15</f>
        <v>77.713999999999999</v>
      </c>
    </row>
    <row r="13" spans="1:8" ht="12.75" customHeight="1" x14ac:dyDescent="0.3">
      <c r="A13" s="23" t="str">
        <f>FantasyPts!B16</f>
        <v>David Sharpe</v>
      </c>
      <c r="B13" s="24">
        <f ca="1">FantasyPts!C16</f>
        <v>823</v>
      </c>
      <c r="C13" s="24">
        <f ca="1">FantasyPts!D16</f>
        <v>110</v>
      </c>
      <c r="D13" s="24">
        <f ca="1">FantasyPts!F16</f>
        <v>400</v>
      </c>
      <c r="E13" s="24">
        <f ca="1">FantasyPts!H16</f>
        <v>268</v>
      </c>
      <c r="F13" s="24">
        <f ca="1">FantasyPts!I16</f>
        <v>45</v>
      </c>
      <c r="G13" s="24">
        <f>FantasyPts!J16</f>
        <v>4</v>
      </c>
      <c r="H13" s="25">
        <f ca="1">FantasyPts!K16</f>
        <v>205.75</v>
      </c>
    </row>
    <row r="14" spans="1:8" ht="12.75" customHeight="1" x14ac:dyDescent="0.3">
      <c r="A14" s="23" t="str">
        <f>FantasyPts!B17</f>
        <v>David Snow</v>
      </c>
      <c r="B14" s="24">
        <f ca="1">FantasyPts!C17</f>
        <v>176</v>
      </c>
      <c r="C14" s="24">
        <f ca="1">FantasyPts!D17</f>
        <v>70</v>
      </c>
      <c r="D14" s="24">
        <f ca="1">FantasyPts!F17</f>
        <v>101</v>
      </c>
      <c r="E14" s="24">
        <f ca="1">FantasyPts!H17</f>
        <v>0</v>
      </c>
      <c r="F14" s="24">
        <f ca="1">FantasyPts!I17</f>
        <v>5</v>
      </c>
      <c r="G14" s="24">
        <f>FantasyPts!J17</f>
        <v>3</v>
      </c>
      <c r="H14" s="25">
        <f ca="1">FantasyPts!K17</f>
        <v>58.665999999999997</v>
      </c>
    </row>
    <row r="15" spans="1:8" ht="12.75" customHeight="1" x14ac:dyDescent="0.3">
      <c r="A15" s="23" t="str">
        <f>FantasyPts!B18</f>
        <v>Dave Thatcher</v>
      </c>
      <c r="B15" s="24">
        <f ca="1">FantasyPts!C18</f>
        <v>39</v>
      </c>
      <c r="C15" s="24">
        <f ca="1">FantasyPts!D18</f>
        <v>15</v>
      </c>
      <c r="D15" s="24">
        <f ca="1">FantasyPts!F18</f>
        <v>9</v>
      </c>
      <c r="E15" s="24">
        <f ca="1">FantasyPts!H18</f>
        <v>0</v>
      </c>
      <c r="F15" s="24">
        <f ca="1">FantasyPts!I18</f>
        <v>15</v>
      </c>
      <c r="G15" s="24">
        <f>FantasyPts!J18</f>
        <v>4</v>
      </c>
      <c r="H15" s="25">
        <f ca="1">FantasyPts!K18</f>
        <v>9.75</v>
      </c>
    </row>
    <row r="16" spans="1:8" ht="12.75" customHeight="1" x14ac:dyDescent="0.3">
      <c r="A16" s="23" t="str">
        <f>FantasyPts!B19</f>
        <v>Del Shewan</v>
      </c>
      <c r="B16" s="24">
        <f ca="1">FantasyPts!C19</f>
        <v>1017</v>
      </c>
      <c r="C16" s="24">
        <f ca="1">FantasyPts!D19</f>
        <v>120</v>
      </c>
      <c r="D16" s="24">
        <f ca="1">FantasyPts!F19</f>
        <v>162</v>
      </c>
      <c r="E16" s="24">
        <f ca="1">FantasyPts!H19</f>
        <v>690</v>
      </c>
      <c r="F16" s="24">
        <f ca="1">FantasyPts!I19</f>
        <v>45</v>
      </c>
      <c r="G16" s="24">
        <f>FantasyPts!J19</f>
        <v>14</v>
      </c>
      <c r="H16" s="25">
        <f ca="1">FantasyPts!K19</f>
        <v>72.641999999999996</v>
      </c>
    </row>
    <row r="17" spans="1:8" ht="12.75" customHeight="1" x14ac:dyDescent="0.3">
      <c r="A17" s="23" t="str">
        <f>FantasyPts!B20</f>
        <v>Geoff Chick</v>
      </c>
      <c r="B17" s="24">
        <f ca="1">FantasyPts!C20</f>
        <v>17</v>
      </c>
      <c r="C17" s="24">
        <f ca="1">FantasyPts!D20</f>
        <v>15</v>
      </c>
      <c r="D17" s="24">
        <f ca="1">FantasyPts!F20</f>
        <v>2</v>
      </c>
      <c r="E17" s="24">
        <f ca="1">FantasyPts!H20</f>
        <v>0</v>
      </c>
      <c r="F17" s="24">
        <f ca="1">FantasyPts!I20</f>
        <v>0</v>
      </c>
      <c r="G17" s="24">
        <f>FantasyPts!J20</f>
        <v>1</v>
      </c>
      <c r="H17" s="25">
        <f ca="1">FantasyPts!K20</f>
        <v>17</v>
      </c>
    </row>
    <row r="18" spans="1:8" ht="12.75" customHeight="1" x14ac:dyDescent="0.3">
      <c r="A18" s="23" t="str">
        <f>FantasyPts!B21</f>
        <v>Geoff Cooper</v>
      </c>
      <c r="B18" s="24">
        <f ca="1">FantasyPts!C21</f>
        <v>691</v>
      </c>
      <c r="C18" s="24">
        <f ca="1">FantasyPts!D21</f>
        <v>75</v>
      </c>
      <c r="D18" s="24">
        <f ca="1">FantasyPts!F21</f>
        <v>388</v>
      </c>
      <c r="E18" s="24">
        <f ca="1">FantasyPts!H21</f>
        <v>208</v>
      </c>
      <c r="F18" s="24">
        <f ca="1">FantasyPts!I21</f>
        <v>20</v>
      </c>
      <c r="G18" s="24">
        <f>FantasyPts!J21</f>
        <v>5</v>
      </c>
      <c r="H18" s="25">
        <f ca="1">FantasyPts!K21</f>
        <v>138.19999999999999</v>
      </c>
    </row>
    <row r="19" spans="1:8" ht="12.75" customHeight="1" x14ac:dyDescent="0.3">
      <c r="A19" s="23" t="str">
        <f>FantasyPts!B22</f>
        <v>Glyn Angell</v>
      </c>
      <c r="B19" s="24">
        <f ca="1">FantasyPts!C22</f>
        <v>7</v>
      </c>
      <c r="C19" s="24">
        <f ca="1">FantasyPts!D22</f>
        <v>5</v>
      </c>
      <c r="D19" s="24">
        <f ca="1">FantasyPts!F22</f>
        <v>2</v>
      </c>
      <c r="E19" s="24">
        <f ca="1">FantasyPts!H22</f>
        <v>0</v>
      </c>
      <c r="F19" s="24">
        <f ca="1">FantasyPts!I22</f>
        <v>0</v>
      </c>
      <c r="G19" s="24">
        <f>FantasyPts!J22</f>
        <v>1</v>
      </c>
      <c r="H19" s="25">
        <f ca="1">FantasyPts!K22</f>
        <v>7</v>
      </c>
    </row>
    <row r="20" spans="1:8" ht="12.75" customHeight="1" x14ac:dyDescent="0.3">
      <c r="A20" s="23" t="str">
        <f>FantasyPts!B23</f>
        <v>James Cartwright</v>
      </c>
      <c r="B20" s="24">
        <f ca="1">FantasyPts!C23</f>
        <v>0</v>
      </c>
      <c r="C20" s="24">
        <f ca="1">FantasyPts!D23</f>
        <v>0</v>
      </c>
      <c r="D20" s="24">
        <f ca="1">FantasyPts!F23</f>
        <v>0</v>
      </c>
      <c r="E20" s="24">
        <f ca="1">FantasyPts!H23</f>
        <v>0</v>
      </c>
      <c r="F20" s="24">
        <f ca="1">FantasyPts!I23</f>
        <v>0</v>
      </c>
      <c r="G20" s="24">
        <f>FantasyPts!J23</f>
        <v>1</v>
      </c>
      <c r="H20" s="25">
        <f ca="1">FantasyPts!K23</f>
        <v>0</v>
      </c>
    </row>
    <row r="21" spans="1:8" ht="12.75" customHeight="1" x14ac:dyDescent="0.3">
      <c r="A21" s="23" t="str">
        <f>FantasyPts!B24</f>
        <v>Jeff Middleton</v>
      </c>
      <c r="B21" s="24">
        <f ca="1">FantasyPts!C24</f>
        <v>492</v>
      </c>
      <c r="C21" s="24">
        <f ca="1">FantasyPts!D24</f>
        <v>50</v>
      </c>
      <c r="D21" s="24">
        <f ca="1">FantasyPts!F24</f>
        <v>279</v>
      </c>
      <c r="E21" s="24">
        <f ca="1">FantasyPts!H24</f>
        <v>143</v>
      </c>
      <c r="F21" s="24">
        <f ca="1">FantasyPts!I24</f>
        <v>20</v>
      </c>
      <c r="G21" s="24">
        <f>FantasyPts!J24</f>
        <v>6</v>
      </c>
      <c r="H21" s="25">
        <f ca="1">FantasyPts!K24</f>
        <v>82</v>
      </c>
    </row>
    <row r="22" spans="1:8" ht="12.75" customHeight="1" x14ac:dyDescent="0.3">
      <c r="A22" s="23" t="str">
        <f>FantasyPts!B25</f>
        <v>John Bailey</v>
      </c>
      <c r="B22" s="24">
        <f ca="1">FantasyPts!C25</f>
        <v>5</v>
      </c>
      <c r="C22" s="24">
        <f ca="1">FantasyPts!D25</f>
        <v>5</v>
      </c>
      <c r="D22" s="24">
        <f ca="1">FantasyPts!F25</f>
        <v>-5</v>
      </c>
      <c r="E22" s="24">
        <f ca="1">FantasyPts!H25</f>
        <v>0</v>
      </c>
      <c r="F22" s="24">
        <f ca="1">FantasyPts!I25</f>
        <v>5</v>
      </c>
      <c r="G22" s="24">
        <f>FantasyPts!J25</f>
        <v>2</v>
      </c>
      <c r="H22" s="25">
        <f ca="1">FantasyPts!K25</f>
        <v>2.5</v>
      </c>
    </row>
    <row r="23" spans="1:8" ht="12.75" customHeight="1" x14ac:dyDescent="0.3">
      <c r="A23" s="23" t="str">
        <f>FantasyPts!B26</f>
        <v>John Elliston</v>
      </c>
      <c r="B23" s="24">
        <f ca="1">FantasyPts!C26</f>
        <v>449</v>
      </c>
      <c r="C23" s="24">
        <f ca="1">FantasyPts!D26</f>
        <v>85</v>
      </c>
      <c r="D23" s="24">
        <f ca="1">FantasyPts!F26</f>
        <v>112</v>
      </c>
      <c r="E23" s="24">
        <f ca="1">FantasyPts!H26</f>
        <v>227</v>
      </c>
      <c r="F23" s="24">
        <f ca="1">FantasyPts!I26</f>
        <v>25</v>
      </c>
      <c r="G23" s="24">
        <f>FantasyPts!J26</f>
        <v>9</v>
      </c>
      <c r="H23" s="25">
        <f ca="1">FantasyPts!K26</f>
        <v>49.887999999999998</v>
      </c>
    </row>
    <row r="24" spans="1:8" ht="12.75" customHeight="1" x14ac:dyDescent="0.3">
      <c r="A24" s="23" t="str">
        <f>FantasyPts!B27</f>
        <v>John Leadley</v>
      </c>
      <c r="B24" s="24">
        <f ca="1">FantasyPts!C27</f>
        <v>1142</v>
      </c>
      <c r="C24" s="24">
        <f ca="1">FantasyPts!D27</f>
        <v>85</v>
      </c>
      <c r="D24" s="24">
        <f ca="1">FantasyPts!F27</f>
        <v>863</v>
      </c>
      <c r="E24" s="24">
        <f ca="1">FantasyPts!H27</f>
        <v>151</v>
      </c>
      <c r="F24" s="24">
        <f ca="1">FantasyPts!I27</f>
        <v>43</v>
      </c>
      <c r="G24" s="24">
        <f>FantasyPts!J27</f>
        <v>16</v>
      </c>
      <c r="H24" s="25">
        <f ca="1">FantasyPts!K27</f>
        <v>71.375</v>
      </c>
    </row>
    <row r="25" spans="1:8" ht="12.75" customHeight="1" x14ac:dyDescent="0.3">
      <c r="A25" s="23" t="str">
        <f>FantasyPts!B28</f>
        <v>Jon Worthy</v>
      </c>
      <c r="B25" s="24">
        <f ca="1">FantasyPts!C28</f>
        <v>178</v>
      </c>
      <c r="C25" s="24">
        <f ca="1">FantasyPts!D28</f>
        <v>25</v>
      </c>
      <c r="D25" s="24">
        <f ca="1">FantasyPts!F28</f>
        <v>57</v>
      </c>
      <c r="E25" s="24">
        <f ca="1">FantasyPts!H28</f>
        <v>86</v>
      </c>
      <c r="F25" s="24">
        <f ca="1">FantasyPts!I28</f>
        <v>10</v>
      </c>
      <c r="G25" s="24">
        <f>FantasyPts!J28</f>
        <v>8</v>
      </c>
      <c r="H25" s="25">
        <f ca="1">FantasyPts!K28</f>
        <v>22.25</v>
      </c>
    </row>
    <row r="26" spans="1:8" ht="12.75" customHeight="1" x14ac:dyDescent="0.3">
      <c r="A26" s="23" t="str">
        <f>FantasyPts!B29</f>
        <v>Ken Persad</v>
      </c>
      <c r="B26" s="24">
        <f ca="1">FantasyPts!C29</f>
        <v>0</v>
      </c>
      <c r="C26" s="24">
        <f ca="1">FantasyPts!D29</f>
        <v>0</v>
      </c>
      <c r="D26" s="24">
        <f ca="1">FantasyPts!F29</f>
        <v>0</v>
      </c>
      <c r="E26" s="24">
        <f ca="1">FantasyPts!H29</f>
        <v>0</v>
      </c>
      <c r="F26" s="24">
        <f ca="1">FantasyPts!I29</f>
        <v>0</v>
      </c>
      <c r="G26" s="24">
        <f>FantasyPts!J29</f>
        <v>1</v>
      </c>
      <c r="H26" s="25">
        <f ca="1">FantasyPts!K29</f>
        <v>0</v>
      </c>
    </row>
    <row r="27" spans="1:8" ht="12.75" customHeight="1" x14ac:dyDescent="0.3">
      <c r="A27" s="23" t="str">
        <f>FantasyPts!B30</f>
        <v>Les Miller</v>
      </c>
      <c r="B27" s="24">
        <f ca="1">FantasyPts!C30</f>
        <v>30</v>
      </c>
      <c r="C27" s="24">
        <f ca="1">FantasyPts!D30</f>
        <v>10</v>
      </c>
      <c r="D27" s="24">
        <f ca="1">FantasyPts!F30</f>
        <v>0</v>
      </c>
      <c r="E27" s="24">
        <f ca="1">FantasyPts!H30</f>
        <v>20</v>
      </c>
      <c r="F27" s="24">
        <f ca="1">FantasyPts!I30</f>
        <v>0</v>
      </c>
      <c r="G27" s="24">
        <f>FantasyPts!J30</f>
        <v>1</v>
      </c>
      <c r="H27" s="25">
        <f ca="1">FantasyPts!K30</f>
        <v>30</v>
      </c>
    </row>
    <row r="28" spans="1:8" ht="12.75" customHeight="1" x14ac:dyDescent="0.3">
      <c r="A28" s="23" t="str">
        <f>FantasyPts!B31</f>
        <v>Luke Hickey</v>
      </c>
      <c r="B28" s="24">
        <f ca="1">FantasyPts!C31</f>
        <v>107</v>
      </c>
      <c r="C28" s="24">
        <f ca="1">FantasyPts!D31</f>
        <v>70</v>
      </c>
      <c r="D28" s="24">
        <f ca="1">FantasyPts!F31</f>
        <v>1</v>
      </c>
      <c r="E28" s="24">
        <f ca="1">FantasyPts!H31</f>
        <v>31</v>
      </c>
      <c r="F28" s="24">
        <f ca="1">FantasyPts!I31</f>
        <v>5</v>
      </c>
      <c r="G28" s="24">
        <f>FantasyPts!J31</f>
        <v>1</v>
      </c>
      <c r="H28" s="25">
        <f ca="1">FantasyPts!K31</f>
        <v>107</v>
      </c>
    </row>
    <row r="29" spans="1:8" ht="12.75" customHeight="1" x14ac:dyDescent="0.3">
      <c r="A29" s="23" t="str">
        <f>FantasyPts!B32</f>
        <v>Mark Daly</v>
      </c>
      <c r="B29" s="24">
        <f ca="1">FantasyPts!C32</f>
        <v>0</v>
      </c>
      <c r="C29" s="24">
        <f ca="1">FantasyPts!D32</f>
        <v>0</v>
      </c>
      <c r="D29" s="24">
        <f ca="1">FantasyPts!F32</f>
        <v>0</v>
      </c>
      <c r="E29" s="24">
        <f ca="1">FantasyPts!H32</f>
        <v>0</v>
      </c>
      <c r="F29" s="24">
        <f ca="1">FantasyPts!I32</f>
        <v>0</v>
      </c>
      <c r="G29" s="24">
        <f>FantasyPts!J32</f>
        <v>1</v>
      </c>
      <c r="H29" s="25">
        <f ca="1">FantasyPts!K32</f>
        <v>0</v>
      </c>
    </row>
    <row r="30" spans="1:8" ht="12.75" customHeight="1" x14ac:dyDescent="0.3">
      <c r="A30" s="23" t="str">
        <f>FantasyPts!B33</f>
        <v>Mike Bowers</v>
      </c>
      <c r="B30" s="24">
        <f ca="1">FantasyPts!C33</f>
        <v>208</v>
      </c>
      <c r="C30" s="24">
        <f ca="1">FantasyPts!D33</f>
        <v>60</v>
      </c>
      <c r="D30" s="24">
        <f ca="1">FantasyPts!F33</f>
        <v>43</v>
      </c>
      <c r="E30" s="24">
        <f ca="1">FantasyPts!H33</f>
        <v>100</v>
      </c>
      <c r="F30" s="24">
        <f ca="1">FantasyPts!I33</f>
        <v>5</v>
      </c>
      <c r="G30" s="24">
        <f>FantasyPts!J33</f>
        <v>2</v>
      </c>
      <c r="H30" s="25">
        <f ca="1">FantasyPts!K33</f>
        <v>104</v>
      </c>
    </row>
    <row r="31" spans="1:8" ht="12.75" customHeight="1" x14ac:dyDescent="0.3">
      <c r="A31" s="23" t="str">
        <f>FantasyPts!B34</f>
        <v>Mike Hosking</v>
      </c>
      <c r="B31" s="24">
        <f ca="1">FantasyPts!C34</f>
        <v>134</v>
      </c>
      <c r="C31" s="24">
        <f ca="1">FantasyPts!D34</f>
        <v>40</v>
      </c>
      <c r="D31" s="24">
        <f ca="1">FantasyPts!F34</f>
        <v>79</v>
      </c>
      <c r="E31" s="24">
        <f ca="1">FantasyPts!H34</f>
        <v>0</v>
      </c>
      <c r="F31" s="24">
        <f ca="1">FantasyPts!I34</f>
        <v>15</v>
      </c>
      <c r="G31" s="24">
        <f>FantasyPts!J34</f>
        <v>2</v>
      </c>
      <c r="H31" s="25">
        <f ca="1">FantasyPts!K34</f>
        <v>67</v>
      </c>
    </row>
    <row r="32" spans="1:8" ht="12.75" customHeight="1" x14ac:dyDescent="0.3">
      <c r="A32" s="23" t="str">
        <f>FantasyPts!B35</f>
        <v>Mike Simmons</v>
      </c>
      <c r="B32" s="24">
        <f ca="1">FantasyPts!C35</f>
        <v>101</v>
      </c>
      <c r="C32" s="24">
        <f ca="1">FantasyPts!D35</f>
        <v>10</v>
      </c>
      <c r="D32" s="24">
        <f ca="1">FantasyPts!F35</f>
        <v>10</v>
      </c>
      <c r="E32" s="24">
        <f ca="1">FantasyPts!H35</f>
        <v>76</v>
      </c>
      <c r="F32" s="24">
        <f ca="1">FantasyPts!I35</f>
        <v>5</v>
      </c>
      <c r="G32" s="24">
        <f>FantasyPts!J35</f>
        <v>1</v>
      </c>
      <c r="H32" s="25">
        <f ca="1">FantasyPts!K35</f>
        <v>101</v>
      </c>
    </row>
    <row r="33" spans="1:8" ht="12.75" customHeight="1" x14ac:dyDescent="0.3">
      <c r="A33" s="23" t="str">
        <f>FantasyPts!B36</f>
        <v>Mike Woodhouse</v>
      </c>
      <c r="B33" s="24">
        <f ca="1">FantasyPts!C36</f>
        <v>417</v>
      </c>
      <c r="C33" s="24">
        <f ca="1">FantasyPts!D36</f>
        <v>130</v>
      </c>
      <c r="D33" s="24">
        <f ca="1">FantasyPts!F36</f>
        <v>245</v>
      </c>
      <c r="E33" s="24">
        <f ca="1">FantasyPts!H36</f>
        <v>0</v>
      </c>
      <c r="F33" s="24">
        <f ca="1">FantasyPts!I36</f>
        <v>42</v>
      </c>
      <c r="G33" s="24">
        <f>FantasyPts!J36</f>
        <v>4</v>
      </c>
      <c r="H33" s="25">
        <f ca="1">FantasyPts!K36</f>
        <v>104.25</v>
      </c>
    </row>
    <row r="34" spans="1:8" ht="12.75" customHeight="1" x14ac:dyDescent="0.3">
      <c r="A34" s="23" t="str">
        <f>FantasyPts!B37</f>
        <v>Namish Patel</v>
      </c>
      <c r="B34" s="24">
        <f ca="1">FantasyPts!C37</f>
        <v>182</v>
      </c>
      <c r="C34" s="24">
        <f ca="1">FantasyPts!D37</f>
        <v>65</v>
      </c>
      <c r="D34" s="24">
        <f ca="1">FantasyPts!F37</f>
        <v>82</v>
      </c>
      <c r="E34" s="24">
        <f ca="1">FantasyPts!H37</f>
        <v>20</v>
      </c>
      <c r="F34" s="24">
        <f ca="1">FantasyPts!I37</f>
        <v>15</v>
      </c>
      <c r="G34" s="24">
        <f>FantasyPts!J37</f>
        <v>4</v>
      </c>
      <c r="H34" s="25">
        <f ca="1">FantasyPts!K37</f>
        <v>45.5</v>
      </c>
    </row>
    <row r="35" spans="1:8" ht="12.75" customHeight="1" x14ac:dyDescent="0.3">
      <c r="A35" s="23" t="str">
        <f>FantasyPts!B38</f>
        <v>Paul Leadley</v>
      </c>
      <c r="B35" s="24">
        <f ca="1">FantasyPts!C38</f>
        <v>0</v>
      </c>
      <c r="C35" s="24">
        <f ca="1">FantasyPts!D38</f>
        <v>0</v>
      </c>
      <c r="D35" s="24">
        <f ca="1">FantasyPts!F38</f>
        <v>0</v>
      </c>
      <c r="E35" s="24">
        <f ca="1">FantasyPts!H38</f>
        <v>0</v>
      </c>
      <c r="F35" s="24">
        <f ca="1">FantasyPts!I38</f>
        <v>0</v>
      </c>
      <c r="G35" s="24">
        <f>FantasyPts!J38</f>
        <v>1</v>
      </c>
      <c r="H35" s="25">
        <f ca="1">FantasyPts!K38</f>
        <v>0</v>
      </c>
    </row>
    <row r="36" spans="1:8" ht="12.75" customHeight="1" x14ac:dyDescent="0.3">
      <c r="A36" s="23" t="str">
        <f>FantasyPts!B39</f>
        <v>Paul Lushey</v>
      </c>
      <c r="B36" s="24">
        <f ca="1">FantasyPts!C39</f>
        <v>0</v>
      </c>
      <c r="C36" s="24">
        <f ca="1">FantasyPts!D39</f>
        <v>0</v>
      </c>
      <c r="D36" s="24">
        <f ca="1">FantasyPts!F39</f>
        <v>0</v>
      </c>
      <c r="E36" s="24">
        <f ca="1">FantasyPts!H39</f>
        <v>0</v>
      </c>
      <c r="F36" s="24">
        <f ca="1">FantasyPts!I39</f>
        <v>0</v>
      </c>
      <c r="G36" s="24">
        <f>FantasyPts!J39</f>
        <v>1</v>
      </c>
      <c r="H36" s="25">
        <f ca="1">FantasyPts!K39</f>
        <v>0</v>
      </c>
    </row>
    <row r="37" spans="1:8" ht="12.75" customHeight="1" x14ac:dyDescent="0.3">
      <c r="A37" s="23" t="str">
        <f>FantasyPts!B40</f>
        <v>Paul Oakes</v>
      </c>
      <c r="B37" s="24">
        <f ca="1">FantasyPts!C40</f>
        <v>93</v>
      </c>
      <c r="C37" s="24">
        <f ca="1">FantasyPts!D40</f>
        <v>85</v>
      </c>
      <c r="D37" s="24">
        <f ca="1">FantasyPts!F40</f>
        <v>-2</v>
      </c>
      <c r="E37" s="24">
        <f ca="1">FantasyPts!H40</f>
        <v>0</v>
      </c>
      <c r="F37" s="24">
        <f ca="1">FantasyPts!I40</f>
        <v>10</v>
      </c>
      <c r="G37" s="24">
        <f>FantasyPts!J40</f>
        <v>2</v>
      </c>
      <c r="H37" s="25">
        <f ca="1">FantasyPts!K40</f>
        <v>46.5</v>
      </c>
    </row>
    <row r="38" spans="1:8" ht="12.75" customHeight="1" x14ac:dyDescent="0.3">
      <c r="A38" s="23" t="str">
        <f>FantasyPts!B41</f>
        <v>Pete Canavan</v>
      </c>
      <c r="B38" s="24">
        <f ca="1">FantasyPts!C41</f>
        <v>0</v>
      </c>
      <c r="C38" s="24">
        <f ca="1">FantasyPts!D41</f>
        <v>0</v>
      </c>
      <c r="D38" s="24">
        <f ca="1">FantasyPts!F41</f>
        <v>0</v>
      </c>
      <c r="E38" s="24">
        <f ca="1">FantasyPts!H41</f>
        <v>0</v>
      </c>
      <c r="F38" s="24">
        <f ca="1">FantasyPts!I41</f>
        <v>0</v>
      </c>
      <c r="G38" s="24">
        <f>FantasyPts!J41</f>
        <v>1</v>
      </c>
      <c r="H38" s="25">
        <f ca="1">FantasyPts!K41</f>
        <v>0</v>
      </c>
    </row>
    <row r="39" spans="1:8" ht="12.75" customHeight="1" x14ac:dyDescent="0.3">
      <c r="A39" s="23" t="str">
        <f>FantasyPts!B42</f>
        <v>Pete Harris</v>
      </c>
      <c r="B39" s="24">
        <f ca="1">FantasyPts!C42</f>
        <v>16</v>
      </c>
      <c r="C39" s="24">
        <f ca="1">FantasyPts!D42</f>
        <v>5</v>
      </c>
      <c r="D39" s="24">
        <f ca="1">FantasyPts!F42</f>
        <v>11</v>
      </c>
      <c r="E39" s="24">
        <f ca="1">FantasyPts!H42</f>
        <v>0</v>
      </c>
      <c r="F39" s="24">
        <f ca="1">FantasyPts!I42</f>
        <v>0</v>
      </c>
      <c r="G39" s="24">
        <f>FantasyPts!J42</f>
        <v>3</v>
      </c>
      <c r="H39" s="25">
        <f ca="1">FantasyPts!K42</f>
        <v>5.3330000000000002</v>
      </c>
    </row>
    <row r="40" spans="1:8" ht="12.75" customHeight="1" x14ac:dyDescent="0.3">
      <c r="A40" s="23" t="str">
        <f>FantasyPts!B43</f>
        <v>Richard Hawksworth</v>
      </c>
      <c r="B40" s="24">
        <f ca="1">FantasyPts!C43</f>
        <v>289</v>
      </c>
      <c r="C40" s="24">
        <f ca="1">FantasyPts!D43</f>
        <v>25</v>
      </c>
      <c r="D40" s="24">
        <f ca="1">FantasyPts!F43</f>
        <v>264</v>
      </c>
      <c r="E40" s="24">
        <f ca="1">FantasyPts!H43</f>
        <v>0</v>
      </c>
      <c r="F40" s="24">
        <f ca="1">FantasyPts!I43</f>
        <v>0</v>
      </c>
      <c r="G40" s="24">
        <f>FantasyPts!J43</f>
        <v>6</v>
      </c>
      <c r="H40" s="25">
        <f ca="1">FantasyPts!K43</f>
        <v>48.165999999999997</v>
      </c>
    </row>
    <row r="41" spans="1:8" ht="12.75" customHeight="1" x14ac:dyDescent="0.3">
      <c r="A41" s="23" t="str">
        <f>FantasyPts!B44</f>
        <v>Richard McGall</v>
      </c>
      <c r="B41" s="24">
        <f ca="1">FantasyPts!C44</f>
        <v>0</v>
      </c>
      <c r="C41" s="24">
        <f ca="1">FantasyPts!D44</f>
        <v>0</v>
      </c>
      <c r="D41" s="24">
        <f ca="1">FantasyPts!F44</f>
        <v>0</v>
      </c>
      <c r="E41" s="24">
        <f ca="1">FantasyPts!H44</f>
        <v>0</v>
      </c>
      <c r="F41" s="24">
        <f ca="1">FantasyPts!I44</f>
        <v>0</v>
      </c>
      <c r="G41" s="24">
        <f>FantasyPts!J44</f>
        <v>2</v>
      </c>
      <c r="H41" s="25">
        <f ca="1">FantasyPts!K44</f>
        <v>0</v>
      </c>
    </row>
    <row r="42" spans="1:8" ht="12.75" customHeight="1" x14ac:dyDescent="0.3">
      <c r="A42" s="23" t="str">
        <f>FantasyPts!B45</f>
        <v>Rick Worthington</v>
      </c>
      <c r="B42" s="24">
        <f ca="1">FantasyPts!C45</f>
        <v>348</v>
      </c>
      <c r="C42" s="24">
        <f ca="1">FantasyPts!D45</f>
        <v>100</v>
      </c>
      <c r="D42" s="24">
        <f ca="1">FantasyPts!F45</f>
        <v>204</v>
      </c>
      <c r="E42" s="24">
        <f ca="1">FantasyPts!H45</f>
        <v>20</v>
      </c>
      <c r="F42" s="24">
        <f ca="1">FantasyPts!I45</f>
        <v>24</v>
      </c>
      <c r="G42" s="24">
        <f>FantasyPts!J45</f>
        <v>4</v>
      </c>
      <c r="H42" s="25">
        <f ca="1">FantasyPts!K45</f>
        <v>87</v>
      </c>
    </row>
    <row r="43" spans="1:8" ht="12.75" customHeight="1" x14ac:dyDescent="0.3">
      <c r="A43" s="23" t="str">
        <f>FantasyPts!B46</f>
        <v>Robert McCann</v>
      </c>
      <c r="B43" s="24">
        <f ca="1">FantasyPts!C46</f>
        <v>0</v>
      </c>
      <c r="C43" s="24">
        <f ca="1">FantasyPts!D46</f>
        <v>0</v>
      </c>
      <c r="D43" s="24">
        <f ca="1">FantasyPts!F46</f>
        <v>0</v>
      </c>
      <c r="E43" s="24">
        <f ca="1">FantasyPts!H46</f>
        <v>0</v>
      </c>
      <c r="F43" s="24">
        <f ca="1">FantasyPts!I46</f>
        <v>0</v>
      </c>
      <c r="G43" s="24">
        <f>FantasyPts!J46</f>
        <v>1</v>
      </c>
      <c r="H43" s="25">
        <f ca="1">FantasyPts!K46</f>
        <v>0</v>
      </c>
    </row>
    <row r="44" spans="1:8" ht="12.75" customHeight="1" x14ac:dyDescent="0.3">
      <c r="A44" s="23" t="str">
        <f>FantasyPts!B47</f>
        <v>Ron Morris</v>
      </c>
      <c r="B44" s="24">
        <f ca="1">FantasyPts!C47</f>
        <v>0</v>
      </c>
      <c r="C44" s="24">
        <f ca="1">FantasyPts!D47</f>
        <v>0</v>
      </c>
      <c r="D44" s="24">
        <f ca="1">FantasyPts!F47</f>
        <v>0</v>
      </c>
      <c r="E44" s="24">
        <f ca="1">FantasyPts!H47</f>
        <v>0</v>
      </c>
      <c r="F44" s="24">
        <f ca="1">FantasyPts!I47</f>
        <v>0</v>
      </c>
      <c r="G44" s="24">
        <f>FantasyPts!J47</f>
        <v>2</v>
      </c>
      <c r="H44" s="25">
        <f ca="1">FantasyPts!K47</f>
        <v>0</v>
      </c>
    </row>
    <row r="45" spans="1:8" ht="12.75" customHeight="1" x14ac:dyDescent="0.3">
      <c r="A45" s="23" t="str">
        <f>FantasyPts!B48</f>
        <v>Rob Worthy</v>
      </c>
      <c r="B45" s="24">
        <f ca="1">FantasyPts!C48</f>
        <v>402</v>
      </c>
      <c r="C45" s="24">
        <f ca="1">FantasyPts!D48</f>
        <v>45</v>
      </c>
      <c r="D45" s="24">
        <f ca="1">FantasyPts!F48</f>
        <v>9</v>
      </c>
      <c r="E45" s="24">
        <f ca="1">FantasyPts!H48</f>
        <v>343</v>
      </c>
      <c r="F45" s="24">
        <f ca="1">FantasyPts!I48</f>
        <v>5</v>
      </c>
      <c r="G45" s="24">
        <f>FantasyPts!J48</f>
        <v>5</v>
      </c>
      <c r="H45" s="25">
        <f ca="1">FantasyPts!K48</f>
        <v>80.400000000000006</v>
      </c>
    </row>
    <row r="46" spans="1:8" ht="12.75" customHeight="1" x14ac:dyDescent="0.3">
      <c r="A46" s="23" t="str">
        <f>FantasyPts!B49</f>
        <v>Ted Dugdale</v>
      </c>
      <c r="B46" s="24">
        <f ca="1">FantasyPts!C49</f>
        <v>991</v>
      </c>
      <c r="C46" s="24">
        <f ca="1">FantasyPts!D49</f>
        <v>125</v>
      </c>
      <c r="D46" s="24">
        <f ca="1">FantasyPts!F49</f>
        <v>796</v>
      </c>
      <c r="E46" s="24">
        <f ca="1">FantasyPts!H49</f>
        <v>5</v>
      </c>
      <c r="F46" s="24">
        <f ca="1">FantasyPts!I49</f>
        <v>65</v>
      </c>
      <c r="G46" s="24">
        <f>FantasyPts!J49</f>
        <v>10</v>
      </c>
      <c r="H46" s="25">
        <f ca="1">FantasyPts!K49</f>
        <v>99.1</v>
      </c>
    </row>
    <row r="47" spans="1:8" ht="12.75" customHeight="1" x14ac:dyDescent="0.3">
      <c r="A47" s="23" t="str">
        <f>FantasyPts!B50</f>
        <v>Ted Shephard</v>
      </c>
      <c r="B47" s="24">
        <f ca="1">FantasyPts!C50</f>
        <v>0</v>
      </c>
      <c r="C47" s="24">
        <f ca="1">FantasyPts!D50</f>
        <v>0</v>
      </c>
      <c r="D47" s="24">
        <f ca="1">FantasyPts!F50</f>
        <v>0</v>
      </c>
      <c r="E47" s="24">
        <f ca="1">FantasyPts!H50</f>
        <v>0</v>
      </c>
      <c r="F47" s="24">
        <f ca="1">FantasyPts!I50</f>
        <v>0</v>
      </c>
      <c r="G47" s="24">
        <f>FantasyPts!J50</f>
        <v>1</v>
      </c>
      <c r="H47" s="25">
        <f ca="1">FantasyPts!K50</f>
        <v>0</v>
      </c>
    </row>
    <row r="48" spans="1:8" ht="12.75" customHeight="1" x14ac:dyDescent="0.3">
      <c r="A48" s="23" t="str">
        <f>FantasyPts!B51</f>
        <v>Tony Springer</v>
      </c>
      <c r="B48" s="24">
        <f ca="1">FantasyPts!C51</f>
        <v>841</v>
      </c>
      <c r="C48" s="24">
        <f ca="1">FantasyPts!D51</f>
        <v>90</v>
      </c>
      <c r="D48" s="24">
        <f ca="1">FantasyPts!F51</f>
        <v>355</v>
      </c>
      <c r="E48" s="24">
        <f ca="1">FantasyPts!H51</f>
        <v>366</v>
      </c>
      <c r="F48" s="24">
        <f ca="1">FantasyPts!I51</f>
        <v>30</v>
      </c>
      <c r="G48" s="24">
        <f>FantasyPts!J51</f>
        <v>5</v>
      </c>
      <c r="H48" s="25">
        <f ca="1">FantasyPts!K51</f>
        <v>168.2</v>
      </c>
    </row>
    <row r="49" spans="1:8" ht="12.75" customHeight="1" x14ac:dyDescent="0.3">
      <c r="A49" s="23" t="str">
        <f>FantasyPts!B52</f>
        <v>Vince Reid</v>
      </c>
      <c r="B49" s="24">
        <f ca="1">FantasyPts!C52</f>
        <v>179</v>
      </c>
      <c r="C49" s="24">
        <f ca="1">FantasyPts!D52</f>
        <v>50</v>
      </c>
      <c r="D49" s="24">
        <f ca="1">FantasyPts!F52</f>
        <v>118</v>
      </c>
      <c r="E49" s="24">
        <f ca="1">FantasyPts!H52</f>
        <v>6</v>
      </c>
      <c r="F49" s="24">
        <f ca="1">FantasyPts!I52</f>
        <v>5</v>
      </c>
      <c r="G49" s="24">
        <f>FantasyPts!J52</f>
        <v>5</v>
      </c>
      <c r="H49" s="25">
        <f ca="1">FantasyPts!K52</f>
        <v>35.799999999999997</v>
      </c>
    </row>
    <row r="50" spans="1:8" ht="12.75" customHeight="1" x14ac:dyDescent="0.3">
      <c r="A50" s="23"/>
      <c r="B50" s="24"/>
      <c r="C50" s="24"/>
      <c r="D50" s="24"/>
      <c r="E50" s="24"/>
      <c r="F50" s="24"/>
      <c r="G50" s="24"/>
      <c r="H50" s="25"/>
    </row>
    <row r="51" spans="1:8" ht="12.75" customHeight="1" x14ac:dyDescent="0.3">
      <c r="A51" s="23"/>
      <c r="B51" s="24"/>
      <c r="C51" s="24"/>
      <c r="D51" s="24"/>
      <c r="E51" s="24"/>
      <c r="F51" s="24"/>
      <c r="G51" s="24"/>
      <c r="H51" s="25"/>
    </row>
    <row r="52" spans="1:8" ht="12.75" customHeight="1" x14ac:dyDescent="0.3">
      <c r="A52" s="23"/>
      <c r="B52" s="24"/>
      <c r="C52" s="24"/>
      <c r="D52" s="24"/>
      <c r="E52" s="24"/>
      <c r="F52" s="24"/>
      <c r="G52" s="24"/>
      <c r="H52" s="25"/>
    </row>
  </sheetData>
  <phoneticPr fontId="9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4"/>
  <sheetViews>
    <sheetView workbookViewId="0"/>
  </sheetViews>
  <sheetFormatPr defaultRowHeight="10.5" x14ac:dyDescent="0.15"/>
  <cols>
    <col min="1" max="1" width="9.5703125" style="13" customWidth="1"/>
    <col min="2" max="2" width="30.28515625" customWidth="1"/>
    <col min="3" max="3" width="31.42578125" customWidth="1"/>
    <col min="4" max="4" width="9.7109375" style="13" customWidth="1"/>
  </cols>
  <sheetData>
    <row r="1" spans="1:4" x14ac:dyDescent="0.15">
      <c r="A1" s="28"/>
    </row>
    <row r="2" spans="1:4" x14ac:dyDescent="0.15">
      <c r="A2" s="28"/>
    </row>
    <row r="3" spans="1:4" ht="15" x14ac:dyDescent="0.3">
      <c r="A3" s="17"/>
      <c r="B3" s="18" t="s">
        <v>197</v>
      </c>
      <c r="C3" s="18" t="s">
        <v>198</v>
      </c>
      <c r="D3" s="17" t="s">
        <v>199</v>
      </c>
    </row>
    <row r="4" spans="1:4" ht="15" x14ac:dyDescent="0.3">
      <c r="A4" s="17">
        <f>'Fantasy Teams'!L44</f>
        <v>1</v>
      </c>
      <c r="B4" s="18" t="str">
        <f ca="1">'Fantasy Teams'!M44</f>
        <v>David Sharpe</v>
      </c>
      <c r="C4" s="18" t="str">
        <f ca="1">'Fantasy Teams'!N44</f>
        <v>Social Officer's Select XI</v>
      </c>
      <c r="D4" s="17">
        <f ca="1">'Fantasy Teams'!O44</f>
        <v>5657</v>
      </c>
    </row>
    <row r="5" spans="1:4" ht="15" x14ac:dyDescent="0.3">
      <c r="A5" s="17">
        <f>'Fantasy Teams'!L45</f>
        <v>2</v>
      </c>
      <c r="B5" s="18" t="str">
        <f ca="1">'Fantasy Teams'!M45</f>
        <v>Del Shewan</v>
      </c>
      <c r="C5" s="18" t="str">
        <f ca="1">'Fantasy Teams'!N45</f>
        <v>Tiger Balsa-Woods</v>
      </c>
      <c r="D5" s="17">
        <f ca="1">'Fantasy Teams'!O45</f>
        <v>5110</v>
      </c>
    </row>
    <row r="6" spans="1:4" ht="15" x14ac:dyDescent="0.3">
      <c r="A6" s="17">
        <f>'Fantasy Teams'!L46</f>
        <v>3</v>
      </c>
      <c r="B6" s="18" t="str">
        <f ca="1">'Fantasy Teams'!M46</f>
        <v>Mike Woodhouse</v>
      </c>
      <c r="C6" s="18" t="str">
        <f ca="1">'Fantasy Teams'!N46</f>
        <v>One Star XI</v>
      </c>
      <c r="D6" s="17">
        <f ca="1">'Fantasy Teams'!O46</f>
        <v>5050</v>
      </c>
    </row>
    <row r="7" spans="1:4" ht="15" x14ac:dyDescent="0.3">
      <c r="A7" s="17">
        <f>'Fantasy Teams'!L47</f>
        <v>4</v>
      </c>
      <c r="B7" s="18" t="str">
        <f ca="1">'Fantasy Teams'!M47</f>
        <v>Teresa Grant</v>
      </c>
      <c r="C7" s="18" t="str">
        <f ca="1">'Fantasy Teams'!N47</f>
        <v>The Storm Troopers</v>
      </c>
      <c r="D7" s="17">
        <f ca="1">'Fantasy Teams'!O47</f>
        <v>4895</v>
      </c>
    </row>
    <row r="8" spans="1:4" ht="15" x14ac:dyDescent="0.3">
      <c r="A8" s="17">
        <f>'Fantasy Teams'!L48</f>
        <v>5</v>
      </c>
      <c r="B8" s="18" t="str">
        <f ca="1">'Fantasy Teams'!M48</f>
        <v>Dave Thatcher</v>
      </c>
      <c r="C8" s="18" t="str">
        <f ca="1">'Fantasy Teams'!N48</f>
        <v>Thatch's Catch's</v>
      </c>
      <c r="D8" s="17">
        <f ca="1">'Fantasy Teams'!O48</f>
        <v>4862</v>
      </c>
    </row>
    <row r="9" spans="1:4" ht="15" x14ac:dyDescent="0.3">
      <c r="A9" s="17">
        <f>'Fantasy Teams'!L49</f>
        <v>6</v>
      </c>
      <c r="B9" s="18" t="str">
        <f ca="1">'Fantasy Teams'!M49</f>
        <v>John Leadley</v>
      </c>
      <c r="C9" s="18" t="str">
        <f ca="1">'Fantasy Teams'!N49</f>
        <v>All Stars XI</v>
      </c>
      <c r="D9" s="17">
        <f ca="1">'Fantasy Teams'!O49</f>
        <v>4847</v>
      </c>
    </row>
    <row r="10" spans="1:4" ht="15" x14ac:dyDescent="0.3">
      <c r="A10" s="17">
        <f>'Fantasy Teams'!L50</f>
        <v>7</v>
      </c>
      <c r="B10" s="18" t="str">
        <f ca="1">'Fantasy Teams'!M50</f>
        <v>Lesley Leadley</v>
      </c>
      <c r="C10" s="18" t="str">
        <f ca="1">'Fantasy Teams'!N50</f>
        <v>Lesley's Lads</v>
      </c>
      <c r="D10" s="17">
        <f ca="1">'Fantasy Teams'!O50</f>
        <v>4845</v>
      </c>
    </row>
    <row r="11" spans="1:4" ht="15" x14ac:dyDescent="0.3">
      <c r="A11" s="17">
        <f>'Fantasy Teams'!L51</f>
        <v>8</v>
      </c>
      <c r="B11" s="18" t="str">
        <f ca="1">'Fantasy Teams'!M51</f>
        <v>Dave Morris</v>
      </c>
      <c r="C11" s="18" t="str">
        <f ca="1">'Fantasy Teams'!N51</f>
        <v>Japanese Air Force</v>
      </c>
      <c r="D11" s="17">
        <f ca="1">'Fantasy Teams'!O51</f>
        <v>4775</v>
      </c>
    </row>
    <row r="12" spans="1:4" ht="15" x14ac:dyDescent="0.3">
      <c r="A12" s="17">
        <f>'Fantasy Teams'!L52</f>
        <v>9</v>
      </c>
      <c r="B12" s="18" t="str">
        <f ca="1">'Fantasy Teams'!M52</f>
        <v>Mike Woodhouse</v>
      </c>
      <c r="C12" s="18" t="str">
        <f ca="1">'Fantasy Teams'!N52</f>
        <v>Joel Shedley XI</v>
      </c>
      <c r="D12" s="17">
        <f ca="1">'Fantasy Teams'!O52</f>
        <v>4746</v>
      </c>
    </row>
    <row r="13" spans="1:4" ht="15" x14ac:dyDescent="0.3">
      <c r="A13" s="17">
        <f>'Fantasy Teams'!L53</f>
        <v>10</v>
      </c>
      <c r="B13" s="18" t="str">
        <f ca="1">'Fantasy Teams'!M53</f>
        <v>Tony Springer</v>
      </c>
      <c r="C13" s="18" t="str">
        <f ca="1">'Fantasy Teams'!N53</f>
        <v>1st XI</v>
      </c>
      <c r="D13" s="17">
        <f ca="1">'Fantasy Teams'!O53</f>
        <v>4720</v>
      </c>
    </row>
    <row r="14" spans="1:4" ht="15" x14ac:dyDescent="0.3">
      <c r="A14" s="17">
        <f>'Fantasy Teams'!L54</f>
        <v>11</v>
      </c>
      <c r="B14" s="18" t="str">
        <f ca="1">'Fantasy Teams'!M54</f>
        <v>Chris Clarke</v>
      </c>
      <c r="C14" s="18" t="str">
        <f ca="1">'Fantasy Teams'!N54</f>
        <v>Gone to the Spar shop!</v>
      </c>
      <c r="D14" s="17">
        <f ca="1">'Fantasy Teams'!O54</f>
        <v>4629</v>
      </c>
    </row>
    <row r="15" spans="1:4" ht="15" x14ac:dyDescent="0.3">
      <c r="A15" s="17">
        <f>'Fantasy Teams'!L55</f>
        <v>12</v>
      </c>
      <c r="B15" s="18" t="str">
        <f ca="1">'Fantasy Teams'!M55</f>
        <v>Tony Springer</v>
      </c>
      <c r="C15" s="18" t="str">
        <f ca="1">'Fantasy Teams'!N55</f>
        <v>2nd XI</v>
      </c>
      <c r="D15" s="17">
        <f ca="1">'Fantasy Teams'!O55</f>
        <v>4576</v>
      </c>
    </row>
    <row r="16" spans="1:4" ht="15" x14ac:dyDescent="0.3">
      <c r="A16" s="17">
        <f>'Fantasy Teams'!L56</f>
        <v>13</v>
      </c>
      <c r="B16" s="18" t="str">
        <f ca="1">'Fantasy Teams'!M56</f>
        <v>Geoff Cooper</v>
      </c>
      <c r="C16" s="18" t="str">
        <f ca="1">'Fantasy Teams'!N56</f>
        <v>Geoff's Supers I</v>
      </c>
      <c r="D16" s="17">
        <f ca="1">'Fantasy Teams'!O56</f>
        <v>4563</v>
      </c>
    </row>
    <row r="17" spans="1:4" ht="15" x14ac:dyDescent="0.3">
      <c r="A17" s="17">
        <f>'Fantasy Teams'!L57</f>
        <v>14</v>
      </c>
      <c r="B17" s="18" t="str">
        <f ca="1">'Fantasy Teams'!M57</f>
        <v>David Snow</v>
      </c>
      <c r="C17" s="18" t="str">
        <f ca="1">'Fantasy Teams'!N57</f>
        <v>Snowy's Select XI</v>
      </c>
      <c r="D17" s="17">
        <f ca="1">'Fantasy Teams'!O57</f>
        <v>4546</v>
      </c>
    </row>
    <row r="18" spans="1:4" ht="15" x14ac:dyDescent="0.3">
      <c r="A18" s="17">
        <f>'Fantasy Teams'!L58</f>
        <v>15</v>
      </c>
      <c r="B18" s="18" t="str">
        <f ca="1">'Fantasy Teams'!M58</f>
        <v>Ted Dugdale</v>
      </c>
      <c r="C18" s="18" t="str">
        <f ca="1">'Fantasy Teams'!N58</f>
        <v>Dugdale B's</v>
      </c>
      <c r="D18" s="17">
        <f ca="1">'Fantasy Teams'!O58</f>
        <v>4506</v>
      </c>
    </row>
    <row r="19" spans="1:4" ht="15" x14ac:dyDescent="0.3">
      <c r="A19" s="17">
        <f>'Fantasy Teams'!L59</f>
        <v>16</v>
      </c>
      <c r="B19" s="18" t="str">
        <f ca="1">'Fantasy Teams'!M59</f>
        <v>Barbara Merritt</v>
      </c>
      <c r="C19" s="18" t="str">
        <f ca="1">'Fantasy Teams'!N59</f>
        <v>Rampton Escape Committee</v>
      </c>
      <c r="D19" s="17">
        <f ca="1">'Fantasy Teams'!O59</f>
        <v>4448</v>
      </c>
    </row>
    <row r="20" spans="1:4" ht="15" x14ac:dyDescent="0.3">
      <c r="A20" s="17">
        <f>'Fantasy Teams'!L60</f>
        <v>17</v>
      </c>
      <c r="B20" s="18" t="str">
        <f ca="1">'Fantasy Teams'!M60</f>
        <v>Barbara Merritt</v>
      </c>
      <c r="C20" s="18" t="str">
        <f ca="1">'Fantasy Teams'!N60</f>
        <v>The Fugitives</v>
      </c>
      <c r="D20" s="17">
        <f ca="1">'Fantasy Teams'!O60</f>
        <v>4427</v>
      </c>
    </row>
    <row r="21" spans="1:4" ht="15" x14ac:dyDescent="0.3">
      <c r="A21" s="17">
        <f>'Fantasy Teams'!L61</f>
        <v>18</v>
      </c>
      <c r="B21" s="18" t="str">
        <f ca="1">'Fantasy Teams'!M61</f>
        <v>Dennis Bradley</v>
      </c>
      <c r="C21" s="18" t="str">
        <f ca="1">'Fantasy Teams'!N61</f>
        <v/>
      </c>
      <c r="D21" s="17">
        <f ca="1">'Fantasy Teams'!O61</f>
        <v>4418</v>
      </c>
    </row>
    <row r="22" spans="1:4" ht="15" x14ac:dyDescent="0.3">
      <c r="A22" s="17">
        <f>'Fantasy Teams'!L62</f>
        <v>19</v>
      </c>
      <c r="B22" s="18" t="str">
        <f ca="1">'Fantasy Teams'!M62</f>
        <v>Mike Bowers</v>
      </c>
      <c r="C22" s="18" t="str">
        <f ca="1">'Fantasy Teams'!N62</f>
        <v/>
      </c>
      <c r="D22" s="17">
        <f ca="1">'Fantasy Teams'!O62</f>
        <v>4395</v>
      </c>
    </row>
    <row r="23" spans="1:4" ht="15" x14ac:dyDescent="0.3">
      <c r="A23" s="17">
        <f>'Fantasy Teams'!L63</f>
        <v>20</v>
      </c>
      <c r="B23" s="18" t="str">
        <f ca="1">'Fantasy Teams'!M63</f>
        <v>Mike Hosking</v>
      </c>
      <c r="C23" s="18" t="str">
        <f ca="1">'Fantasy Teams'!N63</f>
        <v>Hosking 1sts</v>
      </c>
      <c r="D23" s="17">
        <f ca="1">'Fantasy Teams'!O63</f>
        <v>4305</v>
      </c>
    </row>
    <row r="24" spans="1:4" ht="15" x14ac:dyDescent="0.3">
      <c r="A24" s="17">
        <f>'Fantasy Teams'!L64</f>
        <v>21</v>
      </c>
      <c r="B24" s="18" t="str">
        <f ca="1">'Fantasy Teams'!M64</f>
        <v>Adrian Hawksworth</v>
      </c>
      <c r="C24" s="18" t="str">
        <f ca="1">'Fantasy Teams'!N64</f>
        <v>It's In The Tennis Court!</v>
      </c>
      <c r="D24" s="17">
        <f ca="1">'Fantasy Teams'!O64</f>
        <v>4294</v>
      </c>
    </row>
    <row r="25" spans="1:4" ht="15" x14ac:dyDescent="0.3">
      <c r="A25" s="17">
        <f>'Fantasy Teams'!L65</f>
        <v>22</v>
      </c>
      <c r="B25" s="18" t="str">
        <f ca="1">'Fantasy Teams'!M65</f>
        <v>Ted Dugdale</v>
      </c>
      <c r="C25" s="18" t="str">
        <f ca="1">'Fantasy Teams'!N65</f>
        <v>Dugdale A's</v>
      </c>
      <c r="D25" s="17">
        <f ca="1">'Fantasy Teams'!O65</f>
        <v>4247</v>
      </c>
    </row>
    <row r="26" spans="1:4" ht="15" x14ac:dyDescent="0.3">
      <c r="A26" s="17">
        <f>'Fantasy Teams'!L66</f>
        <v>23</v>
      </c>
      <c r="B26" s="18" t="str">
        <f ca="1">'Fantasy Teams'!M66</f>
        <v>Lesley Leadley</v>
      </c>
      <c r="C26" s="18" t="str">
        <f ca="1">'Fantasy Teams'!N66</f>
        <v>Lesley's Boys</v>
      </c>
      <c r="D26" s="17">
        <f ca="1">'Fantasy Teams'!O66</f>
        <v>4239</v>
      </c>
    </row>
    <row r="27" spans="1:4" ht="15" x14ac:dyDescent="0.3">
      <c r="A27" s="17">
        <f>'Fantasy Teams'!L67</f>
        <v>24</v>
      </c>
      <c r="B27" s="18" t="str">
        <f ca="1">'Fantasy Teams'!M67</f>
        <v>Mike Hosking</v>
      </c>
      <c r="C27" s="18" t="str">
        <f ca="1">'Fantasy Teams'!N67</f>
        <v>Hosking 2nds</v>
      </c>
      <c r="D27" s="17">
        <f ca="1">'Fantasy Teams'!O67</f>
        <v>4236</v>
      </c>
    </row>
    <row r="28" spans="1:4" ht="15" x14ac:dyDescent="0.3">
      <c r="A28" s="17">
        <f>'Fantasy Teams'!L68</f>
        <v>25</v>
      </c>
      <c r="B28" s="18" t="str">
        <f ca="1">'Fantasy Teams'!M68</f>
        <v>Vince Reid</v>
      </c>
      <c r="C28" s="18" t="str">
        <f ca="1">'Fantasy Teams'!N68</f>
        <v>The Persuaders</v>
      </c>
      <c r="D28" s="17">
        <f ca="1">'Fantasy Teams'!O68</f>
        <v>4190</v>
      </c>
    </row>
    <row r="29" spans="1:4" ht="15" x14ac:dyDescent="0.3">
      <c r="A29" s="17">
        <f>'Fantasy Teams'!L69</f>
        <v>26</v>
      </c>
      <c r="B29" s="18" t="str">
        <f ca="1">'Fantasy Teams'!M69</f>
        <v>Luke Hickey</v>
      </c>
      <c r="C29" s="18" t="str">
        <f ca="1">'Fantasy Teams'!N69</f>
        <v/>
      </c>
      <c r="D29" s="17">
        <f ca="1">'Fantasy Teams'!O69</f>
        <v>4132</v>
      </c>
    </row>
    <row r="30" spans="1:4" ht="15" x14ac:dyDescent="0.3">
      <c r="A30" s="17">
        <f>'Fantasy Teams'!L70</f>
        <v>27</v>
      </c>
      <c r="B30" s="18" t="str">
        <f ca="1">'Fantasy Teams'!M70</f>
        <v>Alex Hamilton</v>
      </c>
      <c r="C30" s="18" t="str">
        <f ca="1">'Fantasy Teams'!N70</f>
        <v>People's Front Of Judea XI</v>
      </c>
      <c r="D30" s="17">
        <f ca="1">'Fantasy Teams'!O70</f>
        <v>3979</v>
      </c>
    </row>
    <row r="31" spans="1:4" ht="15" x14ac:dyDescent="0.3">
      <c r="A31" s="17">
        <f>'Fantasy Teams'!L71</f>
        <v>28</v>
      </c>
      <c r="B31" s="18" t="str">
        <f ca="1">'Fantasy Teams'!M71</f>
        <v>Del Shewan</v>
      </c>
      <c r="C31" s="18" t="str">
        <f ca="1">'Fantasy Teams'!N71</f>
        <v>Jocks Wahey!</v>
      </c>
      <c r="D31" s="17">
        <f ca="1">'Fantasy Teams'!O71</f>
        <v>3803</v>
      </c>
    </row>
    <row r="32" spans="1:4" ht="15" x14ac:dyDescent="0.3">
      <c r="A32" s="17">
        <f>'Fantasy Teams'!L72</f>
        <v>29</v>
      </c>
      <c r="B32" s="18" t="str">
        <f ca="1">'Fantasy Teams'!M72</f>
        <v>Paul Oakes</v>
      </c>
      <c r="C32" s="18" t="str">
        <f ca="1">'Fantasy Teams'!N72</f>
        <v>How much is Fowler?</v>
      </c>
      <c r="D32" s="17">
        <f ca="1">'Fantasy Teams'!O72</f>
        <v>3801</v>
      </c>
    </row>
    <row r="33" spans="1:4" ht="15" x14ac:dyDescent="0.3">
      <c r="A33" s="17">
        <f>'Fantasy Teams'!L73</f>
        <v>30</v>
      </c>
      <c r="B33" s="18" t="str">
        <f ca="1">'Fantasy Teams'!M73</f>
        <v>Mike Woodhouse</v>
      </c>
      <c r="C33" s="18" t="str">
        <f ca="1">'Fantasy Teams'!N73</f>
        <v>It's a Laugh, Innit?</v>
      </c>
      <c r="D33" s="17">
        <f ca="1">'Fantasy Teams'!O73</f>
        <v>3774</v>
      </c>
    </row>
    <row r="34" spans="1:4" ht="15" x14ac:dyDescent="0.3">
      <c r="A34" s="17">
        <f>'Fantasy Teams'!L74</f>
        <v>31</v>
      </c>
      <c r="B34" s="18" t="str">
        <f ca="1">'Fantasy Teams'!M74</f>
        <v>Geoff Cooper</v>
      </c>
      <c r="C34" s="18" t="str">
        <f ca="1">'Fantasy Teams'!N74</f>
        <v>Geoff's Supers II</v>
      </c>
      <c r="D34" s="17">
        <f ca="1">'Fantasy Teams'!O74</f>
        <v>3728</v>
      </c>
    </row>
    <row r="35" spans="1:4" ht="15" x14ac:dyDescent="0.3">
      <c r="A35" s="17">
        <f>'Fantasy Teams'!L75</f>
        <v>32</v>
      </c>
      <c r="B35" s="18" t="str">
        <f ca="1">'Fantasy Teams'!M75</f>
        <v>Vince Reid</v>
      </c>
      <c r="C35" s="18" t="str">
        <f ca="1">'Fantasy Teams'!N75</f>
        <v>The Avengers</v>
      </c>
      <c r="D35" s="17">
        <f ca="1">'Fantasy Teams'!O75</f>
        <v>3703</v>
      </c>
    </row>
    <row r="36" spans="1:4" ht="15" x14ac:dyDescent="0.3">
      <c r="A36" s="17">
        <f>'Fantasy Teams'!L76</f>
        <v>33</v>
      </c>
      <c r="B36" s="18" t="str">
        <f ca="1">'Fantasy Teams'!M76</f>
        <v>Del Shewan</v>
      </c>
      <c r="C36" s="18" t="str">
        <f ca="1">'Fantasy Teams'!N76</f>
        <v>Wide Boys</v>
      </c>
      <c r="D36" s="17">
        <f ca="1">'Fantasy Teams'!O76</f>
        <v>3440</v>
      </c>
    </row>
    <row r="37" spans="1:4" ht="15" x14ac:dyDescent="0.3">
      <c r="A37" s="17">
        <f>'Fantasy Teams'!L77</f>
        <v>34</v>
      </c>
      <c r="B37" s="18" t="str">
        <f ca="1">'Fantasy Teams'!M77</f>
        <v>John Leadley</v>
      </c>
      <c r="C37" s="18" t="str">
        <f ca="1">'Fantasy Teams'!N77</f>
        <v>Fallen Stars XI</v>
      </c>
      <c r="D37" s="17">
        <f ca="1">'Fantasy Teams'!O77</f>
        <v>3382</v>
      </c>
    </row>
    <row r="38" spans="1:4" x14ac:dyDescent="0.15">
      <c r="A38"/>
      <c r="D38"/>
    </row>
    <row r="39" spans="1:4" x14ac:dyDescent="0.15">
      <c r="A39"/>
      <c r="D39"/>
    </row>
    <row r="40" spans="1:4" x14ac:dyDescent="0.15">
      <c r="A40"/>
      <c r="D40"/>
    </row>
    <row r="41" spans="1:4" x14ac:dyDescent="0.15">
      <c r="A41"/>
      <c r="D41"/>
    </row>
    <row r="42" spans="1:4" x14ac:dyDescent="0.15">
      <c r="A42"/>
      <c r="D42"/>
    </row>
    <row r="43" spans="1:4" x14ac:dyDescent="0.15">
      <c r="A43"/>
      <c r="D43"/>
    </row>
    <row r="44" spans="1:4" x14ac:dyDescent="0.15">
      <c r="A44"/>
      <c r="D44"/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Matches</vt:lpstr>
      <vt:lpstr>Batting</vt:lpstr>
      <vt:lpstr>Bowling</vt:lpstr>
      <vt:lpstr>Fantasy Teams</vt:lpstr>
      <vt:lpstr>FantasyPts</vt:lpstr>
      <vt:lpstr>Player Stats</vt:lpstr>
      <vt:lpstr>League Table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1998-04-28T17:00:08Z</cp:lastPrinted>
  <dcterms:created xsi:type="dcterms:W3CDTF">1995-07-17T18:41:11Z</dcterms:created>
  <dcterms:modified xsi:type="dcterms:W3CDTF">2021-04-21T16:16:47Z</dcterms:modified>
</cp:coreProperties>
</file>
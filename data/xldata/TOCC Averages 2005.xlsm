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Bowling!$A$1:$AR$35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/>
  <c r="C1" i="2" a="1"/>
  <c r="D1" i="2" s="1"/>
  <c r="F1" i="2"/>
  <c r="G1" i="2"/>
  <c r="J1" i="2"/>
  <c r="K1" i="2"/>
  <c r="N1" i="2"/>
  <c r="O1" i="2"/>
  <c r="R1" i="2"/>
  <c r="S1" i="2"/>
  <c r="V1" i="2"/>
  <c r="W1" i="2"/>
  <c r="Z1" i="2"/>
  <c r="AA1" i="2"/>
  <c r="AD1" i="2"/>
  <c r="AE1" i="2"/>
  <c r="AH1" i="2"/>
  <c r="AI1" i="2"/>
  <c r="AL1" i="2"/>
  <c r="AM1" i="2"/>
  <c r="AP1" i="2"/>
  <c r="AQ1" i="2"/>
  <c r="AT1" i="2"/>
  <c r="AU1" i="2"/>
  <c r="AX1" i="2"/>
  <c r="AY1" i="2"/>
  <c r="BB1" i="2"/>
  <c r="BC1" i="2"/>
  <c r="BF1" i="2"/>
  <c r="BG1" i="2"/>
  <c r="BJ1" i="2"/>
  <c r="BK1" i="2"/>
  <c r="BN1" i="2"/>
  <c r="BO1" i="2"/>
  <c r="BR1" i="2"/>
  <c r="BS1" i="2"/>
  <c r="BV1" i="2"/>
  <c r="BW1" i="2"/>
  <c r="BZ1" i="2"/>
  <c r="CA1" i="2"/>
  <c r="CD1" i="2"/>
  <c r="C2" i="2"/>
  <c r="F2" i="2"/>
  <c r="G2" i="2"/>
  <c r="J2" i="2"/>
  <c r="K2" i="2"/>
  <c r="N2" i="2"/>
  <c r="O2" i="2"/>
  <c r="R2" i="2"/>
  <c r="S2" i="2"/>
  <c r="V2" i="2"/>
  <c r="W2" i="2"/>
  <c r="Z2" i="2"/>
  <c r="AA2" i="2"/>
  <c r="AD2" i="2"/>
  <c r="AE2" i="2"/>
  <c r="AH2" i="2"/>
  <c r="AI2" i="2"/>
  <c r="AL2" i="2"/>
  <c r="AM2" i="2"/>
  <c r="AP2" i="2"/>
  <c r="AQ2" i="2"/>
  <c r="AT2" i="2"/>
  <c r="AU2" i="2"/>
  <c r="AX2" i="2"/>
  <c r="AY2" i="2"/>
  <c r="BB2" i="2"/>
  <c r="BC2" i="2"/>
  <c r="BF2" i="2"/>
  <c r="BG2" i="2"/>
  <c r="BJ2" i="2"/>
  <c r="BK2" i="2"/>
  <c r="BN2" i="2"/>
  <c r="BO2" i="2"/>
  <c r="BR2" i="2"/>
  <c r="BS2" i="2"/>
  <c r="BV2" i="2"/>
  <c r="BW2" i="2"/>
  <c r="BZ2" i="2"/>
  <c r="CA2" i="2"/>
  <c r="CD2" i="2"/>
  <c r="C3" i="2"/>
  <c r="F3" i="2"/>
  <c r="G3" i="2"/>
  <c r="J3" i="2"/>
  <c r="K3" i="2"/>
  <c r="N3" i="2"/>
  <c r="O3" i="2"/>
  <c r="R3" i="2"/>
  <c r="S3" i="2"/>
  <c r="V3" i="2"/>
  <c r="W3" i="2"/>
  <c r="Z3" i="2"/>
  <c r="AA3" i="2"/>
  <c r="AD3" i="2"/>
  <c r="AE3" i="2"/>
  <c r="AH3" i="2"/>
  <c r="AI3" i="2"/>
  <c r="AL3" i="2"/>
  <c r="AM3" i="2"/>
  <c r="AP3" i="2"/>
  <c r="AQ3" i="2"/>
  <c r="AT3" i="2"/>
  <c r="AU3" i="2"/>
  <c r="AX3" i="2"/>
  <c r="AY3" i="2"/>
  <c r="BB3" i="2"/>
  <c r="BC3" i="2"/>
  <c r="BF3" i="2"/>
  <c r="BG3" i="2"/>
  <c r="BJ3" i="2"/>
  <c r="BK3" i="2"/>
  <c r="BN3" i="2"/>
  <c r="BO3" i="2"/>
  <c r="BR3" i="2"/>
  <c r="BS3" i="2"/>
  <c r="BV3" i="2"/>
  <c r="BW3" i="2"/>
  <c r="BZ3" i="2"/>
  <c r="CA3" i="2"/>
  <c r="CD3" i="2"/>
  <c r="C4" i="2"/>
  <c r="F4" i="2"/>
  <c r="G4" i="2"/>
  <c r="J4" i="2"/>
  <c r="K4" i="2"/>
  <c r="N4" i="2"/>
  <c r="O4" i="2"/>
  <c r="R4" i="2"/>
  <c r="S4" i="2"/>
  <c r="V4" i="2"/>
  <c r="W4" i="2"/>
  <c r="Z4" i="2"/>
  <c r="AA4" i="2"/>
  <c r="AD4" i="2"/>
  <c r="AE4" i="2"/>
  <c r="AH4" i="2"/>
  <c r="AI4" i="2"/>
  <c r="AL4" i="2"/>
  <c r="AM4" i="2"/>
  <c r="AP4" i="2"/>
  <c r="AQ4" i="2"/>
  <c r="AT4" i="2"/>
  <c r="AU4" i="2"/>
  <c r="AX4" i="2"/>
  <c r="AY4" i="2"/>
  <c r="BB4" i="2"/>
  <c r="BC4" i="2"/>
  <c r="BF4" i="2"/>
  <c r="BG4" i="2"/>
  <c r="BJ4" i="2"/>
  <c r="BK4" i="2"/>
  <c r="BN4" i="2"/>
  <c r="BO4" i="2"/>
  <c r="BR4" i="2"/>
  <c r="BS4" i="2"/>
  <c r="BV4" i="2"/>
  <c r="BW4" i="2"/>
  <c r="BZ4" i="2"/>
  <c r="CA4" i="2"/>
  <c r="CD4" i="2"/>
  <c r="CO5" i="2" a="1"/>
  <c r="CO5" i="2" s="1"/>
  <c r="CP5" i="2"/>
  <c r="CP5" i="2" a="1"/>
  <c r="CR5" i="2"/>
  <c r="CR5" i="2" a="1"/>
  <c r="CS5" i="2"/>
  <c r="CS5" i="2" a="1"/>
  <c r="CT5" i="2"/>
  <c r="CT5" i="2" a="1"/>
  <c r="CU5" i="2" a="1"/>
  <c r="CU5" i="2" s="1"/>
  <c r="CV5" i="2" a="1"/>
  <c r="CV5" i="2" s="1"/>
  <c r="CW5" i="2" a="1"/>
  <c r="CW5" i="2" s="1"/>
  <c r="CO6" i="2" a="1"/>
  <c r="CO6" i="2" s="1"/>
  <c r="CP6" i="2"/>
  <c r="CP6" i="2" a="1"/>
  <c r="CR6" i="2"/>
  <c r="CR6" i="2" a="1"/>
  <c r="CS6" i="2"/>
  <c r="CS6" i="2" a="1"/>
  <c r="CT6" i="2"/>
  <c r="CT6" i="2" a="1"/>
  <c r="CU6" i="2" a="1"/>
  <c r="CU6" i="2" s="1"/>
  <c r="CV6" i="2"/>
  <c r="CV6" i="2" a="1"/>
  <c r="CW6" i="2" a="1"/>
  <c r="CW6" i="2" s="1"/>
  <c r="CO7" i="2"/>
  <c r="CO7" i="2" a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/>
  <c r="CV7" i="2" a="1"/>
  <c r="CW7" i="2" a="1"/>
  <c r="CW7" i="2" s="1"/>
  <c r="CO8" i="2"/>
  <c r="CO8" i="2" a="1"/>
  <c r="CP8" i="2" a="1"/>
  <c r="CP8" i="2" s="1"/>
  <c r="CR8" i="2"/>
  <c r="CR8" i="2" a="1"/>
  <c r="CS8" i="2"/>
  <c r="CS8" i="2" a="1"/>
  <c r="CT8" i="2" a="1"/>
  <c r="CT8" i="2" s="1"/>
  <c r="CU8" i="2"/>
  <c r="CU8" i="2" a="1"/>
  <c r="CV8" i="2" a="1"/>
  <c r="CV8" i="2" s="1"/>
  <c r="CW8" i="2"/>
  <c r="CW8" i="2" a="1"/>
  <c r="CO9" i="2" a="1"/>
  <c r="CO9" i="2" s="1"/>
  <c r="CP9" i="2"/>
  <c r="CP9" i="2" a="1"/>
  <c r="CR9" i="2" a="1"/>
  <c r="CR9" i="2" s="1"/>
  <c r="CS9" i="2"/>
  <c r="CS9" i="2" a="1"/>
  <c r="CT9" i="2" a="1"/>
  <c r="CT9" i="2" s="1"/>
  <c r="CU9" i="2"/>
  <c r="CU9" i="2" a="1"/>
  <c r="CV9" i="2" a="1"/>
  <c r="CV9" i="2" s="1"/>
  <c r="CW9" i="2"/>
  <c r="CW9" i="2" a="1"/>
  <c r="CO10" i="2" a="1"/>
  <c r="CO10" i="2" s="1"/>
  <c r="CP10" i="2"/>
  <c r="CP10" i="2" a="1"/>
  <c r="CR10" i="2"/>
  <c r="CR10" i="2" a="1"/>
  <c r="CS10" i="2"/>
  <c r="CS10" i="2" a="1"/>
  <c r="CT10" i="2"/>
  <c r="CT10" i="2" a="1"/>
  <c r="CU10" i="2" a="1"/>
  <c r="CU10" i="2" s="1"/>
  <c r="CV10" i="2"/>
  <c r="CV10" i="2" a="1"/>
  <c r="CW10" i="2" a="1"/>
  <c r="CW10" i="2" s="1"/>
  <c r="CO11" i="2"/>
  <c r="CO11" i="2" a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/>
  <c r="CV11" i="2" a="1"/>
  <c r="CW11" i="2" a="1"/>
  <c r="CW11" i="2" s="1"/>
  <c r="CO12" i="2" a="1"/>
  <c r="CO12" i="2" s="1"/>
  <c r="CP12" i="2"/>
  <c r="CP12" i="2" a="1"/>
  <c r="CR12" i="2" a="1"/>
  <c r="CR12" i="2" s="1"/>
  <c r="CS12" i="2"/>
  <c r="CS12" i="2" a="1"/>
  <c r="CT12" i="2" a="1"/>
  <c r="CT12" i="2" s="1"/>
  <c r="CU12" i="2"/>
  <c r="CU12" i="2" a="1"/>
  <c r="CV12" i="2" a="1"/>
  <c r="CV12" i="2" s="1"/>
  <c r="CW12" i="2"/>
  <c r="CW12" i="2" a="1"/>
  <c r="CO13" i="2"/>
  <c r="CO13" i="2" a="1"/>
  <c r="CP13" i="2"/>
  <c r="CP13" i="2" a="1"/>
  <c r="CR13" i="2"/>
  <c r="CR13" i="2" a="1"/>
  <c r="CS13" i="2" a="1"/>
  <c r="CS13" i="2" s="1"/>
  <c r="CT13" i="2"/>
  <c r="CT13" i="2" a="1"/>
  <c r="CU13" i="2" a="1"/>
  <c r="CU13" i="2" s="1"/>
  <c r="CV13" i="2"/>
  <c r="CV13" i="2" a="1"/>
  <c r="CW13" i="2" a="1"/>
  <c r="CW13" i="2" s="1"/>
  <c r="CO14" i="2"/>
  <c r="CO14" i="2" a="1"/>
  <c r="CP14" i="2"/>
  <c r="CP14" i="2" a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CW14" i="2" a="1"/>
  <c r="CW14" i="2" s="1"/>
  <c r="CO15" i="2"/>
  <c r="CO15" i="2" a="1"/>
  <c r="CP15" i="2"/>
  <c r="CP15" i="2" a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O16" i="2"/>
  <c r="CO16" i="2" a="1"/>
  <c r="CP16" i="2"/>
  <c r="CP16" i="2" a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O17" i="2"/>
  <c r="CO17" i="2" a="1"/>
  <c r="CP17" i="2"/>
  <c r="CP17" i="2" a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W17" i="2" a="1"/>
  <c r="CW17" i="2" s="1"/>
  <c r="CO18" i="2"/>
  <c r="CO18" i="2" a="1"/>
  <c r="CP18" i="2"/>
  <c r="CP18" i="2" a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W18" i="2" a="1"/>
  <c r="CW18" i="2" s="1"/>
  <c r="CO19" i="2"/>
  <c r="CO19" i="2" a="1"/>
  <c r="CP19" i="2"/>
  <c r="CP19" i="2" a="1"/>
  <c r="CR19" i="2" a="1"/>
  <c r="CR19" i="2" s="1"/>
  <c r="CS19" i="2" a="1"/>
  <c r="CS19" i="2" s="1"/>
  <c r="CT19" i="2" a="1"/>
  <c r="CT19" i="2" s="1"/>
  <c r="CU19" i="2" a="1"/>
  <c r="CU19" i="2" s="1"/>
  <c r="CV19" i="2" a="1"/>
  <c r="CV19" i="2" s="1"/>
  <c r="CW19" i="2" a="1"/>
  <c r="CW19" i="2" s="1"/>
  <c r="CO20" i="2"/>
  <c r="CO20" i="2" a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O21" i="2"/>
  <c r="CO21" i="2" a="1"/>
  <c r="CP21" i="2"/>
  <c r="CP21" i="2" a="1"/>
  <c r="CR21" i="2"/>
  <c r="CR21" i="2" a="1"/>
  <c r="CS21" i="2" a="1"/>
  <c r="CS21" i="2" s="1"/>
  <c r="CT21" i="2" a="1"/>
  <c r="CT21" i="2" s="1"/>
  <c r="CU21" i="2" a="1"/>
  <c r="CU21" i="2" s="1"/>
  <c r="CV21" i="2"/>
  <c r="CV21" i="2" a="1"/>
  <c r="CW21" i="2" a="1"/>
  <c r="CW21" i="2" s="1"/>
  <c r="CO22" i="2"/>
  <c r="CO22" i="2" a="1"/>
  <c r="CP22" i="2" a="1"/>
  <c r="CP22" i="2" s="1"/>
  <c r="CR22" i="2" a="1"/>
  <c r="CR22" i="2" s="1"/>
  <c r="CS22" i="2" a="1"/>
  <c r="CS22" i="2" s="1"/>
  <c r="CT22" i="2" a="1"/>
  <c r="CT22" i="2" s="1"/>
  <c r="CU22" i="2"/>
  <c r="CU22" i="2" a="1"/>
  <c r="CV22" i="2" a="1"/>
  <c r="CV22" i="2" s="1"/>
  <c r="CW22" i="2" a="1"/>
  <c r="CW22" i="2" s="1"/>
  <c r="CO23" i="2"/>
  <c r="CO23" i="2" a="1"/>
  <c r="CP23" i="2"/>
  <c r="CP23" i="2" a="1"/>
  <c r="CR23" i="2" a="1"/>
  <c r="CR23" i="2" s="1"/>
  <c r="CS23" i="2" a="1"/>
  <c r="CS23" i="2" s="1"/>
  <c r="CT23" i="2"/>
  <c r="CT23" i="2" a="1"/>
  <c r="CU23" i="2" a="1"/>
  <c r="CU23" i="2" s="1"/>
  <c r="CV23" i="2" a="1"/>
  <c r="CV23" i="2" s="1"/>
  <c r="CW23" i="2" a="1"/>
  <c r="CW23" i="2" s="1"/>
  <c r="CO24" i="2"/>
  <c r="CO24" i="2" a="1"/>
  <c r="CP24" i="2"/>
  <c r="CP24" i="2" a="1"/>
  <c r="CR24" i="2" a="1"/>
  <c r="CR24" i="2" s="1"/>
  <c r="CS24" i="2"/>
  <c r="CS24" i="2" a="1"/>
  <c r="CT24" i="2" a="1"/>
  <c r="CT24" i="2" s="1"/>
  <c r="CU24" i="2" a="1"/>
  <c r="CU24" i="2" s="1"/>
  <c r="CV24" i="2" a="1"/>
  <c r="CV24" i="2" s="1"/>
  <c r="CW24" i="2"/>
  <c r="CW24" i="2" a="1"/>
  <c r="CO25" i="2" a="1"/>
  <c r="CO25" i="2" s="1"/>
  <c r="CP25" i="2"/>
  <c r="CP25" i="2" a="1"/>
  <c r="CR25" i="2" a="1"/>
  <c r="CR25" i="2" s="1"/>
  <c r="CS25" i="2" a="1"/>
  <c r="CS25" i="2" s="1"/>
  <c r="CS48" i="2" s="1"/>
  <c r="CT25" i="2" a="1"/>
  <c r="CT25" i="2" s="1"/>
  <c r="CU25" i="2" a="1"/>
  <c r="CU25" i="2" s="1"/>
  <c r="CV25" i="2"/>
  <c r="CV25" i="2" a="1"/>
  <c r="CW25" i="2" a="1"/>
  <c r="CW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W26" i="2" a="1"/>
  <c r="CW26" i="2" s="1"/>
  <c r="CO27" i="2"/>
  <c r="CO27" i="2" a="1"/>
  <c r="CP27" i="2"/>
  <c r="CP27" i="2" a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O28" i="2"/>
  <c r="CO28" i="2" a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O29" i="2"/>
  <c r="CO29" i="2" a="1"/>
  <c r="CP29" i="2"/>
  <c r="CP29" i="2" a="1"/>
  <c r="CR29" i="2" a="1"/>
  <c r="CR29" i="2" s="1"/>
  <c r="CS29" i="2" a="1"/>
  <c r="CS29" i="2" s="1"/>
  <c r="CT29" i="2" a="1"/>
  <c r="CT29" i="2" s="1"/>
  <c r="CU29" i="2" a="1"/>
  <c r="CU29" i="2" s="1"/>
  <c r="CV29" i="2" a="1"/>
  <c r="CV29" i="2" s="1"/>
  <c r="CW29" i="2" a="1"/>
  <c r="CW29" i="2" s="1"/>
  <c r="CO30" i="2"/>
  <c r="CO30" i="2" a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/>
  <c r="CO31" i="2" a="1"/>
  <c r="CP31" i="2"/>
  <c r="CP31" i="2" a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2" i="2"/>
  <c r="CO32" i="2" a="1"/>
  <c r="CP32" i="2"/>
  <c r="CP32" i="2" a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W32" i="2" a="1"/>
  <c r="CW32" i="2" s="1"/>
  <c r="CO33" i="2"/>
  <c r="CO33" i="2" a="1"/>
  <c r="CP33" i="2"/>
  <c r="CP33" i="2" a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/>
  <c r="CO34" i="2" a="1"/>
  <c r="CP34" i="2"/>
  <c r="CP34" i="2" a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/>
  <c r="CO35" i="2" a="1"/>
  <c r="CP35" i="2"/>
  <c r="CP35" i="2" a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/>
  <c r="CO36" i="2" a="1"/>
  <c r="CP36" i="2"/>
  <c r="CP36" i="2" a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/>
  <c r="CO37" i="2" a="1"/>
  <c r="CP37" i="2"/>
  <c r="CP37" i="2" a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8" i="2"/>
  <c r="CO38" i="2" a="1"/>
  <c r="CP38" i="2"/>
  <c r="CP38" i="2" a="1"/>
  <c r="CR38" i="2" a="1"/>
  <c r="CR38" i="2" s="1"/>
  <c r="CS38" i="2" a="1"/>
  <c r="CS38" i="2" s="1"/>
  <c r="CT38" i="2"/>
  <c r="CT38" i="2" a="1"/>
  <c r="CU38" i="2" a="1"/>
  <c r="CU38" i="2" s="1"/>
  <c r="CV38" i="2" a="1"/>
  <c r="CV38" i="2" s="1"/>
  <c r="CW38" i="2" a="1"/>
  <c r="CW38" i="2" s="1"/>
  <c r="CO39" i="2"/>
  <c r="CO39" i="2" a="1"/>
  <c r="CP39" i="2"/>
  <c r="CP39" i="2" a="1"/>
  <c r="CR39" i="2" a="1"/>
  <c r="CR39" i="2" s="1"/>
  <c r="CS39" i="2"/>
  <c r="CS39" i="2" a="1"/>
  <c r="CT39" i="2" a="1"/>
  <c r="CT39" i="2" s="1"/>
  <c r="CU39" i="2" a="1"/>
  <c r="CU39" i="2" s="1"/>
  <c r="CV39" i="2" a="1"/>
  <c r="CV39" i="2" s="1"/>
  <c r="CW39" i="2" a="1"/>
  <c r="CW39" i="2" s="1"/>
  <c r="CO40" i="2" a="1"/>
  <c r="CO40" i="2" s="1"/>
  <c r="CP40" i="2"/>
  <c r="CP40" i="2" a="1"/>
  <c r="CR40" i="2"/>
  <c r="CR40" i="2" a="1"/>
  <c r="CS40" i="2" a="1"/>
  <c r="CS40" i="2" s="1"/>
  <c r="CT40" i="2" a="1"/>
  <c r="CT40" i="2" s="1"/>
  <c r="CU40" i="2" a="1"/>
  <c r="CU40" i="2" s="1"/>
  <c r="CV40" i="2" a="1"/>
  <c r="CV40" i="2" s="1"/>
  <c r="CW40" i="2" a="1"/>
  <c r="CW40" i="2" s="1"/>
  <c r="CO41" i="2"/>
  <c r="CO41" i="2" a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W41" i="2"/>
  <c r="CW41" i="2" a="1"/>
  <c r="CO42" i="2" a="1"/>
  <c r="CO42" i="2" s="1"/>
  <c r="CP42" i="2"/>
  <c r="CP42" i="2" a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CW42" i="2"/>
  <c r="CW42" i="2" a="1"/>
  <c r="CO43" i="2" a="1"/>
  <c r="CO43" i="2" s="1"/>
  <c r="CP43" i="2"/>
  <c r="CP43" i="2" a="1"/>
  <c r="CR43" i="2"/>
  <c r="CR43" i="2" a="1"/>
  <c r="CS43" i="2" a="1"/>
  <c r="CS43" i="2" s="1"/>
  <c r="CT43" i="2"/>
  <c r="CT43" i="2" a="1"/>
  <c r="CU43" i="2" a="1"/>
  <c r="CU43" i="2" s="1"/>
  <c r="CV43" i="2"/>
  <c r="CV43" i="2" a="1"/>
  <c r="CW43" i="2" a="1"/>
  <c r="CW43" i="2" s="1"/>
  <c r="CO44" i="2"/>
  <c r="CO44" i="2" a="1"/>
  <c r="CP44" i="2" a="1"/>
  <c r="CP44" i="2" s="1"/>
  <c r="CR44" i="2" a="1"/>
  <c r="CR44" i="2" s="1"/>
  <c r="CS44" i="2"/>
  <c r="CS44" i="2" a="1"/>
  <c r="CT44" i="2" a="1"/>
  <c r="CT44" i="2" s="1"/>
  <c r="CU44" i="2"/>
  <c r="CU44" i="2" a="1"/>
  <c r="CV44" i="2" a="1"/>
  <c r="CV44" i="2" s="1"/>
  <c r="CW44" i="2"/>
  <c r="CW44" i="2" a="1"/>
  <c r="CO45" i="2" a="1"/>
  <c r="CO45" i="2" s="1"/>
  <c r="CP45" i="2"/>
  <c r="CP45" i="2" a="1"/>
  <c r="CR45" i="2"/>
  <c r="CR45" i="2" a="1"/>
  <c r="CS45" i="2" a="1"/>
  <c r="CS45" i="2" s="1"/>
  <c r="CT45" i="2"/>
  <c r="CT45" i="2" a="1"/>
  <c r="CU45" i="2" a="1"/>
  <c r="CU45" i="2" s="1"/>
  <c r="CV45" i="2"/>
  <c r="CV45" i="2" a="1"/>
  <c r="CW45" i="2" a="1"/>
  <c r="CW45" i="2" s="1"/>
  <c r="CO46" i="2"/>
  <c r="CO46" i="2" a="1"/>
  <c r="CP46" i="2" a="1"/>
  <c r="CP46" i="2" s="1"/>
  <c r="CR46" i="2" a="1"/>
  <c r="CR46" i="2" s="1"/>
  <c r="CS46" i="2"/>
  <c r="CS46" i="2" a="1"/>
  <c r="CT46" i="2" a="1"/>
  <c r="CT46" i="2" s="1"/>
  <c r="CU46" i="2"/>
  <c r="CU46" i="2" a="1"/>
  <c r="CV46" i="2" a="1"/>
  <c r="CV46" i="2" s="1"/>
  <c r="CW46" i="2"/>
  <c r="CW46" i="2" a="1"/>
  <c r="D49" i="2" a="1"/>
  <c r="D49" i="2" s="1"/>
  <c r="E49" i="2"/>
  <c r="E49" i="2" a="1"/>
  <c r="F49" i="2" a="1"/>
  <c r="F49" i="2" s="1"/>
  <c r="G49" i="2"/>
  <c r="G49" i="2" a="1"/>
  <c r="H49" i="2" a="1"/>
  <c r="H49" i="2" s="1"/>
  <c r="I49" i="2"/>
  <c r="I49" i="2" a="1"/>
  <c r="J49" i="2" a="1"/>
  <c r="J49" i="2" s="1"/>
  <c r="K49" i="2"/>
  <c r="K49" i="2" a="1"/>
  <c r="L49" i="2" a="1"/>
  <c r="L49" i="2" s="1"/>
  <c r="M49" i="2"/>
  <c r="M49" i="2" a="1"/>
  <c r="N49" i="2" a="1"/>
  <c r="N49" i="2" s="1"/>
  <c r="O49" i="2"/>
  <c r="O49" i="2" a="1"/>
  <c r="P49" i="2" a="1"/>
  <c r="P49" i="2" s="1"/>
  <c r="Q49" i="2"/>
  <c r="Q49" i="2" a="1"/>
  <c r="R49" i="2" a="1"/>
  <c r="R49" i="2" s="1"/>
  <c r="S49" i="2"/>
  <c r="S49" i="2" a="1"/>
  <c r="T49" i="2" a="1"/>
  <c r="T49" i="2" s="1"/>
  <c r="U49" i="2"/>
  <c r="U49" i="2" a="1"/>
  <c r="V49" i="2" a="1"/>
  <c r="V49" i="2" s="1"/>
  <c r="W49" i="2"/>
  <c r="W49" i="2" a="1"/>
  <c r="X49" i="2" a="1"/>
  <c r="X49" i="2" s="1"/>
  <c r="Y49" i="2"/>
  <c r="Y49" i="2" a="1"/>
  <c r="Z49" i="2" a="1"/>
  <c r="Z49" i="2" s="1"/>
  <c r="AA49" i="2"/>
  <c r="AA49" i="2" a="1"/>
  <c r="AB49" i="2" a="1"/>
  <c r="AB49" i="2" s="1"/>
  <c r="AC49" i="2"/>
  <c r="AC49" i="2" a="1"/>
  <c r="AD49" i="2" a="1"/>
  <c r="AD49" i="2" s="1"/>
  <c r="AE49" i="2"/>
  <c r="AE49" i="2" a="1"/>
  <c r="AF49" i="2" a="1"/>
  <c r="AF49" i="2" s="1"/>
  <c r="AG49" i="2"/>
  <c r="AG49" i="2" a="1"/>
  <c r="AH49" i="2" a="1"/>
  <c r="AH49" i="2" s="1"/>
  <c r="AI49" i="2"/>
  <c r="AI49" i="2" a="1"/>
  <c r="AJ49" i="2" a="1"/>
  <c r="AJ49" i="2" s="1"/>
  <c r="AK49" i="2"/>
  <c r="AK49" i="2" a="1"/>
  <c r="AL49" i="2" a="1"/>
  <c r="AL49" i="2" s="1"/>
  <c r="AM49" i="2"/>
  <c r="AM49" i="2" a="1"/>
  <c r="AN49" i="2" a="1"/>
  <c r="AN49" i="2" s="1"/>
  <c r="AO49" i="2" a="1"/>
  <c r="AO49" i="2" s="1"/>
  <c r="AP49" i="2" a="1"/>
  <c r="AP49" i="2" s="1"/>
  <c r="AQ49" i="2" a="1"/>
  <c r="AQ49" i="2" s="1"/>
  <c r="AR49" i="2"/>
  <c r="AR49" i="2" a="1"/>
  <c r="AS49" i="2" a="1"/>
  <c r="AS49" i="2" s="1"/>
  <c r="AT49" i="2"/>
  <c r="AT49" i="2" a="1"/>
  <c r="AU49" i="2" a="1"/>
  <c r="AU49" i="2" s="1"/>
  <c r="AV49" i="2" a="1"/>
  <c r="AV49" i="2" s="1"/>
  <c r="AW49" i="2" a="1"/>
  <c r="AW49" i="2" s="1"/>
  <c r="AX49" i="2" a="1"/>
  <c r="AX49" i="2" s="1"/>
  <c r="AY49" i="2" a="1"/>
  <c r="AY49" i="2" s="1"/>
  <c r="AZ49" i="2"/>
  <c r="AZ49" i="2" a="1"/>
  <c r="BA49" i="2" a="1"/>
  <c r="BA49" i="2" s="1"/>
  <c r="BB49" i="2" a="1"/>
  <c r="BB49" i="2" s="1"/>
  <c r="BC49" i="2" a="1"/>
  <c r="BC49" i="2" s="1"/>
  <c r="BD49" i="2" a="1"/>
  <c r="BD49" i="2" s="1"/>
  <c r="BE49" i="2" a="1"/>
  <c r="BE49" i="2" s="1"/>
  <c r="BF49" i="2" a="1"/>
  <c r="BF49" i="2" s="1"/>
  <c r="D50" i="2"/>
  <c r="D50" i="2" a="1"/>
  <c r="E50" i="2" a="1"/>
  <c r="E50" i="2" s="1"/>
  <c r="F50" i="2"/>
  <c r="F50" i="2" a="1"/>
  <c r="G50" i="2" a="1"/>
  <c r="G50" i="2" s="1"/>
  <c r="H50" i="2"/>
  <c r="H50" i="2" a="1"/>
  <c r="I50" i="2" a="1"/>
  <c r="I50" i="2" s="1"/>
  <c r="J50" i="2"/>
  <c r="J50" i="2" a="1"/>
  <c r="K50" i="2" a="1"/>
  <c r="K50" i="2" s="1"/>
  <c r="L50" i="2"/>
  <c r="L50" i="2" a="1"/>
  <c r="M50" i="2" a="1"/>
  <c r="M50" i="2" s="1"/>
  <c r="N50" i="2"/>
  <c r="N50" i="2" a="1"/>
  <c r="O50" i="2" a="1"/>
  <c r="O50" i="2" s="1"/>
  <c r="P50" i="2"/>
  <c r="P50" i="2" a="1"/>
  <c r="Q50" i="2" a="1"/>
  <c r="Q50" i="2" s="1"/>
  <c r="R50" i="2"/>
  <c r="R50" i="2" a="1"/>
  <c r="S50" i="2" a="1"/>
  <c r="S50" i="2" s="1"/>
  <c r="T50" i="2"/>
  <c r="T50" i="2" a="1"/>
  <c r="U50" i="2" a="1"/>
  <c r="U50" i="2" s="1"/>
  <c r="V50" i="2"/>
  <c r="V50" i="2" a="1"/>
  <c r="W50" i="2" a="1"/>
  <c r="W50" i="2" s="1"/>
  <c r="X50" i="2"/>
  <c r="X50" i="2" a="1"/>
  <c r="Y50" i="2" a="1"/>
  <c r="Y50" i="2" s="1"/>
  <c r="Z50" i="2"/>
  <c r="Z50" i="2" a="1"/>
  <c r="AA50" i="2" a="1"/>
  <c r="AA50" i="2" s="1"/>
  <c r="AB50" i="2"/>
  <c r="AB50" i="2" a="1"/>
  <c r="AC50" i="2" a="1"/>
  <c r="AC50" i="2" s="1"/>
  <c r="AD50" i="2" a="1"/>
  <c r="AD50" i="2" s="1"/>
  <c r="AE50" i="2" a="1"/>
  <c r="AE50" i="2" s="1"/>
  <c r="AF50" i="2" a="1"/>
  <c r="AF50" i="2" s="1"/>
  <c r="AG50" i="2" a="1"/>
  <c r="AG50" i="2" s="1"/>
  <c r="AH50" i="2" a="1"/>
  <c r="AH50" i="2" s="1"/>
  <c r="AI50" i="2" a="1"/>
  <c r="AI50" i="2" s="1"/>
  <c r="AJ50" i="2"/>
  <c r="AJ50" i="2" a="1"/>
  <c r="AK50" i="2" a="1"/>
  <c r="AK50" i="2" s="1"/>
  <c r="AL50" i="2" a="1"/>
  <c r="AL50" i="2" s="1"/>
  <c r="AM50" i="2" a="1"/>
  <c r="AM50" i="2" s="1"/>
  <c r="AN50" i="2" a="1"/>
  <c r="AN50" i="2" s="1"/>
  <c r="AO50" i="2" a="1"/>
  <c r="AO50" i="2" s="1"/>
  <c r="AP50" i="2" a="1"/>
  <c r="AP50" i="2" s="1"/>
  <c r="AQ50" i="2" a="1"/>
  <c r="AQ50" i="2" s="1"/>
  <c r="AR50" i="2"/>
  <c r="AR50" i="2" a="1"/>
  <c r="AS50" i="2" a="1"/>
  <c r="AS50" i="2" s="1"/>
  <c r="AT50" i="2" a="1"/>
  <c r="AT50" i="2" s="1"/>
  <c r="AU50" i="2" a="1"/>
  <c r="AU50" i="2" s="1"/>
  <c r="AV50" i="2" a="1"/>
  <c r="AV50" i="2" s="1"/>
  <c r="AW50" i="2" a="1"/>
  <c r="AW50" i="2" s="1"/>
  <c r="AX50" i="2" a="1"/>
  <c r="AX50" i="2" s="1"/>
  <c r="AY50" i="2" a="1"/>
  <c r="AY50" i="2" s="1"/>
  <c r="AZ50" i="2"/>
  <c r="AZ50" i="2" a="1"/>
  <c r="BA50" i="2" a="1"/>
  <c r="BA50" i="2" s="1"/>
  <c r="BB50" i="2" a="1"/>
  <c r="BB50" i="2" s="1"/>
  <c r="BC50" i="2" a="1"/>
  <c r="BC50" i="2" s="1"/>
  <c r="BD50" i="2" a="1"/>
  <c r="BD50" i="2" s="1"/>
  <c r="BE50" i="2" a="1"/>
  <c r="BE50" i="2" s="1"/>
  <c r="BF50" i="2" a="1"/>
  <c r="BF50" i="2" s="1"/>
  <c r="B1" i="3"/>
  <c r="B1" i="3" a="1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38" i="3" a="1"/>
  <c r="S38" i="3" s="1"/>
  <c r="AI38" i="3"/>
  <c r="AY38" i="3"/>
  <c r="K39" i="3"/>
  <c r="AQ39" i="3"/>
  <c r="C43" i="3"/>
  <c r="C43" i="3" a="1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44" i="3"/>
  <c r="B15" i="4"/>
  <c r="C15" i="4"/>
  <c r="F15" i="4"/>
  <c r="G15" i="4"/>
  <c r="J15" i="4"/>
  <c r="K15" i="4"/>
  <c r="N15" i="4"/>
  <c r="O15" i="4"/>
  <c r="AB15" i="4"/>
  <c r="AC15" i="4"/>
  <c r="AF15" i="4"/>
  <c r="AG15" i="4"/>
  <c r="AJ15" i="4"/>
  <c r="AK15" i="4"/>
  <c r="AO15" i="4"/>
  <c r="A16" i="4"/>
  <c r="B16" i="4"/>
  <c r="C16" i="4"/>
  <c r="D16" i="4"/>
  <c r="D15" i="4" s="1"/>
  <c r="E16" i="4"/>
  <c r="E15" i="4" s="1"/>
  <c r="F16" i="4"/>
  <c r="G16" i="4"/>
  <c r="H16" i="4"/>
  <c r="H15" i="4" s="1"/>
  <c r="I16" i="4"/>
  <c r="I15" i="4" s="1"/>
  <c r="J16" i="4"/>
  <c r="K16" i="4"/>
  <c r="L16" i="4"/>
  <c r="L15" i="4" s="1"/>
  <c r="M16" i="4"/>
  <c r="M15" i="4" s="1"/>
  <c r="N16" i="4"/>
  <c r="O16" i="4"/>
  <c r="Z16" i="4"/>
  <c r="Z15" i="4" s="1"/>
  <c r="AA16" i="4"/>
  <c r="AA15" i="4" s="1"/>
  <c r="AB16" i="4"/>
  <c r="AC16" i="4"/>
  <c r="AD16" i="4"/>
  <c r="AD15" i="4" s="1"/>
  <c r="AE16" i="4"/>
  <c r="AE15" i="4" s="1"/>
  <c r="AF16" i="4"/>
  <c r="AG16" i="4"/>
  <c r="AH16" i="4"/>
  <c r="AH15" i="4" s="1"/>
  <c r="AI16" i="4"/>
  <c r="AI15" i="4" s="1"/>
  <c r="AJ16" i="4"/>
  <c r="AK16" i="4"/>
  <c r="AL16" i="4"/>
  <c r="AL15" i="4" s="1"/>
  <c r="AM16" i="4"/>
  <c r="AM15" i="4" s="1"/>
  <c r="AN16" i="4"/>
  <c r="AN15" i="4" s="1"/>
  <c r="AO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B43" i="4" s="1"/>
  <c r="C29" i="4"/>
  <c r="C41" i="4" s="1"/>
  <c r="D29" i="4"/>
  <c r="E29" i="4"/>
  <c r="F29" i="4"/>
  <c r="F41" i="4" s="1"/>
  <c r="F42" i="4" s="1"/>
  <c r="F43" i="4" s="1"/>
  <c r="G29" i="4"/>
  <c r="G41" i="4" s="1"/>
  <c r="G42" i="4" s="1"/>
  <c r="G43" i="4" s="1"/>
  <c r="H29" i="4"/>
  <c r="I29" i="4"/>
  <c r="J29" i="4"/>
  <c r="J41" i="4" s="1"/>
  <c r="J42" i="4" s="1"/>
  <c r="J43" i="4" s="1"/>
  <c r="K29" i="4"/>
  <c r="K41" i="4" s="1"/>
  <c r="L29" i="4"/>
  <c r="M29" i="4"/>
  <c r="N29" i="4"/>
  <c r="N41" i="4" s="1"/>
  <c r="N42" i="4" s="1"/>
  <c r="N43" i="4" s="1"/>
  <c r="O29" i="4"/>
  <c r="O41" i="4" s="1"/>
  <c r="O42" i="4" s="1"/>
  <c r="O43" i="4" s="1"/>
  <c r="Z29" i="4"/>
  <c r="AA29" i="4"/>
  <c r="AB29" i="4"/>
  <c r="AB41" i="4" s="1"/>
  <c r="AB42" i="4" s="1"/>
  <c r="AB43" i="4" s="1"/>
  <c r="AC29" i="4"/>
  <c r="AC41" i="4" s="1"/>
  <c r="AD29" i="4"/>
  <c r="AE29" i="4"/>
  <c r="AF29" i="4"/>
  <c r="AG29" i="4"/>
  <c r="AG41" i="4" s="1"/>
  <c r="AG42" i="4" s="1"/>
  <c r="AG43" i="4" s="1"/>
  <c r="AH29" i="4"/>
  <c r="AI29" i="4"/>
  <c r="AJ29" i="4"/>
  <c r="AJ41" i="4" s="1"/>
  <c r="AJ42" i="4" s="1"/>
  <c r="AJ43" i="4" s="1"/>
  <c r="AK29" i="4"/>
  <c r="AK41" i="4" s="1"/>
  <c r="AL29" i="4"/>
  <c r="AM29" i="4"/>
  <c r="AN29" i="4"/>
  <c r="AN41" i="4" s="1"/>
  <c r="AN42" i="4" s="1"/>
  <c r="AN43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A43" i="4" s="1"/>
  <c r="D41" i="4"/>
  <c r="D42" i="4" s="1"/>
  <c r="E41" i="4"/>
  <c r="E42" i="4" s="1"/>
  <c r="E43" i="4" s="1"/>
  <c r="H41" i="4"/>
  <c r="H42" i="4" s="1"/>
  <c r="H43" i="4" s="1"/>
  <c r="I41" i="4"/>
  <c r="I42" i="4" s="1"/>
  <c r="L41" i="4"/>
  <c r="L42" i="4" s="1"/>
  <c r="M41" i="4"/>
  <c r="M42" i="4" s="1"/>
  <c r="M43" i="4" s="1"/>
  <c r="Z41" i="4"/>
  <c r="Z42" i="4" s="1"/>
  <c r="Z43" i="4" s="1"/>
  <c r="AA41" i="4"/>
  <c r="AA42" i="4" s="1"/>
  <c r="AA43" i="4" s="1"/>
  <c r="AD41" i="4"/>
  <c r="AD42" i="4" s="1"/>
  <c r="AE41" i="4"/>
  <c r="AE42" i="4" s="1"/>
  <c r="AE43" i="4" s="1"/>
  <c r="AF41" i="4"/>
  <c r="AF42" i="4" s="1"/>
  <c r="AF43" i="4" s="1"/>
  <c r="AH41" i="4"/>
  <c r="AH42" i="4" s="1"/>
  <c r="AH43" i="4" s="1"/>
  <c r="AI41" i="4"/>
  <c r="AI42" i="4" s="1"/>
  <c r="AL41" i="4"/>
  <c r="AL42" i="4" s="1"/>
  <c r="AM41" i="4"/>
  <c r="AM42" i="4" s="1"/>
  <c r="AM43" i="4" s="1"/>
  <c r="C42" i="4"/>
  <c r="C43" i="4" s="1"/>
  <c r="K42" i="4"/>
  <c r="K43" i="4" s="1"/>
  <c r="AC42" i="4"/>
  <c r="AC43" i="4" s="1"/>
  <c r="AK42" i="4"/>
  <c r="AK43" i="4" s="1"/>
  <c r="D43" i="4"/>
  <c r="L43" i="4"/>
  <c r="AD43" i="4"/>
  <c r="AL43" i="4"/>
  <c r="H44" i="4"/>
  <c r="H45" i="4" s="1"/>
  <c r="O45" i="4" s="1"/>
  <c r="D4" i="7" s="1"/>
  <c r="D45" i="4" a="1"/>
  <c r="D45" i="4" s="1"/>
  <c r="D46" i="4" a="1"/>
  <c r="D46" i="4" s="1"/>
  <c r="H46" i="4"/>
  <c r="L46" i="4"/>
  <c r="A5" i="7" s="1"/>
  <c r="D47" i="4"/>
  <c r="D47" i="4" a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A4" i="7"/>
  <c r="C1" i="1" a="1"/>
  <c r="C1" i="1" s="1"/>
  <c r="D1" i="1" a="1"/>
  <c r="D1" i="1" s="1"/>
  <c r="C2" i="1" a="1"/>
  <c r="C2" i="1" s="1"/>
  <c r="D2" i="1" a="1"/>
  <c r="D2" i="1" s="1"/>
  <c r="AB2" i="1"/>
  <c r="C3" i="1" a="1"/>
  <c r="C3" i="1" s="1"/>
  <c r="A5" i="1"/>
  <c r="Y5" i="1"/>
  <c r="Y63" i="1" s="1"/>
  <c r="Z5" i="1"/>
  <c r="AA5" i="1"/>
  <c r="AB5" i="1"/>
  <c r="AB63" i="1" s="1"/>
  <c r="AC5" i="1"/>
  <c r="AD5" i="1"/>
  <c r="A6" i="1"/>
  <c r="Y6" i="1"/>
  <c r="Z6" i="1"/>
  <c r="AA6" i="1"/>
  <c r="AB6" i="1"/>
  <c r="AB3" i="1" s="1" a="1"/>
  <c r="AB3" i="1" s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/>
  <c r="O65" i="1" s="1"/>
  <c r="O66" i="1" s="1"/>
  <c r="O63" i="1" a="1"/>
  <c r="P63" i="1"/>
  <c r="P63" i="1" a="1"/>
  <c r="Q63" i="1"/>
  <c r="R63" i="1"/>
  <c r="S63" i="1"/>
  <c r="T63" i="1"/>
  <c r="U63" i="1"/>
  <c r="V63" i="1"/>
  <c r="W63" i="1"/>
  <c r="X63" i="1"/>
  <c r="AA63" i="1"/>
  <c r="AA65" i="1" s="1"/>
  <c r="AC63" i="1"/>
  <c r="O64" i="1"/>
  <c r="O64" i="1" a="1"/>
  <c r="P64" i="1"/>
  <c r="P64" i="1" a="1"/>
  <c r="S65" i="1"/>
  <c r="W65" i="1"/>
  <c r="CN5" i="2"/>
  <c r="DA5" i="2"/>
  <c r="CE6" i="2"/>
  <c r="CG5" i="2"/>
  <c r="CK5" i="2"/>
  <c r="CQ5" i="2"/>
  <c r="CH5" i="2"/>
  <c r="DC5" i="2"/>
  <c r="CI6" i="2"/>
  <c r="CM6" i="2"/>
  <c r="CZ6" i="2"/>
  <c r="DD6" i="2"/>
  <c r="CH7" i="2"/>
  <c r="CY7" i="2"/>
  <c r="DC7" i="2"/>
  <c r="CG8" i="2"/>
  <c r="CK8" i="2"/>
  <c r="CQ8" i="2"/>
  <c r="DB8" i="2"/>
  <c r="CN9" i="2"/>
  <c r="DA9" i="2"/>
  <c r="CE10" i="2"/>
  <c r="CI10" i="2"/>
  <c r="CM10" i="2"/>
  <c r="CZ10" i="2"/>
  <c r="DD10" i="2"/>
  <c r="CH11" i="2"/>
  <c r="DB11" i="2"/>
  <c r="CN12" i="2"/>
  <c r="CZ12" i="2"/>
  <c r="DD12" i="2"/>
  <c r="CH13" i="2"/>
  <c r="DB13" i="2"/>
  <c r="CN14" i="2"/>
  <c r="CZ14" i="2"/>
  <c r="DD14" i="2"/>
  <c r="CH15" i="2"/>
  <c r="DB15" i="2"/>
  <c r="CN16" i="2"/>
  <c r="CZ16" i="2"/>
  <c r="DD16" i="2"/>
  <c r="CH17" i="2"/>
  <c r="DB17" i="2"/>
  <c r="CN18" i="2"/>
  <c r="CZ18" i="2"/>
  <c r="DD18" i="2"/>
  <c r="CH19" i="2"/>
  <c r="DB19" i="2"/>
  <c r="CN20" i="2"/>
  <c r="CZ20" i="2"/>
  <c r="DD20" i="2"/>
  <c r="CH21" i="2"/>
  <c r="CI5" i="2"/>
  <c r="CY5" i="2"/>
  <c r="DD5" i="2"/>
  <c r="CN6" i="2"/>
  <c r="DA6" i="2"/>
  <c r="CE7" i="2"/>
  <c r="CI7" i="2"/>
  <c r="CM7" i="2"/>
  <c r="CZ7" i="2"/>
  <c r="DD7" i="2"/>
  <c r="CH8" i="2"/>
  <c r="CY8" i="2"/>
  <c r="DC8" i="2"/>
  <c r="CG9" i="2"/>
  <c r="CK9" i="2"/>
  <c r="CQ9" i="2"/>
  <c r="DB9" i="2"/>
  <c r="CN10" i="2"/>
  <c r="DA10" i="2"/>
  <c r="CE11" i="2"/>
  <c r="CI11" i="2"/>
  <c r="CM11" i="2"/>
  <c r="CY11" i="2"/>
  <c r="DC11" i="2"/>
  <c r="CG12" i="2"/>
  <c r="CK12" i="2"/>
  <c r="CQ12" i="2"/>
  <c r="DA12" i="2"/>
  <c r="CE13" i="2"/>
  <c r="CI13" i="2"/>
  <c r="CM13" i="2"/>
  <c r="CY13" i="2"/>
  <c r="DC13" i="2"/>
  <c r="CG14" i="2"/>
  <c r="CK14" i="2"/>
  <c r="CQ14" i="2"/>
  <c r="DA14" i="2"/>
  <c r="CE15" i="2"/>
  <c r="CI15" i="2"/>
  <c r="CM15" i="2"/>
  <c r="CY15" i="2"/>
  <c r="DC15" i="2"/>
  <c r="CG16" i="2"/>
  <c r="CK16" i="2"/>
  <c r="CQ16" i="2"/>
  <c r="DA16" i="2"/>
  <c r="CE17" i="2"/>
  <c r="CI17" i="2"/>
  <c r="CM17" i="2"/>
  <c r="CZ5" i="2"/>
  <c r="CG6" i="2"/>
  <c r="CK6" i="2"/>
  <c r="CQ6" i="2"/>
  <c r="DB6" i="2"/>
  <c r="CN7" i="2"/>
  <c r="DA7" i="2"/>
  <c r="CE8" i="2"/>
  <c r="CI8" i="2"/>
  <c r="CM8" i="2"/>
  <c r="CZ8" i="2"/>
  <c r="DD8" i="2"/>
  <c r="CH9" i="2"/>
  <c r="CY9" i="2"/>
  <c r="DC9" i="2"/>
  <c r="CG10" i="2"/>
  <c r="CK10" i="2"/>
  <c r="CQ10" i="2"/>
  <c r="DB10" i="2"/>
  <c r="CN11" i="2"/>
  <c r="CZ11" i="2"/>
  <c r="DD11" i="2"/>
  <c r="CH12" i="2"/>
  <c r="DB12" i="2"/>
  <c r="CN13" i="2"/>
  <c r="CZ13" i="2"/>
  <c r="DD13" i="2"/>
  <c r="CH14" i="2"/>
  <c r="DB14" i="2"/>
  <c r="CN15" i="2"/>
  <c r="CZ15" i="2"/>
  <c r="DD15" i="2"/>
  <c r="CH16" i="2"/>
  <c r="DB16" i="2"/>
  <c r="CN17" i="2"/>
  <c r="CZ17" i="2"/>
  <c r="DD17" i="2"/>
  <c r="CH18" i="2"/>
  <c r="DB18" i="2"/>
  <c r="CN19" i="2"/>
  <c r="CZ19" i="2"/>
  <c r="DD19" i="2"/>
  <c r="CH20" i="2"/>
  <c r="DB20" i="2"/>
  <c r="CN21" i="2"/>
  <c r="CZ21" i="2"/>
  <c r="DD21" i="2"/>
  <c r="CH22" i="2"/>
  <c r="DB22" i="2"/>
  <c r="CN23" i="2"/>
  <c r="CZ23" i="2"/>
  <c r="DD23" i="2"/>
  <c r="CH24" i="2"/>
  <c r="DB24" i="2"/>
  <c r="CN25" i="2"/>
  <c r="CZ25" i="2"/>
  <c r="DD25" i="2"/>
  <c r="CH26" i="2"/>
  <c r="CY6" i="2"/>
  <c r="CK7" i="2"/>
  <c r="CQ7" i="2"/>
  <c r="DA8" i="2"/>
  <c r="CM9" i="2"/>
  <c r="CH10" i="2"/>
  <c r="DC10" i="2"/>
  <c r="CI12" i="2"/>
  <c r="CI14" i="2"/>
  <c r="CE16" i="2"/>
  <c r="CG17" i="2"/>
  <c r="CI18" i="2"/>
  <c r="DC18" i="2"/>
  <c r="CG19" i="2"/>
  <c r="CQ19" i="2"/>
  <c r="DA19" i="2"/>
  <c r="CE20" i="2"/>
  <c r="CM20" i="2"/>
  <c r="CY20" i="2"/>
  <c r="CK21" i="2"/>
  <c r="DC21" i="2"/>
  <c r="CE22" i="2"/>
  <c r="CQ22" i="2"/>
  <c r="DA22" i="2"/>
  <c r="CH23" i="2"/>
  <c r="CM23" i="2"/>
  <c r="CY23" i="2"/>
  <c r="CK24" i="2"/>
  <c r="DC24" i="2"/>
  <c r="CI25" i="2"/>
  <c r="CQ25" i="2"/>
  <c r="DA25" i="2"/>
  <c r="CG26" i="2"/>
  <c r="CM26" i="2"/>
  <c r="CZ26" i="2"/>
  <c r="DD26" i="2"/>
  <c r="CH27" i="2"/>
  <c r="DB27" i="2"/>
  <c r="CN28" i="2"/>
  <c r="CZ28" i="2"/>
  <c r="DD28" i="2"/>
  <c r="CH29" i="2"/>
  <c r="DB29" i="2"/>
  <c r="CN30" i="2"/>
  <c r="CZ30" i="2"/>
  <c r="DD30" i="2"/>
  <c r="CH31" i="2"/>
  <c r="DB31" i="2"/>
  <c r="CN32" i="2"/>
  <c r="CZ32" i="2"/>
  <c r="DD32" i="2"/>
  <c r="CH33" i="2"/>
  <c r="DB33" i="2"/>
  <c r="CN34" i="2"/>
  <c r="CZ34" i="2"/>
  <c r="DD34" i="2"/>
  <c r="CH35" i="2"/>
  <c r="DB35" i="2"/>
  <c r="CN36" i="2"/>
  <c r="CZ36" i="2"/>
  <c r="DD36" i="2"/>
  <c r="CH37" i="2"/>
  <c r="DB37" i="2"/>
  <c r="CN38" i="2"/>
  <c r="CZ38" i="2"/>
  <c r="DD38" i="2"/>
  <c r="CH39" i="2"/>
  <c r="DB39" i="2"/>
  <c r="CN40" i="2"/>
  <c r="CZ40" i="2"/>
  <c r="DD40" i="2"/>
  <c r="CH41" i="2"/>
  <c r="DB41" i="2"/>
  <c r="CN42" i="2"/>
  <c r="CE5" i="2"/>
  <c r="CH6" i="2"/>
  <c r="DC6" i="2"/>
  <c r="CZ9" i="2"/>
  <c r="DA11" i="2"/>
  <c r="CM12" i="2"/>
  <c r="CG13" i="2"/>
  <c r="DA13" i="2"/>
  <c r="CM14" i="2"/>
  <c r="CG15" i="2"/>
  <c r="CI16" i="2"/>
  <c r="CY16" i="2"/>
  <c r="CK17" i="2"/>
  <c r="CY17" i="2"/>
  <c r="CK18" i="2"/>
  <c r="CI19" i="2"/>
  <c r="DC19" i="2"/>
  <c r="CG20" i="2"/>
  <c r="CQ20" i="2"/>
  <c r="DA20" i="2"/>
  <c r="CE21" i="2"/>
  <c r="CM21" i="2"/>
  <c r="CY21" i="2"/>
  <c r="CK22" i="2"/>
  <c r="DC22" i="2"/>
  <c r="CI23" i="2"/>
  <c r="CQ23" i="2"/>
  <c r="DA23" i="2"/>
  <c r="CG24" i="2"/>
  <c r="CM24" i="2"/>
  <c r="CY24" i="2"/>
  <c r="DD24" i="2"/>
  <c r="CE25" i="2"/>
  <c r="CK25" i="2"/>
  <c r="DB25" i="2"/>
  <c r="CI26" i="2"/>
  <c r="CN26" i="2"/>
  <c r="DA26" i="2"/>
  <c r="CE27" i="2"/>
  <c r="CI27" i="2"/>
  <c r="CM27" i="2"/>
  <c r="CY27" i="2"/>
  <c r="DC27" i="2"/>
  <c r="CG28" i="2"/>
  <c r="CK28" i="2"/>
  <c r="CQ28" i="2"/>
  <c r="DA28" i="2"/>
  <c r="CE29" i="2"/>
  <c r="CI29" i="2"/>
  <c r="CM29" i="2"/>
  <c r="CM5" i="2"/>
  <c r="DB7" i="2"/>
  <c r="CN8" i="2"/>
  <c r="CE9" i="2"/>
  <c r="DD9" i="2"/>
  <c r="CG11" i="2"/>
  <c r="CY12" i="2"/>
  <c r="CK13" i="2"/>
  <c r="CY14" i="2"/>
  <c r="CK15" i="2"/>
  <c r="DA15" i="2"/>
  <c r="CM16" i="2"/>
  <c r="DC16" i="2"/>
  <c r="CQ17" i="2"/>
  <c r="DA17" i="2"/>
  <c r="CE18" i="2"/>
  <c r="CM18" i="2"/>
  <c r="CY18" i="2"/>
  <c r="CK19" i="2"/>
  <c r="CI20" i="2"/>
  <c r="DC20" i="2"/>
  <c r="CG21" i="2"/>
  <c r="CQ21" i="2"/>
  <c r="DA21" i="2"/>
  <c r="CG22" i="2"/>
  <c r="CM22" i="2"/>
  <c r="CY22" i="2"/>
  <c r="DD22" i="2"/>
  <c r="CE23" i="2"/>
  <c r="CK23" i="2"/>
  <c r="DB23" i="2"/>
  <c r="CI24" i="2"/>
  <c r="CN24" i="2"/>
  <c r="CZ24" i="2"/>
  <c r="CG25" i="2"/>
  <c r="DC25" i="2"/>
  <c r="CE26" i="2"/>
  <c r="CQ26" i="2"/>
  <c r="DB26" i="2"/>
  <c r="CN27" i="2"/>
  <c r="CZ27" i="2"/>
  <c r="DD27" i="2"/>
  <c r="CH28" i="2"/>
  <c r="DB28" i="2"/>
  <c r="CN29" i="2"/>
  <c r="CZ29" i="2"/>
  <c r="DD29" i="2"/>
  <c r="CH30" i="2"/>
  <c r="DB30" i="2"/>
  <c r="CN31" i="2"/>
  <c r="CZ31" i="2"/>
  <c r="DD31" i="2"/>
  <c r="CH32" i="2"/>
  <c r="DB32" i="2"/>
  <c r="CN33" i="2"/>
  <c r="CZ33" i="2"/>
  <c r="DD33" i="2"/>
  <c r="CH34" i="2"/>
  <c r="DB34" i="2"/>
  <c r="CN35" i="2"/>
  <c r="CZ35" i="2"/>
  <c r="DD35" i="2"/>
  <c r="CH36" i="2"/>
  <c r="DB36" i="2"/>
  <c r="CN37" i="2"/>
  <c r="CZ37" i="2"/>
  <c r="DD37" i="2"/>
  <c r="CH38" i="2"/>
  <c r="CG7" i="2"/>
  <c r="DC17" i="2"/>
  <c r="CK20" i="2"/>
  <c r="CI21" i="2"/>
  <c r="CN22" i="2"/>
  <c r="CE24" i="2"/>
  <c r="CK26" i="2"/>
  <c r="CE28" i="2"/>
  <c r="CG29" i="2"/>
  <c r="CI30" i="2"/>
  <c r="DC30" i="2"/>
  <c r="CG31" i="2"/>
  <c r="CQ31" i="2"/>
  <c r="DA31" i="2"/>
  <c r="CE32" i="2"/>
  <c r="CM32" i="2"/>
  <c r="CY32" i="2"/>
  <c r="CK33" i="2"/>
  <c r="CI34" i="2"/>
  <c r="DC34" i="2"/>
  <c r="CG35" i="2"/>
  <c r="CQ35" i="2"/>
  <c r="DA35" i="2"/>
  <c r="CE36" i="2"/>
  <c r="CM36" i="2"/>
  <c r="CY36" i="2"/>
  <c r="CK37" i="2"/>
  <c r="CI38" i="2"/>
  <c r="DB38" i="2"/>
  <c r="CI39" i="2"/>
  <c r="CN39" i="2"/>
  <c r="CZ39" i="2"/>
  <c r="CG40" i="2"/>
  <c r="DC40" i="2"/>
  <c r="CE41" i="2"/>
  <c r="CQ41" i="2"/>
  <c r="DA41" i="2"/>
  <c r="CH42" i="2"/>
  <c r="CM42" i="2"/>
  <c r="DA42" i="2"/>
  <c r="CE43" i="2"/>
  <c r="CI43" i="2"/>
  <c r="CM43" i="2"/>
  <c r="CY43" i="2"/>
  <c r="DC43" i="2"/>
  <c r="CG44" i="2"/>
  <c r="CK44" i="2"/>
  <c r="CQ44" i="2"/>
  <c r="DA44" i="2"/>
  <c r="CE45" i="2"/>
  <c r="CI45" i="2"/>
  <c r="CM45" i="2"/>
  <c r="CY45" i="2"/>
  <c r="DC45" i="2"/>
  <c r="CG46" i="2"/>
  <c r="CK46" i="2"/>
  <c r="CQ46" i="2"/>
  <c r="DA46" i="2"/>
  <c r="CE12" i="2"/>
  <c r="CE14" i="2"/>
  <c r="CG18" i="2"/>
  <c r="DA18" i="2"/>
  <c r="DB21" i="2"/>
  <c r="CG23" i="2"/>
  <c r="CH25" i="2"/>
  <c r="CY25" i="2"/>
  <c r="CG27" i="2"/>
  <c r="CI28" i="2"/>
  <c r="CY28" i="2"/>
  <c r="CK29" i="2"/>
  <c r="CY29" i="2"/>
  <c r="CK30" i="2"/>
  <c r="CI31" i="2"/>
  <c r="DC31" i="2"/>
  <c r="CG32" i="2"/>
  <c r="CQ32" i="2"/>
  <c r="DA32" i="2"/>
  <c r="CE33" i="2"/>
  <c r="CM33" i="2"/>
  <c r="CY33" i="2"/>
  <c r="CK34" i="2"/>
  <c r="CI35" i="2"/>
  <c r="DC35" i="2"/>
  <c r="CG36" i="2"/>
  <c r="CQ36" i="2"/>
  <c r="DA36" i="2"/>
  <c r="CE37" i="2"/>
  <c r="CM37" i="2"/>
  <c r="CY37" i="2"/>
  <c r="CK38" i="2"/>
  <c r="DC38" i="2"/>
  <c r="CE39" i="2"/>
  <c r="CQ39" i="2"/>
  <c r="DA39" i="2"/>
  <c r="CH40" i="2"/>
  <c r="CM40" i="2"/>
  <c r="CY40" i="2"/>
  <c r="CK41" i="2"/>
  <c r="DC41" i="2"/>
  <c r="CI42" i="2"/>
  <c r="CQ42" i="2"/>
  <c r="DB42" i="2"/>
  <c r="CN43" i="2"/>
  <c r="CZ43" i="2"/>
  <c r="DD43" i="2"/>
  <c r="CH44" i="2"/>
  <c r="DB44" i="2"/>
  <c r="CN45" i="2"/>
  <c r="CZ45" i="2"/>
  <c r="DD45" i="2"/>
  <c r="CH46" i="2"/>
  <c r="DB46" i="2"/>
  <c r="E52" i="2"/>
  <c r="I52" i="2"/>
  <c r="M52" i="2"/>
  <c r="Q52" i="2"/>
  <c r="U52" i="2"/>
  <c r="Y52" i="2"/>
  <c r="AC52" i="2"/>
  <c r="AG52" i="2"/>
  <c r="AK52" i="2"/>
  <c r="AO52" i="2"/>
  <c r="AS52" i="2"/>
  <c r="AW52" i="2"/>
  <c r="BA52" i="2"/>
  <c r="BE52" i="2"/>
  <c r="G56" i="2"/>
  <c r="K56" i="2"/>
  <c r="O56" i="2"/>
  <c r="S56" i="2"/>
  <c r="W56" i="2"/>
  <c r="AA56" i="2"/>
  <c r="AE56" i="2"/>
  <c r="F58" i="2"/>
  <c r="J58" i="2"/>
  <c r="N58" i="2"/>
  <c r="R58" i="2"/>
  <c r="V58" i="2"/>
  <c r="Z58" i="2"/>
  <c r="AD58" i="2"/>
  <c r="E59" i="2"/>
  <c r="I59" i="2"/>
  <c r="M59" i="2"/>
  <c r="Q59" i="2"/>
  <c r="U59" i="2"/>
  <c r="Y59" i="2"/>
  <c r="AC59" i="2"/>
  <c r="DB5" i="2"/>
  <c r="CY10" i="2"/>
  <c r="DC12" i="2"/>
  <c r="DC14" i="2"/>
  <c r="CQ18" i="2"/>
  <c r="CE19" i="2"/>
  <c r="CY19" i="2"/>
  <c r="CQ24" i="2"/>
  <c r="CM25" i="2"/>
  <c r="CY26" i="2"/>
  <c r="CK27" i="2"/>
  <c r="DA27" i="2"/>
  <c r="CM28" i="2"/>
  <c r="DC28" i="2"/>
  <c r="CQ29" i="2"/>
  <c r="DA29" i="2"/>
  <c r="CE30" i="2"/>
  <c r="CM30" i="2"/>
  <c r="CY30" i="2"/>
  <c r="CK31" i="2"/>
  <c r="CI32" i="2"/>
  <c r="DC32" i="2"/>
  <c r="CG33" i="2"/>
  <c r="CQ33" i="2"/>
  <c r="DA33" i="2"/>
  <c r="CE34" i="2"/>
  <c r="CM34" i="2"/>
  <c r="CY34" i="2"/>
  <c r="CK35" i="2"/>
  <c r="CI36" i="2"/>
  <c r="DC36" i="2"/>
  <c r="CG37" i="2"/>
  <c r="CQ37" i="2"/>
  <c r="DA37" i="2"/>
  <c r="CE38" i="2"/>
  <c r="CM38" i="2"/>
  <c r="CY38" i="2"/>
  <c r="CK39" i="2"/>
  <c r="DC39" i="2"/>
  <c r="CI40" i="2"/>
  <c r="CQ40" i="2"/>
  <c r="DA40" i="2"/>
  <c r="CG41" i="2"/>
  <c r="CM41" i="2"/>
  <c r="CY41" i="2"/>
  <c r="DD41" i="2"/>
  <c r="CE42" i="2"/>
  <c r="CK42" i="2"/>
  <c r="CY42" i="2"/>
  <c r="DC42" i="2"/>
  <c r="CG43" i="2"/>
  <c r="CK43" i="2"/>
  <c r="CQ43" i="2"/>
  <c r="DA43" i="2"/>
  <c r="CE44" i="2"/>
  <c r="CI44" i="2"/>
  <c r="CM44" i="2"/>
  <c r="CY44" i="2"/>
  <c r="DC44" i="2"/>
  <c r="CG45" i="2"/>
  <c r="CK45" i="2"/>
  <c r="CQ45" i="2"/>
  <c r="DA45" i="2"/>
  <c r="CE46" i="2"/>
  <c r="CI46" i="2"/>
  <c r="CM46" i="2"/>
  <c r="CI9" i="2"/>
  <c r="CQ13" i="2"/>
  <c r="CQ27" i="2"/>
  <c r="CM31" i="2"/>
  <c r="DC33" i="2"/>
  <c r="CK36" i="2"/>
  <c r="CI37" i="2"/>
  <c r="CG38" i="2"/>
  <c r="CM39" i="2"/>
  <c r="CY39" i="2"/>
  <c r="CI41" i="2"/>
  <c r="CZ41" i="2"/>
  <c r="DD42" i="2"/>
  <c r="DB45" i="2"/>
  <c r="CN46" i="2"/>
  <c r="DD46" i="2"/>
  <c r="F52" i="2"/>
  <c r="K52" i="2"/>
  <c r="P52" i="2"/>
  <c r="V52" i="2"/>
  <c r="AA52" i="2"/>
  <c r="AF52" i="2"/>
  <c r="AL52" i="2"/>
  <c r="AQ52" i="2"/>
  <c r="AV52" i="2"/>
  <c r="BB52" i="2"/>
  <c r="D56" i="2"/>
  <c r="I56" i="2"/>
  <c r="N56" i="2"/>
  <c r="T56" i="2"/>
  <c r="Y56" i="2"/>
  <c r="AD56" i="2"/>
  <c r="G58" i="2"/>
  <c r="L58" i="2"/>
  <c r="Q58" i="2"/>
  <c r="W58" i="2"/>
  <c r="AB58" i="2"/>
  <c r="D59" i="2"/>
  <c r="J59" i="2"/>
  <c r="O59" i="2"/>
  <c r="T59" i="2"/>
  <c r="Z59" i="2"/>
  <c r="AE59" i="2"/>
  <c r="CG5" i="3"/>
  <c r="CO5" i="3"/>
  <c r="CG6" i="3"/>
  <c r="CO6" i="3"/>
  <c r="CG7" i="3"/>
  <c r="CO7" i="3"/>
  <c r="CG8" i="3"/>
  <c r="CO8" i="3"/>
  <c r="CG9" i="3"/>
  <c r="CO9" i="3"/>
  <c r="CG10" i="3"/>
  <c r="CO10" i="3"/>
  <c r="CG11" i="3"/>
  <c r="CO11" i="3"/>
  <c r="CG12" i="3"/>
  <c r="CO12" i="3"/>
  <c r="CG13" i="3"/>
  <c r="CO13" i="3"/>
  <c r="CG14" i="3"/>
  <c r="CO14" i="3"/>
  <c r="CG15" i="3"/>
  <c r="CO15" i="3"/>
  <c r="CG16" i="3"/>
  <c r="CO16" i="3"/>
  <c r="CG17" i="3"/>
  <c r="CO17" i="3"/>
  <c r="CG18" i="3"/>
  <c r="CO18" i="3"/>
  <c r="CG19" i="3"/>
  <c r="CO19" i="3"/>
  <c r="CG20" i="3"/>
  <c r="CO20" i="3"/>
  <c r="CG21" i="3"/>
  <c r="CO21" i="3"/>
  <c r="CG22" i="3"/>
  <c r="CO22" i="3"/>
  <c r="CG23" i="3"/>
  <c r="CO23" i="3"/>
  <c r="CG24" i="3"/>
  <c r="CO24" i="3"/>
  <c r="CG25" i="3"/>
  <c r="CO25" i="3"/>
  <c r="CG26" i="3"/>
  <c r="CO26" i="3"/>
  <c r="CG27" i="3"/>
  <c r="CO27" i="3"/>
  <c r="CG28" i="3"/>
  <c r="CO28" i="3"/>
  <c r="CG29" i="3"/>
  <c r="CO29" i="3"/>
  <c r="CG30" i="3"/>
  <c r="CO30" i="3"/>
  <c r="CG31" i="3"/>
  <c r="CO31" i="3"/>
  <c r="CZ22" i="2"/>
  <c r="DC23" i="2"/>
  <c r="DC29" i="2"/>
  <c r="CK32" i="2"/>
  <c r="CI33" i="2"/>
  <c r="CG34" i="2"/>
  <c r="DA34" i="2"/>
  <c r="CQ38" i="2"/>
  <c r="DA38" i="2"/>
  <c r="DD39" i="2"/>
  <c r="CN41" i="2"/>
  <c r="DB43" i="2"/>
  <c r="CN44" i="2"/>
  <c r="CH45" i="2"/>
  <c r="CY46" i="2"/>
  <c r="G52" i="2"/>
  <c r="L52" i="2"/>
  <c r="R52" i="2"/>
  <c r="W52" i="2"/>
  <c r="AB52" i="2"/>
  <c r="AH52" i="2"/>
  <c r="AM52" i="2"/>
  <c r="AR52" i="2"/>
  <c r="AX52" i="2"/>
  <c r="BC52" i="2"/>
  <c r="E56" i="2"/>
  <c r="J56" i="2"/>
  <c r="P56" i="2"/>
  <c r="U56" i="2"/>
  <c r="Z56" i="2"/>
  <c r="H58" i="2"/>
  <c r="M58" i="2"/>
  <c r="S58" i="2"/>
  <c r="X58" i="2"/>
  <c r="AC58" i="2"/>
  <c r="F59" i="2"/>
  <c r="K59" i="2"/>
  <c r="P59" i="2"/>
  <c r="V59" i="2"/>
  <c r="AA59" i="2"/>
  <c r="CH5" i="3"/>
  <c r="CP5" i="3"/>
  <c r="CH6" i="3"/>
  <c r="CP6" i="3"/>
  <c r="CH7" i="3"/>
  <c r="CP7" i="3"/>
  <c r="CH8" i="3"/>
  <c r="CP8" i="3"/>
  <c r="CH9" i="3"/>
  <c r="CP9" i="3"/>
  <c r="CH10" i="3"/>
  <c r="CP10" i="3"/>
  <c r="CH11" i="3"/>
  <c r="CP11" i="3"/>
  <c r="CH12" i="3"/>
  <c r="CP12" i="3"/>
  <c r="CH13" i="3"/>
  <c r="CP13" i="3"/>
  <c r="CH14" i="3"/>
  <c r="CP14" i="3"/>
  <c r="CH15" i="3"/>
  <c r="CP15" i="3"/>
  <c r="CH16" i="3"/>
  <c r="CP16" i="3"/>
  <c r="CH17" i="3"/>
  <c r="CP17" i="3"/>
  <c r="CH18" i="3"/>
  <c r="CP18" i="3"/>
  <c r="CH19" i="3"/>
  <c r="CP19" i="3"/>
  <c r="CH20" i="3"/>
  <c r="CP20" i="3"/>
  <c r="CH21" i="3"/>
  <c r="CP21" i="3"/>
  <c r="CH22" i="3"/>
  <c r="CP22" i="3"/>
  <c r="CH23" i="3"/>
  <c r="CP23" i="3"/>
  <c r="CH24" i="3"/>
  <c r="CP24" i="3"/>
  <c r="CH25" i="3"/>
  <c r="CP25" i="3"/>
  <c r="CH26" i="3"/>
  <c r="CP26" i="3"/>
  <c r="CK11" i="2"/>
  <c r="CQ11" i="2"/>
  <c r="CQ15" i="2"/>
  <c r="CI22" i="2"/>
  <c r="DA24" i="2"/>
  <c r="CG30" i="2"/>
  <c r="DA30" i="2"/>
  <c r="CQ34" i="2"/>
  <c r="CE35" i="2"/>
  <c r="CY35" i="2"/>
  <c r="CE40" i="2"/>
  <c r="DB40" i="2"/>
  <c r="CG42" i="2"/>
  <c r="CH43" i="2"/>
  <c r="CZ44" i="2"/>
  <c r="CZ46" i="2"/>
  <c r="CY31" i="2"/>
  <c r="DC37" i="2"/>
  <c r="CG39" i="2"/>
  <c r="CK40" i="2"/>
  <c r="DC46" i="2"/>
  <c r="H52" i="2"/>
  <c r="S52" i="2"/>
  <c r="AD52" i="2"/>
  <c r="AN52" i="2"/>
  <c r="AY52" i="2"/>
  <c r="L56" i="2"/>
  <c r="V56" i="2"/>
  <c r="D58" i="2"/>
  <c r="O58" i="2"/>
  <c r="Y58" i="2"/>
  <c r="G59" i="2"/>
  <c r="R59" i="2"/>
  <c r="AB59" i="2"/>
  <c r="CI5" i="3"/>
  <c r="CQ5" i="3"/>
  <c r="CI6" i="3"/>
  <c r="CQ6" i="3"/>
  <c r="CI7" i="3"/>
  <c r="CQ7" i="3"/>
  <c r="CI8" i="3"/>
  <c r="CQ8" i="3"/>
  <c r="CI9" i="3"/>
  <c r="CQ9" i="3"/>
  <c r="CI10" i="3"/>
  <c r="CQ10" i="3"/>
  <c r="CI11" i="3"/>
  <c r="CQ11" i="3"/>
  <c r="CI12" i="3"/>
  <c r="CQ12" i="3"/>
  <c r="CI13" i="3"/>
  <c r="CQ13" i="3"/>
  <c r="CI14" i="3"/>
  <c r="CQ14" i="3"/>
  <c r="CI15" i="3"/>
  <c r="CQ15" i="3"/>
  <c r="CI16" i="3"/>
  <c r="CQ16" i="3"/>
  <c r="CI17" i="3"/>
  <c r="CQ17" i="3"/>
  <c r="CI18" i="3"/>
  <c r="CQ18" i="3"/>
  <c r="CI19" i="3"/>
  <c r="CQ19" i="3"/>
  <c r="CI20" i="3"/>
  <c r="CQ20" i="3"/>
  <c r="CI21" i="3"/>
  <c r="CQ21" i="3"/>
  <c r="CI22" i="3"/>
  <c r="CQ22" i="3"/>
  <c r="CI23" i="3"/>
  <c r="CQ23" i="3"/>
  <c r="CI24" i="3"/>
  <c r="CQ24" i="3"/>
  <c r="CI25" i="3"/>
  <c r="CQ25" i="3"/>
  <c r="CI26" i="3"/>
  <c r="CQ26" i="3"/>
  <c r="CH27" i="3"/>
  <c r="CH28" i="3"/>
  <c r="CH29" i="3"/>
  <c r="CH30" i="3"/>
  <c r="CH31" i="3"/>
  <c r="CF32" i="3"/>
  <c r="CJ32" i="3"/>
  <c r="CN32" i="3"/>
  <c r="CF33" i="3"/>
  <c r="CJ33" i="3"/>
  <c r="CN33" i="3"/>
  <c r="CF34" i="3"/>
  <c r="CJ34" i="3"/>
  <c r="CN34" i="3"/>
  <c r="CF35" i="3"/>
  <c r="CJ35" i="3"/>
  <c r="CN35" i="3"/>
  <c r="D37" i="3"/>
  <c r="H37" i="3"/>
  <c r="L37" i="3"/>
  <c r="P37" i="3"/>
  <c r="T37" i="3"/>
  <c r="X37" i="3"/>
  <c r="AB37" i="3"/>
  <c r="AF37" i="3"/>
  <c r="AJ37" i="3"/>
  <c r="AN37" i="3"/>
  <c r="AR37" i="3"/>
  <c r="AV37" i="3"/>
  <c r="AZ37" i="3"/>
  <c r="BD37" i="3"/>
  <c r="E41" i="3"/>
  <c r="I41" i="3"/>
  <c r="M41" i="3"/>
  <c r="Q41" i="3"/>
  <c r="U41" i="3"/>
  <c r="Y41" i="3"/>
  <c r="AC41" i="3"/>
  <c r="AG41" i="3"/>
  <c r="AK41" i="3"/>
  <c r="AO41" i="3"/>
  <c r="AS41" i="3"/>
  <c r="AW41" i="3"/>
  <c r="BA41" i="3"/>
  <c r="BE41" i="3"/>
  <c r="D42" i="3"/>
  <c r="H42" i="3"/>
  <c r="L42" i="3"/>
  <c r="P42" i="3"/>
  <c r="T42" i="3"/>
  <c r="X42" i="3"/>
  <c r="AB42" i="3"/>
  <c r="AF42" i="3"/>
  <c r="AJ42" i="3"/>
  <c r="AN42" i="3"/>
  <c r="AR42" i="3"/>
  <c r="AV42" i="3"/>
  <c r="AZ42" i="3"/>
  <c r="BD42" i="3"/>
  <c r="F45" i="3"/>
  <c r="J45" i="3"/>
  <c r="N45" i="3"/>
  <c r="R45" i="3"/>
  <c r="V45" i="3"/>
  <c r="Z45" i="3"/>
  <c r="AD45" i="3"/>
  <c r="AH45" i="3"/>
  <c r="AL45" i="3"/>
  <c r="AP45" i="3"/>
  <c r="D46" i="3"/>
  <c r="H46" i="3"/>
  <c r="L46" i="3"/>
  <c r="P46" i="3"/>
  <c r="T46" i="3"/>
  <c r="X46" i="3"/>
  <c r="AB46" i="3"/>
  <c r="AF46" i="3"/>
  <c r="AJ46" i="3"/>
  <c r="AN46" i="3"/>
  <c r="AR46" i="3"/>
  <c r="F47" i="3"/>
  <c r="J47" i="3"/>
  <c r="N47" i="3"/>
  <c r="R47" i="3"/>
  <c r="V47" i="3"/>
  <c r="Z47" i="3"/>
  <c r="AD47" i="3"/>
  <c r="AH47" i="3"/>
  <c r="AL47" i="3"/>
  <c r="AP47" i="3"/>
  <c r="D48" i="3"/>
  <c r="H48" i="3"/>
  <c r="L48" i="3"/>
  <c r="P48" i="3"/>
  <c r="T48" i="3"/>
  <c r="X48" i="3"/>
  <c r="AB48" i="3"/>
  <c r="AF48" i="3"/>
  <c r="AJ48" i="3"/>
  <c r="AN48" i="3"/>
  <c r="AR48" i="3"/>
  <c r="F49" i="3"/>
  <c r="J49" i="3"/>
  <c r="N49" i="3"/>
  <c r="R49" i="3"/>
  <c r="V49" i="3"/>
  <c r="Z49" i="3"/>
  <c r="AD49" i="3"/>
  <c r="AH49" i="3"/>
  <c r="AL49" i="3"/>
  <c r="AP49" i="3"/>
  <c r="D50" i="3"/>
  <c r="H50" i="3"/>
  <c r="L50" i="3"/>
  <c r="P50" i="3"/>
  <c r="T50" i="3"/>
  <c r="X50" i="3"/>
  <c r="AB50" i="3"/>
  <c r="AF50" i="3"/>
  <c r="AJ50" i="3"/>
  <c r="AN50" i="3"/>
  <c r="AR50" i="3"/>
  <c r="F51" i="3"/>
  <c r="J51" i="3"/>
  <c r="N51" i="3"/>
  <c r="R51" i="3"/>
  <c r="V51" i="3"/>
  <c r="Z51" i="3"/>
  <c r="AD51" i="3"/>
  <c r="AH51" i="3"/>
  <c r="AL51" i="3"/>
  <c r="AP51" i="3"/>
  <c r="D52" i="3"/>
  <c r="H52" i="3"/>
  <c r="L52" i="3"/>
  <c r="P52" i="3"/>
  <c r="T52" i="3"/>
  <c r="X52" i="3"/>
  <c r="AB52" i="3"/>
  <c r="AF52" i="3"/>
  <c r="AJ52" i="3"/>
  <c r="AN52" i="3"/>
  <c r="AR52" i="3"/>
  <c r="F53" i="3"/>
  <c r="J53" i="3"/>
  <c r="N53" i="3"/>
  <c r="R53" i="3"/>
  <c r="V53" i="3"/>
  <c r="Z53" i="3"/>
  <c r="AD53" i="3"/>
  <c r="AH53" i="3"/>
  <c r="AL53" i="3"/>
  <c r="AP53" i="3"/>
  <c r="D54" i="3"/>
  <c r="H54" i="3"/>
  <c r="L54" i="3"/>
  <c r="P54" i="3"/>
  <c r="T54" i="3"/>
  <c r="X54" i="3"/>
  <c r="AB54" i="3"/>
  <c r="AF54" i="3"/>
  <c r="AJ54" i="3"/>
  <c r="AN54" i="3"/>
  <c r="AR54" i="3"/>
  <c r="F55" i="3"/>
  <c r="J55" i="3"/>
  <c r="N55" i="3"/>
  <c r="R55" i="3"/>
  <c r="V55" i="3"/>
  <c r="Z55" i="3"/>
  <c r="AD55" i="3"/>
  <c r="AH55" i="3"/>
  <c r="AL55" i="3"/>
  <c r="AP55" i="3"/>
  <c r="D56" i="3"/>
  <c r="H56" i="3"/>
  <c r="L56" i="3"/>
  <c r="P56" i="3"/>
  <c r="T56" i="3"/>
  <c r="X56" i="3"/>
  <c r="AB56" i="3"/>
  <c r="AF56" i="3"/>
  <c r="AJ56" i="3"/>
  <c r="AN56" i="3"/>
  <c r="AR56" i="3"/>
  <c r="F57" i="3"/>
  <c r="J57" i="3"/>
  <c r="N57" i="3"/>
  <c r="R57" i="3"/>
  <c r="V57" i="3"/>
  <c r="Z57" i="3"/>
  <c r="AD57" i="3"/>
  <c r="AH57" i="3"/>
  <c r="AL57" i="3"/>
  <c r="AP57" i="3"/>
  <c r="D58" i="3"/>
  <c r="H58" i="3"/>
  <c r="L58" i="3"/>
  <c r="P58" i="3"/>
  <c r="T58" i="3"/>
  <c r="X58" i="3"/>
  <c r="AB58" i="3"/>
  <c r="AF58" i="3"/>
  <c r="AJ58" i="3"/>
  <c r="AN58" i="3"/>
  <c r="AR58" i="3"/>
  <c r="F59" i="3"/>
  <c r="J59" i="3"/>
  <c r="N59" i="3"/>
  <c r="R59" i="3"/>
  <c r="V59" i="3"/>
  <c r="Z59" i="3"/>
  <c r="AD59" i="3"/>
  <c r="AH59" i="3"/>
  <c r="AL59" i="3"/>
  <c r="AP59" i="3"/>
  <c r="D60" i="3"/>
  <c r="H60" i="3"/>
  <c r="L60" i="3"/>
  <c r="P60" i="3"/>
  <c r="T60" i="3"/>
  <c r="X60" i="3"/>
  <c r="AB60" i="3"/>
  <c r="AF60" i="3"/>
  <c r="AJ60" i="3"/>
  <c r="AN60" i="3"/>
  <c r="AR60" i="3"/>
  <c r="F61" i="3"/>
  <c r="J61" i="3"/>
  <c r="N61" i="3"/>
  <c r="R61" i="3"/>
  <c r="V61" i="3"/>
  <c r="Z61" i="3"/>
  <c r="AD61" i="3"/>
  <c r="AH61" i="3"/>
  <c r="AL61" i="3"/>
  <c r="AP61" i="3"/>
  <c r="D62" i="3"/>
  <c r="H62" i="3"/>
  <c r="L62" i="3"/>
  <c r="P62" i="3"/>
  <c r="T62" i="3"/>
  <c r="X62" i="3"/>
  <c r="AB62" i="3"/>
  <c r="AF62" i="3"/>
  <c r="AJ62" i="3"/>
  <c r="AN62" i="3"/>
  <c r="AR62" i="3"/>
  <c r="F63" i="3"/>
  <c r="J63" i="3"/>
  <c r="N63" i="3"/>
  <c r="R63" i="3"/>
  <c r="V63" i="3"/>
  <c r="Z63" i="3"/>
  <c r="AD63" i="3"/>
  <c r="AH63" i="3"/>
  <c r="AL63" i="3"/>
  <c r="AP63" i="3"/>
  <c r="D64" i="3"/>
  <c r="H64" i="3"/>
  <c r="L64" i="3"/>
  <c r="P64" i="3"/>
  <c r="T64" i="3"/>
  <c r="X64" i="3"/>
  <c r="AB64" i="3"/>
  <c r="AF64" i="3"/>
  <c r="AJ64" i="3"/>
  <c r="AN64" i="3"/>
  <c r="AR64" i="3"/>
  <c r="F65" i="3"/>
  <c r="J65" i="3"/>
  <c r="N65" i="3"/>
  <c r="R65" i="3"/>
  <c r="V65" i="3"/>
  <c r="Z65" i="3"/>
  <c r="AD65" i="3"/>
  <c r="AH65" i="3"/>
  <c r="AL65" i="3"/>
  <c r="AP65" i="3"/>
  <c r="D66" i="3"/>
  <c r="H66" i="3"/>
  <c r="L66" i="3"/>
  <c r="P66" i="3"/>
  <c r="T66" i="3"/>
  <c r="X66" i="3"/>
  <c r="AB66" i="3"/>
  <c r="AF66" i="3"/>
  <c r="AJ66" i="3"/>
  <c r="AN66" i="3"/>
  <c r="AR66" i="3"/>
  <c r="F67" i="3"/>
  <c r="J67" i="3"/>
  <c r="N67" i="3"/>
  <c r="R67" i="3"/>
  <c r="V67" i="3"/>
  <c r="Z67" i="3"/>
  <c r="AD67" i="3"/>
  <c r="AH67" i="3"/>
  <c r="AL67" i="3"/>
  <c r="AP67" i="3"/>
  <c r="D68" i="3"/>
  <c r="H68" i="3"/>
  <c r="L68" i="3"/>
  <c r="P68" i="3"/>
  <c r="T68" i="3"/>
  <c r="X68" i="3"/>
  <c r="AB68" i="3"/>
  <c r="AF68" i="3"/>
  <c r="AJ68" i="3"/>
  <c r="AN68" i="3"/>
  <c r="AR68" i="3"/>
  <c r="F69" i="3"/>
  <c r="J69" i="3"/>
  <c r="N69" i="3"/>
  <c r="R69" i="3"/>
  <c r="V69" i="3"/>
  <c r="Z69" i="3"/>
  <c r="AD69" i="3"/>
  <c r="AH69" i="3"/>
  <c r="AL69" i="3"/>
  <c r="AP69" i="3"/>
  <c r="D70" i="3"/>
  <c r="H70" i="3"/>
  <c r="L70" i="3"/>
  <c r="P70" i="3"/>
  <c r="T70" i="3"/>
  <c r="X70" i="3"/>
  <c r="AB70" i="3"/>
  <c r="AF70" i="3"/>
  <c r="AJ70" i="3"/>
  <c r="AN70" i="3"/>
  <c r="AR70" i="3"/>
  <c r="F71" i="3"/>
  <c r="J71" i="3"/>
  <c r="N71" i="3"/>
  <c r="R71" i="3"/>
  <c r="V71" i="3"/>
  <c r="Z71" i="3"/>
  <c r="AD71" i="3"/>
  <c r="AH71" i="3"/>
  <c r="AL71" i="3"/>
  <c r="AP71" i="3"/>
  <c r="D72" i="3"/>
  <c r="H72" i="3"/>
  <c r="L72" i="3"/>
  <c r="P72" i="3"/>
  <c r="T72" i="3"/>
  <c r="X72" i="3"/>
  <c r="AB72" i="3"/>
  <c r="AF72" i="3"/>
  <c r="AJ72" i="3"/>
  <c r="AN72" i="3"/>
  <c r="AR72" i="3"/>
  <c r="F73" i="3"/>
  <c r="J73" i="3"/>
  <c r="N73" i="3"/>
  <c r="R73" i="3"/>
  <c r="V73" i="3"/>
  <c r="Z73" i="3"/>
  <c r="AD73" i="3"/>
  <c r="AH73" i="3"/>
  <c r="AL73" i="3"/>
  <c r="AP73" i="3"/>
  <c r="D74" i="3"/>
  <c r="H74" i="3"/>
  <c r="L74" i="3"/>
  <c r="P74" i="3"/>
  <c r="T74" i="3"/>
  <c r="X74" i="3"/>
  <c r="AB74" i="3"/>
  <c r="AF74" i="3"/>
  <c r="AJ74" i="3"/>
  <c r="AN74" i="3"/>
  <c r="AR74" i="3"/>
  <c r="F75" i="3"/>
  <c r="J75" i="3"/>
  <c r="N75" i="3"/>
  <c r="R75" i="3"/>
  <c r="V75" i="3"/>
  <c r="Z75" i="3"/>
  <c r="AD75" i="3"/>
  <c r="AH75" i="3"/>
  <c r="AL75" i="3"/>
  <c r="AP75" i="3"/>
  <c r="CM19" i="2"/>
  <c r="CE31" i="2"/>
  <c r="DD44" i="2"/>
  <c r="J52" i="2"/>
  <c r="T52" i="2"/>
  <c r="AE52" i="2"/>
  <c r="AP52" i="2"/>
  <c r="AZ52" i="2"/>
  <c r="M56" i="2"/>
  <c r="X56" i="2"/>
  <c r="E58" i="2"/>
  <c r="P58" i="2"/>
  <c r="AA58" i="2"/>
  <c r="H59" i="2"/>
  <c r="S59" i="2"/>
  <c r="AD59" i="2"/>
  <c r="CJ5" i="3"/>
  <c r="CJ6" i="3"/>
  <c r="CJ7" i="3"/>
  <c r="CJ8" i="3"/>
  <c r="CJ9" i="3"/>
  <c r="CJ10" i="3"/>
  <c r="CJ11" i="3"/>
  <c r="CJ12" i="3"/>
  <c r="CJ13" i="3"/>
  <c r="CJ14" i="3"/>
  <c r="CJ15" i="3"/>
  <c r="CJ16" i="3"/>
  <c r="CJ17" i="3"/>
  <c r="CJ18" i="3"/>
  <c r="CJ19" i="3"/>
  <c r="CJ20" i="3"/>
  <c r="CJ21" i="3"/>
  <c r="CJ22" i="3"/>
  <c r="CJ23" i="3"/>
  <c r="CJ24" i="3"/>
  <c r="CJ25" i="3"/>
  <c r="CJ26" i="3"/>
  <c r="CI27" i="3"/>
  <c r="CN27" i="3"/>
  <c r="CI28" i="3"/>
  <c r="CN28" i="3"/>
  <c r="CI29" i="3"/>
  <c r="CN29" i="3"/>
  <c r="CI30" i="3"/>
  <c r="CN30" i="3"/>
  <c r="CI31" i="3"/>
  <c r="CN31" i="3"/>
  <c r="CG32" i="3"/>
  <c r="CO32" i="3"/>
  <c r="CG33" i="3"/>
  <c r="CO33" i="3"/>
  <c r="CG34" i="3"/>
  <c r="CO34" i="3"/>
  <c r="CG35" i="3"/>
  <c r="CO35" i="3"/>
  <c r="E37" i="3"/>
  <c r="I37" i="3"/>
  <c r="M37" i="3"/>
  <c r="Q37" i="3"/>
  <c r="U37" i="3"/>
  <c r="Y37" i="3"/>
  <c r="AC37" i="3"/>
  <c r="AG37" i="3"/>
  <c r="AK37" i="3"/>
  <c r="AO37" i="3"/>
  <c r="AS37" i="3"/>
  <c r="AW37" i="3"/>
  <c r="BA37" i="3"/>
  <c r="BE37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C45" i="3"/>
  <c r="G45" i="3"/>
  <c r="K45" i="3"/>
  <c r="O45" i="3"/>
  <c r="S45" i="3"/>
  <c r="W45" i="3"/>
  <c r="AA45" i="3"/>
  <c r="AE45" i="3"/>
  <c r="AI45" i="3"/>
  <c r="AM45" i="3"/>
  <c r="AQ45" i="3"/>
  <c r="E46" i="3"/>
  <c r="I46" i="3"/>
  <c r="M46" i="3"/>
  <c r="Q46" i="3"/>
  <c r="U46" i="3"/>
  <c r="Y46" i="3"/>
  <c r="AC46" i="3"/>
  <c r="AG46" i="3"/>
  <c r="AK46" i="3"/>
  <c r="AO46" i="3"/>
  <c r="C47" i="3"/>
  <c r="G47" i="3"/>
  <c r="K47" i="3"/>
  <c r="O47" i="3"/>
  <c r="S47" i="3"/>
  <c r="W47" i="3"/>
  <c r="AA47" i="3"/>
  <c r="AE47" i="3"/>
  <c r="AI47" i="3"/>
  <c r="AM47" i="3"/>
  <c r="AQ47" i="3"/>
  <c r="E48" i="3"/>
  <c r="I48" i="3"/>
  <c r="M48" i="3"/>
  <c r="Q48" i="3"/>
  <c r="U48" i="3"/>
  <c r="Y48" i="3"/>
  <c r="AC48" i="3"/>
  <c r="AG48" i="3"/>
  <c r="AK48" i="3"/>
  <c r="AO48" i="3"/>
  <c r="C49" i="3"/>
  <c r="G49" i="3"/>
  <c r="K49" i="3"/>
  <c r="O49" i="3"/>
  <c r="S49" i="3"/>
  <c r="W49" i="3"/>
  <c r="AA49" i="3"/>
  <c r="AE49" i="3"/>
  <c r="AI49" i="3"/>
  <c r="AM49" i="3"/>
  <c r="AQ49" i="3"/>
  <c r="E50" i="3"/>
  <c r="I50" i="3"/>
  <c r="M50" i="3"/>
  <c r="Q50" i="3"/>
  <c r="U50" i="3"/>
  <c r="Y50" i="3"/>
  <c r="AC50" i="3"/>
  <c r="AG50" i="3"/>
  <c r="AK50" i="3"/>
  <c r="AO50" i="3"/>
  <c r="C51" i="3"/>
  <c r="G51" i="3"/>
  <c r="K51" i="3"/>
  <c r="O51" i="3"/>
  <c r="S51" i="3"/>
  <c r="W51" i="3"/>
  <c r="AA51" i="3"/>
  <c r="AE51" i="3"/>
  <c r="AI51" i="3"/>
  <c r="AM51" i="3"/>
  <c r="AQ51" i="3"/>
  <c r="E52" i="3"/>
  <c r="I52" i="3"/>
  <c r="M52" i="3"/>
  <c r="Q52" i="3"/>
  <c r="U52" i="3"/>
  <c r="Y52" i="3"/>
  <c r="AC52" i="3"/>
  <c r="AG52" i="3"/>
  <c r="AK52" i="3"/>
  <c r="AO52" i="3"/>
  <c r="C53" i="3"/>
  <c r="G53" i="3"/>
  <c r="K53" i="3"/>
  <c r="O53" i="3"/>
  <c r="S53" i="3"/>
  <c r="W53" i="3"/>
  <c r="AA53" i="3"/>
  <c r="AE53" i="3"/>
  <c r="AI53" i="3"/>
  <c r="AM53" i="3"/>
  <c r="AQ53" i="3"/>
  <c r="E54" i="3"/>
  <c r="I54" i="3"/>
  <c r="M54" i="3"/>
  <c r="Q54" i="3"/>
  <c r="U54" i="3"/>
  <c r="Y54" i="3"/>
  <c r="AC54" i="3"/>
  <c r="AG54" i="3"/>
  <c r="AK54" i="3"/>
  <c r="AO54" i="3"/>
  <c r="C55" i="3"/>
  <c r="G55" i="3"/>
  <c r="K55" i="3"/>
  <c r="O55" i="3"/>
  <c r="S55" i="3"/>
  <c r="W55" i="3"/>
  <c r="AA55" i="3"/>
  <c r="AE55" i="3"/>
  <c r="AI55" i="3"/>
  <c r="AM55" i="3"/>
  <c r="AQ55" i="3"/>
  <c r="E56" i="3"/>
  <c r="I56" i="3"/>
  <c r="M56" i="3"/>
  <c r="Q56" i="3"/>
  <c r="U56" i="3"/>
  <c r="Y56" i="3"/>
  <c r="AC56" i="3"/>
  <c r="AG56" i="3"/>
  <c r="AK56" i="3"/>
  <c r="AO56" i="3"/>
  <c r="C57" i="3"/>
  <c r="G57" i="3"/>
  <c r="K57" i="3"/>
  <c r="O57" i="3"/>
  <c r="S57" i="3"/>
  <c r="W57" i="3"/>
  <c r="AA57" i="3"/>
  <c r="AE57" i="3"/>
  <c r="AI57" i="3"/>
  <c r="AM57" i="3"/>
  <c r="AQ57" i="3"/>
  <c r="E58" i="3"/>
  <c r="I58" i="3"/>
  <c r="M58" i="3"/>
  <c r="Q58" i="3"/>
  <c r="U58" i="3"/>
  <c r="Y58" i="3"/>
  <c r="AC58" i="3"/>
  <c r="AG58" i="3"/>
  <c r="AK58" i="3"/>
  <c r="AO58" i="3"/>
  <c r="C59" i="3"/>
  <c r="G59" i="3"/>
  <c r="K59" i="3"/>
  <c r="O59" i="3"/>
  <c r="S59" i="3"/>
  <c r="W59" i="3"/>
  <c r="AA59" i="3"/>
  <c r="AE59" i="3"/>
  <c r="AI59" i="3"/>
  <c r="AM59" i="3"/>
  <c r="AQ59" i="3"/>
  <c r="E60" i="3"/>
  <c r="I60" i="3"/>
  <c r="M60" i="3"/>
  <c r="Q60" i="3"/>
  <c r="U60" i="3"/>
  <c r="Y60" i="3"/>
  <c r="AC60" i="3"/>
  <c r="AG60" i="3"/>
  <c r="AK60" i="3"/>
  <c r="AO60" i="3"/>
  <c r="C61" i="3"/>
  <c r="G61" i="3"/>
  <c r="K61" i="3"/>
  <c r="O61" i="3"/>
  <c r="S61" i="3"/>
  <c r="W61" i="3"/>
  <c r="AA61" i="3"/>
  <c r="AE61" i="3"/>
  <c r="AI61" i="3"/>
  <c r="AM61" i="3"/>
  <c r="AQ61" i="3"/>
  <c r="E62" i="3"/>
  <c r="I62" i="3"/>
  <c r="M62" i="3"/>
  <c r="Q62" i="3"/>
  <c r="U62" i="3"/>
  <c r="Y62" i="3"/>
  <c r="AC62" i="3"/>
  <c r="AG62" i="3"/>
  <c r="AK62" i="3"/>
  <c r="AO62" i="3"/>
  <c r="C63" i="3"/>
  <c r="G63" i="3"/>
  <c r="K63" i="3"/>
  <c r="O63" i="3"/>
  <c r="S63" i="3"/>
  <c r="W63" i="3"/>
  <c r="AA63" i="3"/>
  <c r="AE63" i="3"/>
  <c r="AI63" i="3"/>
  <c r="AM63" i="3"/>
  <c r="AQ63" i="3"/>
  <c r="E64" i="3"/>
  <c r="I64" i="3"/>
  <c r="M64" i="3"/>
  <c r="Q64" i="3"/>
  <c r="U64" i="3"/>
  <c r="Y64" i="3"/>
  <c r="AC64" i="3"/>
  <c r="AG64" i="3"/>
  <c r="AK64" i="3"/>
  <c r="AO64" i="3"/>
  <c r="C65" i="3"/>
  <c r="G65" i="3"/>
  <c r="K65" i="3"/>
  <c r="O65" i="3"/>
  <c r="S65" i="3"/>
  <c r="W65" i="3"/>
  <c r="AA65" i="3"/>
  <c r="AE65" i="3"/>
  <c r="AI65" i="3"/>
  <c r="AM65" i="3"/>
  <c r="AQ65" i="3"/>
  <c r="E66" i="3"/>
  <c r="I66" i="3"/>
  <c r="M66" i="3"/>
  <c r="Q66" i="3"/>
  <c r="U66" i="3"/>
  <c r="Y66" i="3"/>
  <c r="AC66" i="3"/>
  <c r="AG66" i="3"/>
  <c r="AK66" i="3"/>
  <c r="AO66" i="3"/>
  <c r="C67" i="3"/>
  <c r="G67" i="3"/>
  <c r="K67" i="3"/>
  <c r="O67" i="3"/>
  <c r="S67" i="3"/>
  <c r="W67" i="3"/>
  <c r="AA67" i="3"/>
  <c r="AE67" i="3"/>
  <c r="AI67" i="3"/>
  <c r="AM67" i="3"/>
  <c r="AQ67" i="3"/>
  <c r="E68" i="3"/>
  <c r="I68" i="3"/>
  <c r="M68" i="3"/>
  <c r="Q68" i="3"/>
  <c r="U68" i="3"/>
  <c r="Y68" i="3"/>
  <c r="AC68" i="3"/>
  <c r="AG68" i="3"/>
  <c r="AK68" i="3"/>
  <c r="AO68" i="3"/>
  <c r="C69" i="3"/>
  <c r="G69" i="3"/>
  <c r="K69" i="3"/>
  <c r="O69" i="3"/>
  <c r="S69" i="3"/>
  <c r="W69" i="3"/>
  <c r="AA69" i="3"/>
  <c r="AE69" i="3"/>
  <c r="AI69" i="3"/>
  <c r="AM69" i="3"/>
  <c r="AQ69" i="3"/>
  <c r="E70" i="3"/>
  <c r="I70" i="3"/>
  <c r="M70" i="3"/>
  <c r="Q70" i="3"/>
  <c r="U70" i="3"/>
  <c r="Y70" i="3"/>
  <c r="AC70" i="3"/>
  <c r="AG70" i="3"/>
  <c r="AK70" i="3"/>
  <c r="AO70" i="3"/>
  <c r="C71" i="3"/>
  <c r="G71" i="3"/>
  <c r="K71" i="3"/>
  <c r="O71" i="3"/>
  <c r="S71" i="3"/>
  <c r="W71" i="3"/>
  <c r="AA71" i="3"/>
  <c r="AE71" i="3"/>
  <c r="AI71" i="3"/>
  <c r="AM71" i="3"/>
  <c r="AQ71" i="3"/>
  <c r="E72" i="3"/>
  <c r="I72" i="3"/>
  <c r="M72" i="3"/>
  <c r="Q72" i="3"/>
  <c r="U72" i="3"/>
  <c r="Y72" i="3"/>
  <c r="AC72" i="3"/>
  <c r="AG72" i="3"/>
  <c r="AK72" i="3"/>
  <c r="AO72" i="3"/>
  <c r="C73" i="3"/>
  <c r="G73" i="3"/>
  <c r="K73" i="3"/>
  <c r="O73" i="3"/>
  <c r="S73" i="3"/>
  <c r="W73" i="3"/>
  <c r="AA73" i="3"/>
  <c r="AE73" i="3"/>
  <c r="AI73" i="3"/>
  <c r="AM73" i="3"/>
  <c r="AQ73" i="3"/>
  <c r="E74" i="3"/>
  <c r="I74" i="3"/>
  <c r="M74" i="3"/>
  <c r="Q74" i="3"/>
  <c r="U74" i="3"/>
  <c r="Y74" i="3"/>
  <c r="AC74" i="3"/>
  <c r="AG74" i="3"/>
  <c r="AK74" i="3"/>
  <c r="AO74" i="3"/>
  <c r="C75" i="3"/>
  <c r="G75" i="3"/>
  <c r="K75" i="3"/>
  <c r="O75" i="3"/>
  <c r="S75" i="3"/>
  <c r="W75" i="3"/>
  <c r="AA75" i="3"/>
  <c r="AE75" i="3"/>
  <c r="AI75" i="3"/>
  <c r="AM75" i="3"/>
  <c r="AQ75" i="3"/>
  <c r="DC26" i="2"/>
  <c r="CQ30" i="2"/>
  <c r="CZ42" i="2"/>
  <c r="N52" i="2"/>
  <c r="X52" i="2"/>
  <c r="AI52" i="2"/>
  <c r="AT52" i="2"/>
  <c r="BD52" i="2"/>
  <c r="F56" i="2"/>
  <c r="Q56" i="2"/>
  <c r="AB56" i="2"/>
  <c r="I58" i="2"/>
  <c r="T58" i="2"/>
  <c r="AE58" i="2"/>
  <c r="L59" i="2"/>
  <c r="W59" i="2"/>
  <c r="CE5" i="3"/>
  <c r="CE6" i="3"/>
  <c r="CE7" i="3"/>
  <c r="CE8" i="3"/>
  <c r="CE9" i="3"/>
  <c r="CE10" i="3"/>
  <c r="CE11" i="3"/>
  <c r="CE12" i="3"/>
  <c r="CE13" i="3"/>
  <c r="CE14" i="3"/>
  <c r="CE15" i="3"/>
  <c r="CE16" i="3"/>
  <c r="CE17" i="3"/>
  <c r="CE18" i="3"/>
  <c r="CE19" i="3"/>
  <c r="CE20" i="3"/>
  <c r="CE21" i="3"/>
  <c r="CE22" i="3"/>
  <c r="CE23" i="3"/>
  <c r="CE24" i="3"/>
  <c r="CE25" i="3"/>
  <c r="CE26" i="3"/>
  <c r="CE27" i="3"/>
  <c r="CJ27" i="3"/>
  <c r="CP27" i="3"/>
  <c r="CE28" i="3"/>
  <c r="CJ28" i="3"/>
  <c r="CP28" i="3"/>
  <c r="CE29" i="3"/>
  <c r="CJ29" i="3"/>
  <c r="CP29" i="3"/>
  <c r="CE30" i="3"/>
  <c r="CJ30" i="3"/>
  <c r="CP30" i="3"/>
  <c r="CE31" i="3"/>
  <c r="CJ31" i="3"/>
  <c r="CP31" i="3"/>
  <c r="CH32" i="3"/>
  <c r="CP32" i="3"/>
  <c r="CH33" i="3"/>
  <c r="CP33" i="3"/>
  <c r="CH34" i="3"/>
  <c r="CP34" i="3"/>
  <c r="CH35" i="3"/>
  <c r="CP35" i="3"/>
  <c r="F37" i="3"/>
  <c r="J37" i="3"/>
  <c r="N37" i="3"/>
  <c r="R37" i="3"/>
  <c r="V37" i="3"/>
  <c r="Z37" i="3"/>
  <c r="AD37" i="3"/>
  <c r="AH37" i="3"/>
  <c r="AL37" i="3"/>
  <c r="AP37" i="3"/>
  <c r="AT37" i="3"/>
  <c r="AX37" i="3"/>
  <c r="BB37" i="3"/>
  <c r="BF37" i="3"/>
  <c r="C41" i="3"/>
  <c r="G41" i="3"/>
  <c r="K41" i="3"/>
  <c r="O41" i="3"/>
  <c r="S41" i="3"/>
  <c r="W41" i="3"/>
  <c r="AA41" i="3"/>
  <c r="AE41" i="3"/>
  <c r="AI41" i="3"/>
  <c r="AM41" i="3"/>
  <c r="AQ41" i="3"/>
  <c r="AU41" i="3"/>
  <c r="AY41" i="3"/>
  <c r="BC41" i="3"/>
  <c r="F42" i="3"/>
  <c r="J42" i="3"/>
  <c r="N42" i="3"/>
  <c r="R42" i="3"/>
  <c r="V42" i="3"/>
  <c r="Z42" i="3"/>
  <c r="AD42" i="3"/>
  <c r="AH42" i="3"/>
  <c r="AL42" i="3"/>
  <c r="AP42" i="3"/>
  <c r="AT42" i="3"/>
  <c r="AX42" i="3"/>
  <c r="BB42" i="3"/>
  <c r="BF42" i="3"/>
  <c r="D45" i="3"/>
  <c r="H45" i="3"/>
  <c r="L45" i="3"/>
  <c r="P45" i="3"/>
  <c r="T45" i="3"/>
  <c r="X45" i="3"/>
  <c r="AB45" i="3"/>
  <c r="AF45" i="3"/>
  <c r="AJ45" i="3"/>
  <c r="AN45" i="3"/>
  <c r="AR45" i="3"/>
  <c r="F46" i="3"/>
  <c r="J46" i="3"/>
  <c r="N46" i="3"/>
  <c r="R46" i="3"/>
  <c r="V46" i="3"/>
  <c r="Z46" i="3"/>
  <c r="AD46" i="3"/>
  <c r="AH46" i="3"/>
  <c r="AL46" i="3"/>
  <c r="AP46" i="3"/>
  <c r="D47" i="3"/>
  <c r="H47" i="3"/>
  <c r="L47" i="3"/>
  <c r="P47" i="3"/>
  <c r="T47" i="3"/>
  <c r="X47" i="3"/>
  <c r="AB47" i="3"/>
  <c r="AF47" i="3"/>
  <c r="AJ47" i="3"/>
  <c r="AN47" i="3"/>
  <c r="AR47" i="3"/>
  <c r="F48" i="3"/>
  <c r="J48" i="3"/>
  <c r="N48" i="3"/>
  <c r="R48" i="3"/>
  <c r="V48" i="3"/>
  <c r="Z48" i="3"/>
  <c r="AD48" i="3"/>
  <c r="AH48" i="3"/>
  <c r="AL48" i="3"/>
  <c r="AP48" i="3"/>
  <c r="D49" i="3"/>
  <c r="H49" i="3"/>
  <c r="L49" i="3"/>
  <c r="P49" i="3"/>
  <c r="T49" i="3"/>
  <c r="X49" i="3"/>
  <c r="AB49" i="3"/>
  <c r="AF49" i="3"/>
  <c r="AJ49" i="3"/>
  <c r="AN49" i="3"/>
  <c r="AR49" i="3"/>
  <c r="F50" i="3"/>
  <c r="J50" i="3"/>
  <c r="N50" i="3"/>
  <c r="R50" i="3"/>
  <c r="V50" i="3"/>
  <c r="Z50" i="3"/>
  <c r="AD50" i="3"/>
  <c r="AH50" i="3"/>
  <c r="AL50" i="3"/>
  <c r="AP50" i="3"/>
  <c r="D51" i="3"/>
  <c r="H51" i="3"/>
  <c r="L51" i="3"/>
  <c r="P51" i="3"/>
  <c r="T51" i="3"/>
  <c r="X51" i="3"/>
  <c r="AB51" i="3"/>
  <c r="AF51" i="3"/>
  <c r="AJ51" i="3"/>
  <c r="AN51" i="3"/>
  <c r="AR51" i="3"/>
  <c r="F52" i="3"/>
  <c r="J52" i="3"/>
  <c r="N52" i="3"/>
  <c r="R52" i="3"/>
  <c r="V52" i="3"/>
  <c r="Z52" i="3"/>
  <c r="AD52" i="3"/>
  <c r="AH52" i="3"/>
  <c r="AL52" i="3"/>
  <c r="AP52" i="3"/>
  <c r="D53" i="3"/>
  <c r="H53" i="3"/>
  <c r="L53" i="3"/>
  <c r="P53" i="3"/>
  <c r="T53" i="3"/>
  <c r="X53" i="3"/>
  <c r="AB53" i="3"/>
  <c r="AF53" i="3"/>
  <c r="AJ53" i="3"/>
  <c r="AN53" i="3"/>
  <c r="AR53" i="3"/>
  <c r="F54" i="3"/>
  <c r="J54" i="3"/>
  <c r="N54" i="3"/>
  <c r="R54" i="3"/>
  <c r="V54" i="3"/>
  <c r="Z54" i="3"/>
  <c r="AD54" i="3"/>
  <c r="AH54" i="3"/>
  <c r="AL54" i="3"/>
  <c r="AP54" i="3"/>
  <c r="D55" i="3"/>
  <c r="H55" i="3"/>
  <c r="L55" i="3"/>
  <c r="P55" i="3"/>
  <c r="T55" i="3"/>
  <c r="X55" i="3"/>
  <c r="AB55" i="3"/>
  <c r="AF55" i="3"/>
  <c r="AJ55" i="3"/>
  <c r="AN55" i="3"/>
  <c r="AR55" i="3"/>
  <c r="F56" i="3"/>
  <c r="J56" i="3"/>
  <c r="N56" i="3"/>
  <c r="R56" i="3"/>
  <c r="V56" i="3"/>
  <c r="Z56" i="3"/>
  <c r="AD56" i="3"/>
  <c r="AH56" i="3"/>
  <c r="AL56" i="3"/>
  <c r="AP56" i="3"/>
  <c r="O52" i="2"/>
  <c r="BF52" i="2"/>
  <c r="H56" i="2"/>
  <c r="U58" i="2"/>
  <c r="CN6" i="3"/>
  <c r="CN8" i="3"/>
  <c r="CN10" i="3"/>
  <c r="CN12" i="3"/>
  <c r="CN14" i="3"/>
  <c r="CN16" i="3"/>
  <c r="CN18" i="3"/>
  <c r="CN20" i="3"/>
  <c r="CN22" i="3"/>
  <c r="CN24" i="3"/>
  <c r="CN26" i="3"/>
  <c r="CF28" i="3"/>
  <c r="CQ30" i="3"/>
  <c r="CE32" i="3"/>
  <c r="CE33" i="3"/>
  <c r="CE34" i="3"/>
  <c r="CE35" i="3"/>
  <c r="C37" i="3"/>
  <c r="S37" i="3"/>
  <c r="AI37" i="3"/>
  <c r="AY37" i="3"/>
  <c r="L41" i="3"/>
  <c r="AB41" i="3"/>
  <c r="AR41" i="3"/>
  <c r="C42" i="3"/>
  <c r="S42" i="3"/>
  <c r="AI42" i="3"/>
  <c r="AY42" i="3"/>
  <c r="E45" i="3"/>
  <c r="U45" i="3"/>
  <c r="AK45" i="3"/>
  <c r="K46" i="3"/>
  <c r="AA46" i="3"/>
  <c r="AQ46" i="3"/>
  <c r="Q47" i="3"/>
  <c r="AG47" i="3"/>
  <c r="G48" i="3"/>
  <c r="W48" i="3"/>
  <c r="AM48" i="3"/>
  <c r="M49" i="3"/>
  <c r="AC49" i="3"/>
  <c r="C50" i="3"/>
  <c r="S50" i="3"/>
  <c r="AI50" i="3"/>
  <c r="I51" i="3"/>
  <c r="Y51" i="3"/>
  <c r="AO51" i="3"/>
  <c r="O52" i="3"/>
  <c r="AE52" i="3"/>
  <c r="E53" i="3"/>
  <c r="U53" i="3"/>
  <c r="AK53" i="3"/>
  <c r="K54" i="3"/>
  <c r="AA54" i="3"/>
  <c r="AQ54" i="3"/>
  <c r="Q55" i="3"/>
  <c r="AG55" i="3"/>
  <c r="G56" i="3"/>
  <c r="W56" i="3"/>
  <c r="AM56" i="3"/>
  <c r="H57" i="3"/>
  <c r="P57" i="3"/>
  <c r="X57" i="3"/>
  <c r="AF57" i="3"/>
  <c r="AN57" i="3"/>
  <c r="F58" i="3"/>
  <c r="N58" i="3"/>
  <c r="V58" i="3"/>
  <c r="AD58" i="3"/>
  <c r="AL58" i="3"/>
  <c r="D59" i="3"/>
  <c r="L59" i="3"/>
  <c r="T59" i="3"/>
  <c r="AB59" i="3"/>
  <c r="AJ59" i="3"/>
  <c r="AR59" i="3"/>
  <c r="J60" i="3"/>
  <c r="R60" i="3"/>
  <c r="Z60" i="3"/>
  <c r="AH60" i="3"/>
  <c r="AP60" i="3"/>
  <c r="H61" i="3"/>
  <c r="P61" i="3"/>
  <c r="X61" i="3"/>
  <c r="AF61" i="3"/>
  <c r="AN61" i="3"/>
  <c r="F62" i="3"/>
  <c r="N62" i="3"/>
  <c r="V62" i="3"/>
  <c r="AD62" i="3"/>
  <c r="AL62" i="3"/>
  <c r="D63" i="3"/>
  <c r="L63" i="3"/>
  <c r="T63" i="3"/>
  <c r="AB63" i="3"/>
  <c r="AJ63" i="3"/>
  <c r="AR63" i="3"/>
  <c r="J64" i="3"/>
  <c r="R64" i="3"/>
  <c r="Z64" i="3"/>
  <c r="AH64" i="3"/>
  <c r="AP64" i="3"/>
  <c r="H65" i="3"/>
  <c r="P65" i="3"/>
  <c r="X65" i="3"/>
  <c r="AF65" i="3"/>
  <c r="AN65" i="3"/>
  <c r="F66" i="3"/>
  <c r="N66" i="3"/>
  <c r="V66" i="3"/>
  <c r="AD66" i="3"/>
  <c r="AL66" i="3"/>
  <c r="D67" i="3"/>
  <c r="L67" i="3"/>
  <c r="T67" i="3"/>
  <c r="AB67" i="3"/>
  <c r="AJ67" i="3"/>
  <c r="AR67" i="3"/>
  <c r="J68" i="3"/>
  <c r="R68" i="3"/>
  <c r="Z68" i="3"/>
  <c r="AH68" i="3"/>
  <c r="AP68" i="3"/>
  <c r="H69" i="3"/>
  <c r="P69" i="3"/>
  <c r="X69" i="3"/>
  <c r="AF69" i="3"/>
  <c r="AN69" i="3"/>
  <c r="F70" i="3"/>
  <c r="N70" i="3"/>
  <c r="V70" i="3"/>
  <c r="AD70" i="3"/>
  <c r="AL70" i="3"/>
  <c r="D71" i="3"/>
  <c r="L71" i="3"/>
  <c r="T71" i="3"/>
  <c r="AB71" i="3"/>
  <c r="AJ71" i="3"/>
  <c r="AR71" i="3"/>
  <c r="J72" i="3"/>
  <c r="R72" i="3"/>
  <c r="Z72" i="3"/>
  <c r="AH72" i="3"/>
  <c r="AP72" i="3"/>
  <c r="H73" i="3"/>
  <c r="P73" i="3"/>
  <c r="X73" i="3"/>
  <c r="AF73" i="3"/>
  <c r="AN73" i="3"/>
  <c r="F74" i="3"/>
  <c r="N74" i="3"/>
  <c r="V74" i="3"/>
  <c r="AD74" i="3"/>
  <c r="AL74" i="3"/>
  <c r="D75" i="3"/>
  <c r="L75" i="3"/>
  <c r="T75" i="3"/>
  <c r="AB75" i="3"/>
  <c r="AJ75" i="3"/>
  <c r="AR75" i="3"/>
  <c r="CM35" i="2"/>
  <c r="Z52" i="2"/>
  <c r="R56" i="2"/>
  <c r="CF5" i="3"/>
  <c r="CF7" i="3"/>
  <c r="CF9" i="3"/>
  <c r="CF11" i="3"/>
  <c r="CF13" i="3"/>
  <c r="CF15" i="3"/>
  <c r="CF17" i="3"/>
  <c r="CF19" i="3"/>
  <c r="CF21" i="3"/>
  <c r="CF23" i="3"/>
  <c r="CF25" i="3"/>
  <c r="CF27" i="3"/>
  <c r="CQ29" i="3"/>
  <c r="CF31" i="3"/>
  <c r="CI32" i="3"/>
  <c r="CI33" i="3"/>
  <c r="CI34" i="3"/>
  <c r="CI35" i="3"/>
  <c r="G37" i="3"/>
  <c r="W37" i="3"/>
  <c r="AM37" i="3"/>
  <c r="BC37" i="3"/>
  <c r="P41" i="3"/>
  <c r="AF41" i="3"/>
  <c r="AV41" i="3"/>
  <c r="G42" i="3"/>
  <c r="W42" i="3"/>
  <c r="AM42" i="3"/>
  <c r="BC42" i="3"/>
  <c r="I45" i="3"/>
  <c r="Y45" i="3"/>
  <c r="AO45" i="3"/>
  <c r="O46" i="3"/>
  <c r="AE46" i="3"/>
  <c r="E47" i="3"/>
  <c r="U47" i="3"/>
  <c r="AK47" i="3"/>
  <c r="K48" i="3"/>
  <c r="AA48" i="3"/>
  <c r="AQ48" i="3"/>
  <c r="Q49" i="3"/>
  <c r="AG49" i="3"/>
  <c r="G50" i="3"/>
  <c r="W50" i="3"/>
  <c r="AM50" i="3"/>
  <c r="M51" i="3"/>
  <c r="AC51" i="3"/>
  <c r="C52" i="3"/>
  <c r="S52" i="3"/>
  <c r="AI52" i="3"/>
  <c r="I53" i="3"/>
  <c r="Y53" i="3"/>
  <c r="AO53" i="3"/>
  <c r="O54" i="3"/>
  <c r="AE54" i="3"/>
  <c r="E55" i="3"/>
  <c r="U55" i="3"/>
  <c r="AK55" i="3"/>
  <c r="K56" i="3"/>
  <c r="AA56" i="3"/>
  <c r="AQ56" i="3"/>
  <c r="I57" i="3"/>
  <c r="Q57" i="3"/>
  <c r="Y57" i="3"/>
  <c r="AG57" i="3"/>
  <c r="AO57" i="3"/>
  <c r="G58" i="3"/>
  <c r="O58" i="3"/>
  <c r="W58" i="3"/>
  <c r="AE58" i="3"/>
  <c r="AM58" i="3"/>
  <c r="E59" i="3"/>
  <c r="M59" i="3"/>
  <c r="U59" i="3"/>
  <c r="AC59" i="3"/>
  <c r="AK59" i="3"/>
  <c r="C60" i="3"/>
  <c r="K60" i="3"/>
  <c r="S60" i="3"/>
  <c r="AA60" i="3"/>
  <c r="AI60" i="3"/>
  <c r="AQ60" i="3"/>
  <c r="I61" i="3"/>
  <c r="Q61" i="3"/>
  <c r="Y61" i="3"/>
  <c r="AG61" i="3"/>
  <c r="AO61" i="3"/>
  <c r="G62" i="3"/>
  <c r="O62" i="3"/>
  <c r="W62" i="3"/>
  <c r="AE62" i="3"/>
  <c r="AM62" i="3"/>
  <c r="E63" i="3"/>
  <c r="M63" i="3"/>
  <c r="U63" i="3"/>
  <c r="AC63" i="3"/>
  <c r="AK63" i="3"/>
  <c r="C64" i="3"/>
  <c r="K64" i="3"/>
  <c r="S64" i="3"/>
  <c r="AA64" i="3"/>
  <c r="AI64" i="3"/>
  <c r="AQ64" i="3"/>
  <c r="I65" i="3"/>
  <c r="Q65" i="3"/>
  <c r="Y65" i="3"/>
  <c r="AG65" i="3"/>
  <c r="AO65" i="3"/>
  <c r="G66" i="3"/>
  <c r="O66" i="3"/>
  <c r="W66" i="3"/>
  <c r="AE66" i="3"/>
  <c r="AM66" i="3"/>
  <c r="E67" i="3"/>
  <c r="M67" i="3"/>
  <c r="U67" i="3"/>
  <c r="AC67" i="3"/>
  <c r="AK67" i="3"/>
  <c r="C68" i="3"/>
  <c r="K68" i="3"/>
  <c r="S68" i="3"/>
  <c r="AA68" i="3"/>
  <c r="AI68" i="3"/>
  <c r="AQ68" i="3"/>
  <c r="I69" i="3"/>
  <c r="Q69" i="3"/>
  <c r="Y69" i="3"/>
  <c r="AG69" i="3"/>
  <c r="AO69" i="3"/>
  <c r="G70" i="3"/>
  <c r="O70" i="3"/>
  <c r="W70" i="3"/>
  <c r="AE70" i="3"/>
  <c r="AM70" i="3"/>
  <c r="E71" i="3"/>
  <c r="M71" i="3"/>
  <c r="U71" i="3"/>
  <c r="AC71" i="3"/>
  <c r="AK71" i="3"/>
  <c r="C72" i="3"/>
  <c r="K72" i="3"/>
  <c r="S72" i="3"/>
  <c r="AA72" i="3"/>
  <c r="AI72" i="3"/>
  <c r="AQ72" i="3"/>
  <c r="I73" i="3"/>
  <c r="Q73" i="3"/>
  <c r="Y73" i="3"/>
  <c r="AG73" i="3"/>
  <c r="AO73" i="3"/>
  <c r="G74" i="3"/>
  <c r="O74" i="3"/>
  <c r="W74" i="3"/>
  <c r="AE74" i="3"/>
  <c r="AM74" i="3"/>
  <c r="E75" i="3"/>
  <c r="M75" i="3"/>
  <c r="U75" i="3"/>
  <c r="AC75" i="3"/>
  <c r="AK75" i="3"/>
  <c r="AJ52" i="2"/>
  <c r="AC56" i="2"/>
  <c r="N59" i="2"/>
  <c r="CN5" i="3"/>
  <c r="CN7" i="3"/>
  <c r="CN9" i="3"/>
  <c r="CN11" i="3"/>
  <c r="CN13" i="3"/>
  <c r="CN15" i="3"/>
  <c r="CN17" i="3"/>
  <c r="CN19" i="3"/>
  <c r="CN21" i="3"/>
  <c r="CN23" i="3"/>
  <c r="CN25" i="3"/>
  <c r="CQ28" i="3"/>
  <c r="CF30" i="3"/>
  <c r="K37" i="3"/>
  <c r="AA37" i="3"/>
  <c r="AQ37" i="3"/>
  <c r="D41" i="3"/>
  <c r="T41" i="3"/>
  <c r="AJ41" i="3"/>
  <c r="AZ41" i="3"/>
  <c r="K42" i="3"/>
  <c r="AA42" i="3"/>
  <c r="AQ42" i="3"/>
  <c r="M45" i="3"/>
  <c r="AC45" i="3"/>
  <c r="C46" i="3"/>
  <c r="S46" i="3"/>
  <c r="AI46" i="3"/>
  <c r="I47" i="3"/>
  <c r="Y47" i="3"/>
  <c r="AO47" i="3"/>
  <c r="O48" i="3"/>
  <c r="AE48" i="3"/>
  <c r="E49" i="3"/>
  <c r="U49" i="3"/>
  <c r="AK49" i="3"/>
  <c r="K50" i="3"/>
  <c r="AA50" i="3"/>
  <c r="AQ50" i="3"/>
  <c r="Q51" i="3"/>
  <c r="AG51" i="3"/>
  <c r="G52" i="3"/>
  <c r="W52" i="3"/>
  <c r="AM52" i="3"/>
  <c r="M53" i="3"/>
  <c r="AC53" i="3"/>
  <c r="C54" i="3"/>
  <c r="S54" i="3"/>
  <c r="AI54" i="3"/>
  <c r="I55" i="3"/>
  <c r="Y55" i="3"/>
  <c r="AO55" i="3"/>
  <c r="O56" i="3"/>
  <c r="AE56" i="3"/>
  <c r="D57" i="3"/>
  <c r="L57" i="3"/>
  <c r="T57" i="3"/>
  <c r="AB57" i="3"/>
  <c r="AJ57" i="3"/>
  <c r="AR57" i="3"/>
  <c r="J58" i="3"/>
  <c r="R58" i="3"/>
  <c r="Z58" i="3"/>
  <c r="AH58" i="3"/>
  <c r="AP58" i="3"/>
  <c r="H59" i="3"/>
  <c r="P59" i="3"/>
  <c r="X59" i="3"/>
  <c r="AF59" i="3"/>
  <c r="AN59" i="3"/>
  <c r="F60" i="3"/>
  <c r="N60" i="3"/>
  <c r="V60" i="3"/>
  <c r="AD60" i="3"/>
  <c r="AL60" i="3"/>
  <c r="D61" i="3"/>
  <c r="L61" i="3"/>
  <c r="T61" i="3"/>
  <c r="AB61" i="3"/>
  <c r="AJ61" i="3"/>
  <c r="AR61" i="3"/>
  <c r="J62" i="3"/>
  <c r="R62" i="3"/>
  <c r="Z62" i="3"/>
  <c r="AH62" i="3"/>
  <c r="AP62" i="3"/>
  <c r="H63" i="3"/>
  <c r="P63" i="3"/>
  <c r="X63" i="3"/>
  <c r="AF63" i="3"/>
  <c r="AN63" i="3"/>
  <c r="F64" i="3"/>
  <c r="N64" i="3"/>
  <c r="V64" i="3"/>
  <c r="AD64" i="3"/>
  <c r="AL64" i="3"/>
  <c r="D65" i="3"/>
  <c r="L65" i="3"/>
  <c r="T65" i="3"/>
  <c r="AB65" i="3"/>
  <c r="AJ65" i="3"/>
  <c r="AR65" i="3"/>
  <c r="J66" i="3"/>
  <c r="R66" i="3"/>
  <c r="Z66" i="3"/>
  <c r="AH66" i="3"/>
  <c r="AP66" i="3"/>
  <c r="H67" i="3"/>
  <c r="P67" i="3"/>
  <c r="X67" i="3"/>
  <c r="AF67" i="3"/>
  <c r="AN67" i="3"/>
  <c r="F68" i="3"/>
  <c r="N68" i="3"/>
  <c r="V68" i="3"/>
  <c r="AD68" i="3"/>
  <c r="AL68" i="3"/>
  <c r="D69" i="3"/>
  <c r="L69" i="3"/>
  <c r="T69" i="3"/>
  <c r="AB69" i="3"/>
  <c r="AJ69" i="3"/>
  <c r="AR69" i="3"/>
  <c r="J70" i="3"/>
  <c r="R70" i="3"/>
  <c r="Z70" i="3"/>
  <c r="AH70" i="3"/>
  <c r="AP70" i="3"/>
  <c r="H71" i="3"/>
  <c r="P71" i="3"/>
  <c r="X71" i="3"/>
  <c r="AF71" i="3"/>
  <c r="AN71" i="3"/>
  <c r="F72" i="3"/>
  <c r="N72" i="3"/>
  <c r="V72" i="3"/>
  <c r="AD72" i="3"/>
  <c r="AL72" i="3"/>
  <c r="D73" i="3"/>
  <c r="L73" i="3"/>
  <c r="T73" i="3"/>
  <c r="AB73" i="3"/>
  <c r="AJ73" i="3"/>
  <c r="AR73" i="3"/>
  <c r="J74" i="3"/>
  <c r="R74" i="3"/>
  <c r="Z74" i="3"/>
  <c r="AH74" i="3"/>
  <c r="AP74" i="3"/>
  <c r="H75" i="3"/>
  <c r="P75" i="3"/>
  <c r="X75" i="3"/>
  <c r="AF75" i="3"/>
  <c r="AN75" i="3"/>
  <c r="D52" i="2"/>
  <c r="CF8" i="3"/>
  <c r="CF16" i="3"/>
  <c r="CF24" i="3"/>
  <c r="CQ34" i="3"/>
  <c r="AU37" i="3"/>
  <c r="H41" i="3"/>
  <c r="O42" i="3"/>
  <c r="Q45" i="3"/>
  <c r="AM46" i="3"/>
  <c r="S48" i="3"/>
  <c r="AO49" i="3"/>
  <c r="U51" i="3"/>
  <c r="AQ52" i="3"/>
  <c r="W54" i="3"/>
  <c r="C56" i="3"/>
  <c r="M57" i="3"/>
  <c r="C58" i="3"/>
  <c r="AI58" i="3"/>
  <c r="Y59" i="3"/>
  <c r="O60" i="3"/>
  <c r="E61" i="3"/>
  <c r="AK61" i="3"/>
  <c r="AA62" i="3"/>
  <c r="Q63" i="3"/>
  <c r="G64" i="3"/>
  <c r="AM64" i="3"/>
  <c r="AC65" i="3"/>
  <c r="S66" i="3"/>
  <c r="I67" i="3"/>
  <c r="AO67" i="3"/>
  <c r="AE68" i="3"/>
  <c r="U69" i="3"/>
  <c r="K70" i="3"/>
  <c r="AQ70" i="3"/>
  <c r="AG71" i="3"/>
  <c r="W72" i="3"/>
  <c r="M73" i="3"/>
  <c r="C74" i="3"/>
  <c r="AI74" i="3"/>
  <c r="Y75" i="3"/>
  <c r="AU52" i="2"/>
  <c r="K58" i="2"/>
  <c r="CF10" i="3"/>
  <c r="CF18" i="3"/>
  <c r="CF26" i="3"/>
  <c r="CQ31" i="3"/>
  <c r="CQ35" i="3"/>
  <c r="X41" i="3"/>
  <c r="AE42" i="3"/>
  <c r="AG45" i="3"/>
  <c r="M47" i="3"/>
  <c r="AI48" i="3"/>
  <c r="O50" i="3"/>
  <c r="AK51" i="3"/>
  <c r="Q53" i="3"/>
  <c r="AM54" i="3"/>
  <c r="S56" i="3"/>
  <c r="U57" i="3"/>
  <c r="K58" i="3"/>
  <c r="AQ58" i="3"/>
  <c r="AG59" i="3"/>
  <c r="W60" i="3"/>
  <c r="M61" i="3"/>
  <c r="C62" i="3"/>
  <c r="AI62" i="3"/>
  <c r="Y63" i="3"/>
  <c r="O64" i="3"/>
  <c r="E65" i="3"/>
  <c r="AK65" i="3"/>
  <c r="AA66" i="3"/>
  <c r="Q67" i="3"/>
  <c r="G68" i="3"/>
  <c r="AM68" i="3"/>
  <c r="AC69" i="3"/>
  <c r="S70" i="3"/>
  <c r="I71" i="3"/>
  <c r="AO71" i="3"/>
  <c r="AE72" i="3"/>
  <c r="U73" i="3"/>
  <c r="K74" i="3"/>
  <c r="AQ74" i="3"/>
  <c r="AG75" i="3"/>
  <c r="X59" i="2"/>
  <c r="CF12" i="3"/>
  <c r="CF20" i="3"/>
  <c r="CQ27" i="3"/>
  <c r="CQ32" i="3"/>
  <c r="O37" i="3"/>
  <c r="AN41" i="3"/>
  <c r="AU42" i="3"/>
  <c r="G46" i="3"/>
  <c r="AC47" i="3"/>
  <c r="I49" i="3"/>
  <c r="AE50" i="3"/>
  <c r="K52" i="3"/>
  <c r="AG53" i="3"/>
  <c r="M55" i="3"/>
  <c r="AI56" i="3"/>
  <c r="AC57" i="3"/>
  <c r="S58" i="3"/>
  <c r="I59" i="3"/>
  <c r="AO59" i="3"/>
  <c r="AE60" i="3"/>
  <c r="U61" i="3"/>
  <c r="K62" i="3"/>
  <c r="AQ62" i="3"/>
  <c r="AG63" i="3"/>
  <c r="W64" i="3"/>
  <c r="M65" i="3"/>
  <c r="C66" i="3"/>
  <c r="AI66" i="3"/>
  <c r="Y67" i="3"/>
  <c r="O68" i="3"/>
  <c r="E69" i="3"/>
  <c r="AK69" i="3"/>
  <c r="AA70" i="3"/>
  <c r="Q71" i="3"/>
  <c r="G72" i="3"/>
  <c r="AM72" i="3"/>
  <c r="AC73" i="3"/>
  <c r="S74" i="3"/>
  <c r="I75" i="3"/>
  <c r="AO75" i="3"/>
  <c r="CF6" i="3"/>
  <c r="CF14" i="3"/>
  <c r="CF22" i="3"/>
  <c r="CF29" i="3"/>
  <c r="CQ33" i="3"/>
  <c r="AE37" i="3"/>
  <c r="BD41" i="3"/>
  <c r="W46" i="3"/>
  <c r="C48" i="3"/>
  <c r="Y49" i="3"/>
  <c r="E51" i="3"/>
  <c r="AA52" i="3"/>
  <c r="G54" i="3"/>
  <c r="AC55" i="3"/>
  <c r="E57" i="3"/>
  <c r="AK57" i="3"/>
  <c r="AA58" i="3"/>
  <c r="Q59" i="3"/>
  <c r="G60" i="3"/>
  <c r="AM60" i="3"/>
  <c r="AC61" i="3"/>
  <c r="S62" i="3"/>
  <c r="I63" i="3"/>
  <c r="AO63" i="3"/>
  <c r="AE64" i="3"/>
  <c r="U65" i="3"/>
  <c r="K66" i="3"/>
  <c r="AQ66" i="3"/>
  <c r="AG67" i="3"/>
  <c r="W68" i="3"/>
  <c r="M69" i="3"/>
  <c r="C70" i="3"/>
  <c r="AI70" i="3"/>
  <c r="Y71" i="3"/>
  <c r="O72" i="3"/>
  <c r="E73" i="3"/>
  <c r="AK73" i="3"/>
  <c r="AA74" i="3"/>
  <c r="Q75" i="3"/>
  <c r="M45" i="4" l="1"/>
  <c r="B4" i="7" s="1"/>
  <c r="K45" i="4"/>
  <c r="N45" i="4" s="1"/>
  <c r="C4" i="7" s="1"/>
  <c r="AE40" i="3"/>
  <c r="CM29" i="3"/>
  <c r="CT29" i="3"/>
  <c r="CT22" i="3"/>
  <c r="CM22" i="3"/>
  <c r="CT14" i="3"/>
  <c r="CM14" i="3"/>
  <c r="CT6" i="3"/>
  <c r="CM6" i="3"/>
  <c r="O40" i="3"/>
  <c r="CT20" i="3"/>
  <c r="CM20" i="3"/>
  <c r="CT12" i="3"/>
  <c r="CM12" i="3"/>
  <c r="CT26" i="3"/>
  <c r="CM26" i="3"/>
  <c r="CT18" i="3"/>
  <c r="CM18" i="3"/>
  <c r="CT10" i="3"/>
  <c r="CM10" i="3"/>
  <c r="AU40" i="3"/>
  <c r="CT24" i="3"/>
  <c r="CM24" i="3"/>
  <c r="CT16" i="3"/>
  <c r="CM16" i="3"/>
  <c r="CT8" i="3"/>
  <c r="CM8" i="3"/>
  <c r="CE52" i="2"/>
  <c r="CO52" i="2"/>
  <c r="AQ40" i="3"/>
  <c r="AA40" i="3"/>
  <c r="K40" i="3"/>
  <c r="CM30" i="3"/>
  <c r="CT30" i="3"/>
  <c r="BC40" i="3"/>
  <c r="AM40" i="3"/>
  <c r="W40" i="3"/>
  <c r="G40" i="3"/>
  <c r="CM31" i="3"/>
  <c r="CT31" i="3"/>
  <c r="CM27" i="3"/>
  <c r="CT27" i="3"/>
  <c r="CT25" i="3"/>
  <c r="CM25" i="3"/>
  <c r="CT23" i="3"/>
  <c r="CM23" i="3"/>
  <c r="CT21" i="3"/>
  <c r="CM21" i="3"/>
  <c r="CT19" i="3"/>
  <c r="CM19" i="3"/>
  <c r="CT17" i="3"/>
  <c r="CM17" i="3"/>
  <c r="CT15" i="3"/>
  <c r="CM15" i="3"/>
  <c r="CT13" i="3"/>
  <c r="CM13" i="3"/>
  <c r="CT11" i="3"/>
  <c r="CM11" i="3"/>
  <c r="CT9" i="3"/>
  <c r="CM9" i="3"/>
  <c r="CT7" i="3"/>
  <c r="CM7" i="3"/>
  <c r="CT5" i="3"/>
  <c r="CF37" i="3"/>
  <c r="CM5" i="3"/>
  <c r="CE42" i="3"/>
  <c r="AY40" i="3"/>
  <c r="AI40" i="3"/>
  <c r="S40" i="3"/>
  <c r="CE37" i="3"/>
  <c r="C40" i="3"/>
  <c r="CM28" i="3"/>
  <c r="CT28" i="3"/>
  <c r="CE41" i="3"/>
  <c r="BB40" i="3"/>
  <c r="AX40" i="3"/>
  <c r="AT40" i="3"/>
  <c r="AP40" i="3"/>
  <c r="AL40" i="3"/>
  <c r="AH40" i="3"/>
  <c r="AD40" i="3"/>
  <c r="Z40" i="3"/>
  <c r="V40" i="3"/>
  <c r="R40" i="3"/>
  <c r="N40" i="3"/>
  <c r="J40" i="3"/>
  <c r="F40" i="3"/>
  <c r="CK31" i="3"/>
  <c r="CR31" i="3"/>
  <c r="CL31" i="3"/>
  <c r="CK30" i="3"/>
  <c r="CR30" i="3"/>
  <c r="CL30" i="3"/>
  <c r="CK29" i="3"/>
  <c r="CR29" i="3"/>
  <c r="CL29" i="3"/>
  <c r="CK28" i="3"/>
  <c r="CR28" i="3"/>
  <c r="CL28" i="3"/>
  <c r="CK27" i="3"/>
  <c r="CR27" i="3"/>
  <c r="CL27" i="3"/>
  <c r="DI30" i="2"/>
  <c r="B45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E40" i="3"/>
  <c r="CK26" i="3"/>
  <c r="CL26" i="3"/>
  <c r="CR26" i="3"/>
  <c r="CK25" i="3"/>
  <c r="CL25" i="3"/>
  <c r="CR25" i="3"/>
  <c r="CK24" i="3"/>
  <c r="CR24" i="3" s="1"/>
  <c r="CL24" i="3"/>
  <c r="CK23" i="3"/>
  <c r="CL23" i="3"/>
  <c r="CR23" i="3"/>
  <c r="CK22" i="3"/>
  <c r="CL22" i="3"/>
  <c r="CR22" i="3"/>
  <c r="CK21" i="3"/>
  <c r="CL21" i="3"/>
  <c r="CR21" i="3"/>
  <c r="CK20" i="3"/>
  <c r="CR20" i="3" s="1"/>
  <c r="CL20" i="3"/>
  <c r="CK19" i="3"/>
  <c r="CR19" i="3" s="1"/>
  <c r="CL19" i="3"/>
  <c r="CK18" i="3"/>
  <c r="CL18" i="3"/>
  <c r="CR18" i="3"/>
  <c r="CK17" i="3"/>
  <c r="CL17" i="3"/>
  <c r="CR17" i="3"/>
  <c r="CK16" i="3"/>
  <c r="CR16" i="3" s="1"/>
  <c r="CL16" i="3"/>
  <c r="CK15" i="3"/>
  <c r="CR15" i="3" s="1"/>
  <c r="CS15" i="3" s="1"/>
  <c r="CL15" i="3"/>
  <c r="CK14" i="3"/>
  <c r="CL14" i="3"/>
  <c r="CR14" i="3"/>
  <c r="CK13" i="3"/>
  <c r="CL13" i="3"/>
  <c r="CR13" i="3"/>
  <c r="CK12" i="3"/>
  <c r="CL12" i="3"/>
  <c r="CR12" i="3"/>
  <c r="CK11" i="3"/>
  <c r="CR11" i="3" s="1"/>
  <c r="CL11" i="3"/>
  <c r="CK10" i="3"/>
  <c r="CL10" i="3"/>
  <c r="CR10" i="3"/>
  <c r="CK9" i="3"/>
  <c r="CL9" i="3"/>
  <c r="CR9" i="3"/>
  <c r="CK8" i="3"/>
  <c r="CR8" i="3" s="1"/>
  <c r="CL8" i="3"/>
  <c r="CK7" i="3"/>
  <c r="CR7" i="3" s="1"/>
  <c r="CL7" i="3"/>
  <c r="CK6" i="3"/>
  <c r="CL6" i="3"/>
  <c r="CR6" i="3"/>
  <c r="CK5" i="3"/>
  <c r="CL5" i="3"/>
  <c r="CR5" i="3"/>
  <c r="CJ37" i="3"/>
  <c r="CF31" i="2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CR35" i="3"/>
  <c r="CK35" i="3"/>
  <c r="CL35" i="3"/>
  <c r="CT35" i="3"/>
  <c r="CM35" i="3"/>
  <c r="CR34" i="3"/>
  <c r="CK34" i="3"/>
  <c r="CL34" i="3"/>
  <c r="CT34" i="3"/>
  <c r="CM34" i="3"/>
  <c r="CK33" i="3"/>
  <c r="CR33" i="3" s="1"/>
  <c r="CL33" i="3"/>
  <c r="CT33" i="3"/>
  <c r="CM33" i="3"/>
  <c r="CR32" i="3"/>
  <c r="CK32" i="3"/>
  <c r="CL32" i="3"/>
  <c r="CT32" i="3"/>
  <c r="CM32" i="3"/>
  <c r="CQ3" i="3"/>
  <c r="B58" i="2"/>
  <c r="DH40" i="2"/>
  <c r="CL39" i="2"/>
  <c r="DE39" i="2" s="1"/>
  <c r="CX39" i="2"/>
  <c r="CX42" i="2"/>
  <c r="CL42" i="2"/>
  <c r="DE42" i="2" s="1"/>
  <c r="CF40" i="2"/>
  <c r="CF35" i="2"/>
  <c r="DI34" i="2"/>
  <c r="CL30" i="2"/>
  <c r="DE30" i="2" s="1"/>
  <c r="CX30" i="2"/>
  <c r="CJ22" i="2"/>
  <c r="DI15" i="2"/>
  <c r="DI11" i="2"/>
  <c r="DH11" i="2"/>
  <c r="CP3" i="3"/>
  <c r="DI38" i="2"/>
  <c r="CL34" i="2"/>
  <c r="DE34" i="2" s="1"/>
  <c r="CX34" i="2"/>
  <c r="CJ33" i="2"/>
  <c r="DH32" i="2"/>
  <c r="B59" i="2"/>
  <c r="CJ41" i="2"/>
  <c r="CL38" i="2"/>
  <c r="DE38" i="2" s="1"/>
  <c r="CX38" i="2"/>
  <c r="CJ37" i="2"/>
  <c r="DH36" i="2"/>
  <c r="DI27" i="2"/>
  <c r="DI13" i="2"/>
  <c r="CJ9" i="2"/>
  <c r="CJ46" i="2"/>
  <c r="CF46" i="2"/>
  <c r="DI45" i="2"/>
  <c r="DH45" i="2"/>
  <c r="CL45" i="2"/>
  <c r="DE45" i="2" s="1"/>
  <c r="CX45" i="2"/>
  <c r="CJ44" i="2"/>
  <c r="CF44" i="2"/>
  <c r="DI43" i="2"/>
  <c r="DH43" i="2"/>
  <c r="CX43" i="2"/>
  <c r="CL43" i="2"/>
  <c r="DE43" i="2" s="1"/>
  <c r="DH42" i="2"/>
  <c r="CF42" i="2"/>
  <c r="CL41" i="2"/>
  <c r="DE41" i="2" s="1"/>
  <c r="CX41" i="2"/>
  <c r="DI40" i="2"/>
  <c r="CJ40" i="2"/>
  <c r="DH39" i="2"/>
  <c r="CF38" i="2"/>
  <c r="DI37" i="2"/>
  <c r="CL37" i="2"/>
  <c r="DE37" i="2" s="1"/>
  <c r="CX37" i="2"/>
  <c r="CJ36" i="2"/>
  <c r="DH35" i="2"/>
  <c r="CF34" i="2"/>
  <c r="DI33" i="2"/>
  <c r="CL33" i="2"/>
  <c r="DE33" i="2" s="1"/>
  <c r="CX33" i="2"/>
  <c r="CJ32" i="2"/>
  <c r="DH31" i="2"/>
  <c r="CF30" i="2"/>
  <c r="DI29" i="2"/>
  <c r="DH27" i="2"/>
  <c r="DI24" i="2"/>
  <c r="CF19" i="2"/>
  <c r="DI18" i="2"/>
  <c r="DB48" i="2"/>
  <c r="DI42" i="2"/>
  <c r="CJ42" i="2"/>
  <c r="DH41" i="2"/>
  <c r="DI39" i="2"/>
  <c r="CF39" i="2"/>
  <c r="DH38" i="2"/>
  <c r="CF37" i="2"/>
  <c r="DI36" i="2"/>
  <c r="CL36" i="2"/>
  <c r="DE36" i="2" s="1"/>
  <c r="CX36" i="2"/>
  <c r="CJ35" i="2"/>
  <c r="DH34" i="2"/>
  <c r="CF33" i="2"/>
  <c r="DI32" i="2"/>
  <c r="CL32" i="2"/>
  <c r="DE32" i="2" s="1"/>
  <c r="CX32" i="2"/>
  <c r="CJ31" i="2"/>
  <c r="DH30" i="2"/>
  <c r="DH29" i="2"/>
  <c r="CJ28" i="2"/>
  <c r="CL27" i="2"/>
  <c r="DE27" i="2" s="1"/>
  <c r="CX27" i="2"/>
  <c r="CL23" i="2"/>
  <c r="DE23" i="2" s="1"/>
  <c r="CX23" i="2"/>
  <c r="CL18" i="2"/>
  <c r="DE18" i="2" s="1"/>
  <c r="CX18" i="2"/>
  <c r="CF14" i="2"/>
  <c r="CF12" i="2"/>
  <c r="DI46" i="2"/>
  <c r="DH46" i="2"/>
  <c r="CL46" i="2"/>
  <c r="DE46" i="2" s="1"/>
  <c r="CX46" i="2"/>
  <c r="CJ45" i="2"/>
  <c r="CF45" i="2"/>
  <c r="DI44" i="2"/>
  <c r="DH44" i="2"/>
  <c r="CL44" i="2"/>
  <c r="DE44" i="2" s="1"/>
  <c r="CX44" i="2"/>
  <c r="CJ43" i="2"/>
  <c r="CF43" i="2"/>
  <c r="DI41" i="2"/>
  <c r="CF41" i="2"/>
  <c r="CL40" i="2"/>
  <c r="DE40" i="2" s="1"/>
  <c r="CX40" i="2"/>
  <c r="CJ39" i="2"/>
  <c r="CJ38" i="2"/>
  <c r="DH37" i="2"/>
  <c r="CF36" i="2"/>
  <c r="DI35" i="2"/>
  <c r="CL35" i="2"/>
  <c r="DE35" i="2" s="1"/>
  <c r="CX35" i="2"/>
  <c r="CJ34" i="2"/>
  <c r="DH33" i="2"/>
  <c r="CF32" i="2"/>
  <c r="DI31" i="2"/>
  <c r="CL31" i="2"/>
  <c r="DE31" i="2" s="1"/>
  <c r="CX31" i="2"/>
  <c r="CJ30" i="2"/>
  <c r="CL29" i="2"/>
  <c r="DE29" i="2" s="1"/>
  <c r="CX29" i="2"/>
  <c r="CF28" i="2"/>
  <c r="DH26" i="2"/>
  <c r="CF24" i="2"/>
  <c r="CJ21" i="2"/>
  <c r="DH20" i="2"/>
  <c r="CL7" i="2"/>
  <c r="DE7" i="2" s="1"/>
  <c r="DI26" i="2"/>
  <c r="CF26" i="2"/>
  <c r="CL25" i="2"/>
  <c r="DE25" i="2" s="1"/>
  <c r="CX25" i="2"/>
  <c r="CJ24" i="2"/>
  <c r="DH23" i="2"/>
  <c r="CF23" i="2"/>
  <c r="CL22" i="2"/>
  <c r="DE22" i="2" s="1"/>
  <c r="CX22" i="2"/>
  <c r="DI21" i="2"/>
  <c r="CL21" i="2"/>
  <c r="DE21" i="2" s="1"/>
  <c r="CX21" i="2"/>
  <c r="CJ20" i="2"/>
  <c r="DH19" i="2"/>
  <c r="CF18" i="2"/>
  <c r="DI17" i="2"/>
  <c r="DH15" i="2"/>
  <c r="DH13" i="2"/>
  <c r="CL11" i="2"/>
  <c r="DE11" i="2" s="1"/>
  <c r="CX11" i="2"/>
  <c r="CF9" i="2"/>
  <c r="CJ29" i="2"/>
  <c r="CF29" i="2"/>
  <c r="DI28" i="2"/>
  <c r="DH28" i="2"/>
  <c r="CL28" i="2"/>
  <c r="DE28" i="2" s="1"/>
  <c r="CX28" i="2"/>
  <c r="CJ27" i="2"/>
  <c r="CF27" i="2"/>
  <c r="CJ26" i="2"/>
  <c r="DH25" i="2"/>
  <c r="CF25" i="2"/>
  <c r="CL24" i="2"/>
  <c r="DE24" i="2" s="1"/>
  <c r="CX24" i="2"/>
  <c r="DI23" i="2"/>
  <c r="CJ23" i="2"/>
  <c r="DH22" i="2"/>
  <c r="CF21" i="2"/>
  <c r="DI20" i="2"/>
  <c r="CL20" i="2"/>
  <c r="DE20" i="2" s="1"/>
  <c r="CX20" i="2"/>
  <c r="CJ19" i="2"/>
  <c r="DH18" i="2"/>
  <c r="DH17" i="2"/>
  <c r="CJ16" i="2"/>
  <c r="CL15" i="2"/>
  <c r="DE15" i="2" s="1"/>
  <c r="CX15" i="2"/>
  <c r="CL13" i="2"/>
  <c r="DE13" i="2" s="1"/>
  <c r="CX13" i="2"/>
  <c r="CF5" i="2"/>
  <c r="CL26" i="2"/>
  <c r="DE26" i="2" s="1"/>
  <c r="CX26" i="2"/>
  <c r="DI25" i="2"/>
  <c r="CJ25" i="2"/>
  <c r="DH24" i="2"/>
  <c r="DI22" i="2"/>
  <c r="CF22" i="2"/>
  <c r="DH21" i="2"/>
  <c r="CF20" i="2"/>
  <c r="DI19" i="2"/>
  <c r="CL19" i="2"/>
  <c r="DE19" i="2" s="1"/>
  <c r="CX19" i="2"/>
  <c r="CJ18" i="2"/>
  <c r="CL17" i="2"/>
  <c r="DE17" i="2" s="1"/>
  <c r="CX17" i="2"/>
  <c r="CF16" i="2"/>
  <c r="CJ14" i="2"/>
  <c r="CJ12" i="2"/>
  <c r="DI7" i="2"/>
  <c r="DH7" i="2"/>
  <c r="DI10" i="2"/>
  <c r="DH10" i="2"/>
  <c r="CL10" i="2"/>
  <c r="DE10" i="2" s="1"/>
  <c r="CJ8" i="2"/>
  <c r="CF8" i="2"/>
  <c r="DI6" i="2"/>
  <c r="DH6" i="2"/>
  <c r="CL6" i="2"/>
  <c r="DE6" i="2" s="1"/>
  <c r="CZ48" i="2"/>
  <c r="CJ17" i="2"/>
  <c r="CF17" i="2"/>
  <c r="DI16" i="2"/>
  <c r="DH16" i="2"/>
  <c r="CL16" i="2"/>
  <c r="DE16" i="2" s="1"/>
  <c r="CX16" i="2"/>
  <c r="CJ15" i="2"/>
  <c r="CF15" i="2"/>
  <c r="DI14" i="2"/>
  <c r="DH14" i="2"/>
  <c r="CL14" i="2"/>
  <c r="DE14" i="2" s="1"/>
  <c r="CX14" i="2"/>
  <c r="CJ13" i="2"/>
  <c r="CF13" i="2"/>
  <c r="DI12" i="2"/>
  <c r="DH12" i="2"/>
  <c r="CL12" i="2"/>
  <c r="DE12" i="2" s="1"/>
  <c r="CX12" i="2"/>
  <c r="CJ11" i="2"/>
  <c r="CF11" i="2"/>
  <c r="DI9" i="2"/>
  <c r="DH9" i="2"/>
  <c r="CL9" i="2"/>
  <c r="DE9" i="2" s="1"/>
  <c r="CJ7" i="2"/>
  <c r="CF7" i="2"/>
  <c r="DD48" i="2"/>
  <c r="CY48" i="2"/>
  <c r="CJ5" i="2"/>
  <c r="CI52" i="2"/>
  <c r="CJ10" i="2"/>
  <c r="CF10" i="2"/>
  <c r="DI8" i="2"/>
  <c r="DH8" i="2"/>
  <c r="CL8" i="2"/>
  <c r="DE8" i="2" s="1"/>
  <c r="CJ6" i="2"/>
  <c r="DC48" i="2"/>
  <c r="CH52" i="2"/>
  <c r="DI5" i="2"/>
  <c r="CQ48" i="2"/>
  <c r="DH5" i="2"/>
  <c r="CK52" i="2"/>
  <c r="CL5" i="2"/>
  <c r="DE5" i="2" s="1"/>
  <c r="DF5" i="2" s="1"/>
  <c r="CG52" i="2"/>
  <c r="CF6" i="2"/>
  <c r="DA48" i="2"/>
  <c r="O8" i="5"/>
  <c r="M46" i="4"/>
  <c r="B5" i="7" s="1"/>
  <c r="K46" i="4"/>
  <c r="N46" i="4" s="1"/>
  <c r="C5" i="7" s="1"/>
  <c r="O67" i="1"/>
  <c r="AA2" i="1"/>
  <c r="AA39" i="3"/>
  <c r="AA3" i="1" a="1"/>
  <c r="AA3" i="1" s="1"/>
  <c r="O46" i="4"/>
  <c r="D5" i="7" s="1"/>
  <c r="D38" i="3"/>
  <c r="H38" i="3"/>
  <c r="L38" i="3"/>
  <c r="P38" i="3"/>
  <c r="T38" i="3"/>
  <c r="X38" i="3"/>
  <c r="AB38" i="3"/>
  <c r="AF38" i="3"/>
  <c r="AJ38" i="3"/>
  <c r="AN38" i="3"/>
  <c r="AR38" i="3"/>
  <c r="AV38" i="3"/>
  <c r="AZ38" i="3"/>
  <c r="BD38" i="3"/>
  <c r="D39" i="3"/>
  <c r="H39" i="3"/>
  <c r="L39" i="3"/>
  <c r="P39" i="3"/>
  <c r="T39" i="3"/>
  <c r="X39" i="3"/>
  <c r="AB39" i="3"/>
  <c r="AF39" i="3"/>
  <c r="AJ39" i="3"/>
  <c r="AN39" i="3"/>
  <c r="AR39" i="3"/>
  <c r="AV39" i="3"/>
  <c r="AZ39" i="3"/>
  <c r="BD39" i="3"/>
  <c r="E38" i="3"/>
  <c r="I38" i="3"/>
  <c r="M38" i="3"/>
  <c r="Q38" i="3"/>
  <c r="U38" i="3"/>
  <c r="Y38" i="3"/>
  <c r="AC38" i="3"/>
  <c r="AG38" i="3"/>
  <c r="AK38" i="3"/>
  <c r="AO38" i="3"/>
  <c r="AS38" i="3"/>
  <c r="AW38" i="3"/>
  <c r="BA38" i="3"/>
  <c r="BE38" i="3"/>
  <c r="E39" i="3"/>
  <c r="I39" i="3"/>
  <c r="M39" i="3"/>
  <c r="Q39" i="3"/>
  <c r="U39" i="3"/>
  <c r="Y39" i="3"/>
  <c r="AC39" i="3"/>
  <c r="AG39" i="3"/>
  <c r="AK39" i="3"/>
  <c r="AO39" i="3"/>
  <c r="AS39" i="3"/>
  <c r="AW39" i="3"/>
  <c r="BA39" i="3"/>
  <c r="BE39" i="3"/>
  <c r="C38" i="3"/>
  <c r="F38" i="3"/>
  <c r="J38" i="3"/>
  <c r="N38" i="3"/>
  <c r="R38" i="3"/>
  <c r="V38" i="3"/>
  <c r="Z38" i="3"/>
  <c r="AD38" i="3"/>
  <c r="AH38" i="3"/>
  <c r="AL38" i="3"/>
  <c r="AP38" i="3"/>
  <c r="AT38" i="3"/>
  <c r="AX38" i="3"/>
  <c r="BB38" i="3"/>
  <c r="F39" i="3"/>
  <c r="J39" i="3"/>
  <c r="N39" i="3"/>
  <c r="R39" i="3"/>
  <c r="V39" i="3"/>
  <c r="Z39" i="3"/>
  <c r="AD39" i="3"/>
  <c r="AH39" i="3"/>
  <c r="AL39" i="3"/>
  <c r="AP39" i="3"/>
  <c r="AT39" i="3"/>
  <c r="AX39" i="3"/>
  <c r="BB39" i="3"/>
  <c r="G38" i="3"/>
  <c r="W38" i="3"/>
  <c r="AM38" i="3"/>
  <c r="BC38" i="3"/>
  <c r="O39" i="3"/>
  <c r="AE39" i="3"/>
  <c r="AU39" i="3"/>
  <c r="K38" i="3"/>
  <c r="AA38" i="3"/>
  <c r="AQ38" i="3"/>
  <c r="C39" i="3"/>
  <c r="S39" i="3"/>
  <c r="AI39" i="3"/>
  <c r="AY39" i="3"/>
  <c r="O38" i="3"/>
  <c r="AE38" i="3"/>
  <c r="AU38" i="3"/>
  <c r="G39" i="3"/>
  <c r="W39" i="3"/>
  <c r="AM39" i="3"/>
  <c r="BC39" i="3"/>
  <c r="P65" i="1"/>
  <c r="P66" i="1" s="1"/>
  <c r="AD63" i="1"/>
  <c r="AB65" i="1" s="1"/>
  <c r="Z63" i="1"/>
  <c r="H93" i="4"/>
  <c r="A5" i="5" s="1" a="1"/>
  <c r="CO50" i="2"/>
  <c r="D53" i="2" a="1"/>
  <c r="L47" i="4"/>
  <c r="AI43" i="4"/>
  <c r="I43" i="4"/>
  <c r="A15" i="4" a="1"/>
  <c r="A15" i="4" s="1"/>
  <c r="CE49" i="2"/>
  <c r="CO49" i="2"/>
  <c r="CU48" i="2"/>
  <c r="CE50" i="2"/>
  <c r="CT48" i="2"/>
  <c r="CV48" i="2"/>
  <c r="CR48" i="2"/>
  <c r="CO48" i="2"/>
  <c r="CP48" i="2"/>
  <c r="CC4" i="2"/>
  <c r="BY4" i="2"/>
  <c r="BU4" i="2"/>
  <c r="BQ4" i="2"/>
  <c r="BM4" i="2"/>
  <c r="BI4" i="2"/>
  <c r="BE4" i="2"/>
  <c r="BA4" i="2"/>
  <c r="AW4" i="2"/>
  <c r="AS4" i="2"/>
  <c r="AO4" i="2"/>
  <c r="AK4" i="2"/>
  <c r="AG4" i="2"/>
  <c r="AC4" i="2"/>
  <c r="Y4" i="2"/>
  <c r="U4" i="2"/>
  <c r="Q4" i="2"/>
  <c r="M4" i="2"/>
  <c r="I4" i="2"/>
  <c r="E4" i="2"/>
  <c r="CC3" i="2"/>
  <c r="BY3" i="2"/>
  <c r="BU3" i="2"/>
  <c r="BQ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CS33" i="3" l="1"/>
  <c r="CS8" i="3"/>
  <c r="CS11" i="3"/>
  <c r="CS16" i="3"/>
  <c r="CS19" i="3"/>
  <c r="CS7" i="3"/>
  <c r="CS24" i="3"/>
  <c r="CS20" i="3"/>
  <c r="DF12" i="2"/>
  <c r="DF16" i="2"/>
  <c r="DF17" i="2"/>
  <c r="DF13" i="2"/>
  <c r="DF20" i="2"/>
  <c r="DF22" i="2"/>
  <c r="DF7" i="2"/>
  <c r="DF35" i="2"/>
  <c r="DF33" i="2"/>
  <c r="DF43" i="2"/>
  <c r="DF34" i="2"/>
  <c r="DF30" i="2"/>
  <c r="DF42" i="2"/>
  <c r="CS12" i="3"/>
  <c r="CS29" i="3"/>
  <c r="DF26" i="2"/>
  <c r="DF11" i="2"/>
  <c r="DF21" i="2"/>
  <c r="DF25" i="2"/>
  <c r="DF44" i="2"/>
  <c r="DF18" i="2"/>
  <c r="DF27" i="2"/>
  <c r="DF36" i="2"/>
  <c r="DF41" i="2"/>
  <c r="CS34" i="3"/>
  <c r="CS23" i="3"/>
  <c r="CS28" i="3"/>
  <c r="DF9" i="2"/>
  <c r="DF14" i="2"/>
  <c r="DF6" i="2"/>
  <c r="DF15" i="2"/>
  <c r="DF28" i="2"/>
  <c r="DF31" i="2"/>
  <c r="DF37" i="2"/>
  <c r="DF38" i="2"/>
  <c r="CS35" i="3"/>
  <c r="CS6" i="3"/>
  <c r="CS10" i="3"/>
  <c r="CS14" i="3"/>
  <c r="CS18" i="3"/>
  <c r="CS22" i="3"/>
  <c r="CS26" i="3"/>
  <c r="CS27" i="3"/>
  <c r="CS31" i="3"/>
  <c r="DF8" i="2"/>
  <c r="DF10" i="2"/>
  <c r="DF19" i="2"/>
  <c r="DF24" i="2"/>
  <c r="DF29" i="2"/>
  <c r="DF40" i="2"/>
  <c r="DF46" i="2"/>
  <c r="DF23" i="2"/>
  <c r="DF32" i="2"/>
  <c r="DF45" i="2"/>
  <c r="DF39" i="2"/>
  <c r="CS32" i="3"/>
  <c r="CS5" i="3"/>
  <c r="CS9" i="3"/>
  <c r="CS13" i="3"/>
  <c r="CS17" i="3"/>
  <c r="CS21" i="3"/>
  <c r="CS25" i="3"/>
  <c r="CS30" i="3"/>
  <c r="H47" i="4"/>
  <c r="L48" i="4"/>
  <c r="A6" i="7"/>
  <c r="CE38" i="3"/>
  <c r="I2" i="9"/>
  <c r="I5" i="9"/>
  <c r="I8" i="9"/>
  <c r="I13" i="9"/>
  <c r="I16" i="9"/>
  <c r="I3" i="9"/>
  <c r="I6" i="9"/>
  <c r="I11" i="9"/>
  <c r="I14" i="9"/>
  <c r="I19" i="9"/>
  <c r="I22" i="9"/>
  <c r="I24" i="9"/>
  <c r="I4" i="9"/>
  <c r="I9" i="9"/>
  <c r="I12" i="9"/>
  <c r="I29" i="9"/>
  <c r="I32" i="9"/>
  <c r="I45" i="9"/>
  <c r="I15" i="9"/>
  <c r="I18" i="9"/>
  <c r="I23" i="9"/>
  <c r="I27" i="9"/>
  <c r="I30" i="9"/>
  <c r="I36" i="9"/>
  <c r="I38" i="9"/>
  <c r="I40" i="9"/>
  <c r="I17" i="9"/>
  <c r="I20" i="9"/>
  <c r="I28" i="9"/>
  <c r="I33" i="9"/>
  <c r="I43" i="9"/>
  <c r="I47" i="9"/>
  <c r="I51" i="9"/>
  <c r="I55" i="9"/>
  <c r="I59" i="9"/>
  <c r="I34" i="9"/>
  <c r="I35" i="9"/>
  <c r="I41" i="9"/>
  <c r="I44" i="9"/>
  <c r="I50" i="9"/>
  <c r="I54" i="9"/>
  <c r="I58" i="9"/>
  <c r="I7" i="9"/>
  <c r="I21" i="9"/>
  <c r="I26" i="9"/>
  <c r="I37" i="9"/>
  <c r="I39" i="9"/>
  <c r="I42" i="9"/>
  <c r="I46" i="9"/>
  <c r="I49" i="9"/>
  <c r="I53" i="9"/>
  <c r="I57" i="9"/>
  <c r="I48" i="9"/>
  <c r="I25" i="9"/>
  <c r="I60" i="9"/>
  <c r="I10" i="9"/>
  <c r="I31" i="9"/>
  <c r="I56" i="9"/>
  <c r="I52" i="9"/>
  <c r="B27" i="10"/>
  <c r="B30" i="10"/>
  <c r="B35" i="10"/>
  <c r="B4" i="10"/>
  <c r="B6" i="10"/>
  <c r="B8" i="10"/>
  <c r="B10" i="10"/>
  <c r="B12" i="10"/>
  <c r="B14" i="10"/>
  <c r="B16" i="10"/>
  <c r="B18" i="10"/>
  <c r="B20" i="10"/>
  <c r="B22" i="10"/>
  <c r="B24" i="10"/>
  <c r="B29" i="10"/>
  <c r="B32" i="10"/>
  <c r="B37" i="10"/>
  <c r="B39" i="10"/>
  <c r="B41" i="10"/>
  <c r="B43" i="10"/>
  <c r="B45" i="10"/>
  <c r="B47" i="10"/>
  <c r="B49" i="10"/>
  <c r="B51" i="10"/>
  <c r="B3" i="10"/>
  <c r="B26" i="10"/>
  <c r="B7" i="10"/>
  <c r="B11" i="10"/>
  <c r="B15" i="10"/>
  <c r="B19" i="10"/>
  <c r="B23" i="10"/>
  <c r="B33" i="10"/>
  <c r="B36" i="10"/>
  <c r="B40" i="10"/>
  <c r="B44" i="10"/>
  <c r="B48" i="10"/>
  <c r="B2" i="10"/>
  <c r="B31" i="10"/>
  <c r="B34" i="10"/>
  <c r="B17" i="10"/>
  <c r="B50" i="10"/>
  <c r="B5" i="10"/>
  <c r="B21" i="10"/>
  <c r="B25" i="10"/>
  <c r="B28" i="10"/>
  <c r="B46" i="10"/>
  <c r="B9" i="10"/>
  <c r="B42" i="10"/>
  <c r="B13" i="10"/>
  <c r="B38" i="10"/>
  <c r="CR49" i="2"/>
  <c r="CS50" i="2" s="1"/>
  <c r="D53" i="2"/>
  <c r="G53" i="2"/>
  <c r="G54" i="2" s="1"/>
  <c r="K53" i="2"/>
  <c r="K54" i="2" s="1"/>
  <c r="O53" i="2"/>
  <c r="O54" i="2" s="1"/>
  <c r="S53" i="2"/>
  <c r="S54" i="2" s="1"/>
  <c r="W53" i="2"/>
  <c r="W54" i="2" s="1"/>
  <c r="AA53" i="2"/>
  <c r="AA54" i="2" s="1"/>
  <c r="AE53" i="2"/>
  <c r="AE54" i="2" s="1"/>
  <c r="AI53" i="2"/>
  <c r="AI54" i="2" s="1"/>
  <c r="AM53" i="2"/>
  <c r="AM54" i="2" s="1"/>
  <c r="AQ53" i="2"/>
  <c r="AQ54" i="2" s="1"/>
  <c r="AU53" i="2"/>
  <c r="AU54" i="2" s="1"/>
  <c r="AY53" i="2"/>
  <c r="AY54" i="2" s="1"/>
  <c r="BC53" i="2"/>
  <c r="BC54" i="2" s="1"/>
  <c r="H53" i="2"/>
  <c r="H54" i="2" s="1"/>
  <c r="M53" i="2"/>
  <c r="M54" i="2" s="1"/>
  <c r="R53" i="2"/>
  <c r="R54" i="2" s="1"/>
  <c r="X53" i="2"/>
  <c r="X54" i="2" s="1"/>
  <c r="AC53" i="2"/>
  <c r="AC54" i="2" s="1"/>
  <c r="AH53" i="2"/>
  <c r="AH54" i="2" s="1"/>
  <c r="AN53" i="2"/>
  <c r="AN54" i="2" s="1"/>
  <c r="AS53" i="2"/>
  <c r="AS54" i="2" s="1"/>
  <c r="AX53" i="2"/>
  <c r="AX54" i="2" s="1"/>
  <c r="BD53" i="2"/>
  <c r="BD54" i="2" s="1"/>
  <c r="I53" i="2"/>
  <c r="I54" i="2" s="1"/>
  <c r="N53" i="2"/>
  <c r="N54" i="2" s="1"/>
  <c r="T53" i="2"/>
  <c r="T54" i="2" s="1"/>
  <c r="Y53" i="2"/>
  <c r="Y54" i="2" s="1"/>
  <c r="AD53" i="2"/>
  <c r="AD54" i="2" s="1"/>
  <c r="AJ53" i="2"/>
  <c r="AJ54" i="2" s="1"/>
  <c r="AO53" i="2"/>
  <c r="AO54" i="2" s="1"/>
  <c r="AT53" i="2"/>
  <c r="AT54" i="2" s="1"/>
  <c r="AZ53" i="2"/>
  <c r="AZ54" i="2" s="1"/>
  <c r="BE53" i="2"/>
  <c r="BE54" i="2" s="1"/>
  <c r="J53" i="2"/>
  <c r="J54" i="2" s="1"/>
  <c r="U53" i="2"/>
  <c r="U54" i="2" s="1"/>
  <c r="AF53" i="2"/>
  <c r="AF54" i="2" s="1"/>
  <c r="AP53" i="2"/>
  <c r="AP54" i="2" s="1"/>
  <c r="BA53" i="2"/>
  <c r="BA54" i="2" s="1"/>
  <c r="L53" i="2"/>
  <c r="L54" i="2" s="1"/>
  <c r="V53" i="2"/>
  <c r="V54" i="2" s="1"/>
  <c r="AG53" i="2"/>
  <c r="AG54" i="2" s="1"/>
  <c r="AR53" i="2"/>
  <c r="AR54" i="2" s="1"/>
  <c r="BB53" i="2"/>
  <c r="BB54" i="2" s="1"/>
  <c r="E53" i="2"/>
  <c r="E54" i="2" s="1"/>
  <c r="P53" i="2"/>
  <c r="P54" i="2" s="1"/>
  <c r="Z53" i="2"/>
  <c r="Z54" i="2" s="1"/>
  <c r="AK53" i="2"/>
  <c r="AK54" i="2" s="1"/>
  <c r="AV53" i="2"/>
  <c r="AV54" i="2" s="1"/>
  <c r="BF53" i="2"/>
  <c r="BF54" i="2" s="1"/>
  <c r="AL53" i="2"/>
  <c r="AL54" i="2" s="1"/>
  <c r="F53" i="2"/>
  <c r="F54" i="2" s="1"/>
  <c r="AW53" i="2"/>
  <c r="AW54" i="2" s="1"/>
  <c r="Q53" i="2"/>
  <c r="Q54" i="2" s="1"/>
  <c r="AB53" i="2"/>
  <c r="AB54" i="2" s="1"/>
  <c r="P67" i="1"/>
  <c r="CH40" i="3" a="1"/>
  <c r="CH40" i="3" s="1"/>
  <c r="CE40" i="3"/>
  <c r="CG40" i="3"/>
  <c r="CV50" i="2"/>
  <c r="O9" i="5"/>
  <c r="CF42" i="3"/>
  <c r="CG42" i="3" s="1"/>
  <c r="CT50" i="2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32" i="5"/>
  <c r="A34" i="5"/>
  <c r="A36" i="5"/>
  <c r="A38" i="5"/>
  <c r="A40" i="5"/>
  <c r="A42" i="5"/>
  <c r="A44" i="5"/>
  <c r="A46" i="5"/>
  <c r="A5" i="5"/>
  <c r="A9" i="5"/>
  <c r="A13" i="5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2" i="5"/>
  <c r="A29" i="6" s="1"/>
  <c r="B36" i="5"/>
  <c r="A33" i="6" s="1"/>
  <c r="B40" i="5"/>
  <c r="A37" i="6" s="1"/>
  <c r="B44" i="5"/>
  <c r="A41" i="6" s="1"/>
  <c r="A7" i="5"/>
  <c r="A11" i="5"/>
  <c r="A15" i="5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8" i="5"/>
  <c r="A12" i="5"/>
  <c r="B18" i="5"/>
  <c r="A15" i="6" s="1"/>
  <c r="B22" i="5"/>
  <c r="A19" i="6" s="1"/>
  <c r="B26" i="5"/>
  <c r="A23" i="6" s="1"/>
  <c r="B30" i="5"/>
  <c r="A27" i="6" s="1"/>
  <c r="B34" i="5"/>
  <c r="A31" i="6" s="1"/>
  <c r="B38" i="5"/>
  <c r="A35" i="6" s="1"/>
  <c r="B42" i="5"/>
  <c r="A39" i="6" s="1"/>
  <c r="B46" i="5"/>
  <c r="CE39" i="3"/>
  <c r="CH54" i="2"/>
  <c r="J12" i="5" l="1"/>
  <c r="G9" i="6" s="1"/>
  <c r="E12" i="5"/>
  <c r="G12" i="5"/>
  <c r="H12" i="5" s="1"/>
  <c r="E9" i="6" s="1"/>
  <c r="J7" i="5"/>
  <c r="G4" i="6" s="1"/>
  <c r="E7" i="5"/>
  <c r="G7" i="5"/>
  <c r="H7" i="5" s="1"/>
  <c r="E4" i="6" s="1"/>
  <c r="J13" i="5"/>
  <c r="G10" i="6" s="1"/>
  <c r="E13" i="5"/>
  <c r="G13" i="5"/>
  <c r="H13" i="5" s="1"/>
  <c r="E10" i="6" s="1"/>
  <c r="G44" i="5"/>
  <c r="H44" i="5" s="1"/>
  <c r="E41" i="6" s="1"/>
  <c r="E44" i="5"/>
  <c r="J44" i="5"/>
  <c r="G41" i="6" s="1"/>
  <c r="G36" i="5"/>
  <c r="H36" i="5" s="1"/>
  <c r="E33" i="6" s="1"/>
  <c r="E36" i="5"/>
  <c r="J36" i="5"/>
  <c r="G33" i="6" s="1"/>
  <c r="G28" i="5"/>
  <c r="H28" i="5" s="1"/>
  <c r="E25" i="6" s="1"/>
  <c r="E28" i="5"/>
  <c r="J28" i="5"/>
  <c r="G25" i="6" s="1"/>
  <c r="G20" i="5"/>
  <c r="H20" i="5" s="1"/>
  <c r="E17" i="6" s="1"/>
  <c r="E20" i="5"/>
  <c r="J20" i="5"/>
  <c r="G17" i="6" s="1"/>
  <c r="E45" i="5"/>
  <c r="G45" i="5"/>
  <c r="H45" i="5" s="1"/>
  <c r="E42" i="6" s="1"/>
  <c r="J45" i="5"/>
  <c r="G42" i="6" s="1"/>
  <c r="E37" i="5"/>
  <c r="G37" i="5"/>
  <c r="H37" i="5" s="1"/>
  <c r="E34" i="6" s="1"/>
  <c r="J37" i="5"/>
  <c r="G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O10" i="5"/>
  <c r="CR50" i="2"/>
  <c r="C13" i="10"/>
  <c r="D13" i="10" a="1"/>
  <c r="C28" i="10"/>
  <c r="D28" i="10" a="1"/>
  <c r="C50" i="10"/>
  <c r="D50" i="10" a="1"/>
  <c r="D2" i="10" a="1"/>
  <c r="C2" i="10"/>
  <c r="C36" i="10"/>
  <c r="D36" i="10" a="1"/>
  <c r="C15" i="10"/>
  <c r="D15" i="10" a="1"/>
  <c r="D3" i="10" a="1"/>
  <c r="C3" i="10"/>
  <c r="D45" i="10" a="1"/>
  <c r="C45" i="10"/>
  <c r="D37" i="10" a="1"/>
  <c r="C37" i="10"/>
  <c r="C22" i="10"/>
  <c r="D22" i="10" a="1"/>
  <c r="C14" i="10"/>
  <c r="D14" i="10" a="1"/>
  <c r="C6" i="10"/>
  <c r="D6" i="10" a="1"/>
  <c r="D27" i="10" a="1"/>
  <c r="C27" i="10"/>
  <c r="D10" i="9"/>
  <c r="H10" i="9"/>
  <c r="E10" i="9"/>
  <c r="F10" i="9"/>
  <c r="B10" i="9"/>
  <c r="C10" i="9"/>
  <c r="G10" i="9"/>
  <c r="C57" i="9"/>
  <c r="G57" i="9"/>
  <c r="D57" i="9"/>
  <c r="H57" i="9"/>
  <c r="E57" i="9"/>
  <c r="F57" i="9"/>
  <c r="B57" i="9"/>
  <c r="D42" i="9"/>
  <c r="H42" i="9"/>
  <c r="F42" i="9"/>
  <c r="B42" i="9"/>
  <c r="G42" i="9"/>
  <c r="C42" i="9"/>
  <c r="E42" i="9"/>
  <c r="B21" i="9"/>
  <c r="F21" i="9"/>
  <c r="C21" i="9"/>
  <c r="G21" i="9"/>
  <c r="D21" i="9"/>
  <c r="E21" i="9"/>
  <c r="H21" i="9"/>
  <c r="D50" i="9"/>
  <c r="H50" i="9"/>
  <c r="E50" i="9"/>
  <c r="B50" i="9"/>
  <c r="F50" i="9"/>
  <c r="C50" i="9"/>
  <c r="G50" i="9"/>
  <c r="D34" i="9"/>
  <c r="H34" i="9"/>
  <c r="E34" i="9"/>
  <c r="F34" i="9"/>
  <c r="B34" i="9"/>
  <c r="G34" i="9"/>
  <c r="C34" i="9"/>
  <c r="E47" i="9"/>
  <c r="B47" i="9"/>
  <c r="F47" i="9"/>
  <c r="C47" i="9"/>
  <c r="G47" i="9"/>
  <c r="D47" i="9"/>
  <c r="H47" i="9"/>
  <c r="D20" i="9"/>
  <c r="H20" i="9"/>
  <c r="F20" i="9"/>
  <c r="B20" i="9"/>
  <c r="G20" i="9"/>
  <c r="C20" i="9"/>
  <c r="E20" i="9"/>
  <c r="D36" i="9"/>
  <c r="H36" i="9"/>
  <c r="E36" i="9"/>
  <c r="B36" i="9"/>
  <c r="F36" i="9"/>
  <c r="C36" i="9"/>
  <c r="G36" i="9"/>
  <c r="D18" i="9"/>
  <c r="H18" i="9"/>
  <c r="E18" i="9"/>
  <c r="F18" i="9"/>
  <c r="G18" i="9"/>
  <c r="B18" i="9"/>
  <c r="C18" i="9"/>
  <c r="B29" i="9"/>
  <c r="F29" i="9"/>
  <c r="D29" i="9"/>
  <c r="E29" i="9"/>
  <c r="G29" i="9"/>
  <c r="H29" i="9"/>
  <c r="C29" i="9"/>
  <c r="D24" i="9"/>
  <c r="H24" i="9"/>
  <c r="E24" i="9"/>
  <c r="F24" i="9"/>
  <c r="G24" i="9"/>
  <c r="B24" i="9"/>
  <c r="C24" i="9"/>
  <c r="B11" i="9"/>
  <c r="F11" i="9"/>
  <c r="C11" i="9"/>
  <c r="H11" i="9"/>
  <c r="D11" i="9"/>
  <c r="E11" i="9"/>
  <c r="G11" i="9"/>
  <c r="B13" i="9"/>
  <c r="F13" i="9"/>
  <c r="D13" i="9"/>
  <c r="E13" i="9"/>
  <c r="C13" i="9"/>
  <c r="G13" i="9"/>
  <c r="H13" i="9"/>
  <c r="J8" i="5"/>
  <c r="G5" i="6" s="1"/>
  <c r="E8" i="5"/>
  <c r="G8" i="5"/>
  <c r="H8" i="5" s="1"/>
  <c r="E5" i="6" s="1"/>
  <c r="J14" i="5"/>
  <c r="G11" i="6" s="1"/>
  <c r="G14" i="5"/>
  <c r="H14" i="5" s="1"/>
  <c r="E11" i="6" s="1"/>
  <c r="E14" i="5"/>
  <c r="J9" i="5"/>
  <c r="G6" i="6" s="1"/>
  <c r="E9" i="5"/>
  <c r="G9" i="5"/>
  <c r="H9" i="5" s="1"/>
  <c r="E6" i="6" s="1"/>
  <c r="G42" i="5"/>
  <c r="H42" i="5" s="1"/>
  <c r="E39" i="6" s="1"/>
  <c r="E42" i="5"/>
  <c r="J42" i="5"/>
  <c r="G39" i="6" s="1"/>
  <c r="G34" i="5"/>
  <c r="H34" i="5" s="1"/>
  <c r="E31" i="6" s="1"/>
  <c r="E34" i="5"/>
  <c r="J34" i="5"/>
  <c r="G31" i="6" s="1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G43" i="5"/>
  <c r="H43" i="5" s="1"/>
  <c r="E40" i="6" s="1"/>
  <c r="J43" i="5"/>
  <c r="G40" i="6" s="1"/>
  <c r="E35" i="5"/>
  <c r="G35" i="5"/>
  <c r="H35" i="5" s="1"/>
  <c r="E32" i="6" s="1"/>
  <c r="J35" i="5"/>
  <c r="G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C42" i="10"/>
  <c r="D42" i="10" a="1"/>
  <c r="D25" i="10" a="1"/>
  <c r="C25" i="10"/>
  <c r="C17" i="10"/>
  <c r="D17" i="10" a="1"/>
  <c r="C48" i="10"/>
  <c r="D48" i="10" a="1"/>
  <c r="D33" i="10" a="1"/>
  <c r="C33" i="10"/>
  <c r="C11" i="10"/>
  <c r="D11" i="10" a="1"/>
  <c r="D51" i="10" a="1"/>
  <c r="C51" i="10"/>
  <c r="D43" i="10" a="1"/>
  <c r="C43" i="10"/>
  <c r="C32" i="10"/>
  <c r="D32" i="10" a="1"/>
  <c r="C20" i="10"/>
  <c r="D20" i="10" a="1"/>
  <c r="C12" i="10"/>
  <c r="D12" i="10" a="1"/>
  <c r="C4" i="10"/>
  <c r="D4" i="10" a="1"/>
  <c r="B52" i="9"/>
  <c r="F52" i="9"/>
  <c r="C52" i="9"/>
  <c r="G52" i="9"/>
  <c r="D52" i="9"/>
  <c r="H52" i="9"/>
  <c r="E52" i="9"/>
  <c r="B60" i="9"/>
  <c r="F60" i="9"/>
  <c r="C60" i="9"/>
  <c r="G60" i="9"/>
  <c r="D60" i="9"/>
  <c r="H60" i="9"/>
  <c r="E60" i="9"/>
  <c r="C53" i="9"/>
  <c r="G53" i="9"/>
  <c r="D53" i="9"/>
  <c r="H53" i="9"/>
  <c r="E53" i="9"/>
  <c r="B53" i="9"/>
  <c r="F53" i="9"/>
  <c r="B39" i="9"/>
  <c r="F39" i="9"/>
  <c r="C39" i="9"/>
  <c r="G39" i="9"/>
  <c r="E39" i="9"/>
  <c r="H39" i="9"/>
  <c r="D39" i="9"/>
  <c r="B7" i="9"/>
  <c r="F7" i="9"/>
  <c r="E7" i="9"/>
  <c r="G7" i="9"/>
  <c r="C7" i="9"/>
  <c r="D7" i="9"/>
  <c r="H7" i="9"/>
  <c r="D44" i="9"/>
  <c r="H44" i="9"/>
  <c r="B44" i="9"/>
  <c r="G44" i="9"/>
  <c r="C44" i="9"/>
  <c r="E44" i="9"/>
  <c r="F44" i="9"/>
  <c r="E59" i="9"/>
  <c r="B59" i="9"/>
  <c r="F59" i="9"/>
  <c r="C59" i="9"/>
  <c r="G59" i="9"/>
  <c r="D59" i="9"/>
  <c r="H59" i="9"/>
  <c r="B43" i="9"/>
  <c r="F43" i="9"/>
  <c r="D43" i="9"/>
  <c r="E43" i="9"/>
  <c r="G43" i="9"/>
  <c r="C43" i="9"/>
  <c r="H43" i="9"/>
  <c r="B17" i="9"/>
  <c r="F17" i="9"/>
  <c r="G17" i="9"/>
  <c r="C17" i="9"/>
  <c r="H17" i="9"/>
  <c r="D17" i="9"/>
  <c r="E17" i="9"/>
  <c r="D30" i="9"/>
  <c r="H30" i="9"/>
  <c r="B30" i="9"/>
  <c r="G30" i="9"/>
  <c r="C30" i="9"/>
  <c r="E30" i="9"/>
  <c r="F30" i="9"/>
  <c r="B15" i="9"/>
  <c r="F15" i="9"/>
  <c r="E15" i="9"/>
  <c r="G15" i="9"/>
  <c r="H15" i="9"/>
  <c r="C15" i="9"/>
  <c r="D15" i="9"/>
  <c r="D12" i="9"/>
  <c r="H12" i="9"/>
  <c r="F12" i="9"/>
  <c r="B12" i="9"/>
  <c r="G12" i="9"/>
  <c r="C12" i="9"/>
  <c r="E12" i="9"/>
  <c r="D22" i="9"/>
  <c r="H22" i="9"/>
  <c r="E22" i="9"/>
  <c r="B22" i="9"/>
  <c r="C22" i="9"/>
  <c r="F22" i="9"/>
  <c r="G22" i="9"/>
  <c r="D6" i="9"/>
  <c r="H6" i="9"/>
  <c r="B6" i="9"/>
  <c r="G6" i="9"/>
  <c r="C6" i="9"/>
  <c r="E6" i="9"/>
  <c r="F6" i="9"/>
  <c r="D8" i="9"/>
  <c r="H8" i="9"/>
  <c r="C8" i="9"/>
  <c r="E8" i="9"/>
  <c r="F8" i="9"/>
  <c r="G8" i="9"/>
  <c r="B8" i="9"/>
  <c r="A7" i="7"/>
  <c r="H48" i="4"/>
  <c r="L49" i="4"/>
  <c r="J15" i="5"/>
  <c r="G12" i="6" s="1"/>
  <c r="E15" i="5"/>
  <c r="G15" i="5"/>
  <c r="H15" i="5" s="1"/>
  <c r="E12" i="6" s="1"/>
  <c r="J10" i="5"/>
  <c r="G7" i="6" s="1"/>
  <c r="G10" i="5"/>
  <c r="H10" i="5" s="1"/>
  <c r="E7" i="6" s="1"/>
  <c r="E10" i="5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6" i="4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E45" i="4"/>
  <c r="G40" i="5"/>
  <c r="H40" i="5" s="1"/>
  <c r="E37" i="6" s="1"/>
  <c r="E40" i="5"/>
  <c r="J40" i="5"/>
  <c r="G37" i="6" s="1"/>
  <c r="G32" i="5"/>
  <c r="H32" i="5" s="1"/>
  <c r="E29" i="6" s="1"/>
  <c r="E32" i="5"/>
  <c r="J32" i="5"/>
  <c r="G29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CH42" i="3"/>
  <c r="CE53" i="2"/>
  <c r="D54" i="2"/>
  <c r="CO53" i="2"/>
  <c r="C9" i="10"/>
  <c r="D9" i="10" a="1"/>
  <c r="C21" i="10"/>
  <c r="D21" i="10" a="1"/>
  <c r="C34" i="10"/>
  <c r="D34" i="10" a="1"/>
  <c r="C44" i="10"/>
  <c r="D44" i="10" a="1"/>
  <c r="C23" i="10"/>
  <c r="D23" i="10" a="1"/>
  <c r="C7" i="10"/>
  <c r="D7" i="10" a="1"/>
  <c r="D49" i="10" a="1"/>
  <c r="C49" i="10"/>
  <c r="D41" i="10" a="1"/>
  <c r="C41" i="10"/>
  <c r="D29" i="10" a="1"/>
  <c r="C29" i="10"/>
  <c r="C18" i="10"/>
  <c r="D18" i="10" a="1"/>
  <c r="C10" i="10"/>
  <c r="D10" i="10" a="1"/>
  <c r="D35" i="10" a="1"/>
  <c r="C35" i="10"/>
  <c r="B56" i="9"/>
  <c r="F56" i="9"/>
  <c r="C56" i="9"/>
  <c r="G56" i="9"/>
  <c r="D56" i="9"/>
  <c r="H56" i="9"/>
  <c r="E56" i="9"/>
  <c r="B25" i="9"/>
  <c r="F25" i="9"/>
  <c r="C25" i="9"/>
  <c r="G25" i="9"/>
  <c r="D25" i="9"/>
  <c r="E25" i="9"/>
  <c r="H25" i="9"/>
  <c r="C49" i="9"/>
  <c r="G49" i="9"/>
  <c r="D49" i="9"/>
  <c r="H49" i="9"/>
  <c r="E49" i="9"/>
  <c r="B49" i="9"/>
  <c r="F49" i="9"/>
  <c r="B37" i="9"/>
  <c r="F37" i="9"/>
  <c r="C37" i="9"/>
  <c r="G37" i="9"/>
  <c r="D37" i="9"/>
  <c r="H37" i="9"/>
  <c r="E37" i="9"/>
  <c r="D58" i="9"/>
  <c r="H58" i="9"/>
  <c r="E58" i="9"/>
  <c r="B58" i="9"/>
  <c r="F58" i="9"/>
  <c r="C58" i="9"/>
  <c r="G58" i="9"/>
  <c r="B41" i="9"/>
  <c r="F41" i="9"/>
  <c r="C41" i="9"/>
  <c r="H41" i="9"/>
  <c r="D41" i="9"/>
  <c r="E41" i="9"/>
  <c r="G41" i="9"/>
  <c r="E55" i="9"/>
  <c r="B55" i="9"/>
  <c r="F55" i="9"/>
  <c r="C55" i="9"/>
  <c r="G55" i="9"/>
  <c r="D55" i="9"/>
  <c r="H55" i="9"/>
  <c r="B33" i="9"/>
  <c r="F33" i="9"/>
  <c r="G33" i="9"/>
  <c r="C33" i="9"/>
  <c r="H33" i="9"/>
  <c r="D33" i="9"/>
  <c r="E33" i="9"/>
  <c r="D40" i="9"/>
  <c r="H40" i="9"/>
  <c r="E40" i="9"/>
  <c r="C40" i="9"/>
  <c r="F40" i="9"/>
  <c r="G40" i="9"/>
  <c r="B40" i="9"/>
  <c r="B27" i="9"/>
  <c r="F27" i="9"/>
  <c r="C27" i="9"/>
  <c r="H27" i="9"/>
  <c r="D27" i="9"/>
  <c r="E27" i="9"/>
  <c r="G27" i="9"/>
  <c r="E45" i="9"/>
  <c r="B45" i="9"/>
  <c r="G45" i="9"/>
  <c r="C45" i="9"/>
  <c r="H45" i="9"/>
  <c r="D45" i="9"/>
  <c r="F45" i="9"/>
  <c r="B9" i="9"/>
  <c r="F9" i="9"/>
  <c r="G9" i="9"/>
  <c r="C9" i="9"/>
  <c r="H9" i="9"/>
  <c r="D9" i="9"/>
  <c r="E9" i="9"/>
  <c r="B19" i="9"/>
  <c r="F19" i="9"/>
  <c r="C19" i="9"/>
  <c r="H19" i="9"/>
  <c r="D19" i="9"/>
  <c r="E19" i="9"/>
  <c r="G19" i="9"/>
  <c r="B3" i="9"/>
  <c r="F3" i="9"/>
  <c r="C3" i="9"/>
  <c r="H3" i="9"/>
  <c r="D3" i="9"/>
  <c r="E3" i="9"/>
  <c r="G3" i="9"/>
  <c r="B5" i="9"/>
  <c r="F5" i="9"/>
  <c r="D5" i="9"/>
  <c r="E5" i="9"/>
  <c r="G5" i="9"/>
  <c r="H5" i="9"/>
  <c r="C5" i="9"/>
  <c r="K47" i="4"/>
  <c r="N47" i="4" s="1"/>
  <c r="C6" i="7" s="1"/>
  <c r="O47" i="4"/>
  <c r="D6" i="7" s="1"/>
  <c r="M47" i="4"/>
  <c r="B6" i="7" s="1"/>
  <c r="J11" i="5"/>
  <c r="G8" i="6" s="1"/>
  <c r="E11" i="5"/>
  <c r="G11" i="5"/>
  <c r="H11" i="5" s="1"/>
  <c r="E8" i="6" s="1"/>
  <c r="J6" i="5"/>
  <c r="G3" i="6" s="1"/>
  <c r="G6" i="5"/>
  <c r="H6" i="5" s="1"/>
  <c r="E3" i="6" s="1"/>
  <c r="E6" i="5"/>
  <c r="G46" i="5"/>
  <c r="H46" i="5" s="1"/>
  <c r="E46" i="5"/>
  <c r="J46" i="5"/>
  <c r="G38" i="5"/>
  <c r="H38" i="5" s="1"/>
  <c r="E35" i="6" s="1"/>
  <c r="E38" i="5"/>
  <c r="J38" i="5"/>
  <c r="G35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CU50" i="2"/>
  <c r="C38" i="10"/>
  <c r="D38" i="10" a="1"/>
  <c r="C46" i="10"/>
  <c r="D46" i="10" a="1"/>
  <c r="C5" i="10"/>
  <c r="D5" i="10" a="1"/>
  <c r="D31" i="10" a="1"/>
  <c r="C31" i="10"/>
  <c r="C40" i="10"/>
  <c r="D40" i="10" a="1"/>
  <c r="C19" i="10"/>
  <c r="D19" i="10" a="1"/>
  <c r="C26" i="10"/>
  <c r="D26" i="10" a="1"/>
  <c r="D47" i="10" a="1"/>
  <c r="C47" i="10"/>
  <c r="D39" i="10" a="1"/>
  <c r="C39" i="10"/>
  <c r="C24" i="10"/>
  <c r="D24" i="10" a="1"/>
  <c r="C16" i="10"/>
  <c r="D16" i="10" a="1"/>
  <c r="C8" i="10"/>
  <c r="D8" i="10" a="1"/>
  <c r="C30" i="10"/>
  <c r="D30" i="10" a="1"/>
  <c r="B31" i="9"/>
  <c r="F31" i="9"/>
  <c r="E31" i="9"/>
  <c r="G31" i="9"/>
  <c r="C31" i="9"/>
  <c r="H31" i="9"/>
  <c r="D31" i="9"/>
  <c r="B48" i="9"/>
  <c r="F48" i="9"/>
  <c r="C48" i="9"/>
  <c r="G48" i="9"/>
  <c r="D48" i="9"/>
  <c r="H48" i="9"/>
  <c r="E48" i="9"/>
  <c r="B46" i="9"/>
  <c r="F46" i="9"/>
  <c r="G46" i="9"/>
  <c r="C46" i="9"/>
  <c r="H46" i="9"/>
  <c r="D46" i="9"/>
  <c r="E46" i="9"/>
  <c r="D26" i="9"/>
  <c r="H26" i="9"/>
  <c r="E26" i="9"/>
  <c r="F26" i="9"/>
  <c r="B26" i="9"/>
  <c r="G26" i="9"/>
  <c r="C26" i="9"/>
  <c r="D54" i="9"/>
  <c r="H54" i="9"/>
  <c r="E54" i="9"/>
  <c r="B54" i="9"/>
  <c r="F54" i="9"/>
  <c r="G54" i="9"/>
  <c r="C54" i="9"/>
  <c r="B35" i="9"/>
  <c r="F35" i="9"/>
  <c r="C35" i="9"/>
  <c r="G35" i="9"/>
  <c r="D35" i="9"/>
  <c r="H35" i="9"/>
  <c r="E35" i="9"/>
  <c r="E51" i="9"/>
  <c r="B51" i="9"/>
  <c r="F51" i="9"/>
  <c r="C51" i="9"/>
  <c r="G51" i="9"/>
  <c r="H51" i="9"/>
  <c r="D51" i="9"/>
  <c r="D28" i="9"/>
  <c r="H28" i="9"/>
  <c r="F28" i="9"/>
  <c r="B28" i="9"/>
  <c r="G28" i="9"/>
  <c r="C28" i="9"/>
  <c r="E28" i="9"/>
  <c r="D38" i="9"/>
  <c r="H38" i="9"/>
  <c r="E38" i="9"/>
  <c r="G38" i="9"/>
  <c r="B38" i="9"/>
  <c r="C38" i="9"/>
  <c r="F38" i="9"/>
  <c r="B23" i="9"/>
  <c r="F23" i="9"/>
  <c r="C23" i="9"/>
  <c r="G23" i="9"/>
  <c r="H23" i="9"/>
  <c r="D23" i="9"/>
  <c r="E23" i="9"/>
  <c r="D32" i="9"/>
  <c r="H32" i="9"/>
  <c r="C32" i="9"/>
  <c r="E32" i="9"/>
  <c r="F32" i="9"/>
  <c r="B32" i="9"/>
  <c r="G32" i="9"/>
  <c r="D4" i="9"/>
  <c r="H4" i="9"/>
  <c r="F4" i="9"/>
  <c r="B4" i="9"/>
  <c r="G4" i="9"/>
  <c r="C4" i="9"/>
  <c r="E4" i="9"/>
  <c r="D14" i="9"/>
  <c r="H14" i="9"/>
  <c r="B14" i="9"/>
  <c r="G14" i="9"/>
  <c r="C14" i="9"/>
  <c r="E14" i="9"/>
  <c r="F14" i="9"/>
  <c r="D16" i="9"/>
  <c r="H16" i="9"/>
  <c r="C16" i="9"/>
  <c r="E16" i="9"/>
  <c r="B16" i="9"/>
  <c r="F16" i="9"/>
  <c r="G16" i="9"/>
  <c r="D2" i="9"/>
  <c r="H2" i="9"/>
  <c r="E2" i="9"/>
  <c r="B2" i="9"/>
  <c r="C2" i="9"/>
  <c r="F2" i="9"/>
  <c r="G2" i="9"/>
  <c r="M1" i="9" l="1" a="1"/>
  <c r="M1" i="9" s="1"/>
  <c r="L4" i="9"/>
  <c r="J4" i="9"/>
  <c r="L28" i="9"/>
  <c r="J28" i="9"/>
  <c r="L26" i="9"/>
  <c r="J26" i="9"/>
  <c r="F8" i="10"/>
  <c r="J8" i="10"/>
  <c r="E8" i="10"/>
  <c r="K8" i="10"/>
  <c r="G8" i="10"/>
  <c r="H8" i="10"/>
  <c r="I8" i="10"/>
  <c r="D8" i="10"/>
  <c r="F24" i="10"/>
  <c r="J24" i="10"/>
  <c r="E24" i="10"/>
  <c r="K24" i="10"/>
  <c r="G24" i="10"/>
  <c r="H24" i="10"/>
  <c r="I24" i="10"/>
  <c r="D24" i="10"/>
  <c r="F19" i="10"/>
  <c r="J19" i="10"/>
  <c r="D19" i="10"/>
  <c r="H19" i="10"/>
  <c r="I19" i="10"/>
  <c r="K19" i="10"/>
  <c r="E19" i="10"/>
  <c r="G19" i="10"/>
  <c r="F46" i="10"/>
  <c r="J46" i="10"/>
  <c r="D46" i="10"/>
  <c r="G46" i="10"/>
  <c r="K46" i="10"/>
  <c r="E46" i="10"/>
  <c r="H46" i="10"/>
  <c r="I46" i="10"/>
  <c r="I23" i="5"/>
  <c r="F20" i="6" s="1"/>
  <c r="D23" i="5"/>
  <c r="C20" i="6" s="1"/>
  <c r="F23" i="5"/>
  <c r="I22" i="5"/>
  <c r="F19" i="6" s="1"/>
  <c r="D22" i="5"/>
  <c r="C19" i="6" s="1"/>
  <c r="F22" i="5"/>
  <c r="J37" i="9"/>
  <c r="L37" i="9"/>
  <c r="F10" i="10"/>
  <c r="J10" i="10"/>
  <c r="E10" i="10"/>
  <c r="K10" i="10"/>
  <c r="G10" i="10"/>
  <c r="D10" i="10"/>
  <c r="H10" i="10"/>
  <c r="I10" i="10"/>
  <c r="F23" i="10"/>
  <c r="J23" i="10"/>
  <c r="D23" i="10"/>
  <c r="H23" i="10"/>
  <c r="I23" i="10"/>
  <c r="K23" i="10"/>
  <c r="E23" i="10"/>
  <c r="G23" i="10"/>
  <c r="F34" i="10"/>
  <c r="J34" i="10"/>
  <c r="I34" i="10"/>
  <c r="E34" i="10"/>
  <c r="K34" i="10"/>
  <c r="G34" i="10"/>
  <c r="H34" i="10"/>
  <c r="D34" i="10"/>
  <c r="F9" i="10"/>
  <c r="J9" i="10"/>
  <c r="D9" i="10"/>
  <c r="H9" i="10"/>
  <c r="I9" i="10"/>
  <c r="E9" i="10"/>
  <c r="G9" i="10"/>
  <c r="K9" i="10"/>
  <c r="I17" i="5"/>
  <c r="F14" i="6" s="1"/>
  <c r="F17" i="5"/>
  <c r="D17" i="5"/>
  <c r="C14" i="6" s="1"/>
  <c r="I40" i="5"/>
  <c r="F37" i="6" s="1"/>
  <c r="D40" i="5"/>
  <c r="C37" i="6" s="1"/>
  <c r="F40" i="5"/>
  <c r="I5" i="5"/>
  <c r="F2" i="6" s="1"/>
  <c r="D5" i="5"/>
  <c r="C2" i="6" s="1"/>
  <c r="F5" i="5"/>
  <c r="L22" i="9"/>
  <c r="J22" i="9"/>
  <c r="J15" i="9"/>
  <c r="L15" i="9"/>
  <c r="L53" i="9"/>
  <c r="J53" i="9"/>
  <c r="J52" i="9"/>
  <c r="L52" i="9"/>
  <c r="H51" i="10"/>
  <c r="E51" i="10"/>
  <c r="I51" i="10"/>
  <c r="F51" i="10"/>
  <c r="G51" i="10"/>
  <c r="J51" i="10"/>
  <c r="D51" i="10"/>
  <c r="K51" i="10"/>
  <c r="H33" i="10"/>
  <c r="G33" i="10"/>
  <c r="D33" i="10"/>
  <c r="I33" i="10"/>
  <c r="J33" i="10"/>
  <c r="K33" i="10"/>
  <c r="E33" i="10"/>
  <c r="F33" i="10"/>
  <c r="I27" i="5"/>
  <c r="F24" i="6" s="1"/>
  <c r="D27" i="5"/>
  <c r="C24" i="6" s="1"/>
  <c r="F27" i="5"/>
  <c r="I18" i="5"/>
  <c r="F15" i="6" s="1"/>
  <c r="D18" i="5"/>
  <c r="C15" i="6" s="1"/>
  <c r="F18" i="5"/>
  <c r="D9" i="5"/>
  <c r="C6" i="6" s="1"/>
  <c r="F9" i="5"/>
  <c r="I9" i="5"/>
  <c r="F6" i="6" s="1"/>
  <c r="J13" i="9"/>
  <c r="L13" i="9"/>
  <c r="L24" i="9"/>
  <c r="J24" i="9"/>
  <c r="L20" i="9"/>
  <c r="J20" i="9"/>
  <c r="J21" i="9"/>
  <c r="L21" i="9"/>
  <c r="L57" i="9"/>
  <c r="J57" i="9"/>
  <c r="F6" i="10"/>
  <c r="J6" i="10"/>
  <c r="E6" i="10"/>
  <c r="K6" i="10"/>
  <c r="G6" i="10"/>
  <c r="D6" i="10"/>
  <c r="H6" i="10"/>
  <c r="I6" i="10"/>
  <c r="F22" i="10"/>
  <c r="J22" i="10"/>
  <c r="E22" i="10"/>
  <c r="K22" i="10"/>
  <c r="G22" i="10"/>
  <c r="D22" i="10"/>
  <c r="H22" i="10"/>
  <c r="I22" i="10"/>
  <c r="F15" i="10"/>
  <c r="J15" i="10"/>
  <c r="D15" i="10"/>
  <c r="H15" i="10"/>
  <c r="I15" i="10"/>
  <c r="K15" i="10"/>
  <c r="E15" i="10"/>
  <c r="G15" i="10"/>
  <c r="P1" i="10" a="1"/>
  <c r="P1" i="10" s="1"/>
  <c r="F28" i="10"/>
  <c r="J28" i="10"/>
  <c r="D28" i="10"/>
  <c r="H28" i="10"/>
  <c r="I28" i="10"/>
  <c r="E28" i="10"/>
  <c r="G28" i="10"/>
  <c r="K28" i="10"/>
  <c r="I45" i="5"/>
  <c r="F42" i="6" s="1"/>
  <c r="F45" i="5"/>
  <c r="D45" i="5"/>
  <c r="C42" i="6" s="1"/>
  <c r="I36" i="5"/>
  <c r="F33" i="6" s="1"/>
  <c r="D36" i="5"/>
  <c r="C33" i="6" s="1"/>
  <c r="F36" i="5"/>
  <c r="F12" i="5"/>
  <c r="D12" i="5"/>
  <c r="C9" i="6" s="1"/>
  <c r="I12" i="5"/>
  <c r="F9" i="6" s="1"/>
  <c r="L14" i="9"/>
  <c r="J14" i="9"/>
  <c r="J23" i="9"/>
  <c r="L23" i="9"/>
  <c r="L38" i="9"/>
  <c r="J38" i="9"/>
  <c r="J51" i="9"/>
  <c r="K51" i="9" s="1"/>
  <c r="L51" i="9"/>
  <c r="L54" i="9"/>
  <c r="J54" i="9"/>
  <c r="K54" i="9" s="1"/>
  <c r="H47" i="10"/>
  <c r="E47" i="10"/>
  <c r="I47" i="10"/>
  <c r="F47" i="10"/>
  <c r="G47" i="10"/>
  <c r="J47" i="10"/>
  <c r="K47" i="10"/>
  <c r="D47" i="10"/>
  <c r="H31" i="10"/>
  <c r="D31" i="10"/>
  <c r="I31" i="10"/>
  <c r="E31" i="10"/>
  <c r="J31" i="10"/>
  <c r="F31" i="10"/>
  <c r="G31" i="10"/>
  <c r="K31" i="10"/>
  <c r="I46" i="5"/>
  <c r="D46" i="5"/>
  <c r="F46" i="5"/>
  <c r="J5" i="9"/>
  <c r="L5" i="9"/>
  <c r="J19" i="9"/>
  <c r="L19" i="9"/>
  <c r="L40" i="9"/>
  <c r="J40" i="9"/>
  <c r="L58" i="9"/>
  <c r="J58" i="9"/>
  <c r="L49" i="9"/>
  <c r="J49" i="9"/>
  <c r="K49" i="9" s="1"/>
  <c r="J56" i="9"/>
  <c r="L56" i="9"/>
  <c r="H29" i="10"/>
  <c r="E29" i="10"/>
  <c r="J29" i="10"/>
  <c r="F29" i="10"/>
  <c r="K29" i="10"/>
  <c r="D29" i="10"/>
  <c r="G29" i="10"/>
  <c r="I29" i="10"/>
  <c r="H49" i="10"/>
  <c r="E49" i="10"/>
  <c r="I49" i="10"/>
  <c r="J49" i="10"/>
  <c r="D49" i="10"/>
  <c r="K49" i="10"/>
  <c r="F49" i="10"/>
  <c r="G49" i="10"/>
  <c r="I41" i="5"/>
  <c r="F38" i="6" s="1"/>
  <c r="F41" i="5"/>
  <c r="D41" i="5"/>
  <c r="C38" i="6" s="1"/>
  <c r="I32" i="5"/>
  <c r="F29" i="6" s="1"/>
  <c r="D32" i="5"/>
  <c r="C29" i="6" s="1"/>
  <c r="F32" i="5"/>
  <c r="F10" i="5"/>
  <c r="D10" i="5"/>
  <c r="C7" i="6" s="1"/>
  <c r="I10" i="5"/>
  <c r="F7" i="6" s="1"/>
  <c r="D15" i="5"/>
  <c r="C12" i="6" s="1"/>
  <c r="F15" i="5"/>
  <c r="I15" i="5"/>
  <c r="F12" i="6" s="1"/>
  <c r="H49" i="4"/>
  <c r="L50" i="4"/>
  <c r="A8" i="7"/>
  <c r="L6" i="9"/>
  <c r="J6" i="9"/>
  <c r="L30" i="9"/>
  <c r="J30" i="9"/>
  <c r="J43" i="9"/>
  <c r="L43" i="9"/>
  <c r="J59" i="9"/>
  <c r="L59" i="9"/>
  <c r="L44" i="9"/>
  <c r="J44" i="9"/>
  <c r="J39" i="9"/>
  <c r="L39" i="9"/>
  <c r="J60" i="9"/>
  <c r="K60" i="9" s="1"/>
  <c r="L60" i="9"/>
  <c r="F4" i="10"/>
  <c r="J4" i="10"/>
  <c r="E4" i="10"/>
  <c r="K4" i="10"/>
  <c r="G4" i="10"/>
  <c r="H4" i="10"/>
  <c r="I4" i="10"/>
  <c r="D4" i="10"/>
  <c r="F20" i="10"/>
  <c r="J20" i="10"/>
  <c r="E20" i="10"/>
  <c r="K20" i="10"/>
  <c r="G20" i="10"/>
  <c r="H20" i="10"/>
  <c r="I20" i="10"/>
  <c r="D20" i="10"/>
  <c r="F11" i="10"/>
  <c r="J11" i="10"/>
  <c r="D11" i="10"/>
  <c r="H11" i="10"/>
  <c r="I11" i="10"/>
  <c r="K11" i="10"/>
  <c r="E11" i="10"/>
  <c r="G11" i="10"/>
  <c r="F48" i="10"/>
  <c r="J48" i="10"/>
  <c r="D48" i="10"/>
  <c r="G48" i="10"/>
  <c r="K48" i="10"/>
  <c r="H48" i="10"/>
  <c r="I48" i="10"/>
  <c r="E48" i="10"/>
  <c r="I19" i="5"/>
  <c r="F16" i="6" s="1"/>
  <c r="D19" i="5"/>
  <c r="C16" i="6" s="1"/>
  <c r="F19" i="5"/>
  <c r="I42" i="5"/>
  <c r="F39" i="6" s="1"/>
  <c r="D42" i="5"/>
  <c r="C39" i="6" s="1"/>
  <c r="F42" i="5"/>
  <c r="J11" i="9"/>
  <c r="L11" i="9"/>
  <c r="J29" i="9"/>
  <c r="L29" i="9"/>
  <c r="L36" i="9"/>
  <c r="J36" i="9"/>
  <c r="L50" i="9"/>
  <c r="J50" i="9"/>
  <c r="K50" i="9" s="1"/>
  <c r="L10" i="9"/>
  <c r="J10" i="9"/>
  <c r="H45" i="10"/>
  <c r="E45" i="10"/>
  <c r="I45" i="10"/>
  <c r="J45" i="10"/>
  <c r="D45" i="10"/>
  <c r="K45" i="10"/>
  <c r="F45" i="10"/>
  <c r="G45" i="10"/>
  <c r="H2" i="10"/>
  <c r="D2" i="10"/>
  <c r="I2" i="10"/>
  <c r="E2" i="10"/>
  <c r="J2" i="10"/>
  <c r="F2" i="10"/>
  <c r="G2" i="10"/>
  <c r="K2" i="10"/>
  <c r="I37" i="5"/>
  <c r="F34" i="6" s="1"/>
  <c r="F37" i="5"/>
  <c r="D37" i="5"/>
  <c r="C34" i="6" s="1"/>
  <c r="I28" i="5"/>
  <c r="F25" i="6" s="1"/>
  <c r="D28" i="5"/>
  <c r="C25" i="6" s="1"/>
  <c r="F28" i="5"/>
  <c r="D7" i="5"/>
  <c r="C4" i="6" s="1"/>
  <c r="F7" i="5"/>
  <c r="I7" i="5"/>
  <c r="F4" i="6" s="1"/>
  <c r="L16" i="9"/>
  <c r="J16" i="9"/>
  <c r="J35" i="9"/>
  <c r="L35" i="9"/>
  <c r="J46" i="9"/>
  <c r="K46" i="9" s="1"/>
  <c r="L46" i="9"/>
  <c r="J48" i="9"/>
  <c r="L48" i="9"/>
  <c r="F30" i="10"/>
  <c r="J30" i="10"/>
  <c r="G30" i="10"/>
  <c r="D30" i="10"/>
  <c r="H30" i="10"/>
  <c r="I30" i="10"/>
  <c r="K30" i="10"/>
  <c r="E30" i="10"/>
  <c r="F16" i="10"/>
  <c r="J16" i="10"/>
  <c r="E16" i="10"/>
  <c r="K16" i="10"/>
  <c r="G16" i="10"/>
  <c r="H16" i="10"/>
  <c r="I16" i="10"/>
  <c r="D16" i="10"/>
  <c r="F26" i="10"/>
  <c r="J26" i="10"/>
  <c r="I26" i="10"/>
  <c r="E26" i="10"/>
  <c r="K26" i="10"/>
  <c r="D26" i="10"/>
  <c r="G26" i="10"/>
  <c r="H26" i="10"/>
  <c r="F40" i="10"/>
  <c r="J40" i="10"/>
  <c r="D40" i="10"/>
  <c r="G40" i="10"/>
  <c r="K40" i="10"/>
  <c r="H40" i="10"/>
  <c r="I40" i="10"/>
  <c r="E40" i="10"/>
  <c r="F5" i="10"/>
  <c r="J5" i="10"/>
  <c r="D5" i="10"/>
  <c r="H5" i="10"/>
  <c r="I5" i="10"/>
  <c r="E5" i="10"/>
  <c r="G5" i="10"/>
  <c r="K5" i="10"/>
  <c r="F38" i="10"/>
  <c r="J38" i="10"/>
  <c r="D38" i="10"/>
  <c r="G38" i="10"/>
  <c r="K38" i="10"/>
  <c r="E38" i="10"/>
  <c r="H38" i="10"/>
  <c r="I38" i="10"/>
  <c r="I39" i="5"/>
  <c r="F36" i="6" s="1"/>
  <c r="D39" i="5"/>
  <c r="C36" i="6" s="1"/>
  <c r="F39" i="5"/>
  <c r="I38" i="5"/>
  <c r="F35" i="6" s="1"/>
  <c r="D38" i="5"/>
  <c r="C35" i="6" s="1"/>
  <c r="F38" i="5"/>
  <c r="J3" i="9"/>
  <c r="L3" i="9"/>
  <c r="L45" i="9"/>
  <c r="J45" i="9"/>
  <c r="K45" i="9" s="1"/>
  <c r="J27" i="9"/>
  <c r="L27" i="9"/>
  <c r="J55" i="9"/>
  <c r="K55" i="9" s="1"/>
  <c r="L55" i="9"/>
  <c r="J41" i="9"/>
  <c r="L41" i="9"/>
  <c r="J25" i="9"/>
  <c r="L25" i="9"/>
  <c r="F18" i="10"/>
  <c r="J18" i="10"/>
  <c r="E18" i="10"/>
  <c r="K18" i="10"/>
  <c r="G18" i="10"/>
  <c r="D18" i="10"/>
  <c r="H18" i="10"/>
  <c r="I18" i="10"/>
  <c r="F7" i="10"/>
  <c r="J7" i="10"/>
  <c r="D7" i="10"/>
  <c r="H7" i="10"/>
  <c r="I7" i="10"/>
  <c r="K7" i="10"/>
  <c r="E7" i="10"/>
  <c r="G7" i="10"/>
  <c r="F44" i="10"/>
  <c r="J44" i="10"/>
  <c r="D44" i="10"/>
  <c r="G44" i="10"/>
  <c r="K44" i="10"/>
  <c r="H44" i="10"/>
  <c r="I44" i="10"/>
  <c r="E44" i="10"/>
  <c r="F21" i="10"/>
  <c r="J21" i="10"/>
  <c r="D21" i="10"/>
  <c r="H21" i="10"/>
  <c r="I21" i="10"/>
  <c r="E21" i="10"/>
  <c r="G21" i="10"/>
  <c r="K21" i="10"/>
  <c r="I33" i="5"/>
  <c r="F30" i="6" s="1"/>
  <c r="F33" i="5"/>
  <c r="D33" i="5"/>
  <c r="C30" i="6" s="1"/>
  <c r="I24" i="5"/>
  <c r="F21" i="6" s="1"/>
  <c r="D24" i="5"/>
  <c r="C21" i="6" s="1"/>
  <c r="F24" i="5"/>
  <c r="M48" i="4"/>
  <c r="B7" i="7" s="1"/>
  <c r="O48" i="4"/>
  <c r="D7" i="7" s="1"/>
  <c r="K48" i="4"/>
  <c r="N48" i="4" s="1"/>
  <c r="C7" i="7" s="1"/>
  <c r="L8" i="9"/>
  <c r="J8" i="9"/>
  <c r="H43" i="10"/>
  <c r="E43" i="10"/>
  <c r="I43" i="10"/>
  <c r="F43" i="10"/>
  <c r="G43" i="10"/>
  <c r="J43" i="10"/>
  <c r="D43" i="10"/>
  <c r="K43" i="10"/>
  <c r="H25" i="10"/>
  <c r="G25" i="10"/>
  <c r="D25" i="10"/>
  <c r="I25" i="10"/>
  <c r="E25" i="10"/>
  <c r="F25" i="10"/>
  <c r="J25" i="10"/>
  <c r="K25" i="10"/>
  <c r="I43" i="5"/>
  <c r="F40" i="6" s="1"/>
  <c r="D43" i="5"/>
  <c r="C40" i="6" s="1"/>
  <c r="F43" i="5"/>
  <c r="I34" i="5"/>
  <c r="F31" i="6" s="1"/>
  <c r="D34" i="5"/>
  <c r="C31" i="6" s="1"/>
  <c r="F34" i="5"/>
  <c r="F14" i="5"/>
  <c r="D14" i="5"/>
  <c r="C11" i="6" s="1"/>
  <c r="I14" i="5"/>
  <c r="F11" i="6" s="1"/>
  <c r="F8" i="5"/>
  <c r="D8" i="5"/>
  <c r="C5" i="6" s="1"/>
  <c r="I8" i="5"/>
  <c r="F5" i="6" s="1"/>
  <c r="L18" i="9"/>
  <c r="J18" i="9"/>
  <c r="J47" i="9"/>
  <c r="K47" i="9" s="1"/>
  <c r="L47" i="9"/>
  <c r="L34" i="9"/>
  <c r="J34" i="9"/>
  <c r="F14" i="10"/>
  <c r="J14" i="10"/>
  <c r="E14" i="10"/>
  <c r="K14" i="10"/>
  <c r="G14" i="10"/>
  <c r="D14" i="10"/>
  <c r="H14" i="10"/>
  <c r="I14" i="10"/>
  <c r="F36" i="10"/>
  <c r="J36" i="10"/>
  <c r="D36" i="10"/>
  <c r="G36" i="10"/>
  <c r="K36" i="10"/>
  <c r="H36" i="10"/>
  <c r="I36" i="10"/>
  <c r="E36" i="10"/>
  <c r="F50" i="10"/>
  <c r="J50" i="10"/>
  <c r="D50" i="10"/>
  <c r="G50" i="10"/>
  <c r="K50" i="10"/>
  <c r="E50" i="10"/>
  <c r="H50" i="10"/>
  <c r="I50" i="10"/>
  <c r="F13" i="10"/>
  <c r="J13" i="10"/>
  <c r="D13" i="10"/>
  <c r="H13" i="10"/>
  <c r="I13" i="10"/>
  <c r="E13" i="10"/>
  <c r="G13" i="10"/>
  <c r="K13" i="10"/>
  <c r="I29" i="5"/>
  <c r="F26" i="6" s="1"/>
  <c r="F29" i="5"/>
  <c r="D29" i="5"/>
  <c r="C26" i="6" s="1"/>
  <c r="I20" i="5"/>
  <c r="F17" i="6" s="1"/>
  <c r="D20" i="5"/>
  <c r="C17" i="6" s="1"/>
  <c r="F20" i="5"/>
  <c r="D13" i="5"/>
  <c r="C10" i="6" s="1"/>
  <c r="F13" i="5"/>
  <c r="I13" i="5"/>
  <c r="F10" i="6" s="1"/>
  <c r="L2" i="9"/>
  <c r="J2" i="9"/>
  <c r="L32" i="9"/>
  <c r="J32" i="9"/>
  <c r="J31" i="9"/>
  <c r="L31" i="9"/>
  <c r="H39" i="10"/>
  <c r="E39" i="10"/>
  <c r="I39" i="10"/>
  <c r="F39" i="10"/>
  <c r="G39" i="10"/>
  <c r="J39" i="10"/>
  <c r="D39" i="10"/>
  <c r="K39" i="10"/>
  <c r="I31" i="5"/>
  <c r="F28" i="6" s="1"/>
  <c r="D31" i="5"/>
  <c r="C28" i="6" s="1"/>
  <c r="F31" i="5"/>
  <c r="I30" i="5"/>
  <c r="F27" i="6" s="1"/>
  <c r="D30" i="5"/>
  <c r="C27" i="6" s="1"/>
  <c r="F30" i="5"/>
  <c r="F6" i="5"/>
  <c r="D6" i="5"/>
  <c r="C3" i="6" s="1"/>
  <c r="I6" i="5"/>
  <c r="F3" i="6" s="1"/>
  <c r="D11" i="5"/>
  <c r="C8" i="6" s="1"/>
  <c r="F11" i="5"/>
  <c r="I11" i="5"/>
  <c r="F8" i="6" s="1"/>
  <c r="J9" i="9"/>
  <c r="L9" i="9"/>
  <c r="J33" i="9"/>
  <c r="L33" i="9"/>
  <c r="H35" i="10"/>
  <c r="F35" i="10"/>
  <c r="K35" i="10"/>
  <c r="G35" i="10"/>
  <c r="D35" i="10"/>
  <c r="E35" i="10"/>
  <c r="I35" i="10"/>
  <c r="J35" i="10"/>
  <c r="H41" i="10"/>
  <c r="E41" i="10"/>
  <c r="I41" i="10"/>
  <c r="J41" i="10"/>
  <c r="D41" i="10"/>
  <c r="K41" i="10"/>
  <c r="F41" i="10"/>
  <c r="G41" i="10"/>
  <c r="CE54" i="2"/>
  <c r="CH55" i="2" s="1"/>
  <c r="CO54" i="2"/>
  <c r="I25" i="5"/>
  <c r="F22" i="6" s="1"/>
  <c r="F25" i="5"/>
  <c r="D25" i="5"/>
  <c r="C22" i="6" s="1"/>
  <c r="I16" i="5"/>
  <c r="F13" i="6" s="1"/>
  <c r="D16" i="5"/>
  <c r="C13" i="6" s="1"/>
  <c r="F16" i="5"/>
  <c r="L12" i="9"/>
  <c r="J12" i="9"/>
  <c r="J17" i="9"/>
  <c r="L17" i="9"/>
  <c r="J7" i="9"/>
  <c r="K7" i="9" s="1"/>
  <c r="L7" i="9"/>
  <c r="F12" i="10"/>
  <c r="J12" i="10"/>
  <c r="E12" i="10"/>
  <c r="K12" i="10"/>
  <c r="G12" i="10"/>
  <c r="H12" i="10"/>
  <c r="I12" i="10"/>
  <c r="D12" i="10"/>
  <c r="F32" i="10"/>
  <c r="J32" i="10"/>
  <c r="E32" i="10"/>
  <c r="K32" i="10"/>
  <c r="G32" i="10"/>
  <c r="D32" i="10"/>
  <c r="H32" i="10"/>
  <c r="I32" i="10"/>
  <c r="F17" i="10"/>
  <c r="J17" i="10"/>
  <c r="D17" i="10"/>
  <c r="H17" i="10"/>
  <c r="I17" i="10"/>
  <c r="E17" i="10"/>
  <c r="G17" i="10"/>
  <c r="K17" i="10"/>
  <c r="F42" i="10"/>
  <c r="J42" i="10"/>
  <c r="D42" i="10"/>
  <c r="G42" i="10"/>
  <c r="K42" i="10"/>
  <c r="E42" i="10"/>
  <c r="H42" i="10"/>
  <c r="I42" i="10"/>
  <c r="I35" i="5"/>
  <c r="F32" i="6" s="1"/>
  <c r="D35" i="5"/>
  <c r="C32" i="6" s="1"/>
  <c r="F35" i="5"/>
  <c r="I26" i="5"/>
  <c r="F23" i="6" s="1"/>
  <c r="D26" i="5"/>
  <c r="C23" i="6" s="1"/>
  <c r="F26" i="5"/>
  <c r="L42" i="9"/>
  <c r="J42" i="9"/>
  <c r="H27" i="10"/>
  <c r="F27" i="10"/>
  <c r="K27" i="10"/>
  <c r="G27" i="10"/>
  <c r="I27" i="10"/>
  <c r="J27" i="10"/>
  <c r="D27" i="10"/>
  <c r="E27" i="10"/>
  <c r="H37" i="10"/>
  <c r="E37" i="10"/>
  <c r="I37" i="10"/>
  <c r="J37" i="10"/>
  <c r="D37" i="10"/>
  <c r="K37" i="10"/>
  <c r="F37" i="10"/>
  <c r="G37" i="10"/>
  <c r="H3" i="10"/>
  <c r="D3" i="10"/>
  <c r="I3" i="10"/>
  <c r="E3" i="10"/>
  <c r="J3" i="10"/>
  <c r="K3" i="10"/>
  <c r="F3" i="10"/>
  <c r="G3" i="10"/>
  <c r="O11" i="5"/>
  <c r="I21" i="5"/>
  <c r="F18" i="6" s="1"/>
  <c r="F21" i="5"/>
  <c r="D21" i="5"/>
  <c r="C18" i="6" s="1"/>
  <c r="I44" i="5"/>
  <c r="F41" i="6" s="1"/>
  <c r="D44" i="5"/>
  <c r="C41" i="6" s="1"/>
  <c r="F44" i="5"/>
  <c r="K59" i="9" l="1"/>
  <c r="K58" i="9"/>
  <c r="K53" i="9"/>
  <c r="K48" i="9"/>
  <c r="K44" i="9"/>
  <c r="K56" i="9"/>
  <c r="K57" i="9"/>
  <c r="K17" i="9"/>
  <c r="K33" i="9"/>
  <c r="K31" i="9"/>
  <c r="K29" i="9"/>
  <c r="K39" i="9"/>
  <c r="K21" i="9"/>
  <c r="K22" i="9"/>
  <c r="K42" i="9"/>
  <c r="K12" i="9"/>
  <c r="K32" i="9"/>
  <c r="K34" i="9"/>
  <c r="K18" i="9"/>
  <c r="K41" i="9"/>
  <c r="K27" i="9"/>
  <c r="K3" i="9"/>
  <c r="K35" i="9"/>
  <c r="K10" i="9"/>
  <c r="K36" i="9"/>
  <c r="K6" i="9"/>
  <c r="K19" i="9"/>
  <c r="K20" i="9"/>
  <c r="K9" i="9"/>
  <c r="K16" i="9"/>
  <c r="K11" i="9"/>
  <c r="K43" i="9"/>
  <c r="K40" i="9"/>
  <c r="K23" i="9"/>
  <c r="K13" i="9"/>
  <c r="K2" i="9"/>
  <c r="K8" i="9"/>
  <c r="K25" i="9"/>
  <c r="K30" i="9"/>
  <c r="K5" i="9"/>
  <c r="K38" i="9"/>
  <c r="K14" i="9"/>
  <c r="K28" i="9"/>
  <c r="K37" i="9"/>
  <c r="K24" i="9"/>
  <c r="K52" i="9"/>
  <c r="K15" i="9"/>
  <c r="K26" i="9"/>
  <c r="K4" i="9"/>
  <c r="M41" i="9" s="1"/>
  <c r="O12" i="5"/>
  <c r="C16" i="5"/>
  <c r="D13" i="6"/>
  <c r="C25" i="5"/>
  <c r="D22" i="6"/>
  <c r="L41" i="10"/>
  <c r="M41" i="10" s="1"/>
  <c r="N41" i="10"/>
  <c r="L35" i="10"/>
  <c r="M35" i="10" s="1"/>
  <c r="N35" i="10"/>
  <c r="C20" i="5"/>
  <c r="D17" i="6"/>
  <c r="C29" i="5"/>
  <c r="D26" i="6"/>
  <c r="D5" i="6"/>
  <c r="C8" i="5"/>
  <c r="C34" i="5"/>
  <c r="D31" i="6"/>
  <c r="N18" i="10"/>
  <c r="L18" i="10"/>
  <c r="C39" i="5"/>
  <c r="D36" i="6"/>
  <c r="N5" i="10"/>
  <c r="L5" i="10"/>
  <c r="N26" i="10"/>
  <c r="L26" i="10"/>
  <c r="N30" i="10"/>
  <c r="L30" i="10"/>
  <c r="C28" i="5"/>
  <c r="D25" i="6"/>
  <c r="C37" i="5"/>
  <c r="D34" i="6"/>
  <c r="L45" i="10"/>
  <c r="M45" i="10" s="1"/>
  <c r="N45" i="10"/>
  <c r="C42" i="5"/>
  <c r="D39" i="6"/>
  <c r="N48" i="10"/>
  <c r="L48" i="10"/>
  <c r="M48" i="10" s="1"/>
  <c r="N11" i="10"/>
  <c r="L11" i="10"/>
  <c r="K49" i="4"/>
  <c r="N49" i="4" s="1"/>
  <c r="C8" i="7" s="1"/>
  <c r="O49" i="4"/>
  <c r="D8" i="7" s="1"/>
  <c r="M49" i="4"/>
  <c r="B8" i="7" s="1"/>
  <c r="D12" i="6"/>
  <c r="C15" i="5"/>
  <c r="D7" i="6"/>
  <c r="C10" i="5"/>
  <c r="L49" i="10"/>
  <c r="M49" i="10" s="1"/>
  <c r="N49" i="10"/>
  <c r="L31" i="10"/>
  <c r="N31" i="10"/>
  <c r="C36" i="5"/>
  <c r="D33" i="6"/>
  <c r="C45" i="5"/>
  <c r="D42" i="6"/>
  <c r="P2" i="10" a="1"/>
  <c r="P2" i="10" s="1"/>
  <c r="N22" i="10"/>
  <c r="L22" i="10"/>
  <c r="N6" i="10"/>
  <c r="L6" i="10"/>
  <c r="D6" i="6"/>
  <c r="C9" i="5"/>
  <c r="L33" i="10"/>
  <c r="M33" i="10" s="1"/>
  <c r="N33" i="10"/>
  <c r="N34" i="10"/>
  <c r="L34" i="10"/>
  <c r="M34" i="10" s="1"/>
  <c r="N46" i="10"/>
  <c r="L46" i="10"/>
  <c r="M46" i="10" s="1"/>
  <c r="N19" i="10"/>
  <c r="L19" i="10"/>
  <c r="C35" i="5"/>
  <c r="D32" i="6"/>
  <c r="N32" i="10"/>
  <c r="L32" i="10"/>
  <c r="N12" i="10"/>
  <c r="L12" i="10"/>
  <c r="D8" i="6"/>
  <c r="C11" i="5"/>
  <c r="D3" i="6"/>
  <c r="C6" i="5"/>
  <c r="C31" i="5"/>
  <c r="D28" i="6"/>
  <c r="N14" i="10"/>
  <c r="L14" i="10"/>
  <c r="N44" i="10"/>
  <c r="L44" i="10"/>
  <c r="M44" i="10" s="1"/>
  <c r="N7" i="10"/>
  <c r="L7" i="10"/>
  <c r="C38" i="5"/>
  <c r="D35" i="6"/>
  <c r="L2" i="10"/>
  <c r="N2" i="10"/>
  <c r="L29" i="10"/>
  <c r="N29" i="10"/>
  <c r="N28" i="10"/>
  <c r="L28" i="10"/>
  <c r="N15" i="10"/>
  <c r="L15" i="10"/>
  <c r="C27" i="5"/>
  <c r="D24" i="6"/>
  <c r="L51" i="10"/>
  <c r="M51" i="10" s="1"/>
  <c r="N51" i="10"/>
  <c r="N10" i="10"/>
  <c r="L10" i="10"/>
  <c r="C23" i="5"/>
  <c r="D20" i="6"/>
  <c r="C44" i="5"/>
  <c r="D41" i="6"/>
  <c r="C21" i="5"/>
  <c r="D18" i="6"/>
  <c r="L3" i="10"/>
  <c r="N3" i="10"/>
  <c r="L37" i="10"/>
  <c r="M37" i="10" s="1"/>
  <c r="N37" i="10"/>
  <c r="L27" i="10"/>
  <c r="N27" i="10"/>
  <c r="C26" i="5"/>
  <c r="D23" i="6"/>
  <c r="N42" i="10"/>
  <c r="L42" i="10"/>
  <c r="M42" i="10" s="1"/>
  <c r="C30" i="5"/>
  <c r="D27" i="6"/>
  <c r="D10" i="6"/>
  <c r="C13" i="5"/>
  <c r="N50" i="10"/>
  <c r="L50" i="10"/>
  <c r="M50" i="10" s="1"/>
  <c r="N36" i="10"/>
  <c r="L36" i="10"/>
  <c r="M36" i="10" s="1"/>
  <c r="L25" i="10"/>
  <c r="N25" i="10"/>
  <c r="N21" i="10"/>
  <c r="L21" i="10"/>
  <c r="N16" i="10"/>
  <c r="L16" i="10"/>
  <c r="D4" i="6"/>
  <c r="C7" i="5"/>
  <c r="C32" i="5"/>
  <c r="D29" i="6"/>
  <c r="C41" i="5"/>
  <c r="D38" i="6"/>
  <c r="C46" i="5"/>
  <c r="K46" i="5" s="1"/>
  <c r="L46" i="5" s="1"/>
  <c r="M46" i="5" s="1"/>
  <c r="L47" i="10"/>
  <c r="M47" i="10" s="1"/>
  <c r="N47" i="10"/>
  <c r="C18" i="5"/>
  <c r="D15" i="6"/>
  <c r="C40" i="5"/>
  <c r="D37" i="6"/>
  <c r="C17" i="5"/>
  <c r="D14" i="6"/>
  <c r="N23" i="10"/>
  <c r="L23" i="10"/>
  <c r="C22" i="5"/>
  <c r="D19" i="6"/>
  <c r="N17" i="10"/>
  <c r="L17" i="10"/>
  <c r="L39" i="10"/>
  <c r="M39" i="10" s="1"/>
  <c r="N39" i="10"/>
  <c r="N13" i="10"/>
  <c r="L13" i="10"/>
  <c r="D11" i="6"/>
  <c r="C14" i="5"/>
  <c r="C43" i="5"/>
  <c r="D40" i="6"/>
  <c r="L43" i="10"/>
  <c r="M43" i="10" s="1"/>
  <c r="N43" i="10"/>
  <c r="C24" i="5"/>
  <c r="D21" i="6"/>
  <c r="C33" i="5"/>
  <c r="D30" i="6"/>
  <c r="N38" i="10"/>
  <c r="L38" i="10"/>
  <c r="M38" i="10" s="1"/>
  <c r="N40" i="10"/>
  <c r="L40" i="10"/>
  <c r="M40" i="10" s="1"/>
  <c r="C19" i="5"/>
  <c r="D16" i="6"/>
  <c r="N20" i="10"/>
  <c r="L20" i="10"/>
  <c r="N4" i="10"/>
  <c r="L4" i="10"/>
  <c r="A9" i="7"/>
  <c r="H50" i="4"/>
  <c r="L51" i="4"/>
  <c r="D9" i="6"/>
  <c r="C12" i="5"/>
  <c r="C5" i="5"/>
  <c r="D2" i="6"/>
  <c r="N9" i="10"/>
  <c r="L9" i="10"/>
  <c r="N24" i="10"/>
  <c r="L24" i="10"/>
  <c r="N8" i="10"/>
  <c r="L8" i="10"/>
  <c r="P41" i="9" l="1"/>
  <c r="O41" i="9"/>
  <c r="Q41" i="9"/>
  <c r="S41" i="9"/>
  <c r="R41" i="9"/>
  <c r="T41" i="9"/>
  <c r="M36" i="9"/>
  <c r="M37" i="9"/>
  <c r="M3" i="9"/>
  <c r="M6" i="9"/>
  <c r="M10" i="9"/>
  <c r="M30" i="9"/>
  <c r="M13" i="9"/>
  <c r="M24" i="10"/>
  <c r="M12" i="9"/>
  <c r="M39" i="9"/>
  <c r="M20" i="10"/>
  <c r="M13" i="10"/>
  <c r="M17" i="10"/>
  <c r="M25" i="10"/>
  <c r="M14" i="10"/>
  <c r="M12" i="10"/>
  <c r="M22" i="10"/>
  <c r="M31" i="10"/>
  <c r="M11" i="9"/>
  <c r="M16" i="9"/>
  <c r="M29" i="9"/>
  <c r="M22" i="9"/>
  <c r="M15" i="9"/>
  <c r="M33" i="9"/>
  <c r="M14" i="9"/>
  <c r="M9" i="10"/>
  <c r="M21" i="10"/>
  <c r="M27" i="10"/>
  <c r="M3" i="10"/>
  <c r="M28" i="10"/>
  <c r="M7" i="10"/>
  <c r="M19" i="10"/>
  <c r="M30" i="10"/>
  <c r="M5" i="10"/>
  <c r="M18" i="10"/>
  <c r="M24" i="9"/>
  <c r="M18" i="9"/>
  <c r="M19" i="9"/>
  <c r="M25" i="9"/>
  <c r="M35" i="9"/>
  <c r="M4" i="9"/>
  <c r="M28" i="9"/>
  <c r="M5" i="9"/>
  <c r="M34" i="9"/>
  <c r="M23" i="9"/>
  <c r="M8" i="10"/>
  <c r="M4" i="10"/>
  <c r="M23" i="10"/>
  <c r="M10" i="10"/>
  <c r="M29" i="10"/>
  <c r="M2" i="10"/>
  <c r="M32" i="10"/>
  <c r="M6" i="10"/>
  <c r="M11" i="10"/>
  <c r="M27" i="9"/>
  <c r="M8" i="9"/>
  <c r="M17" i="9"/>
  <c r="M38" i="9"/>
  <c r="M43" i="9"/>
  <c r="M20" i="9"/>
  <c r="M40" i="9"/>
  <c r="M32" i="9"/>
  <c r="M16" i="10"/>
  <c r="M15" i="10"/>
  <c r="M26" i="10"/>
  <c r="M21" i="9"/>
  <c r="M42" i="9"/>
  <c r="M2" i="9"/>
  <c r="M26" i="9"/>
  <c r="M7" i="9"/>
  <c r="M31" i="9"/>
  <c r="M9" i="9"/>
  <c r="B9" i="6"/>
  <c r="I9" i="6" s="1"/>
  <c r="J9" i="6" s="1"/>
  <c r="K12" i="5"/>
  <c r="F52" i="4"/>
  <c r="B30" i="6"/>
  <c r="I30" i="6" s="1"/>
  <c r="J30" i="6" s="1"/>
  <c r="K33" i="5"/>
  <c r="F73" i="4"/>
  <c r="B40" i="6"/>
  <c r="I40" i="6" s="1"/>
  <c r="J40" i="6" s="1"/>
  <c r="K43" i="5"/>
  <c r="K22" i="5"/>
  <c r="B19" i="6"/>
  <c r="I19" i="6" s="1"/>
  <c r="J19" i="6" s="1"/>
  <c r="F62" i="4"/>
  <c r="B14" i="6"/>
  <c r="I14" i="6" s="1"/>
  <c r="J14" i="6" s="1"/>
  <c r="K17" i="5"/>
  <c r="F57" i="4"/>
  <c r="K18" i="5"/>
  <c r="B15" i="6"/>
  <c r="I15" i="6" s="1"/>
  <c r="J15" i="6" s="1"/>
  <c r="F58" i="4"/>
  <c r="B4" i="6"/>
  <c r="I4" i="6" s="1"/>
  <c r="J4" i="6" s="1"/>
  <c r="K7" i="5"/>
  <c r="F47" i="4"/>
  <c r="K44" i="5"/>
  <c r="B41" i="6"/>
  <c r="I41" i="6" s="1"/>
  <c r="J41" i="6" s="1"/>
  <c r="B28" i="6"/>
  <c r="I28" i="6" s="1"/>
  <c r="J28" i="6" s="1"/>
  <c r="K31" i="5"/>
  <c r="F71" i="4"/>
  <c r="B12" i="6"/>
  <c r="I12" i="6" s="1"/>
  <c r="J12" i="6" s="1"/>
  <c r="K15" i="5"/>
  <c r="F55" i="4"/>
  <c r="B26" i="6"/>
  <c r="I26" i="6" s="1"/>
  <c r="J26" i="6" s="1"/>
  <c r="K29" i="5"/>
  <c r="F69" i="4"/>
  <c r="B11" i="6"/>
  <c r="I11" i="6" s="1"/>
  <c r="J11" i="6" s="1"/>
  <c r="K14" i="5"/>
  <c r="F54" i="4"/>
  <c r="K32" i="5"/>
  <c r="B29" i="6"/>
  <c r="I29" i="6" s="1"/>
  <c r="J29" i="6" s="1"/>
  <c r="F72" i="4"/>
  <c r="B24" i="6"/>
  <c r="I24" i="6" s="1"/>
  <c r="J24" i="6" s="1"/>
  <c r="K27" i="5"/>
  <c r="F67" i="4"/>
  <c r="B3" i="6"/>
  <c r="I3" i="6" s="1"/>
  <c r="J3" i="6" s="1"/>
  <c r="K6" i="5"/>
  <c r="F46" i="4"/>
  <c r="K36" i="5"/>
  <c r="B33" i="6"/>
  <c r="I33" i="6" s="1"/>
  <c r="J33" i="6" s="1"/>
  <c r="F76" i="4"/>
  <c r="K42" i="5"/>
  <c r="B39" i="6"/>
  <c r="I39" i="6" s="1"/>
  <c r="J39" i="6" s="1"/>
  <c r="B34" i="6"/>
  <c r="I34" i="6" s="1"/>
  <c r="J34" i="6" s="1"/>
  <c r="K37" i="5"/>
  <c r="F77" i="4"/>
  <c r="K16" i="5"/>
  <c r="B13" i="6"/>
  <c r="I13" i="6" s="1"/>
  <c r="J13" i="6" s="1"/>
  <c r="F56" i="4"/>
  <c r="H51" i="4"/>
  <c r="L52" i="4"/>
  <c r="A10" i="7"/>
  <c r="B16" i="6"/>
  <c r="I16" i="6" s="1"/>
  <c r="J16" i="6" s="1"/>
  <c r="K19" i="5"/>
  <c r="F59" i="4"/>
  <c r="K24" i="5"/>
  <c r="B21" i="6"/>
  <c r="I21" i="6" s="1"/>
  <c r="J21" i="6" s="1"/>
  <c r="F64" i="4"/>
  <c r="K40" i="5"/>
  <c r="B37" i="6"/>
  <c r="I37" i="6" s="1"/>
  <c r="J37" i="6" s="1"/>
  <c r="F80" i="4"/>
  <c r="B10" i="6"/>
  <c r="I10" i="6" s="1"/>
  <c r="J10" i="6" s="1"/>
  <c r="K13" i="5"/>
  <c r="F53" i="4"/>
  <c r="K30" i="5"/>
  <c r="B27" i="6"/>
  <c r="I27" i="6" s="1"/>
  <c r="J27" i="6" s="1"/>
  <c r="F70" i="4"/>
  <c r="K26" i="5"/>
  <c r="B23" i="6"/>
  <c r="I23" i="6" s="1"/>
  <c r="J23" i="6" s="1"/>
  <c r="F66" i="4"/>
  <c r="B18" i="6"/>
  <c r="I18" i="6" s="1"/>
  <c r="J18" i="6" s="1"/>
  <c r="K21" i="5"/>
  <c r="F61" i="4"/>
  <c r="B20" i="6"/>
  <c r="I20" i="6" s="1"/>
  <c r="J20" i="6" s="1"/>
  <c r="K23" i="5"/>
  <c r="F63" i="4"/>
  <c r="B7" i="6"/>
  <c r="I7" i="6" s="1"/>
  <c r="J7" i="6" s="1"/>
  <c r="K10" i="5"/>
  <c r="F50" i="4"/>
  <c r="K34" i="5"/>
  <c r="B31" i="6"/>
  <c r="I31" i="6" s="1"/>
  <c r="J31" i="6" s="1"/>
  <c r="F74" i="4"/>
  <c r="K20" i="5"/>
  <c r="B17" i="6"/>
  <c r="I17" i="6" s="1"/>
  <c r="J17" i="6" s="1"/>
  <c r="F60" i="4"/>
  <c r="O13" i="5"/>
  <c r="K5" i="5"/>
  <c r="B2" i="6"/>
  <c r="I2" i="6" s="1"/>
  <c r="J2" i="6" s="1"/>
  <c r="F45" i="4"/>
  <c r="M50" i="4"/>
  <c r="B9" i="7" s="1"/>
  <c r="K50" i="4"/>
  <c r="N50" i="4" s="1"/>
  <c r="C9" i="7" s="1"/>
  <c r="O50" i="4"/>
  <c r="D9" i="7" s="1"/>
  <c r="B38" i="6"/>
  <c r="I38" i="6" s="1"/>
  <c r="J38" i="6" s="1"/>
  <c r="K41" i="5"/>
  <c r="K38" i="5"/>
  <c r="B35" i="6"/>
  <c r="I35" i="6" s="1"/>
  <c r="J35" i="6" s="1"/>
  <c r="F78" i="4"/>
  <c r="B8" i="6"/>
  <c r="I8" i="6" s="1"/>
  <c r="J8" i="6" s="1"/>
  <c r="K11" i="5"/>
  <c r="F51" i="4"/>
  <c r="B32" i="6"/>
  <c r="I32" i="6" s="1"/>
  <c r="J32" i="6" s="1"/>
  <c r="K35" i="5"/>
  <c r="F75" i="4"/>
  <c r="B6" i="6"/>
  <c r="I6" i="6" s="1"/>
  <c r="J6" i="6" s="1"/>
  <c r="K9" i="5"/>
  <c r="F49" i="4"/>
  <c r="B42" i="6"/>
  <c r="I42" i="6" s="1"/>
  <c r="J42" i="6" s="1"/>
  <c r="K45" i="5"/>
  <c r="K28" i="5"/>
  <c r="B25" i="6"/>
  <c r="I25" i="6" s="1"/>
  <c r="J25" i="6" s="1"/>
  <c r="F68" i="4"/>
  <c r="B36" i="6"/>
  <c r="I36" i="6" s="1"/>
  <c r="J36" i="6" s="1"/>
  <c r="K39" i="5"/>
  <c r="F79" i="4"/>
  <c r="B5" i="6"/>
  <c r="I5" i="6" s="1"/>
  <c r="J5" i="6" s="1"/>
  <c r="K8" i="5"/>
  <c r="F48" i="4"/>
  <c r="B22" i="6"/>
  <c r="I22" i="6" s="1"/>
  <c r="J22" i="6" s="1"/>
  <c r="K25" i="5"/>
  <c r="F65" i="4"/>
  <c r="T6" i="9" l="1"/>
  <c r="Q6" i="9"/>
  <c r="P6" i="9"/>
  <c r="S6" i="9"/>
  <c r="R6" i="9"/>
  <c r="O6" i="9"/>
  <c r="S13" i="9"/>
  <c r="T13" i="9"/>
  <c r="P13" i="9"/>
  <c r="Q13" i="9"/>
  <c r="O13" i="9"/>
  <c r="R13" i="9"/>
  <c r="S3" i="9"/>
  <c r="R3" i="9"/>
  <c r="T3" i="9"/>
  <c r="P3" i="9"/>
  <c r="O3" i="9"/>
  <c r="Q3" i="9"/>
  <c r="O36" i="9"/>
  <c r="S36" i="9"/>
  <c r="Q36" i="9"/>
  <c r="T36" i="9"/>
  <c r="R36" i="9"/>
  <c r="P36" i="9"/>
  <c r="S39" i="9"/>
  <c r="R39" i="9"/>
  <c r="P39" i="9"/>
  <c r="T39" i="9"/>
  <c r="O39" i="9"/>
  <c r="Q39" i="9"/>
  <c r="T30" i="9"/>
  <c r="Q30" i="9"/>
  <c r="P30" i="9"/>
  <c r="S30" i="9"/>
  <c r="R30" i="9"/>
  <c r="O30" i="9"/>
  <c r="O37" i="9"/>
  <c r="Q37" i="9"/>
  <c r="S37" i="9"/>
  <c r="R37" i="9"/>
  <c r="P37" i="9"/>
  <c r="T37" i="9"/>
  <c r="Q12" i="9"/>
  <c r="O12" i="9"/>
  <c r="R12" i="9"/>
  <c r="P12" i="9"/>
  <c r="S12" i="9"/>
  <c r="T12" i="9"/>
  <c r="O10" i="9"/>
  <c r="Q10" i="9"/>
  <c r="S10" i="9"/>
  <c r="P10" i="9"/>
  <c r="T10" i="9"/>
  <c r="R10" i="9"/>
  <c r="R9" i="9"/>
  <c r="T9" i="9"/>
  <c r="O9" i="9"/>
  <c r="P9" i="9"/>
  <c r="S9" i="9"/>
  <c r="Q9" i="9"/>
  <c r="Q7" i="9"/>
  <c r="R7" i="9"/>
  <c r="O7" i="9"/>
  <c r="P7" i="9"/>
  <c r="S7" i="9"/>
  <c r="T7" i="9"/>
  <c r="T21" i="9"/>
  <c r="O21" i="9"/>
  <c r="Q21" i="9"/>
  <c r="S21" i="9"/>
  <c r="R21" i="9"/>
  <c r="P21" i="9"/>
  <c r="Q32" i="9"/>
  <c r="R32" i="9"/>
  <c r="O32" i="9"/>
  <c r="S32" i="9"/>
  <c r="T32" i="9"/>
  <c r="P32" i="9"/>
  <c r="P38" i="9"/>
  <c r="S38" i="9"/>
  <c r="Q38" i="9"/>
  <c r="T38" i="9"/>
  <c r="R38" i="9"/>
  <c r="O38" i="9"/>
  <c r="S28" i="9"/>
  <c r="O28" i="9"/>
  <c r="Q28" i="9"/>
  <c r="T28" i="9"/>
  <c r="R28" i="9"/>
  <c r="P28" i="9"/>
  <c r="O19" i="9"/>
  <c r="Q19" i="9"/>
  <c r="S19" i="9"/>
  <c r="R19" i="9"/>
  <c r="T19" i="9"/>
  <c r="P19" i="9"/>
  <c r="Q22" i="9"/>
  <c r="O22" i="9"/>
  <c r="R22" i="9"/>
  <c r="P22" i="9"/>
  <c r="S22" i="9"/>
  <c r="T22" i="9"/>
  <c r="Q26" i="9"/>
  <c r="T26" i="9"/>
  <c r="P26" i="9"/>
  <c r="O26" i="9"/>
  <c r="R26" i="9"/>
  <c r="S26" i="9"/>
  <c r="Q40" i="9"/>
  <c r="P40" i="9"/>
  <c r="R40" i="9"/>
  <c r="S40" i="9"/>
  <c r="T40" i="9"/>
  <c r="O40" i="9"/>
  <c r="R17" i="9"/>
  <c r="T17" i="9"/>
  <c r="O17" i="9"/>
  <c r="P17" i="9"/>
  <c r="S17" i="9"/>
  <c r="Q17" i="9"/>
  <c r="P23" i="9"/>
  <c r="T23" i="9"/>
  <c r="O23" i="9"/>
  <c r="Q23" i="9"/>
  <c r="S23" i="9"/>
  <c r="R23" i="9"/>
  <c r="S4" i="9"/>
  <c r="O4" i="9"/>
  <c r="Q4" i="9"/>
  <c r="P4" i="9"/>
  <c r="R4" i="9"/>
  <c r="T4" i="9"/>
  <c r="S18" i="9"/>
  <c r="Q18" i="9"/>
  <c r="T18" i="9"/>
  <c r="P18" i="9"/>
  <c r="O18" i="9"/>
  <c r="R18" i="9"/>
  <c r="T14" i="9"/>
  <c r="Q14" i="9"/>
  <c r="P14" i="9"/>
  <c r="S14" i="9"/>
  <c r="R14" i="9"/>
  <c r="O14" i="9"/>
  <c r="O29" i="9"/>
  <c r="R29" i="9"/>
  <c r="S29" i="9"/>
  <c r="T29" i="9"/>
  <c r="P29" i="9"/>
  <c r="Q29" i="9"/>
  <c r="Q2" i="9"/>
  <c r="O2" i="9"/>
  <c r="P2" i="9"/>
  <c r="T2" i="9"/>
  <c r="R2" i="9"/>
  <c r="S2" i="9"/>
  <c r="Q20" i="9"/>
  <c r="S20" i="9"/>
  <c r="R20" i="9"/>
  <c r="T20" i="9"/>
  <c r="O20" i="9"/>
  <c r="P20" i="9"/>
  <c r="O8" i="9"/>
  <c r="S8" i="9"/>
  <c r="T8" i="9"/>
  <c r="P8" i="9"/>
  <c r="Q8" i="9"/>
  <c r="R8" i="9"/>
  <c r="R34" i="9"/>
  <c r="S34" i="9"/>
  <c r="Q34" i="9"/>
  <c r="O34" i="9"/>
  <c r="P34" i="9"/>
  <c r="T34" i="9"/>
  <c r="O35" i="9"/>
  <c r="Q35" i="9"/>
  <c r="S35" i="9"/>
  <c r="R35" i="9"/>
  <c r="P35" i="9"/>
  <c r="T35" i="9"/>
  <c r="P24" i="9"/>
  <c r="Q24" i="9"/>
  <c r="S24" i="9"/>
  <c r="R24" i="9"/>
  <c r="T24" i="9"/>
  <c r="O24" i="9"/>
  <c r="R33" i="9"/>
  <c r="T33" i="9"/>
  <c r="O33" i="9"/>
  <c r="P33" i="9"/>
  <c r="S33" i="9"/>
  <c r="Q33" i="9"/>
  <c r="Q16" i="9"/>
  <c r="R16" i="9"/>
  <c r="O16" i="9"/>
  <c r="S16" i="9"/>
  <c r="T16" i="9"/>
  <c r="P16" i="9"/>
  <c r="Q31" i="9"/>
  <c r="R31" i="9"/>
  <c r="O31" i="9"/>
  <c r="T31" i="9"/>
  <c r="S31" i="9"/>
  <c r="P31" i="9"/>
  <c r="O42" i="9"/>
  <c r="Q42" i="9"/>
  <c r="T42" i="9"/>
  <c r="R42" i="9"/>
  <c r="P42" i="9"/>
  <c r="S42" i="9"/>
  <c r="P43" i="9"/>
  <c r="Q43" i="9"/>
  <c r="O43" i="9"/>
  <c r="R43" i="9"/>
  <c r="S43" i="9"/>
  <c r="T43" i="9"/>
  <c r="S27" i="9"/>
  <c r="R27" i="9"/>
  <c r="T27" i="9"/>
  <c r="P27" i="9"/>
  <c r="O27" i="9"/>
  <c r="Q27" i="9"/>
  <c r="P9" i="10"/>
  <c r="P17" i="10"/>
  <c r="P16" i="10"/>
  <c r="P11" i="10"/>
  <c r="P19" i="10"/>
  <c r="P6" i="10"/>
  <c r="P14" i="10"/>
  <c r="P22" i="10"/>
  <c r="P20" i="10"/>
  <c r="P5" i="10"/>
  <c r="P13" i="10"/>
  <c r="P21" i="10"/>
  <c r="P4" i="10"/>
  <c r="P7" i="10"/>
  <c r="P15" i="10"/>
  <c r="P23" i="10"/>
  <c r="P10" i="10"/>
  <c r="P18" i="10"/>
  <c r="P8" i="10"/>
  <c r="P12" i="10"/>
  <c r="P5" i="9"/>
  <c r="Q5" i="9"/>
  <c r="O5" i="9"/>
  <c r="R5" i="9"/>
  <c r="S5" i="9"/>
  <c r="T5" i="9"/>
  <c r="O25" i="9"/>
  <c r="P25" i="9"/>
  <c r="S25" i="9"/>
  <c r="Q25" i="9"/>
  <c r="R25" i="9"/>
  <c r="T25" i="9"/>
  <c r="O15" i="9"/>
  <c r="T15" i="9"/>
  <c r="S15" i="9"/>
  <c r="P15" i="9"/>
  <c r="Q15" i="9"/>
  <c r="R15" i="9"/>
  <c r="O11" i="9"/>
  <c r="Q11" i="9"/>
  <c r="S11" i="9"/>
  <c r="R11" i="9"/>
  <c r="T11" i="9"/>
  <c r="P11" i="9"/>
  <c r="H18" i="6"/>
  <c r="L21" i="5"/>
  <c r="H23" i="6"/>
  <c r="L26" i="5"/>
  <c r="H21" i="6"/>
  <c r="L24" i="5"/>
  <c r="H26" i="6"/>
  <c r="L29" i="5"/>
  <c r="H9" i="6"/>
  <c r="L12" i="5"/>
  <c r="H32" i="6"/>
  <c r="L35" i="5"/>
  <c r="H7" i="6"/>
  <c r="L10" i="5"/>
  <c r="H20" i="6"/>
  <c r="L23" i="5"/>
  <c r="L13" i="5"/>
  <c r="H10" i="6"/>
  <c r="A11" i="7"/>
  <c r="H52" i="4"/>
  <c r="L53" i="4"/>
  <c r="H13" i="6"/>
  <c r="L16" i="5"/>
  <c r="H33" i="6"/>
  <c r="L36" i="5"/>
  <c r="H24" i="6"/>
  <c r="L27" i="5"/>
  <c r="H29" i="6"/>
  <c r="L32" i="5"/>
  <c r="H41" i="6"/>
  <c r="L44" i="5"/>
  <c r="M44" i="5" s="1"/>
  <c r="L7" i="5"/>
  <c r="H4" i="6"/>
  <c r="H14" i="6"/>
  <c r="L17" i="5"/>
  <c r="H19" i="6"/>
  <c r="L22" i="5"/>
  <c r="H30" i="6"/>
  <c r="L33" i="5"/>
  <c r="H22" i="6"/>
  <c r="L25" i="5"/>
  <c r="H36" i="6"/>
  <c r="L39" i="5"/>
  <c r="H25" i="6"/>
  <c r="L28" i="5"/>
  <c r="L9" i="5"/>
  <c r="H6" i="6"/>
  <c r="L11" i="5"/>
  <c r="H8" i="6"/>
  <c r="H35" i="6"/>
  <c r="L38" i="5"/>
  <c r="H2" i="6"/>
  <c r="L5" i="5"/>
  <c r="O14" i="5"/>
  <c r="H17" i="6"/>
  <c r="L20" i="5"/>
  <c r="H16" i="6"/>
  <c r="L19" i="5"/>
  <c r="K51" i="4"/>
  <c r="N51" i="4" s="1"/>
  <c r="C10" i="7" s="1"/>
  <c r="M51" i="4"/>
  <c r="B10" i="7" s="1"/>
  <c r="O51" i="4"/>
  <c r="D10" i="7" s="1"/>
  <c r="H39" i="6"/>
  <c r="L42" i="5"/>
  <c r="M42" i="5" s="1"/>
  <c r="H3" i="6"/>
  <c r="L6" i="5"/>
  <c r="H28" i="6"/>
  <c r="L31" i="5"/>
  <c r="H40" i="6"/>
  <c r="L43" i="5"/>
  <c r="M43" i="5" s="1"/>
  <c r="H5" i="6"/>
  <c r="L8" i="5"/>
  <c r="H42" i="6"/>
  <c r="L45" i="5"/>
  <c r="M45" i="5" s="1"/>
  <c r="H38" i="6"/>
  <c r="L41" i="5"/>
  <c r="M41" i="5" s="1"/>
  <c r="H31" i="6"/>
  <c r="L34" i="5"/>
  <c r="H27" i="6"/>
  <c r="L30" i="5"/>
  <c r="H37" i="6"/>
  <c r="L40" i="5"/>
  <c r="H34" i="6"/>
  <c r="L37" i="5"/>
  <c r="H11" i="6"/>
  <c r="L14" i="5"/>
  <c r="L15" i="5"/>
  <c r="H12" i="6"/>
  <c r="H15" i="6"/>
  <c r="L18" i="5"/>
  <c r="M18" i="5" l="1"/>
  <c r="M15" i="5"/>
  <c r="M37" i="5"/>
  <c r="M31" i="5"/>
  <c r="M19" i="5"/>
  <c r="M39" i="5"/>
  <c r="M7" i="5"/>
  <c r="M16" i="5"/>
  <c r="X8" i="10"/>
  <c r="S8" i="10"/>
  <c r="Z8" i="10"/>
  <c r="Y8" i="10"/>
  <c r="W8" i="10"/>
  <c r="V8" i="10"/>
  <c r="R8" i="10"/>
  <c r="U8" i="10"/>
  <c r="T8" i="10"/>
  <c r="T15" i="10"/>
  <c r="R15" i="10"/>
  <c r="Z15" i="10"/>
  <c r="S15" i="10"/>
  <c r="U15" i="10"/>
  <c r="Y15" i="10"/>
  <c r="V15" i="10"/>
  <c r="X15" i="10"/>
  <c r="W15" i="10"/>
  <c r="T13" i="10"/>
  <c r="S13" i="10"/>
  <c r="Y13" i="10"/>
  <c r="W13" i="10"/>
  <c r="Z13" i="10"/>
  <c r="R13" i="10"/>
  <c r="U13" i="10"/>
  <c r="V13" i="10"/>
  <c r="X13" i="10"/>
  <c r="X14" i="10"/>
  <c r="U14" i="10"/>
  <c r="T14" i="10"/>
  <c r="S14" i="10"/>
  <c r="Z14" i="10"/>
  <c r="Y14" i="10"/>
  <c r="W14" i="10"/>
  <c r="V14" i="10"/>
  <c r="R14" i="10"/>
  <c r="X16" i="10"/>
  <c r="V16" i="10"/>
  <c r="S16" i="10"/>
  <c r="U16" i="10"/>
  <c r="Y16" i="10"/>
  <c r="W16" i="10"/>
  <c r="R16" i="10"/>
  <c r="Z16" i="10"/>
  <c r="T16" i="10"/>
  <c r="M14" i="5"/>
  <c r="M30" i="5"/>
  <c r="M34" i="5"/>
  <c r="M8" i="5"/>
  <c r="M6" i="5"/>
  <c r="M33" i="5"/>
  <c r="M17" i="5"/>
  <c r="M10" i="5"/>
  <c r="X18" i="10"/>
  <c r="U18" i="10"/>
  <c r="Y18" i="10"/>
  <c r="W18" i="10"/>
  <c r="R18" i="10"/>
  <c r="V18" i="10"/>
  <c r="Z18" i="10"/>
  <c r="T18" i="10"/>
  <c r="S18" i="10"/>
  <c r="T7" i="10"/>
  <c r="R7" i="10"/>
  <c r="S7" i="10"/>
  <c r="Y7" i="10"/>
  <c r="Z7" i="10"/>
  <c r="W7" i="10"/>
  <c r="U7" i="10"/>
  <c r="V7" i="10"/>
  <c r="X7" i="10"/>
  <c r="T5" i="10"/>
  <c r="R5" i="10"/>
  <c r="S5" i="10"/>
  <c r="Y5" i="10"/>
  <c r="W5" i="10"/>
  <c r="Z5" i="10"/>
  <c r="U5" i="10"/>
  <c r="V5" i="10"/>
  <c r="X5" i="10"/>
  <c r="X6" i="10"/>
  <c r="V6" i="10"/>
  <c r="U6" i="10"/>
  <c r="T6" i="10"/>
  <c r="Z6" i="10"/>
  <c r="S6" i="10"/>
  <c r="Y6" i="10"/>
  <c r="W6" i="10"/>
  <c r="R6" i="10"/>
  <c r="T17" i="10"/>
  <c r="R17" i="10"/>
  <c r="S17" i="10"/>
  <c r="W17" i="10"/>
  <c r="Y17" i="10"/>
  <c r="U17" i="10"/>
  <c r="V17" i="10"/>
  <c r="X17" i="10"/>
  <c r="Z17" i="10"/>
  <c r="M25" i="5"/>
  <c r="M36" i="5"/>
  <c r="M29" i="5"/>
  <c r="M24" i="5"/>
  <c r="X10" i="10"/>
  <c r="U10" i="10"/>
  <c r="V10" i="10"/>
  <c r="Y10" i="10"/>
  <c r="W10" i="10"/>
  <c r="R10" i="10"/>
  <c r="T10" i="10"/>
  <c r="S10" i="10"/>
  <c r="Z10" i="10"/>
  <c r="T4" i="10"/>
  <c r="U4" i="10"/>
  <c r="R4" i="10"/>
  <c r="Y4" i="10"/>
  <c r="Z4" i="10"/>
  <c r="S4" i="10"/>
  <c r="X4" i="10"/>
  <c r="W4" i="10"/>
  <c r="V4" i="10"/>
  <c r="T20" i="10"/>
  <c r="Y20" i="10"/>
  <c r="W20" i="10"/>
  <c r="U20" i="10"/>
  <c r="R20" i="10"/>
  <c r="X20" i="10"/>
  <c r="Z20" i="10"/>
  <c r="S20" i="10"/>
  <c r="V20" i="10"/>
  <c r="T19" i="10"/>
  <c r="S19" i="10"/>
  <c r="V19" i="10"/>
  <c r="X19" i="10"/>
  <c r="Y19" i="10"/>
  <c r="W19" i="10"/>
  <c r="Z19" i="10"/>
  <c r="R19" i="10"/>
  <c r="U19" i="10"/>
  <c r="T9" i="10"/>
  <c r="R9" i="10"/>
  <c r="S9" i="10"/>
  <c r="Y9" i="10"/>
  <c r="U9" i="10"/>
  <c r="W9" i="10"/>
  <c r="V9" i="10"/>
  <c r="X9" i="10"/>
  <c r="Z9" i="10"/>
  <c r="M11" i="5"/>
  <c r="M32" i="5"/>
  <c r="M23" i="5"/>
  <c r="M12" i="5"/>
  <c r="X12" i="10"/>
  <c r="Z12" i="10"/>
  <c r="R12" i="10"/>
  <c r="V12" i="10"/>
  <c r="T12" i="10"/>
  <c r="U12" i="10"/>
  <c r="S12" i="10"/>
  <c r="Y12" i="10"/>
  <c r="W12" i="10"/>
  <c r="T23" i="10"/>
  <c r="S23" i="10"/>
  <c r="Y23" i="10"/>
  <c r="Z23" i="10"/>
  <c r="W23" i="10"/>
  <c r="U23" i="10"/>
  <c r="R23" i="10"/>
  <c r="V23" i="10"/>
  <c r="X23" i="10"/>
  <c r="T21" i="10"/>
  <c r="S21" i="10"/>
  <c r="W21" i="10"/>
  <c r="R21" i="10"/>
  <c r="Y21" i="10"/>
  <c r="Z21" i="10"/>
  <c r="U21" i="10"/>
  <c r="V21" i="10"/>
  <c r="X21" i="10"/>
  <c r="X22" i="10"/>
  <c r="U22" i="10"/>
  <c r="V22" i="10"/>
  <c r="Z22" i="10"/>
  <c r="S22" i="10"/>
  <c r="T22" i="10"/>
  <c r="R22" i="10"/>
  <c r="Y22" i="10"/>
  <c r="W22" i="10"/>
  <c r="T11" i="10"/>
  <c r="S11" i="10"/>
  <c r="R11" i="10"/>
  <c r="W11" i="10"/>
  <c r="V11" i="10"/>
  <c r="X11" i="10"/>
  <c r="Z11" i="10"/>
  <c r="Y11" i="10"/>
  <c r="U11" i="10"/>
  <c r="M40" i="5"/>
  <c r="M22" i="5"/>
  <c r="O52" i="4"/>
  <c r="D11" i="7" s="1"/>
  <c r="K52" i="4"/>
  <c r="N52" i="4" s="1"/>
  <c r="C11" i="7" s="1"/>
  <c r="M52" i="4"/>
  <c r="B11" i="7" s="1"/>
  <c r="O15" i="5"/>
  <c r="M38" i="5"/>
  <c r="M26" i="5"/>
  <c r="M9" i="5"/>
  <c r="M35" i="5"/>
  <c r="M20" i="5"/>
  <c r="M5" i="5"/>
  <c r="M28" i="5"/>
  <c r="M27" i="5"/>
  <c r="H53" i="4"/>
  <c r="L54" i="4"/>
  <c r="A12" i="7"/>
  <c r="M13" i="5"/>
  <c r="M21" i="5"/>
  <c r="O16" i="5" l="1"/>
  <c r="N15" i="5"/>
  <c r="A13" i="7"/>
  <c r="H54" i="4"/>
  <c r="L55" i="4"/>
  <c r="N5" i="5"/>
  <c r="N7" i="5"/>
  <c r="N6" i="5"/>
  <c r="N8" i="5"/>
  <c r="N9" i="5"/>
  <c r="N10" i="5"/>
  <c r="N11" i="5"/>
  <c r="N12" i="5"/>
  <c r="N13" i="5"/>
  <c r="N14" i="5"/>
  <c r="M53" i="4"/>
  <c r="B12" i="7" s="1"/>
  <c r="O53" i="4"/>
  <c r="D12" i="7" s="1"/>
  <c r="K53" i="4"/>
  <c r="N53" i="4" s="1"/>
  <c r="C12" i="7" s="1"/>
  <c r="P13" i="5" l="1"/>
  <c r="R13" i="5"/>
  <c r="Q13" i="5"/>
  <c r="P9" i="5"/>
  <c r="R9" i="5"/>
  <c r="Q9" i="5"/>
  <c r="P5" i="5"/>
  <c r="R5" i="5"/>
  <c r="Q5" i="5"/>
  <c r="P15" i="5"/>
  <c r="R15" i="5"/>
  <c r="Q15" i="5"/>
  <c r="R14" i="5"/>
  <c r="P14" i="5"/>
  <c r="Q14" i="5"/>
  <c r="R12" i="5"/>
  <c r="P12" i="5"/>
  <c r="Q12" i="5"/>
  <c r="R8" i="5"/>
  <c r="P8" i="5"/>
  <c r="Q8" i="5"/>
  <c r="H55" i="4"/>
  <c r="L56" i="4"/>
  <c r="A14" i="7"/>
  <c r="O17" i="5"/>
  <c r="N16" i="5"/>
  <c r="P11" i="5"/>
  <c r="R11" i="5"/>
  <c r="Q11" i="5"/>
  <c r="R6" i="5"/>
  <c r="P6" i="5"/>
  <c r="Q6" i="5"/>
  <c r="K54" i="4"/>
  <c r="N54" i="4" s="1"/>
  <c r="C13" i="7" s="1"/>
  <c r="M54" i="4"/>
  <c r="B13" i="7" s="1"/>
  <c r="O54" i="4"/>
  <c r="D13" i="7" s="1"/>
  <c r="R10" i="5"/>
  <c r="P10" i="5"/>
  <c r="Q10" i="5"/>
  <c r="P7" i="5"/>
  <c r="R7" i="5"/>
  <c r="Q7" i="5"/>
  <c r="S15" i="5" l="1"/>
  <c r="A15" i="7"/>
  <c r="H56" i="4"/>
  <c r="L57" i="4"/>
  <c r="Q16" i="5"/>
  <c r="P16" i="5"/>
  <c r="R16" i="5"/>
  <c r="K55" i="4"/>
  <c r="N55" i="4" s="1"/>
  <c r="C14" i="7" s="1"/>
  <c r="M55" i="4"/>
  <c r="B14" i="7" s="1"/>
  <c r="O55" i="4"/>
  <c r="D14" i="7" s="1"/>
  <c r="O18" i="5"/>
  <c r="N17" i="5"/>
  <c r="T15" i="5" a="1"/>
  <c r="T15" i="5" s="1"/>
  <c r="Q17" i="5" l="1"/>
  <c r="P17" i="5"/>
  <c r="R17" i="5"/>
  <c r="H57" i="4"/>
  <c r="L58" i="4"/>
  <c r="A16" i="7"/>
  <c r="O19" i="5"/>
  <c r="N18" i="5"/>
  <c r="O56" i="4"/>
  <c r="D15" i="7" s="1"/>
  <c r="K56" i="4"/>
  <c r="N56" i="4" s="1"/>
  <c r="C15" i="7" s="1"/>
  <c r="M56" i="4"/>
  <c r="B15" i="7" s="1"/>
  <c r="Q18" i="5" l="1"/>
  <c r="P18" i="5"/>
  <c r="R18" i="5"/>
  <c r="M57" i="4"/>
  <c r="B16" i="7" s="1"/>
  <c r="O57" i="4"/>
  <c r="D16" i="7" s="1"/>
  <c r="K57" i="4"/>
  <c r="N57" i="4" s="1"/>
  <c r="C16" i="7" s="1"/>
  <c r="O20" i="5"/>
  <c r="N19" i="5"/>
  <c r="A17" i="7"/>
  <c r="H58" i="4"/>
  <c r="L59" i="4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O59" i="4"/>
  <c r="D18" i="7" s="1"/>
  <c r="K59" i="4"/>
  <c r="N59" i="4" s="1"/>
  <c r="C18" i="7" s="1"/>
  <c r="M59" i="4"/>
  <c r="B18" i="7" s="1"/>
  <c r="O22" i="5"/>
  <c r="N21" i="5"/>
  <c r="A19" i="7"/>
  <c r="H60" i="4"/>
  <c r="L61" i="4"/>
  <c r="Q21" i="5" l="1"/>
  <c r="P21" i="5"/>
  <c r="R21" i="5"/>
  <c r="H61" i="4"/>
  <c r="L62" i="4"/>
  <c r="A20" i="7"/>
  <c r="O60" i="4"/>
  <c r="D19" i="7" s="1"/>
  <c r="K60" i="4"/>
  <c r="N60" i="4" s="1"/>
  <c r="C19" i="7" s="1"/>
  <c r="M60" i="4"/>
  <c r="B19" i="7" s="1"/>
  <c r="O23" i="5"/>
  <c r="N22" i="5"/>
  <c r="Q22" i="5" l="1"/>
  <c r="P22" i="5"/>
  <c r="R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Q23" i="5" l="1"/>
  <c r="R23" i="5"/>
  <c r="P23" i="5"/>
  <c r="H63" i="4"/>
  <c r="L64" i="4"/>
  <c r="A22" i="7"/>
  <c r="O25" i="5"/>
  <c r="N24" i="5"/>
  <c r="K62" i="4"/>
  <c r="N62" i="4" s="1"/>
  <c r="C21" i="7" s="1"/>
  <c r="M62" i="4"/>
  <c r="B21" i="7" s="1"/>
  <c r="O62" i="4"/>
  <c r="D21" i="7" s="1"/>
  <c r="Q24" i="5" l="1"/>
  <c r="P24" i="5"/>
  <c r="R24" i="5"/>
  <c r="O63" i="4"/>
  <c r="D22" i="7" s="1"/>
  <c r="K63" i="4"/>
  <c r="N63" i="4" s="1"/>
  <c r="C22" i="7" s="1"/>
  <c r="M63" i="4"/>
  <c r="B22" i="7" s="1"/>
  <c r="O26" i="5"/>
  <c r="N25" i="5"/>
  <c r="A23" i="7"/>
  <c r="H64" i="4"/>
  <c r="L65" i="4"/>
  <c r="H65" i="4" l="1"/>
  <c r="L66" i="4"/>
  <c r="A24" i="7"/>
  <c r="O27" i="5"/>
  <c r="N26" i="5"/>
  <c r="O64" i="4"/>
  <c r="D23" i="7" s="1"/>
  <c r="M64" i="4"/>
  <c r="B23" i="7" s="1"/>
  <c r="K64" i="4"/>
  <c r="N64" i="4" s="1"/>
  <c r="C23" i="7" s="1"/>
  <c r="Q25" i="5"/>
  <c r="P25" i="5"/>
  <c r="R25" i="5"/>
  <c r="Q26" i="5" l="1"/>
  <c r="P26" i="5"/>
  <c r="R26" i="5"/>
  <c r="M65" i="4"/>
  <c r="B24" i="7" s="1"/>
  <c r="K65" i="4"/>
  <c r="N65" i="4" s="1"/>
  <c r="C24" i="7" s="1"/>
  <c r="O65" i="4"/>
  <c r="D24" i="7" s="1"/>
  <c r="O28" i="5"/>
  <c r="N27" i="5"/>
  <c r="A25" i="7"/>
  <c r="H66" i="4"/>
  <c r="L67" i="4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M67" i="4"/>
  <c r="B26" i="7" s="1"/>
  <c r="O67" i="4"/>
  <c r="D26" i="7" s="1"/>
  <c r="O30" i="5"/>
  <c r="N29" i="5"/>
  <c r="A27" i="7"/>
  <c r="H68" i="4"/>
  <c r="L69" i="4"/>
  <c r="Q29" i="5" l="1"/>
  <c r="P29" i="5"/>
  <c r="R29" i="5"/>
  <c r="H69" i="4"/>
  <c r="L70" i="4"/>
  <c r="A28" i="7"/>
  <c r="O31" i="5"/>
  <c r="N30" i="5"/>
  <c r="O68" i="4"/>
  <c r="D27" i="7" s="1"/>
  <c r="K68" i="4"/>
  <c r="N68" i="4" s="1"/>
  <c r="C27" i="7" s="1"/>
  <c r="M68" i="4"/>
  <c r="B27" i="7" s="1"/>
  <c r="A29" i="7" l="1"/>
  <c r="H70" i="4"/>
  <c r="L71" i="4"/>
  <c r="Q30" i="5"/>
  <c r="P30" i="5"/>
  <c r="R30" i="5"/>
  <c r="M69" i="4"/>
  <c r="B28" i="7" s="1"/>
  <c r="O69" i="4"/>
  <c r="D28" i="7" s="1"/>
  <c r="K69" i="4"/>
  <c r="N69" i="4" s="1"/>
  <c r="C28" i="7" s="1"/>
  <c r="O32" i="5"/>
  <c r="N31" i="5"/>
  <c r="O33" i="5" l="1"/>
  <c r="N32" i="5"/>
  <c r="Q31" i="5"/>
  <c r="R31" i="5"/>
  <c r="P31" i="5"/>
  <c r="H71" i="4"/>
  <c r="L72" i="4"/>
  <c r="A30" i="7"/>
  <c r="K70" i="4"/>
  <c r="N70" i="4" s="1"/>
  <c r="C29" i="7" s="1"/>
  <c r="M70" i="4"/>
  <c r="B29" i="7" s="1"/>
  <c r="O70" i="4"/>
  <c r="D29" i="7" s="1"/>
  <c r="K71" i="4" l="1"/>
  <c r="N71" i="4" s="1"/>
  <c r="C30" i="7" s="1"/>
  <c r="M71" i="4"/>
  <c r="B30" i="7" s="1"/>
  <c r="O71" i="4"/>
  <c r="D30" i="7" s="1"/>
  <c r="O34" i="5"/>
  <c r="N33" i="5"/>
  <c r="A31" i="7"/>
  <c r="H72" i="4"/>
  <c r="L73" i="4"/>
  <c r="Q32" i="5"/>
  <c r="P32" i="5"/>
  <c r="R32" i="5"/>
  <c r="Q33" i="5" l="1"/>
  <c r="P33" i="5"/>
  <c r="R33" i="5"/>
  <c r="H73" i="4"/>
  <c r="L74" i="4"/>
  <c r="A32" i="7"/>
  <c r="O35" i="5"/>
  <c r="N34" i="5"/>
  <c r="O72" i="4"/>
  <c r="D31" i="7" s="1"/>
  <c r="K72" i="4"/>
  <c r="N72" i="4" s="1"/>
  <c r="C31" i="7" s="1"/>
  <c r="M72" i="4"/>
  <c r="B31" i="7" s="1"/>
  <c r="Q34" i="5" l="1"/>
  <c r="P34" i="5"/>
  <c r="R34" i="5"/>
  <c r="M73" i="4"/>
  <c r="B32" i="7" s="1"/>
  <c r="O73" i="4"/>
  <c r="D32" i="7" s="1"/>
  <c r="K73" i="4"/>
  <c r="N73" i="4" s="1"/>
  <c r="C32" i="7" s="1"/>
  <c r="O36" i="5"/>
  <c r="N35" i="5"/>
  <c r="A33" i="7"/>
  <c r="H74" i="4"/>
  <c r="L75" i="4"/>
  <c r="Q35" i="5" l="1"/>
  <c r="R35" i="5"/>
  <c r="P35" i="5"/>
  <c r="H75" i="4"/>
  <c r="L76" i="4"/>
  <c r="A34" i="7"/>
  <c r="O37" i="5"/>
  <c r="N36" i="5"/>
  <c r="K74" i="4"/>
  <c r="N74" i="4" s="1"/>
  <c r="C33" i="7" s="1"/>
  <c r="M74" i="4"/>
  <c r="B33" i="7" s="1"/>
  <c r="O74" i="4"/>
  <c r="D33" i="7" s="1"/>
  <c r="O38" i="5" l="1"/>
  <c r="N37" i="5"/>
  <c r="Q36" i="5"/>
  <c r="P36" i="5"/>
  <c r="R36" i="5"/>
  <c r="O75" i="4"/>
  <c r="D34" i="7" s="1"/>
  <c r="K75" i="4"/>
  <c r="N75" i="4" s="1"/>
  <c r="C34" i="7" s="1"/>
  <c r="M75" i="4"/>
  <c r="B34" i="7" s="1"/>
  <c r="A35" i="7"/>
  <c r="H76" i="4"/>
  <c r="L77" i="4"/>
  <c r="H77" i="4" l="1"/>
  <c r="L78" i="4"/>
  <c r="A36" i="7"/>
  <c r="O76" i="4"/>
  <c r="D35" i="7" s="1"/>
  <c r="M76" i="4"/>
  <c r="B35" i="7" s="1"/>
  <c r="K76" i="4"/>
  <c r="N76" i="4" s="1"/>
  <c r="C35" i="7" s="1"/>
  <c r="Q37" i="5"/>
  <c r="P37" i="5"/>
  <c r="R37" i="5"/>
  <c r="O39" i="5"/>
  <c r="N38" i="5"/>
  <c r="O40" i="5" l="1"/>
  <c r="N39" i="5"/>
  <c r="M77" i="4"/>
  <c r="B36" i="7" s="1"/>
  <c r="K77" i="4"/>
  <c r="N77" i="4" s="1"/>
  <c r="C36" i="7" s="1"/>
  <c r="O77" i="4"/>
  <c r="D36" i="7" s="1"/>
  <c r="Q38" i="5"/>
  <c r="P38" i="5"/>
  <c r="R38" i="5"/>
  <c r="A37" i="7"/>
  <c r="H78" i="4"/>
  <c r="L79" i="4"/>
  <c r="H79" i="4" l="1"/>
  <c r="L80" i="4"/>
  <c r="A38" i="7"/>
  <c r="K78" i="4"/>
  <c r="N78" i="4" s="1"/>
  <c r="C37" i="7" s="1"/>
  <c r="M78" i="4"/>
  <c r="B37" i="7" s="1"/>
  <c r="O78" i="4"/>
  <c r="D37" i="7" s="1"/>
  <c r="Q39" i="5"/>
  <c r="R39" i="5"/>
  <c r="P39" i="5"/>
  <c r="O41" i="5"/>
  <c r="N40" i="5"/>
  <c r="A39" i="7" l="1"/>
  <c r="H80" i="4"/>
  <c r="L81" i="4"/>
  <c r="O42" i="5"/>
  <c r="N41" i="5"/>
  <c r="Q40" i="5"/>
  <c r="P40" i="5"/>
  <c r="R40" i="5"/>
  <c r="K79" i="4"/>
  <c r="N79" i="4" s="1"/>
  <c r="C38" i="7" s="1"/>
  <c r="M79" i="4"/>
  <c r="B38" i="7" s="1"/>
  <c r="O79" i="4"/>
  <c r="D38" i="7" s="1"/>
  <c r="O43" i="5" l="1"/>
  <c r="N42" i="5"/>
  <c r="H81" i="4"/>
  <c r="L82" i="4"/>
  <c r="A40" i="7"/>
  <c r="O80" i="4"/>
  <c r="D39" i="7" s="1"/>
  <c r="K80" i="4"/>
  <c r="N80" i="4" s="1"/>
  <c r="C39" i="7" s="1"/>
  <c r="M80" i="4"/>
  <c r="B39" i="7" s="1"/>
  <c r="Q41" i="5"/>
  <c r="P41" i="5"/>
  <c r="R41" i="5"/>
  <c r="H82" i="4" l="1"/>
  <c r="L83" i="4"/>
  <c r="K81" i="4"/>
  <c r="N81" i="4" s="1"/>
  <c r="C40" i="7" s="1"/>
  <c r="M81" i="4"/>
  <c r="B40" i="7" s="1"/>
  <c r="O81" i="4"/>
  <c r="D40" i="7" s="1"/>
  <c r="Q42" i="5"/>
  <c r="P42" i="5"/>
  <c r="R42" i="5"/>
  <c r="O44" i="5"/>
  <c r="N43" i="5"/>
  <c r="Q43" i="5" l="1"/>
  <c r="R43" i="5"/>
  <c r="P43" i="5"/>
  <c r="H83" i="4"/>
  <c r="L84" i="4"/>
  <c r="O45" i="5"/>
  <c r="N44" i="5"/>
  <c r="K82" i="4"/>
  <c r="N82" i="4" s="1"/>
  <c r="M82" i="4"/>
  <c r="O82" i="4"/>
  <c r="M83" i="4" l="1"/>
  <c r="O83" i="4"/>
  <c r="K83" i="4"/>
  <c r="N83" i="4" s="1"/>
  <c r="Q44" i="5"/>
  <c r="P44" i="5"/>
  <c r="R44" i="5"/>
  <c r="O46" i="5"/>
  <c r="N46" i="5" s="1"/>
  <c r="N45" i="5"/>
  <c r="H84" i="4"/>
  <c r="L85" i="4"/>
  <c r="Q45" i="5" l="1"/>
  <c r="P45" i="5"/>
  <c r="R45" i="5"/>
  <c r="Q46" i="5"/>
  <c r="P46" i="5"/>
  <c r="R46" i="5"/>
  <c r="H85" i="4"/>
  <c r="L86" i="4"/>
  <c r="L87" i="4" s="1"/>
  <c r="O84" i="4"/>
  <c r="K84" i="4"/>
  <c r="N84" i="4" s="1"/>
  <c r="M84" i="4"/>
  <c r="K85" i="4" l="1"/>
  <c r="N85" i="4" s="1"/>
  <c r="M85" i="4"/>
  <c r="O85" i="4"/>
</calcChain>
</file>

<file path=xl/sharedStrings.xml><?xml version="1.0" encoding="utf-8"?>
<sst xmlns="http://schemas.openxmlformats.org/spreadsheetml/2006/main" count="1116" uniqueCount="783">
  <si>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</si>
  <si>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</si>
  <si>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</si>
  <si>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</si>
  <si>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</si>
  <si>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</si>
  <si>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</si>
  <si>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</si>
  <si>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</si>
  <si>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</si>
  <si>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</si>
  <si>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</si>
  <si>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</si>
  <si>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</si>
  <si>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</si>
  <si>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</si>
  <si>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</si>
  <si>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</si>
  <si>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</si>
  <si>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</si>
  <si>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</si>
  <si>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</si>
  <si>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</si>
  <si>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</si>
  <si>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</si>
  <si>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</si>
  <si>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</si>
  <si>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</si>
  <si>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</si>
  <si>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</si>
  <si>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</si>
  <si>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</si>
  <si>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</si>
  <si>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</si>
  <si>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</si>
  <si>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</si>
  <si>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</si>
  <si>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</si>
  <si>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</si>
  <si>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</si>
  <si>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</si>
  <si>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</si>
  <si>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</si>
  <si>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</si>
  <si>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</si>
  <si>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</si>
  <si>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</si>
  <si>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</si>
  <si>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</si>
  <si>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</si>
  <si>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</si>
  <si>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</si>
  <si>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</si>
  <si>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</si>
  <si>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</si>
  <si>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</si>
  <si>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</si>
  <si>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</si>
  <si>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</si>
  <si>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</si>
  <si>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</si>
  <si>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</si>
  <si>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</si>
  <si>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</si>
  <si>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</si>
  <si>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</si>
  <si>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</si>
  <si>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</si>
  <si>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</si>
  <si>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</si>
  <si>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</si>
  <si>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</si>
  <si>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</si>
  <si>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</si>
  <si>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</si>
  <si>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</si>
  <si>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</si>
  <si>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</si>
  <si>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</si>
  <si>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</si>
  <si>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</si>
  <si>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</si>
  <si>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</si>
  <si>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</si>
  <si>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</si>
  <si>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</si>
  <si>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</si>
  <si>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</si>
  <si>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</si>
  <si>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</si>
  <si>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</si>
  <si>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</si>
  <si>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</si>
  <si>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</si>
  <si>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</si>
  <si>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</si>
  <si>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</si>
  <si>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</si>
  <si>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</si>
  <si>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</si>
  <si>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</si>
  <si>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</si>
  <si>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</si>
  <si>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</si>
  <si>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</si>
  <si>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</si>
  <si>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</si>
  <si>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</si>
  <si>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</si>
  <si>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</si>
  <si>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</si>
  <si>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</si>
  <si>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</si>
  <si>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</si>
  <si>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</si>
  <si>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</si>
  <si>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</si>
  <si>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</si>
  <si>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</si>
  <si>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</si>
  <si>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</si>
  <si>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</si>
  <si>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</si>
  <si>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</si>
  <si>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</si>
  <si>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</si>
  <si>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</si>
  <si>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</si>
  <si>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</si>
  <si>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</si>
  <si>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</si>
  <si>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</si>
  <si>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</si>
  <si>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</si>
  <si>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</si>
  <si>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</si>
  <si>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</si>
  <si>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</si>
  <si>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</si>
  <si>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</si>
  <si>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</si>
  <si>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</si>
  <si>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</si>
  <si>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</si>
  <si>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</si>
  <si>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</si>
  <si>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</si>
  <si>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</si>
  <si>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</si>
  <si>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</si>
  <si>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</si>
  <si>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</si>
  <si>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</si>
  <si>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</si>
  <si>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</si>
  <si>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</si>
  <si>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</si>
  <si>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</si>
  <si>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</si>
  <si>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</si>
  <si>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</si>
  <si>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</si>
  <si>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</si>
  <si>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</si>
  <si>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</si>
  <si>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</si>
  <si>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</si>
  <si>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</si>
  <si>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</si>
  <si>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</si>
  <si>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</si>
  <si>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</si>
  <si>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</si>
  <si>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</si>
  <si>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</si>
  <si>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</si>
  <si>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</si>
  <si>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</si>
  <si>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</si>
  <si>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</si>
  <si>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</si>
  <si>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</si>
  <si>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</si>
  <si>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</si>
  <si>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</si>
  <si>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</si>
  <si>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</si>
  <si>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</si>
  <si>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</si>
  <si>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</si>
  <si>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</si>
  <si>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</si>
  <si>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</si>
  <si>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</si>
  <si>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</si>
  <si>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</si>
  <si>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</si>
  <si>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</si>
  <si>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</si>
  <si>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</si>
  <si>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</si>
  <si>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</si>
  <si>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</si>
  <si>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</si>
  <si>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</si>
  <si>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</si>
  <si>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</si>
  <si>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</si>
  <si>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</si>
  <si>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</si>
  <si>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</si>
  <si>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</si>
  <si>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</si>
  <si>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</si>
  <si>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</si>
  <si>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</si>
  <si>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</si>
  <si>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</si>
  <si>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</si>
  <si>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</si>
  <si>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</si>
  <si>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</si>
  <si>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</si>
  <si>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</si>
  <si>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</si>
  <si>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</si>
  <si>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</si>
  <si>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</si>
  <si>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</si>
  <si>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</si>
  <si>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Collins N</t>
  </si>
  <si>
    <t>Wayne</t>
  </si>
  <si>
    <t>2005 Season</t>
  </si>
  <si>
    <t>Seven O</t>
  </si>
  <si>
    <t>L</t>
  </si>
  <si>
    <t>A</t>
  </si>
  <si>
    <t>TOCC</t>
  </si>
  <si>
    <t>1/0/b+/0/0</t>
  </si>
  <si>
    <t>2/0/ro/0/0</t>
  </si>
  <si>
    <t>3/15/lb/0/1.0</t>
  </si>
  <si>
    <t>4/0/b/1/0</t>
  </si>
  <si>
    <t>Rollins</t>
  </si>
  <si>
    <t>5/1/b/0/0</t>
  </si>
  <si>
    <t>Middleton</t>
  </si>
  <si>
    <t>6/22/lb/1/2.0</t>
  </si>
  <si>
    <t>7/1/b/0/0</t>
  </si>
  <si>
    <t>8/0/c/0/0</t>
  </si>
  <si>
    <t>9/8/c/0/2.0</t>
  </si>
  <si>
    <t>10/13/no*/0/2.0</t>
  </si>
  <si>
    <t>4/0/24/0/0/0</t>
  </si>
  <si>
    <t>3/0/05/0/0/0</t>
  </si>
  <si>
    <t>6/2/11/1/0/0</t>
  </si>
  <si>
    <t>5/1/20/1/0/0</t>
  </si>
  <si>
    <t>1/0/11/0/1/0</t>
  </si>
  <si>
    <t>0.1/0/2/0/0/0</t>
  </si>
  <si>
    <t>John Fisher/Lamgas</t>
  </si>
  <si>
    <t>Clark 4-24</t>
  </si>
  <si>
    <t>Sharpe 36</t>
  </si>
  <si>
    <t>1/23/b/0/4.0</t>
  </si>
  <si>
    <t>2/21/c+/1.0/1.1</t>
  </si>
  <si>
    <t>3/0/c/0/0</t>
  </si>
  <si>
    <t>4/36/st/0/3.1</t>
  </si>
  <si>
    <t>5/7/c*/0/0</t>
  </si>
  <si>
    <t>6/7/c/0/0</t>
  </si>
  <si>
    <t>7/12/ro/1/0</t>
  </si>
  <si>
    <t>8/11/b/0/0.1</t>
  </si>
  <si>
    <t>9/0/b/0/0</t>
  </si>
  <si>
    <t>10/11/no/0/1.0</t>
  </si>
  <si>
    <t>11/10/no/0/1.0</t>
  </si>
  <si>
    <t>8/1/17/0/0/0</t>
  </si>
  <si>
    <t>5/0/22/0/0/3</t>
  </si>
  <si>
    <t>5/0/28/0/0/0</t>
  </si>
  <si>
    <t>8/1/24/4/0/0</t>
  </si>
  <si>
    <t>3/0/28/0/0/0</t>
  </si>
  <si>
    <t>7/0/28/3/1/0</t>
  </si>
  <si>
    <t>2/0/23/0/2/0</t>
  </si>
  <si>
    <t>2/0/6/1/1/0</t>
  </si>
  <si>
    <t>Spencer</t>
  </si>
  <si>
    <t>W</t>
  </si>
  <si>
    <t>Mander C 4-21</t>
  </si>
  <si>
    <t>Leadley 102*</t>
  </si>
  <si>
    <t>8/3/19/0/0/0</t>
  </si>
  <si>
    <t>8/3/21/4/2/0</t>
  </si>
  <si>
    <t>6/1/47/1/0/0</t>
  </si>
  <si>
    <t>8/0/36/1/0/0</t>
  </si>
  <si>
    <t>6/0/41/1/6/0</t>
  </si>
  <si>
    <t>4/0/30/0/1/0</t>
  </si>
  <si>
    <t>1/18/lb/0/2.0</t>
  </si>
  <si>
    <t>2/0/lb/0/0</t>
  </si>
  <si>
    <t>3/6/b/0/1.0</t>
  </si>
  <si>
    <t>4/7/b*/1/1.0</t>
  </si>
  <si>
    <t>5/15/b/0/2.0</t>
  </si>
  <si>
    <t>6/102/no+/1.0/17.0</t>
  </si>
  <si>
    <t>7/6/c/0/1.0</t>
  </si>
  <si>
    <t>8/17/c/0/2.0</t>
  </si>
  <si>
    <t>9/3/b/1/0</t>
  </si>
  <si>
    <t>10/3/no/0/0</t>
  </si>
  <si>
    <t>11/0/dnb/0/0</t>
  </si>
  <si>
    <t>Thurlow Park RAFA</t>
  </si>
  <si>
    <t>H</t>
  </si>
  <si>
    <t>Middleton 49</t>
  </si>
  <si>
    <t>Elliston 3-15</t>
  </si>
  <si>
    <t>1/20/c/1/4.0</t>
  </si>
  <si>
    <t>2/16/b*/0/2.0</t>
  </si>
  <si>
    <t>3/0/lb/0/0</t>
  </si>
  <si>
    <t>5/49/b/0/4.1</t>
  </si>
  <si>
    <t>7/3/c/0/0</t>
  </si>
  <si>
    <t>8/0/ro/0/0</t>
  </si>
  <si>
    <t>9/14/no/0/2.0</t>
  </si>
  <si>
    <t>10/0/b/1/0</t>
  </si>
  <si>
    <t>11/6/ro/0/0</t>
  </si>
  <si>
    <t>6/8/c+/0/1.0</t>
  </si>
  <si>
    <t>8/1/27/3/0/0</t>
  </si>
  <si>
    <t>7/0/27/0/0/0</t>
  </si>
  <si>
    <t>3/0/21/0/0/0</t>
  </si>
  <si>
    <t>5/2/12/2/0/0</t>
  </si>
  <si>
    <t>3.3/0/15/3/0/0</t>
  </si>
  <si>
    <t>6/1/19/0/0/0</t>
  </si>
  <si>
    <t>Old Alleynians</t>
  </si>
  <si>
    <t>D</t>
  </si>
  <si>
    <t>Clark 4-25</t>
  </si>
  <si>
    <t>Woodhouse 48</t>
  </si>
  <si>
    <t>1/48/lb/0/6.0</t>
  </si>
  <si>
    <t>2/2/c/0/0</t>
  </si>
  <si>
    <t>3/8/c/1/1.0</t>
  </si>
  <si>
    <t>4/28/c/0/6.0</t>
  </si>
  <si>
    <t>6/4/c/0/1.0</t>
  </si>
  <si>
    <t>7/0/c/0/0</t>
  </si>
  <si>
    <t>8/3/b/0/0</t>
  </si>
  <si>
    <t>11/10/no*/0/2.0</t>
  </si>
  <si>
    <t>7/0/33/1/0/0</t>
  </si>
  <si>
    <t>4/0/27/2/0/0</t>
  </si>
  <si>
    <t>7/0/42/1/0/0</t>
  </si>
  <si>
    <t>10/1/50/2/0/0</t>
  </si>
  <si>
    <t>9/2/25/4/0/0</t>
  </si>
  <si>
    <t>3/0/19/0/0/0</t>
  </si>
  <si>
    <t>2/0/12/0/0/0</t>
  </si>
  <si>
    <t>Woodgreen</t>
  </si>
  <si>
    <t>Stephens 3-26</t>
  </si>
  <si>
    <t>1/5/b/0/1.0</t>
  </si>
  <si>
    <t>Stephens</t>
  </si>
  <si>
    <t>2/100/ret/1/11.4</t>
  </si>
  <si>
    <t>3/2/c*/0/0</t>
  </si>
  <si>
    <t>4/24/b/1/3.0</t>
  </si>
  <si>
    <t>5/3/b/0/0</t>
  </si>
  <si>
    <t>6/26/b/1/3.0</t>
  </si>
  <si>
    <t>7/2/b/0/0</t>
  </si>
  <si>
    <t>8/19/no/0/1.0</t>
  </si>
  <si>
    <t>9/0/dnb+/0/0</t>
  </si>
  <si>
    <t>10/8/b/0/1.0</t>
  </si>
  <si>
    <t>5/2/9/1/0/0</t>
  </si>
  <si>
    <t>5/0/27/1/0/0</t>
  </si>
  <si>
    <t>8/2/23/2/0/0</t>
  </si>
  <si>
    <t>7/2/21/2/0/0</t>
  </si>
  <si>
    <t>7/2/26/3/0/0</t>
  </si>
  <si>
    <t>Steeple Langford</t>
  </si>
  <si>
    <t>Mander N 100ret</t>
  </si>
  <si>
    <t>Stephens 100ret</t>
  </si>
  <si>
    <t>1/100/ret/0/13.3</t>
  </si>
  <si>
    <t>3/14/b/0/1.0</t>
  </si>
  <si>
    <t>4/3/lb/0/0</t>
  </si>
  <si>
    <t>5/0/b/1/0</t>
  </si>
  <si>
    <t>6/7/b/0/0.1</t>
  </si>
  <si>
    <t>7/2/lb/1/0</t>
  </si>
  <si>
    <t>8/1/ro/0/0</t>
  </si>
  <si>
    <t>9/9/st/0/0.1</t>
  </si>
  <si>
    <t>10/5/no/0/0</t>
  </si>
  <si>
    <t>9/7/7/1/0/0</t>
  </si>
  <si>
    <t>5/0/25/0/0/0</t>
  </si>
  <si>
    <t>5/0/13/0/0/0</t>
  </si>
  <si>
    <t>4/1/20/1/0/0</t>
  </si>
  <si>
    <t>6/0/21/2/0/0</t>
  </si>
  <si>
    <t>7/1/45/2/0/0</t>
  </si>
  <si>
    <t>3/0/5/0/0/0</t>
  </si>
  <si>
    <t>2/7/b+/0/0</t>
  </si>
  <si>
    <t>11/2/no*/0/0</t>
  </si>
  <si>
    <t>5/6/c+/2.1/1.0</t>
  </si>
  <si>
    <t>Cove</t>
  </si>
  <si>
    <t>Leadley 47</t>
  </si>
  <si>
    <t>Clark 3-15</t>
  </si>
  <si>
    <t>1/47/lb+/1.0/9.0</t>
  </si>
  <si>
    <t>Litteler</t>
  </si>
  <si>
    <t>Cutler</t>
  </si>
  <si>
    <t>4/0/ro/0/0</t>
  </si>
  <si>
    <t>5/0/c/0/0</t>
  </si>
  <si>
    <t>6/11/b/0/2.0</t>
  </si>
  <si>
    <t>Tom</t>
  </si>
  <si>
    <t>Wightwick</t>
  </si>
  <si>
    <t>7/7/c/1/1.0</t>
  </si>
  <si>
    <t>Shah</t>
  </si>
  <si>
    <t>8/10/b/0/1.0</t>
  </si>
  <si>
    <t>10/6/b/1/1.0</t>
  </si>
  <si>
    <t>9/0/lb/0/0</t>
  </si>
  <si>
    <t>11/7/no/0/1.0</t>
  </si>
  <si>
    <t>2/19/c*/0/3.0</t>
  </si>
  <si>
    <t>10/4/26/0/0/0</t>
  </si>
  <si>
    <t>8.3/2/25/2/0/0</t>
  </si>
  <si>
    <t>9/4/15/3/0/0</t>
  </si>
  <si>
    <t>12/2/52/3/0/0</t>
  </si>
  <si>
    <t>4/0/14/2/0/0</t>
  </si>
  <si>
    <t>Central YMCA</t>
  </si>
  <si>
    <t>Cooper 6-33</t>
  </si>
  <si>
    <t>1/9/b/0/2.0</t>
  </si>
  <si>
    <t>Sudesh</t>
  </si>
  <si>
    <t>2/0/c/0/0</t>
  </si>
  <si>
    <t>3/3/b/1/0</t>
  </si>
  <si>
    <t>Anand</t>
  </si>
  <si>
    <t>4/30/b/1/0</t>
  </si>
  <si>
    <t>5/13/c/0/0</t>
  </si>
  <si>
    <t>6/17/lb/1/3.0</t>
  </si>
  <si>
    <t>7/9/c+/1/0</t>
  </si>
  <si>
    <t>8/24/lb/0/6.0</t>
  </si>
  <si>
    <t>9/7/ro/0/1.0</t>
  </si>
  <si>
    <t>10/21/no/1/2.0</t>
  </si>
  <si>
    <t>11/24/no*/0/3.0</t>
  </si>
  <si>
    <t>9/6/8/0/0/0</t>
  </si>
  <si>
    <t>5/0/11/0/0/0</t>
  </si>
  <si>
    <t>9/5/4/0/0/0</t>
  </si>
  <si>
    <t>15/6/33/6/0/0</t>
  </si>
  <si>
    <t>3/1/3/0/0/0</t>
  </si>
  <si>
    <t>Churchleigh</t>
  </si>
  <si>
    <t>T</t>
  </si>
  <si>
    <t>Sudesh 4-15, Clark 4-21</t>
  </si>
  <si>
    <t>1/22/c/0/3.1</t>
  </si>
  <si>
    <t>2/5/b/0/1.0</t>
  </si>
  <si>
    <t>3/18/lb+/1.0/4.0</t>
  </si>
  <si>
    <t>4/0/b/0/0</t>
  </si>
  <si>
    <t>5/8/c/0/1.0</t>
  </si>
  <si>
    <t>6/0/lb/0/0</t>
  </si>
  <si>
    <t>7/5/b/0/1.0</t>
  </si>
  <si>
    <t>8/1/c/0/0</t>
  </si>
  <si>
    <t>10/2/b/0/0</t>
  </si>
  <si>
    <t>11/1/no*/0/0</t>
  </si>
  <si>
    <t>3/0/16/0/0/0</t>
  </si>
  <si>
    <t>7/0/25/2/0/0</t>
  </si>
  <si>
    <t>8/1/21/4/0/0</t>
  </si>
  <si>
    <t>5.2/0/15/4/0/0</t>
  </si>
  <si>
    <t>2/0/14/0/0/0</t>
  </si>
  <si>
    <t>Giltec</t>
  </si>
  <si>
    <t>Mander N 154*</t>
  </si>
  <si>
    <t>1/154/no+/1.0/22.3</t>
  </si>
  <si>
    <t>2/25/c*/0/3.0</t>
  </si>
  <si>
    <t>3/9/b/0/2.0</t>
  </si>
  <si>
    <t>4/0/lb/0/0</t>
  </si>
  <si>
    <t>5/0/lb/0/0</t>
  </si>
  <si>
    <t>6/9/no+/3.2.1/2.0</t>
  </si>
  <si>
    <t>7/0/dnb/0/0</t>
  </si>
  <si>
    <t>8/0/dnb/0/0</t>
  </si>
  <si>
    <t>9/0/dnb/0/0</t>
  </si>
  <si>
    <t>10/0/dnb/0/0</t>
  </si>
  <si>
    <t>9/20/no/0/1.0</t>
  </si>
  <si>
    <t>6/2/15/2/0/0</t>
  </si>
  <si>
    <t>7/1/52/1/0/0</t>
  </si>
  <si>
    <t>3/0/25/0/0/0</t>
  </si>
  <si>
    <t>8/2/37/0/0/0</t>
  </si>
  <si>
    <t>8/0/32/3/0/0</t>
  </si>
  <si>
    <t>3.1/0/18/1/0/0</t>
  </si>
  <si>
    <t>2/0/15/1/0/0</t>
  </si>
  <si>
    <t>Bowers 3-27</t>
  </si>
  <si>
    <t>Coloe 49</t>
  </si>
  <si>
    <t>6/1/26/1/0/0</t>
  </si>
  <si>
    <t>7/1/16/0/0/0</t>
  </si>
  <si>
    <t>10/0/34/3/0/0</t>
  </si>
  <si>
    <t>9/2/27/3/0/0</t>
  </si>
  <si>
    <t>4/0/28/1/0/0</t>
  </si>
  <si>
    <t>2/0/20/0/0/0</t>
  </si>
  <si>
    <t>3/0/27/0/0/0</t>
  </si>
  <si>
    <t>1/49/b/2/7.0</t>
  </si>
  <si>
    <t>2/3/b/0/0</t>
  </si>
  <si>
    <t>3/21/ro/1/3.1</t>
  </si>
  <si>
    <t>4/30/b+/2.1/4.1</t>
  </si>
  <si>
    <t>5/9/st/0/1.0</t>
  </si>
  <si>
    <t>6/9/b/0/1.0</t>
  </si>
  <si>
    <t>7/5/ro/0/1.0</t>
  </si>
  <si>
    <t>8/1/b/1/0</t>
  </si>
  <si>
    <t>10/2/no/0/0</t>
  </si>
  <si>
    <t>11/0/no*/0/0</t>
  </si>
  <si>
    <t>Riverside</t>
  </si>
  <si>
    <t>Clark 43</t>
  </si>
  <si>
    <t>Sudesh 3-11</t>
  </si>
  <si>
    <t>1/0/b/1/0</t>
  </si>
  <si>
    <t>2/43/b*/0/8.0</t>
  </si>
  <si>
    <t>3/7/c/0/1.0</t>
  </si>
  <si>
    <t>4/15/b/0/3.0</t>
  </si>
  <si>
    <t>5/7/b/0/0.1</t>
  </si>
  <si>
    <t>6/4/b/0/0</t>
  </si>
  <si>
    <t>7/0/b/0/0</t>
  </si>
  <si>
    <t>8/6/c/0/1.0</t>
  </si>
  <si>
    <t>9/0/c+/1.0/0</t>
  </si>
  <si>
    <t>10/7/no/0/1.0</t>
  </si>
  <si>
    <t>8/3/11/3/2/0</t>
  </si>
  <si>
    <t>4/0/36/1/0/0</t>
  </si>
  <si>
    <t>6/2/11/0/0/0</t>
  </si>
  <si>
    <t>4.1/0/20/1/0/0</t>
  </si>
  <si>
    <t>2/0/17/0/0/0</t>
  </si>
  <si>
    <t>Cooper 3-13</t>
  </si>
  <si>
    <t>Murphy 50*</t>
  </si>
  <si>
    <t>5/1/12/1/0/0</t>
  </si>
  <si>
    <t>7/1/12/2/0/0</t>
  </si>
  <si>
    <t>4/1/11/2/0/0</t>
  </si>
  <si>
    <t>3/0/5/2/0/0</t>
  </si>
  <si>
    <t>3/0/17/0/0/0</t>
  </si>
  <si>
    <t>2/0/8/0/0/0</t>
  </si>
  <si>
    <t>4.2/1/13/3/0/0</t>
  </si>
  <si>
    <t>4/0/8/0/0/0</t>
  </si>
  <si>
    <t>1/15/b/1/3.0</t>
  </si>
  <si>
    <t>2/50/no+/1.0/6.1</t>
  </si>
  <si>
    <t>3/0/b/0/0</t>
  </si>
  <si>
    <t>4/1/b/0/0</t>
  </si>
  <si>
    <t>5/14/lb/0/2.0</t>
  </si>
  <si>
    <t>6/10/no/0/2.0</t>
  </si>
  <si>
    <t>8/0/dnb/2/0</t>
  </si>
  <si>
    <t>10/0/dnb/1/0</t>
  </si>
  <si>
    <t>11/0/dnb*/0/0</t>
  </si>
  <si>
    <t>Norwood Exiles</t>
  </si>
  <si>
    <t>Sudesh 60, Leadley 59</t>
  </si>
  <si>
    <t>8/0/44/2/0/0</t>
  </si>
  <si>
    <t>4/0/34/1/0/0</t>
  </si>
  <si>
    <t>8/1/31/1/0/0</t>
  </si>
  <si>
    <t>Spurgeon</t>
  </si>
  <si>
    <t>2/0/32/0/0/0</t>
  </si>
  <si>
    <t>8/1/38/0/0/0</t>
  </si>
  <si>
    <t>8/0/51/3/0/0</t>
  </si>
  <si>
    <t>Sales</t>
  </si>
  <si>
    <t>2/0/26/1/0/0</t>
  </si>
  <si>
    <t>1/60/c/0/11.0</t>
  </si>
  <si>
    <t>2/4/c/0/0</t>
  </si>
  <si>
    <t>3/12/b*/0/2.0</t>
  </si>
  <si>
    <t>4/1/c/0/0</t>
  </si>
  <si>
    <t>6/59/b+/0.3/11.0</t>
  </si>
  <si>
    <t>7/9/b/0/0</t>
  </si>
  <si>
    <t>8/0/b/0/0</t>
  </si>
  <si>
    <t>10/12/b/1/2.0</t>
  </si>
  <si>
    <t>5/4/c/2/0</t>
  </si>
  <si>
    <t>11/1/no/0/0</t>
  </si>
  <si>
    <t>Sanderstead</t>
  </si>
  <si>
    <t>Bowers 3-4</t>
  </si>
  <si>
    <t>1/42/st+/1.3/7.0</t>
  </si>
  <si>
    <t>2/12/b/0/2.0</t>
  </si>
  <si>
    <t>3/16/c/0/1.0</t>
  </si>
  <si>
    <t>4/8/c/1/1.0</t>
  </si>
  <si>
    <t>5/11/lb/0/2.0</t>
  </si>
  <si>
    <t>6/3/ro/1/0</t>
  </si>
  <si>
    <t>7/4/b/0/0</t>
  </si>
  <si>
    <t>8/2/c/0/0</t>
  </si>
  <si>
    <t>9/0/c/1/0</t>
  </si>
  <si>
    <t>10/19/no/0/2.0</t>
  </si>
  <si>
    <t>11/9/no*/0/2.0</t>
  </si>
  <si>
    <t>7/3/11/0/0/0</t>
  </si>
  <si>
    <t>6/3/8/2/0/0</t>
  </si>
  <si>
    <t>4/0/22/1/0/0</t>
  </si>
  <si>
    <t>5/0/21/3/0/0</t>
  </si>
  <si>
    <t>1.1/1/4/3/0/0</t>
  </si>
  <si>
    <t>Leadley 42</t>
  </si>
  <si>
    <t>Old Josephians</t>
  </si>
  <si>
    <t>Gaughn 105</t>
  </si>
  <si>
    <t>Brocks 59*</t>
  </si>
  <si>
    <t>8/6/5/0/0/0</t>
  </si>
  <si>
    <t>5/0/30/1/0/0</t>
  </si>
  <si>
    <t>9/0/47/1/0/0</t>
  </si>
  <si>
    <t>9/1/52/2/0/0</t>
  </si>
  <si>
    <t>2/0/24/0/0/0</t>
  </si>
  <si>
    <t>3.3/0/33/0/0/0</t>
  </si>
  <si>
    <t>1/1/c/0/0</t>
  </si>
  <si>
    <t>2/10/c/0/2.0</t>
  </si>
  <si>
    <t>3/13/c/0/2.0</t>
  </si>
  <si>
    <t>4/15/b/0/2.0</t>
  </si>
  <si>
    <t>5/11/st/0/1.0</t>
  </si>
  <si>
    <t>6/59/no/1/8.2</t>
  </si>
  <si>
    <t>7/10/b/0/0</t>
  </si>
  <si>
    <t>8/1/no/0/0</t>
  </si>
  <si>
    <t>Kiernan M</t>
  </si>
  <si>
    <t>Matt</t>
  </si>
  <si>
    <t>Cooper 4-28</t>
  </si>
  <si>
    <t>7/0/23/1/0/0</t>
  </si>
  <si>
    <t>3/0/40/0/0/0</t>
  </si>
  <si>
    <t>7/0/39/0/0/0</t>
  </si>
  <si>
    <t>7/0/28/4/0/0</t>
  </si>
  <si>
    <t>7/0/40/2/0/0</t>
  </si>
  <si>
    <t>4/0/33/0/0/0</t>
  </si>
  <si>
    <t>1/0/c+/0/0</t>
  </si>
  <si>
    <t>2/15/b/1/3.0</t>
  </si>
  <si>
    <t>3/2/c/0/0</t>
  </si>
  <si>
    <t>4/15/c/1/1.0</t>
  </si>
  <si>
    <t>6/0/b/0/0</t>
  </si>
  <si>
    <t>8/6/b/0/1.0</t>
  </si>
  <si>
    <t>9/0/c/0/0</t>
  </si>
  <si>
    <t>10/1/no*/1/0</t>
  </si>
  <si>
    <t>11/22/b/0/3.1</t>
  </si>
  <si>
    <t>Leigh</t>
  </si>
  <si>
    <t>Cox 100*</t>
  </si>
  <si>
    <t>5/0/18/0/0/0</t>
  </si>
  <si>
    <t>5/0/36/0/0/0</t>
  </si>
  <si>
    <t>15/1/62/1/0/0</t>
  </si>
  <si>
    <t>9/0/35/0/0/0</t>
  </si>
  <si>
    <t>6/0/39/1/0/0</t>
  </si>
  <si>
    <t>1/0/c/0/0</t>
  </si>
  <si>
    <t>2/21/c/0/3.0</t>
  </si>
  <si>
    <t>3/0/lb+/0.1/0</t>
  </si>
  <si>
    <t>4/23/b/0/4.0</t>
  </si>
  <si>
    <t>5/28/no/0/2.0</t>
  </si>
  <si>
    <t>6/2/b/0/0</t>
  </si>
  <si>
    <t>7/2/st/0/0</t>
  </si>
  <si>
    <t>9/0/dnb*/1/0</t>
  </si>
  <si>
    <t>Cheam</t>
  </si>
  <si>
    <t>Clark 51*</t>
  </si>
  <si>
    <t>1/40/c/1/9.0</t>
  </si>
  <si>
    <t>3/2/b/2/0</t>
  </si>
  <si>
    <t>4/10/c+/0/2.0</t>
  </si>
  <si>
    <t>Lea K</t>
  </si>
  <si>
    <t>Lea S</t>
  </si>
  <si>
    <t>5/35/c/0/3.1</t>
  </si>
  <si>
    <t>6/0/c/0/0</t>
  </si>
  <si>
    <t>7/2/c/0/0</t>
  </si>
  <si>
    <t>8/17/c/0/4.0</t>
  </si>
  <si>
    <t>9/51/no/0/8.1</t>
  </si>
  <si>
    <t>10/13/c/1/2.0</t>
  </si>
  <si>
    <t>6/0/30/2/0/0</t>
  </si>
  <si>
    <t>8/0/46/0/0/0</t>
  </si>
  <si>
    <t>6/0/39/0/0/0</t>
  </si>
  <si>
    <t>5/0/21/1/0/0</t>
  </si>
  <si>
    <t>6.1/0/25/2/00/0</t>
  </si>
  <si>
    <t>5/0/20/2/0/0</t>
  </si>
  <si>
    <t>Four Cs</t>
  </si>
  <si>
    <t>Leadley 84, Brocks 62*, Worthington 50</t>
  </si>
  <si>
    <t>Wiseman 5-13</t>
  </si>
  <si>
    <t>1/84/c+/1.1/14.2</t>
  </si>
  <si>
    <t>2/1/b/1/0</t>
  </si>
  <si>
    <t>3/1/c/1/0</t>
  </si>
  <si>
    <t>4/50/c/1/6.0</t>
  </si>
  <si>
    <t>5/62/no/1/8.3</t>
  </si>
  <si>
    <t>6/0/no/1/0</t>
  </si>
  <si>
    <t>11/0/dnb*/1/0</t>
  </si>
  <si>
    <t>4/0/13/1/0/0</t>
  </si>
  <si>
    <t>6/0/22/0/0/0</t>
  </si>
  <si>
    <t>5.1/0/13/5/0/0</t>
  </si>
  <si>
    <t>3/1/5/2/0/0</t>
  </si>
  <si>
    <t>Addington</t>
  </si>
  <si>
    <t>Cooper 3-37</t>
  </si>
  <si>
    <t>5/1/23/1/0/0</t>
  </si>
  <si>
    <t>8/1/37/3/0/0</t>
  </si>
  <si>
    <t>8/0/26/1/0/0</t>
  </si>
  <si>
    <t>8/0/36/2/0/0</t>
  </si>
  <si>
    <t>4/0/39/0/0/0</t>
  </si>
  <si>
    <t>1/0/5/0/0/0</t>
  </si>
  <si>
    <t>1/5/b/0/0</t>
  </si>
  <si>
    <t>2/3/c/1/0</t>
  </si>
  <si>
    <t>3/1/ro*+/0/0</t>
  </si>
  <si>
    <t>4/3/b/0/0</t>
  </si>
  <si>
    <t>5/0/b/0/0</t>
  </si>
  <si>
    <t>7/13/lb/0/3.0</t>
  </si>
  <si>
    <t>8/5/lb/0/1.0</t>
  </si>
  <si>
    <t>9/4/no/1/1.0</t>
  </si>
  <si>
    <t>ND</t>
  </si>
  <si>
    <t>Leadley 73</t>
  </si>
  <si>
    <t>2/38/b*/0/8.0</t>
  </si>
  <si>
    <t>5/2/c/0/0</t>
  </si>
  <si>
    <t>6/15/c/0/2.0</t>
  </si>
  <si>
    <t>9/4/b/0/1.0</t>
  </si>
  <si>
    <t>10/11/no/0/2.0</t>
  </si>
  <si>
    <t>Old Wimbledonians</t>
  </si>
  <si>
    <t>East Sheen &amp; St Helier</t>
  </si>
  <si>
    <t>1/11/b/0/2.0</t>
  </si>
  <si>
    <t>2/10/c/0/0</t>
  </si>
  <si>
    <t>3/17/c+/1.1/3.0</t>
  </si>
  <si>
    <t>Lovell A</t>
  </si>
  <si>
    <t>4/4/b/0/0</t>
  </si>
  <si>
    <t>Shah J</t>
  </si>
  <si>
    <t>5/1/st/1/0</t>
  </si>
  <si>
    <t>Shakespeare J</t>
  </si>
  <si>
    <t>6/12/lb/0/1.1</t>
  </si>
  <si>
    <t>9/19/c/0/2.1</t>
  </si>
  <si>
    <t>10/6/no*/0/0.1</t>
  </si>
  <si>
    <t>9/3/27/1</t>
  </si>
  <si>
    <t>6/0/25/2</t>
  </si>
  <si>
    <t>4/0/17/0</t>
  </si>
  <si>
    <t>Howe D</t>
  </si>
  <si>
    <t>1/1/0/0</t>
  </si>
  <si>
    <t>1/0/6/0</t>
  </si>
  <si>
    <t>1.5/0/3/1</t>
  </si>
  <si>
    <t>Lestrelle J 3-23</t>
  </si>
  <si>
    <t>Leadley 41</t>
  </si>
  <si>
    <t>4/0/31/0</t>
  </si>
  <si>
    <t>6/1/35/1</t>
  </si>
  <si>
    <t>6/0/31/1</t>
  </si>
  <si>
    <t>6/0/41/0</t>
  </si>
  <si>
    <t>2/0/24/0</t>
  </si>
  <si>
    <t>3/0/23/3</t>
  </si>
  <si>
    <t>Smith C</t>
  </si>
  <si>
    <t>3/0/30/0</t>
  </si>
  <si>
    <t>1/4/b*/1/1.0</t>
  </si>
  <si>
    <t>3/41/c+/0.1/7.1</t>
  </si>
  <si>
    <t>4/6/b/0/1.0</t>
  </si>
  <si>
    <t>6/4/no/0/0</t>
  </si>
  <si>
    <t>7/9/b/0/1.0</t>
  </si>
  <si>
    <t>8/11/c/0/2.0</t>
  </si>
  <si>
    <t>9/6/b/1/1.0</t>
  </si>
  <si>
    <t>5/0/21/1</t>
  </si>
  <si>
    <t>5/0/27/0</t>
  </si>
  <si>
    <t>10/0/41/1</t>
  </si>
  <si>
    <t>8/4/5/2</t>
  </si>
  <si>
    <t>6/0/26/1</t>
  </si>
  <si>
    <t>6/1/28/2</t>
  </si>
  <si>
    <t>1/0/14/0</t>
  </si>
  <si>
    <t>2/26/lb/0/4.0</t>
  </si>
  <si>
    <t>3/6/lb/0/0</t>
  </si>
  <si>
    <t>4/9/c+/0/0</t>
  </si>
  <si>
    <t>1/25/c+/0/2.0</t>
  </si>
  <si>
    <t>5/2/b/0/0</t>
  </si>
  <si>
    <t>6/6/b/0/1.0</t>
  </si>
  <si>
    <t>8/4/no/0/0</t>
  </si>
  <si>
    <t>10/3/no/1/0</t>
  </si>
  <si>
    <t>9/2/b*/0/0</t>
  </si>
  <si>
    <t>Pretenders</t>
  </si>
  <si>
    <t>Mander N 75</t>
  </si>
  <si>
    <t>6/0/30/0</t>
  </si>
  <si>
    <t>7/1/27/1</t>
  </si>
  <si>
    <t>7/5/3/0</t>
  </si>
  <si>
    <t>7/0/42/0</t>
  </si>
  <si>
    <t>6/0/47/1</t>
  </si>
  <si>
    <t>2/0/22/0</t>
  </si>
  <si>
    <t>1/75/b/0/14.0</t>
  </si>
  <si>
    <t>2/19/lb+/0.1/0</t>
  </si>
  <si>
    <t>3/30/c/0/2.0</t>
  </si>
  <si>
    <t>6/11/no/0/0</t>
  </si>
  <si>
    <t>5/15/no/0/0</t>
  </si>
  <si>
    <t>9/0/dnb*/0/0</t>
  </si>
  <si>
    <t>Malden Wanderers</t>
  </si>
  <si>
    <t>6/2/17/0</t>
  </si>
  <si>
    <t>5/0/29/0</t>
  </si>
  <si>
    <t>8/0/37/1</t>
  </si>
  <si>
    <t>7/0/40/0</t>
  </si>
  <si>
    <t>4/2/32/1</t>
  </si>
  <si>
    <t>7/0/46/1</t>
  </si>
  <si>
    <t>3/0/22/1</t>
  </si>
  <si>
    <t>1/1/st+/0.1/0</t>
  </si>
  <si>
    <t>2/0/b*+/0.1/0</t>
  </si>
  <si>
    <t>3/19/c/0/2.0</t>
  </si>
  <si>
    <t>4/21/c/0/1.1</t>
  </si>
  <si>
    <t>5/0/st/0/0</t>
  </si>
  <si>
    <t>6/7/ro/0/1.0</t>
  </si>
  <si>
    <t>7/8/no/0/1.0</t>
  </si>
  <si>
    <t>9/0/st/0/0</t>
  </si>
  <si>
    <t>10/0/b/0/0</t>
  </si>
  <si>
    <t>Sat</t>
  </si>
  <si>
    <t>Sun/Midweek</t>
  </si>
  <si>
    <t>Bowlers</t>
  </si>
  <si>
    <t>10+ wickets</t>
  </si>
  <si>
    <t/>
  </si>
  <si>
    <t>Mander C 14-5-36-6,</t>
  </si>
  <si>
    <t>Sharpe D 2-0-6-1,</t>
  </si>
  <si>
    <t>Shah 14.3-2-50-4,</t>
  </si>
  <si>
    <t>Leadley J 10.1-2-39-3,</t>
  </si>
  <si>
    <t>Shakespeare J 7.5-0-29-2,</t>
  </si>
  <si>
    <t>Wightwick 12-2-52-3,</t>
  </si>
  <si>
    <t>Middleton 23-3-77-4,</t>
  </si>
  <si>
    <t>Mander N 45-9-162-8,</t>
  </si>
  <si>
    <t>Stephens 18-2-98-4,</t>
  </si>
  <si>
    <t>Sales 2-0-26-1,</t>
  </si>
  <si>
    <t>Woodhouse M 33-1-138-5,</t>
  </si>
  <si>
    <t>Mander A 72-20-198-7,</t>
  </si>
  <si>
    <t>Elliston J 36.3-0-237-8,</t>
  </si>
  <si>
    <t>Lashley W 6-0-31-1,</t>
  </si>
  <si>
    <t>Lestrelle J 35-1-254-7,</t>
  </si>
  <si>
    <t>Brocks D 16-1-110-3,</t>
  </si>
  <si>
    <t>Spurgeon 10.1-0-74-2,</t>
  </si>
  <si>
    <t>Kiernan M 6-0-57-1,</t>
  </si>
  <si>
    <t>Coloe A 17-1-91-1,</t>
  </si>
  <si>
    <t>Howe D 1-1-0-0,</t>
  </si>
  <si>
    <t>Edghill C 2-0-8-0,</t>
  </si>
  <si>
    <t>Greyling R 3-0-40-0,</t>
  </si>
  <si>
    <t>Smith C 3-0-30-0,</t>
  </si>
  <si>
    <t>Rollins 3.1-0-19-0,</t>
  </si>
  <si>
    <t>Springer T 13-1-30-0,</t>
  </si>
  <si>
    <t>Batters</t>
  </si>
  <si>
    <t>1/73/c+/0/11.4</t>
  </si>
  <si>
    <t>Capt Name</t>
  </si>
  <si>
    <t>2/8/lb/0/0</t>
  </si>
  <si>
    <t>11/0/c*/0/0</t>
  </si>
  <si>
    <t>Rollins R</t>
  </si>
  <si>
    <t>Stephens S</t>
  </si>
  <si>
    <t>Wightwick T</t>
  </si>
  <si>
    <t>8/2/16/2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</si>
</sst>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70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50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70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0" fillId="0" borderId="0" xfId="0" applyAlignment="1">
      <alignment horizontal="left"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2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center" vertical="top"/>
    </xf>
    <xf numFmtId="165" fontId="15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20" fillId="0" borderId="0" xfId="0" applyNumberFormat="1" applyFont="1" applyAlignment="1">
      <alignment horizontal="center" vertical="top"/>
    </xf>
    <xf numFmtId="2" fontId="15" fillId="0" borderId="0" xfId="0" applyNumberFormat="1" applyFont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L5" activePane="bottomRight" state="frozenSplit"/>
      <selection pane="topRight" activeCell="O1" sqref="O1"/>
      <selection pane="bottomLeft" activeCell="K43" sqref="K43"/>
      <selection pane="bottomRight" activeCell="O13" sqref="O1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2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08" t="s">
        <v>232</v>
      </c>
      <c r="B1" s="29"/>
      <c r="C1" s="39" t="str">
        <f t="array" ref="C1">"Won:"&amp;SUM(IF($E$5:$E$67="W",1,0))</f>
        <v>Won:8</v>
      </c>
      <c r="D1" s="107" t="str">
        <f t="array" ref="D1">"N/D:"&amp;SUM(IF($E$5:$E$67="ND",1,0))</f>
        <v>N/D:1</v>
      </c>
      <c r="E1" s="30"/>
      <c r="F1" s="30"/>
      <c r="H1" s="64"/>
      <c r="J1" s="103"/>
      <c r="K1" s="28"/>
      <c r="L1" s="30"/>
      <c r="M1" s="30"/>
      <c r="N1" s="31"/>
      <c r="O1" s="31" t="s">
        <v>278</v>
      </c>
      <c r="P1" s="31" t="s">
        <v>319</v>
      </c>
      <c r="Q1" s="32" t="s">
        <v>234</v>
      </c>
      <c r="R1" s="32" t="s">
        <v>421</v>
      </c>
      <c r="S1" s="32" t="s">
        <v>653</v>
      </c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Lost:11</v>
      </c>
      <c r="D2" s="65" t="str">
        <f t="array" ref="D2">"Tied:"&amp;SUM(IF($E$5:$E$67="T",1,0))</f>
        <v>Tied:1</v>
      </c>
      <c r="E2" s="42"/>
      <c r="F2" s="42"/>
      <c r="G2" s="63"/>
      <c r="H2" s="65"/>
      <c r="J2" s="104"/>
      <c r="K2" s="40"/>
      <c r="L2" s="42"/>
      <c r="M2" s="42"/>
      <c r="N2" s="43" t="s">
        <v>744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234</v>
      </c>
      <c r="AB2" s="45">
        <f>MAX(AB5:AB59)</f>
        <v>267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0"/>
      <c r="K3" s="40"/>
      <c r="L3" s="42"/>
      <c r="M3" s="42"/>
      <c r="N3" s="43" t="s">
        <v>745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36</v>
      </c>
      <c r="AB3" s="45">
        <f t="array" ref="AB3">MIN(IF(AB5:AB59&lt;=0,99999,AB5:AB59))</f>
        <v>63</v>
      </c>
    </row>
    <row r="4" spans="1:30" s="46" customFormat="1" ht="32.25" thickBot="1" x14ac:dyDescent="0.2">
      <c r="A4" s="117" t="s">
        <v>134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169</v>
      </c>
      <c r="G4" s="119" t="s">
        <v>9</v>
      </c>
      <c r="H4" s="117" t="s">
        <v>38</v>
      </c>
      <c r="I4" s="117" t="s">
        <v>110</v>
      </c>
      <c r="J4" s="120"/>
      <c r="K4" s="119" t="s">
        <v>9</v>
      </c>
      <c r="L4" s="117" t="s">
        <v>38</v>
      </c>
      <c r="M4" s="117" t="s">
        <v>110</v>
      </c>
      <c r="N4" s="119"/>
      <c r="O4" s="119" t="s">
        <v>197</v>
      </c>
      <c r="P4" s="119" t="s">
        <v>198</v>
      </c>
      <c r="Q4" s="119" t="s">
        <v>112</v>
      </c>
      <c r="R4" s="121" t="s">
        <v>113</v>
      </c>
      <c r="S4" s="121" t="s">
        <v>114</v>
      </c>
      <c r="T4" s="121" t="s">
        <v>115</v>
      </c>
      <c r="U4" s="121" t="s">
        <v>116</v>
      </c>
      <c r="V4" s="121" t="s">
        <v>117</v>
      </c>
      <c r="W4" s="121" t="s">
        <v>118</v>
      </c>
      <c r="X4" s="121" t="s">
        <v>119</v>
      </c>
      <c r="Y4" s="121" t="s">
        <v>124</v>
      </c>
      <c r="Z4" s="121" t="s">
        <v>125</v>
      </c>
      <c r="AA4" s="122" t="s">
        <v>212</v>
      </c>
      <c r="AB4" s="122" t="s">
        <v>213</v>
      </c>
      <c r="AC4" s="122" t="s">
        <v>214</v>
      </c>
      <c r="AD4" s="122" t="s">
        <v>215</v>
      </c>
    </row>
    <row r="5" spans="1:30" s="22" customFormat="1" x14ac:dyDescent="0.15">
      <c r="A5" s="123" t="str">
        <f t="shared" ref="A5:A59" si="0">TEXT(WEEKDAY(B5),"ddd")</f>
        <v>Sat</v>
      </c>
      <c r="B5" s="124">
        <v>38493</v>
      </c>
      <c r="C5" s="125" t="s">
        <v>233</v>
      </c>
      <c r="D5" s="126" t="s">
        <v>235</v>
      </c>
      <c r="E5" s="126" t="s">
        <v>234</v>
      </c>
      <c r="F5" s="126" t="s">
        <v>236</v>
      </c>
      <c r="G5" s="127">
        <v>68</v>
      </c>
      <c r="H5" s="126">
        <v>9</v>
      </c>
      <c r="I5" s="126"/>
      <c r="J5" s="128"/>
      <c r="K5" s="127">
        <v>70</v>
      </c>
      <c r="L5" s="126">
        <v>2</v>
      </c>
      <c r="M5" s="126"/>
      <c r="N5" s="125"/>
      <c r="O5" s="129">
        <v>33.1</v>
      </c>
      <c r="P5" s="129">
        <v>19.100000000000001</v>
      </c>
      <c r="Q5" s="130">
        <v>1</v>
      </c>
      <c r="R5" s="130">
        <v>0</v>
      </c>
      <c r="S5" s="130">
        <v>0</v>
      </c>
      <c r="T5" s="130">
        <v>0</v>
      </c>
      <c r="U5" s="130">
        <v>3</v>
      </c>
      <c r="V5" s="130">
        <v>3</v>
      </c>
      <c r="W5" s="130">
        <v>3</v>
      </c>
      <c r="X5" s="130">
        <v>0</v>
      </c>
      <c r="Y5" s="130">
        <f>SUM(Q5:T5)</f>
        <v>1</v>
      </c>
      <c r="Z5" s="130">
        <f>SUM(U5:X5)</f>
        <v>9</v>
      </c>
      <c r="AA5" s="130">
        <f>IF(F5="TOCC",G5,K5)</f>
        <v>68</v>
      </c>
      <c r="AB5" s="130">
        <f>IF(F5&lt;&gt;"TOCC",G5,K5)</f>
        <v>70</v>
      </c>
      <c r="AC5" s="130">
        <f>IF(F5="TOCC",H5,L5)</f>
        <v>9</v>
      </c>
      <c r="AD5" s="130">
        <f>IF(F5&lt;&gt;"TOCC",H5,L5)</f>
        <v>2</v>
      </c>
    </row>
    <row r="6" spans="1:30" s="51" customFormat="1" x14ac:dyDescent="0.15">
      <c r="A6" s="123" t="str">
        <f>TEXT(WEEKDAY(B6),"ddd")</f>
        <v>Sun</v>
      </c>
      <c r="B6" s="124">
        <v>38473</v>
      </c>
      <c r="C6" s="125" t="s">
        <v>255</v>
      </c>
      <c r="D6" s="126" t="s">
        <v>235</v>
      </c>
      <c r="E6" s="126" t="s">
        <v>234</v>
      </c>
      <c r="F6" s="126" t="s">
        <v>1</v>
      </c>
      <c r="G6" s="127">
        <v>195</v>
      </c>
      <c r="H6" s="126">
        <v>9</v>
      </c>
      <c r="I6" s="126"/>
      <c r="J6" s="128" t="s">
        <v>256</v>
      </c>
      <c r="K6" s="127">
        <v>137</v>
      </c>
      <c r="L6" s="126">
        <v>9</v>
      </c>
      <c r="M6" s="126"/>
      <c r="N6" s="125" t="s">
        <v>257</v>
      </c>
      <c r="O6" s="129">
        <v>40</v>
      </c>
      <c r="P6" s="129">
        <v>40</v>
      </c>
      <c r="Q6" s="130">
        <v>10</v>
      </c>
      <c r="R6" s="130">
        <v>0</v>
      </c>
      <c r="S6" s="130">
        <v>3</v>
      </c>
      <c r="T6" s="130">
        <v>1</v>
      </c>
      <c r="U6" s="130">
        <v>7</v>
      </c>
      <c r="V6" s="130">
        <v>4</v>
      </c>
      <c r="W6" s="130">
        <v>6</v>
      </c>
      <c r="X6" s="130">
        <v>3</v>
      </c>
      <c r="Y6" s="130">
        <f t="shared" ref="Y6:Y59" si="1">SUM(Q6:T6)</f>
        <v>14</v>
      </c>
      <c r="Z6" s="130">
        <f t="shared" ref="Z6:Z59" si="2">SUM(U6:X6)</f>
        <v>20</v>
      </c>
      <c r="AA6" s="130">
        <f t="shared" ref="AA6:AA59" si="3">IF(F6="TOCC",G6,K6)</f>
        <v>137</v>
      </c>
      <c r="AB6" s="130">
        <f t="shared" ref="AB6:AB59" si="4">IF(F6&lt;&gt;"TOCC",G6,K6)</f>
        <v>195</v>
      </c>
      <c r="AC6" s="130">
        <f t="shared" ref="AC6:AC59" si="5">IF(F6="TOCC",H6,L6)</f>
        <v>9</v>
      </c>
      <c r="AD6" s="130">
        <f t="shared" ref="AD6:AD59" si="6">IF(F6&lt;&gt;"TOCC",H6,L6)</f>
        <v>9</v>
      </c>
    </row>
    <row r="7" spans="1:30" s="45" customFormat="1" x14ac:dyDescent="0.15">
      <c r="A7" s="123" t="str">
        <f t="shared" si="0"/>
        <v>Sun</v>
      </c>
      <c r="B7" s="124">
        <v>38480</v>
      </c>
      <c r="C7" s="125" t="s">
        <v>277</v>
      </c>
      <c r="D7" s="126" t="s">
        <v>235</v>
      </c>
      <c r="E7" s="126" t="s">
        <v>278</v>
      </c>
      <c r="F7" s="126" t="s">
        <v>1</v>
      </c>
      <c r="G7" s="127">
        <v>204</v>
      </c>
      <c r="H7" s="126">
        <v>8</v>
      </c>
      <c r="I7" s="126"/>
      <c r="J7" s="128" t="s">
        <v>279</v>
      </c>
      <c r="K7" s="127">
        <v>208</v>
      </c>
      <c r="L7" s="126">
        <v>8</v>
      </c>
      <c r="M7" s="126"/>
      <c r="N7" s="125" t="s">
        <v>280</v>
      </c>
      <c r="O7" s="129">
        <v>39</v>
      </c>
      <c r="P7" s="129">
        <v>40</v>
      </c>
      <c r="Q7" s="130">
        <v>9</v>
      </c>
      <c r="R7" s="130">
        <v>0</v>
      </c>
      <c r="S7" s="130">
        <v>12</v>
      </c>
      <c r="T7" s="130">
        <v>1</v>
      </c>
      <c r="U7" s="130">
        <v>12</v>
      </c>
      <c r="V7" s="130">
        <v>11</v>
      </c>
      <c r="W7" s="130">
        <v>4</v>
      </c>
      <c r="X7" s="130">
        <v>4</v>
      </c>
      <c r="Y7" s="130">
        <f t="shared" si="1"/>
        <v>22</v>
      </c>
      <c r="Z7" s="130">
        <f t="shared" si="2"/>
        <v>31</v>
      </c>
      <c r="AA7" s="130">
        <f t="shared" si="3"/>
        <v>208</v>
      </c>
      <c r="AB7" s="130">
        <f t="shared" si="4"/>
        <v>204</v>
      </c>
      <c r="AC7" s="130">
        <f t="shared" si="5"/>
        <v>8</v>
      </c>
      <c r="AD7" s="130">
        <f t="shared" si="6"/>
        <v>8</v>
      </c>
    </row>
    <row r="8" spans="1:30" s="51" customFormat="1" x14ac:dyDescent="0.15">
      <c r="A8" s="123" t="str">
        <f t="shared" si="0"/>
        <v>Sun</v>
      </c>
      <c r="B8" s="124">
        <v>38487</v>
      </c>
      <c r="C8" s="125" t="s">
        <v>298</v>
      </c>
      <c r="D8" s="126" t="s">
        <v>299</v>
      </c>
      <c r="E8" s="126" t="s">
        <v>278</v>
      </c>
      <c r="F8" s="126" t="s">
        <v>236</v>
      </c>
      <c r="G8" s="127">
        <v>159</v>
      </c>
      <c r="H8" s="126">
        <v>10</v>
      </c>
      <c r="I8" s="126"/>
      <c r="J8" s="128" t="s">
        <v>300</v>
      </c>
      <c r="K8" s="127">
        <v>129</v>
      </c>
      <c r="L8" s="126">
        <v>9</v>
      </c>
      <c r="M8" s="126"/>
      <c r="N8" s="125" t="s">
        <v>301</v>
      </c>
      <c r="O8" s="129">
        <v>40</v>
      </c>
      <c r="P8" s="129">
        <v>32.299999999999997</v>
      </c>
      <c r="Q8" s="130">
        <v>4</v>
      </c>
      <c r="R8" s="130">
        <v>0</v>
      </c>
      <c r="S8" s="130">
        <v>0</v>
      </c>
      <c r="T8" s="130">
        <v>2</v>
      </c>
      <c r="U8" s="130">
        <v>14</v>
      </c>
      <c r="V8" s="130">
        <v>1</v>
      </c>
      <c r="W8" s="130">
        <v>16</v>
      </c>
      <c r="X8" s="130">
        <v>3</v>
      </c>
      <c r="Y8" s="130">
        <f t="shared" si="1"/>
        <v>6</v>
      </c>
      <c r="Z8" s="130">
        <f t="shared" si="2"/>
        <v>34</v>
      </c>
      <c r="AA8" s="130">
        <f t="shared" si="3"/>
        <v>159</v>
      </c>
      <c r="AB8" s="130">
        <f t="shared" si="4"/>
        <v>129</v>
      </c>
      <c r="AC8" s="130">
        <f t="shared" si="5"/>
        <v>10</v>
      </c>
      <c r="AD8" s="130">
        <f t="shared" si="6"/>
        <v>9</v>
      </c>
    </row>
    <row r="9" spans="1:30" s="45" customFormat="1" x14ac:dyDescent="0.15">
      <c r="A9" s="123" t="str">
        <f t="shared" si="0"/>
        <v>Sat</v>
      </c>
      <c r="B9" s="124">
        <v>38500</v>
      </c>
      <c r="C9" s="125" t="s">
        <v>318</v>
      </c>
      <c r="D9" s="126" t="s">
        <v>235</v>
      </c>
      <c r="E9" s="126" t="s">
        <v>319</v>
      </c>
      <c r="F9" s="126" t="s">
        <v>1</v>
      </c>
      <c r="G9" s="127">
        <v>211</v>
      </c>
      <c r="H9" s="126">
        <v>10</v>
      </c>
      <c r="I9" s="126"/>
      <c r="J9" s="128" t="s">
        <v>320</v>
      </c>
      <c r="K9" s="127">
        <v>183</v>
      </c>
      <c r="L9" s="126">
        <v>9</v>
      </c>
      <c r="M9" s="126"/>
      <c r="N9" s="125" t="s">
        <v>321</v>
      </c>
      <c r="O9" s="129">
        <v>40</v>
      </c>
      <c r="P9" s="129">
        <v>42</v>
      </c>
      <c r="Q9" s="130">
        <v>13</v>
      </c>
      <c r="R9" s="130">
        <v>5</v>
      </c>
      <c r="S9" s="130">
        <v>1</v>
      </c>
      <c r="T9" s="130">
        <v>2</v>
      </c>
      <c r="U9" s="130">
        <v>20</v>
      </c>
      <c r="V9" s="130">
        <v>2</v>
      </c>
      <c r="W9" s="130">
        <v>5</v>
      </c>
      <c r="X9" s="130">
        <v>4</v>
      </c>
      <c r="Y9" s="130">
        <f t="shared" si="1"/>
        <v>21</v>
      </c>
      <c r="Z9" s="130">
        <f t="shared" si="2"/>
        <v>31</v>
      </c>
      <c r="AA9" s="130">
        <f t="shared" si="3"/>
        <v>183</v>
      </c>
      <c r="AB9" s="130">
        <f t="shared" si="4"/>
        <v>211</v>
      </c>
      <c r="AC9" s="130">
        <f t="shared" si="5"/>
        <v>9</v>
      </c>
      <c r="AD9" s="130">
        <f t="shared" si="6"/>
        <v>10</v>
      </c>
    </row>
    <row r="10" spans="1:30" x14ac:dyDescent="0.15">
      <c r="A10" s="123" t="str">
        <f t="shared" si="0"/>
        <v>Sun</v>
      </c>
      <c r="B10" s="124">
        <v>38501</v>
      </c>
      <c r="C10" s="125" t="s">
        <v>337</v>
      </c>
      <c r="D10" s="126" t="s">
        <v>235</v>
      </c>
      <c r="E10" s="126" t="s">
        <v>278</v>
      </c>
      <c r="F10" s="126" t="s">
        <v>236</v>
      </c>
      <c r="G10" s="127">
        <v>208</v>
      </c>
      <c r="H10" s="126">
        <v>8</v>
      </c>
      <c r="I10" s="126"/>
      <c r="J10" s="128" t="s">
        <v>357</v>
      </c>
      <c r="K10" s="127">
        <v>137</v>
      </c>
      <c r="L10" s="126">
        <v>9</v>
      </c>
      <c r="M10" s="126"/>
      <c r="N10" s="125" t="s">
        <v>338</v>
      </c>
      <c r="O10" s="129">
        <v>40</v>
      </c>
      <c r="P10" s="129">
        <v>40</v>
      </c>
      <c r="Q10" s="130">
        <v>7</v>
      </c>
      <c r="R10" s="130">
        <v>3</v>
      </c>
      <c r="S10" s="130">
        <v>12</v>
      </c>
      <c r="T10" s="130">
        <v>2</v>
      </c>
      <c r="U10" s="130">
        <v>2</v>
      </c>
      <c r="V10" s="130">
        <v>2</v>
      </c>
      <c r="W10" s="130">
        <v>6</v>
      </c>
      <c r="X10" s="130">
        <v>9</v>
      </c>
      <c r="Y10" s="130">
        <f t="shared" si="1"/>
        <v>24</v>
      </c>
      <c r="Z10" s="130">
        <f t="shared" si="2"/>
        <v>19</v>
      </c>
      <c r="AA10" s="130">
        <f t="shared" si="3"/>
        <v>208</v>
      </c>
      <c r="AB10" s="130">
        <f t="shared" si="4"/>
        <v>137</v>
      </c>
      <c r="AC10" s="130">
        <f t="shared" si="5"/>
        <v>8</v>
      </c>
      <c r="AD10" s="130">
        <f t="shared" si="6"/>
        <v>9</v>
      </c>
    </row>
    <row r="11" spans="1:30" x14ac:dyDescent="0.15">
      <c r="A11" s="123" t="str">
        <f t="shared" si="0"/>
        <v>Mon</v>
      </c>
      <c r="B11" s="124">
        <v>38502</v>
      </c>
      <c r="C11" s="125" t="s">
        <v>355</v>
      </c>
      <c r="D11" s="126" t="s">
        <v>235</v>
      </c>
      <c r="E11" s="126" t="s">
        <v>319</v>
      </c>
      <c r="F11" s="126" t="s">
        <v>236</v>
      </c>
      <c r="G11" s="127">
        <v>161</v>
      </c>
      <c r="H11" s="126">
        <v>9</v>
      </c>
      <c r="I11" s="126"/>
      <c r="J11" s="128" t="s">
        <v>356</v>
      </c>
      <c r="K11" s="127">
        <v>142</v>
      </c>
      <c r="L11" s="126">
        <v>7</v>
      </c>
      <c r="M11" s="126"/>
      <c r="N11" s="125"/>
      <c r="O11" s="129">
        <v>33</v>
      </c>
      <c r="P11" s="129">
        <v>39</v>
      </c>
      <c r="Q11" s="130">
        <v>5</v>
      </c>
      <c r="R11" s="130">
        <v>2</v>
      </c>
      <c r="S11" s="130">
        <v>7</v>
      </c>
      <c r="T11" s="130">
        <v>1</v>
      </c>
      <c r="U11" s="130">
        <v>4</v>
      </c>
      <c r="V11" s="130">
        <v>1</v>
      </c>
      <c r="W11" s="130">
        <v>5</v>
      </c>
      <c r="X11" s="130">
        <v>1</v>
      </c>
      <c r="Y11" s="130">
        <f t="shared" si="1"/>
        <v>15</v>
      </c>
      <c r="Z11" s="130">
        <f t="shared" si="2"/>
        <v>11</v>
      </c>
      <c r="AA11" s="130">
        <f t="shared" si="3"/>
        <v>161</v>
      </c>
      <c r="AB11" s="130">
        <f t="shared" si="4"/>
        <v>142</v>
      </c>
      <c r="AC11" s="130">
        <f t="shared" si="5"/>
        <v>9</v>
      </c>
      <c r="AD11" s="130">
        <f t="shared" si="6"/>
        <v>7</v>
      </c>
    </row>
    <row r="12" spans="1:30" x14ac:dyDescent="0.15">
      <c r="A12" s="123" t="str">
        <f t="shared" si="0"/>
        <v>Tue</v>
      </c>
      <c r="B12" s="124">
        <v>38503</v>
      </c>
      <c r="C12" s="125" t="s">
        <v>377</v>
      </c>
      <c r="D12" s="126" t="s">
        <v>235</v>
      </c>
      <c r="E12" s="126" t="s">
        <v>234</v>
      </c>
      <c r="F12" s="126" t="s">
        <v>1</v>
      </c>
      <c r="G12" s="127">
        <v>161</v>
      </c>
      <c r="H12" s="126">
        <v>10</v>
      </c>
      <c r="I12" s="126"/>
      <c r="J12" s="128" t="s">
        <v>379</v>
      </c>
      <c r="K12" s="127">
        <v>125</v>
      </c>
      <c r="L12" s="126">
        <v>10</v>
      </c>
      <c r="M12" s="126"/>
      <c r="N12" s="128" t="s">
        <v>378</v>
      </c>
      <c r="O12" s="129">
        <v>37.299999999999997</v>
      </c>
      <c r="P12" s="129">
        <v>43.3</v>
      </c>
      <c r="Q12" s="130">
        <v>7</v>
      </c>
      <c r="R12" s="130">
        <v>0</v>
      </c>
      <c r="S12" s="130">
        <v>20</v>
      </c>
      <c r="T12" s="130">
        <v>1</v>
      </c>
      <c r="U12" s="130">
        <v>5</v>
      </c>
      <c r="V12" s="130">
        <v>4</v>
      </c>
      <c r="W12" s="130">
        <v>9</v>
      </c>
      <c r="X12" s="130">
        <v>0</v>
      </c>
      <c r="Y12" s="130">
        <f t="shared" si="1"/>
        <v>28</v>
      </c>
      <c r="Z12" s="130">
        <f t="shared" si="2"/>
        <v>18</v>
      </c>
      <c r="AA12" s="130">
        <f t="shared" si="3"/>
        <v>125</v>
      </c>
      <c r="AB12" s="130">
        <f t="shared" si="4"/>
        <v>161</v>
      </c>
      <c r="AC12" s="130">
        <f t="shared" si="5"/>
        <v>10</v>
      </c>
      <c r="AD12" s="130">
        <f t="shared" si="6"/>
        <v>10</v>
      </c>
    </row>
    <row r="13" spans="1:30" x14ac:dyDescent="0.15">
      <c r="A13" s="123" t="str">
        <f t="shared" si="0"/>
        <v>Sat</v>
      </c>
      <c r="B13" s="124">
        <v>38507</v>
      </c>
      <c r="C13" s="125" t="s">
        <v>400</v>
      </c>
      <c r="D13" s="126" t="s">
        <v>299</v>
      </c>
      <c r="E13" s="126" t="s">
        <v>319</v>
      </c>
      <c r="F13" s="126" t="s">
        <v>236</v>
      </c>
      <c r="G13" s="127">
        <v>195</v>
      </c>
      <c r="H13" s="126">
        <v>9</v>
      </c>
      <c r="I13" s="126"/>
      <c r="J13" s="128"/>
      <c r="K13" s="127">
        <v>72</v>
      </c>
      <c r="L13" s="126">
        <v>6</v>
      </c>
      <c r="M13" s="126"/>
      <c r="N13" s="148" t="s">
        <v>401</v>
      </c>
      <c r="O13" s="129">
        <v>43</v>
      </c>
      <c r="P13" s="129">
        <v>41</v>
      </c>
      <c r="Q13" s="130">
        <v>6</v>
      </c>
      <c r="R13" s="130">
        <v>0</v>
      </c>
      <c r="S13" s="130">
        <v>4</v>
      </c>
      <c r="T13" s="130">
        <v>1</v>
      </c>
      <c r="U13" s="130">
        <v>23</v>
      </c>
      <c r="V13" s="130">
        <v>1</v>
      </c>
      <c r="W13" s="130">
        <v>10</v>
      </c>
      <c r="X13" s="130">
        <v>4</v>
      </c>
      <c r="Y13" s="130">
        <f t="shared" si="1"/>
        <v>11</v>
      </c>
      <c r="Z13" s="130">
        <f t="shared" si="2"/>
        <v>38</v>
      </c>
      <c r="AA13" s="130">
        <f t="shared" si="3"/>
        <v>195</v>
      </c>
      <c r="AB13" s="130">
        <f t="shared" si="4"/>
        <v>72</v>
      </c>
      <c r="AC13" s="130">
        <f t="shared" si="5"/>
        <v>9</v>
      </c>
      <c r="AD13" s="130">
        <f t="shared" si="6"/>
        <v>6</v>
      </c>
    </row>
    <row r="14" spans="1:30" x14ac:dyDescent="0.15">
      <c r="A14" s="123" t="str">
        <f t="shared" si="0"/>
        <v>Sat</v>
      </c>
      <c r="B14" s="124">
        <v>38514</v>
      </c>
      <c r="C14" s="125" t="s">
        <v>420</v>
      </c>
      <c r="D14" s="126" t="s">
        <v>235</v>
      </c>
      <c r="E14" s="126" t="s">
        <v>421</v>
      </c>
      <c r="F14" s="126" t="s">
        <v>236</v>
      </c>
      <c r="G14" s="127">
        <v>95</v>
      </c>
      <c r="H14" s="126">
        <v>10</v>
      </c>
      <c r="I14" s="126"/>
      <c r="J14" s="128"/>
      <c r="K14" s="127">
        <v>95</v>
      </c>
      <c r="L14" s="126">
        <v>10</v>
      </c>
      <c r="M14" s="126"/>
      <c r="N14" s="125" t="s">
        <v>422</v>
      </c>
      <c r="O14" s="129">
        <v>27.4</v>
      </c>
      <c r="P14" s="129">
        <v>25.2</v>
      </c>
      <c r="Q14" s="130">
        <v>4</v>
      </c>
      <c r="R14" s="130">
        <v>0</v>
      </c>
      <c r="S14" s="130">
        <v>2</v>
      </c>
      <c r="T14" s="130">
        <v>1</v>
      </c>
      <c r="U14" s="130">
        <v>24</v>
      </c>
      <c r="V14" s="130">
        <v>5</v>
      </c>
      <c r="W14" s="130">
        <v>2</v>
      </c>
      <c r="X14" s="130">
        <v>2</v>
      </c>
      <c r="Y14" s="130">
        <f t="shared" si="1"/>
        <v>7</v>
      </c>
      <c r="Z14" s="130">
        <f t="shared" si="2"/>
        <v>33</v>
      </c>
      <c r="AA14" s="130">
        <f t="shared" si="3"/>
        <v>95</v>
      </c>
      <c r="AB14" s="130">
        <f t="shared" si="4"/>
        <v>95</v>
      </c>
      <c r="AC14" s="130">
        <f t="shared" si="5"/>
        <v>10</v>
      </c>
      <c r="AD14" s="130">
        <f t="shared" si="6"/>
        <v>10</v>
      </c>
    </row>
    <row r="15" spans="1:30" x14ac:dyDescent="0.15">
      <c r="A15" s="123" t="str">
        <f t="shared" si="0"/>
        <v>Sun</v>
      </c>
      <c r="B15" s="124">
        <v>38515</v>
      </c>
      <c r="C15" s="125" t="s">
        <v>438</v>
      </c>
      <c r="D15" s="126" t="s">
        <v>299</v>
      </c>
      <c r="E15" s="126" t="s">
        <v>278</v>
      </c>
      <c r="F15" s="126" t="s">
        <v>1</v>
      </c>
      <c r="G15" s="127">
        <v>208</v>
      </c>
      <c r="H15" s="126">
        <v>9</v>
      </c>
      <c r="I15" s="126"/>
      <c r="J15" s="128"/>
      <c r="K15" s="127">
        <v>212</v>
      </c>
      <c r="L15" s="126">
        <v>4</v>
      </c>
      <c r="M15" s="126"/>
      <c r="N15" s="125" t="s">
        <v>439</v>
      </c>
      <c r="O15" s="129">
        <v>33.200000000000003</v>
      </c>
      <c r="P15" s="129">
        <v>37.1</v>
      </c>
      <c r="Q15" s="130">
        <v>12</v>
      </c>
      <c r="R15" s="130">
        <v>2</v>
      </c>
      <c r="S15" s="130">
        <v>13</v>
      </c>
      <c r="T15" s="130">
        <v>5</v>
      </c>
      <c r="U15" s="130">
        <v>8</v>
      </c>
      <c r="V15" s="130">
        <v>1</v>
      </c>
      <c r="W15" s="130">
        <v>4</v>
      </c>
      <c r="X15" s="130">
        <v>2</v>
      </c>
      <c r="Y15" s="130">
        <f t="shared" si="1"/>
        <v>32</v>
      </c>
      <c r="Z15" s="130">
        <f t="shared" si="2"/>
        <v>15</v>
      </c>
      <c r="AA15" s="130">
        <f t="shared" si="3"/>
        <v>212</v>
      </c>
      <c r="AB15" s="130">
        <f t="shared" si="4"/>
        <v>208</v>
      </c>
      <c r="AC15" s="130">
        <f t="shared" si="5"/>
        <v>4</v>
      </c>
      <c r="AD15" s="130">
        <f t="shared" si="6"/>
        <v>9</v>
      </c>
    </row>
    <row r="16" spans="1:30" x14ac:dyDescent="0.15">
      <c r="A16" s="123" t="str">
        <f t="shared" si="0"/>
        <v>Sat</v>
      </c>
      <c r="B16" s="124">
        <v>38521</v>
      </c>
      <c r="C16" s="125" t="s">
        <v>233</v>
      </c>
      <c r="D16" s="126" t="s">
        <v>299</v>
      </c>
      <c r="E16" s="126" t="s">
        <v>319</v>
      </c>
      <c r="F16" s="126" t="s">
        <v>1</v>
      </c>
      <c r="G16" s="127">
        <v>179</v>
      </c>
      <c r="H16" s="126">
        <v>10</v>
      </c>
      <c r="I16" s="126"/>
      <c r="J16" s="128" t="s">
        <v>458</v>
      </c>
      <c r="K16" s="127">
        <v>167</v>
      </c>
      <c r="L16" s="126">
        <v>9</v>
      </c>
      <c r="M16" s="126"/>
      <c r="N16" s="125" t="s">
        <v>459</v>
      </c>
      <c r="O16" s="129">
        <v>41</v>
      </c>
      <c r="P16" s="129">
        <v>41</v>
      </c>
      <c r="Q16" s="130">
        <v>10</v>
      </c>
      <c r="R16" s="130">
        <v>2</v>
      </c>
      <c r="S16" s="130">
        <v>4</v>
      </c>
      <c r="T16" s="130">
        <v>2</v>
      </c>
      <c r="U16" s="130">
        <v>14</v>
      </c>
      <c r="V16" s="130">
        <v>9</v>
      </c>
      <c r="W16" s="130">
        <v>9</v>
      </c>
      <c r="X16" s="130">
        <v>6</v>
      </c>
      <c r="Y16" s="130">
        <f t="shared" si="1"/>
        <v>18</v>
      </c>
      <c r="Z16" s="130">
        <f t="shared" si="2"/>
        <v>38</v>
      </c>
      <c r="AA16" s="130">
        <f t="shared" si="3"/>
        <v>167</v>
      </c>
      <c r="AB16" s="130">
        <f t="shared" si="4"/>
        <v>179</v>
      </c>
      <c r="AC16" s="130">
        <f t="shared" si="5"/>
        <v>9</v>
      </c>
      <c r="AD16" s="130">
        <f t="shared" si="6"/>
        <v>10</v>
      </c>
    </row>
    <row r="17" spans="1:30" x14ac:dyDescent="0.15">
      <c r="A17" s="123" t="str">
        <f t="shared" si="0"/>
        <v>Sat</v>
      </c>
      <c r="B17" s="124">
        <v>38528</v>
      </c>
      <c r="C17" s="125" t="s">
        <v>477</v>
      </c>
      <c r="D17" s="126" t="s">
        <v>235</v>
      </c>
      <c r="E17" s="126" t="s">
        <v>234</v>
      </c>
      <c r="F17" s="126" t="s">
        <v>236</v>
      </c>
      <c r="G17" s="127">
        <v>100</v>
      </c>
      <c r="H17" s="126">
        <v>9</v>
      </c>
      <c r="I17" s="126"/>
      <c r="J17" s="128" t="s">
        <v>478</v>
      </c>
      <c r="K17" s="127">
        <v>102</v>
      </c>
      <c r="L17" s="126">
        <v>5</v>
      </c>
      <c r="M17" s="126"/>
      <c r="N17" s="125" t="s">
        <v>479</v>
      </c>
      <c r="O17" s="129">
        <v>31</v>
      </c>
      <c r="P17" s="129">
        <v>24.1</v>
      </c>
      <c r="Q17" s="130">
        <v>19</v>
      </c>
      <c r="R17" s="130">
        <v>0</v>
      </c>
      <c r="S17" s="130">
        <v>5</v>
      </c>
      <c r="T17" s="130">
        <v>2</v>
      </c>
      <c r="U17" s="130">
        <v>6</v>
      </c>
      <c r="V17" s="130">
        <v>0</v>
      </c>
      <c r="W17" s="130">
        <v>4</v>
      </c>
      <c r="X17" s="130">
        <v>1</v>
      </c>
      <c r="Y17" s="130">
        <f t="shared" si="1"/>
        <v>26</v>
      </c>
      <c r="Z17" s="130">
        <f t="shared" si="2"/>
        <v>11</v>
      </c>
      <c r="AA17" s="130">
        <f t="shared" si="3"/>
        <v>100</v>
      </c>
      <c r="AB17" s="130">
        <f t="shared" si="4"/>
        <v>102</v>
      </c>
      <c r="AC17" s="130">
        <f t="shared" si="5"/>
        <v>9</v>
      </c>
      <c r="AD17" s="130">
        <f t="shared" si="6"/>
        <v>5</v>
      </c>
    </row>
    <row r="18" spans="1:30" x14ac:dyDescent="0.15">
      <c r="A18" s="123" t="str">
        <f t="shared" si="0"/>
        <v>Sat</v>
      </c>
      <c r="B18" s="124">
        <v>38535</v>
      </c>
      <c r="C18" s="125" t="s">
        <v>400</v>
      </c>
      <c r="D18" s="126" t="s">
        <v>235</v>
      </c>
      <c r="E18" s="126" t="s">
        <v>278</v>
      </c>
      <c r="F18" s="126" t="s">
        <v>1</v>
      </c>
      <c r="G18" s="127">
        <v>98</v>
      </c>
      <c r="H18" s="126">
        <v>10</v>
      </c>
      <c r="I18" s="126"/>
      <c r="J18" s="128" t="s">
        <v>495</v>
      </c>
      <c r="K18" s="127">
        <v>100</v>
      </c>
      <c r="L18" s="126">
        <v>4</v>
      </c>
      <c r="M18" s="126"/>
      <c r="N18" s="125" t="s">
        <v>496</v>
      </c>
      <c r="O18" s="129">
        <v>29.3</v>
      </c>
      <c r="P18" s="129">
        <v>32.200000000000003</v>
      </c>
      <c r="Q18" s="130">
        <v>12</v>
      </c>
      <c r="R18" s="130">
        <v>12</v>
      </c>
      <c r="S18" s="130">
        <v>9</v>
      </c>
      <c r="T18" s="130">
        <v>0</v>
      </c>
      <c r="U18" s="130">
        <v>4</v>
      </c>
      <c r="V18" s="130">
        <v>0</v>
      </c>
      <c r="W18" s="130">
        <v>5</v>
      </c>
      <c r="X18" s="130">
        <v>0</v>
      </c>
      <c r="Y18" s="130">
        <f t="shared" si="1"/>
        <v>33</v>
      </c>
      <c r="Z18" s="130">
        <f t="shared" si="2"/>
        <v>9</v>
      </c>
      <c r="AA18" s="130">
        <f t="shared" si="3"/>
        <v>100</v>
      </c>
      <c r="AB18" s="130">
        <f t="shared" si="4"/>
        <v>98</v>
      </c>
      <c r="AC18" s="130">
        <f t="shared" si="5"/>
        <v>4</v>
      </c>
      <c r="AD18" s="130">
        <f t="shared" si="6"/>
        <v>10</v>
      </c>
    </row>
    <row r="19" spans="1:30" x14ac:dyDescent="0.15">
      <c r="A19" s="123" t="str">
        <f t="shared" si="0"/>
        <v>Sun</v>
      </c>
      <c r="B19" s="124">
        <v>38536</v>
      </c>
      <c r="C19" s="125" t="s">
        <v>514</v>
      </c>
      <c r="D19" s="126" t="s">
        <v>299</v>
      </c>
      <c r="E19" s="126" t="s">
        <v>234</v>
      </c>
      <c r="F19" s="126" t="s">
        <v>1</v>
      </c>
      <c r="G19" s="127">
        <v>267</v>
      </c>
      <c r="H19" s="126">
        <v>8</v>
      </c>
      <c r="I19" s="126"/>
      <c r="J19" s="128"/>
      <c r="K19" s="127">
        <v>227</v>
      </c>
      <c r="L19" s="126">
        <v>10</v>
      </c>
      <c r="M19" s="126"/>
      <c r="N19" s="125" t="s">
        <v>515</v>
      </c>
      <c r="O19" s="129">
        <v>38.200000000000003</v>
      </c>
      <c r="P19" s="129">
        <v>40</v>
      </c>
      <c r="Q19" s="130">
        <v>29</v>
      </c>
      <c r="R19" s="130">
        <v>5</v>
      </c>
      <c r="S19" s="130">
        <v>9</v>
      </c>
      <c r="T19" s="130">
        <v>2</v>
      </c>
      <c r="U19" s="130">
        <v>26</v>
      </c>
      <c r="V19" s="130">
        <v>19</v>
      </c>
      <c r="W19" s="130">
        <v>8</v>
      </c>
      <c r="X19" s="130">
        <v>3</v>
      </c>
      <c r="Y19" s="130">
        <f t="shared" si="1"/>
        <v>45</v>
      </c>
      <c r="Z19" s="130">
        <f t="shared" si="2"/>
        <v>56</v>
      </c>
      <c r="AA19" s="130">
        <f t="shared" si="3"/>
        <v>227</v>
      </c>
      <c r="AB19" s="130">
        <f t="shared" si="4"/>
        <v>267</v>
      </c>
      <c r="AC19" s="130">
        <f t="shared" si="5"/>
        <v>10</v>
      </c>
      <c r="AD19" s="130">
        <f t="shared" si="6"/>
        <v>8</v>
      </c>
    </row>
    <row r="20" spans="1:30" x14ac:dyDescent="0.15">
      <c r="A20" s="123" t="str">
        <f t="shared" si="0"/>
        <v>Sat</v>
      </c>
      <c r="B20" s="124">
        <v>38542</v>
      </c>
      <c r="C20" s="125" t="s">
        <v>535</v>
      </c>
      <c r="D20" s="126" t="s">
        <v>235</v>
      </c>
      <c r="E20" s="126" t="s">
        <v>278</v>
      </c>
      <c r="F20" s="126" t="s">
        <v>236</v>
      </c>
      <c r="G20" s="127">
        <v>155</v>
      </c>
      <c r="H20" s="126">
        <v>9</v>
      </c>
      <c r="I20" s="126"/>
      <c r="J20" s="128" t="s">
        <v>553</v>
      </c>
      <c r="K20" s="127">
        <v>66</v>
      </c>
      <c r="L20" s="126">
        <v>9</v>
      </c>
      <c r="M20" s="126"/>
      <c r="N20" s="125" t="s">
        <v>536</v>
      </c>
      <c r="O20" s="129">
        <v>41</v>
      </c>
      <c r="P20" s="129">
        <v>23.1</v>
      </c>
      <c r="Q20" s="130">
        <v>2</v>
      </c>
      <c r="R20" s="130">
        <v>0</v>
      </c>
      <c r="S20" s="130">
        <v>0</v>
      </c>
      <c r="T20" s="130">
        <v>0</v>
      </c>
      <c r="U20" s="130">
        <v>20</v>
      </c>
      <c r="V20" s="130">
        <v>1</v>
      </c>
      <c r="W20" s="130">
        <v>3</v>
      </c>
      <c r="X20" s="130">
        <v>3</v>
      </c>
      <c r="Y20" s="130">
        <f t="shared" si="1"/>
        <v>2</v>
      </c>
      <c r="Z20" s="130">
        <f t="shared" si="2"/>
        <v>27</v>
      </c>
      <c r="AA20" s="130">
        <f t="shared" si="3"/>
        <v>155</v>
      </c>
      <c r="AB20" s="130">
        <f t="shared" si="4"/>
        <v>66</v>
      </c>
      <c r="AC20" s="130">
        <f t="shared" si="5"/>
        <v>9</v>
      </c>
      <c r="AD20" s="130">
        <f t="shared" si="6"/>
        <v>9</v>
      </c>
    </row>
    <row r="21" spans="1:30" x14ac:dyDescent="0.15">
      <c r="A21" s="123" t="str">
        <f t="shared" si="0"/>
        <v>Sat</v>
      </c>
      <c r="B21" s="124">
        <v>38549</v>
      </c>
      <c r="C21" s="125" t="s">
        <v>554</v>
      </c>
      <c r="D21" s="126" t="s">
        <v>235</v>
      </c>
      <c r="E21" s="126" t="s">
        <v>319</v>
      </c>
      <c r="F21" s="126" t="s">
        <v>1</v>
      </c>
      <c r="G21" s="127">
        <v>231</v>
      </c>
      <c r="H21" s="126">
        <v>5</v>
      </c>
      <c r="I21" s="126"/>
      <c r="J21" s="128" t="s">
        <v>555</v>
      </c>
      <c r="K21" s="127">
        <v>151</v>
      </c>
      <c r="L21" s="126">
        <v>6</v>
      </c>
      <c r="M21" s="126"/>
      <c r="N21" s="125" t="s">
        <v>556</v>
      </c>
      <c r="O21" s="129">
        <v>41</v>
      </c>
      <c r="P21" s="129">
        <v>39.299999999999997</v>
      </c>
      <c r="Q21" s="130">
        <v>19</v>
      </c>
      <c r="R21" s="130">
        <v>0</v>
      </c>
      <c r="S21" s="130">
        <v>23</v>
      </c>
      <c r="T21" s="130">
        <v>2</v>
      </c>
      <c r="U21" s="130">
        <v>10</v>
      </c>
      <c r="V21" s="130">
        <v>0</v>
      </c>
      <c r="W21" s="130">
        <v>13</v>
      </c>
      <c r="X21" s="130">
        <v>8</v>
      </c>
      <c r="Y21" s="130">
        <f t="shared" si="1"/>
        <v>44</v>
      </c>
      <c r="Z21" s="130">
        <f t="shared" si="2"/>
        <v>31</v>
      </c>
      <c r="AA21" s="130">
        <f t="shared" si="3"/>
        <v>151</v>
      </c>
      <c r="AB21" s="130">
        <f t="shared" si="4"/>
        <v>231</v>
      </c>
      <c r="AC21" s="130">
        <f t="shared" si="5"/>
        <v>6</v>
      </c>
      <c r="AD21" s="130">
        <f t="shared" si="6"/>
        <v>5</v>
      </c>
    </row>
    <row r="22" spans="1:30" x14ac:dyDescent="0.15">
      <c r="A22" s="123" t="str">
        <f t="shared" si="0"/>
        <v>Sun</v>
      </c>
      <c r="B22" s="124">
        <v>38550</v>
      </c>
      <c r="C22" s="125" t="s">
        <v>554</v>
      </c>
      <c r="D22" s="126" t="s">
        <v>299</v>
      </c>
      <c r="E22" s="126" t="s">
        <v>234</v>
      </c>
      <c r="F22" s="126" t="s">
        <v>1</v>
      </c>
      <c r="G22" s="127">
        <v>205</v>
      </c>
      <c r="H22" s="126">
        <v>7</v>
      </c>
      <c r="I22" s="126"/>
      <c r="J22" s="128" t="s">
        <v>573</v>
      </c>
      <c r="K22" s="127">
        <v>87</v>
      </c>
      <c r="L22" s="126">
        <v>10</v>
      </c>
      <c r="M22" s="126"/>
      <c r="N22" s="125"/>
      <c r="O22" s="129">
        <v>21.4</v>
      </c>
      <c r="P22" s="129">
        <v>35</v>
      </c>
      <c r="Q22" s="130">
        <v>14</v>
      </c>
      <c r="R22" s="130">
        <v>7</v>
      </c>
      <c r="S22" s="130">
        <v>3</v>
      </c>
      <c r="T22" s="130">
        <v>0</v>
      </c>
      <c r="U22" s="130">
        <v>7</v>
      </c>
      <c r="V22" s="130">
        <v>1</v>
      </c>
      <c r="W22" s="130">
        <v>17</v>
      </c>
      <c r="X22" s="130">
        <v>1</v>
      </c>
      <c r="Y22" s="130">
        <f t="shared" si="1"/>
        <v>24</v>
      </c>
      <c r="Z22" s="130">
        <f t="shared" si="2"/>
        <v>26</v>
      </c>
      <c r="AA22" s="130">
        <f t="shared" si="3"/>
        <v>87</v>
      </c>
      <c r="AB22" s="130">
        <f t="shared" si="4"/>
        <v>205</v>
      </c>
      <c r="AC22" s="130">
        <f t="shared" si="5"/>
        <v>10</v>
      </c>
      <c r="AD22" s="130">
        <f t="shared" si="6"/>
        <v>7</v>
      </c>
    </row>
    <row r="23" spans="1:30" x14ac:dyDescent="0.15">
      <c r="A23" s="123" t="str">
        <f t="shared" si="0"/>
        <v>Sat</v>
      </c>
      <c r="B23" s="124">
        <v>38556</v>
      </c>
      <c r="C23" s="125" t="s">
        <v>589</v>
      </c>
      <c r="D23" s="126" t="s">
        <v>235</v>
      </c>
      <c r="E23" s="126" t="s">
        <v>319</v>
      </c>
      <c r="F23" s="126" t="s">
        <v>1</v>
      </c>
      <c r="G23" s="127">
        <v>196</v>
      </c>
      <c r="H23" s="126">
        <v>2</v>
      </c>
      <c r="I23" s="126"/>
      <c r="J23" s="128" t="s">
        <v>590</v>
      </c>
      <c r="K23" s="127">
        <v>126</v>
      </c>
      <c r="L23" s="126">
        <v>7</v>
      </c>
      <c r="M23" s="126"/>
      <c r="N23" s="125"/>
      <c r="O23" s="129">
        <v>39</v>
      </c>
      <c r="P23" s="129">
        <v>40</v>
      </c>
      <c r="Q23" s="130">
        <v>6</v>
      </c>
      <c r="R23" s="130">
        <v>0</v>
      </c>
      <c r="S23" s="130">
        <v>2</v>
      </c>
      <c r="T23" s="130">
        <v>3</v>
      </c>
      <c r="U23" s="130">
        <v>10</v>
      </c>
      <c r="V23" s="130">
        <v>8</v>
      </c>
      <c r="W23" s="130">
        <v>26</v>
      </c>
      <c r="X23" s="130">
        <v>6</v>
      </c>
      <c r="Y23" s="130">
        <f t="shared" si="1"/>
        <v>11</v>
      </c>
      <c r="Z23" s="130">
        <f t="shared" si="2"/>
        <v>50</v>
      </c>
      <c r="AA23" s="130">
        <f t="shared" si="3"/>
        <v>126</v>
      </c>
      <c r="AB23" s="130">
        <f t="shared" si="4"/>
        <v>196</v>
      </c>
      <c r="AC23" s="130">
        <f t="shared" si="5"/>
        <v>7</v>
      </c>
      <c r="AD23" s="130">
        <f t="shared" si="6"/>
        <v>2</v>
      </c>
    </row>
    <row r="24" spans="1:30" x14ac:dyDescent="0.15">
      <c r="A24" s="123" t="str">
        <f t="shared" si="0"/>
        <v>Sun</v>
      </c>
      <c r="B24" s="124">
        <v>38557</v>
      </c>
      <c r="C24" s="125" t="s">
        <v>604</v>
      </c>
      <c r="D24" s="126" t="s">
        <v>235</v>
      </c>
      <c r="E24" s="126" t="s">
        <v>234</v>
      </c>
      <c r="F24" s="126" t="s">
        <v>236</v>
      </c>
      <c r="G24" s="127">
        <v>189</v>
      </c>
      <c r="H24" s="126">
        <v>10</v>
      </c>
      <c r="I24" s="126"/>
      <c r="J24" s="128" t="s">
        <v>605</v>
      </c>
      <c r="K24" s="127">
        <v>190</v>
      </c>
      <c r="L24" s="126">
        <v>7</v>
      </c>
      <c r="M24" s="126"/>
      <c r="N24" s="125"/>
      <c r="O24" s="129">
        <v>38.4</v>
      </c>
      <c r="P24" s="129">
        <v>36.1</v>
      </c>
      <c r="Q24" s="130">
        <v>3</v>
      </c>
      <c r="R24" s="130">
        <v>0</v>
      </c>
      <c r="S24" s="130">
        <v>7</v>
      </c>
      <c r="T24" s="130">
        <v>2</v>
      </c>
      <c r="U24" s="130">
        <v>9</v>
      </c>
      <c r="V24" s="130">
        <v>0</v>
      </c>
      <c r="W24" s="130">
        <v>0</v>
      </c>
      <c r="X24" s="130">
        <v>2</v>
      </c>
      <c r="Y24" s="130">
        <f t="shared" si="1"/>
        <v>12</v>
      </c>
      <c r="Z24" s="130">
        <f t="shared" si="2"/>
        <v>11</v>
      </c>
      <c r="AA24" s="130">
        <f t="shared" si="3"/>
        <v>189</v>
      </c>
      <c r="AB24" s="130">
        <f t="shared" si="4"/>
        <v>190</v>
      </c>
      <c r="AC24" s="130">
        <f t="shared" si="5"/>
        <v>10</v>
      </c>
      <c r="AD24" s="130">
        <f t="shared" si="6"/>
        <v>7</v>
      </c>
    </row>
    <row r="25" spans="1:30" x14ac:dyDescent="0.15">
      <c r="A25" s="123" t="str">
        <f t="shared" si="0"/>
        <v>Sat</v>
      </c>
      <c r="B25" s="124">
        <v>38570</v>
      </c>
      <c r="C25" s="125" t="s">
        <v>623</v>
      </c>
      <c r="D25" s="126" t="s">
        <v>299</v>
      </c>
      <c r="E25" s="126" t="s">
        <v>278</v>
      </c>
      <c r="F25" s="126" t="s">
        <v>236</v>
      </c>
      <c r="G25" s="127">
        <v>234</v>
      </c>
      <c r="H25" s="126">
        <v>4</v>
      </c>
      <c r="I25" s="126"/>
      <c r="J25" s="128" t="s">
        <v>624</v>
      </c>
      <c r="K25" s="127">
        <v>63</v>
      </c>
      <c r="L25" s="126">
        <v>9</v>
      </c>
      <c r="M25" s="126"/>
      <c r="N25" s="148" t="s">
        <v>625</v>
      </c>
      <c r="O25" s="129">
        <v>40</v>
      </c>
      <c r="P25" s="129">
        <v>18.100000000000001</v>
      </c>
      <c r="Q25" s="130">
        <v>8</v>
      </c>
      <c r="R25" s="130">
        <v>0</v>
      </c>
      <c r="S25" s="130">
        <v>9</v>
      </c>
      <c r="T25" s="130">
        <v>1</v>
      </c>
      <c r="U25" s="130">
        <v>21</v>
      </c>
      <c r="V25" s="130">
        <v>2</v>
      </c>
      <c r="W25" s="130">
        <v>8</v>
      </c>
      <c r="X25" s="130">
        <v>5</v>
      </c>
      <c r="Y25" s="130">
        <f t="shared" si="1"/>
        <v>18</v>
      </c>
      <c r="Z25" s="130">
        <f t="shared" si="2"/>
        <v>36</v>
      </c>
      <c r="AA25" s="130">
        <f t="shared" si="3"/>
        <v>234</v>
      </c>
      <c r="AB25" s="130">
        <f t="shared" si="4"/>
        <v>63</v>
      </c>
      <c r="AC25" s="130">
        <f t="shared" si="5"/>
        <v>4</v>
      </c>
      <c r="AD25" s="130">
        <f t="shared" si="6"/>
        <v>9</v>
      </c>
    </row>
    <row r="26" spans="1:30" x14ac:dyDescent="0.15">
      <c r="A26" s="123" t="str">
        <f t="shared" si="0"/>
        <v>Sun</v>
      </c>
      <c r="B26" s="124">
        <v>38571</v>
      </c>
      <c r="C26" s="125" t="s">
        <v>637</v>
      </c>
      <c r="D26" s="126" t="s">
        <v>299</v>
      </c>
      <c r="E26" s="126" t="s">
        <v>234</v>
      </c>
      <c r="F26" s="126" t="s">
        <v>1</v>
      </c>
      <c r="G26" s="127">
        <v>220</v>
      </c>
      <c r="H26" s="126">
        <v>9</v>
      </c>
      <c r="I26" s="126"/>
      <c r="J26" s="128" t="s">
        <v>638</v>
      </c>
      <c r="K26" s="127">
        <v>36</v>
      </c>
      <c r="L26" s="126">
        <v>8</v>
      </c>
      <c r="M26" s="126"/>
      <c r="N26" s="125"/>
      <c r="O26" s="129">
        <v>16.100000000000001</v>
      </c>
      <c r="P26" s="129">
        <v>40</v>
      </c>
      <c r="Q26" s="130">
        <v>16</v>
      </c>
      <c r="R26" s="130">
        <v>1</v>
      </c>
      <c r="S26" s="130">
        <v>1</v>
      </c>
      <c r="T26" s="130">
        <v>3</v>
      </c>
      <c r="U26" s="130">
        <v>0</v>
      </c>
      <c r="V26" s="130">
        <v>1</v>
      </c>
      <c r="W26" s="130">
        <v>1</v>
      </c>
      <c r="X26" s="130">
        <v>0</v>
      </c>
      <c r="Y26" s="130">
        <f t="shared" si="1"/>
        <v>21</v>
      </c>
      <c r="Z26" s="130">
        <f t="shared" si="2"/>
        <v>2</v>
      </c>
      <c r="AA26" s="130">
        <f t="shared" si="3"/>
        <v>36</v>
      </c>
      <c r="AB26" s="130">
        <f t="shared" si="4"/>
        <v>220</v>
      </c>
      <c r="AC26" s="130">
        <f t="shared" si="5"/>
        <v>8</v>
      </c>
      <c r="AD26" s="130">
        <f t="shared" si="6"/>
        <v>9</v>
      </c>
    </row>
    <row r="27" spans="1:30" x14ac:dyDescent="0.15">
      <c r="A27" s="123" t="str">
        <f t="shared" si="0"/>
        <v>Sat</v>
      </c>
      <c r="B27" s="124">
        <v>38577</v>
      </c>
      <c r="C27" s="125" t="s">
        <v>477</v>
      </c>
      <c r="D27" s="126" t="s">
        <v>299</v>
      </c>
      <c r="E27" s="126" t="s">
        <v>653</v>
      </c>
      <c r="F27" s="126" t="s">
        <v>236</v>
      </c>
      <c r="G27" s="127">
        <v>170</v>
      </c>
      <c r="H27" s="126">
        <v>9</v>
      </c>
      <c r="I27" s="126"/>
      <c r="J27" s="128" t="s">
        <v>654</v>
      </c>
      <c r="K27" s="127"/>
      <c r="L27" s="126"/>
      <c r="M27" s="126"/>
      <c r="N27" s="125"/>
      <c r="O27" s="129">
        <v>40</v>
      </c>
      <c r="P27" s="129">
        <v>0</v>
      </c>
      <c r="Q27" s="130">
        <v>0</v>
      </c>
      <c r="R27" s="130">
        <v>0</v>
      </c>
      <c r="S27" s="130">
        <v>0</v>
      </c>
      <c r="T27" s="130">
        <v>0</v>
      </c>
      <c r="U27" s="130">
        <v>5</v>
      </c>
      <c r="V27" s="130">
        <v>1</v>
      </c>
      <c r="W27" s="130">
        <v>5</v>
      </c>
      <c r="X27" s="130">
        <v>5</v>
      </c>
      <c r="Y27" s="130">
        <f t="shared" si="1"/>
        <v>0</v>
      </c>
      <c r="Z27" s="130">
        <f t="shared" si="2"/>
        <v>16</v>
      </c>
      <c r="AA27" s="130">
        <f t="shared" si="3"/>
        <v>170</v>
      </c>
      <c r="AB27" s="130">
        <f t="shared" si="4"/>
        <v>0</v>
      </c>
      <c r="AC27" s="130">
        <f t="shared" si="5"/>
        <v>9</v>
      </c>
      <c r="AD27" s="130">
        <f t="shared" si="6"/>
        <v>0</v>
      </c>
    </row>
    <row r="28" spans="1:30" x14ac:dyDescent="0.15">
      <c r="A28" s="123" t="str">
        <f t="shared" si="0"/>
        <v>Sun</v>
      </c>
      <c r="B28" s="124">
        <v>38585</v>
      </c>
      <c r="C28" s="125" t="s">
        <v>661</v>
      </c>
      <c r="D28" s="126" t="s">
        <v>299</v>
      </c>
      <c r="E28" s="126" t="s">
        <v>234</v>
      </c>
      <c r="F28" s="126" t="s">
        <v>236</v>
      </c>
      <c r="G28" s="127">
        <v>103</v>
      </c>
      <c r="H28" s="126">
        <v>9</v>
      </c>
      <c r="I28" s="126"/>
      <c r="J28" s="128"/>
      <c r="K28" s="127">
        <v>104</v>
      </c>
      <c r="L28" s="126">
        <v>6</v>
      </c>
      <c r="M28" s="126"/>
      <c r="N28" s="125"/>
      <c r="O28" s="129">
        <v>29.3</v>
      </c>
      <c r="P28" s="129">
        <v>30.5</v>
      </c>
      <c r="Q28" s="130">
        <v>4</v>
      </c>
      <c r="R28" s="130">
        <v>0</v>
      </c>
      <c r="S28" s="130">
        <v>9</v>
      </c>
      <c r="T28" s="130">
        <v>5</v>
      </c>
      <c r="U28" s="130">
        <v>8</v>
      </c>
      <c r="V28" s="130">
        <v>0</v>
      </c>
      <c r="W28" s="130">
        <v>12</v>
      </c>
      <c r="X28" s="130">
        <v>1</v>
      </c>
      <c r="Y28" s="130">
        <f t="shared" si="1"/>
        <v>18</v>
      </c>
      <c r="Z28" s="130">
        <f t="shared" si="2"/>
        <v>21</v>
      </c>
      <c r="AA28" s="130">
        <f t="shared" si="3"/>
        <v>103</v>
      </c>
      <c r="AB28" s="130">
        <f t="shared" si="4"/>
        <v>104</v>
      </c>
      <c r="AC28" s="130">
        <f t="shared" si="5"/>
        <v>9</v>
      </c>
      <c r="AD28" s="130">
        <f t="shared" si="6"/>
        <v>6</v>
      </c>
    </row>
    <row r="29" spans="1:30" x14ac:dyDescent="0.15">
      <c r="A29" s="123" t="str">
        <f t="shared" si="0"/>
        <v>Sun</v>
      </c>
      <c r="B29" s="124">
        <v>38592</v>
      </c>
      <c r="C29" s="125" t="s">
        <v>623</v>
      </c>
      <c r="D29" s="126" t="s">
        <v>235</v>
      </c>
      <c r="E29" s="126" t="s">
        <v>234</v>
      </c>
      <c r="F29" s="126" t="s">
        <v>1</v>
      </c>
      <c r="G29" s="127">
        <v>223</v>
      </c>
      <c r="H29" s="126">
        <v>5</v>
      </c>
      <c r="I29" s="126"/>
      <c r="J29" s="128" t="s">
        <v>680</v>
      </c>
      <c r="K29" s="127">
        <v>117</v>
      </c>
      <c r="L29" s="126">
        <v>8</v>
      </c>
      <c r="M29" s="126"/>
      <c r="N29" s="125" t="s">
        <v>681</v>
      </c>
      <c r="O29" s="129">
        <v>24.4</v>
      </c>
      <c r="P29" s="129">
        <v>30</v>
      </c>
      <c r="Q29" s="130">
        <v>12</v>
      </c>
      <c r="R29" s="130">
        <v>0</v>
      </c>
      <c r="S29" s="130">
        <v>4</v>
      </c>
      <c r="T29" s="130">
        <v>4</v>
      </c>
      <c r="U29" s="130">
        <v>10</v>
      </c>
      <c r="V29" s="130">
        <v>0</v>
      </c>
      <c r="W29" s="130">
        <v>7</v>
      </c>
      <c r="X29" s="130">
        <v>9</v>
      </c>
      <c r="Y29" s="130">
        <f t="shared" si="1"/>
        <v>20</v>
      </c>
      <c r="Z29" s="130">
        <f t="shared" si="2"/>
        <v>26</v>
      </c>
      <c r="AA29" s="130">
        <f t="shared" si="3"/>
        <v>117</v>
      </c>
      <c r="AB29" s="130">
        <f t="shared" si="4"/>
        <v>223</v>
      </c>
      <c r="AC29" s="130">
        <f t="shared" si="5"/>
        <v>8</v>
      </c>
      <c r="AD29" s="130">
        <f t="shared" si="6"/>
        <v>5</v>
      </c>
    </row>
    <row r="30" spans="1:30" x14ac:dyDescent="0.15">
      <c r="A30" s="123" t="str">
        <f t="shared" si="0"/>
        <v>Sun</v>
      </c>
      <c r="B30" s="124">
        <v>38599</v>
      </c>
      <c r="C30" s="125" t="s">
        <v>660</v>
      </c>
      <c r="D30" s="126" t="s">
        <v>235</v>
      </c>
      <c r="E30" s="126" t="s">
        <v>319</v>
      </c>
      <c r="F30" s="126" t="s">
        <v>1</v>
      </c>
      <c r="G30" s="127">
        <v>171</v>
      </c>
      <c r="H30" s="126">
        <v>7</v>
      </c>
      <c r="I30" s="126"/>
      <c r="J30" s="128"/>
      <c r="K30" s="127">
        <v>100</v>
      </c>
      <c r="L30" s="126">
        <v>8</v>
      </c>
      <c r="M30" s="126"/>
      <c r="N30" s="125"/>
      <c r="O30" s="129">
        <v>40</v>
      </c>
      <c r="P30" s="129">
        <v>41</v>
      </c>
      <c r="Q30" s="130">
        <v>10</v>
      </c>
      <c r="R30" s="130">
        <v>2</v>
      </c>
      <c r="S30" s="130">
        <v>6</v>
      </c>
      <c r="T30" s="130">
        <v>2</v>
      </c>
      <c r="U30" s="130">
        <v>11</v>
      </c>
      <c r="V30" s="130">
        <v>3</v>
      </c>
      <c r="W30" s="130">
        <v>10</v>
      </c>
      <c r="X30" s="130">
        <v>1</v>
      </c>
      <c r="Y30" s="130">
        <f t="shared" si="1"/>
        <v>20</v>
      </c>
      <c r="Z30" s="130">
        <f t="shared" si="2"/>
        <v>25</v>
      </c>
      <c r="AA30" s="130">
        <f t="shared" si="3"/>
        <v>100</v>
      </c>
      <c r="AB30" s="130">
        <f t="shared" si="4"/>
        <v>171</v>
      </c>
      <c r="AC30" s="130">
        <f t="shared" si="5"/>
        <v>8</v>
      </c>
      <c r="AD30" s="130">
        <f t="shared" si="6"/>
        <v>7</v>
      </c>
    </row>
    <row r="31" spans="1:30" x14ac:dyDescent="0.15">
      <c r="A31" s="123" t="str">
        <f t="shared" si="0"/>
        <v>Sun</v>
      </c>
      <c r="B31" s="124">
        <v>38606</v>
      </c>
      <c r="C31" s="125" t="s">
        <v>713</v>
      </c>
      <c r="D31" s="126" t="s">
        <v>299</v>
      </c>
      <c r="E31" s="126" t="s">
        <v>278</v>
      </c>
      <c r="F31" s="126" t="s">
        <v>1</v>
      </c>
      <c r="G31" s="127">
        <v>179</v>
      </c>
      <c r="H31" s="126">
        <v>4</v>
      </c>
      <c r="I31" s="126"/>
      <c r="J31" s="128"/>
      <c r="K31" s="127">
        <v>177</v>
      </c>
      <c r="L31" s="126">
        <v>4</v>
      </c>
      <c r="M31" s="126"/>
      <c r="N31" s="125" t="s">
        <v>714</v>
      </c>
      <c r="O31" s="129">
        <v>33.4</v>
      </c>
      <c r="P31" s="129">
        <v>35</v>
      </c>
      <c r="Q31" s="130">
        <v>6</v>
      </c>
      <c r="R31" s="130">
        <v>0</v>
      </c>
      <c r="S31" s="130">
        <v>2</v>
      </c>
      <c r="T31" s="130">
        <v>1</v>
      </c>
      <c r="U31" s="130">
        <v>10</v>
      </c>
      <c r="V31" s="130">
        <v>11</v>
      </c>
      <c r="W31" s="130">
        <v>4</v>
      </c>
      <c r="X31" s="130">
        <v>5</v>
      </c>
      <c r="Y31" s="130">
        <f t="shared" si="1"/>
        <v>9</v>
      </c>
      <c r="Z31" s="130">
        <f t="shared" si="2"/>
        <v>30</v>
      </c>
      <c r="AA31" s="130">
        <f t="shared" si="3"/>
        <v>177</v>
      </c>
      <c r="AB31" s="130">
        <f t="shared" si="4"/>
        <v>179</v>
      </c>
      <c r="AC31" s="130">
        <f t="shared" si="5"/>
        <v>4</v>
      </c>
      <c r="AD31" s="130">
        <f t="shared" si="6"/>
        <v>4</v>
      </c>
    </row>
    <row r="32" spans="1:30" x14ac:dyDescent="0.15">
      <c r="A32" s="123" t="str">
        <f t="shared" si="0"/>
        <v>Sat</v>
      </c>
      <c r="B32" s="124">
        <v>38612</v>
      </c>
      <c r="C32" s="125" t="s">
        <v>727</v>
      </c>
      <c r="D32" s="126" t="s">
        <v>299</v>
      </c>
      <c r="E32" s="126" t="s">
        <v>234</v>
      </c>
      <c r="F32" s="126" t="s">
        <v>1</v>
      </c>
      <c r="G32" s="127">
        <v>233</v>
      </c>
      <c r="H32" s="126">
        <v>4</v>
      </c>
      <c r="I32" s="126"/>
      <c r="J32" s="128"/>
      <c r="K32" s="127">
        <v>83</v>
      </c>
      <c r="L32" s="126">
        <v>9</v>
      </c>
      <c r="M32" s="126"/>
      <c r="N32" s="125"/>
      <c r="O32" s="129">
        <v>27</v>
      </c>
      <c r="P32" s="129">
        <v>40</v>
      </c>
      <c r="Q32" s="130">
        <v>5</v>
      </c>
      <c r="R32" s="130">
        <v>0</v>
      </c>
      <c r="S32" s="130">
        <v>8</v>
      </c>
      <c r="T32" s="130">
        <v>2</v>
      </c>
      <c r="U32" s="130">
        <v>20</v>
      </c>
      <c r="V32" s="130">
        <v>1</v>
      </c>
      <c r="W32" s="130">
        <v>4</v>
      </c>
      <c r="X32" s="130">
        <v>2</v>
      </c>
      <c r="Y32" s="130">
        <f t="shared" si="1"/>
        <v>15</v>
      </c>
      <c r="Z32" s="130">
        <f t="shared" si="2"/>
        <v>27</v>
      </c>
      <c r="AA32" s="130">
        <f t="shared" si="3"/>
        <v>83</v>
      </c>
      <c r="AB32" s="130">
        <f t="shared" si="4"/>
        <v>233</v>
      </c>
      <c r="AC32" s="130">
        <f t="shared" si="5"/>
        <v>9</v>
      </c>
      <c r="AD32" s="130">
        <f t="shared" si="6"/>
        <v>4</v>
      </c>
    </row>
    <row r="33" spans="1:30" x14ac:dyDescent="0.15">
      <c r="A33" s="123" t="str">
        <f t="shared" si="0"/>
        <v>Sat</v>
      </c>
      <c r="B33" s="124"/>
      <c r="C33" s="125"/>
      <c r="D33" s="126"/>
      <c r="E33" s="126"/>
      <c r="F33" s="126"/>
      <c r="G33" s="127"/>
      <c r="H33" s="126"/>
      <c r="I33" s="126"/>
      <c r="J33" s="128"/>
      <c r="K33" s="127"/>
      <c r="L33" s="126"/>
      <c r="M33" s="126"/>
      <c r="N33" s="125"/>
      <c r="O33" s="129"/>
      <c r="P33" s="129"/>
      <c r="Q33" s="130"/>
      <c r="R33" s="130"/>
      <c r="S33" s="130"/>
      <c r="T33" s="130"/>
      <c r="U33" s="130"/>
      <c r="V33" s="130"/>
      <c r="W33" s="130"/>
      <c r="X33" s="130"/>
      <c r="Y33" s="130">
        <f t="shared" si="1"/>
        <v>0</v>
      </c>
      <c r="Z33" s="130">
        <f t="shared" si="2"/>
        <v>0</v>
      </c>
      <c r="AA33" s="130">
        <f t="shared" si="3"/>
        <v>0</v>
      </c>
      <c r="AB33" s="130">
        <f t="shared" si="4"/>
        <v>0</v>
      </c>
      <c r="AC33" s="130">
        <f t="shared" si="5"/>
        <v>0</v>
      </c>
      <c r="AD33" s="130">
        <f t="shared" si="6"/>
        <v>0</v>
      </c>
    </row>
    <row r="34" spans="1:30" x14ac:dyDescent="0.15">
      <c r="A34" s="123" t="str">
        <f t="shared" si="0"/>
        <v>Sat</v>
      </c>
      <c r="B34" s="124"/>
      <c r="C34" s="125"/>
      <c r="D34" s="126"/>
      <c r="E34" s="126"/>
      <c r="F34" s="126"/>
      <c r="G34" s="127"/>
      <c r="H34" s="126"/>
      <c r="I34" s="126"/>
      <c r="J34" s="128"/>
      <c r="K34" s="127"/>
      <c r="L34" s="126"/>
      <c r="M34" s="126"/>
      <c r="N34" s="125"/>
      <c r="O34" s="129"/>
      <c r="P34" s="129"/>
      <c r="Q34" s="130"/>
      <c r="R34" s="130"/>
      <c r="S34" s="130"/>
      <c r="T34" s="130"/>
      <c r="U34" s="130"/>
      <c r="V34" s="130"/>
      <c r="W34" s="130"/>
      <c r="X34" s="130"/>
      <c r="Y34" s="130">
        <f t="shared" si="1"/>
        <v>0</v>
      </c>
      <c r="Z34" s="130">
        <f t="shared" si="2"/>
        <v>0</v>
      </c>
      <c r="AA34" s="130">
        <f t="shared" si="3"/>
        <v>0</v>
      </c>
      <c r="AB34" s="130">
        <f t="shared" si="4"/>
        <v>0</v>
      </c>
      <c r="AC34" s="130">
        <f t="shared" si="5"/>
        <v>0</v>
      </c>
      <c r="AD34" s="130">
        <f t="shared" si="6"/>
        <v>0</v>
      </c>
    </row>
    <row r="35" spans="1:30" x14ac:dyDescent="0.15">
      <c r="A35" s="123" t="str">
        <f t="shared" si="0"/>
        <v>Sat</v>
      </c>
      <c r="B35" s="124"/>
      <c r="C35" s="125"/>
      <c r="D35" s="126"/>
      <c r="E35" s="126"/>
      <c r="F35" s="126"/>
      <c r="G35" s="127"/>
      <c r="H35" s="126"/>
      <c r="I35" s="126"/>
      <c r="J35" s="128"/>
      <c r="K35" s="127"/>
      <c r="L35" s="126"/>
      <c r="M35" s="126"/>
      <c r="N35" s="125"/>
      <c r="O35" s="129"/>
      <c r="P35" s="129"/>
      <c r="Q35" s="130"/>
      <c r="R35" s="130"/>
      <c r="S35" s="130"/>
      <c r="T35" s="130"/>
      <c r="U35" s="130"/>
      <c r="V35" s="130"/>
      <c r="W35" s="130"/>
      <c r="X35" s="130"/>
      <c r="Y35" s="130">
        <f t="shared" si="1"/>
        <v>0</v>
      </c>
      <c r="Z35" s="130">
        <f t="shared" si="2"/>
        <v>0</v>
      </c>
      <c r="AA35" s="130">
        <f t="shared" si="3"/>
        <v>0</v>
      </c>
      <c r="AB35" s="130">
        <f t="shared" si="4"/>
        <v>0</v>
      </c>
      <c r="AC35" s="130">
        <f t="shared" si="5"/>
        <v>0</v>
      </c>
      <c r="AD35" s="130">
        <f t="shared" si="6"/>
        <v>0</v>
      </c>
    </row>
    <row r="36" spans="1:30" x14ac:dyDescent="0.15">
      <c r="A36" s="123" t="str">
        <f t="shared" si="0"/>
        <v>Sat</v>
      </c>
      <c r="B36" s="124"/>
      <c r="C36" s="125"/>
      <c r="D36" s="126"/>
      <c r="E36" s="126"/>
      <c r="F36" s="126"/>
      <c r="G36" s="127"/>
      <c r="H36" s="126"/>
      <c r="I36" s="126"/>
      <c r="J36" s="128"/>
      <c r="K36" s="127"/>
      <c r="L36" s="126"/>
      <c r="M36" s="126"/>
      <c r="N36" s="125"/>
      <c r="O36" s="129"/>
      <c r="P36" s="129"/>
      <c r="Q36" s="130"/>
      <c r="R36" s="130"/>
      <c r="S36" s="130"/>
      <c r="T36" s="130"/>
      <c r="U36" s="130"/>
      <c r="V36" s="130"/>
      <c r="W36" s="130"/>
      <c r="X36" s="130"/>
      <c r="Y36" s="130">
        <f t="shared" si="1"/>
        <v>0</v>
      </c>
      <c r="Z36" s="130">
        <f t="shared" si="2"/>
        <v>0</v>
      </c>
      <c r="AA36" s="130">
        <f t="shared" si="3"/>
        <v>0</v>
      </c>
      <c r="AB36" s="130">
        <f t="shared" si="4"/>
        <v>0</v>
      </c>
      <c r="AC36" s="130">
        <f t="shared" si="5"/>
        <v>0</v>
      </c>
      <c r="AD36" s="130">
        <f t="shared" si="6"/>
        <v>0</v>
      </c>
    </row>
    <row r="37" spans="1:30" x14ac:dyDescent="0.15">
      <c r="A37" s="123" t="str">
        <f t="shared" si="0"/>
        <v>Sat</v>
      </c>
      <c r="B37" s="124"/>
      <c r="C37" s="125"/>
      <c r="D37" s="126"/>
      <c r="E37" s="126"/>
      <c r="F37" s="126"/>
      <c r="G37" s="127"/>
      <c r="H37" s="126"/>
      <c r="I37" s="126"/>
      <c r="J37" s="128"/>
      <c r="K37" s="127"/>
      <c r="L37" s="126"/>
      <c r="M37" s="126"/>
      <c r="N37" s="125"/>
      <c r="O37" s="129"/>
      <c r="P37" s="129"/>
      <c r="Q37" s="130"/>
      <c r="R37" s="130"/>
      <c r="S37" s="130"/>
      <c r="T37" s="130"/>
      <c r="U37" s="130"/>
      <c r="V37" s="130"/>
      <c r="W37" s="130"/>
      <c r="X37" s="130"/>
      <c r="Y37" s="130">
        <f t="shared" si="1"/>
        <v>0</v>
      </c>
      <c r="Z37" s="130">
        <f t="shared" si="2"/>
        <v>0</v>
      </c>
      <c r="AA37" s="130">
        <f t="shared" si="3"/>
        <v>0</v>
      </c>
      <c r="AB37" s="130">
        <f t="shared" si="4"/>
        <v>0</v>
      </c>
      <c r="AC37" s="130">
        <f t="shared" si="5"/>
        <v>0</v>
      </c>
      <c r="AD37" s="130">
        <f t="shared" si="6"/>
        <v>0</v>
      </c>
    </row>
    <row r="38" spans="1:30" x14ac:dyDescent="0.15">
      <c r="A38" s="123" t="str">
        <f t="shared" si="0"/>
        <v>Sat</v>
      </c>
      <c r="B38" s="124"/>
      <c r="C38" s="125"/>
      <c r="D38" s="126"/>
      <c r="E38" s="126"/>
      <c r="F38" s="126"/>
      <c r="G38" s="127"/>
      <c r="H38" s="126"/>
      <c r="I38" s="126"/>
      <c r="J38" s="128"/>
      <c r="K38" s="127"/>
      <c r="L38" s="126"/>
      <c r="M38" s="126"/>
      <c r="N38" s="125"/>
      <c r="O38" s="129"/>
      <c r="P38" s="129"/>
      <c r="Q38" s="130"/>
      <c r="R38" s="130"/>
      <c r="S38" s="130"/>
      <c r="T38" s="130"/>
      <c r="U38" s="130"/>
      <c r="V38" s="130"/>
      <c r="W38" s="130"/>
      <c r="X38" s="130"/>
      <c r="Y38" s="130">
        <f t="shared" si="1"/>
        <v>0</v>
      </c>
      <c r="Z38" s="130">
        <f t="shared" si="2"/>
        <v>0</v>
      </c>
      <c r="AA38" s="130">
        <f t="shared" si="3"/>
        <v>0</v>
      </c>
      <c r="AB38" s="130">
        <f t="shared" si="4"/>
        <v>0</v>
      </c>
      <c r="AC38" s="130">
        <f t="shared" si="5"/>
        <v>0</v>
      </c>
      <c r="AD38" s="130">
        <f t="shared" si="6"/>
        <v>0</v>
      </c>
    </row>
    <row r="39" spans="1:30" x14ac:dyDescent="0.15">
      <c r="A39" s="123" t="str">
        <f t="shared" si="0"/>
        <v>Sat</v>
      </c>
      <c r="B39" s="124"/>
      <c r="C39" s="125"/>
      <c r="D39" s="126"/>
      <c r="E39" s="126"/>
      <c r="F39" s="126"/>
      <c r="G39" s="127"/>
      <c r="H39" s="126"/>
      <c r="I39" s="126"/>
      <c r="J39" s="128"/>
      <c r="K39" s="127"/>
      <c r="L39" s="126"/>
      <c r="M39" s="126"/>
      <c r="N39" s="125"/>
      <c r="O39" s="129"/>
      <c r="P39" s="129"/>
      <c r="Q39" s="130"/>
      <c r="R39" s="130"/>
      <c r="S39" s="130"/>
      <c r="T39" s="130"/>
      <c r="U39" s="130"/>
      <c r="V39" s="130"/>
      <c r="W39" s="130"/>
      <c r="X39" s="130"/>
      <c r="Y39" s="130">
        <f t="shared" si="1"/>
        <v>0</v>
      </c>
      <c r="Z39" s="130">
        <f t="shared" si="2"/>
        <v>0</v>
      </c>
      <c r="AA39" s="130">
        <f t="shared" si="3"/>
        <v>0</v>
      </c>
      <c r="AB39" s="130">
        <f t="shared" si="4"/>
        <v>0</v>
      </c>
      <c r="AC39" s="130">
        <f t="shared" si="5"/>
        <v>0</v>
      </c>
      <c r="AD39" s="130">
        <f t="shared" si="6"/>
        <v>0</v>
      </c>
    </row>
    <row r="40" spans="1:30" x14ac:dyDescent="0.15">
      <c r="A40" s="123" t="str">
        <f t="shared" si="0"/>
        <v>Sat</v>
      </c>
      <c r="B40" s="124"/>
      <c r="C40" s="125"/>
      <c r="D40" s="126"/>
      <c r="E40" s="126"/>
      <c r="F40" s="126"/>
      <c r="G40" s="127"/>
      <c r="H40" s="126"/>
      <c r="I40" s="126"/>
      <c r="J40" s="128"/>
      <c r="K40" s="127"/>
      <c r="L40" s="126"/>
      <c r="M40" s="126"/>
      <c r="N40" s="125"/>
      <c r="O40" s="129"/>
      <c r="P40" s="129"/>
      <c r="Q40" s="130"/>
      <c r="R40" s="130"/>
      <c r="S40" s="130"/>
      <c r="T40" s="130"/>
      <c r="U40" s="130"/>
      <c r="V40" s="130"/>
      <c r="W40" s="130"/>
      <c r="X40" s="130"/>
      <c r="Y40" s="130">
        <f t="shared" si="1"/>
        <v>0</v>
      </c>
      <c r="Z40" s="130">
        <f t="shared" si="2"/>
        <v>0</v>
      </c>
      <c r="AA40" s="130">
        <f t="shared" si="3"/>
        <v>0</v>
      </c>
      <c r="AB40" s="130">
        <f t="shared" si="4"/>
        <v>0</v>
      </c>
      <c r="AC40" s="130">
        <f t="shared" si="5"/>
        <v>0</v>
      </c>
      <c r="AD40" s="130">
        <f t="shared" si="6"/>
        <v>0</v>
      </c>
    </row>
    <row r="41" spans="1:30" x14ac:dyDescent="0.15">
      <c r="A41" s="123" t="str">
        <f t="shared" si="0"/>
        <v>Sat</v>
      </c>
      <c r="B41" s="124"/>
      <c r="C41" s="125"/>
      <c r="D41" s="126"/>
      <c r="E41" s="126"/>
      <c r="F41" s="126"/>
      <c r="G41" s="127"/>
      <c r="H41" s="126"/>
      <c r="I41" s="126"/>
      <c r="J41" s="128"/>
      <c r="K41" s="127"/>
      <c r="L41" s="126"/>
      <c r="M41" s="126"/>
      <c r="N41" s="125"/>
      <c r="O41" s="129"/>
      <c r="P41" s="129"/>
      <c r="Q41" s="130"/>
      <c r="R41" s="130"/>
      <c r="S41" s="130"/>
      <c r="T41" s="130"/>
      <c r="U41" s="130"/>
      <c r="V41" s="130"/>
      <c r="W41" s="130"/>
      <c r="X41" s="130"/>
      <c r="Y41" s="130">
        <f t="shared" si="1"/>
        <v>0</v>
      </c>
      <c r="Z41" s="130">
        <f t="shared" si="2"/>
        <v>0</v>
      </c>
      <c r="AA41" s="130">
        <f t="shared" si="3"/>
        <v>0</v>
      </c>
      <c r="AB41" s="130">
        <f t="shared" si="4"/>
        <v>0</v>
      </c>
      <c r="AC41" s="130">
        <f t="shared" si="5"/>
        <v>0</v>
      </c>
      <c r="AD41" s="130">
        <f t="shared" si="6"/>
        <v>0</v>
      </c>
    </row>
    <row r="42" spans="1:30" x14ac:dyDescent="0.15">
      <c r="A42" s="123" t="str">
        <f t="shared" si="0"/>
        <v>Sat</v>
      </c>
      <c r="B42" s="124"/>
      <c r="C42" s="125"/>
      <c r="D42" s="126"/>
      <c r="E42" s="126"/>
      <c r="F42" s="126"/>
      <c r="G42" s="127"/>
      <c r="H42" s="126"/>
      <c r="I42" s="126"/>
      <c r="J42" s="128"/>
      <c r="K42" s="127"/>
      <c r="L42" s="126"/>
      <c r="M42" s="126"/>
      <c r="N42" s="125"/>
      <c r="O42" s="129"/>
      <c r="P42" s="129"/>
      <c r="Q42" s="130"/>
      <c r="R42" s="130"/>
      <c r="S42" s="130"/>
      <c r="T42" s="130"/>
      <c r="U42" s="130"/>
      <c r="V42" s="130"/>
      <c r="W42" s="130"/>
      <c r="X42" s="130"/>
      <c r="Y42" s="130">
        <f t="shared" si="1"/>
        <v>0</v>
      </c>
      <c r="Z42" s="130">
        <f t="shared" si="2"/>
        <v>0</v>
      </c>
      <c r="AA42" s="130">
        <f t="shared" si="3"/>
        <v>0</v>
      </c>
      <c r="AB42" s="130">
        <f t="shared" si="4"/>
        <v>0</v>
      </c>
      <c r="AC42" s="130">
        <f t="shared" si="5"/>
        <v>0</v>
      </c>
      <c r="AD42" s="130">
        <f t="shared" si="6"/>
        <v>0</v>
      </c>
    </row>
    <row r="43" spans="1:30" x14ac:dyDescent="0.15">
      <c r="A43" s="123" t="str">
        <f t="shared" si="0"/>
        <v>Sat</v>
      </c>
      <c r="B43" s="124"/>
      <c r="C43" s="125"/>
      <c r="D43" s="126"/>
      <c r="E43" s="126"/>
      <c r="F43" s="126"/>
      <c r="G43" s="127"/>
      <c r="H43" s="126"/>
      <c r="I43" s="126"/>
      <c r="J43" s="128"/>
      <c r="K43" s="127"/>
      <c r="L43" s="126"/>
      <c r="M43" s="126"/>
      <c r="N43" s="125"/>
      <c r="O43" s="129"/>
      <c r="P43" s="129"/>
      <c r="Q43" s="130"/>
      <c r="R43" s="130"/>
      <c r="S43" s="130"/>
      <c r="T43" s="130"/>
      <c r="U43" s="130"/>
      <c r="V43" s="130"/>
      <c r="W43" s="130"/>
      <c r="X43" s="130"/>
      <c r="Y43" s="130">
        <f t="shared" si="1"/>
        <v>0</v>
      </c>
      <c r="Z43" s="130">
        <f t="shared" si="2"/>
        <v>0</v>
      </c>
      <c r="AA43" s="130">
        <f t="shared" si="3"/>
        <v>0</v>
      </c>
      <c r="AB43" s="130">
        <f t="shared" si="4"/>
        <v>0</v>
      </c>
      <c r="AC43" s="130">
        <f t="shared" si="5"/>
        <v>0</v>
      </c>
      <c r="AD43" s="130">
        <f t="shared" si="6"/>
        <v>0</v>
      </c>
    </row>
    <row r="44" spans="1:30" x14ac:dyDescent="0.15">
      <c r="A44" s="123" t="str">
        <f t="shared" si="0"/>
        <v>Sat</v>
      </c>
      <c r="B44" s="124"/>
      <c r="C44" s="125"/>
      <c r="D44" s="126"/>
      <c r="E44" s="126"/>
      <c r="F44" s="126"/>
      <c r="G44" s="127"/>
      <c r="H44" s="126"/>
      <c r="I44" s="126"/>
      <c r="J44" s="128"/>
      <c r="K44" s="127"/>
      <c r="L44" s="126"/>
      <c r="M44" s="126"/>
      <c r="N44" s="125"/>
      <c r="O44" s="129"/>
      <c r="P44" s="129"/>
      <c r="Q44" s="130"/>
      <c r="R44" s="130"/>
      <c r="S44" s="130"/>
      <c r="T44" s="130"/>
      <c r="U44" s="130"/>
      <c r="V44" s="130"/>
      <c r="W44" s="130"/>
      <c r="X44" s="130"/>
      <c r="Y44" s="130">
        <f t="shared" si="1"/>
        <v>0</v>
      </c>
      <c r="Z44" s="130">
        <f t="shared" si="2"/>
        <v>0</v>
      </c>
      <c r="AA44" s="130">
        <f t="shared" si="3"/>
        <v>0</v>
      </c>
      <c r="AB44" s="130">
        <f t="shared" si="4"/>
        <v>0</v>
      </c>
      <c r="AC44" s="130">
        <f t="shared" si="5"/>
        <v>0</v>
      </c>
      <c r="AD44" s="130">
        <f t="shared" si="6"/>
        <v>0</v>
      </c>
    </row>
    <row r="45" spans="1:30" x14ac:dyDescent="0.15">
      <c r="A45" s="123" t="str">
        <f t="shared" si="0"/>
        <v>Sat</v>
      </c>
      <c r="B45" s="124"/>
      <c r="C45" s="125"/>
      <c r="D45" s="126"/>
      <c r="E45" s="126"/>
      <c r="F45" s="126"/>
      <c r="G45" s="127"/>
      <c r="H45" s="126"/>
      <c r="I45" s="126"/>
      <c r="J45" s="128"/>
      <c r="K45" s="127"/>
      <c r="L45" s="126"/>
      <c r="M45" s="126"/>
      <c r="N45" s="125"/>
      <c r="O45" s="129"/>
      <c r="P45" s="129"/>
      <c r="Q45" s="130"/>
      <c r="R45" s="130"/>
      <c r="S45" s="130"/>
      <c r="T45" s="130"/>
      <c r="U45" s="130"/>
      <c r="V45" s="130"/>
      <c r="W45" s="130"/>
      <c r="X45" s="130"/>
      <c r="Y45" s="130">
        <f t="shared" si="1"/>
        <v>0</v>
      </c>
      <c r="Z45" s="130">
        <f t="shared" si="2"/>
        <v>0</v>
      </c>
      <c r="AA45" s="130">
        <f t="shared" si="3"/>
        <v>0</v>
      </c>
      <c r="AB45" s="130">
        <f t="shared" si="4"/>
        <v>0</v>
      </c>
      <c r="AC45" s="130">
        <f t="shared" si="5"/>
        <v>0</v>
      </c>
      <c r="AD45" s="130">
        <f t="shared" si="6"/>
        <v>0</v>
      </c>
    </row>
    <row r="46" spans="1:30" x14ac:dyDescent="0.15">
      <c r="A46" s="123" t="str">
        <f t="shared" si="0"/>
        <v>Sat</v>
      </c>
      <c r="B46" s="124"/>
      <c r="C46" s="125"/>
      <c r="D46" s="126"/>
      <c r="E46" s="126"/>
      <c r="F46" s="126"/>
      <c r="G46" s="127"/>
      <c r="H46" s="126"/>
      <c r="I46" s="126"/>
      <c r="J46" s="128"/>
      <c r="K46" s="127"/>
      <c r="L46" s="126"/>
      <c r="M46" s="126"/>
      <c r="N46" s="125"/>
      <c r="O46" s="129"/>
      <c r="P46" s="129"/>
      <c r="Q46" s="130"/>
      <c r="R46" s="130"/>
      <c r="S46" s="130"/>
      <c r="T46" s="130"/>
      <c r="U46" s="130"/>
      <c r="V46" s="130"/>
      <c r="W46" s="130"/>
      <c r="X46" s="130"/>
      <c r="Y46" s="130">
        <f>SUM(Q46:T46)</f>
        <v>0</v>
      </c>
      <c r="Z46" s="130">
        <f>SUM(U46:X46)</f>
        <v>0</v>
      </c>
      <c r="AA46" s="130">
        <f>IF(F46="TOCC",G46,K46)</f>
        <v>0</v>
      </c>
      <c r="AB46" s="130">
        <f>IF(F46&lt;&gt;"TOCC",G46,K46)</f>
        <v>0</v>
      </c>
      <c r="AC46" s="130">
        <f>IF(F46="TOCC",H46,L46)</f>
        <v>0</v>
      </c>
      <c r="AD46" s="130">
        <f>IF(F46&lt;&gt;"TOCC",H46,L46)</f>
        <v>0</v>
      </c>
    </row>
    <row r="47" spans="1:30" x14ac:dyDescent="0.15">
      <c r="A47" s="123" t="str">
        <f t="shared" si="0"/>
        <v>Sat</v>
      </c>
      <c r="B47" s="124"/>
      <c r="C47" s="125"/>
      <c r="D47" s="126"/>
      <c r="E47" s="126"/>
      <c r="F47" s="126"/>
      <c r="G47" s="127"/>
      <c r="H47" s="126"/>
      <c r="I47" s="126"/>
      <c r="J47" s="128"/>
      <c r="K47" s="127"/>
      <c r="L47" s="126"/>
      <c r="M47" s="126"/>
      <c r="N47" s="125"/>
      <c r="O47" s="129"/>
      <c r="P47" s="129"/>
      <c r="Q47" s="130"/>
      <c r="R47" s="130"/>
      <c r="S47" s="130"/>
      <c r="T47" s="130"/>
      <c r="U47" s="130"/>
      <c r="V47" s="130"/>
      <c r="W47" s="130"/>
      <c r="X47" s="130"/>
      <c r="Y47" s="130">
        <f>SUM(Q47:T47)</f>
        <v>0</v>
      </c>
      <c r="Z47" s="130">
        <f>SUM(U47:X47)</f>
        <v>0</v>
      </c>
      <c r="AA47" s="130">
        <f t="shared" si="3"/>
        <v>0</v>
      </c>
      <c r="AB47" s="130">
        <f t="shared" si="4"/>
        <v>0</v>
      </c>
      <c r="AC47" s="130">
        <f t="shared" si="5"/>
        <v>0</v>
      </c>
      <c r="AD47" s="130">
        <f t="shared" si="6"/>
        <v>0</v>
      </c>
    </row>
    <row r="48" spans="1:30" x14ac:dyDescent="0.15">
      <c r="A48" s="123" t="str">
        <f t="shared" si="0"/>
        <v>Sat</v>
      </c>
      <c r="B48" s="124"/>
      <c r="C48" s="125"/>
      <c r="D48" s="126"/>
      <c r="E48" s="126"/>
      <c r="F48" s="126"/>
      <c r="G48" s="127"/>
      <c r="H48" s="126"/>
      <c r="I48" s="126"/>
      <c r="J48" s="128"/>
      <c r="K48" s="127"/>
      <c r="L48" s="126"/>
      <c r="M48" s="126"/>
      <c r="N48" s="125"/>
      <c r="O48" s="129"/>
      <c r="P48" s="129"/>
      <c r="Q48" s="130"/>
      <c r="R48" s="130"/>
      <c r="S48" s="130"/>
      <c r="T48" s="130"/>
      <c r="U48" s="130"/>
      <c r="V48" s="130"/>
      <c r="W48" s="130"/>
      <c r="X48" s="130"/>
      <c r="Y48" s="130">
        <f t="shared" si="1"/>
        <v>0</v>
      </c>
      <c r="Z48" s="130">
        <f t="shared" si="2"/>
        <v>0</v>
      </c>
      <c r="AA48" s="130">
        <f t="shared" si="3"/>
        <v>0</v>
      </c>
      <c r="AB48" s="130">
        <f t="shared" si="4"/>
        <v>0</v>
      </c>
      <c r="AC48" s="130">
        <f t="shared" si="5"/>
        <v>0</v>
      </c>
      <c r="AD48" s="130">
        <f t="shared" si="6"/>
        <v>0</v>
      </c>
    </row>
    <row r="49" spans="1:30" x14ac:dyDescent="0.15">
      <c r="A49" s="123" t="str">
        <f t="shared" si="0"/>
        <v>Sat</v>
      </c>
      <c r="B49" s="124"/>
      <c r="C49" s="125"/>
      <c r="D49" s="126"/>
      <c r="E49" s="126"/>
      <c r="F49" s="126"/>
      <c r="G49" s="127"/>
      <c r="H49" s="126"/>
      <c r="I49" s="126"/>
      <c r="J49" s="128"/>
      <c r="K49" s="127"/>
      <c r="L49" s="126"/>
      <c r="M49" s="126"/>
      <c r="N49" s="125"/>
      <c r="O49" s="129"/>
      <c r="P49" s="129"/>
      <c r="Q49" s="130"/>
      <c r="R49" s="130"/>
      <c r="S49" s="130"/>
      <c r="T49" s="130"/>
      <c r="U49" s="130"/>
      <c r="V49" s="130"/>
      <c r="W49" s="130"/>
      <c r="X49" s="130"/>
      <c r="Y49" s="130">
        <f t="shared" si="1"/>
        <v>0</v>
      </c>
      <c r="Z49" s="130">
        <f t="shared" si="2"/>
        <v>0</v>
      </c>
      <c r="AA49" s="130">
        <f t="shared" si="3"/>
        <v>0</v>
      </c>
      <c r="AB49" s="130">
        <f t="shared" si="4"/>
        <v>0</v>
      </c>
      <c r="AC49" s="130">
        <f t="shared" si="5"/>
        <v>0</v>
      </c>
      <c r="AD49" s="130">
        <f t="shared" si="6"/>
        <v>0</v>
      </c>
    </row>
    <row r="50" spans="1:30" x14ac:dyDescent="0.15">
      <c r="A50" s="123" t="str">
        <f t="shared" si="0"/>
        <v>Sat</v>
      </c>
      <c r="B50" s="124"/>
      <c r="C50" s="125"/>
      <c r="D50" s="126"/>
      <c r="E50" s="126"/>
      <c r="F50" s="126"/>
      <c r="G50" s="127"/>
      <c r="H50" s="126"/>
      <c r="I50" s="126"/>
      <c r="J50" s="128"/>
      <c r="K50" s="127"/>
      <c r="L50" s="126"/>
      <c r="M50" s="126"/>
      <c r="N50" s="125"/>
      <c r="O50" s="129"/>
      <c r="P50" s="129"/>
      <c r="Q50" s="130"/>
      <c r="R50" s="130"/>
      <c r="S50" s="130"/>
      <c r="T50" s="130"/>
      <c r="U50" s="130"/>
      <c r="V50" s="130"/>
      <c r="W50" s="130"/>
      <c r="X50" s="130"/>
      <c r="Y50" s="130">
        <f t="shared" si="1"/>
        <v>0</v>
      </c>
      <c r="Z50" s="130">
        <f t="shared" si="2"/>
        <v>0</v>
      </c>
      <c r="AA50" s="130">
        <f t="shared" si="3"/>
        <v>0</v>
      </c>
      <c r="AB50" s="130">
        <f t="shared" si="4"/>
        <v>0</v>
      </c>
      <c r="AC50" s="130">
        <f t="shared" si="5"/>
        <v>0</v>
      </c>
      <c r="AD50" s="130">
        <f t="shared" si="6"/>
        <v>0</v>
      </c>
    </row>
    <row r="51" spans="1:30" x14ac:dyDescent="0.15">
      <c r="A51" s="123" t="str">
        <f t="shared" si="0"/>
        <v>Sat</v>
      </c>
      <c r="B51" s="124"/>
      <c r="C51" s="125"/>
      <c r="D51" s="126"/>
      <c r="E51" s="126"/>
      <c r="F51" s="126"/>
      <c r="G51" s="127"/>
      <c r="H51" s="126"/>
      <c r="I51" s="126"/>
      <c r="J51" s="128"/>
      <c r="K51" s="127"/>
      <c r="L51" s="126"/>
      <c r="M51" s="126"/>
      <c r="N51" s="125"/>
      <c r="O51" s="129"/>
      <c r="P51" s="129"/>
      <c r="Q51" s="130"/>
      <c r="R51" s="130"/>
      <c r="S51" s="130"/>
      <c r="T51" s="130"/>
      <c r="U51" s="130"/>
      <c r="V51" s="130"/>
      <c r="W51" s="130"/>
      <c r="X51" s="130"/>
      <c r="Y51" s="130">
        <f t="shared" si="1"/>
        <v>0</v>
      </c>
      <c r="Z51" s="130">
        <f t="shared" si="2"/>
        <v>0</v>
      </c>
      <c r="AA51" s="130">
        <f t="shared" si="3"/>
        <v>0</v>
      </c>
      <c r="AB51" s="130">
        <f t="shared" si="4"/>
        <v>0</v>
      </c>
      <c r="AC51" s="130">
        <f t="shared" si="5"/>
        <v>0</v>
      </c>
      <c r="AD51" s="130">
        <f t="shared" si="6"/>
        <v>0</v>
      </c>
    </row>
    <row r="52" spans="1:30" x14ac:dyDescent="0.15">
      <c r="A52" s="123" t="str">
        <f t="shared" si="0"/>
        <v>Sat</v>
      </c>
      <c r="B52" s="124"/>
      <c r="C52" s="125"/>
      <c r="D52" s="126"/>
      <c r="E52" s="126"/>
      <c r="F52" s="126"/>
      <c r="G52" s="127"/>
      <c r="H52" s="126"/>
      <c r="I52" s="126"/>
      <c r="J52" s="128"/>
      <c r="K52" s="127"/>
      <c r="L52" s="126"/>
      <c r="M52" s="126"/>
      <c r="N52" s="125"/>
      <c r="O52" s="129"/>
      <c r="P52" s="129"/>
      <c r="Q52" s="130"/>
      <c r="R52" s="130"/>
      <c r="S52" s="130"/>
      <c r="T52" s="130"/>
      <c r="U52" s="130"/>
      <c r="V52" s="130"/>
      <c r="W52" s="130"/>
      <c r="X52" s="130"/>
      <c r="Y52" s="130">
        <f t="shared" si="1"/>
        <v>0</v>
      </c>
      <c r="Z52" s="130">
        <f t="shared" si="2"/>
        <v>0</v>
      </c>
      <c r="AA52" s="130">
        <f t="shared" si="3"/>
        <v>0</v>
      </c>
      <c r="AB52" s="130">
        <f t="shared" si="4"/>
        <v>0</v>
      </c>
      <c r="AC52" s="130">
        <f t="shared" si="5"/>
        <v>0</v>
      </c>
      <c r="AD52" s="130">
        <f t="shared" si="6"/>
        <v>0</v>
      </c>
    </row>
    <row r="53" spans="1:30" x14ac:dyDescent="0.15">
      <c r="A53" s="123" t="str">
        <f t="shared" si="0"/>
        <v>Sat</v>
      </c>
      <c r="B53" s="124"/>
      <c r="C53" s="125"/>
      <c r="D53" s="126"/>
      <c r="E53" s="126"/>
      <c r="F53" s="126"/>
      <c r="G53" s="127"/>
      <c r="H53" s="126"/>
      <c r="I53" s="126"/>
      <c r="J53" s="128"/>
      <c r="K53" s="127"/>
      <c r="L53" s="126"/>
      <c r="M53" s="126"/>
      <c r="N53" s="125"/>
      <c r="O53" s="129"/>
      <c r="P53" s="129"/>
      <c r="Q53" s="130"/>
      <c r="R53" s="130"/>
      <c r="S53" s="130"/>
      <c r="T53" s="130"/>
      <c r="U53" s="130"/>
      <c r="V53" s="130"/>
      <c r="W53" s="130"/>
      <c r="X53" s="130"/>
      <c r="Y53" s="130">
        <f t="shared" si="1"/>
        <v>0</v>
      </c>
      <c r="Z53" s="130">
        <f t="shared" si="2"/>
        <v>0</v>
      </c>
      <c r="AA53" s="130">
        <f t="shared" si="3"/>
        <v>0</v>
      </c>
      <c r="AB53" s="130">
        <f t="shared" si="4"/>
        <v>0</v>
      </c>
      <c r="AC53" s="130">
        <f t="shared" si="5"/>
        <v>0</v>
      </c>
      <c r="AD53" s="130">
        <f t="shared" si="6"/>
        <v>0</v>
      </c>
    </row>
    <row r="54" spans="1:30" x14ac:dyDescent="0.15">
      <c r="A54" s="123" t="str">
        <f t="shared" si="0"/>
        <v>Sat</v>
      </c>
      <c r="B54" s="124"/>
      <c r="C54" s="131"/>
      <c r="D54" s="126"/>
      <c r="E54" s="126"/>
      <c r="F54" s="126"/>
      <c r="G54" s="127"/>
      <c r="H54" s="126"/>
      <c r="I54" s="126"/>
      <c r="J54" s="128"/>
      <c r="K54" s="127"/>
      <c r="L54" s="126"/>
      <c r="M54" s="126"/>
      <c r="N54" s="125"/>
      <c r="O54" s="129"/>
      <c r="P54" s="129"/>
      <c r="Q54" s="130"/>
      <c r="R54" s="130"/>
      <c r="S54" s="130"/>
      <c r="T54" s="130"/>
      <c r="U54" s="130"/>
      <c r="V54" s="130"/>
      <c r="W54" s="130"/>
      <c r="X54" s="130"/>
      <c r="Y54" s="130">
        <f t="shared" si="1"/>
        <v>0</v>
      </c>
      <c r="Z54" s="130">
        <f t="shared" si="2"/>
        <v>0</v>
      </c>
      <c r="AA54" s="130">
        <f t="shared" si="3"/>
        <v>0</v>
      </c>
      <c r="AB54" s="130">
        <f t="shared" si="4"/>
        <v>0</v>
      </c>
      <c r="AC54" s="130">
        <f t="shared" si="5"/>
        <v>0</v>
      </c>
      <c r="AD54" s="130">
        <f t="shared" si="6"/>
        <v>0</v>
      </c>
    </row>
    <row r="55" spans="1:30" x14ac:dyDescent="0.15">
      <c r="A55" s="123" t="str">
        <f t="shared" si="0"/>
        <v>Sat</v>
      </c>
      <c r="B55" s="124"/>
      <c r="C55" s="125"/>
      <c r="D55" s="126"/>
      <c r="E55" s="126"/>
      <c r="F55" s="126"/>
      <c r="G55" s="127"/>
      <c r="H55" s="126"/>
      <c r="I55" s="126"/>
      <c r="J55" s="128"/>
      <c r="K55" s="127"/>
      <c r="L55" s="126"/>
      <c r="M55" s="126"/>
      <c r="N55" s="125"/>
      <c r="O55" s="129"/>
      <c r="P55" s="129"/>
      <c r="Q55" s="130"/>
      <c r="R55" s="130"/>
      <c r="S55" s="130"/>
      <c r="T55" s="130"/>
      <c r="U55" s="130"/>
      <c r="V55" s="130"/>
      <c r="W55" s="130"/>
      <c r="X55" s="130"/>
      <c r="Y55" s="130">
        <f t="shared" si="1"/>
        <v>0</v>
      </c>
      <c r="Z55" s="130">
        <f t="shared" si="2"/>
        <v>0</v>
      </c>
      <c r="AA55" s="130">
        <f t="shared" si="3"/>
        <v>0</v>
      </c>
      <c r="AB55" s="130">
        <f t="shared" si="4"/>
        <v>0</v>
      </c>
      <c r="AC55" s="130">
        <f t="shared" si="5"/>
        <v>0</v>
      </c>
      <c r="AD55" s="130">
        <f t="shared" si="6"/>
        <v>0</v>
      </c>
    </row>
    <row r="56" spans="1:30" x14ac:dyDescent="0.15">
      <c r="A56" s="123" t="str">
        <f t="shared" si="0"/>
        <v>Sat</v>
      </c>
      <c r="B56" s="124"/>
      <c r="C56" s="125"/>
      <c r="D56" s="126"/>
      <c r="E56" s="126"/>
      <c r="F56" s="126"/>
      <c r="G56" s="127"/>
      <c r="H56" s="126"/>
      <c r="I56" s="126"/>
      <c r="J56" s="128"/>
      <c r="K56" s="127"/>
      <c r="L56" s="126"/>
      <c r="M56" s="126"/>
      <c r="N56" s="125"/>
      <c r="O56" s="129"/>
      <c r="P56" s="129"/>
      <c r="Q56" s="130"/>
      <c r="R56" s="130"/>
      <c r="S56" s="130"/>
      <c r="T56" s="130"/>
      <c r="U56" s="130"/>
      <c r="V56" s="130"/>
      <c r="W56" s="130"/>
      <c r="X56" s="130"/>
      <c r="Y56" s="130">
        <f t="shared" si="1"/>
        <v>0</v>
      </c>
      <c r="Z56" s="130">
        <f t="shared" si="2"/>
        <v>0</v>
      </c>
      <c r="AA56" s="130">
        <f t="shared" si="3"/>
        <v>0</v>
      </c>
      <c r="AB56" s="130">
        <f t="shared" si="4"/>
        <v>0</v>
      </c>
      <c r="AC56" s="130">
        <f t="shared" si="5"/>
        <v>0</v>
      </c>
      <c r="AD56" s="130">
        <f t="shared" si="6"/>
        <v>0</v>
      </c>
    </row>
    <row r="57" spans="1:30" x14ac:dyDescent="0.15">
      <c r="A57" s="123" t="str">
        <f t="shared" si="0"/>
        <v>Sat</v>
      </c>
      <c r="B57" s="124"/>
      <c r="C57" s="125"/>
      <c r="D57" s="126"/>
      <c r="E57" s="126"/>
      <c r="F57" s="126"/>
      <c r="G57" s="127"/>
      <c r="H57" s="126"/>
      <c r="I57" s="126"/>
      <c r="J57" s="128"/>
      <c r="K57" s="127"/>
      <c r="L57" s="126"/>
      <c r="M57" s="126"/>
      <c r="N57" s="125"/>
      <c r="O57" s="129"/>
      <c r="P57" s="129"/>
      <c r="Q57" s="130"/>
      <c r="R57" s="130"/>
      <c r="S57" s="130"/>
      <c r="T57" s="130"/>
      <c r="U57" s="130"/>
      <c r="V57" s="130"/>
      <c r="W57" s="130"/>
      <c r="X57" s="130"/>
      <c r="Y57" s="130">
        <f t="shared" si="1"/>
        <v>0</v>
      </c>
      <c r="Z57" s="130">
        <f t="shared" si="2"/>
        <v>0</v>
      </c>
      <c r="AA57" s="130">
        <f t="shared" si="3"/>
        <v>0</v>
      </c>
      <c r="AB57" s="130">
        <f t="shared" si="4"/>
        <v>0</v>
      </c>
      <c r="AC57" s="130">
        <f t="shared" si="5"/>
        <v>0</v>
      </c>
      <c r="AD57" s="130">
        <f t="shared" si="6"/>
        <v>0</v>
      </c>
    </row>
    <row r="58" spans="1:30" x14ac:dyDescent="0.15">
      <c r="A58" s="123" t="str">
        <f t="shared" si="0"/>
        <v>Sat</v>
      </c>
      <c r="B58" s="124"/>
      <c r="C58" s="125"/>
      <c r="D58" s="126"/>
      <c r="E58" s="126"/>
      <c r="F58" s="126"/>
      <c r="G58" s="127"/>
      <c r="H58" s="126"/>
      <c r="I58" s="126" t="s">
        <v>111</v>
      </c>
      <c r="J58" s="128"/>
      <c r="K58" s="127"/>
      <c r="L58" s="126"/>
      <c r="M58" s="126"/>
      <c r="N58" s="125"/>
      <c r="O58" s="129"/>
      <c r="P58" s="129"/>
      <c r="Q58" s="130"/>
      <c r="R58" s="130"/>
      <c r="S58" s="130"/>
      <c r="T58" s="130"/>
      <c r="U58" s="130"/>
      <c r="V58" s="130"/>
      <c r="W58" s="130"/>
      <c r="X58" s="130"/>
      <c r="Y58" s="130">
        <f t="shared" si="1"/>
        <v>0</v>
      </c>
      <c r="Z58" s="130">
        <f t="shared" si="2"/>
        <v>0</v>
      </c>
      <c r="AA58" s="130">
        <f t="shared" si="3"/>
        <v>0</v>
      </c>
      <c r="AB58" s="130">
        <f t="shared" si="4"/>
        <v>0</v>
      </c>
      <c r="AC58" s="130">
        <f t="shared" si="5"/>
        <v>0</v>
      </c>
      <c r="AD58" s="130">
        <f t="shared" si="6"/>
        <v>0</v>
      </c>
    </row>
    <row r="59" spans="1:30" x14ac:dyDescent="0.15">
      <c r="A59" s="123" t="str">
        <f t="shared" si="0"/>
        <v>Sat</v>
      </c>
      <c r="B59" s="124"/>
      <c r="C59" s="125"/>
      <c r="D59" s="126"/>
      <c r="E59" s="126"/>
      <c r="F59" s="126"/>
      <c r="G59" s="127"/>
      <c r="H59" s="126"/>
      <c r="I59" s="126" t="s">
        <v>111</v>
      </c>
      <c r="J59" s="128"/>
      <c r="K59" s="127"/>
      <c r="L59" s="126"/>
      <c r="M59" s="126"/>
      <c r="N59" s="125"/>
      <c r="O59" s="129"/>
      <c r="P59" s="129"/>
      <c r="Q59" s="130"/>
      <c r="R59" s="130"/>
      <c r="S59" s="130"/>
      <c r="T59" s="130"/>
      <c r="U59" s="130"/>
      <c r="V59" s="130"/>
      <c r="W59" s="130"/>
      <c r="X59" s="130"/>
      <c r="Y59" s="130">
        <f t="shared" si="1"/>
        <v>0</v>
      </c>
      <c r="Z59" s="130">
        <f t="shared" si="2"/>
        <v>0</v>
      </c>
      <c r="AA59" s="130">
        <f t="shared" si="3"/>
        <v>0</v>
      </c>
      <c r="AB59" s="130">
        <f t="shared" si="4"/>
        <v>0</v>
      </c>
      <c r="AC59" s="130">
        <f t="shared" si="5"/>
        <v>0</v>
      </c>
      <c r="AD59" s="130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1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1"/>
      <c r="K61" s="33"/>
      <c r="L61" s="35"/>
      <c r="M61" s="35"/>
      <c r="N61" s="36" t="s">
        <v>165</v>
      </c>
      <c r="O61" s="36">
        <f>MAX(O5:O59)</f>
        <v>43</v>
      </c>
      <c r="P61" s="36">
        <f>MAX(P5:P59)</f>
        <v>43.3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1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1"/>
      <c r="K63" s="33"/>
      <c r="L63" s="35"/>
      <c r="M63" s="35"/>
      <c r="N63" s="36"/>
      <c r="O63" s="36">
        <f t="array" ref="O63">SUM(FLOOR(O5:O59,1))</f>
        <v>973</v>
      </c>
      <c r="P63" s="36">
        <f t="array" ref="P63">SUM(FLOOR(P5:P59,1))</f>
        <v>942</v>
      </c>
      <c r="Q63" s="37">
        <f>SUM(Q5:Q59)</f>
        <v>253</v>
      </c>
      <c r="R63" s="37">
        <f t="shared" ref="R63:Z63" si="7">SUM(R5:R59)</f>
        <v>41</v>
      </c>
      <c r="S63" s="37">
        <f t="shared" si="7"/>
        <v>175</v>
      </c>
      <c r="T63" s="37">
        <f t="shared" si="7"/>
        <v>48</v>
      </c>
      <c r="U63" s="37">
        <f t="shared" si="7"/>
        <v>313</v>
      </c>
      <c r="V63" s="37">
        <f t="shared" si="7"/>
        <v>92</v>
      </c>
      <c r="W63" s="37">
        <f t="shared" si="7"/>
        <v>206</v>
      </c>
      <c r="X63" s="37">
        <f t="shared" si="7"/>
        <v>90</v>
      </c>
      <c r="Y63" s="37">
        <f t="shared" si="7"/>
        <v>517</v>
      </c>
      <c r="Z63" s="37">
        <f t="shared" si="7"/>
        <v>701</v>
      </c>
      <c r="AA63" s="26">
        <f>SUM(AA5:AA59)</f>
        <v>4073</v>
      </c>
      <c r="AB63" s="26">
        <f>SUM(AB5:AB59)</f>
        <v>4351</v>
      </c>
      <c r="AC63" s="26">
        <f>SUM(AC5:AC59)</f>
        <v>228</v>
      </c>
      <c r="AD63" s="26">
        <f>SUM(AD5:AD59)</f>
        <v>196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1"/>
      <c r="K64" s="33"/>
      <c r="L64" s="35"/>
      <c r="M64" s="35"/>
      <c r="N64" s="36"/>
      <c r="O64" s="36">
        <f t="array" ref="O64">SUM(O5:O59-FLOOR(O5:O59,1))*10</f>
        <v>35</v>
      </c>
      <c r="P64" s="36">
        <f t="array" ref="P64">SUM(P5:P59-FLOOR(P5:P59,1))*10</f>
        <v>24.000000000000021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1"/>
      <c r="K65" s="33"/>
      <c r="L65" s="35"/>
      <c r="M65" s="35"/>
      <c r="N65" s="36" t="s">
        <v>164</v>
      </c>
      <c r="O65" s="36">
        <f>O63*6+O64</f>
        <v>5873</v>
      </c>
      <c r="P65" s="36">
        <f>P63*6+P64</f>
        <v>5676</v>
      </c>
      <c r="Q65" s="37"/>
      <c r="R65" s="37"/>
      <c r="S65" s="37">
        <f>MAX(S7:S59)</f>
        <v>23</v>
      </c>
      <c r="T65" s="37"/>
      <c r="U65" s="37"/>
      <c r="V65" s="37"/>
      <c r="W65" s="37">
        <f>MAX(W7:W59)</f>
        <v>26</v>
      </c>
      <c r="X65" s="37"/>
      <c r="Z65" s="26" t="s">
        <v>39</v>
      </c>
      <c r="AA65" s="26">
        <f>AA63/AC63</f>
        <v>17.864035087719298</v>
      </c>
      <c r="AB65" s="26">
        <f>AB63/AD63</f>
        <v>22.198979591836736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1"/>
      <c r="K66" s="33"/>
      <c r="L66" s="35"/>
      <c r="M66" s="35"/>
      <c r="N66" s="36" t="s">
        <v>220</v>
      </c>
      <c r="O66" s="36">
        <f>INT(O65/6)+(O65-INT(O65/6)*6)/10</f>
        <v>978.5</v>
      </c>
      <c r="P66" s="36">
        <f>INT(P65/6)+(P65-INT(P65/6)*6)/10</f>
        <v>946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1"/>
      <c r="K67" s="33"/>
      <c r="L67" s="35"/>
      <c r="M67" s="35"/>
      <c r="N67" s="36" t="s">
        <v>221</v>
      </c>
      <c r="O67" s="36">
        <f>AA63/O65*100</f>
        <v>69.351268516941929</v>
      </c>
      <c r="P67" s="36">
        <f>AB63/P65*100</f>
        <v>76.656095842142363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50"/>
  <sheetViews>
    <sheetView workbookViewId="0">
      <pane xSplit="3" ySplit="4" topLeftCell="BP11" activePane="bottomRight" state="frozenSplit"/>
      <selection pane="topRight" activeCell="D1" sqref="D1"/>
      <selection pane="bottomLeft" activeCell="A4" sqref="A4"/>
      <selection pane="bottomRight" activeCell="CR21" sqref="CR21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38493</v>
      </c>
      <c r="E1" s="67">
        <v>38473</v>
      </c>
      <c r="F1" s="67">
        <v>38480</v>
      </c>
      <c r="G1" s="67">
        <v>38487</v>
      </c>
      <c r="H1" s="67">
        <v>38500</v>
      </c>
      <c r="I1" s="67">
        <v>38501</v>
      </c>
      <c r="J1" s="67">
        <v>38502</v>
      </c>
      <c r="K1" s="67">
        <v>38503</v>
      </c>
      <c r="L1" s="67">
        <v>38507</v>
      </c>
      <c r="M1" s="67">
        <v>38514</v>
      </c>
      <c r="N1" s="67">
        <v>38515</v>
      </c>
      <c r="O1" s="67">
        <v>38521</v>
      </c>
      <c r="P1" s="67">
        <v>38528</v>
      </c>
      <c r="Q1" s="67">
        <v>38535</v>
      </c>
      <c r="R1" s="67">
        <v>38536</v>
      </c>
      <c r="S1" s="67">
        <v>38542</v>
      </c>
      <c r="T1" s="67">
        <v>38549</v>
      </c>
      <c r="U1" s="67">
        <v>38550</v>
      </c>
      <c r="V1" s="67">
        <v>38556</v>
      </c>
      <c r="W1" s="67">
        <v>38557</v>
      </c>
      <c r="X1" s="67">
        <v>38570</v>
      </c>
      <c r="Y1" s="67">
        <v>38571</v>
      </c>
      <c r="Z1" s="67">
        <v>38577</v>
      </c>
      <c r="AA1" s="67">
        <v>38585</v>
      </c>
      <c r="AB1" s="67">
        <v>38592</v>
      </c>
      <c r="AC1" s="67">
        <v>38599</v>
      </c>
      <c r="AD1" s="67">
        <v>38606</v>
      </c>
      <c r="AE1" s="67">
        <v>38612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Seven O</v>
      </c>
      <c r="E2" s="71" t="str">
        <v>John Fisher/Lamgas</v>
      </c>
      <c r="F2" s="71" t="str">
        <v>Spencer</v>
      </c>
      <c r="G2" s="71" t="str">
        <v>Thurlow Park RAFA</v>
      </c>
      <c r="H2" s="71" t="str">
        <v>Old Alleynians</v>
      </c>
      <c r="I2" s="71" t="str">
        <v>Woodgreen</v>
      </c>
      <c r="J2" s="71" t="str">
        <v>Steeple Langford</v>
      </c>
      <c r="K2" s="71" t="str">
        <v>Cove</v>
      </c>
      <c r="L2" s="71" t="str">
        <v>Central YMCA</v>
      </c>
      <c r="M2" s="71" t="str">
        <v>Churchleigh</v>
      </c>
      <c r="N2" s="71" t="str">
        <v>Giltec</v>
      </c>
      <c r="O2" s="71" t="str">
        <v>Seven O</v>
      </c>
      <c r="P2" s="71" t="str">
        <v>Riverside</v>
      </c>
      <c r="Q2" s="71" t="str">
        <v>Central YMCA</v>
      </c>
      <c r="R2" s="71" t="str">
        <v>Norwood Exiles</v>
      </c>
      <c r="S2" s="71" t="str">
        <v>Sanderstead</v>
      </c>
      <c r="T2" s="71" t="str">
        <v>Old Josephians</v>
      </c>
      <c r="U2" s="71" t="str">
        <v>Old Josephians</v>
      </c>
      <c r="V2" s="71" t="str">
        <v>Leigh</v>
      </c>
      <c r="W2" s="71" t="str">
        <v>Cheam</v>
      </c>
      <c r="X2" s="71" t="str">
        <v>Four Cs</v>
      </c>
      <c r="Y2" s="71" t="str">
        <v>Addington</v>
      </c>
      <c r="Z2" s="71" t="str">
        <v>Riverside</v>
      </c>
      <c r="AA2" s="71" t="str">
        <v>East Sheen &amp; St Helier</v>
      </c>
      <c r="AB2" s="71" t="str">
        <v>Four Cs</v>
      </c>
      <c r="AC2" s="71" t="str">
        <v>Old Wimbledonians</v>
      </c>
      <c r="AD2" s="71" t="str">
        <v>Pretenders</v>
      </c>
      <c r="AE2" s="71" t="str">
        <v>Malden Wanderers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A</v>
      </c>
      <c r="E3" s="55" t="str">
        <v>A</v>
      </c>
      <c r="F3" s="55" t="str">
        <v>A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 t="str">
        <v>H</v>
      </c>
      <c r="M3" s="55" t="str">
        <v>A</v>
      </c>
      <c r="N3" s="55" t="str">
        <v>H</v>
      </c>
      <c r="O3" s="55" t="str">
        <v>H</v>
      </c>
      <c r="P3" s="55" t="str">
        <v>A</v>
      </c>
      <c r="Q3" s="55" t="str">
        <v>A</v>
      </c>
      <c r="R3" s="55" t="str">
        <v>H</v>
      </c>
      <c r="S3" s="55" t="str">
        <v>A</v>
      </c>
      <c r="T3" s="55" t="str">
        <v>A</v>
      </c>
      <c r="U3" s="55" t="str">
        <v>H</v>
      </c>
      <c r="V3" s="55" t="str">
        <v>A</v>
      </c>
      <c r="W3" s="55" t="str">
        <v>A</v>
      </c>
      <c r="X3" s="55" t="str">
        <v>H</v>
      </c>
      <c r="Y3" s="55" t="str">
        <v>H</v>
      </c>
      <c r="Z3" s="55" t="str">
        <v>H</v>
      </c>
      <c r="AA3" s="55" t="str">
        <v>H</v>
      </c>
      <c r="AB3" s="55" t="str">
        <v>A</v>
      </c>
      <c r="AC3" s="55" t="str">
        <v>A</v>
      </c>
      <c r="AD3" s="55" t="str">
        <v>H</v>
      </c>
      <c r="AE3" s="55" t="str">
        <v>H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L</v>
      </c>
      <c r="E4" s="55" t="str">
        <v>L</v>
      </c>
      <c r="F4" s="55" t="str">
        <v>W</v>
      </c>
      <c r="G4" s="55" t="str">
        <v>W</v>
      </c>
      <c r="H4" s="55" t="str">
        <v>D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T</v>
      </c>
      <c r="N4" s="55" t="str">
        <v>W</v>
      </c>
      <c r="O4" s="55" t="str">
        <v>D</v>
      </c>
      <c r="P4" s="55" t="str">
        <v>L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L</v>
      </c>
      <c r="V4" s="55" t="str">
        <v>D</v>
      </c>
      <c r="W4" s="55" t="str">
        <v>L</v>
      </c>
      <c r="X4" s="55" t="str">
        <v>W</v>
      </c>
      <c r="Y4" s="55" t="str">
        <v>L</v>
      </c>
      <c r="Z4" s="55" t="str">
        <v>ND</v>
      </c>
      <c r="AA4" s="55" t="str">
        <v>L</v>
      </c>
      <c r="AB4" s="55" t="str">
        <v>L</v>
      </c>
      <c r="AC4" s="55" t="str">
        <v>D</v>
      </c>
      <c r="AD4" s="55" t="str">
        <v>W</v>
      </c>
      <c r="AE4" s="55" t="str">
        <v>L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D5" s="70" t="s">
        <v>247</v>
      </c>
      <c r="E5" s="70" t="s">
        <v>267</v>
      </c>
      <c r="F5" s="70" t="s">
        <v>297</v>
      </c>
      <c r="G5" s="70" t="s">
        <v>309</v>
      </c>
      <c r="J5" s="70" t="s">
        <v>375</v>
      </c>
      <c r="M5" s="70" t="s">
        <v>266</v>
      </c>
      <c r="O5" s="70" t="s">
        <v>475</v>
      </c>
      <c r="S5" s="70" t="s">
        <v>546</v>
      </c>
      <c r="U5" s="70" t="s">
        <v>587</v>
      </c>
      <c r="V5" s="70" t="s">
        <v>601</v>
      </c>
      <c r="W5" s="70" t="s">
        <v>778</v>
      </c>
      <c r="Y5" s="70" t="s">
        <v>651</v>
      </c>
      <c r="Z5" s="70" t="s">
        <v>658</v>
      </c>
      <c r="AA5" s="70" t="s">
        <v>672</v>
      </c>
      <c r="AB5" s="70" t="s">
        <v>696</v>
      </c>
      <c r="AC5" s="70" t="s">
        <v>297</v>
      </c>
      <c r="AE5" s="70" t="s">
        <v>742</v>
      </c>
      <c r="CE5" s="70">
        <f>BatSplit(D5:CD5,MatchesPlayed)</f>
        <v>17</v>
      </c>
      <c r="CF5" s="70">
        <f>CE5-CG5</f>
        <v>2</v>
      </c>
      <c r="CG5" s="70">
        <f>BatSplit(D5:CD5,InnsBattedIn)</f>
        <v>15</v>
      </c>
      <c r="CH5" s="70">
        <f>BatSplit(D5:CD5,NotOuts)</f>
        <v>6</v>
      </c>
      <c r="CI5" s="70">
        <f>BatSplit(D5:CD5,HighestScore)</f>
        <v>-19</v>
      </c>
      <c r="CJ5" s="74" t="str">
        <f t="shared" ref="CJ5:CJ46" si="0">IF(CI5&lt;0,-CI5&amp;"*",CI5)</f>
        <v>19*</v>
      </c>
      <c r="CK5" s="70">
        <f>BatSplit(D5:CD5,RunsScored)</f>
        <v>66</v>
      </c>
      <c r="CL5" s="72">
        <f>IF(CG5=CH5,0,CK5/(CG5-CH5))</f>
        <v>7.333333333333333</v>
      </c>
      <c r="CM5" s="70">
        <f>BatSplit(D5:CD5,BatPts)</f>
        <v>46</v>
      </c>
      <c r="CN5" s="70">
        <f>BatSplit(D5:CD5,FldPts)</f>
        <v>15</v>
      </c>
      <c r="CO5" s="73">
        <f t="array" ref="CO5">SUM(IF(ISERR(FIND("*",D5:CD5)),0,1))</f>
        <v>4</v>
      </c>
      <c r="CP5" s="73">
        <f t="array" ref="CP5">SUM(IF(ISERR(FIND("+",D5:CD5)),0,1))</f>
        <v>0</v>
      </c>
      <c r="CQ5" s="70">
        <f>BatSplit(D5:CD5,Ducks)</f>
        <v>4</v>
      </c>
      <c r="CR5" s="73">
        <f t="array" ref="CR5">SUM(IF(ISERR(FIND(CR$4,$D5:$CD5)),0,1))</f>
        <v>5</v>
      </c>
      <c r="CS5" s="73">
        <f t="array" ref="CS5">SUM(IF(ISERR(FIND(CS$4,$D5:$CD5)),0,1))</f>
        <v>2</v>
      </c>
      <c r="CT5" s="73">
        <f t="array" ref="CT5">SUM(IF(ISERR(FIND(CT$4,$D5:$CD5)),0,1))</f>
        <v>1</v>
      </c>
      <c r="CU5" s="73">
        <f t="array" ref="CU5">SUM(IF(ISERR(FIND(CU$4,$D5:$CD5)),0,1))</f>
        <v>1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3</v>
      </c>
      <c r="CZ5" s="73">
        <f>BatSplit(D5:CD5,Fours)</f>
        <v>8</v>
      </c>
      <c r="DA5" s="73">
        <f>BatSplit(D5:CD5,Sixes)</f>
        <v>1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734517.66005000006</v>
      </c>
      <c r="DF5" s="70">
        <f t="shared" ref="DF5:DF46" si="1">RANK(DE5,$DE$5:$DE$46)</f>
        <v>26</v>
      </c>
      <c r="DG5" s="70">
        <v>0</v>
      </c>
      <c r="DH5" s="97">
        <f>IF(CK5&gt;=50,(CZ5*4+DA5*6)/CK5,"")</f>
        <v>0.5757575757575758</v>
      </c>
      <c r="DI5" s="105">
        <f>CQ5/(CG5-CH5)</f>
        <v>0.44444444444444442</v>
      </c>
    </row>
    <row r="6" spans="1:113" x14ac:dyDescent="0.15">
      <c r="C6" s="70" t="s">
        <v>406</v>
      </c>
      <c r="L6" s="70" t="s">
        <v>407</v>
      </c>
      <c r="M6" s="70" t="s">
        <v>426</v>
      </c>
      <c r="O6" s="70" t="s">
        <v>471</v>
      </c>
      <c r="CE6" s="70">
        <f t="shared" ref="CE6:CE46" si="2">BatSplit(D6:CD6,MatchesPlayed)</f>
        <v>3</v>
      </c>
      <c r="CF6" s="70">
        <f t="shared" ref="CF6:CF46" si="3">CE6-CG6</f>
        <v>0</v>
      </c>
      <c r="CG6" s="70">
        <f t="shared" ref="CG6:CG46" si="4">BatSplit(D6:CD6,InnsBattedIn)</f>
        <v>3</v>
      </c>
      <c r="CH6" s="70">
        <f t="shared" ref="CH6:CH46" si="5">BatSplit(D6:CD6,NotOuts)</f>
        <v>0</v>
      </c>
      <c r="CI6" s="70">
        <f t="shared" ref="CI6:CI46" si="6">BatSplit(D6:CD6,HighestScore)</f>
        <v>30</v>
      </c>
      <c r="CJ6" s="74">
        <f t="shared" si="0"/>
        <v>30</v>
      </c>
      <c r="CK6" s="70">
        <f t="shared" ref="CK6:CK46" si="7">BatSplit(D6:CD6,RunsScored)</f>
        <v>39</v>
      </c>
      <c r="CL6" s="72">
        <f t="shared" ref="CL6:CL46" si="8">IF(CG6=CH6,0,CK6/(CG6-CH6))</f>
        <v>13</v>
      </c>
      <c r="CM6" s="70">
        <f t="shared" ref="CM6:CM46" si="9">BatSplit(D6:CD6,BatPts)</f>
        <v>34</v>
      </c>
      <c r="CN6" s="70">
        <f t="shared" ref="CN6:CN46" si="10"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 t="shared" ref="CQ6:CQ46" si="11">BatSplit(D6:CD6,Ducks)</f>
        <v>1</v>
      </c>
      <c r="CR6" s="73">
        <f t="array" ref="CR6">SUM(IF(ISERR(FIND(CR$4,$D6:$CD6)),0,1))</f>
        <v>2</v>
      </c>
      <c r="CS6" s="73">
        <f t="array" ref="CS6">SUM(IF(ISERR(FIND(CS$4,$D6:$CD6)),0,1))</f>
        <v>0</v>
      </c>
      <c r="CT6" s="73">
        <f t="array" ref="CT6">SUM(IF(ISERR(FIND(CT$4,$D6:$CD6)),0,1))</f>
        <v>0</v>
      </c>
      <c r="CU6" s="73">
        <f t="array" ref="CU6">SUM(IF(ISERR(FIND(CU$4,$D6:$CD6)),0,1))</f>
        <v>1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 t="shared" ref="CY6:CY46" si="12">BatSplit(D6:CD6,Catches)</f>
        <v>1</v>
      </c>
      <c r="CZ6" s="73">
        <f t="shared" ref="CZ6:CZ46" si="13">BatSplit(D6:CD6,Fours)</f>
        <v>1</v>
      </c>
      <c r="DA6" s="73">
        <f t="shared" ref="DA6:DA46" si="14">BatSplit(D6:CD6,Sixes)</f>
        <v>0</v>
      </c>
      <c r="DB6" s="73">
        <f t="shared" ref="DB6:DB46" si="15">BatSplit(D6:CD6,Stumpings)</f>
        <v>0</v>
      </c>
      <c r="DC6" s="73">
        <f t="shared" ref="DC6:DC46" si="16">BatSplit(D6:CD6,CaughtWkt)</f>
        <v>0</v>
      </c>
      <c r="DD6" s="73">
        <f t="shared" ref="DD6:DD46" si="17">BatSplit(D6:CD6,TwentyFives)</f>
        <v>1</v>
      </c>
      <c r="DE6" s="70">
        <f t="shared" ref="DE6:DE46" si="18">ROUND(IF(ISERROR(CL6),0,CL6),2)*100000+CG6*100+CE6+CK6/100+ROW()/100000</f>
        <v>1300303.3900599999</v>
      </c>
      <c r="DF6" s="70">
        <f t="shared" si="1"/>
        <v>16</v>
      </c>
      <c r="DG6" s="70">
        <v>0</v>
      </c>
      <c r="DH6" s="97" t="str">
        <f t="shared" ref="DH6:DH46" si="19">IF(CK6&gt;=50,(CZ6*4+DA6*6)/CK6,"")</f>
        <v/>
      </c>
      <c r="DI6" s="105">
        <f t="shared" ref="DI6:DI46" si="20">CQ6/(CG6-CH6)</f>
        <v>0.33333333333333331</v>
      </c>
    </row>
    <row r="7" spans="1:113" x14ac:dyDescent="0.15">
      <c r="A7" s="70" t="s">
        <v>43</v>
      </c>
      <c r="B7" s="70" t="s">
        <v>27</v>
      </c>
      <c r="C7" s="70" t="s">
        <v>153</v>
      </c>
      <c r="H7" s="70" t="s">
        <v>326</v>
      </c>
      <c r="I7" s="70" t="s">
        <v>346</v>
      </c>
      <c r="J7" s="70" t="s">
        <v>361</v>
      </c>
      <c r="P7" s="70" t="s">
        <v>483</v>
      </c>
      <c r="T7" s="70" t="s">
        <v>568</v>
      </c>
      <c r="X7" s="70" t="s">
        <v>630</v>
      </c>
      <c r="AE7" s="70" t="s">
        <v>739</v>
      </c>
      <c r="CE7" s="70">
        <f t="shared" si="2"/>
        <v>7</v>
      </c>
      <c r="CF7" s="70">
        <f t="shared" si="3"/>
        <v>0</v>
      </c>
      <c r="CG7" s="70">
        <f t="shared" si="4"/>
        <v>7</v>
      </c>
      <c r="CH7" s="70">
        <f t="shared" si="5"/>
        <v>2</v>
      </c>
      <c r="CI7" s="70">
        <f t="shared" si="6"/>
        <v>-62</v>
      </c>
      <c r="CJ7" s="74" t="str">
        <f t="shared" si="0"/>
        <v>62*</v>
      </c>
      <c r="CK7" s="70">
        <f t="shared" si="7"/>
        <v>142</v>
      </c>
      <c r="CL7" s="72">
        <f t="shared" si="8"/>
        <v>28.4</v>
      </c>
      <c r="CM7" s="70">
        <f t="shared" si="9"/>
        <v>152</v>
      </c>
      <c r="CN7" s="70">
        <f t="shared" si="10"/>
        <v>15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 t="shared" si="11"/>
        <v>2</v>
      </c>
      <c r="CR7" s="73">
        <f t="array" ref="CR7">SUM(IF(ISERR(FIND(CR$4,$D7:$CD7)),0,1))</f>
        <v>3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1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 t="shared" si="12"/>
        <v>3</v>
      </c>
      <c r="CZ7" s="73">
        <f t="shared" si="13"/>
        <v>20</v>
      </c>
      <c r="DA7" s="73">
        <f t="shared" si="14"/>
        <v>5</v>
      </c>
      <c r="DB7" s="73">
        <f t="shared" si="15"/>
        <v>0</v>
      </c>
      <c r="DC7" s="73">
        <f t="shared" si="16"/>
        <v>0</v>
      </c>
      <c r="DD7" s="73">
        <f t="shared" si="17"/>
        <v>2</v>
      </c>
      <c r="DE7" s="70">
        <f t="shared" si="18"/>
        <v>2840708.42007</v>
      </c>
      <c r="DF7" s="70">
        <f t="shared" si="1"/>
        <v>7</v>
      </c>
      <c r="DG7" s="70">
        <v>0</v>
      </c>
      <c r="DH7" s="97">
        <f t="shared" si="19"/>
        <v>0.77464788732394363</v>
      </c>
      <c r="DI7" s="105">
        <f t="shared" si="20"/>
        <v>0.4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248</v>
      </c>
      <c r="E8" s="70" t="s">
        <v>268</v>
      </c>
      <c r="G8" s="70" t="s">
        <v>310</v>
      </c>
      <c r="H8" s="70" t="s">
        <v>329</v>
      </c>
      <c r="I8" s="70" t="s">
        <v>297</v>
      </c>
      <c r="J8" s="70" t="s">
        <v>365</v>
      </c>
      <c r="K8" s="70" t="s">
        <v>393</v>
      </c>
      <c r="L8" s="70" t="s">
        <v>414</v>
      </c>
      <c r="M8" s="70" t="s">
        <v>432</v>
      </c>
      <c r="O8" s="70" t="s">
        <v>476</v>
      </c>
      <c r="P8" s="70" t="s">
        <v>481</v>
      </c>
      <c r="Q8" s="70" t="s">
        <v>513</v>
      </c>
      <c r="S8" s="70" t="s">
        <v>547</v>
      </c>
      <c r="T8" s="70" t="s">
        <v>513</v>
      </c>
      <c r="V8" s="70" t="s">
        <v>603</v>
      </c>
      <c r="W8" s="70" t="s">
        <v>615</v>
      </c>
      <c r="X8" s="70" t="s">
        <v>632</v>
      </c>
      <c r="Y8" s="70" t="s">
        <v>652</v>
      </c>
      <c r="AC8" s="70" t="s">
        <v>712</v>
      </c>
      <c r="AD8" s="70" t="s">
        <v>297</v>
      </c>
      <c r="AE8" s="70" t="s">
        <v>743</v>
      </c>
      <c r="CE8" s="70">
        <f t="shared" si="2"/>
        <v>21</v>
      </c>
      <c r="CF8" s="70">
        <f t="shared" si="3"/>
        <v>6</v>
      </c>
      <c r="CG8" s="70">
        <f t="shared" si="4"/>
        <v>15</v>
      </c>
      <c r="CH8" s="70">
        <f t="shared" si="5"/>
        <v>10</v>
      </c>
      <c r="CI8" s="70">
        <f t="shared" si="6"/>
        <v>-51</v>
      </c>
      <c r="CJ8" s="74" t="str">
        <f t="shared" si="0"/>
        <v>51*</v>
      </c>
      <c r="CK8" s="70">
        <f t="shared" si="7"/>
        <v>189</v>
      </c>
      <c r="CL8" s="72">
        <f t="shared" si="8"/>
        <v>37.799999999999997</v>
      </c>
      <c r="CM8" s="70">
        <f t="shared" si="9"/>
        <v>194</v>
      </c>
      <c r="CN8" s="70">
        <f t="shared" si="10"/>
        <v>15</v>
      </c>
      <c r="CO8" s="73">
        <f t="array" ref="CO8">SUM(IF(ISERR(FIND("*",D8:CD8)),0,1))</f>
        <v>12</v>
      </c>
      <c r="CP8" s="73">
        <f t="array" ref="CP8">SUM(IF(ISERR(FIND("+",D8:CD8)),0,1))</f>
        <v>0</v>
      </c>
      <c r="CQ8" s="70">
        <f t="shared" si="11"/>
        <v>1</v>
      </c>
      <c r="CR8" s="73">
        <f t="array" ref="CR8">SUM(IF(ISERR(FIND(CR$4,$D8:$CD8)),0,1))</f>
        <v>3</v>
      </c>
      <c r="CS8" s="73">
        <f t="array" ref="CS8">SUM(IF(ISERR(FIND(CS$4,$D8:$CD8)),0,1))</f>
        <v>0</v>
      </c>
      <c r="CT8" s="73">
        <f t="array" ref="CT8">SUM(IF(ISERR(FIND(CT$4,$D8:$CD8)),0,1))</f>
        <v>0</v>
      </c>
      <c r="CU8" s="73">
        <f t="array" ref="CU8">SUM(IF(ISERR(FIND(CU$4,$D8:$CD8)),0,1))</f>
        <v>1</v>
      </c>
      <c r="CV8" s="73">
        <f t="array" ref="CV8">SUM(IF(ISERR(FIND(CV$4,$D8:$CD8)),0,1))</f>
        <v>1</v>
      </c>
      <c r="CW8" s="73">
        <f t="array" ref="CW8">SUM(IF(ISERR(FIND(CW$4,$D8:$CD8)),0,1))</f>
        <v>0</v>
      </c>
      <c r="CX8" s="73"/>
      <c r="CY8" s="73">
        <f t="shared" si="12"/>
        <v>3</v>
      </c>
      <c r="CZ8" s="73">
        <f t="shared" si="13"/>
        <v>28</v>
      </c>
      <c r="DA8" s="73">
        <f t="shared" si="14"/>
        <v>2</v>
      </c>
      <c r="DB8" s="73">
        <f t="shared" si="15"/>
        <v>0</v>
      </c>
      <c r="DC8" s="73">
        <f t="shared" si="16"/>
        <v>0</v>
      </c>
      <c r="DD8" s="73">
        <f t="shared" si="17"/>
        <v>2</v>
      </c>
      <c r="DE8" s="70">
        <f t="shared" si="18"/>
        <v>3781522.8900799998</v>
      </c>
      <c r="DF8" s="70">
        <f t="shared" si="1"/>
        <v>5</v>
      </c>
      <c r="DG8" s="70">
        <v>0</v>
      </c>
      <c r="DH8" s="97">
        <f t="shared" si="19"/>
        <v>0.65608465608465605</v>
      </c>
      <c r="DI8" s="105">
        <f t="shared" si="20"/>
        <v>0.2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246</v>
      </c>
      <c r="F9" s="70" t="s">
        <v>291</v>
      </c>
      <c r="L9" s="70" t="s">
        <v>411</v>
      </c>
      <c r="M9" s="70" t="s">
        <v>427</v>
      </c>
      <c r="O9" s="70" t="s">
        <v>467</v>
      </c>
      <c r="Q9" s="70" t="s">
        <v>510</v>
      </c>
      <c r="T9" s="70" t="s">
        <v>564</v>
      </c>
      <c r="Y9" s="70" t="s">
        <v>645</v>
      </c>
      <c r="CE9" s="70">
        <f t="shared" si="2"/>
        <v>8</v>
      </c>
      <c r="CF9" s="70">
        <f t="shared" si="3"/>
        <v>0</v>
      </c>
      <c r="CG9" s="70">
        <f t="shared" si="4"/>
        <v>8</v>
      </c>
      <c r="CH9" s="70">
        <f t="shared" si="5"/>
        <v>1</v>
      </c>
      <c r="CI9" s="70">
        <f t="shared" si="6"/>
        <v>49</v>
      </c>
      <c r="CJ9" s="74">
        <f t="shared" si="0"/>
        <v>49</v>
      </c>
      <c r="CK9" s="70">
        <f t="shared" si="7"/>
        <v>121</v>
      </c>
      <c r="CL9" s="72">
        <f t="shared" si="8"/>
        <v>17.285714285714285</v>
      </c>
      <c r="CM9" s="70">
        <f t="shared" si="9"/>
        <v>116</v>
      </c>
      <c r="CN9" s="70">
        <f t="shared" si="10"/>
        <v>10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si="11"/>
        <v>1</v>
      </c>
      <c r="CR9" s="73">
        <f t="array" ref="CR9">SUM(IF(ISERR(FIND(CR$4,$D9:$CD9)),0,1))</f>
        <v>3</v>
      </c>
      <c r="CS9" s="73">
        <f t="array" ref="CS9">SUM(IF(ISERR(FIND(CS$4,$D9:$CD9)),0,1))</f>
        <v>3</v>
      </c>
      <c r="CT9" s="73">
        <f t="array" ref="CT9">SUM(IF(ISERR(FIND(CT$4,$D9:$CD9)),0,1))</f>
        <v>1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si="12"/>
        <v>2</v>
      </c>
      <c r="CZ9" s="73">
        <f t="shared" si="13"/>
        <v>20</v>
      </c>
      <c r="DA9" s="73">
        <f t="shared" si="14"/>
        <v>0</v>
      </c>
      <c r="DB9" s="73">
        <f t="shared" si="15"/>
        <v>0</v>
      </c>
      <c r="DC9" s="73">
        <f t="shared" si="16"/>
        <v>0</v>
      </c>
      <c r="DD9" s="73">
        <f t="shared" si="17"/>
        <v>1</v>
      </c>
      <c r="DE9" s="70">
        <f t="shared" si="18"/>
        <v>1729809.2100899999</v>
      </c>
      <c r="DF9" s="70">
        <f t="shared" si="1"/>
        <v>11</v>
      </c>
      <c r="DG9" s="70">
        <v>0</v>
      </c>
      <c r="DH9" s="97">
        <f t="shared" si="19"/>
        <v>0.66115702479338845</v>
      </c>
      <c r="DI9" s="105">
        <f t="shared" si="20"/>
        <v>0.14285714285714285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239</v>
      </c>
      <c r="E10" s="70" t="s">
        <v>263</v>
      </c>
      <c r="F10" s="70" t="s">
        <v>296</v>
      </c>
      <c r="G10" s="70" t="s">
        <v>306</v>
      </c>
      <c r="J10" s="70" t="s">
        <v>360</v>
      </c>
      <c r="L10" s="70" t="s">
        <v>413</v>
      </c>
      <c r="M10" s="70" t="s">
        <v>424</v>
      </c>
      <c r="N10" s="70" t="s">
        <v>448</v>
      </c>
      <c r="O10" s="70" t="s">
        <v>473</v>
      </c>
      <c r="Q10" s="70" t="s">
        <v>448</v>
      </c>
      <c r="R10" s="70" t="s">
        <v>412</v>
      </c>
      <c r="S10" s="70" t="s">
        <v>545</v>
      </c>
      <c r="T10" s="70" t="s">
        <v>569</v>
      </c>
      <c r="U10" s="70" t="s">
        <v>583</v>
      </c>
      <c r="V10" s="70" t="s">
        <v>600</v>
      </c>
      <c r="W10" s="70" t="s">
        <v>613</v>
      </c>
      <c r="X10" s="70" t="s">
        <v>448</v>
      </c>
      <c r="Y10" s="70" t="s">
        <v>646</v>
      </c>
      <c r="Z10" s="70" t="s">
        <v>659</v>
      </c>
      <c r="AA10" s="70" t="s">
        <v>662</v>
      </c>
      <c r="AB10" s="70" t="s">
        <v>692</v>
      </c>
      <c r="AC10" s="70" t="s">
        <v>710</v>
      </c>
      <c r="AD10" s="70" t="s">
        <v>449</v>
      </c>
      <c r="AE10" s="70" t="s">
        <v>741</v>
      </c>
      <c r="CE10" s="70">
        <f t="shared" si="2"/>
        <v>24</v>
      </c>
      <c r="CF10" s="70">
        <f t="shared" si="3"/>
        <v>4</v>
      </c>
      <c r="CG10" s="70">
        <f t="shared" si="4"/>
        <v>20</v>
      </c>
      <c r="CH10" s="70">
        <f t="shared" si="5"/>
        <v>6</v>
      </c>
      <c r="CI10" s="70">
        <f t="shared" si="6"/>
        <v>-28</v>
      </c>
      <c r="CJ10" s="74" t="str">
        <f t="shared" si="0"/>
        <v>28*</v>
      </c>
      <c r="CK10" s="70">
        <f t="shared" si="7"/>
        <v>167</v>
      </c>
      <c r="CL10" s="72">
        <f t="shared" si="8"/>
        <v>11.928571428571429</v>
      </c>
      <c r="CM10" s="70">
        <f t="shared" si="9"/>
        <v>162</v>
      </c>
      <c r="CN10" s="70">
        <f t="shared" si="10"/>
        <v>20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1</v>
      </c>
      <c r="CR10" s="73">
        <f t="array" ref="CR10">SUM(IF(ISERR(FIND(CR$4,$D10:$CD10)),0,1))</f>
        <v>4</v>
      </c>
      <c r="CS10" s="73">
        <f t="array" ref="CS10">SUM(IF(ISERR(FIND(CS$4,$D10:$CD10)),0,1))</f>
        <v>6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2</v>
      </c>
      <c r="CW10" s="73">
        <f t="array" ref="CW10">SUM(IF(ISERR(FIND(CW$4,$D10:$CD10)),0,1))</f>
        <v>0</v>
      </c>
      <c r="CX10" s="73"/>
      <c r="CY10" s="73">
        <f t="shared" si="12"/>
        <v>4</v>
      </c>
      <c r="CZ10" s="73">
        <f t="shared" si="13"/>
        <v>15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1</v>
      </c>
      <c r="DE10" s="70">
        <f t="shared" si="18"/>
        <v>1195025.6701</v>
      </c>
      <c r="DF10" s="70">
        <f t="shared" si="1"/>
        <v>19</v>
      </c>
      <c r="DG10" s="70">
        <v>0</v>
      </c>
      <c r="DH10" s="97">
        <f t="shared" si="19"/>
        <v>0.3592814371257485</v>
      </c>
      <c r="DI10" s="105">
        <f t="shared" si="20"/>
        <v>7.1428571428571425E-2</v>
      </c>
    </row>
    <row r="11" spans="1:113" x14ac:dyDescent="0.15">
      <c r="B11" s="70" t="s">
        <v>235</v>
      </c>
      <c r="C11" s="70" t="s">
        <v>382</v>
      </c>
      <c r="K11" s="70" t="s">
        <v>383</v>
      </c>
      <c r="CE11" s="70">
        <f t="shared" si="2"/>
        <v>1</v>
      </c>
      <c r="CF11" s="70">
        <f t="shared" si="3"/>
        <v>0</v>
      </c>
      <c r="CG11" s="70">
        <f t="shared" si="4"/>
        <v>1</v>
      </c>
      <c r="CH11" s="70">
        <f t="shared" si="5"/>
        <v>0</v>
      </c>
      <c r="CI11" s="70">
        <f t="shared" si="6"/>
        <v>0</v>
      </c>
      <c r="CJ11" s="74">
        <f t="shared" si="0"/>
        <v>0</v>
      </c>
      <c r="CK11" s="70">
        <f t="shared" si="7"/>
        <v>0</v>
      </c>
      <c r="CL11" s="72">
        <f t="shared" si="8"/>
        <v>0</v>
      </c>
      <c r="CM11" s="70">
        <f t="shared" si="9"/>
        <v>-5</v>
      </c>
      <c r="CN11" s="70">
        <f t="shared" si="10"/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 t="shared" si="11"/>
        <v>1</v>
      </c>
      <c r="CR11" s="73">
        <f t="array" ref="CR11">SUM(IF(ISERR(FIND(CR$4,$D11:$CD11)),0,1))</f>
        <v>0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149" t="str">
        <f>IF(CG11-CH11&gt;=10,MAX(CR11:CW11)/(CG11-CH11),"")</f>
        <v/>
      </c>
      <c r="CY11" s="73">
        <f t="shared" si="12"/>
        <v>0</v>
      </c>
      <c r="CZ11" s="73">
        <f t="shared" si="13"/>
        <v>0</v>
      </c>
      <c r="DA11" s="73">
        <f t="shared" si="14"/>
        <v>0</v>
      </c>
      <c r="DB11" s="73">
        <f t="shared" si="15"/>
        <v>0</v>
      </c>
      <c r="DC11" s="73">
        <f t="shared" si="16"/>
        <v>0</v>
      </c>
      <c r="DD11" s="73">
        <f t="shared" si="17"/>
        <v>0</v>
      </c>
      <c r="DE11" s="70">
        <f t="shared" si="18"/>
        <v>101.00011000000001</v>
      </c>
      <c r="DF11" s="70">
        <f t="shared" si="1"/>
        <v>42</v>
      </c>
      <c r="DG11" s="70">
        <v>0</v>
      </c>
      <c r="DH11" s="97" t="str">
        <f t="shared" si="19"/>
        <v/>
      </c>
      <c r="DI11" s="105">
        <f t="shared" si="20"/>
        <v>1</v>
      </c>
    </row>
    <row r="12" spans="1:113" x14ac:dyDescent="0.15">
      <c r="A12" s="70" t="s">
        <v>199</v>
      </c>
      <c r="B12" s="70" t="s">
        <v>193</v>
      </c>
      <c r="C12" s="70" t="s">
        <v>194</v>
      </c>
      <c r="H12" s="70" t="s">
        <v>325</v>
      </c>
      <c r="L12" s="70" t="s">
        <v>405</v>
      </c>
      <c r="M12" s="70" t="s">
        <v>428</v>
      </c>
      <c r="O12" s="70" t="s">
        <v>468</v>
      </c>
      <c r="S12" s="70" t="s">
        <v>539</v>
      </c>
      <c r="T12" s="70" t="s">
        <v>566</v>
      </c>
      <c r="V12" s="70" t="s">
        <v>597</v>
      </c>
      <c r="W12" s="70" t="s">
        <v>607</v>
      </c>
      <c r="X12" s="70" t="s">
        <v>628</v>
      </c>
      <c r="Z12" s="70" t="s">
        <v>657</v>
      </c>
      <c r="AC12" s="70" t="s">
        <v>704</v>
      </c>
      <c r="AD12" s="70" t="s">
        <v>723</v>
      </c>
      <c r="AE12" s="70" t="s">
        <v>737</v>
      </c>
      <c r="CE12" s="70">
        <f t="shared" si="2"/>
        <v>13</v>
      </c>
      <c r="CF12" s="70">
        <f t="shared" si="3"/>
        <v>0</v>
      </c>
      <c r="CG12" s="70">
        <f t="shared" si="4"/>
        <v>13</v>
      </c>
      <c r="CH12" s="70">
        <f t="shared" si="5"/>
        <v>0</v>
      </c>
      <c r="CI12" s="70">
        <f t="shared" si="6"/>
        <v>30</v>
      </c>
      <c r="CJ12" s="74">
        <f t="shared" si="0"/>
        <v>30</v>
      </c>
      <c r="CK12" s="70">
        <f t="shared" si="7"/>
        <v>179</v>
      </c>
      <c r="CL12" s="72">
        <f t="shared" si="8"/>
        <v>13.76923076923077</v>
      </c>
      <c r="CM12" s="70">
        <f t="shared" si="9"/>
        <v>174</v>
      </c>
      <c r="CN12" s="70">
        <f t="shared" si="10"/>
        <v>20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 t="shared" si="11"/>
        <v>1</v>
      </c>
      <c r="CR12" s="73">
        <f t="array" ref="CR12">SUM(IF(ISERR(FIND(CR$4,$D12:$CD12)),0,1))</f>
        <v>4</v>
      </c>
      <c r="CS12" s="73">
        <f t="array" ref="CS12">SUM(IF(ISERR(FIND(CS$4,$D12:$CD12)),0,1))</f>
        <v>7</v>
      </c>
      <c r="CT12" s="73">
        <f t="array" ref="CT12">SUM(IF(ISERR(FIND(CT$4,$D12:$CD12)),0,1))</f>
        <v>2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149">
        <f t="shared" ref="CX12:CX46" si="21">IF(CG12-CH12&gt;=10,MAX(CR12:CW12)/(CG12-CH12),"")</f>
        <v>0.53846153846153844</v>
      </c>
      <c r="CY12" s="73">
        <f t="shared" si="12"/>
        <v>4</v>
      </c>
      <c r="CZ12" s="73">
        <f t="shared" si="13"/>
        <v>22</v>
      </c>
      <c r="DA12" s="73">
        <f t="shared" si="14"/>
        <v>0</v>
      </c>
      <c r="DB12" s="73">
        <f t="shared" si="15"/>
        <v>0</v>
      </c>
      <c r="DC12" s="73">
        <f t="shared" si="16"/>
        <v>0</v>
      </c>
      <c r="DD12" s="73">
        <f t="shared" si="17"/>
        <v>3</v>
      </c>
      <c r="DE12" s="70">
        <f t="shared" si="18"/>
        <v>1378314.79012</v>
      </c>
      <c r="DF12" s="70">
        <f t="shared" si="1"/>
        <v>13</v>
      </c>
      <c r="DG12" s="70">
        <v>0</v>
      </c>
      <c r="DH12" s="97">
        <f t="shared" si="19"/>
        <v>0.49162011173184356</v>
      </c>
      <c r="DI12" s="105">
        <f t="shared" si="20"/>
        <v>7.6923076923076927E-2</v>
      </c>
    </row>
    <row r="13" spans="1:113" x14ac:dyDescent="0.15">
      <c r="A13" s="70" t="s">
        <v>47</v>
      </c>
      <c r="B13" s="70" t="s">
        <v>25</v>
      </c>
      <c r="C13" s="70" t="s">
        <v>156</v>
      </c>
      <c r="E13" s="70" t="s">
        <v>266</v>
      </c>
      <c r="G13" s="70" t="s">
        <v>308</v>
      </c>
      <c r="P13" s="70" t="s">
        <v>489</v>
      </c>
      <c r="R13" s="70" t="s">
        <v>534</v>
      </c>
      <c r="T13" s="70" t="s">
        <v>567</v>
      </c>
      <c r="U13" s="70" t="s">
        <v>586</v>
      </c>
      <c r="Y13" s="70" t="s">
        <v>650</v>
      </c>
      <c r="AB13" s="70" t="s">
        <v>695</v>
      </c>
      <c r="CE13" s="70">
        <f t="shared" si="2"/>
        <v>8</v>
      </c>
      <c r="CF13" s="70">
        <f t="shared" si="3"/>
        <v>0</v>
      </c>
      <c r="CG13" s="70">
        <f t="shared" si="4"/>
        <v>8</v>
      </c>
      <c r="CH13" s="70">
        <f t="shared" si="5"/>
        <v>3</v>
      </c>
      <c r="CI13" s="70">
        <f t="shared" si="6"/>
        <v>-14</v>
      </c>
      <c r="CJ13" s="74" t="str">
        <f t="shared" si="0"/>
        <v>14*</v>
      </c>
      <c r="CK13" s="70">
        <f t="shared" si="7"/>
        <v>57</v>
      </c>
      <c r="CL13" s="72">
        <f t="shared" si="8"/>
        <v>11.4</v>
      </c>
      <c r="CM13" s="70">
        <f t="shared" si="9"/>
        <v>47</v>
      </c>
      <c r="CN13" s="70">
        <f t="shared" si="10"/>
        <v>0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1</v>
      </c>
      <c r="CU13" s="73">
        <f t="array" ref="CU13">SUM(IF(ISERR(FIND(CU$4,$D13:$CD13)),0,1))</f>
        <v>1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149" t="str">
        <f t="shared" si="21"/>
        <v/>
      </c>
      <c r="CY13" s="73">
        <f t="shared" si="12"/>
        <v>0</v>
      </c>
      <c r="CZ13" s="73">
        <f t="shared" si="13"/>
        <v>9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0</v>
      </c>
      <c r="DE13" s="70">
        <f t="shared" si="18"/>
        <v>1140808.5701300001</v>
      </c>
      <c r="DF13" s="70">
        <f t="shared" si="1"/>
        <v>20</v>
      </c>
      <c r="DG13" s="70">
        <v>0</v>
      </c>
      <c r="DH13" s="97">
        <f t="shared" si="19"/>
        <v>0.63157894736842102</v>
      </c>
      <c r="DI13" s="105">
        <f t="shared" si="20"/>
        <v>0.4</v>
      </c>
    </row>
    <row r="14" spans="1:113" x14ac:dyDescent="0.15">
      <c r="C14" s="70" t="s">
        <v>230</v>
      </c>
      <c r="L14" s="70" t="s">
        <v>408</v>
      </c>
      <c r="CE14" s="70">
        <f t="shared" si="2"/>
        <v>1</v>
      </c>
      <c r="CF14" s="70">
        <f t="shared" si="3"/>
        <v>0</v>
      </c>
      <c r="CG14" s="70">
        <f t="shared" si="4"/>
        <v>1</v>
      </c>
      <c r="CH14" s="70">
        <f t="shared" si="5"/>
        <v>0</v>
      </c>
      <c r="CI14" s="70">
        <f t="shared" si="6"/>
        <v>13</v>
      </c>
      <c r="CJ14" s="74">
        <f t="shared" si="0"/>
        <v>13</v>
      </c>
      <c r="CK14" s="70">
        <f t="shared" si="7"/>
        <v>13</v>
      </c>
      <c r="CL14" s="72">
        <f t="shared" si="8"/>
        <v>13</v>
      </c>
      <c r="CM14" s="70">
        <f t="shared" si="9"/>
        <v>13</v>
      </c>
      <c r="CN14" s="70">
        <f t="shared" si="10"/>
        <v>0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0</v>
      </c>
      <c r="CR14" s="73">
        <f t="array" ref="CR14">SUM(IF(ISERR(FIND(CR$4,$D14:$CD14)),0,1))</f>
        <v>0</v>
      </c>
      <c r="CS14" s="73">
        <f t="array" ref="CS14">SUM(IF(ISERR(FIND(CS$4,$D14:$CD14)),0,1))</f>
        <v>1</v>
      </c>
      <c r="CT14" s="73">
        <f t="array" ref="CT14">SUM(IF(ISERR(FIND(CT$4,$D14:$CD14)),0,1))</f>
        <v>0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149" t="str">
        <f t="shared" si="21"/>
        <v/>
      </c>
      <c r="CY14" s="73">
        <f t="shared" si="12"/>
        <v>0</v>
      </c>
      <c r="CZ14" s="73">
        <f t="shared" si="13"/>
        <v>0</v>
      </c>
      <c r="DA14" s="73">
        <f t="shared" si="14"/>
        <v>0</v>
      </c>
      <c r="DB14" s="73">
        <f t="shared" si="15"/>
        <v>0</v>
      </c>
      <c r="DC14" s="73">
        <f t="shared" si="16"/>
        <v>0</v>
      </c>
      <c r="DD14" s="73">
        <f t="shared" si="17"/>
        <v>0</v>
      </c>
      <c r="DE14" s="70">
        <f t="shared" si="18"/>
        <v>1300101.1301399998</v>
      </c>
      <c r="DF14" s="70">
        <f t="shared" si="1"/>
        <v>17</v>
      </c>
      <c r="DG14" s="70">
        <v>0</v>
      </c>
      <c r="DH14" s="97" t="str">
        <f t="shared" si="19"/>
        <v/>
      </c>
      <c r="DI14" s="105">
        <f t="shared" si="20"/>
        <v>0</v>
      </c>
    </row>
    <row r="15" spans="1:113" x14ac:dyDescent="0.15">
      <c r="B15" s="70" t="s">
        <v>218</v>
      </c>
      <c r="C15" s="70" t="s">
        <v>219</v>
      </c>
      <c r="N15" s="70" t="s">
        <v>443</v>
      </c>
      <c r="U15" s="70" t="s">
        <v>581</v>
      </c>
      <c r="CE15" s="70">
        <f t="shared" si="2"/>
        <v>2</v>
      </c>
      <c r="CF15" s="70">
        <f t="shared" si="3"/>
        <v>0</v>
      </c>
      <c r="CG15" s="70">
        <f t="shared" si="4"/>
        <v>2</v>
      </c>
      <c r="CH15" s="70">
        <f t="shared" si="5"/>
        <v>0</v>
      </c>
      <c r="CI15" s="70">
        <f t="shared" si="6"/>
        <v>15</v>
      </c>
      <c r="CJ15" s="74">
        <f t="shared" si="0"/>
        <v>15</v>
      </c>
      <c r="CK15" s="70">
        <f t="shared" si="7"/>
        <v>15</v>
      </c>
      <c r="CL15" s="72">
        <f t="shared" si="8"/>
        <v>7.5</v>
      </c>
      <c r="CM15" s="70">
        <f t="shared" si="9"/>
        <v>10</v>
      </c>
      <c r="CN15" s="70">
        <f t="shared" si="10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1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1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149" t="str">
        <f t="shared" si="21"/>
        <v/>
      </c>
      <c r="CY15" s="73">
        <f t="shared" si="12"/>
        <v>1</v>
      </c>
      <c r="CZ15" s="73">
        <f t="shared" si="13"/>
        <v>3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750202.15015</v>
      </c>
      <c r="DF15" s="70">
        <f t="shared" si="1"/>
        <v>25</v>
      </c>
      <c r="DG15" s="70">
        <v>0</v>
      </c>
      <c r="DH15" s="97" t="str">
        <f t="shared" si="19"/>
        <v/>
      </c>
      <c r="DI15" s="105">
        <f t="shared" si="20"/>
        <v>0.5</v>
      </c>
    </row>
    <row r="16" spans="1:113" x14ac:dyDescent="0.15">
      <c r="B16" s="70" t="s">
        <v>572</v>
      </c>
      <c r="C16" s="70" t="s">
        <v>571</v>
      </c>
      <c r="N16" s="70" t="s">
        <v>447</v>
      </c>
      <c r="O16" s="70" t="s">
        <v>266</v>
      </c>
      <c r="R16" s="70" t="s">
        <v>528</v>
      </c>
      <c r="T16" s="70" t="s">
        <v>570</v>
      </c>
      <c r="Z16" s="70" t="s">
        <v>531</v>
      </c>
      <c r="AA16" s="70" t="s">
        <v>430</v>
      </c>
      <c r="AB16" s="70" t="s">
        <v>693</v>
      </c>
      <c r="AC16" s="70" t="s">
        <v>486</v>
      </c>
      <c r="AD16" s="70" t="s">
        <v>446</v>
      </c>
      <c r="CE16" s="70">
        <f>BatSplit(D16:CD16,MatchesPlayed)</f>
        <v>9</v>
      </c>
      <c r="CF16" s="70">
        <f t="shared" si="3"/>
        <v>2</v>
      </c>
      <c r="CG16" s="70">
        <f>BatSplit(D16:CD16,InnsBattedIn)</f>
        <v>7</v>
      </c>
      <c r="CH16" s="70">
        <f>BatSplit(D16:CD16,NotOuts)</f>
        <v>2</v>
      </c>
      <c r="CI16" s="70">
        <f>BatSplit(D16:CD16,HighestScore)</f>
        <v>-4</v>
      </c>
      <c r="CJ16" s="74" t="str">
        <f t="shared" si="0"/>
        <v>4*</v>
      </c>
      <c r="CK16" s="70">
        <f>BatSplit(D16:CD16,RunsScored)</f>
        <v>7</v>
      </c>
      <c r="CL16" s="72">
        <f>IF(CG16=CH16,0,CK16/(CG16-CH16))</f>
        <v>1.4</v>
      </c>
      <c r="CM16" s="70">
        <f>BatSplit(D16:CD16,BatPts)</f>
        <v>-8</v>
      </c>
      <c r="CN16" s="70">
        <f>BatSplit(D16:CD16,FldPts)</f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>BatSplit(D16:CD16,Ducks)</f>
        <v>3</v>
      </c>
      <c r="CR16" s="73">
        <f t="array" ref="CR16">SUM(IF(ISERR(FIND(CR$4,$D16:$CD16)),0,1))</f>
        <v>3</v>
      </c>
      <c r="CS16" s="73">
        <f t="array" ref="CS16">SUM(IF(ISERR(FIND(CS$4,$D16:$CD16)),0,1))</f>
        <v>2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149" t="str">
        <f t="shared" si="21"/>
        <v/>
      </c>
      <c r="CY16" s="73">
        <f>BatSplit(D16:CD16,Catches)</f>
        <v>0</v>
      </c>
      <c r="CZ16" s="73">
        <f>BatSplit(D16:CD16,Fours)</f>
        <v>0</v>
      </c>
      <c r="DA16" s="73">
        <f>BatSplit(D16:CD16,Sixes)</f>
        <v>0</v>
      </c>
      <c r="DB16" s="73">
        <f>BatSplit(D16:CD16,Stumpings)</f>
        <v>0</v>
      </c>
      <c r="DC16" s="73">
        <f>BatSplit(D16:CD16,CaughtWkt)</f>
        <v>0</v>
      </c>
      <c r="DD16" s="73">
        <f>BatSplit(D16:CD16,TwentyFives)</f>
        <v>0</v>
      </c>
      <c r="DE16" s="70">
        <f>ROUND(IF(ISERROR(CL16),0,CL16),2)*100000+CG16*100+CE16+CK16/100+ROW()/100000</f>
        <v>140709.07016</v>
      </c>
      <c r="DF16" s="70">
        <f t="shared" si="1"/>
        <v>37</v>
      </c>
      <c r="DG16" s="70">
        <v>0</v>
      </c>
      <c r="DH16" s="97" t="str">
        <f t="shared" si="19"/>
        <v/>
      </c>
      <c r="DI16" s="105">
        <f>CQ16/(CG16-CH16)</f>
        <v>0.6</v>
      </c>
    </row>
    <row r="17" spans="1:113" x14ac:dyDescent="0.15">
      <c r="B17" s="70" t="s">
        <v>231</v>
      </c>
      <c r="C17" s="70" t="s">
        <v>217</v>
      </c>
      <c r="AB17" s="70" t="s">
        <v>564</v>
      </c>
      <c r="CE17" s="70">
        <f t="shared" si="2"/>
        <v>1</v>
      </c>
      <c r="CF17" s="70">
        <f t="shared" si="3"/>
        <v>0</v>
      </c>
      <c r="CG17" s="70">
        <f t="shared" si="4"/>
        <v>1</v>
      </c>
      <c r="CH17" s="70">
        <f t="shared" si="5"/>
        <v>0</v>
      </c>
      <c r="CI17" s="70">
        <f t="shared" si="6"/>
        <v>10</v>
      </c>
      <c r="CJ17" s="74">
        <f t="shared" si="0"/>
        <v>10</v>
      </c>
      <c r="CK17" s="70">
        <f t="shared" si="7"/>
        <v>10</v>
      </c>
      <c r="CL17" s="72">
        <f t="shared" si="8"/>
        <v>10</v>
      </c>
      <c r="CM17" s="70">
        <f t="shared" si="9"/>
        <v>10</v>
      </c>
      <c r="CN17" s="70">
        <f t="shared" si="10"/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 t="shared" si="11"/>
        <v>0</v>
      </c>
      <c r="CR17" s="73">
        <f t="array" ref="CR17">SUM(IF(ISERR(FIND(CR$4,$D17:$CD17)),0,1))</f>
        <v>0</v>
      </c>
      <c r="CS17" s="73">
        <f t="array" ref="CS17">SUM(IF(ISERR(FIND(CS$4,$D17:$CD17)),0,1))</f>
        <v>1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149" t="str">
        <f t="shared" si="21"/>
        <v/>
      </c>
      <c r="CY17" s="73">
        <f t="shared" si="12"/>
        <v>0</v>
      </c>
      <c r="CZ17" s="73">
        <f t="shared" si="13"/>
        <v>2</v>
      </c>
      <c r="DA17" s="73">
        <f t="shared" si="14"/>
        <v>0</v>
      </c>
      <c r="DB17" s="73">
        <f t="shared" si="15"/>
        <v>0</v>
      </c>
      <c r="DC17" s="73">
        <f t="shared" si="16"/>
        <v>0</v>
      </c>
      <c r="DD17" s="73">
        <f t="shared" si="17"/>
        <v>0</v>
      </c>
      <c r="DE17" s="70">
        <f t="shared" si="18"/>
        <v>1000101.10017</v>
      </c>
      <c r="DF17" s="70">
        <f t="shared" si="1"/>
        <v>22</v>
      </c>
      <c r="DG17" s="70">
        <v>0</v>
      </c>
      <c r="DH17" s="97" t="str">
        <f t="shared" si="19"/>
        <v/>
      </c>
      <c r="DI17" s="105">
        <f t="shared" si="20"/>
        <v>0</v>
      </c>
    </row>
    <row r="18" spans="1:113" x14ac:dyDescent="0.15">
      <c r="C18" s="70" t="s">
        <v>609</v>
      </c>
      <c r="W18" s="70" t="s">
        <v>611</v>
      </c>
      <c r="AA18" s="70" t="s">
        <v>664</v>
      </c>
      <c r="CE18" s="70">
        <f t="shared" si="2"/>
        <v>2</v>
      </c>
      <c r="CF18" s="70">
        <f t="shared" si="3"/>
        <v>0</v>
      </c>
      <c r="CG18" s="70">
        <f t="shared" si="4"/>
        <v>2</v>
      </c>
      <c r="CH18" s="70">
        <f t="shared" si="5"/>
        <v>0</v>
      </c>
      <c r="CI18" s="70">
        <f t="shared" si="6"/>
        <v>35</v>
      </c>
      <c r="CJ18" s="74">
        <f t="shared" si="0"/>
        <v>35</v>
      </c>
      <c r="CK18" s="70">
        <f t="shared" si="7"/>
        <v>52</v>
      </c>
      <c r="CL18" s="72">
        <f t="shared" si="8"/>
        <v>26</v>
      </c>
      <c r="CM18" s="70">
        <f t="shared" si="9"/>
        <v>52</v>
      </c>
      <c r="CN18" s="70">
        <f t="shared" si="10"/>
        <v>0</v>
      </c>
      <c r="CO18" s="73">
        <f t="array" ref="CO18">SUM(IF(ISERR(FIND("*",D18:CD18)),0,1))</f>
        <v>0</v>
      </c>
      <c r="CP18" s="73">
        <f t="array" ref="CP18">SUM(IF(ISERR(FIND("+",D18:CD18)),0,1))</f>
        <v>1</v>
      </c>
      <c r="CQ18" s="70">
        <f t="shared" si="11"/>
        <v>0</v>
      </c>
      <c r="CR18" s="73">
        <f t="array" ref="CR18">SUM(IF(ISERR(FIND(CR$4,$D18:$CD18)),0,1))</f>
        <v>0</v>
      </c>
      <c r="CS18" s="73">
        <f t="array" ref="CS18">SUM(IF(ISERR(FIND(CS$4,$D18:$CD18)),0,1))</f>
        <v>2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149" t="str">
        <f t="shared" si="21"/>
        <v/>
      </c>
      <c r="CY18" s="73">
        <f t="shared" si="12"/>
        <v>1</v>
      </c>
      <c r="CZ18" s="73">
        <f t="shared" si="13"/>
        <v>6</v>
      </c>
      <c r="DA18" s="73">
        <f t="shared" si="14"/>
        <v>1</v>
      </c>
      <c r="DB18" s="73">
        <f t="shared" si="15"/>
        <v>1</v>
      </c>
      <c r="DC18" s="73">
        <f t="shared" si="16"/>
        <v>1</v>
      </c>
      <c r="DD18" s="73">
        <f t="shared" si="17"/>
        <v>1</v>
      </c>
      <c r="DE18" s="70">
        <f t="shared" si="18"/>
        <v>2600202.52018</v>
      </c>
      <c r="DF18" s="70">
        <f t="shared" si="1"/>
        <v>8</v>
      </c>
      <c r="DG18" s="70">
        <v>0</v>
      </c>
      <c r="DH18" s="97">
        <f t="shared" si="19"/>
        <v>0.57692307692307687</v>
      </c>
      <c r="DI18" s="105">
        <f t="shared" si="20"/>
        <v>0</v>
      </c>
    </row>
    <row r="19" spans="1:113" x14ac:dyDescent="0.15">
      <c r="C19" s="70" t="s">
        <v>610</v>
      </c>
      <c r="W19" s="70" t="s">
        <v>612</v>
      </c>
      <c r="AA19" s="70" t="s">
        <v>245</v>
      </c>
      <c r="CE19" s="70">
        <f t="shared" si="2"/>
        <v>2</v>
      </c>
      <c r="CF19" s="70">
        <f t="shared" si="3"/>
        <v>0</v>
      </c>
      <c r="CG19" s="70">
        <f t="shared" si="4"/>
        <v>2</v>
      </c>
      <c r="CH19" s="70">
        <f t="shared" si="5"/>
        <v>0</v>
      </c>
      <c r="CI19" s="70">
        <f t="shared" si="6"/>
        <v>1</v>
      </c>
      <c r="CJ19" s="74">
        <f t="shared" si="0"/>
        <v>1</v>
      </c>
      <c r="CK19" s="70">
        <f t="shared" si="7"/>
        <v>1</v>
      </c>
      <c r="CL19" s="72">
        <f t="shared" si="8"/>
        <v>0.5</v>
      </c>
      <c r="CM19" s="70">
        <f t="shared" si="9"/>
        <v>-4</v>
      </c>
      <c r="CN19" s="70">
        <f t="shared" si="10"/>
        <v>0</v>
      </c>
      <c r="CO19" s="73">
        <f t="array" ref="CO19">SUM(IF(ISERR(FIND("*",D19:CD19)),0,1))</f>
        <v>0</v>
      </c>
      <c r="CP19" s="73">
        <f t="array" ref="CP19">SUM(IF(ISERR(FIND("+",D19:CD19)),0,1))</f>
        <v>0</v>
      </c>
      <c r="CQ19" s="70">
        <f t="shared" si="11"/>
        <v>1</v>
      </c>
      <c r="CR19" s="73">
        <f t="array" ref="CR19">SUM(IF(ISERR(FIND(CR$4,$D19:$CD19)),0,1))</f>
        <v>1</v>
      </c>
      <c r="CS19" s="73">
        <f t="array" ref="CS19">SUM(IF(ISERR(FIND(CS$4,$D19:$CD19)),0,1))</f>
        <v>1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149" t="str">
        <f t="shared" si="21"/>
        <v/>
      </c>
      <c r="CY19" s="73">
        <f t="shared" si="12"/>
        <v>0</v>
      </c>
      <c r="CZ19" s="73">
        <f t="shared" si="13"/>
        <v>0</v>
      </c>
      <c r="DA19" s="73">
        <f t="shared" si="14"/>
        <v>0</v>
      </c>
      <c r="DB19" s="73">
        <f t="shared" si="15"/>
        <v>0</v>
      </c>
      <c r="DC19" s="73">
        <f t="shared" si="16"/>
        <v>0</v>
      </c>
      <c r="DD19" s="73">
        <f t="shared" si="17"/>
        <v>0</v>
      </c>
      <c r="DE19" s="70">
        <f t="shared" si="18"/>
        <v>50202.010190000001</v>
      </c>
      <c r="DF19" s="70">
        <f t="shared" si="1"/>
        <v>38</v>
      </c>
      <c r="DG19" s="70">
        <v>0</v>
      </c>
      <c r="DH19" s="97" t="str">
        <f t="shared" si="19"/>
        <v/>
      </c>
      <c r="DI19" s="105">
        <f t="shared" si="20"/>
        <v>0.5</v>
      </c>
    </row>
    <row r="20" spans="1:113" x14ac:dyDescent="0.15">
      <c r="A20" s="70" t="s">
        <v>48</v>
      </c>
      <c r="B20" s="70" t="s">
        <v>25</v>
      </c>
      <c r="C20" s="70" t="s">
        <v>49</v>
      </c>
      <c r="D20" s="70" t="s">
        <v>237</v>
      </c>
      <c r="E20" s="70" t="s">
        <v>259</v>
      </c>
      <c r="F20" s="70" t="s">
        <v>292</v>
      </c>
      <c r="H20" s="70" t="s">
        <v>376</v>
      </c>
      <c r="I20" s="70" t="s">
        <v>345</v>
      </c>
      <c r="K20" s="70" t="s">
        <v>380</v>
      </c>
      <c r="L20" s="70" t="s">
        <v>409</v>
      </c>
      <c r="N20" s="70" t="s">
        <v>445</v>
      </c>
      <c r="R20" s="70" t="s">
        <v>529</v>
      </c>
      <c r="S20" s="70" t="s">
        <v>537</v>
      </c>
      <c r="U20" s="70" t="s">
        <v>580</v>
      </c>
      <c r="W20" s="70" t="s">
        <v>777</v>
      </c>
      <c r="X20" s="70" t="s">
        <v>626</v>
      </c>
      <c r="Z20" s="70" t="s">
        <v>775</v>
      </c>
      <c r="AB20" s="70" t="s">
        <v>691</v>
      </c>
      <c r="CE20" s="70">
        <f>BatSplit(D20:CD20,MatchesPlayed)</f>
        <v>15</v>
      </c>
      <c r="CF20" s="70">
        <f>CE20-CG20</f>
        <v>0</v>
      </c>
      <c r="CG20" s="70">
        <f t="shared" si="4"/>
        <v>15</v>
      </c>
      <c r="CH20" s="70">
        <f t="shared" si="5"/>
        <v>2</v>
      </c>
      <c r="CI20" s="70">
        <f t="shared" si="6"/>
        <v>-102</v>
      </c>
      <c r="CJ20" s="74" t="str">
        <f t="shared" si="0"/>
        <v>102*</v>
      </c>
      <c r="CK20" s="70">
        <f t="shared" si="7"/>
        <v>535</v>
      </c>
      <c r="CL20" s="72">
        <f t="shared" si="8"/>
        <v>41.153846153846153</v>
      </c>
      <c r="CM20" s="70">
        <f t="shared" si="9"/>
        <v>565</v>
      </c>
      <c r="CN20" s="70">
        <f t="shared" si="10"/>
        <v>10</v>
      </c>
      <c r="CO20" s="73">
        <f t="array" ref="CO20">SUM(IF(ISERR(FIND("*",D20:CD20)),0,1))</f>
        <v>0</v>
      </c>
      <c r="CP20" s="73">
        <f t="array" ref="CP20">SUM(IF(ISERR(FIND("+",D20:CD20)),0,1))</f>
        <v>12</v>
      </c>
      <c r="CQ20" s="70">
        <f t="shared" si="11"/>
        <v>2</v>
      </c>
      <c r="CR20" s="73">
        <f t="array" ref="CR20">SUM(IF(ISERR(FIND(CR$4,$D20:$CD20)),0,1))</f>
        <v>3</v>
      </c>
      <c r="CS20" s="73">
        <f t="array" ref="CS20">SUM(IF(ISERR(FIND(CS$4,$D20:$CD20)),0,1))</f>
        <v>6</v>
      </c>
      <c r="CT20" s="73">
        <f t="array" ref="CT20">SUM(IF(ISERR(FIND(CT$4,$D20:$CD20)),0,1))</f>
        <v>3</v>
      </c>
      <c r="CU20" s="73">
        <f t="array" ref="CU20">SUM(IF(ISERR(FIND(CU$4,$D20:$CD20)),0,1))</f>
        <v>1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149">
        <f t="shared" si="21"/>
        <v>0.46153846153846156</v>
      </c>
      <c r="CY20" s="73">
        <f>BatSplit(D20:CD20,Catches)</f>
        <v>13</v>
      </c>
      <c r="CZ20" s="73">
        <f>BatSplit(D20:CD20,Fours)</f>
        <v>86</v>
      </c>
      <c r="DA20" s="73">
        <f t="shared" si="14"/>
        <v>8</v>
      </c>
      <c r="DB20" s="73">
        <f t="shared" si="15"/>
        <v>11</v>
      </c>
      <c r="DC20" s="73">
        <f t="shared" si="16"/>
        <v>10</v>
      </c>
      <c r="DD20" s="73">
        <f t="shared" si="17"/>
        <v>8</v>
      </c>
      <c r="DE20" s="70">
        <f t="shared" si="18"/>
        <v>4116520.3502000002</v>
      </c>
      <c r="DF20" s="70">
        <f t="shared" si="1"/>
        <v>4</v>
      </c>
      <c r="DG20" s="70">
        <v>0</v>
      </c>
      <c r="DH20" s="97">
        <f t="shared" si="19"/>
        <v>0.73271028037383179</v>
      </c>
      <c r="DI20" s="105">
        <f t="shared" si="20"/>
        <v>0.15384615384615385</v>
      </c>
    </row>
    <row r="21" spans="1:113" x14ac:dyDescent="0.15">
      <c r="A21" s="70" t="s">
        <v>201</v>
      </c>
      <c r="B21" s="70" t="s">
        <v>195</v>
      </c>
      <c r="C21" s="70" t="s">
        <v>196</v>
      </c>
      <c r="E21" s="70" t="s">
        <v>264</v>
      </c>
      <c r="H21" s="70" t="s">
        <v>450</v>
      </c>
      <c r="I21" s="70" t="s">
        <v>349</v>
      </c>
      <c r="J21" s="70" t="s">
        <v>364</v>
      </c>
      <c r="K21" s="70" t="s">
        <v>391</v>
      </c>
      <c r="M21" s="70" t="s">
        <v>431</v>
      </c>
      <c r="N21" s="70" t="s">
        <v>449</v>
      </c>
      <c r="P21" s="70" t="s">
        <v>482</v>
      </c>
      <c r="Q21" s="70" t="s">
        <v>512</v>
      </c>
      <c r="R21" s="70" t="s">
        <v>532</v>
      </c>
      <c r="U21" s="70" t="s">
        <v>585</v>
      </c>
      <c r="V21" s="70" t="s">
        <v>246</v>
      </c>
      <c r="W21" s="70" t="s">
        <v>616</v>
      </c>
      <c r="Y21" s="70" t="s">
        <v>428</v>
      </c>
      <c r="AA21" s="70" t="s">
        <v>663</v>
      </c>
      <c r="AB21" s="70" t="s">
        <v>694</v>
      </c>
      <c r="AC21" s="70" t="s">
        <v>711</v>
      </c>
      <c r="AE21" s="70" t="s">
        <v>531</v>
      </c>
      <c r="CE21" s="70">
        <f>BatSplit(D21:CD21,MatchesPlayed)</f>
        <v>18</v>
      </c>
      <c r="CF21" s="70">
        <f t="shared" si="3"/>
        <v>2</v>
      </c>
      <c r="CG21" s="70">
        <f t="shared" si="4"/>
        <v>16</v>
      </c>
      <c r="CH21" s="70">
        <f t="shared" si="5"/>
        <v>2</v>
      </c>
      <c r="CI21" s="70">
        <f t="shared" si="6"/>
        <v>-20</v>
      </c>
      <c r="CJ21" s="74" t="str">
        <f t="shared" si="0"/>
        <v>20*</v>
      </c>
      <c r="CK21" s="70">
        <f t="shared" si="7"/>
        <v>109</v>
      </c>
      <c r="CL21" s="72">
        <f t="shared" si="8"/>
        <v>7.7857142857142856</v>
      </c>
      <c r="CM21" s="70">
        <f t="shared" si="9"/>
        <v>94</v>
      </c>
      <c r="CN21" s="70">
        <f t="shared" si="10"/>
        <v>30</v>
      </c>
      <c r="CO21" s="73">
        <f t="array" ref="CO21">SUM(IF(ISERR(FIND("*",D21:CD21)),0,1))</f>
        <v>0</v>
      </c>
      <c r="CP21" s="73">
        <f t="array" ref="CP21">SUM(IF(ISERR(FIND("+",D21:CD21)),0,1))</f>
        <v>0</v>
      </c>
      <c r="CQ21" s="70">
        <f t="shared" si="11"/>
        <v>3</v>
      </c>
      <c r="CR21" s="73">
        <f t="array" ref="CR21">SUM(IF(ISERR(FIND(CR$4,$D21:$CD21)),0,1))</f>
        <v>7</v>
      </c>
      <c r="CS21" s="73">
        <f t="array" ref="CS21">SUM(IF(ISERR(FIND(CS$4,$D21:$CD21)),0,1))</f>
        <v>4</v>
      </c>
      <c r="CT21" s="73">
        <f t="array" ref="CT21">SUM(IF(ISERR(FIND(CT$4,$D21:$CD21)),0,1))</f>
        <v>1</v>
      </c>
      <c r="CU21" s="73">
        <f t="array" ref="CU21">SUM(IF(ISERR(FIND(CU$4,$D21:$CD21)),0,1))</f>
        <v>0</v>
      </c>
      <c r="CV21" s="73">
        <f t="array" ref="CV21">SUM(IF(ISERR(FIND(CV$4,$D21:$CD21)),0,1))</f>
        <v>2</v>
      </c>
      <c r="CW21" s="73">
        <f t="array" ref="CW21">SUM(IF(ISERR(FIND(CW$4,$D21:$CD21)),0,1))</f>
        <v>0</v>
      </c>
      <c r="CX21" s="149">
        <f t="shared" si="21"/>
        <v>0.5</v>
      </c>
      <c r="CY21" s="73">
        <f t="shared" si="12"/>
        <v>6</v>
      </c>
      <c r="CZ21" s="73">
        <f t="shared" si="13"/>
        <v>10</v>
      </c>
      <c r="DA21" s="73">
        <f t="shared" si="14"/>
        <v>0</v>
      </c>
      <c r="DB21" s="73">
        <f t="shared" si="15"/>
        <v>0</v>
      </c>
      <c r="DC21" s="73">
        <f t="shared" si="16"/>
        <v>0</v>
      </c>
      <c r="DD21" s="73">
        <f t="shared" si="17"/>
        <v>0</v>
      </c>
      <c r="DE21" s="70">
        <f t="shared" si="18"/>
        <v>780619.09020999994</v>
      </c>
      <c r="DF21" s="70">
        <f t="shared" si="1"/>
        <v>24</v>
      </c>
      <c r="DG21" s="70">
        <v>0</v>
      </c>
      <c r="DH21" s="97">
        <f t="shared" si="19"/>
        <v>0.3669724770642202</v>
      </c>
      <c r="DI21" s="105">
        <f t="shared" si="20"/>
        <v>0.21428571428571427</v>
      </c>
    </row>
    <row r="22" spans="1:113" x14ac:dyDescent="0.15">
      <c r="A22" s="70" t="s">
        <v>142</v>
      </c>
      <c r="B22" s="70" t="s">
        <v>32</v>
      </c>
      <c r="C22" s="70" t="s">
        <v>157</v>
      </c>
      <c r="E22" s="70" t="s">
        <v>262</v>
      </c>
      <c r="F22" s="70" t="s">
        <v>290</v>
      </c>
      <c r="G22" s="70" t="s">
        <v>303</v>
      </c>
      <c r="H22" s="70" t="s">
        <v>323</v>
      </c>
      <c r="I22" s="70" t="s">
        <v>342</v>
      </c>
      <c r="K22" s="70" t="s">
        <v>384</v>
      </c>
      <c r="L22" s="70" t="s">
        <v>410</v>
      </c>
      <c r="N22" s="70" t="s">
        <v>441</v>
      </c>
      <c r="P22" s="70" t="s">
        <v>488</v>
      </c>
      <c r="R22" s="70" t="s">
        <v>527</v>
      </c>
      <c r="Y22" s="70" t="s">
        <v>647</v>
      </c>
      <c r="AB22" s="70" t="s">
        <v>690</v>
      </c>
      <c r="AC22" s="70" t="s">
        <v>706</v>
      </c>
      <c r="AD22" s="70" t="s">
        <v>726</v>
      </c>
      <c r="AE22" s="70" t="s">
        <v>736</v>
      </c>
      <c r="CE22" s="70">
        <f t="shared" si="2"/>
        <v>15</v>
      </c>
      <c r="CF22" s="70">
        <f t="shared" si="3"/>
        <v>1</v>
      </c>
      <c r="CG22" s="70">
        <f t="shared" si="4"/>
        <v>14</v>
      </c>
      <c r="CH22" s="70">
        <f t="shared" si="5"/>
        <v>0</v>
      </c>
      <c r="CI22" s="70">
        <f t="shared" si="6"/>
        <v>25</v>
      </c>
      <c r="CJ22" s="74">
        <f t="shared" si="0"/>
        <v>25</v>
      </c>
      <c r="CK22" s="70">
        <f t="shared" si="7"/>
        <v>94</v>
      </c>
      <c r="CL22" s="72">
        <f t="shared" si="8"/>
        <v>6.7142857142857144</v>
      </c>
      <c r="CM22" s="70">
        <f t="shared" si="9"/>
        <v>79</v>
      </c>
      <c r="CN22" s="70">
        <f t="shared" si="10"/>
        <v>10</v>
      </c>
      <c r="CO22" s="73">
        <f t="array" ref="CO22">SUM(IF(ISERR(FIND("*",D22:CD22)),0,1))</f>
        <v>10</v>
      </c>
      <c r="CP22" s="73">
        <f t="array" ref="CP22">SUM(IF(ISERR(FIND("+",D22:CD22)),0,1))</f>
        <v>5</v>
      </c>
      <c r="CQ22" s="70">
        <f t="shared" si="11"/>
        <v>3</v>
      </c>
      <c r="CR22" s="73">
        <f t="array" ref="CR22">SUM(IF(ISERR(FIND(CR$4,$D22:$CD22)),0,1))</f>
        <v>5</v>
      </c>
      <c r="CS22" s="73">
        <f t="array" ref="CS22">SUM(IF(ISERR(FIND(CS$4,$D22:$CD22)),0,1))</f>
        <v>8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1</v>
      </c>
      <c r="CW22" s="73">
        <f t="array" ref="CW22">SUM(IF(ISERR(FIND(CW$4,$D22:$CD22)),0,1))</f>
        <v>0</v>
      </c>
      <c r="CX22" s="149">
        <f t="shared" si="21"/>
        <v>0.5714285714285714</v>
      </c>
      <c r="CY22" s="73">
        <f t="shared" si="12"/>
        <v>4</v>
      </c>
      <c r="CZ22" s="73">
        <f t="shared" si="13"/>
        <v>9</v>
      </c>
      <c r="DA22" s="73">
        <f t="shared" si="14"/>
        <v>0</v>
      </c>
      <c r="DB22" s="73">
        <f t="shared" si="15"/>
        <v>1</v>
      </c>
      <c r="DC22" s="73">
        <f t="shared" si="16"/>
        <v>2</v>
      </c>
      <c r="DD22" s="73">
        <f t="shared" si="17"/>
        <v>1</v>
      </c>
      <c r="DE22" s="70">
        <f t="shared" si="18"/>
        <v>672415.94021999999</v>
      </c>
      <c r="DF22" s="70">
        <f t="shared" si="1"/>
        <v>29</v>
      </c>
      <c r="DG22" s="70">
        <v>1</v>
      </c>
      <c r="DH22" s="97">
        <f t="shared" si="19"/>
        <v>0.38297872340425532</v>
      </c>
      <c r="DI22" s="105">
        <f t="shared" si="20"/>
        <v>0.21428571428571427</v>
      </c>
    </row>
    <row r="23" spans="1:113" x14ac:dyDescent="0.15">
      <c r="B23" s="70" t="s">
        <v>319</v>
      </c>
      <c r="C23" s="70" t="s">
        <v>381</v>
      </c>
      <c r="K23" s="70" t="s">
        <v>260</v>
      </c>
      <c r="CE23" s="70">
        <f t="shared" si="2"/>
        <v>1</v>
      </c>
      <c r="CF23" s="70">
        <f t="shared" si="3"/>
        <v>0</v>
      </c>
      <c r="CG23" s="70">
        <f t="shared" si="4"/>
        <v>1</v>
      </c>
      <c r="CH23" s="70">
        <f t="shared" si="5"/>
        <v>0</v>
      </c>
      <c r="CI23" s="70">
        <f t="shared" si="6"/>
        <v>0</v>
      </c>
      <c r="CJ23" s="74">
        <f t="shared" si="0"/>
        <v>0</v>
      </c>
      <c r="CK23" s="70">
        <f t="shared" si="7"/>
        <v>0</v>
      </c>
      <c r="CL23" s="72">
        <f t="shared" si="8"/>
        <v>0</v>
      </c>
      <c r="CM23" s="70">
        <f t="shared" si="9"/>
        <v>-5</v>
      </c>
      <c r="CN23" s="70">
        <f t="shared" si="1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11"/>
        <v>1</v>
      </c>
      <c r="CR23" s="73">
        <f t="array" ref="CR23">SUM(IF(ISERR(FIND(CR$4,$D23:$CD23)),0,1))</f>
        <v>0</v>
      </c>
      <c r="CS23" s="73">
        <f t="array" ref="CS23">SUM(IF(ISERR(FIND(CS$4,$D23:$CD23)),0,1))</f>
        <v>1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149" t="str">
        <f t="shared" si="21"/>
        <v/>
      </c>
      <c r="CY23" s="73">
        <f t="shared" si="12"/>
        <v>0</v>
      </c>
      <c r="CZ23" s="73">
        <f t="shared" si="13"/>
        <v>0</v>
      </c>
      <c r="DA23" s="73">
        <f t="shared" si="14"/>
        <v>0</v>
      </c>
      <c r="DB23" s="73">
        <f t="shared" si="15"/>
        <v>0</v>
      </c>
      <c r="DC23" s="73">
        <f t="shared" si="16"/>
        <v>0</v>
      </c>
      <c r="DD23" s="73">
        <f t="shared" si="17"/>
        <v>0</v>
      </c>
      <c r="DE23" s="70">
        <f t="shared" si="18"/>
        <v>101.00023</v>
      </c>
      <c r="DF23" s="70">
        <f t="shared" si="1"/>
        <v>41</v>
      </c>
      <c r="DG23" s="70">
        <v>0</v>
      </c>
      <c r="DH23" s="97" t="str">
        <f t="shared" si="19"/>
        <v/>
      </c>
      <c r="DI23" s="105">
        <f t="shared" si="20"/>
        <v>1</v>
      </c>
    </row>
    <row r="24" spans="1:113" x14ac:dyDescent="0.15">
      <c r="C24" s="70" t="s">
        <v>665</v>
      </c>
      <c r="AA24" s="70" t="s">
        <v>666</v>
      </c>
      <c r="CE24" s="70">
        <f>BatSplit(D24:CD24,MatchesPlayed)</f>
        <v>1</v>
      </c>
      <c r="CF24" s="70">
        <f t="shared" si="3"/>
        <v>0</v>
      </c>
      <c r="CG24" s="70">
        <f>BatSplit(D24:CD24,InnsBattedIn)</f>
        <v>1</v>
      </c>
      <c r="CH24" s="70">
        <f>BatSplit(D24:CD24,NotOuts)</f>
        <v>0</v>
      </c>
      <c r="CI24" s="70">
        <f>BatSplit(D24:CD24,HighestScore)</f>
        <v>4</v>
      </c>
      <c r="CJ24" s="74">
        <f t="shared" si="0"/>
        <v>4</v>
      </c>
      <c r="CK24" s="70">
        <f>BatSplit(D24:CD24,RunsScored)</f>
        <v>4</v>
      </c>
      <c r="CL24" s="72">
        <f>IF(CG24=CH24,0,CK24/(CG24-CH24))</f>
        <v>4</v>
      </c>
      <c r="CM24" s="70">
        <f>BatSplit(D24:CD24,BatPts)</f>
        <v>4</v>
      </c>
      <c r="CN24" s="70">
        <f>BatSplit(D24:CD24,FldPts)</f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>BatSplit(D24:CD24,Ducks)</f>
        <v>0</v>
      </c>
      <c r="CR24" s="73">
        <f t="array" ref="CR24">SUM(IF(ISERR(FIND(CR$4,$D24:$CD24)),0,1))</f>
        <v>1</v>
      </c>
      <c r="CS24" s="73">
        <f t="array" ref="CS24">SUM(IF(ISERR(FIND(CS$4,$D24:$CD24)),0,1))</f>
        <v>0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149" t="str">
        <f t="shared" si="21"/>
        <v/>
      </c>
      <c r="CY24" s="73">
        <f>BatSplit(D24:CD24,Catches)</f>
        <v>0</v>
      </c>
      <c r="CZ24" s="73">
        <f>BatSplit(D24:CD24,Fours)</f>
        <v>0</v>
      </c>
      <c r="DA24" s="73">
        <f>BatSplit(D24:CD24,Sixes)</f>
        <v>0</v>
      </c>
      <c r="DB24" s="73">
        <f>BatSplit(D24:CD24,Stumpings)</f>
        <v>0</v>
      </c>
      <c r="DC24" s="73">
        <f>BatSplit(D24:CD24,CaughtWkt)</f>
        <v>0</v>
      </c>
      <c r="DD24" s="73">
        <f>BatSplit(D24:CD24,TwentyFives)</f>
        <v>0</v>
      </c>
      <c r="DE24" s="70">
        <f>ROUND(IF(ISERROR(CL24),0,CL24),2)*100000+CG24*100+CE24+CK24/100+ROW()/100000</f>
        <v>400101.04024</v>
      </c>
      <c r="DF24" s="70">
        <f t="shared" si="1"/>
        <v>34</v>
      </c>
      <c r="DG24" s="70">
        <v>0</v>
      </c>
      <c r="DH24" s="97" t="str">
        <f t="shared" si="19"/>
        <v/>
      </c>
      <c r="DI24" s="105">
        <f>CQ24/(CG24-CH24)</f>
        <v>0</v>
      </c>
    </row>
    <row r="25" spans="1:113" x14ac:dyDescent="0.15">
      <c r="A25" s="70" t="s">
        <v>50</v>
      </c>
      <c r="B25" s="70" t="s">
        <v>30</v>
      </c>
      <c r="C25" s="70" t="s">
        <v>51</v>
      </c>
      <c r="E25" s="70" t="s">
        <v>265</v>
      </c>
      <c r="F25" s="70" t="s">
        <v>295</v>
      </c>
      <c r="G25" s="70" t="s">
        <v>307</v>
      </c>
      <c r="J25" s="70" t="s">
        <v>366</v>
      </c>
      <c r="K25" s="70" t="s">
        <v>392</v>
      </c>
      <c r="R25" s="84"/>
      <c r="U25" s="70" t="s">
        <v>588</v>
      </c>
      <c r="W25" s="70" t="s">
        <v>614</v>
      </c>
      <c r="AA25" s="70" t="s">
        <v>671</v>
      </c>
      <c r="AE25" s="70" t="s">
        <v>740</v>
      </c>
      <c r="CE25" s="70">
        <f t="shared" si="2"/>
        <v>9</v>
      </c>
      <c r="CF25" s="70">
        <f t="shared" si="3"/>
        <v>0</v>
      </c>
      <c r="CG25" s="70">
        <f t="shared" si="4"/>
        <v>9</v>
      </c>
      <c r="CH25" s="70">
        <f t="shared" si="5"/>
        <v>1</v>
      </c>
      <c r="CI25" s="70">
        <f t="shared" si="6"/>
        <v>22</v>
      </c>
      <c r="CJ25" s="74">
        <f t="shared" si="0"/>
        <v>22</v>
      </c>
      <c r="CK25" s="70">
        <f t="shared" si="7"/>
        <v>84</v>
      </c>
      <c r="CL25" s="72">
        <f t="shared" si="8"/>
        <v>10.5</v>
      </c>
      <c r="CM25" s="70">
        <f t="shared" si="9"/>
        <v>74</v>
      </c>
      <c r="CN25" s="70">
        <f t="shared" si="10"/>
        <v>5</v>
      </c>
      <c r="CO25" s="73">
        <f t="array" ref="CO25">SUM(IF(ISERR(FIND("*",D25:CD25)),0,1))</f>
        <v>0</v>
      </c>
      <c r="CP25" s="73">
        <f t="array" ref="CP25">SUM(IF(ISERR(FIND("+",D25:CD25)),0,1))</f>
        <v>0</v>
      </c>
      <c r="CQ25" s="70">
        <f t="shared" si="11"/>
        <v>2</v>
      </c>
      <c r="CR25" s="73">
        <f t="array" ref="CR25">SUM(IF(ISERR(FIND(CR$4,$D25:$CD25)),0,1))</f>
        <v>3</v>
      </c>
      <c r="CS25" s="73">
        <f t="array" ref="CS25">SUM(IF(ISERR(FIND(CS$4,$D25:$CD25)),0,1))</f>
        <v>2</v>
      </c>
      <c r="CT25" s="73">
        <f t="array" ref="CT25">SUM(IF(ISERR(FIND(CT$4,$D25:$CD25)),0,1))</f>
        <v>1</v>
      </c>
      <c r="CU25" s="73">
        <f t="array" ref="CU25">SUM(IF(ISERR(FIND(CU$4,$D25:$CD25)),0,1))</f>
        <v>0</v>
      </c>
      <c r="CV25" s="73">
        <f t="array" ref="CV25">SUM(IF(ISERR(FIND(CV$4,$D25:$CD25)),0,1))</f>
        <v>2</v>
      </c>
      <c r="CW25" s="73">
        <f t="array" ref="CW25">SUM(IF(ISERR(FIND(CW$4,$D25:$CD25)),0,1))</f>
        <v>0</v>
      </c>
      <c r="CX25" s="149" t="str">
        <f t="shared" si="21"/>
        <v/>
      </c>
      <c r="CY25" s="73">
        <f t="shared" si="12"/>
        <v>1</v>
      </c>
      <c r="CZ25" s="73">
        <f t="shared" si="13"/>
        <v>10</v>
      </c>
      <c r="DA25" s="73">
        <f t="shared" si="14"/>
        <v>3</v>
      </c>
      <c r="DB25" s="73">
        <f t="shared" si="15"/>
        <v>0</v>
      </c>
      <c r="DC25" s="73">
        <f t="shared" si="16"/>
        <v>0</v>
      </c>
      <c r="DD25" s="73">
        <f t="shared" si="17"/>
        <v>0</v>
      </c>
      <c r="DE25" s="70">
        <f t="shared" si="18"/>
        <v>1050909.8402500001</v>
      </c>
      <c r="DF25" s="70">
        <f t="shared" si="1"/>
        <v>21</v>
      </c>
      <c r="DG25" s="70">
        <v>0</v>
      </c>
      <c r="DH25" s="97">
        <f t="shared" si="19"/>
        <v>0.69047619047619047</v>
      </c>
      <c r="DI25" s="105">
        <f t="shared" si="20"/>
        <v>0.25</v>
      </c>
    </row>
    <row r="26" spans="1:113" x14ac:dyDescent="0.15">
      <c r="A26" s="70" t="s">
        <v>52</v>
      </c>
      <c r="B26" s="70" t="s">
        <v>31</v>
      </c>
      <c r="C26" s="70" t="s">
        <v>53</v>
      </c>
      <c r="F26" s="70" t="s">
        <v>294</v>
      </c>
      <c r="G26" s="70" t="s">
        <v>311</v>
      </c>
      <c r="I26" s="70" t="s">
        <v>348</v>
      </c>
      <c r="N26" s="70" t="s">
        <v>446</v>
      </c>
      <c r="CE26" s="70">
        <f t="shared" si="2"/>
        <v>4</v>
      </c>
      <c r="CF26" s="70">
        <f t="shared" si="3"/>
        <v>2</v>
      </c>
      <c r="CG26" s="70">
        <f t="shared" si="4"/>
        <v>2</v>
      </c>
      <c r="CH26" s="70">
        <f t="shared" si="5"/>
        <v>0</v>
      </c>
      <c r="CI26" s="70">
        <f t="shared" si="6"/>
        <v>17</v>
      </c>
      <c r="CJ26" s="74">
        <f t="shared" si="0"/>
        <v>17</v>
      </c>
      <c r="CK26" s="70">
        <f t="shared" si="7"/>
        <v>25</v>
      </c>
      <c r="CL26" s="72">
        <f t="shared" si="8"/>
        <v>12.5</v>
      </c>
      <c r="CM26" s="70">
        <f t="shared" si="9"/>
        <v>25</v>
      </c>
      <c r="CN26" s="70">
        <f t="shared" si="10"/>
        <v>0</v>
      </c>
      <c r="CO26" s="73">
        <f t="array" ref="CO26">SUM(IF(ISERR(FIND("*",D26:CD26)),0,1))</f>
        <v>0</v>
      </c>
      <c r="CP26" s="73">
        <f t="array" ref="CP26">SUM(IF(ISERR(FIND("+",D26:CD26)),0,1))</f>
        <v>2</v>
      </c>
      <c r="CQ26" s="70">
        <f t="shared" si="11"/>
        <v>0</v>
      </c>
      <c r="CR26" s="73">
        <f t="array" ref="CR26">SUM(IF(ISERR(FIND(CR$4,$D26:$CD26)),0,1))</f>
        <v>0</v>
      </c>
      <c r="CS26" s="73">
        <f t="array" ref="CS26">SUM(IF(ISERR(FIND(CS$4,$D26:$CD26)),0,1))</f>
        <v>2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149" t="str">
        <f t="shared" si="21"/>
        <v/>
      </c>
      <c r="CY26" s="73">
        <f t="shared" si="12"/>
        <v>0</v>
      </c>
      <c r="CZ26" s="73">
        <f t="shared" si="13"/>
        <v>3</v>
      </c>
      <c r="DA26" s="73">
        <f t="shared" si="14"/>
        <v>0</v>
      </c>
      <c r="DB26" s="73">
        <f t="shared" si="15"/>
        <v>0</v>
      </c>
      <c r="DC26" s="73">
        <f t="shared" si="16"/>
        <v>0</v>
      </c>
      <c r="DD26" s="73">
        <f t="shared" si="17"/>
        <v>0</v>
      </c>
      <c r="DE26" s="70">
        <f t="shared" si="18"/>
        <v>1250204.2502599999</v>
      </c>
      <c r="DF26" s="70">
        <f t="shared" si="1"/>
        <v>18</v>
      </c>
      <c r="DG26" s="70">
        <v>0</v>
      </c>
      <c r="DH26" s="97" t="str">
        <f t="shared" si="19"/>
        <v/>
      </c>
      <c r="DI26" s="105">
        <f t="shared" si="20"/>
        <v>0</v>
      </c>
    </row>
    <row r="27" spans="1:113" x14ac:dyDescent="0.15">
      <c r="A27" s="70" t="s">
        <v>137</v>
      </c>
      <c r="B27" s="70" t="s">
        <v>123</v>
      </c>
      <c r="C27" s="70" t="s">
        <v>122</v>
      </c>
      <c r="E27" s="70" t="s">
        <v>258</v>
      </c>
      <c r="I27" s="70" t="s">
        <v>347</v>
      </c>
      <c r="J27" s="70" t="s">
        <v>358</v>
      </c>
      <c r="N27" s="70" t="s">
        <v>440</v>
      </c>
      <c r="W27" s="70" t="s">
        <v>606</v>
      </c>
      <c r="AD27" s="70" t="s">
        <v>721</v>
      </c>
      <c r="AE27" s="70" t="s">
        <v>735</v>
      </c>
      <c r="CE27" s="70">
        <f t="shared" si="2"/>
        <v>7</v>
      </c>
      <c r="CF27" s="70">
        <f t="shared" si="3"/>
        <v>0</v>
      </c>
      <c r="CG27" s="70">
        <f t="shared" si="4"/>
        <v>7</v>
      </c>
      <c r="CH27" s="70">
        <f t="shared" si="5"/>
        <v>2</v>
      </c>
      <c r="CI27" s="70">
        <f t="shared" si="6"/>
        <v>-154</v>
      </c>
      <c r="CJ27" s="74" t="str">
        <f t="shared" si="0"/>
        <v>154*</v>
      </c>
      <c r="CK27" s="70">
        <f t="shared" si="7"/>
        <v>412</v>
      </c>
      <c r="CL27" s="72">
        <f t="shared" si="8"/>
        <v>82.4</v>
      </c>
      <c r="CM27" s="70">
        <f t="shared" si="9"/>
        <v>442</v>
      </c>
      <c r="CN27" s="70">
        <f t="shared" si="10"/>
        <v>5</v>
      </c>
      <c r="CO27" s="73">
        <f t="array" ref="CO27">SUM(IF(ISERR(FIND("*",D27:CD27)),0,1))</f>
        <v>0</v>
      </c>
      <c r="CP27" s="73">
        <f t="array" ref="CP27">SUM(IF(ISERR(FIND("+",D27:CD27)),0,1))</f>
        <v>2</v>
      </c>
      <c r="CQ27" s="70">
        <f t="shared" si="11"/>
        <v>0</v>
      </c>
      <c r="CR27" s="73">
        <f t="array" ref="CR27">SUM(IF(ISERR(FIND(CR$4,$D27:$CD27)),0,1))</f>
        <v>2</v>
      </c>
      <c r="CS27" s="73">
        <f t="array" ref="CS27">SUM(IF(ISERR(FIND(CS$4,$D27:$CD27)),0,1))</f>
        <v>1</v>
      </c>
      <c r="CT27" s="73">
        <f t="array" ref="CT27">SUM(IF(ISERR(FIND(CT$4,$D27:$CD27)),0,1))</f>
        <v>0</v>
      </c>
      <c r="CU27" s="73">
        <f t="array" ref="CU27">SUM(IF(ISERR(FIND(CU$4,$D27:$CD27)),0,1))</f>
        <v>1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149" t="str">
        <f t="shared" si="21"/>
        <v/>
      </c>
      <c r="CY27" s="73">
        <f t="shared" si="12"/>
        <v>2</v>
      </c>
      <c r="CZ27" s="73">
        <f t="shared" si="13"/>
        <v>63</v>
      </c>
      <c r="DA27" s="73">
        <f t="shared" si="14"/>
        <v>6</v>
      </c>
      <c r="DB27" s="73">
        <f t="shared" si="15"/>
        <v>1</v>
      </c>
      <c r="DC27" s="73">
        <f t="shared" si="16"/>
        <v>1</v>
      </c>
      <c r="DD27" s="73">
        <f t="shared" si="17"/>
        <v>4</v>
      </c>
      <c r="DE27" s="70">
        <f t="shared" si="18"/>
        <v>8240711.1202700008</v>
      </c>
      <c r="DF27" s="70">
        <f t="shared" si="1"/>
        <v>1</v>
      </c>
      <c r="DG27" s="70">
        <v>0</v>
      </c>
      <c r="DH27" s="97">
        <f t="shared" si="19"/>
        <v>0.69902912621359226</v>
      </c>
      <c r="DI27" s="105">
        <f t="shared" si="20"/>
        <v>0</v>
      </c>
    </row>
    <row r="28" spans="1:113" x14ac:dyDescent="0.15">
      <c r="B28" s="70" t="s">
        <v>32</v>
      </c>
      <c r="C28" s="70" t="s">
        <v>243</v>
      </c>
      <c r="D28" s="70" t="s">
        <v>244</v>
      </c>
      <c r="G28" s="70" t="s">
        <v>305</v>
      </c>
      <c r="M28" s="70" t="s">
        <v>429</v>
      </c>
      <c r="O28" s="70" t="s">
        <v>472</v>
      </c>
      <c r="CE28" s="70">
        <f t="shared" si="2"/>
        <v>4</v>
      </c>
      <c r="CF28" s="70">
        <f t="shared" si="3"/>
        <v>0</v>
      </c>
      <c r="CG28" s="70">
        <f t="shared" si="4"/>
        <v>4</v>
      </c>
      <c r="CH28" s="70">
        <f t="shared" si="5"/>
        <v>0</v>
      </c>
      <c r="CI28" s="70">
        <f t="shared" si="6"/>
        <v>49</v>
      </c>
      <c r="CJ28" s="74">
        <f t="shared" si="0"/>
        <v>49</v>
      </c>
      <c r="CK28" s="70">
        <f t="shared" si="7"/>
        <v>85</v>
      </c>
      <c r="CL28" s="72">
        <f t="shared" si="8"/>
        <v>21.25</v>
      </c>
      <c r="CM28" s="70">
        <f t="shared" si="9"/>
        <v>85</v>
      </c>
      <c r="CN28" s="70">
        <f t="shared" si="10"/>
        <v>5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1"/>
        <v>0</v>
      </c>
      <c r="CR28" s="73">
        <f t="array" ref="CR28">SUM(IF(ISERR(FIND(CR$4,$D28:$CD28)),0,1))</f>
        <v>3</v>
      </c>
      <c r="CS28" s="73">
        <f t="array" ref="CS28">SUM(IF(ISERR(FIND(CS$4,$D28:$CD28)),0,1))</f>
        <v>0</v>
      </c>
      <c r="CT28" s="73">
        <f t="array" ref="CT28">SUM(IF(ISERR(FIND(CT$4,$D28:$CD28)),0,1))</f>
        <v>1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149" t="str">
        <f t="shared" si="21"/>
        <v/>
      </c>
      <c r="CY28" s="73">
        <f t="shared" si="12"/>
        <v>1</v>
      </c>
      <c r="CZ28" s="73">
        <f t="shared" si="13"/>
        <v>8</v>
      </c>
      <c r="DA28" s="73">
        <f t="shared" si="14"/>
        <v>1</v>
      </c>
      <c r="DB28" s="73">
        <f t="shared" si="15"/>
        <v>0</v>
      </c>
      <c r="DC28" s="73">
        <f t="shared" si="16"/>
        <v>0</v>
      </c>
      <c r="DD28" s="73">
        <f t="shared" si="17"/>
        <v>1</v>
      </c>
      <c r="DE28" s="70">
        <f t="shared" si="18"/>
        <v>2125404.8502799999</v>
      </c>
      <c r="DF28" s="70">
        <f t="shared" si="1"/>
        <v>9</v>
      </c>
      <c r="DG28" s="70">
        <v>0</v>
      </c>
      <c r="DH28" s="97">
        <f t="shared" si="19"/>
        <v>0.44705882352941179</v>
      </c>
      <c r="DI28" s="105">
        <f t="shared" si="20"/>
        <v>0</v>
      </c>
    </row>
    <row r="29" spans="1:113" x14ac:dyDescent="0.15">
      <c r="B29" s="70" t="s">
        <v>210</v>
      </c>
      <c r="C29" s="70" t="s">
        <v>211</v>
      </c>
      <c r="Q29" s="70" t="s">
        <v>506</v>
      </c>
      <c r="T29" s="70" t="s">
        <v>348</v>
      </c>
      <c r="U29" s="70" t="s">
        <v>582</v>
      </c>
      <c r="CE29" s="70">
        <f t="shared" si="2"/>
        <v>3</v>
      </c>
      <c r="CF29" s="70">
        <f t="shared" si="3"/>
        <v>1</v>
      </c>
      <c r="CG29" s="70">
        <f t="shared" si="4"/>
        <v>2</v>
      </c>
      <c r="CH29" s="70">
        <f t="shared" si="5"/>
        <v>1</v>
      </c>
      <c r="CI29" s="70">
        <f t="shared" si="6"/>
        <v>-50</v>
      </c>
      <c r="CJ29" s="74" t="str">
        <f t="shared" si="0"/>
        <v>50*</v>
      </c>
      <c r="CK29" s="70">
        <f t="shared" si="7"/>
        <v>52</v>
      </c>
      <c r="CL29" s="72">
        <f t="shared" si="8"/>
        <v>52</v>
      </c>
      <c r="CM29" s="70">
        <f t="shared" si="9"/>
        <v>62</v>
      </c>
      <c r="CN29" s="70">
        <f t="shared" si="10"/>
        <v>0</v>
      </c>
      <c r="CO29" s="73">
        <f t="array" ref="CO29">SUM(IF(ISERR(FIND("*",D29:CD29)),0,1))</f>
        <v>0</v>
      </c>
      <c r="CP29" s="73">
        <f t="array" ref="CP29">SUM(IF(ISERR(FIND("+",D29:CD29)),0,1))</f>
        <v>2</v>
      </c>
      <c r="CQ29" s="70">
        <f t="shared" si="1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1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149" t="str">
        <f t="shared" si="21"/>
        <v/>
      </c>
      <c r="CY29" s="73">
        <f t="shared" si="12"/>
        <v>1</v>
      </c>
      <c r="CZ29" s="73">
        <f t="shared" si="13"/>
        <v>6</v>
      </c>
      <c r="DA29" s="73">
        <f t="shared" si="14"/>
        <v>1</v>
      </c>
      <c r="DB29" s="73">
        <f t="shared" si="15"/>
        <v>0</v>
      </c>
      <c r="DC29" s="73">
        <f t="shared" si="16"/>
        <v>1</v>
      </c>
      <c r="DD29" s="73">
        <f t="shared" si="17"/>
        <v>1</v>
      </c>
      <c r="DE29" s="70">
        <f t="shared" si="18"/>
        <v>5200203.5202899994</v>
      </c>
      <c r="DF29" s="70">
        <f t="shared" si="1"/>
        <v>3</v>
      </c>
      <c r="DG29" s="70">
        <v>0</v>
      </c>
      <c r="DH29" s="97">
        <f t="shared" si="19"/>
        <v>0.57692307692307687</v>
      </c>
      <c r="DI29" s="105">
        <f t="shared" si="20"/>
        <v>0</v>
      </c>
    </row>
    <row r="30" spans="1:113" x14ac:dyDescent="0.15">
      <c r="A30" s="70" t="s">
        <v>178</v>
      </c>
      <c r="B30" s="70" t="s">
        <v>173</v>
      </c>
      <c r="C30" s="70" t="s">
        <v>174</v>
      </c>
      <c r="Q30" s="70" t="s">
        <v>507</v>
      </c>
      <c r="U30" s="70" t="s">
        <v>486</v>
      </c>
      <c r="X30" s="70" t="s">
        <v>446</v>
      </c>
      <c r="CE30" s="70">
        <f t="shared" si="2"/>
        <v>3</v>
      </c>
      <c r="CF30" s="70">
        <f t="shared" si="3"/>
        <v>1</v>
      </c>
      <c r="CG30" s="70">
        <f t="shared" si="4"/>
        <v>2</v>
      </c>
      <c r="CH30" s="70">
        <f t="shared" si="5"/>
        <v>0</v>
      </c>
      <c r="CI30" s="70">
        <f t="shared" si="6"/>
        <v>0</v>
      </c>
      <c r="CJ30" s="74">
        <f t="shared" si="0"/>
        <v>0</v>
      </c>
      <c r="CK30" s="70">
        <f t="shared" si="7"/>
        <v>0</v>
      </c>
      <c r="CL30" s="72">
        <f t="shared" si="8"/>
        <v>0</v>
      </c>
      <c r="CM30" s="70">
        <f t="shared" si="9"/>
        <v>-10</v>
      </c>
      <c r="CN30" s="70">
        <f t="shared" si="10"/>
        <v>0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1"/>
        <v>2</v>
      </c>
      <c r="CR30" s="73">
        <f t="array" ref="CR30">SUM(IF(ISERR(FIND(CR$4,$D30:$CD30)),0,1))</f>
        <v>2</v>
      </c>
      <c r="CS30" s="73">
        <f t="array" ref="CS30">SUM(IF(ISERR(FIND(CS$4,$D30:$CD30)),0,1))</f>
        <v>0</v>
      </c>
      <c r="CT30" s="73">
        <f t="array" ref="CT30">SUM(IF(ISERR(FIND(CT$4,$D30:$CD30)),0,1))</f>
        <v>0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149" t="str">
        <f t="shared" si="21"/>
        <v/>
      </c>
      <c r="CY30" s="73">
        <f t="shared" si="12"/>
        <v>0</v>
      </c>
      <c r="CZ30" s="73">
        <f t="shared" si="13"/>
        <v>0</v>
      </c>
      <c r="DA30" s="73">
        <f t="shared" si="14"/>
        <v>0</v>
      </c>
      <c r="DB30" s="73">
        <f t="shared" si="15"/>
        <v>0</v>
      </c>
      <c r="DC30" s="73">
        <f t="shared" si="16"/>
        <v>0</v>
      </c>
      <c r="DD30" s="73">
        <f t="shared" si="17"/>
        <v>0</v>
      </c>
      <c r="DE30" s="70">
        <f t="shared" si="18"/>
        <v>203.00030000000001</v>
      </c>
      <c r="DF30" s="70">
        <f t="shared" si="1"/>
        <v>39</v>
      </c>
      <c r="DG30" s="70">
        <v>0</v>
      </c>
      <c r="DH30" s="97" t="str">
        <f t="shared" si="19"/>
        <v/>
      </c>
      <c r="DI30" s="105">
        <f t="shared" si="20"/>
        <v>1</v>
      </c>
    </row>
    <row r="31" spans="1:113" x14ac:dyDescent="0.15">
      <c r="A31" s="70" t="s">
        <v>79</v>
      </c>
      <c r="B31" s="70" t="s">
        <v>172</v>
      </c>
      <c r="C31" s="70" t="s">
        <v>158</v>
      </c>
      <c r="E31" s="70" t="s">
        <v>260</v>
      </c>
      <c r="G31" s="70" t="s">
        <v>304</v>
      </c>
      <c r="R31" s="70" t="s">
        <v>526</v>
      </c>
      <c r="Y31" s="70" t="s">
        <v>648</v>
      </c>
      <c r="AD31" s="70" t="s">
        <v>725</v>
      </c>
      <c r="CE31" s="70">
        <f t="shared" si="2"/>
        <v>5</v>
      </c>
      <c r="CF31" s="70">
        <f t="shared" si="3"/>
        <v>0</v>
      </c>
      <c r="CG31" s="70">
        <f t="shared" si="4"/>
        <v>5</v>
      </c>
      <c r="CH31" s="70">
        <f t="shared" si="5"/>
        <v>1</v>
      </c>
      <c r="CI31" s="70">
        <f t="shared" si="6"/>
        <v>-15</v>
      </c>
      <c r="CJ31" s="74" t="str">
        <f t="shared" si="0"/>
        <v>15*</v>
      </c>
      <c r="CK31" s="70">
        <f t="shared" si="7"/>
        <v>22</v>
      </c>
      <c r="CL31" s="72">
        <f t="shared" si="8"/>
        <v>5.5</v>
      </c>
      <c r="CM31" s="70">
        <f t="shared" si="9"/>
        <v>12</v>
      </c>
      <c r="CN31" s="70">
        <f t="shared" si="1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1"/>
        <v>2</v>
      </c>
      <c r="CR31" s="73">
        <f t="array" ref="CR31">SUM(IF(ISERR(FIND(CR$4,$D31:$CD31)),0,1))</f>
        <v>1</v>
      </c>
      <c r="CS31" s="73">
        <f t="array" ref="CS31">SUM(IF(ISERR(FIND(CS$4,$D31:$CD31)),0,1))</f>
        <v>2</v>
      </c>
      <c r="CT31" s="73">
        <f t="array" ref="CT31">SUM(IF(ISERR(FIND(CT$4,$D31:$CD31)),0,1))</f>
        <v>1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149" t="str">
        <f t="shared" si="21"/>
        <v/>
      </c>
      <c r="CY31" s="73">
        <f t="shared" si="12"/>
        <v>0</v>
      </c>
      <c r="CZ31" s="73">
        <f t="shared" si="13"/>
        <v>0</v>
      </c>
      <c r="DA31" s="73">
        <f t="shared" si="14"/>
        <v>0</v>
      </c>
      <c r="DB31" s="73">
        <f t="shared" si="15"/>
        <v>0</v>
      </c>
      <c r="DC31" s="73">
        <f t="shared" si="16"/>
        <v>0</v>
      </c>
      <c r="DD31" s="73">
        <f t="shared" si="17"/>
        <v>0</v>
      </c>
      <c r="DE31" s="70">
        <f t="shared" si="18"/>
        <v>550505.22031</v>
      </c>
      <c r="DF31" s="70">
        <f t="shared" si="1"/>
        <v>31</v>
      </c>
      <c r="DG31" s="70">
        <v>0</v>
      </c>
      <c r="DH31" s="97" t="str">
        <f t="shared" si="19"/>
        <v/>
      </c>
      <c r="DI31" s="105">
        <f t="shared" si="20"/>
        <v>0.5</v>
      </c>
    </row>
    <row r="32" spans="1:113" x14ac:dyDescent="0.15">
      <c r="B32" s="70" t="s">
        <v>227</v>
      </c>
      <c r="C32" s="70" t="s">
        <v>779</v>
      </c>
      <c r="D32" s="70" t="s">
        <v>242</v>
      </c>
      <c r="F32" s="70" t="s">
        <v>288</v>
      </c>
      <c r="N32" s="70" t="s">
        <v>442</v>
      </c>
      <c r="P32" s="70" t="s">
        <v>485</v>
      </c>
      <c r="Q32" s="70" t="s">
        <v>509</v>
      </c>
      <c r="S32" s="70" t="s">
        <v>542</v>
      </c>
      <c r="V32" s="70" t="s">
        <v>599</v>
      </c>
      <c r="X32" s="70" t="s">
        <v>631</v>
      </c>
      <c r="Z32" s="70" t="s">
        <v>443</v>
      </c>
      <c r="AC32" s="70" t="s">
        <v>705</v>
      </c>
      <c r="AD32" s="70" t="s">
        <v>443</v>
      </c>
      <c r="CE32" s="70">
        <f t="shared" si="2"/>
        <v>11</v>
      </c>
      <c r="CF32" s="70">
        <f t="shared" si="3"/>
        <v>0</v>
      </c>
      <c r="CG32" s="70">
        <f t="shared" si="4"/>
        <v>11</v>
      </c>
      <c r="CH32" s="70">
        <f t="shared" si="5"/>
        <v>1</v>
      </c>
      <c r="CI32" s="70">
        <f t="shared" si="6"/>
        <v>23</v>
      </c>
      <c r="CJ32" s="74">
        <f t="shared" si="0"/>
        <v>23</v>
      </c>
      <c r="CK32" s="70">
        <f t="shared" si="7"/>
        <v>60</v>
      </c>
      <c r="CL32" s="72">
        <f t="shared" si="8"/>
        <v>6</v>
      </c>
      <c r="CM32" s="70">
        <f t="shared" si="9"/>
        <v>45</v>
      </c>
      <c r="CN32" s="70">
        <f t="shared" si="10"/>
        <v>10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 t="shared" si="11"/>
        <v>3</v>
      </c>
      <c r="CR32" s="73">
        <f t="array" ref="CR32">SUM(IF(ISERR(FIND(CR$4,$D32:$CD32)),0,1))</f>
        <v>4</v>
      </c>
      <c r="CS32" s="73">
        <f t="array" ref="CS32">SUM(IF(ISERR(FIND(CS$4,$D32:$CD32)),0,1))</f>
        <v>0</v>
      </c>
      <c r="CT32" s="73">
        <f t="array" ref="CT32">SUM(IF(ISERR(FIND(CT$4,$D32:$CD32)),0,1))</f>
        <v>5</v>
      </c>
      <c r="CU32" s="73">
        <f t="array" ref="CU32">SUM(IF(ISERR(FIND(CU$4,$D32:$CD32)),0,1))</f>
        <v>0</v>
      </c>
      <c r="CV32" s="73">
        <f t="array" ref="CV32">SUM(IF(ISERR(FIND(CV$4,$D32:$CD32)),0,1))</f>
        <v>1</v>
      </c>
      <c r="CW32" s="73">
        <f t="array" ref="CW32">SUM(IF(ISERR(FIND(CW$4,$D32:$CD32)),0,1))</f>
        <v>0</v>
      </c>
      <c r="CX32" s="149">
        <f t="shared" si="21"/>
        <v>0.5</v>
      </c>
      <c r="CY32" s="73">
        <f t="shared" si="12"/>
        <v>2</v>
      </c>
      <c r="CZ32" s="73">
        <f t="shared" si="13"/>
        <v>8</v>
      </c>
      <c r="DA32" s="73">
        <f t="shared" si="14"/>
        <v>0</v>
      </c>
      <c r="DB32" s="73">
        <f t="shared" si="15"/>
        <v>0</v>
      </c>
      <c r="DC32" s="73">
        <f t="shared" si="16"/>
        <v>0</v>
      </c>
      <c r="DD32" s="73">
        <f t="shared" si="17"/>
        <v>0</v>
      </c>
      <c r="DE32" s="70">
        <f t="shared" si="18"/>
        <v>601111.60031999997</v>
      </c>
      <c r="DF32" s="70">
        <f t="shared" si="1"/>
        <v>30</v>
      </c>
      <c r="DG32" s="70">
        <v>0</v>
      </c>
      <c r="DH32" s="97">
        <f t="shared" si="19"/>
        <v>0.53333333333333333</v>
      </c>
      <c r="DI32" s="105">
        <f t="shared" si="20"/>
        <v>0.3</v>
      </c>
    </row>
    <row r="33" spans="1:113" x14ac:dyDescent="0.15">
      <c r="C33" s="70" t="s">
        <v>523</v>
      </c>
      <c r="R33" s="70" t="s">
        <v>531</v>
      </c>
      <c r="CE33" s="70">
        <f>BatSplit(D33:CD33,MatchesPlayed)</f>
        <v>1</v>
      </c>
      <c r="CF33" s="70">
        <f t="shared" si="3"/>
        <v>0</v>
      </c>
      <c r="CG33" s="70">
        <f>BatSplit(D33:CD33,InnsBattedIn)</f>
        <v>1</v>
      </c>
      <c r="CH33" s="70">
        <f>BatSplit(D33:CD33,NotOuts)</f>
        <v>0</v>
      </c>
      <c r="CI33" s="70">
        <f>BatSplit(D33:CD33,HighestScore)</f>
        <v>0</v>
      </c>
      <c r="CJ33" s="74">
        <f t="shared" si="0"/>
        <v>0</v>
      </c>
      <c r="CK33" s="70">
        <f>BatSplit(D33:CD33,RunsScored)</f>
        <v>0</v>
      </c>
      <c r="CL33" s="72">
        <f>IF(CG33=CH33,0,CK33/(CG33-CH33))</f>
        <v>0</v>
      </c>
      <c r="CM33" s="70">
        <f>BatSplit(D33:CD33,BatPts)</f>
        <v>-5</v>
      </c>
      <c r="CN33" s="70">
        <f>BatSplit(D33:CD33,FldPts)</f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>BatSplit(D33:CD33,Ducks)</f>
        <v>1</v>
      </c>
      <c r="CR33" s="73">
        <f t="array" ref="CR33">SUM(IF(ISERR(FIND(CR$4,$D33:$CD33)),0,1))</f>
        <v>1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149" t="str">
        <f t="shared" si="21"/>
        <v/>
      </c>
      <c r="CY33" s="73">
        <f>BatSplit(D33:CD33,Catches)</f>
        <v>0</v>
      </c>
      <c r="CZ33" s="73">
        <f>BatSplit(D33:CD33,Fours)</f>
        <v>0</v>
      </c>
      <c r="DA33" s="73">
        <f>BatSplit(D33:CD33,Sixes)</f>
        <v>0</v>
      </c>
      <c r="DB33" s="73">
        <f>BatSplit(D33:CD33,Stumpings)</f>
        <v>0</v>
      </c>
      <c r="DC33" s="73">
        <f>BatSplit(D33:CD33,CaughtWkt)</f>
        <v>0</v>
      </c>
      <c r="DD33" s="73">
        <f>BatSplit(D33:CD33,TwentyFives)</f>
        <v>0</v>
      </c>
      <c r="DE33" s="70">
        <f>ROUND(IF(ISERROR(CL33),0,CL33),2)*100000+CG33*100+CE33+CK33/100+ROW()/100000</f>
        <v>101.00033000000001</v>
      </c>
      <c r="DF33" s="70">
        <f t="shared" si="1"/>
        <v>40</v>
      </c>
      <c r="DG33" s="70">
        <v>0</v>
      </c>
      <c r="DH33" s="97" t="str">
        <f t="shared" si="19"/>
        <v/>
      </c>
      <c r="DI33" s="105">
        <f>CQ33/(CG33-CH33)</f>
        <v>1</v>
      </c>
    </row>
    <row r="34" spans="1:113" x14ac:dyDescent="0.15">
      <c r="C34" s="70" t="s">
        <v>667</v>
      </c>
      <c r="K34" s="70" t="s">
        <v>390</v>
      </c>
      <c r="AA34" s="70" t="s">
        <v>668</v>
      </c>
      <c r="CE34" s="70">
        <f t="shared" si="2"/>
        <v>2</v>
      </c>
      <c r="CF34" s="70">
        <f t="shared" si="3"/>
        <v>0</v>
      </c>
      <c r="CG34" s="70">
        <f t="shared" si="4"/>
        <v>2</v>
      </c>
      <c r="CH34" s="70">
        <f t="shared" si="5"/>
        <v>0</v>
      </c>
      <c r="CI34" s="70">
        <f t="shared" si="6"/>
        <v>10</v>
      </c>
      <c r="CJ34" s="74">
        <f t="shared" si="0"/>
        <v>10</v>
      </c>
      <c r="CK34" s="70">
        <f t="shared" si="7"/>
        <v>11</v>
      </c>
      <c r="CL34" s="72">
        <f t="shared" si="8"/>
        <v>5.5</v>
      </c>
      <c r="CM34" s="70">
        <f t="shared" si="9"/>
        <v>11</v>
      </c>
      <c r="CN34" s="70">
        <f t="shared" si="10"/>
        <v>5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1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1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149" t="str">
        <f t="shared" si="21"/>
        <v/>
      </c>
      <c r="CY34" s="73">
        <f t="shared" si="12"/>
        <v>1</v>
      </c>
      <c r="CZ34" s="73">
        <f t="shared" si="13"/>
        <v>1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550202.11034000001</v>
      </c>
      <c r="DF34" s="70">
        <f t="shared" si="1"/>
        <v>32</v>
      </c>
      <c r="DG34" s="70">
        <v>0</v>
      </c>
      <c r="DH34" s="97" t="str">
        <f t="shared" si="19"/>
        <v/>
      </c>
      <c r="DI34" s="105">
        <f t="shared" si="20"/>
        <v>0</v>
      </c>
    </row>
    <row r="35" spans="1:113" x14ac:dyDescent="0.15">
      <c r="C35" s="70" t="s">
        <v>669</v>
      </c>
      <c r="AA35" s="70" t="s">
        <v>670</v>
      </c>
      <c r="AC35" s="70" t="s">
        <v>709</v>
      </c>
      <c r="CE35" s="70">
        <f>BatSplit(D35:CD35,MatchesPlayed)</f>
        <v>2</v>
      </c>
      <c r="CF35" s="70">
        <f t="shared" si="3"/>
        <v>0</v>
      </c>
      <c r="CG35" s="70">
        <f>BatSplit(D35:CD35,InnsBattedIn)</f>
        <v>2</v>
      </c>
      <c r="CH35" s="70">
        <f>BatSplit(D35:CD35,NotOuts)</f>
        <v>0</v>
      </c>
      <c r="CI35" s="70">
        <f>BatSplit(D35:CD35,HighestScore)</f>
        <v>12</v>
      </c>
      <c r="CJ35" s="74">
        <f t="shared" si="0"/>
        <v>12</v>
      </c>
      <c r="CK35" s="70">
        <f>BatSplit(D35:CD35,RunsScored)</f>
        <v>18</v>
      </c>
      <c r="CL35" s="72">
        <f>IF(CG35=CH35,0,CK35/(CG35-CH35))</f>
        <v>9</v>
      </c>
      <c r="CM35" s="70">
        <f>BatSplit(D35:CD35,BatPts)</f>
        <v>18</v>
      </c>
      <c r="CN35" s="70">
        <f>BatSplit(D35:CD35,FldPts)</f>
        <v>0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>BatSplit(D35:CD35,Ducks)</f>
        <v>0</v>
      </c>
      <c r="CR35" s="73">
        <f t="array" ref="CR35">SUM(IF(ISERR(FIND(CR$4,$D35:$CD35)),0,1))</f>
        <v>1</v>
      </c>
      <c r="CS35" s="73">
        <f t="array" ref="CS35">SUM(IF(ISERR(FIND(CS$4,$D35:$CD35)),0,1))</f>
        <v>0</v>
      </c>
      <c r="CT35" s="73">
        <f t="array" ref="CT35">SUM(IF(ISERR(FIND(CT$4,$D35:$CD35)),0,1))</f>
        <v>1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149" t="str">
        <f t="shared" si="21"/>
        <v/>
      </c>
      <c r="CY35" s="73">
        <f>BatSplit(D35:CD35,Catches)</f>
        <v>0</v>
      </c>
      <c r="CZ35" s="73">
        <f>BatSplit(D35:CD35,Fours)</f>
        <v>2</v>
      </c>
      <c r="DA35" s="73">
        <f>BatSplit(D35:CD35,Sixes)</f>
        <v>1</v>
      </c>
      <c r="DB35" s="73">
        <f>BatSplit(D35:CD35,Stumpings)</f>
        <v>0</v>
      </c>
      <c r="DC35" s="73">
        <f>BatSplit(D35:CD35,CaughtWkt)</f>
        <v>0</v>
      </c>
      <c r="DD35" s="73">
        <f>BatSplit(D35:CD35,TwentyFives)</f>
        <v>0</v>
      </c>
      <c r="DE35" s="70">
        <f>ROUND(IF(ISERROR(CL35),0,CL35),2)*100000+CG35*100+CE35+CK35/100+ROW()/100000</f>
        <v>900202.18035000004</v>
      </c>
      <c r="DF35" s="70">
        <f t="shared" si="1"/>
        <v>23</v>
      </c>
      <c r="DG35" s="70">
        <v>0</v>
      </c>
      <c r="DH35" s="97" t="str">
        <f t="shared" si="19"/>
        <v/>
      </c>
      <c r="DI35" s="105">
        <f>CQ35/(CG35-CH35)</f>
        <v>0</v>
      </c>
    </row>
    <row r="36" spans="1:113" x14ac:dyDescent="0.15">
      <c r="A36" s="70" t="s">
        <v>56</v>
      </c>
      <c r="B36" s="70" t="s">
        <v>27</v>
      </c>
      <c r="C36" s="70" t="s">
        <v>159</v>
      </c>
      <c r="E36" s="70" t="s">
        <v>261</v>
      </c>
      <c r="CE36" s="70">
        <f t="shared" si="2"/>
        <v>1</v>
      </c>
      <c r="CF36" s="70">
        <f t="shared" si="3"/>
        <v>0</v>
      </c>
      <c r="CG36" s="70">
        <f t="shared" si="4"/>
        <v>1</v>
      </c>
      <c r="CH36" s="70">
        <f t="shared" si="5"/>
        <v>0</v>
      </c>
      <c r="CI36" s="70">
        <f t="shared" si="6"/>
        <v>36</v>
      </c>
      <c r="CJ36" s="74">
        <f t="shared" si="0"/>
        <v>36</v>
      </c>
      <c r="CK36" s="70">
        <f t="shared" si="7"/>
        <v>36</v>
      </c>
      <c r="CL36" s="72">
        <f t="shared" si="8"/>
        <v>36</v>
      </c>
      <c r="CM36" s="70">
        <f t="shared" si="9"/>
        <v>36</v>
      </c>
      <c r="CN36" s="70">
        <f t="shared" si="10"/>
        <v>0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0</v>
      </c>
      <c r="CR36" s="73">
        <f t="array" ref="CR36">SUM(IF(ISERR(FIND(CR$4,$D36:$CD36)),0,1))</f>
        <v>0</v>
      </c>
      <c r="CS36" s="73">
        <f t="array" ref="CS36">SUM(IF(ISERR(FIND(CS$4,$D36:$CD36)),0,1))</f>
        <v>0</v>
      </c>
      <c r="CT36" s="73">
        <f t="array" ref="CT36">SUM(IF(ISERR(FIND(CT$4,$D36:$CD36)),0,1))</f>
        <v>0</v>
      </c>
      <c r="CU36" s="73">
        <f t="array" ref="CU36">SUM(IF(ISERR(FIND(CU$4,$D36:$CD36)),0,1))</f>
        <v>1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149" t="str">
        <f t="shared" si="21"/>
        <v/>
      </c>
      <c r="CY36" s="73">
        <f t="shared" si="12"/>
        <v>0</v>
      </c>
      <c r="CZ36" s="73">
        <f t="shared" si="13"/>
        <v>3</v>
      </c>
      <c r="DA36" s="73">
        <f t="shared" si="14"/>
        <v>1</v>
      </c>
      <c r="DB36" s="73">
        <f t="shared" si="15"/>
        <v>0</v>
      </c>
      <c r="DC36" s="73">
        <f t="shared" si="16"/>
        <v>0</v>
      </c>
      <c r="DD36" s="73">
        <f t="shared" si="17"/>
        <v>1</v>
      </c>
      <c r="DE36" s="70">
        <f t="shared" si="18"/>
        <v>3600101.3603599998</v>
      </c>
      <c r="DF36" s="70">
        <f t="shared" si="1"/>
        <v>6</v>
      </c>
      <c r="DG36" s="70">
        <v>0</v>
      </c>
      <c r="DH36" s="97" t="str">
        <f t="shared" si="19"/>
        <v/>
      </c>
      <c r="DI36" s="105">
        <f t="shared" si="20"/>
        <v>0</v>
      </c>
    </row>
    <row r="37" spans="1:113" x14ac:dyDescent="0.15">
      <c r="B37" s="70" t="s">
        <v>31</v>
      </c>
      <c r="C37" s="70" t="s">
        <v>688</v>
      </c>
      <c r="D37" s="70" t="s">
        <v>245</v>
      </c>
      <c r="F37" s="70" t="s">
        <v>293</v>
      </c>
      <c r="H37" s="70" t="s">
        <v>327</v>
      </c>
      <c r="L37" s="70" t="s">
        <v>412</v>
      </c>
      <c r="N37" s="70" t="s">
        <v>444</v>
      </c>
      <c r="P37" s="70" t="s">
        <v>487</v>
      </c>
      <c r="R37" s="70" t="s">
        <v>533</v>
      </c>
      <c r="S37" s="70" t="s">
        <v>541</v>
      </c>
      <c r="U37" s="70" t="s">
        <v>584</v>
      </c>
      <c r="Y37" s="70" t="s">
        <v>649</v>
      </c>
      <c r="Z37" s="70" t="s">
        <v>245</v>
      </c>
      <c r="AB37" s="70" t="s">
        <v>649</v>
      </c>
      <c r="AC37" s="70" t="s">
        <v>708</v>
      </c>
      <c r="AD37" s="70" t="s">
        <v>447</v>
      </c>
      <c r="CE37" s="70">
        <f t="shared" si="2"/>
        <v>14</v>
      </c>
      <c r="CF37" s="70">
        <f t="shared" si="3"/>
        <v>1</v>
      </c>
      <c r="CG37" s="70">
        <f t="shared" si="4"/>
        <v>13</v>
      </c>
      <c r="CH37" s="70">
        <f t="shared" si="5"/>
        <v>0</v>
      </c>
      <c r="CI37" s="70">
        <f t="shared" si="6"/>
        <v>11</v>
      </c>
      <c r="CJ37" s="74">
        <f t="shared" si="0"/>
        <v>11</v>
      </c>
      <c r="CK37" s="70">
        <f t="shared" si="7"/>
        <v>38</v>
      </c>
      <c r="CL37" s="72">
        <f t="shared" si="8"/>
        <v>2.9230769230769229</v>
      </c>
      <c r="CM37" s="70">
        <f t="shared" si="9"/>
        <v>13</v>
      </c>
      <c r="CN37" s="70">
        <f t="shared" si="10"/>
        <v>10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5</v>
      </c>
      <c r="CR37" s="73">
        <f t="array" ref="CR37">SUM(IF(ISERR(FIND(CR$4,$D37:$CD37)),0,1))</f>
        <v>6</v>
      </c>
      <c r="CS37" s="73">
        <f t="array" ref="CS37">SUM(IF(ISERR(FIND(CS$4,$D37:$CD37)),0,1))</f>
        <v>4</v>
      </c>
      <c r="CT37" s="73">
        <f t="array" ref="CT37">SUM(IF(ISERR(FIND(CT$4,$D37:$CD37)),0,1))</f>
        <v>2</v>
      </c>
      <c r="CU37" s="73">
        <f t="array" ref="CU37">SUM(IF(ISERR(FIND(CU$4,$D37:$CD37)),0,1))</f>
        <v>0</v>
      </c>
      <c r="CV37" s="73">
        <f t="array" ref="CV37">SUM(IF(ISERR(FIND(CV$4,$D37:$CD37)),0,1))</f>
        <v>1</v>
      </c>
      <c r="CW37" s="73">
        <f t="array" ref="CW37">SUM(IF(ISERR(FIND(CW$4,$D37:$CD37)),0,1))</f>
        <v>0</v>
      </c>
      <c r="CX37" s="149">
        <f t="shared" si="21"/>
        <v>0.46153846153846156</v>
      </c>
      <c r="CY37" s="73">
        <f t="shared" si="12"/>
        <v>2</v>
      </c>
      <c r="CZ37" s="73">
        <f t="shared" si="13"/>
        <v>5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293314.38037000003</v>
      </c>
      <c r="DF37" s="70">
        <f t="shared" si="1"/>
        <v>36</v>
      </c>
      <c r="DG37" s="70">
        <v>0</v>
      </c>
      <c r="DH37" s="97" t="str">
        <f t="shared" si="19"/>
        <v/>
      </c>
      <c r="DI37" s="105">
        <f t="shared" si="20"/>
        <v>0.38461538461538464</v>
      </c>
    </row>
    <row r="38" spans="1:113" x14ac:dyDescent="0.15">
      <c r="A38" s="70" t="s">
        <v>58</v>
      </c>
      <c r="B38" s="70" t="s">
        <v>27</v>
      </c>
      <c r="C38" s="70" t="s">
        <v>160</v>
      </c>
      <c r="I38" s="70" t="s">
        <v>344</v>
      </c>
      <c r="J38" s="70" t="s">
        <v>362</v>
      </c>
      <c r="K38" s="70" t="s">
        <v>385</v>
      </c>
      <c r="CE38" s="70">
        <f t="shared" si="2"/>
        <v>3</v>
      </c>
      <c r="CF38" s="70">
        <f t="shared" si="3"/>
        <v>0</v>
      </c>
      <c r="CG38" s="70">
        <f t="shared" si="4"/>
        <v>3</v>
      </c>
      <c r="CH38" s="70">
        <f t="shared" si="5"/>
        <v>0</v>
      </c>
      <c r="CI38" s="70">
        <f t="shared" si="6"/>
        <v>11</v>
      </c>
      <c r="CJ38" s="74">
        <f t="shared" si="0"/>
        <v>11</v>
      </c>
      <c r="CK38" s="70">
        <f t="shared" si="7"/>
        <v>21</v>
      </c>
      <c r="CL38" s="72">
        <f t="shared" si="8"/>
        <v>7</v>
      </c>
      <c r="CM38" s="70">
        <f t="shared" si="9"/>
        <v>21</v>
      </c>
      <c r="CN38" s="70">
        <f t="shared" si="10"/>
        <v>0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0</v>
      </c>
      <c r="CR38" s="73">
        <f t="array" ref="CR38">SUM(IF(ISERR(FIND(CR$4,$D38:$CD38)),0,1))</f>
        <v>3</v>
      </c>
      <c r="CS38" s="73">
        <f t="array" ref="CS38">SUM(IF(ISERR(FIND(CS$4,$D38:$CD38)),0,1))</f>
        <v>0</v>
      </c>
      <c r="CT38" s="73">
        <f t="array" ref="CT38">SUM(IF(ISERR(FIND(CT$4,$D38:$CD38)),0,1))</f>
        <v>0</v>
      </c>
      <c r="CU38" s="73">
        <f t="array" ref="CU38">SUM(IF(ISERR(FIND(CU$4,$D38:$CD38)),0,1))</f>
        <v>0</v>
      </c>
      <c r="CV38" s="73">
        <f t="array" ref="CV38">SUM(IF(ISERR(FIND(CV$4,$D38:$CD38)),0,1))</f>
        <v>0</v>
      </c>
      <c r="CW38" s="73">
        <f t="array" ref="CW38">SUM(IF(ISERR(FIND(CW$4,$D38:$CD38)),0,1))</f>
        <v>0</v>
      </c>
      <c r="CX38" s="149" t="str">
        <f t="shared" si="21"/>
        <v/>
      </c>
      <c r="CY38" s="73">
        <f t="shared" si="12"/>
        <v>0</v>
      </c>
      <c r="CZ38" s="73">
        <f t="shared" si="13"/>
        <v>2</v>
      </c>
      <c r="DA38" s="73">
        <f t="shared" si="14"/>
        <v>1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700303.21037999995</v>
      </c>
      <c r="DF38" s="70">
        <f t="shared" si="1"/>
        <v>27</v>
      </c>
      <c r="DG38" s="70">
        <v>0</v>
      </c>
      <c r="DH38" s="97" t="str">
        <f t="shared" si="19"/>
        <v/>
      </c>
      <c r="DI38" s="105">
        <f t="shared" si="20"/>
        <v>0</v>
      </c>
    </row>
    <row r="39" spans="1:113" x14ac:dyDescent="0.15">
      <c r="A39" s="70" t="s">
        <v>59</v>
      </c>
      <c r="B39" s="70" t="s">
        <v>29</v>
      </c>
      <c r="C39" s="70" t="s">
        <v>161</v>
      </c>
      <c r="I39" s="70" t="s">
        <v>343</v>
      </c>
      <c r="J39" s="70" t="s">
        <v>359</v>
      </c>
      <c r="CE39" s="70">
        <f t="shared" si="2"/>
        <v>2</v>
      </c>
      <c r="CF39" s="70">
        <f t="shared" si="3"/>
        <v>0</v>
      </c>
      <c r="CG39" s="70">
        <f t="shared" si="4"/>
        <v>2</v>
      </c>
      <c r="CH39" s="70">
        <f t="shared" si="5"/>
        <v>0</v>
      </c>
      <c r="CI39" s="70">
        <f t="shared" si="6"/>
        <v>24</v>
      </c>
      <c r="CJ39" s="74">
        <f t="shared" si="0"/>
        <v>24</v>
      </c>
      <c r="CK39" s="70">
        <f t="shared" si="7"/>
        <v>38</v>
      </c>
      <c r="CL39" s="72">
        <f t="shared" si="8"/>
        <v>19</v>
      </c>
      <c r="CM39" s="70">
        <f t="shared" si="9"/>
        <v>38</v>
      </c>
      <c r="CN39" s="70">
        <f t="shared" si="10"/>
        <v>5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2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149" t="str">
        <f t="shared" si="21"/>
        <v/>
      </c>
      <c r="CY39" s="73">
        <f t="shared" si="12"/>
        <v>1</v>
      </c>
      <c r="CZ39" s="73">
        <f t="shared" si="13"/>
        <v>4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1900202.3803899998</v>
      </c>
      <c r="DF39" s="70">
        <f t="shared" si="1"/>
        <v>10</v>
      </c>
      <c r="DG39" s="70">
        <v>0</v>
      </c>
      <c r="DH39" s="97" t="str">
        <f t="shared" si="19"/>
        <v/>
      </c>
      <c r="DI39" s="105">
        <f t="shared" si="20"/>
        <v>0</v>
      </c>
    </row>
    <row r="40" spans="1:113" x14ac:dyDescent="0.15">
      <c r="C40" s="70" t="s">
        <v>519</v>
      </c>
      <c r="P40" s="70" t="s">
        <v>486</v>
      </c>
      <c r="R40" s="70" t="s">
        <v>530</v>
      </c>
      <c r="S40" s="70" t="s">
        <v>543</v>
      </c>
      <c r="CE40" s="70">
        <f>BatSplit(D40:CD40,MatchesPlayed)</f>
        <v>3</v>
      </c>
      <c r="CF40" s="70">
        <f t="shared" si="3"/>
        <v>0</v>
      </c>
      <c r="CG40" s="70">
        <f>BatSplit(D40:CD40,InnsBattedIn)</f>
        <v>3</v>
      </c>
      <c r="CH40" s="70">
        <f>BatSplit(D40:CD40,NotOuts)</f>
        <v>0</v>
      </c>
      <c r="CI40" s="70">
        <f>BatSplit(D40:CD40,HighestScore)</f>
        <v>9</v>
      </c>
      <c r="CJ40" s="74">
        <f t="shared" si="0"/>
        <v>9</v>
      </c>
      <c r="CK40" s="70">
        <f>BatSplit(D40:CD40,RunsScored)</f>
        <v>13</v>
      </c>
      <c r="CL40" s="72">
        <f>IF(CG40=CH40,0,CK40/(CG40-CH40))</f>
        <v>4.333333333333333</v>
      </c>
      <c r="CM40" s="70">
        <f>BatSplit(D40:CD40,BatPts)</f>
        <v>8</v>
      </c>
      <c r="CN40" s="70">
        <f>BatSplit(D40:CD40,FldPts)</f>
        <v>0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>BatSplit(D40:CD40,Ducks)</f>
        <v>1</v>
      </c>
      <c r="CR40" s="73">
        <f t="array" ref="CR40">SUM(IF(ISERR(FIND(CR$4,$D40:$CD40)),0,1))</f>
        <v>3</v>
      </c>
      <c r="CS40" s="73">
        <f t="array" ref="CS40">SUM(IF(ISERR(FIND(CS$4,$D40:$CD40)),0,1))</f>
        <v>0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49" t="str">
        <f t="shared" si="21"/>
        <v/>
      </c>
      <c r="CY40" s="73">
        <f>BatSplit(D40:CD40,Catches)</f>
        <v>0</v>
      </c>
      <c r="CZ40" s="73">
        <f>BatSplit(D40:CD40,Fours)</f>
        <v>0</v>
      </c>
      <c r="DA40" s="73">
        <f>BatSplit(D40:CD40,Sixes)</f>
        <v>0</v>
      </c>
      <c r="DB40" s="73">
        <f>BatSplit(D40:CD40,Stumpings)</f>
        <v>0</v>
      </c>
      <c r="DC40" s="73">
        <f>BatSplit(D40:CD40,CaughtWkt)</f>
        <v>0</v>
      </c>
      <c r="DD40" s="73">
        <f>BatSplit(D40:CD40,TwentyFives)</f>
        <v>0</v>
      </c>
      <c r="DE40" s="70">
        <f>ROUND(IF(ISERROR(CL40),0,CL40),2)*100000+CG40*100+CE40+CK40/100+ROW()/100000</f>
        <v>433303.13040000002</v>
      </c>
      <c r="DF40" s="70">
        <f t="shared" si="1"/>
        <v>33</v>
      </c>
      <c r="DG40" s="70">
        <v>0</v>
      </c>
      <c r="DH40" s="97" t="str">
        <f t="shared" si="19"/>
        <v/>
      </c>
      <c r="DI40" s="105">
        <f>CQ40/(CG40-CH40)</f>
        <v>0.33333333333333331</v>
      </c>
    </row>
    <row r="41" spans="1:113" x14ac:dyDescent="0.15">
      <c r="B41" s="70" t="s">
        <v>277</v>
      </c>
      <c r="C41" s="70" t="s">
        <v>780</v>
      </c>
      <c r="I41" s="70" t="s">
        <v>341</v>
      </c>
      <c r="J41" s="70" t="s">
        <v>363</v>
      </c>
      <c r="AD41" s="70" t="s">
        <v>724</v>
      </c>
      <c r="CE41" s="70">
        <f t="shared" si="2"/>
        <v>3</v>
      </c>
      <c r="CF41" s="70">
        <f t="shared" si="3"/>
        <v>0</v>
      </c>
      <c r="CG41" s="70">
        <f t="shared" si="4"/>
        <v>3</v>
      </c>
      <c r="CH41" s="70">
        <f t="shared" si="5"/>
        <v>1</v>
      </c>
      <c r="CI41" s="70">
        <f t="shared" si="6"/>
        <v>100</v>
      </c>
      <c r="CJ41" s="74">
        <f t="shared" si="0"/>
        <v>100</v>
      </c>
      <c r="CK41" s="70">
        <f t="shared" si="7"/>
        <v>113</v>
      </c>
      <c r="CL41" s="72">
        <f t="shared" si="8"/>
        <v>56.5</v>
      </c>
      <c r="CM41" s="70">
        <f t="shared" si="9"/>
        <v>123</v>
      </c>
      <c r="CN41" s="70">
        <f t="shared" si="10"/>
        <v>10</v>
      </c>
      <c r="CO41" s="73">
        <f t="array" ref="CO41">SUM(IF(ISERR(FIND("*",D41:CD41)),0,1))</f>
        <v>0</v>
      </c>
      <c r="CP41" s="73">
        <f t="array" ref="CP41">SUM(IF(ISERR(FIND("+",D41:CD41)),0,1))</f>
        <v>0</v>
      </c>
      <c r="CQ41" s="70">
        <f t="shared" si="11"/>
        <v>0</v>
      </c>
      <c r="CR41" s="73">
        <f t="array" ref="CR41">SUM(IF(ISERR(FIND(CR$4,$D41:$CD41)),0,1))</f>
        <v>0</v>
      </c>
      <c r="CS41" s="73">
        <f t="array" ref="CS41">SUM(IF(ISERR(FIND(CS$4,$D41:$CD41)),0,1))</f>
        <v>0</v>
      </c>
      <c r="CT41" s="73">
        <f t="array" ref="CT41">SUM(IF(ISERR(FIND(CT$4,$D41:$CD41)),0,1))</f>
        <v>1</v>
      </c>
      <c r="CU41" s="73">
        <f t="array" ref="CU41">SUM(IF(ISERR(FIND(CU$4,$D41:$CD41)),0,1))</f>
        <v>0</v>
      </c>
      <c r="CV41" s="73">
        <f t="array" ref="CV41">SUM(IF(ISERR(FIND(CV$4,$D41:$CD41)),0,1))</f>
        <v>0</v>
      </c>
      <c r="CW41" s="73">
        <f t="array" ref="CW41">SUM(IF(ISERR(FIND(CW$4,$D41:$CD41)),0,1))</f>
        <v>0</v>
      </c>
      <c r="CX41" s="149" t="str">
        <f t="shared" si="21"/>
        <v/>
      </c>
      <c r="CY41" s="73">
        <f t="shared" si="12"/>
        <v>2</v>
      </c>
      <c r="CZ41" s="73">
        <f t="shared" si="13"/>
        <v>11</v>
      </c>
      <c r="DA41" s="73">
        <f t="shared" si="14"/>
        <v>4</v>
      </c>
      <c r="DB41" s="73">
        <f t="shared" si="15"/>
        <v>0</v>
      </c>
      <c r="DC41" s="73">
        <f t="shared" si="16"/>
        <v>0</v>
      </c>
      <c r="DD41" s="73">
        <f t="shared" si="17"/>
        <v>1</v>
      </c>
      <c r="DE41" s="70">
        <f t="shared" si="18"/>
        <v>5650304.1304099998</v>
      </c>
      <c r="DF41" s="70">
        <f t="shared" si="1"/>
        <v>2</v>
      </c>
      <c r="DG41" s="70">
        <v>0</v>
      </c>
      <c r="DH41" s="97">
        <f t="shared" si="19"/>
        <v>0.60176991150442483</v>
      </c>
      <c r="DI41" s="105">
        <f t="shared" si="20"/>
        <v>0</v>
      </c>
    </row>
    <row r="42" spans="1:113" x14ac:dyDescent="0.15">
      <c r="C42" s="70" t="s">
        <v>403</v>
      </c>
      <c r="L42" s="70" t="s">
        <v>404</v>
      </c>
      <c r="M42" s="70" t="s">
        <v>423</v>
      </c>
      <c r="O42" s="70" t="s">
        <v>469</v>
      </c>
      <c r="P42" s="70" t="s">
        <v>484</v>
      </c>
      <c r="Q42" s="70" t="s">
        <v>505</v>
      </c>
      <c r="R42" s="70" t="s">
        <v>525</v>
      </c>
      <c r="S42" s="70" t="s">
        <v>544</v>
      </c>
      <c r="T42" s="70" t="s">
        <v>565</v>
      </c>
      <c r="X42" s="70" t="s">
        <v>447</v>
      </c>
      <c r="Z42" s="70" t="s">
        <v>656</v>
      </c>
      <c r="CE42" s="70">
        <f t="shared" si="2"/>
        <v>10</v>
      </c>
      <c r="CF42" s="70">
        <f t="shared" si="3"/>
        <v>1</v>
      </c>
      <c r="CG42" s="70">
        <f t="shared" si="4"/>
        <v>9</v>
      </c>
      <c r="CH42" s="70">
        <f t="shared" si="5"/>
        <v>0</v>
      </c>
      <c r="CI42" s="70">
        <f t="shared" si="6"/>
        <v>60</v>
      </c>
      <c r="CJ42" s="74">
        <f t="shared" si="0"/>
        <v>60</v>
      </c>
      <c r="CK42" s="70">
        <f t="shared" si="7"/>
        <v>142</v>
      </c>
      <c r="CL42" s="72">
        <f t="shared" si="8"/>
        <v>15.777777777777779</v>
      </c>
      <c r="CM42" s="70">
        <f t="shared" si="9"/>
        <v>147</v>
      </c>
      <c r="CN42" s="70">
        <f t="shared" si="10"/>
        <v>10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 t="shared" si="11"/>
        <v>1</v>
      </c>
      <c r="CR42" s="73">
        <f t="array" ref="CR42">SUM(IF(ISERR(FIND(CR$4,$D42:$CD42)),0,1))</f>
        <v>2</v>
      </c>
      <c r="CS42" s="73">
        <f t="array" ref="CS42">SUM(IF(ISERR(FIND(CS$4,$D42:$CD42)),0,1))</f>
        <v>6</v>
      </c>
      <c r="CT42" s="73">
        <f t="array" ref="CT42">SUM(IF(ISERR(FIND(CT$4,$D42:$CD42)),0,1))</f>
        <v>0</v>
      </c>
      <c r="CU42" s="73">
        <f t="array" ref="CU42">SUM(IF(ISERR(FIND(CU$4,$D42:$CD42)),0,1))</f>
        <v>0</v>
      </c>
      <c r="CV42" s="73">
        <f t="array" ref="CV42">SUM(IF(ISERR(FIND(CV$4,$D42:$CD42)),0,1))</f>
        <v>1</v>
      </c>
      <c r="CW42" s="73">
        <f t="array" ref="CW42">SUM(IF(ISERR(FIND(CW$4,$D42:$CD42)),0,1))</f>
        <v>0</v>
      </c>
      <c r="CX42" s="149" t="str">
        <f t="shared" si="21"/>
        <v/>
      </c>
      <c r="CY42" s="73">
        <f t="shared" si="12"/>
        <v>2</v>
      </c>
      <c r="CZ42" s="73">
        <f t="shared" si="13"/>
        <v>22</v>
      </c>
      <c r="DA42" s="73">
        <f t="shared" si="14"/>
        <v>3</v>
      </c>
      <c r="DB42" s="73">
        <f t="shared" si="15"/>
        <v>0</v>
      </c>
      <c r="DC42" s="73">
        <f t="shared" si="16"/>
        <v>0</v>
      </c>
      <c r="DD42" s="73">
        <f t="shared" si="17"/>
        <v>1</v>
      </c>
      <c r="DE42" s="70">
        <f t="shared" si="18"/>
        <v>1578911.4204199999</v>
      </c>
      <c r="DF42" s="70">
        <f t="shared" si="1"/>
        <v>12</v>
      </c>
      <c r="DG42" s="70">
        <v>0</v>
      </c>
      <c r="DH42" s="97">
        <f t="shared" si="19"/>
        <v>0.74647887323943662</v>
      </c>
      <c r="DI42" s="105">
        <f t="shared" si="20"/>
        <v>0.1111111111111111</v>
      </c>
    </row>
    <row r="43" spans="1:113" x14ac:dyDescent="0.15">
      <c r="B43" s="70" t="s">
        <v>386</v>
      </c>
      <c r="C43" s="70" t="s">
        <v>781</v>
      </c>
      <c r="K43" s="70" t="s">
        <v>388</v>
      </c>
      <c r="CE43" s="70">
        <f t="shared" si="2"/>
        <v>1</v>
      </c>
      <c r="CF43" s="70">
        <f t="shared" si="3"/>
        <v>0</v>
      </c>
      <c r="CG43" s="70">
        <f t="shared" si="4"/>
        <v>1</v>
      </c>
      <c r="CH43" s="70">
        <f t="shared" si="5"/>
        <v>0</v>
      </c>
      <c r="CI43" s="70">
        <f t="shared" si="6"/>
        <v>7</v>
      </c>
      <c r="CJ43" s="74">
        <f t="shared" si="0"/>
        <v>7</v>
      </c>
      <c r="CK43" s="70">
        <f t="shared" si="7"/>
        <v>7</v>
      </c>
      <c r="CL43" s="72">
        <f t="shared" si="8"/>
        <v>7</v>
      </c>
      <c r="CM43" s="70">
        <f t="shared" si="9"/>
        <v>7</v>
      </c>
      <c r="CN43" s="70">
        <f t="shared" si="10"/>
        <v>5</v>
      </c>
      <c r="CO43" s="73">
        <f t="array" ref="CO43">SUM(IF(ISERR(FIND("*",D43:CD43)),0,1))</f>
        <v>0</v>
      </c>
      <c r="CP43" s="73">
        <f t="array" ref="CP43">SUM(IF(ISERR(FIND("+",D43:CD43)),0,1))</f>
        <v>0</v>
      </c>
      <c r="CQ43" s="70">
        <f t="shared" si="11"/>
        <v>0</v>
      </c>
      <c r="CR43" s="73">
        <f t="array" ref="CR43">SUM(IF(ISERR(FIND(CR$4,$D43:$CD43)),0,1))</f>
        <v>0</v>
      </c>
      <c r="CS43" s="73">
        <f t="array" ref="CS43">SUM(IF(ISERR(FIND(CS$4,$D43:$CD43)),0,1))</f>
        <v>1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149" t="str">
        <f t="shared" si="21"/>
        <v/>
      </c>
      <c r="CY43" s="73">
        <f t="shared" si="12"/>
        <v>1</v>
      </c>
      <c r="CZ43" s="73">
        <f t="shared" si="13"/>
        <v>1</v>
      </c>
      <c r="DA43" s="73">
        <f t="shared" si="14"/>
        <v>0</v>
      </c>
      <c r="DB43" s="73">
        <f t="shared" si="15"/>
        <v>0</v>
      </c>
      <c r="DC43" s="73">
        <f t="shared" si="16"/>
        <v>0</v>
      </c>
      <c r="DD43" s="73">
        <f t="shared" si="17"/>
        <v>0</v>
      </c>
      <c r="DE43" s="70">
        <f t="shared" si="18"/>
        <v>700101.07042999996</v>
      </c>
      <c r="DF43" s="70">
        <f t="shared" si="1"/>
        <v>28</v>
      </c>
      <c r="DG43" s="70">
        <v>0</v>
      </c>
      <c r="DH43" s="97" t="str">
        <f t="shared" si="19"/>
        <v/>
      </c>
      <c r="DI43" s="105">
        <f t="shared" si="20"/>
        <v>0</v>
      </c>
    </row>
    <row r="44" spans="1:113" x14ac:dyDescent="0.15">
      <c r="B44" s="70" t="s">
        <v>227</v>
      </c>
      <c r="C44" s="70" t="s">
        <v>228</v>
      </c>
      <c r="D44" s="70" t="s">
        <v>240</v>
      </c>
      <c r="H44" s="70" t="s">
        <v>328</v>
      </c>
      <c r="M44" s="70" t="s">
        <v>430</v>
      </c>
      <c r="O44" s="70" t="s">
        <v>474</v>
      </c>
      <c r="Q44" s="70" t="s">
        <v>511</v>
      </c>
      <c r="T44" s="70" t="s">
        <v>449</v>
      </c>
      <c r="V44" s="70" t="s">
        <v>602</v>
      </c>
      <c r="X44" s="70" t="s">
        <v>449</v>
      </c>
      <c r="Z44" s="70" t="s">
        <v>268</v>
      </c>
      <c r="CE44" s="70">
        <f t="shared" si="2"/>
        <v>9</v>
      </c>
      <c r="CF44" s="70">
        <f t="shared" si="3"/>
        <v>3</v>
      </c>
      <c r="CG44" s="70">
        <f t="shared" si="4"/>
        <v>6</v>
      </c>
      <c r="CH44" s="70">
        <f t="shared" si="5"/>
        <v>1</v>
      </c>
      <c r="CI44" s="70">
        <f t="shared" si="6"/>
        <v>-10</v>
      </c>
      <c r="CJ44" s="74" t="str">
        <f t="shared" si="0"/>
        <v>10*</v>
      </c>
      <c r="CK44" s="70">
        <f t="shared" si="7"/>
        <v>17</v>
      </c>
      <c r="CL44" s="72">
        <f t="shared" si="8"/>
        <v>3.4</v>
      </c>
      <c r="CM44" s="70">
        <f t="shared" si="9"/>
        <v>12</v>
      </c>
      <c r="CN44" s="70">
        <f t="shared" si="10"/>
        <v>20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 t="shared" si="11"/>
        <v>1</v>
      </c>
      <c r="CR44" s="73">
        <f t="array" ref="CR44">SUM(IF(ISERR(FIND(CR$4,$D44:$CD44)),0,1))</f>
        <v>3</v>
      </c>
      <c r="CS44" s="73">
        <f t="array" ref="CS44">SUM(IF(ISERR(FIND(CS$4,$D44:$CD44)),0,1))</f>
        <v>1</v>
      </c>
      <c r="CT44" s="73">
        <f t="array" ref="CT44">SUM(IF(ISERR(FIND(CT$4,$D44:$CD44)),0,1))</f>
        <v>0</v>
      </c>
      <c r="CU44" s="73">
        <f t="array" ref="CU44">SUM(IF(ISERR(FIND(CU$4,$D44:$CD44)),0,1))</f>
        <v>1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49" t="str">
        <f t="shared" si="21"/>
        <v/>
      </c>
      <c r="CY44" s="73">
        <f t="shared" si="12"/>
        <v>4</v>
      </c>
      <c r="CZ44" s="73">
        <f t="shared" si="13"/>
        <v>1</v>
      </c>
      <c r="DA44" s="73">
        <f t="shared" si="14"/>
        <v>0</v>
      </c>
      <c r="DB44" s="73">
        <f t="shared" si="15"/>
        <v>0</v>
      </c>
      <c r="DC44" s="73">
        <f t="shared" si="16"/>
        <v>0</v>
      </c>
      <c r="DD44" s="73">
        <f t="shared" si="17"/>
        <v>0</v>
      </c>
      <c r="DE44" s="70">
        <f t="shared" si="18"/>
        <v>340609.17043999996</v>
      </c>
      <c r="DF44" s="70">
        <f t="shared" si="1"/>
        <v>35</v>
      </c>
      <c r="DG44" s="70">
        <v>0</v>
      </c>
      <c r="DH44" s="97" t="str">
        <f t="shared" si="19"/>
        <v/>
      </c>
      <c r="DI44" s="105">
        <f t="shared" si="20"/>
        <v>0.2</v>
      </c>
    </row>
    <row r="45" spans="1:113" x14ac:dyDescent="0.15">
      <c r="A45" s="70" t="s">
        <v>63</v>
      </c>
      <c r="B45" s="70" t="s">
        <v>26</v>
      </c>
      <c r="C45" s="70" t="s">
        <v>162</v>
      </c>
      <c r="D45" s="70" t="s">
        <v>238</v>
      </c>
      <c r="F45" s="70" t="s">
        <v>287</v>
      </c>
      <c r="G45" s="70" t="s">
        <v>302</v>
      </c>
      <c r="H45" s="70" t="s">
        <v>322</v>
      </c>
      <c r="I45" s="70" t="s">
        <v>339</v>
      </c>
      <c r="J45" s="70" t="s">
        <v>374</v>
      </c>
      <c r="K45" s="70" t="s">
        <v>394</v>
      </c>
      <c r="L45" s="70" t="s">
        <v>402</v>
      </c>
      <c r="P45" s="70" t="s">
        <v>480</v>
      </c>
      <c r="Q45" s="70" t="s">
        <v>508</v>
      </c>
      <c r="S45" s="70" t="s">
        <v>538</v>
      </c>
      <c r="T45" s="70" t="s">
        <v>563</v>
      </c>
      <c r="V45" s="70" t="s">
        <v>596</v>
      </c>
      <c r="X45" s="70" t="s">
        <v>627</v>
      </c>
      <c r="Z45" s="70" t="s">
        <v>655</v>
      </c>
      <c r="AC45" s="70" t="s">
        <v>707</v>
      </c>
      <c r="AD45" s="70" t="s">
        <v>722</v>
      </c>
      <c r="CE45" s="70">
        <f t="shared" si="2"/>
        <v>17</v>
      </c>
      <c r="CF45" s="70">
        <f t="shared" si="3"/>
        <v>0</v>
      </c>
      <c r="CG45" s="70">
        <f t="shared" si="4"/>
        <v>17</v>
      </c>
      <c r="CH45" s="70">
        <f t="shared" si="5"/>
        <v>0</v>
      </c>
      <c r="CI45" s="70">
        <f t="shared" si="6"/>
        <v>48</v>
      </c>
      <c r="CJ45" s="74">
        <f t="shared" si="0"/>
        <v>48</v>
      </c>
      <c r="CK45" s="70">
        <f t="shared" si="7"/>
        <v>223</v>
      </c>
      <c r="CL45" s="72">
        <f t="shared" si="8"/>
        <v>13.117647058823529</v>
      </c>
      <c r="CM45" s="70">
        <f t="shared" si="9"/>
        <v>208</v>
      </c>
      <c r="CN45" s="70">
        <f t="shared" si="10"/>
        <v>15</v>
      </c>
      <c r="CO45" s="73">
        <f t="array" ref="CO45">SUM(IF(ISERR(FIND("*",D45:CD45)),0,1))</f>
        <v>2</v>
      </c>
      <c r="CP45" s="73">
        <f t="array" ref="CP45">SUM(IF(ISERR(FIND("+",D45:CD45)),0,1))</f>
        <v>3</v>
      </c>
      <c r="CQ45" s="70">
        <f t="shared" si="11"/>
        <v>3</v>
      </c>
      <c r="CR45" s="73">
        <f t="array" ref="CR45">SUM(IF(ISERR(FIND(CR$4,$D45:$CD45)),0,1))</f>
        <v>8</v>
      </c>
      <c r="CS45" s="73">
        <f t="array" ref="CS45">SUM(IF(ISERR(FIND(CS$4,$D45:$CD45)),0,1))</f>
        <v>5</v>
      </c>
      <c r="CT45" s="73">
        <f t="array" ref="CT45">SUM(IF(ISERR(FIND(CT$4,$D45:$CD45)),0,1))</f>
        <v>3</v>
      </c>
      <c r="CU45" s="73">
        <f t="array" ref="CU45">SUM(IF(ISERR(FIND(CU$4,$D45:$CD45)),0,1))</f>
        <v>0</v>
      </c>
      <c r="CV45" s="73">
        <f t="array" ref="CV45">SUM(IF(ISERR(FIND(CV$4,$D45:$CD45)),0,1))</f>
        <v>1</v>
      </c>
      <c r="CW45" s="73">
        <f t="array" ref="CW45">SUM(IF(ISERR(FIND(CW$4,$D45:$CD45)),0,1))</f>
        <v>0</v>
      </c>
      <c r="CX45" s="149">
        <f t="shared" si="21"/>
        <v>0.47058823529411764</v>
      </c>
      <c r="CY45" s="73">
        <f t="shared" si="12"/>
        <v>3</v>
      </c>
      <c r="CZ45" s="73">
        <f t="shared" si="13"/>
        <v>30</v>
      </c>
      <c r="DA45" s="73">
        <f t="shared" si="14"/>
        <v>0</v>
      </c>
      <c r="DB45" s="73">
        <f t="shared" si="15"/>
        <v>1</v>
      </c>
      <c r="DC45" s="73">
        <f t="shared" si="16"/>
        <v>0</v>
      </c>
      <c r="DD45" s="73">
        <f t="shared" si="17"/>
        <v>3</v>
      </c>
      <c r="DE45" s="70">
        <f t="shared" si="18"/>
        <v>1313719.2304499999</v>
      </c>
      <c r="DF45" s="70">
        <f t="shared" si="1"/>
        <v>15</v>
      </c>
      <c r="DG45" s="70">
        <v>0</v>
      </c>
      <c r="DH45" s="97">
        <f t="shared" si="19"/>
        <v>0.53811659192825112</v>
      </c>
      <c r="DI45" s="105">
        <f t="shared" si="20"/>
        <v>0.17647058823529413</v>
      </c>
    </row>
    <row r="46" spans="1:113" x14ac:dyDescent="0.15">
      <c r="A46" s="70" t="s">
        <v>60</v>
      </c>
      <c r="B46" s="70" t="s">
        <v>33</v>
      </c>
      <c r="C46" s="70" t="s">
        <v>163</v>
      </c>
      <c r="F46" s="70" t="s">
        <v>289</v>
      </c>
      <c r="H46" s="70" t="s">
        <v>324</v>
      </c>
      <c r="M46" s="70" t="s">
        <v>425</v>
      </c>
      <c r="O46" s="70" t="s">
        <v>470</v>
      </c>
      <c r="S46" s="70" t="s">
        <v>540</v>
      </c>
      <c r="U46" s="70" t="s">
        <v>384</v>
      </c>
      <c r="V46" s="70" t="s">
        <v>598</v>
      </c>
      <c r="W46" s="70" t="s">
        <v>608</v>
      </c>
      <c r="X46" s="70" t="s">
        <v>629</v>
      </c>
      <c r="Z46" s="70" t="s">
        <v>304</v>
      </c>
      <c r="AE46" s="70" t="s">
        <v>738</v>
      </c>
      <c r="CE46" s="70">
        <f t="shared" si="2"/>
        <v>11</v>
      </c>
      <c r="CF46" s="70">
        <f t="shared" si="3"/>
        <v>0</v>
      </c>
      <c r="CG46" s="70">
        <f t="shared" si="4"/>
        <v>11</v>
      </c>
      <c r="CH46" s="70">
        <f t="shared" si="5"/>
        <v>0</v>
      </c>
      <c r="CI46" s="70">
        <f t="shared" si="6"/>
        <v>50</v>
      </c>
      <c r="CJ46" s="74">
        <f t="shared" si="0"/>
        <v>50</v>
      </c>
      <c r="CK46" s="70">
        <f t="shared" si="7"/>
        <v>151</v>
      </c>
      <c r="CL46" s="72">
        <f t="shared" si="8"/>
        <v>13.727272727272727</v>
      </c>
      <c r="CM46" s="70">
        <f t="shared" si="9"/>
        <v>146</v>
      </c>
      <c r="CN46" s="70">
        <f t="shared" si="10"/>
        <v>15</v>
      </c>
      <c r="CO46" s="73">
        <f t="array" ref="CO46">SUM(IF(ISERR(FIND("*",D46:CD46)),0,1))</f>
        <v>0</v>
      </c>
      <c r="CP46" s="73">
        <f t="array" ref="CP46">SUM(IF(ISERR(FIND("+",D46:CD46)),0,1))</f>
        <v>4</v>
      </c>
      <c r="CQ46" s="70">
        <f t="shared" si="11"/>
        <v>3</v>
      </c>
      <c r="CR46" s="73">
        <f t="array" ref="CR46">SUM(IF(ISERR(FIND(CR$4,$D46:$CD46)),0,1))</f>
        <v>2</v>
      </c>
      <c r="CS46" s="73">
        <f t="array" ref="CS46">SUM(IF(ISERR(FIND(CS$4,$D46:$CD46)),0,1))</f>
        <v>6</v>
      </c>
      <c r="CT46" s="73">
        <f t="array" ref="CT46">SUM(IF(ISERR(FIND(CT$4,$D46:$CD46)),0,1))</f>
        <v>3</v>
      </c>
      <c r="CU46" s="73">
        <f t="array" ref="CU46">SUM(IF(ISERR(FIND(CU$4,$D46:$CD46)),0,1))</f>
        <v>0</v>
      </c>
      <c r="CV46" s="73">
        <f t="array" ref="CV46">SUM(IF(ISERR(FIND(CV$4,$D46:$CD46)),0,1))</f>
        <v>0</v>
      </c>
      <c r="CW46" s="73">
        <f t="array" ref="CW46">SUM(IF(ISERR(FIND(CW$4,$D46:$CD46)),0,1))</f>
        <v>0</v>
      </c>
      <c r="CX46" s="149">
        <f t="shared" si="21"/>
        <v>0.54545454545454541</v>
      </c>
      <c r="CY46" s="73">
        <f t="shared" si="12"/>
        <v>6</v>
      </c>
      <c r="CZ46" s="73">
        <f t="shared" si="13"/>
        <v>20</v>
      </c>
      <c r="DA46" s="73">
        <f t="shared" si="14"/>
        <v>2</v>
      </c>
      <c r="DB46" s="73">
        <f t="shared" si="15"/>
        <v>2</v>
      </c>
      <c r="DC46" s="73">
        <f t="shared" si="16"/>
        <v>3</v>
      </c>
      <c r="DD46" s="73">
        <f t="shared" si="17"/>
        <v>2</v>
      </c>
      <c r="DE46" s="70">
        <f t="shared" si="18"/>
        <v>1374112.51046</v>
      </c>
      <c r="DF46" s="70">
        <f t="shared" si="1"/>
        <v>14</v>
      </c>
      <c r="DG46" s="70">
        <v>0</v>
      </c>
      <c r="DH46" s="97">
        <f t="shared" si="19"/>
        <v>0.60927152317880795</v>
      </c>
      <c r="DI46" s="105">
        <f t="shared" si="20"/>
        <v>0.27272727272727271</v>
      </c>
    </row>
    <row r="47" spans="1:113" x14ac:dyDescent="0.15">
      <c r="CJ47" s="74"/>
      <c r="CL47" s="72"/>
      <c r="CO47" s="73"/>
      <c r="CP47" s="73"/>
      <c r="CR47" s="73"/>
      <c r="CS47" s="73"/>
      <c r="CT47" s="73"/>
      <c r="CU47" s="73"/>
      <c r="CV47" s="73"/>
      <c r="CW47" s="73"/>
      <c r="CX47" s="73"/>
    </row>
    <row r="48" spans="1:113" x14ac:dyDescent="0.15">
      <c r="CO48" s="98">
        <f t="shared" ref="CO48:CV48" si="22">SUM(CO5:CO47)</f>
        <v>28</v>
      </c>
      <c r="CP48" s="98">
        <f t="shared" si="22"/>
        <v>31</v>
      </c>
      <c r="CQ48" s="62">
        <f t="shared" si="22"/>
        <v>52</v>
      </c>
      <c r="CR48" s="75">
        <f t="shared" si="22"/>
        <v>93</v>
      </c>
      <c r="CS48" s="75">
        <f t="shared" si="22"/>
        <v>78</v>
      </c>
      <c r="CT48" s="75">
        <f t="shared" si="22"/>
        <v>30</v>
      </c>
      <c r="CU48" s="75">
        <f t="shared" si="22"/>
        <v>10</v>
      </c>
      <c r="CV48" s="75">
        <f t="shared" si="22"/>
        <v>13</v>
      </c>
      <c r="CW48" s="75"/>
      <c r="CX48" s="75"/>
      <c r="CY48" s="62">
        <f t="shared" ref="CY48:DD48" si="23">SUM(CY5:CY47)</f>
        <v>74</v>
      </c>
      <c r="CZ48" s="62">
        <f t="shared" si="23"/>
        <v>439</v>
      </c>
      <c r="DA48" s="62">
        <f t="shared" si="23"/>
        <v>40</v>
      </c>
      <c r="DB48" s="62">
        <f t="shared" si="23"/>
        <v>17</v>
      </c>
      <c r="DC48" s="62">
        <f t="shared" si="23"/>
        <v>18</v>
      </c>
      <c r="DD48" s="62">
        <f t="shared" si="23"/>
        <v>34</v>
      </c>
    </row>
    <row r="49" spans="2:108" x14ac:dyDescent="0.15">
      <c r="C49" s="70" t="s">
        <v>135</v>
      </c>
      <c r="D49" s="70">
        <f t="array" ref="D49">SUM(IF(NOT(ISERR(FIND("*",D5:D46))),1,0))</f>
        <v>1</v>
      </c>
      <c r="E49" s="70">
        <f t="array" ref="E49">SUM(IF(NOT(ISERR(FIND("*",E5:E46))),1,0))</f>
        <v>1</v>
      </c>
      <c r="F49" s="70">
        <f t="array" ref="F49">SUM(IF(NOT(ISERR(FIND("*",F5:F46))),1,0))</f>
        <v>1</v>
      </c>
      <c r="G49" s="70">
        <f t="array" ref="G49">SUM(IF(NOT(ISERR(FIND("*",G5:G46))),1,0))</f>
        <v>1</v>
      </c>
      <c r="H49" s="70">
        <f t="array" ref="H49">SUM(IF(NOT(ISERR(FIND("*",H5:H46))),1,0))</f>
        <v>1</v>
      </c>
      <c r="I49" s="70">
        <f t="array" ref="I49">SUM(IF(NOT(ISERR(FIND("*",I5:I46))),1,0))</f>
        <v>1</v>
      </c>
      <c r="J49" s="70">
        <f t="array" ref="J49">SUM(IF(NOT(ISERR(FIND("*",J5:J46))),1,0))</f>
        <v>1</v>
      </c>
      <c r="K49" s="70">
        <f t="array" ref="K49">SUM(IF(NOT(ISERR(FIND("*",K5:K46))),1,0))</f>
        <v>1</v>
      </c>
      <c r="L49" s="70">
        <f t="array" ref="L49">SUM(IF(NOT(ISERR(FIND("*",L5:L46))),1,0))</f>
        <v>1</v>
      </c>
      <c r="M49" s="70">
        <f t="array" ref="M49">SUM(IF(NOT(ISERR(FIND("*",M5:M46))),1,0))</f>
        <v>1</v>
      </c>
      <c r="N49" s="70">
        <f t="array" ref="N49">SUM(IF(NOT(ISERR(FIND("*",N5:N46))),1,0))</f>
        <v>1</v>
      </c>
      <c r="O49" s="70">
        <f t="array" ref="O49">SUM(IF(NOT(ISERR(FIND("*",O5:O46))),1,0))</f>
        <v>1</v>
      </c>
      <c r="P49" s="70">
        <f t="array" ref="P49">SUM(IF(NOT(ISERR(FIND("*",P5:P46))),1,0))</f>
        <v>1</v>
      </c>
      <c r="Q49" s="70">
        <f t="array" ref="Q49">SUM(IF(NOT(ISERR(FIND("*",Q5:Q46))),1,0))</f>
        <v>1</v>
      </c>
      <c r="R49" s="70">
        <f t="array" ref="R49">SUM(IF(NOT(ISERR(FIND("*",R5:R46))),1,0))</f>
        <v>1</v>
      </c>
      <c r="S49" s="70">
        <f t="array" ref="S49">SUM(IF(NOT(ISERR(FIND("*",S5:S46))),1,0))</f>
        <v>1</v>
      </c>
      <c r="T49" s="70">
        <f t="array" ref="T49">SUM(IF(NOT(ISERR(FIND("*",T5:T46))),1,0))</f>
        <v>1</v>
      </c>
      <c r="U49" s="70">
        <f t="array" ref="U49">SUM(IF(NOT(ISERR(FIND("*",U5:U46))),1,0))</f>
        <v>1</v>
      </c>
      <c r="V49" s="70">
        <f t="array" ref="V49">SUM(IF(NOT(ISERR(FIND("*",V5:V46))),1,0))</f>
        <v>1</v>
      </c>
      <c r="W49" s="70">
        <f t="array" ref="W49">SUM(IF(NOT(ISERR(FIND("*",W5:W46))),1,0))</f>
        <v>1</v>
      </c>
      <c r="X49" s="70">
        <f t="array" ref="X49">SUM(IF(NOT(ISERR(FIND("*",X5:X46))),1,0))</f>
        <v>1</v>
      </c>
      <c r="Y49" s="70">
        <f t="array" ref="Y49">SUM(IF(NOT(ISERR(FIND("*",Y5:Y46))),1,0))</f>
        <v>1</v>
      </c>
      <c r="Z49" s="70">
        <f t="array" ref="Z49">SUM(IF(NOT(ISERR(FIND("*",Z5:Z46))),1,0))</f>
        <v>1</v>
      </c>
      <c r="AA49" s="70">
        <f t="array" ref="AA49">SUM(IF(NOT(ISERR(FIND("*",AA5:AA46))),1,0))</f>
        <v>1</v>
      </c>
      <c r="AB49" s="70">
        <f t="array" ref="AB49">SUM(IF(NOT(ISERR(FIND("*",AB5:AB46))),1,0))</f>
        <v>1</v>
      </c>
      <c r="AC49" s="70">
        <f t="array" ref="AC49">SUM(IF(NOT(ISERR(FIND("*",AC5:AC46))),1,0))</f>
        <v>1</v>
      </c>
      <c r="AD49" s="70">
        <f t="array" ref="AD49">SUM(IF(NOT(ISERR(FIND("*",AD5:AD46))),1,0))</f>
        <v>1</v>
      </c>
      <c r="AE49" s="70">
        <f t="array" ref="AE49">SUM(IF(NOT(ISERR(FIND("*",AE5:AE46))),1,0))</f>
        <v>1</v>
      </c>
      <c r="AF49" s="70">
        <f t="array" ref="AF49">SUM(IF(NOT(ISERR(FIND("*",AF5:AF46))),1,0))</f>
        <v>0</v>
      </c>
      <c r="AG49" s="70">
        <f t="array" ref="AG49">SUM(IF(NOT(ISERR(FIND("*",AG5:AG46))),1,0))</f>
        <v>0</v>
      </c>
      <c r="AH49" s="70">
        <f t="array" ref="AH49">SUM(IF(NOT(ISERR(FIND("*",AH5:AH46))),1,0))</f>
        <v>0</v>
      </c>
      <c r="AI49" s="70">
        <f t="array" ref="AI49">SUM(IF(NOT(ISERR(FIND("*",AI5:AI46))),1,0))</f>
        <v>0</v>
      </c>
      <c r="AJ49" s="70">
        <f t="array" ref="AJ49">SUM(IF(NOT(ISERR(FIND("*",AJ5:AJ46))),1,0))</f>
        <v>0</v>
      </c>
      <c r="AK49" s="70">
        <f t="array" ref="AK49">SUM(IF(NOT(ISERR(FIND("*",AK5:AK46))),1,0))</f>
        <v>0</v>
      </c>
      <c r="AL49" s="70">
        <f t="array" ref="AL49">SUM(IF(NOT(ISERR(FIND("*",AL5:AL46))),1,0))</f>
        <v>0</v>
      </c>
      <c r="AM49" s="70">
        <f t="array" ref="AM49">SUM(IF(NOT(ISERR(FIND("*",AM5:AM46))),1,0))</f>
        <v>0</v>
      </c>
      <c r="AN49" s="70">
        <f t="array" ref="AN49">SUM(IF(NOT(ISERR(FIND("*",AN5:AN46))),1,0))</f>
        <v>0</v>
      </c>
      <c r="AO49" s="70">
        <f t="array" ref="AO49">SUM(IF(NOT(ISERR(FIND("*",AO5:AO46))),1,0))</f>
        <v>0</v>
      </c>
      <c r="AP49" s="70">
        <f t="array" ref="AP49">SUM(IF(NOT(ISERR(FIND("*",AP5:AP46))),1,0))</f>
        <v>0</v>
      </c>
      <c r="AQ49" s="70">
        <f t="array" ref="AQ49">SUM(IF(NOT(ISERR(FIND("*",AQ5:AQ46))),1,0))</f>
        <v>0</v>
      </c>
      <c r="AR49" s="70">
        <f t="array" ref="AR49">SUM(IF(NOT(ISERR(FIND("*",AR5:AR46))),1,0))</f>
        <v>0</v>
      </c>
      <c r="AS49" s="70">
        <f t="array" ref="AS49">SUM(IF(NOT(ISERR(FIND("*",AS5:AS46))),1,0))</f>
        <v>0</v>
      </c>
      <c r="AT49" s="70">
        <f t="array" ref="AT49">SUM(IF(NOT(ISERR(FIND("*",AT5:AT46))),1,0))</f>
        <v>0</v>
      </c>
      <c r="AU49" s="70">
        <f t="array" ref="AU49">SUM(IF(NOT(ISERR(FIND("*",AU5:AU46))),1,0))</f>
        <v>0</v>
      </c>
      <c r="AV49" s="70">
        <f t="array" ref="AV49">SUM(IF(NOT(ISERR(FIND("*",AV5:AV46))),1,0))</f>
        <v>0</v>
      </c>
      <c r="AW49" s="70">
        <f t="array" ref="AW49">SUM(IF(NOT(ISERR(FIND("*",AW5:AW46))),1,0))</f>
        <v>0</v>
      </c>
      <c r="AX49" s="70">
        <f t="array" ref="AX49">SUM(IF(NOT(ISERR(FIND("*",AX5:AX46))),1,0))</f>
        <v>0</v>
      </c>
      <c r="AY49" s="70">
        <f t="array" ref="AY49">SUM(IF(NOT(ISERR(FIND("*",AY5:AY46))),1,0))</f>
        <v>0</v>
      </c>
      <c r="AZ49" s="70">
        <f t="array" ref="AZ49">SUM(IF(NOT(ISERR(FIND("*",AZ5:AZ46))),1,0))</f>
        <v>0</v>
      </c>
      <c r="BA49" s="70">
        <f t="array" ref="BA49">SUM(IF(NOT(ISERR(FIND("*",BA5:BA46))),1,0))</f>
        <v>0</v>
      </c>
      <c r="BB49" s="70">
        <f t="array" ref="BB49">SUM(IF(NOT(ISERR(FIND("*",BB5:BB46))),1,0))</f>
        <v>0</v>
      </c>
      <c r="BC49" s="70">
        <f t="array" ref="BC49">SUM(IF(NOT(ISERR(FIND("*",BC5:BC46))),1,0))</f>
        <v>0</v>
      </c>
      <c r="BD49" s="70">
        <f t="array" ref="BD49">SUM(IF(NOT(ISERR(FIND("*",BD5:BD46))),1,0))</f>
        <v>0</v>
      </c>
      <c r="BE49" s="70">
        <f t="array" ref="BE49">SUM(IF(NOT(ISERR(FIND("*",BE5:BE46))),1,0))</f>
        <v>0</v>
      </c>
      <c r="BF49" s="70">
        <f t="array" ref="BF49">SUM(IF(NOT(ISERR(FIND("*",BF5:BF46))),1,0))</f>
        <v>0</v>
      </c>
      <c r="CE49" s="70">
        <f>SUM(D49:BF49)</f>
        <v>28</v>
      </c>
      <c r="CO49" s="99">
        <f>SUM(D49:BF49)</f>
        <v>28</v>
      </c>
      <c r="CP49" s="62"/>
      <c r="CQ49" s="62"/>
      <c r="CR49" s="75">
        <f>SUM(CR48:CV48)</f>
        <v>224</v>
      </c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</row>
    <row r="50" spans="2:108" x14ac:dyDescent="0.15">
      <c r="C50" s="70" t="s">
        <v>14</v>
      </c>
      <c r="D50" s="70">
        <f t="array" ref="D50">SUM(IF(NOT(ISERR(FIND("+",D5:D46))),1,0))</f>
        <v>1</v>
      </c>
      <c r="E50" s="70">
        <f t="array" ref="E50">SUM(IF(NOT(ISERR(FIND("+",E5:E46))),1,0))</f>
        <v>1</v>
      </c>
      <c r="F50" s="70">
        <f t="array" ref="F50">SUM(IF(NOT(ISERR(FIND("+",F5:F46))),1,0))</f>
        <v>1</v>
      </c>
      <c r="G50" s="70">
        <f t="array" ref="G50">SUM(IF(NOT(ISERR(FIND("+",G5:G46))),1,0))</f>
        <v>1</v>
      </c>
      <c r="H50" s="70">
        <f t="array" ref="H50">SUM(IF(NOT(ISERR(FIND("+",H5:H46))),1,0))</f>
        <v>1</v>
      </c>
      <c r="I50" s="70">
        <f t="array" ref="I50">SUM(IF(NOT(ISERR(FIND("+",I5:I46))),1,0))</f>
        <v>1</v>
      </c>
      <c r="J50" s="70">
        <f t="array" ref="J50">SUM(IF(NOT(ISERR(FIND("+",J5:J46))),1,0))</f>
        <v>1</v>
      </c>
      <c r="K50" s="70">
        <f t="array" ref="K50">SUM(IF(NOT(ISERR(FIND("+",K5:K46))),1,0))</f>
        <v>1</v>
      </c>
      <c r="L50" s="70">
        <f t="array" ref="L50">SUM(IF(NOT(ISERR(FIND("+",L5:L46))),1,0))</f>
        <v>1</v>
      </c>
      <c r="M50" s="70">
        <f t="array" ref="M50">SUM(IF(NOT(ISERR(FIND("+",M5:M46))),1,0))</f>
        <v>1</v>
      </c>
      <c r="N50" s="70">
        <f t="array" ref="N50">SUM(IF(NOT(ISERR(FIND("+",N5:N46))),1,0))</f>
        <v>2</v>
      </c>
      <c r="O50" s="70">
        <f t="array" ref="O50">SUM(IF(NOT(ISERR(FIND("+",O5:O46))),1,0))</f>
        <v>1</v>
      </c>
      <c r="P50" s="70">
        <f t="array" ref="P50">SUM(IF(NOT(ISERR(FIND("+",P5:P46))),1,0))</f>
        <v>1</v>
      </c>
      <c r="Q50" s="70">
        <f t="array" ref="Q50">SUM(IF(NOT(ISERR(FIND("+",Q5:Q46))),1,0))</f>
        <v>1</v>
      </c>
      <c r="R50" s="70">
        <f t="array" ref="R50">SUM(IF(NOT(ISERR(FIND("+",R5:R46))),1,0))</f>
        <v>1</v>
      </c>
      <c r="S50" s="70">
        <f t="array" ref="S50">SUM(IF(NOT(ISERR(FIND("+",S5:S46))),1,0))</f>
        <v>1</v>
      </c>
      <c r="T50" s="70">
        <f t="array" ref="T50">SUM(IF(NOT(ISERR(FIND("+",T5:T46))),1,0))</f>
        <v>1</v>
      </c>
      <c r="U50" s="70">
        <f t="array" ref="U50">SUM(IF(NOT(ISERR(FIND("+",U5:U46))),1,0))</f>
        <v>1</v>
      </c>
      <c r="V50" s="70">
        <f t="array" ref="V50">SUM(IF(NOT(ISERR(FIND("+",V5:V46))),1,0))</f>
        <v>1</v>
      </c>
      <c r="W50" s="70">
        <f t="array" ref="W50">SUM(IF(NOT(ISERR(FIND("+",W5:W46))),1,0))</f>
        <v>1</v>
      </c>
      <c r="X50" s="70">
        <f t="array" ref="X50">SUM(IF(NOT(ISERR(FIND("+",X5:X46))),1,0))</f>
        <v>1</v>
      </c>
      <c r="Y50" s="70">
        <f t="array" ref="Y50">SUM(IF(NOT(ISERR(FIND("+",Y5:Y46))),1,0))</f>
        <v>1</v>
      </c>
      <c r="Z50" s="70">
        <f t="array" ref="Z50">SUM(IF(NOT(ISERR(FIND("+",Z5:Z46))),1,0))</f>
        <v>1</v>
      </c>
      <c r="AA50" s="70">
        <f t="array" ref="AA50">SUM(IF(NOT(ISERR(FIND("+",AA5:AA46))),1,0))</f>
        <v>1</v>
      </c>
      <c r="AB50" s="70">
        <f t="array" ref="AB50">SUM(IF(NOT(ISERR(FIND("+",AB5:AB46))),1,0))</f>
        <v>1</v>
      </c>
      <c r="AC50" s="70">
        <f t="array" ref="AC50">SUM(IF(NOT(ISERR(FIND("+",AC5:AC46))),1,0))</f>
        <v>2</v>
      </c>
      <c r="AD50" s="70">
        <f t="array" ref="AD50">SUM(IF(NOT(ISERR(FIND("+",AD5:AD46))),1,0))</f>
        <v>1</v>
      </c>
      <c r="AE50" s="70">
        <f t="array" ref="AE50">SUM(IF(NOT(ISERR(FIND("+",AE5:AE46))),1,0))</f>
        <v>2</v>
      </c>
      <c r="AF50" s="70">
        <f t="array" ref="AF50">SUM(IF(NOT(ISERR(FIND("+",AF5:AF46))),1,0))</f>
        <v>0</v>
      </c>
      <c r="AG50" s="70">
        <f t="array" ref="AG50">SUM(IF(NOT(ISERR(FIND("+",AG5:AG46))),1,0))</f>
        <v>0</v>
      </c>
      <c r="AH50" s="70">
        <f t="array" ref="AH50">SUM(IF(NOT(ISERR(FIND("+",AH5:AH46))),1,0))</f>
        <v>0</v>
      </c>
      <c r="AI50" s="70">
        <f t="array" ref="AI50">SUM(IF(NOT(ISERR(FIND("+",AI5:AI46))),1,0))</f>
        <v>0</v>
      </c>
      <c r="AJ50" s="70">
        <f t="array" ref="AJ50">SUM(IF(NOT(ISERR(FIND("+",AJ5:AJ46))),1,0))</f>
        <v>0</v>
      </c>
      <c r="AK50" s="70">
        <f t="array" ref="AK50">SUM(IF(NOT(ISERR(FIND("+",AK5:AK46))),1,0))</f>
        <v>0</v>
      </c>
      <c r="AL50" s="70">
        <f t="array" ref="AL50">SUM(IF(NOT(ISERR(FIND("+",AL5:AL46))),1,0))</f>
        <v>0</v>
      </c>
      <c r="AM50" s="70">
        <f t="array" ref="AM50">SUM(IF(NOT(ISERR(FIND("+",AM5:AM46))),1,0))</f>
        <v>0</v>
      </c>
      <c r="AN50" s="70">
        <f t="array" ref="AN50">SUM(IF(NOT(ISERR(FIND("+",AN5:AN46))),1,0))</f>
        <v>0</v>
      </c>
      <c r="AO50" s="70">
        <f t="array" ref="AO50">SUM(IF(NOT(ISERR(FIND("+",AO5:AO46))),1,0))</f>
        <v>0</v>
      </c>
      <c r="AP50" s="70">
        <f t="array" ref="AP50">SUM(IF(NOT(ISERR(FIND("+",AP5:AP46))),1,0))</f>
        <v>0</v>
      </c>
      <c r="AQ50" s="70">
        <f t="array" ref="AQ50">SUM(IF(NOT(ISERR(FIND("+",AQ5:AQ46))),1,0))</f>
        <v>0</v>
      </c>
      <c r="AR50" s="70">
        <f t="array" ref="AR50">SUM(IF(NOT(ISERR(FIND("+",AR5:AR46))),1,0))</f>
        <v>0</v>
      </c>
      <c r="AS50" s="70">
        <f t="array" ref="AS50">SUM(IF(NOT(ISERR(FIND("+",AS5:AS46))),1,0))</f>
        <v>0</v>
      </c>
      <c r="AT50" s="70">
        <f t="array" ref="AT50">SUM(IF(NOT(ISERR(FIND("+",AT5:AT46))),1,0))</f>
        <v>0</v>
      </c>
      <c r="AU50" s="70">
        <f t="array" ref="AU50">SUM(IF(NOT(ISERR(FIND("+",AU5:AU46))),1,0))</f>
        <v>0</v>
      </c>
      <c r="AV50" s="70">
        <f t="array" ref="AV50">SUM(IF(NOT(ISERR(FIND("+",AV5:AV46))),1,0))</f>
        <v>0</v>
      </c>
      <c r="AW50" s="70">
        <f t="array" ref="AW50">SUM(IF(NOT(ISERR(FIND("+",AW5:AW46))),1,0))</f>
        <v>0</v>
      </c>
      <c r="AX50" s="70">
        <f t="array" ref="AX50">SUM(IF(NOT(ISERR(FIND("+",AX5:AX46))),1,0))</f>
        <v>0</v>
      </c>
      <c r="AY50" s="70">
        <f t="array" ref="AY50">SUM(IF(NOT(ISERR(FIND("+",AY5:AY46))),1,0))</f>
        <v>0</v>
      </c>
      <c r="AZ50" s="70">
        <f t="array" ref="AZ50">SUM(IF(NOT(ISERR(FIND("+",AZ5:AZ46))),1,0))</f>
        <v>0</v>
      </c>
      <c r="BA50" s="70">
        <f t="array" ref="BA50">SUM(IF(NOT(ISERR(FIND("+",BA5:BA46))),1,0))</f>
        <v>0</v>
      </c>
      <c r="BB50" s="70">
        <f t="array" ref="BB50">SUM(IF(NOT(ISERR(FIND("+",BB5:BB46))),1,0))</f>
        <v>0</v>
      </c>
      <c r="BC50" s="70">
        <f t="array" ref="BC50">SUM(IF(NOT(ISERR(FIND("+",BC5:BC46))),1,0))</f>
        <v>0</v>
      </c>
      <c r="BD50" s="70">
        <f t="array" ref="BD50">SUM(IF(NOT(ISERR(FIND("+",BD5:BD46))),1,0))</f>
        <v>0</v>
      </c>
      <c r="BE50" s="70">
        <f t="array" ref="BE50">SUM(IF(NOT(ISERR(FIND("+",BE5:BE46))),1,0))</f>
        <v>0</v>
      </c>
      <c r="BF50" s="70">
        <f t="array" ref="BF50">SUM(IF(NOT(ISERR(FIND("+",BF5:BF46))),1,0))</f>
        <v>0</v>
      </c>
      <c r="CE50" s="70">
        <f>SUM(D50:BF50)</f>
        <v>31</v>
      </c>
      <c r="CO50" s="99">
        <f>SUM(D50:BF50)</f>
        <v>31</v>
      </c>
      <c r="CP50" s="62"/>
      <c r="CQ50" s="62"/>
      <c r="CR50" s="115">
        <f>CR48/$CR$49</f>
        <v>0.41517857142857145</v>
      </c>
      <c r="CS50" s="115">
        <f>CS48/$CR$49</f>
        <v>0.3482142857142857</v>
      </c>
      <c r="CT50" s="115">
        <f>CT48/$CR$49</f>
        <v>0.13392857142857142</v>
      </c>
      <c r="CU50" s="115">
        <f>CU48/$CR$49</f>
        <v>4.4642857142857144E-2</v>
      </c>
      <c r="CV50" s="115">
        <f>CV48/$CR$49</f>
        <v>5.8035714285714288E-2</v>
      </c>
      <c r="CW50" s="115"/>
      <c r="CX50" s="115"/>
      <c r="CY50" s="62"/>
      <c r="CZ50" s="62"/>
      <c r="DA50" s="62"/>
      <c r="DB50" s="62"/>
      <c r="DC50" s="62"/>
      <c r="DD50" s="62"/>
    </row>
    <row r="52" spans="2:108" x14ac:dyDescent="0.15">
      <c r="C52" s="70" t="s">
        <v>126</v>
      </c>
      <c r="D52" s="70">
        <f t="shared" ref="D52:AI52" si="24">BatSplit(D5:D46,RunsScored)</f>
        <v>60</v>
      </c>
      <c r="E52" s="70">
        <f t="shared" si="24"/>
        <v>138</v>
      </c>
      <c r="F52" s="70">
        <f t="shared" si="24"/>
        <v>177</v>
      </c>
      <c r="G52" s="70">
        <f t="shared" si="24"/>
        <v>116</v>
      </c>
      <c r="H52" s="70">
        <f t="shared" si="24"/>
        <v>129</v>
      </c>
      <c r="I52" s="70">
        <f t="shared" si="24"/>
        <v>189</v>
      </c>
      <c r="J52" s="70">
        <f t="shared" si="24"/>
        <v>150</v>
      </c>
      <c r="K52" s="70">
        <f t="shared" si="24"/>
        <v>107</v>
      </c>
      <c r="L52" s="70">
        <f t="shared" si="24"/>
        <v>157</v>
      </c>
      <c r="M52" s="70">
        <f t="shared" si="24"/>
        <v>62</v>
      </c>
      <c r="N52" s="70">
        <f t="shared" si="24"/>
        <v>197</v>
      </c>
      <c r="O52" s="70">
        <f t="shared" si="24"/>
        <v>129</v>
      </c>
      <c r="P52" s="70">
        <f t="shared" si="24"/>
        <v>89</v>
      </c>
      <c r="Q52" s="70">
        <f t="shared" si="24"/>
        <v>90</v>
      </c>
      <c r="R52" s="70">
        <f t="shared" si="24"/>
        <v>169</v>
      </c>
      <c r="S52" s="70">
        <f t="shared" si="24"/>
        <v>126</v>
      </c>
      <c r="T52" s="70">
        <f t="shared" si="24"/>
        <v>120</v>
      </c>
      <c r="U52" s="70">
        <f t="shared" si="24"/>
        <v>61</v>
      </c>
      <c r="V52" s="70">
        <f t="shared" si="24"/>
        <v>76</v>
      </c>
      <c r="W52" s="70">
        <f t="shared" si="24"/>
        <v>178</v>
      </c>
      <c r="X52" s="70">
        <f t="shared" si="24"/>
        <v>198</v>
      </c>
      <c r="Y52" s="70">
        <f t="shared" si="24"/>
        <v>34</v>
      </c>
      <c r="Z52" s="70">
        <f t="shared" si="24"/>
        <v>154</v>
      </c>
      <c r="AA52" s="70">
        <f t="shared" si="24"/>
        <v>82</v>
      </c>
      <c r="AB52" s="70">
        <f t="shared" si="24"/>
        <v>91</v>
      </c>
      <c r="AC52" s="70">
        <f t="shared" si="24"/>
        <v>83</v>
      </c>
      <c r="AD52" s="70">
        <f t="shared" si="24"/>
        <v>150</v>
      </c>
      <c r="AE52" s="70">
        <f t="shared" si="24"/>
        <v>56</v>
      </c>
      <c r="AF52" s="70">
        <f t="shared" si="24"/>
        <v>0</v>
      </c>
      <c r="AG52" s="70">
        <f t="shared" si="24"/>
        <v>0</v>
      </c>
      <c r="AH52" s="70">
        <f t="shared" si="24"/>
        <v>0</v>
      </c>
      <c r="AI52" s="70">
        <f t="shared" si="24"/>
        <v>0</v>
      </c>
      <c r="AJ52" s="70">
        <f t="shared" ref="AJ52:BF52" si="25">BatSplit(AJ5:AJ46,RunsScored)</f>
        <v>0</v>
      </c>
      <c r="AK52" s="70">
        <f t="shared" si="25"/>
        <v>0</v>
      </c>
      <c r="AL52" s="70">
        <f t="shared" si="25"/>
        <v>0</v>
      </c>
      <c r="AM52" s="70">
        <f t="shared" si="25"/>
        <v>0</v>
      </c>
      <c r="AN52" s="70">
        <f t="shared" si="25"/>
        <v>0</v>
      </c>
      <c r="AO52" s="70">
        <f t="shared" si="25"/>
        <v>0</v>
      </c>
      <c r="AP52" s="70">
        <f t="shared" si="25"/>
        <v>0</v>
      </c>
      <c r="AQ52" s="70">
        <f t="shared" si="25"/>
        <v>0</v>
      </c>
      <c r="AR52" s="70">
        <f t="shared" si="25"/>
        <v>0</v>
      </c>
      <c r="AS52" s="70">
        <f t="shared" si="25"/>
        <v>0</v>
      </c>
      <c r="AT52" s="70">
        <f t="shared" si="25"/>
        <v>0</v>
      </c>
      <c r="AU52" s="70">
        <f t="shared" si="25"/>
        <v>0</v>
      </c>
      <c r="AV52" s="70">
        <f t="shared" si="25"/>
        <v>0</v>
      </c>
      <c r="AW52" s="70">
        <f t="shared" si="25"/>
        <v>0</v>
      </c>
      <c r="AX52" s="70">
        <f t="shared" si="25"/>
        <v>0</v>
      </c>
      <c r="AY52" s="70">
        <f t="shared" si="25"/>
        <v>0</v>
      </c>
      <c r="AZ52" s="70">
        <f t="shared" si="25"/>
        <v>0</v>
      </c>
      <c r="BA52" s="70">
        <f t="shared" si="25"/>
        <v>0</v>
      </c>
      <c r="BB52" s="70">
        <f t="shared" si="25"/>
        <v>0</v>
      </c>
      <c r="BC52" s="70">
        <f t="shared" si="25"/>
        <v>0</v>
      </c>
      <c r="BD52" s="70">
        <f t="shared" si="25"/>
        <v>0</v>
      </c>
      <c r="BE52" s="70">
        <f t="shared" si="25"/>
        <v>0</v>
      </c>
      <c r="BF52" s="70">
        <f t="shared" si="25"/>
        <v>0</v>
      </c>
      <c r="CE52" s="70">
        <f>SUM(D52:BD52)</f>
        <v>3368</v>
      </c>
      <c r="CG52" s="70">
        <f>SUM(CG5:CG47)</f>
        <v>268</v>
      </c>
      <c r="CH52" s="70">
        <f>SUM(CH5:CH47)</f>
        <v>42</v>
      </c>
      <c r="CI52" s="70">
        <f>SUM(CI5:CI46)</f>
        <v>172</v>
      </c>
      <c r="CK52" s="70">
        <f>SUM(CK5:CK47)</f>
        <v>3368</v>
      </c>
      <c r="CO52" s="70">
        <f>SUM(D52:BF52)</f>
        <v>3368</v>
      </c>
    </row>
    <row r="53" spans="2:108" x14ac:dyDescent="0.15">
      <c r="C53" s="70" t="s">
        <v>125</v>
      </c>
      <c r="D53" s="70">
        <f t="array" ref="D53:BF53">TRANSPOSE(Matches!Z5:Z59)</f>
        <v>9</v>
      </c>
      <c r="E53" s="70">
        <v>20</v>
      </c>
      <c r="F53" s="70">
        <v>31</v>
      </c>
      <c r="G53" s="70">
        <v>34</v>
      </c>
      <c r="H53" s="70">
        <v>31</v>
      </c>
      <c r="I53" s="70">
        <v>19</v>
      </c>
      <c r="J53" s="70">
        <v>11</v>
      </c>
      <c r="K53" s="70">
        <v>18</v>
      </c>
      <c r="L53" s="70">
        <v>38</v>
      </c>
      <c r="M53" s="70">
        <v>33</v>
      </c>
      <c r="N53" s="70">
        <v>15</v>
      </c>
      <c r="O53" s="70">
        <v>38</v>
      </c>
      <c r="P53" s="70">
        <v>11</v>
      </c>
      <c r="Q53" s="70">
        <v>9</v>
      </c>
      <c r="R53" s="70">
        <v>56</v>
      </c>
      <c r="S53" s="70">
        <v>27</v>
      </c>
      <c r="T53" s="70">
        <v>31</v>
      </c>
      <c r="U53" s="70">
        <v>26</v>
      </c>
      <c r="V53" s="70">
        <v>50</v>
      </c>
      <c r="W53" s="70">
        <v>11</v>
      </c>
      <c r="X53" s="70">
        <v>36</v>
      </c>
      <c r="Y53" s="70">
        <v>2</v>
      </c>
      <c r="Z53" s="70">
        <v>16</v>
      </c>
      <c r="AA53" s="70">
        <v>21</v>
      </c>
      <c r="AB53" s="70">
        <v>26</v>
      </c>
      <c r="AC53" s="70">
        <v>25</v>
      </c>
      <c r="AD53" s="70">
        <v>30</v>
      </c>
      <c r="AE53" s="70">
        <v>27</v>
      </c>
      <c r="AF53" s="70">
        <v>0</v>
      </c>
      <c r="AG53" s="70">
        <v>0</v>
      </c>
      <c r="AH53" s="70">
        <v>0</v>
      </c>
      <c r="AI53" s="70">
        <v>0</v>
      </c>
      <c r="AJ53" s="70">
        <v>0</v>
      </c>
      <c r="AK53" s="70">
        <v>0</v>
      </c>
      <c r="AL53" s="70">
        <v>0</v>
      </c>
      <c r="AM53" s="70">
        <v>0</v>
      </c>
      <c r="AN53" s="70">
        <v>0</v>
      </c>
      <c r="AO53" s="70">
        <v>0</v>
      </c>
      <c r="AP53" s="70">
        <v>0</v>
      </c>
      <c r="AQ53" s="70">
        <v>0</v>
      </c>
      <c r="AR53" s="70">
        <v>0</v>
      </c>
      <c r="AS53" s="70">
        <v>0</v>
      </c>
      <c r="AT53" s="70">
        <v>0</v>
      </c>
      <c r="AU53" s="70">
        <v>0</v>
      </c>
      <c r="AV53" s="70">
        <v>0</v>
      </c>
      <c r="AW53" s="70">
        <v>0</v>
      </c>
      <c r="AX53" s="70">
        <v>0</v>
      </c>
      <c r="AY53" s="70">
        <v>0</v>
      </c>
      <c r="AZ53" s="70">
        <v>0</v>
      </c>
      <c r="BA53" s="70">
        <v>0</v>
      </c>
      <c r="BB53" s="70">
        <v>0</v>
      </c>
      <c r="BC53" s="70">
        <v>0</v>
      </c>
      <c r="BD53" s="70">
        <v>0</v>
      </c>
      <c r="BE53" s="70">
        <v>0</v>
      </c>
      <c r="BF53" s="70">
        <v>0</v>
      </c>
      <c r="CE53" s="70">
        <f>SUM(D53:BD53)</f>
        <v>701</v>
      </c>
      <c r="CO53" s="70">
        <f>SUM(D53:BF53)</f>
        <v>701</v>
      </c>
    </row>
    <row r="54" spans="2:108" s="62" customFormat="1" x14ac:dyDescent="0.15">
      <c r="C54" s="62" t="s">
        <v>127</v>
      </c>
      <c r="D54" s="62">
        <f>D53+D52</f>
        <v>69</v>
      </c>
      <c r="E54" s="62">
        <f t="shared" ref="E54:BF54" si="26">E53+E52</f>
        <v>158</v>
      </c>
      <c r="F54" s="62">
        <f t="shared" si="26"/>
        <v>208</v>
      </c>
      <c r="G54" s="62">
        <f t="shared" si="26"/>
        <v>150</v>
      </c>
      <c r="H54" s="62">
        <f t="shared" si="26"/>
        <v>160</v>
      </c>
      <c r="I54" s="62">
        <f t="shared" si="26"/>
        <v>208</v>
      </c>
      <c r="J54" s="62">
        <f t="shared" si="26"/>
        <v>161</v>
      </c>
      <c r="K54" s="62">
        <f t="shared" si="26"/>
        <v>125</v>
      </c>
      <c r="L54" s="62">
        <f t="shared" si="26"/>
        <v>195</v>
      </c>
      <c r="M54" s="62">
        <f t="shared" si="26"/>
        <v>95</v>
      </c>
      <c r="N54" s="62">
        <f t="shared" si="26"/>
        <v>212</v>
      </c>
      <c r="O54" s="62">
        <f t="shared" si="26"/>
        <v>167</v>
      </c>
      <c r="P54" s="62">
        <f t="shared" si="26"/>
        <v>100</v>
      </c>
      <c r="Q54" s="62">
        <f t="shared" si="26"/>
        <v>99</v>
      </c>
      <c r="R54" s="62">
        <f t="shared" si="26"/>
        <v>225</v>
      </c>
      <c r="S54" s="62">
        <f t="shared" si="26"/>
        <v>153</v>
      </c>
      <c r="T54" s="62">
        <f t="shared" si="26"/>
        <v>151</v>
      </c>
      <c r="U54" s="62">
        <f t="shared" si="26"/>
        <v>87</v>
      </c>
      <c r="V54" s="62">
        <f t="shared" si="26"/>
        <v>126</v>
      </c>
      <c r="W54" s="62">
        <f t="shared" si="26"/>
        <v>189</v>
      </c>
      <c r="X54" s="62">
        <f t="shared" si="26"/>
        <v>234</v>
      </c>
      <c r="Y54" s="62">
        <f t="shared" si="26"/>
        <v>36</v>
      </c>
      <c r="Z54" s="62">
        <f t="shared" si="26"/>
        <v>170</v>
      </c>
      <c r="AA54" s="62">
        <f t="shared" si="26"/>
        <v>103</v>
      </c>
      <c r="AB54" s="62">
        <f t="shared" si="26"/>
        <v>117</v>
      </c>
      <c r="AC54" s="62">
        <f t="shared" si="26"/>
        <v>108</v>
      </c>
      <c r="AD54" s="62">
        <f t="shared" si="26"/>
        <v>180</v>
      </c>
      <c r="AE54" s="62">
        <f t="shared" si="26"/>
        <v>83</v>
      </c>
      <c r="AF54" s="62">
        <f t="shared" si="26"/>
        <v>0</v>
      </c>
      <c r="AG54" s="62">
        <f t="shared" si="26"/>
        <v>0</v>
      </c>
      <c r="AH54" s="62">
        <f t="shared" si="26"/>
        <v>0</v>
      </c>
      <c r="AI54" s="62">
        <f t="shared" si="26"/>
        <v>0</v>
      </c>
      <c r="AJ54" s="62">
        <f t="shared" si="26"/>
        <v>0</v>
      </c>
      <c r="AK54" s="62">
        <f t="shared" si="26"/>
        <v>0</v>
      </c>
      <c r="AL54" s="62">
        <f t="shared" si="26"/>
        <v>0</v>
      </c>
      <c r="AM54" s="62">
        <f t="shared" si="26"/>
        <v>0</v>
      </c>
      <c r="AN54" s="62">
        <f t="shared" si="26"/>
        <v>0</v>
      </c>
      <c r="AO54" s="62">
        <f t="shared" si="26"/>
        <v>0</v>
      </c>
      <c r="AP54" s="62">
        <f t="shared" si="26"/>
        <v>0</v>
      </c>
      <c r="AQ54" s="62">
        <f t="shared" si="26"/>
        <v>0</v>
      </c>
      <c r="AR54" s="62">
        <f t="shared" si="26"/>
        <v>0</v>
      </c>
      <c r="AS54" s="62">
        <f t="shared" si="26"/>
        <v>0</v>
      </c>
      <c r="AT54" s="62">
        <f t="shared" si="26"/>
        <v>0</v>
      </c>
      <c r="AU54" s="62">
        <f>AU53+AU52</f>
        <v>0</v>
      </c>
      <c r="AV54" s="62">
        <f t="shared" si="26"/>
        <v>0</v>
      </c>
      <c r="AW54" s="62">
        <f t="shared" si="26"/>
        <v>0</v>
      </c>
      <c r="AX54" s="62">
        <f t="shared" si="26"/>
        <v>0</v>
      </c>
      <c r="AY54" s="62">
        <f t="shared" si="26"/>
        <v>0</v>
      </c>
      <c r="AZ54" s="62">
        <f t="shared" si="26"/>
        <v>0</v>
      </c>
      <c r="BA54" s="62">
        <f t="shared" si="26"/>
        <v>0</v>
      </c>
      <c r="BB54" s="62">
        <f t="shared" si="26"/>
        <v>0</v>
      </c>
      <c r="BC54" s="62">
        <f t="shared" si="26"/>
        <v>0</v>
      </c>
      <c r="BD54" s="62">
        <f t="shared" si="26"/>
        <v>0</v>
      </c>
      <c r="BE54" s="62">
        <f t="shared" si="26"/>
        <v>0</v>
      </c>
      <c r="BF54" s="62">
        <f t="shared" si="26"/>
        <v>0</v>
      </c>
      <c r="CE54" s="70">
        <f>SUM(D54:BD54)</f>
        <v>4069</v>
      </c>
      <c r="CG54" s="70" t="s">
        <v>38</v>
      </c>
      <c r="CH54" s="70">
        <f>CG52-CH52</f>
        <v>226</v>
      </c>
      <c r="CI54" s="70"/>
      <c r="CJ54" s="70"/>
      <c r="CK54" s="70"/>
      <c r="CO54" s="62">
        <f>SUM(D54:BF54)</f>
        <v>4069</v>
      </c>
    </row>
    <row r="55" spans="2:108" x14ac:dyDescent="0.15">
      <c r="D55" s="55"/>
      <c r="CG55" s="70" t="s">
        <v>39</v>
      </c>
      <c r="CH55" s="70">
        <f>CE54/CH54</f>
        <v>18.004424778761063</v>
      </c>
    </row>
    <row r="56" spans="2:108" s="143" customFormat="1" x14ac:dyDescent="0.15">
      <c r="C56" s="143" t="s">
        <v>776</v>
      </c>
      <c r="D56" s="144" t="str">
        <f>INDEX($C$5:$C$46,findcellcontaining("*",D5:D46))</f>
        <v>Clark C</v>
      </c>
      <c r="E56" s="144" t="str">
        <f t="shared" ref="E56:AE56" si="27">INDEX($C$5:$C$46,findcellcontaining("*",E5:E46))</f>
        <v>Lestrelle J</v>
      </c>
      <c r="F56" s="144" t="str">
        <f t="shared" si="27"/>
        <v>Lestrelle J</v>
      </c>
      <c r="G56" s="144" t="str">
        <f t="shared" si="27"/>
        <v>Lestrelle J</v>
      </c>
      <c r="H56" s="144" t="str">
        <f t="shared" si="27"/>
        <v>Clark C</v>
      </c>
      <c r="I56" s="144" t="str">
        <f t="shared" si="27"/>
        <v>Lestrelle J</v>
      </c>
      <c r="J56" s="144" t="str">
        <f t="shared" si="27"/>
        <v>Bowers M</v>
      </c>
      <c r="K56" s="144" t="str">
        <f t="shared" si="27"/>
        <v>Woodhouse M</v>
      </c>
      <c r="L56" s="144" t="str">
        <f t="shared" si="27"/>
        <v>Clark C</v>
      </c>
      <c r="M56" s="144" t="str">
        <f t="shared" si="27"/>
        <v>Clark C</v>
      </c>
      <c r="N56" s="144" t="str">
        <f t="shared" si="27"/>
        <v>Lestrelle J</v>
      </c>
      <c r="O56" s="144" t="str">
        <f t="shared" si="27"/>
        <v>Clark C</v>
      </c>
      <c r="P56" s="144" t="str">
        <f t="shared" si="27"/>
        <v>Clark C</v>
      </c>
      <c r="Q56" s="144" t="str">
        <f t="shared" si="27"/>
        <v>Clark C</v>
      </c>
      <c r="R56" s="144" t="str">
        <f t="shared" si="27"/>
        <v>Lestrelle J</v>
      </c>
      <c r="S56" s="144" t="str">
        <f t="shared" si="27"/>
        <v>Clark C</v>
      </c>
      <c r="T56" s="144" t="str">
        <f t="shared" si="27"/>
        <v>Clark C</v>
      </c>
      <c r="U56" s="144" t="str">
        <f t="shared" si="27"/>
        <v>Bowers M</v>
      </c>
      <c r="V56" s="144" t="str">
        <f t="shared" si="27"/>
        <v>Clark C</v>
      </c>
      <c r="W56" s="144" t="str">
        <f t="shared" si="27"/>
        <v>Bowers M</v>
      </c>
      <c r="X56" s="144" t="str">
        <f t="shared" si="27"/>
        <v>Clark C</v>
      </c>
      <c r="Y56" s="144" t="str">
        <f t="shared" si="27"/>
        <v>Lestrelle J</v>
      </c>
      <c r="Z56" s="144" t="str">
        <f t="shared" si="27"/>
        <v>Woodhouse M</v>
      </c>
      <c r="AA56" s="144" t="str">
        <f t="shared" si="27"/>
        <v>Bowers M</v>
      </c>
      <c r="AB56" s="144" t="str">
        <f t="shared" si="27"/>
        <v>Lestrelle J</v>
      </c>
      <c r="AC56" s="144" t="str">
        <f t="shared" si="27"/>
        <v>Clark C</v>
      </c>
      <c r="AD56" s="144" t="str">
        <f t="shared" si="27"/>
        <v>Lestrelle J</v>
      </c>
      <c r="AE56" s="144" t="str">
        <f t="shared" si="27"/>
        <v>Lestrelle J</v>
      </c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L56" s="145"/>
    </row>
    <row r="57" spans="2:108" s="143" customFormat="1" x14ac:dyDescent="0.15">
      <c r="C57" s="147"/>
      <c r="CL57" s="145"/>
      <c r="CO57" s="146"/>
    </row>
    <row r="58" spans="2:108" s="143" customFormat="1" x14ac:dyDescent="0.15">
      <c r="B58" s="143">
        <f>MAX(D58:AE58)</f>
        <v>5</v>
      </c>
      <c r="C58" s="143" t="s">
        <v>23</v>
      </c>
      <c r="D58" s="143">
        <f>BatSplit(D5:D46,Sixes)</f>
        <v>0</v>
      </c>
      <c r="E58" s="143">
        <f t="shared" ref="E58:AE58" si="28">BatSplit(E5:E46,Sixes)</f>
        <v>3</v>
      </c>
      <c r="F58" s="143">
        <f t="shared" si="28"/>
        <v>0</v>
      </c>
      <c r="G58" s="143">
        <f t="shared" si="28"/>
        <v>1</v>
      </c>
      <c r="H58" s="143">
        <f t="shared" si="28"/>
        <v>0</v>
      </c>
      <c r="I58" s="143">
        <f t="shared" si="28"/>
        <v>4</v>
      </c>
      <c r="J58" s="143">
        <f t="shared" si="28"/>
        <v>5</v>
      </c>
      <c r="K58" s="143">
        <f t="shared" si="28"/>
        <v>0</v>
      </c>
      <c r="L58" s="143">
        <f t="shared" si="28"/>
        <v>0</v>
      </c>
      <c r="M58" s="143">
        <f t="shared" si="28"/>
        <v>1</v>
      </c>
      <c r="N58" s="143">
        <f t="shared" si="28"/>
        <v>3</v>
      </c>
      <c r="O58" s="143">
        <f t="shared" si="28"/>
        <v>2</v>
      </c>
      <c r="P58" s="143">
        <f t="shared" si="28"/>
        <v>1</v>
      </c>
      <c r="Q58" s="143">
        <f t="shared" si="28"/>
        <v>1</v>
      </c>
      <c r="R58" s="143">
        <f t="shared" si="28"/>
        <v>0</v>
      </c>
      <c r="S58" s="143">
        <f t="shared" si="28"/>
        <v>0</v>
      </c>
      <c r="T58" s="143">
        <f t="shared" si="28"/>
        <v>2</v>
      </c>
      <c r="U58" s="143">
        <f t="shared" si="28"/>
        <v>1</v>
      </c>
      <c r="V58" s="143">
        <f t="shared" si="28"/>
        <v>0</v>
      </c>
      <c r="W58" s="143">
        <f t="shared" si="28"/>
        <v>2</v>
      </c>
      <c r="X58" s="143">
        <f t="shared" si="28"/>
        <v>5</v>
      </c>
      <c r="Y58" s="143">
        <f t="shared" si="28"/>
        <v>0</v>
      </c>
      <c r="Z58" s="143">
        <f t="shared" si="28"/>
        <v>4</v>
      </c>
      <c r="AA58" s="143">
        <f t="shared" si="28"/>
        <v>3</v>
      </c>
      <c r="AB58" s="143">
        <f t="shared" si="28"/>
        <v>1</v>
      </c>
      <c r="AC58" s="143">
        <f t="shared" si="28"/>
        <v>0</v>
      </c>
      <c r="AD58" s="143">
        <f t="shared" si="28"/>
        <v>0</v>
      </c>
      <c r="AE58" s="143">
        <f t="shared" si="28"/>
        <v>1</v>
      </c>
      <c r="CL58" s="145"/>
    </row>
    <row r="59" spans="2:108" s="143" customFormat="1" x14ac:dyDescent="0.15">
      <c r="B59" s="143">
        <f>MAX(D59:AE59)</f>
        <v>29</v>
      </c>
      <c r="C59" s="143" t="s">
        <v>22</v>
      </c>
      <c r="D59" s="143">
        <f>BatSplit(D5:D46,Fours)</f>
        <v>7</v>
      </c>
      <c r="E59" s="143">
        <f t="shared" ref="E59:AE59" si="29">BatSplit(E5:E46,Fours)</f>
        <v>10</v>
      </c>
      <c r="F59" s="143">
        <f t="shared" si="29"/>
        <v>26</v>
      </c>
      <c r="G59" s="143">
        <f t="shared" si="29"/>
        <v>13</v>
      </c>
      <c r="H59" s="143">
        <f t="shared" si="29"/>
        <v>18</v>
      </c>
      <c r="I59" s="143">
        <f t="shared" si="29"/>
        <v>20</v>
      </c>
      <c r="J59" s="143">
        <f t="shared" si="29"/>
        <v>14</v>
      </c>
      <c r="K59" s="143">
        <f t="shared" si="29"/>
        <v>18</v>
      </c>
      <c r="L59" s="143">
        <f t="shared" si="29"/>
        <v>17</v>
      </c>
      <c r="M59" s="143">
        <f t="shared" si="29"/>
        <v>10</v>
      </c>
      <c r="N59" s="143">
        <f t="shared" si="29"/>
        <v>29</v>
      </c>
      <c r="O59" s="143">
        <f t="shared" si="29"/>
        <v>17</v>
      </c>
      <c r="P59" s="143">
        <f t="shared" si="29"/>
        <v>14</v>
      </c>
      <c r="Q59" s="143">
        <f t="shared" si="29"/>
        <v>13</v>
      </c>
      <c r="R59" s="143">
        <f t="shared" si="29"/>
        <v>27</v>
      </c>
      <c r="S59" s="143">
        <f t="shared" si="29"/>
        <v>17</v>
      </c>
      <c r="T59" s="143">
        <f t="shared" si="29"/>
        <v>15</v>
      </c>
      <c r="U59" s="143">
        <f t="shared" si="29"/>
        <v>8</v>
      </c>
      <c r="V59" s="143">
        <f t="shared" si="29"/>
        <v>9</v>
      </c>
      <c r="W59" s="143">
        <f t="shared" si="29"/>
        <v>28</v>
      </c>
      <c r="X59" s="143">
        <f t="shared" si="29"/>
        <v>28</v>
      </c>
      <c r="Y59" s="143">
        <f t="shared" si="29"/>
        <v>5</v>
      </c>
      <c r="Z59" s="143">
        <f t="shared" si="29"/>
        <v>25</v>
      </c>
      <c r="AA59" s="143">
        <f t="shared" si="29"/>
        <v>8</v>
      </c>
      <c r="AB59" s="143">
        <f t="shared" si="29"/>
        <v>15</v>
      </c>
      <c r="AC59" s="143">
        <f t="shared" si="29"/>
        <v>7</v>
      </c>
      <c r="AD59" s="143">
        <f t="shared" si="29"/>
        <v>16</v>
      </c>
      <c r="AE59" s="143">
        <f t="shared" si="29"/>
        <v>5</v>
      </c>
      <c r="CL59" s="145"/>
    </row>
    <row r="60" spans="2:108" s="143" customFormat="1" x14ac:dyDescent="0.15">
      <c r="CL60" s="145"/>
    </row>
    <row r="61" spans="2:108" s="143" customFormat="1" x14ac:dyDescent="0.15">
      <c r="CL61" s="145"/>
    </row>
    <row r="62" spans="2:108" s="143" customFormat="1" x14ac:dyDescent="0.15">
      <c r="CL62" s="145"/>
    </row>
    <row r="63" spans="2:108" s="143" customFormat="1" x14ac:dyDescent="0.15">
      <c r="CL63" s="145"/>
    </row>
    <row r="64" spans="2:108" s="143" customFormat="1" x14ac:dyDescent="0.15">
      <c r="CL64" s="145"/>
    </row>
    <row r="65" spans="90:90" s="143" customFormat="1" x14ac:dyDescent="0.15">
      <c r="CL65" s="145"/>
    </row>
    <row r="66" spans="90:90" s="143" customFormat="1" x14ac:dyDescent="0.15">
      <c r="CL66" s="145"/>
    </row>
    <row r="67" spans="90:90" s="143" customFormat="1" x14ac:dyDescent="0.15">
      <c r="CL67" s="145"/>
    </row>
    <row r="68" spans="90:90" customFormat="1" x14ac:dyDescent="0.15"/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phoneticPr fontId="0" type="noConversion"/>
  <conditionalFormatting sqref="CE58:CE67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BQ5" activePane="bottomRight" state="frozenSplit"/>
      <selection pane="topRight" activeCell="B1" sqref="B1"/>
      <selection pane="bottomLeft" activeCell="A5" sqref="A5"/>
      <selection pane="bottomRight" activeCell="B48" sqref="B4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38493</v>
      </c>
      <c r="D1" s="4">
        <v>38473</v>
      </c>
      <c r="E1" s="4">
        <v>38480</v>
      </c>
      <c r="F1" s="4">
        <v>38487</v>
      </c>
      <c r="G1" s="4">
        <v>38500</v>
      </c>
      <c r="H1" s="4">
        <v>38501</v>
      </c>
      <c r="I1" s="4">
        <v>38502</v>
      </c>
      <c r="J1" s="4">
        <v>38503</v>
      </c>
      <c r="K1" s="4">
        <v>38507</v>
      </c>
      <c r="L1" s="4">
        <v>38514</v>
      </c>
      <c r="M1" s="4">
        <v>38515</v>
      </c>
      <c r="N1" s="4">
        <v>38521</v>
      </c>
      <c r="O1" s="4">
        <v>38528</v>
      </c>
      <c r="P1" s="4">
        <v>38535</v>
      </c>
      <c r="Q1" s="4">
        <v>38536</v>
      </c>
      <c r="R1" s="4">
        <v>38542</v>
      </c>
      <c r="S1" s="4">
        <v>38549</v>
      </c>
      <c r="T1" s="4">
        <v>38550</v>
      </c>
      <c r="U1" s="4">
        <v>38556</v>
      </c>
      <c r="V1" s="4">
        <v>38557</v>
      </c>
      <c r="W1" s="4">
        <v>38570</v>
      </c>
      <c r="X1" s="4">
        <v>38571</v>
      </c>
      <c r="Y1" s="4">
        <v>38577</v>
      </c>
      <c r="Z1" s="4">
        <v>38585</v>
      </c>
      <c r="AA1" s="4">
        <v>38592</v>
      </c>
      <c r="AB1" s="4">
        <v>38599</v>
      </c>
      <c r="AC1" s="4">
        <v>38606</v>
      </c>
      <c r="AD1" s="4">
        <v>38612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Seven O</v>
      </c>
      <c r="D2" s="1" t="str">
        <v>John Fisher/Lamgas</v>
      </c>
      <c r="E2" s="1" t="str">
        <v>Spencer</v>
      </c>
      <c r="F2" s="1" t="str">
        <v>Thurlow Park RAFA</v>
      </c>
      <c r="G2" s="1" t="str">
        <v>Old Alleynians</v>
      </c>
      <c r="H2" s="1" t="str">
        <v>Woodgreen</v>
      </c>
      <c r="I2" s="1" t="str">
        <v>Steeple Langford</v>
      </c>
      <c r="J2" s="1" t="str">
        <v>Cove</v>
      </c>
      <c r="K2" s="1" t="str">
        <v>Central YMCA</v>
      </c>
      <c r="L2" s="1" t="str">
        <v>Churchleigh</v>
      </c>
      <c r="M2" s="1" t="str">
        <v>Giltec</v>
      </c>
      <c r="N2" s="1" t="str">
        <v>Seven O</v>
      </c>
      <c r="O2" s="1" t="str">
        <v>Riverside</v>
      </c>
      <c r="P2" s="1" t="str">
        <v>Central YMCA</v>
      </c>
      <c r="Q2" s="1" t="str">
        <v>Norwood Exiles</v>
      </c>
      <c r="R2" s="1" t="str">
        <v>Sanderstead</v>
      </c>
      <c r="S2" s="1" t="str">
        <v>Old Josephians</v>
      </c>
      <c r="T2" s="1" t="str">
        <v>Old Josephians</v>
      </c>
      <c r="U2" s="1" t="str">
        <v>Leigh</v>
      </c>
      <c r="V2" s="1" t="str">
        <v>Cheam</v>
      </c>
      <c r="W2" s="1" t="str">
        <v>Four Cs</v>
      </c>
      <c r="X2" s="1" t="str">
        <v>Addington</v>
      </c>
      <c r="Y2" s="1" t="str">
        <v>Riverside</v>
      </c>
      <c r="Z2" s="1" t="str">
        <v>East Sheen &amp; St Helier</v>
      </c>
      <c r="AA2" s="1" t="str">
        <v>Four Cs</v>
      </c>
      <c r="AB2" s="1" t="str">
        <v>Old Wimbledonians</v>
      </c>
      <c r="AC2" s="1" t="str">
        <v>Pretenders</v>
      </c>
      <c r="AD2" s="1" t="str">
        <v>Malden Wanderers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A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H</v>
      </c>
      <c r="O3" s="1" t="str">
        <v>A</v>
      </c>
      <c r="P3" s="1" t="str">
        <v>A</v>
      </c>
      <c r="Q3" s="1" t="str">
        <v>H</v>
      </c>
      <c r="R3" s="1" t="str">
        <v>A</v>
      </c>
      <c r="S3" s="1" t="str">
        <v>A</v>
      </c>
      <c r="T3" s="1" t="str">
        <v>H</v>
      </c>
      <c r="U3" s="1" t="str">
        <v>A</v>
      </c>
      <c r="V3" s="1" t="str">
        <v>A</v>
      </c>
      <c r="W3" s="1" t="str">
        <v>H</v>
      </c>
      <c r="X3" s="1" t="str">
        <v>H</v>
      </c>
      <c r="Y3" s="1" t="str">
        <v>H</v>
      </c>
      <c r="Z3" s="1" t="str">
        <v>H</v>
      </c>
      <c r="AA3" s="1" t="str">
        <v>A</v>
      </c>
      <c r="AB3" s="1" t="str">
        <v>A</v>
      </c>
      <c r="AC3" s="1" t="str">
        <v>H</v>
      </c>
      <c r="AD3" s="1" t="str">
        <v>H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SUM(CP5:CP41)</f>
        <v>16</v>
      </c>
      <c r="CQ3" s="55">
        <f>SUM(CQ5:CQ41)</f>
        <v>3</v>
      </c>
    </row>
    <row r="4" spans="1:98" ht="11.25" customHeight="1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D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T</v>
      </c>
      <c r="M4" s="1" t="str">
        <v>W</v>
      </c>
      <c r="N4" s="1" t="str">
        <v>D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L</v>
      </c>
      <c r="U4" s="1" t="str">
        <v>D</v>
      </c>
      <c r="V4" s="1" t="str">
        <v>L</v>
      </c>
      <c r="W4" s="1" t="str">
        <v>W</v>
      </c>
      <c r="X4" s="1" t="str">
        <v>L</v>
      </c>
      <c r="Y4" s="1" t="str">
        <v>ND</v>
      </c>
      <c r="Z4" s="1" t="str">
        <v>L</v>
      </c>
      <c r="AA4" s="1" t="str">
        <v>L</v>
      </c>
      <c r="AB4" s="1" t="str">
        <v>D</v>
      </c>
      <c r="AC4" s="1" t="str">
        <v>W</v>
      </c>
      <c r="AD4" s="1" t="str">
        <v>L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5" s="2" t="s">
        <v>252</v>
      </c>
      <c r="D5" s="2" t="s">
        <v>273</v>
      </c>
      <c r="E5" s="2" t="s">
        <v>286</v>
      </c>
      <c r="F5" s="2" t="s">
        <v>313</v>
      </c>
      <c r="G5" s="2" t="s">
        <v>335</v>
      </c>
      <c r="N5" s="2" t="s">
        <v>463</v>
      </c>
      <c r="R5" s="2" t="s">
        <v>552</v>
      </c>
      <c r="T5" s="2" t="s">
        <v>578</v>
      </c>
      <c r="V5" s="2" t="s">
        <v>621</v>
      </c>
      <c r="X5" s="2" t="s">
        <v>595</v>
      </c>
      <c r="Z5" s="2" t="s">
        <v>675</v>
      </c>
      <c r="AA5" s="2" t="s">
        <v>686</v>
      </c>
      <c r="AB5" s="2" t="s">
        <v>702</v>
      </c>
      <c r="AD5" s="2" t="s">
        <v>731</v>
      </c>
      <c r="CE5" s="55">
        <f>BowlSplit(C5:BC5,InnsBowledIn)</f>
        <v>14</v>
      </c>
      <c r="CF5" s="55">
        <f>BowlSplit(C5:CC5,BallsBowled)</f>
        <v>422</v>
      </c>
      <c r="CG5" s="57">
        <f>BowlSplit(C5:CC5,OversBowled)</f>
        <v>70.2</v>
      </c>
      <c r="CH5" s="55">
        <f>BowlSplit(C5:CC5,Maidens)</f>
        <v>5</v>
      </c>
      <c r="CI5" s="55">
        <f>BowlSplit(C5:CC5,RunsConceded)</f>
        <v>368</v>
      </c>
      <c r="CJ5" s="55">
        <f>BowlSplit(C5:CC5,WicketsTaken)</f>
        <v>14</v>
      </c>
      <c r="CK5" s="58">
        <f>IF(CJ5&gt;0,CI5/CJ5,"")</f>
        <v>26.285714285714285</v>
      </c>
      <c r="CL5" s="59">
        <f>IF(CJ5&gt;0,CF5/CJ5,"")</f>
        <v>30.142857142857142</v>
      </c>
      <c r="CM5" s="59">
        <f>IF(CF5&gt;0,6*CI5/CF5,"")</f>
        <v>5.2322274881516586</v>
      </c>
      <c r="CN5" s="49" t="str">
        <f>BowlSplit(C5:CC5,BestBowling)</f>
        <v>3-4</v>
      </c>
      <c r="CO5" s="55">
        <f>BowlSplit(C5:CC5,BowlPts)</f>
        <v>125</v>
      </c>
      <c r="CP5" s="55">
        <f>BowlSplit(C5:CC5,Wides)</f>
        <v>1</v>
      </c>
      <c r="CQ5" s="55">
        <f>BowlSplit(C5:CC5,NoBalls)</f>
        <v>0</v>
      </c>
      <c r="CR5" s="60">
        <f>IF(CJ5&gt;0,CK5,IF(CF5&gt;0,CF5+1000,99999))+ROW(CQ5)/10000</f>
        <v>26.286214285714284</v>
      </c>
      <c r="CS5" s="2">
        <f t="shared" ref="CS5:CS35" si="0">RANK(CR5,$CR$5:$CR$35,1)</f>
        <v>15</v>
      </c>
      <c r="CT5" s="114">
        <f>IF(CF5&gt;=120,CH5/CF5*6,"")</f>
        <v>7.1090047393364927E-2</v>
      </c>
    </row>
    <row r="6" spans="1:98" ht="11.25" customHeight="1" x14ac:dyDescent="0.15">
      <c r="A6" s="2" t="s">
        <v>43</v>
      </c>
      <c r="B6" s="2" t="s">
        <v>153</v>
      </c>
      <c r="G6" s="2" t="s">
        <v>333</v>
      </c>
      <c r="M6" s="60"/>
      <c r="O6" s="2" t="s">
        <v>491</v>
      </c>
      <c r="S6" s="2" t="s">
        <v>561</v>
      </c>
      <c r="CE6" s="55">
        <f t="shared" ref="CE6:CE21" si="1">BowlSplit(C6:BC6,InnsBowledIn)</f>
        <v>3</v>
      </c>
      <c r="CF6" s="55">
        <f t="shared" ref="CF6:CF21" si="2">BowlSplit(C6:CC6,BallsBowled)</f>
        <v>96</v>
      </c>
      <c r="CG6" s="57">
        <f t="shared" ref="CG6:CG21" si="3">BowlSplit(C6:CC6,OversBowled)</f>
        <v>16</v>
      </c>
      <c r="CH6" s="55">
        <f t="shared" ref="CH6:CH21" si="4">BowlSplit(C6:CC6,Maidens)</f>
        <v>1</v>
      </c>
      <c r="CI6" s="55">
        <f t="shared" ref="CI6:CI21" si="5">BowlSplit(C6:CC6,RunsConceded)</f>
        <v>110</v>
      </c>
      <c r="CJ6" s="55">
        <f t="shared" ref="CJ6:CJ21" si="6">BowlSplit(C6:CC6,WicketsTaken)</f>
        <v>3</v>
      </c>
      <c r="CK6" s="58">
        <f t="shared" ref="CK6:CK21" si="7">IF(CJ6&gt;0,CI6/CJ6,"")</f>
        <v>36.666666666666664</v>
      </c>
      <c r="CL6" s="59">
        <f t="shared" ref="CL6:CL21" si="8">IF(CJ6&gt;0,CF6/CJ6,"")</f>
        <v>32</v>
      </c>
      <c r="CM6" s="59">
        <f t="shared" ref="CM6:CM21" si="9">IF(CF6&gt;0,6*CI6/CF6,"")</f>
        <v>6.875</v>
      </c>
      <c r="CN6" s="49" t="str">
        <f t="shared" ref="CN6:CN21" si="10">BowlSplit(C6:CC6,BestBowling)</f>
        <v>2-50</v>
      </c>
      <c r="CO6" s="55">
        <f t="shared" ref="CO6:CO21" si="11">BowlSplit(C6:CC6,BowlPts)</f>
        <v>21</v>
      </c>
      <c r="CP6" s="55">
        <f t="shared" ref="CP6:CP21" si="12">BowlSplit(C6:CC6,Wides)</f>
        <v>0</v>
      </c>
      <c r="CQ6" s="55">
        <f t="shared" ref="CQ6:CQ21" si="13">BowlSplit(C6:CC6,NoBalls)</f>
        <v>0</v>
      </c>
      <c r="CR6" s="60">
        <f t="shared" ref="CR6:CR21" si="14">IF(CJ6&gt;0,CK6,IF(CF6&gt;0,CF6+1000,99999))+ROW(CQ6)/10000</f>
        <v>36.667266666666663</v>
      </c>
      <c r="CS6" s="2">
        <f t="shared" si="0"/>
        <v>22</v>
      </c>
      <c r="CT6" s="114" t="str">
        <f t="shared" ref="CT6:CT35" si="15">IF(CF6&gt;=120,CH6/CF6*6,"")</f>
        <v/>
      </c>
    </row>
    <row r="7" spans="1:98" ht="11.25" customHeight="1" x14ac:dyDescent="0.15">
      <c r="A7" s="2" t="s">
        <v>102</v>
      </c>
      <c r="B7" s="2" t="s">
        <v>154</v>
      </c>
      <c r="C7" s="2" t="s">
        <v>250</v>
      </c>
      <c r="D7" s="2" t="s">
        <v>272</v>
      </c>
      <c r="F7" s="2" t="s">
        <v>317</v>
      </c>
      <c r="G7" s="2" t="s">
        <v>334</v>
      </c>
      <c r="H7" s="2" t="s">
        <v>350</v>
      </c>
      <c r="I7" s="2" t="s">
        <v>370</v>
      </c>
      <c r="J7" s="2" t="s">
        <v>397</v>
      </c>
      <c r="K7" s="2" t="s">
        <v>417</v>
      </c>
      <c r="L7" s="2" t="s">
        <v>435</v>
      </c>
      <c r="M7" s="60"/>
      <c r="N7" s="2" t="s">
        <v>466</v>
      </c>
      <c r="O7" s="2" t="s">
        <v>492</v>
      </c>
      <c r="P7" s="2" t="s">
        <v>498</v>
      </c>
      <c r="R7" s="2" t="s">
        <v>549</v>
      </c>
      <c r="S7" s="2" t="s">
        <v>557</v>
      </c>
      <c r="U7" s="2" t="s">
        <v>594</v>
      </c>
      <c r="V7" s="2" t="s">
        <v>620</v>
      </c>
      <c r="W7" s="2" t="s">
        <v>636</v>
      </c>
      <c r="X7" s="2" t="s">
        <v>641</v>
      </c>
      <c r="AB7" s="2" t="s">
        <v>700</v>
      </c>
      <c r="AC7" s="2" t="s">
        <v>715</v>
      </c>
      <c r="AD7" s="2" t="s">
        <v>732</v>
      </c>
      <c r="CE7" s="55">
        <f t="shared" si="1"/>
        <v>21</v>
      </c>
      <c r="CF7" s="55">
        <f t="shared" si="2"/>
        <v>804</v>
      </c>
      <c r="CG7" s="57">
        <f t="shared" si="3"/>
        <v>134</v>
      </c>
      <c r="CH7" s="55">
        <f t="shared" si="4"/>
        <v>36</v>
      </c>
      <c r="CI7" s="55">
        <f t="shared" si="5"/>
        <v>359</v>
      </c>
      <c r="CJ7" s="55">
        <f t="shared" si="6"/>
        <v>28</v>
      </c>
      <c r="CK7" s="58">
        <f t="shared" si="7"/>
        <v>12.821428571428571</v>
      </c>
      <c r="CL7" s="59">
        <f t="shared" si="8"/>
        <v>28.714285714285715</v>
      </c>
      <c r="CM7" s="59">
        <f t="shared" si="9"/>
        <v>2.6791044776119404</v>
      </c>
      <c r="CN7" s="49" t="str">
        <f t="shared" si="10"/>
        <v>4-21</v>
      </c>
      <c r="CO7" s="55">
        <f t="shared" si="11"/>
        <v>446</v>
      </c>
      <c r="CP7" s="55">
        <f t="shared" si="12"/>
        <v>0</v>
      </c>
      <c r="CQ7" s="55">
        <f t="shared" si="13"/>
        <v>0</v>
      </c>
      <c r="CR7" s="60">
        <f t="shared" si="14"/>
        <v>12.822128571428571</v>
      </c>
      <c r="CS7" s="2">
        <f t="shared" si="0"/>
        <v>4</v>
      </c>
      <c r="CT7" s="114">
        <f t="shared" si="15"/>
        <v>0.26865671641791045</v>
      </c>
    </row>
    <row r="8" spans="1:98" ht="11.25" customHeight="1" x14ac:dyDescent="0.15">
      <c r="A8" s="2" t="s">
        <v>136</v>
      </c>
      <c r="B8" s="2" t="s">
        <v>155</v>
      </c>
      <c r="E8" s="2" t="s">
        <v>285</v>
      </c>
      <c r="K8" s="2" t="s">
        <v>419</v>
      </c>
      <c r="P8" s="2" t="s">
        <v>504</v>
      </c>
      <c r="X8" s="2" t="s">
        <v>643</v>
      </c>
      <c r="CE8" s="55">
        <f t="shared" si="1"/>
        <v>4</v>
      </c>
      <c r="CF8" s="55">
        <f t="shared" si="2"/>
        <v>102</v>
      </c>
      <c r="CG8" s="57">
        <f t="shared" si="3"/>
        <v>17</v>
      </c>
      <c r="CH8" s="55">
        <f t="shared" si="4"/>
        <v>1</v>
      </c>
      <c r="CI8" s="55">
        <f t="shared" si="5"/>
        <v>91</v>
      </c>
      <c r="CJ8" s="55">
        <f t="shared" si="6"/>
        <v>1</v>
      </c>
      <c r="CK8" s="58">
        <f t="shared" si="7"/>
        <v>91</v>
      </c>
      <c r="CL8" s="59">
        <f t="shared" si="8"/>
        <v>102</v>
      </c>
      <c r="CM8" s="59">
        <f t="shared" si="9"/>
        <v>5.3529411764705879</v>
      </c>
      <c r="CN8" s="49" t="str">
        <f t="shared" si="10"/>
        <v>1-41</v>
      </c>
      <c r="CO8" s="55">
        <f t="shared" si="11"/>
        <v>21</v>
      </c>
      <c r="CP8" s="55">
        <f t="shared" si="12"/>
        <v>6</v>
      </c>
      <c r="CQ8" s="55">
        <f t="shared" si="13"/>
        <v>0</v>
      </c>
      <c r="CR8" s="60">
        <f t="shared" si="14"/>
        <v>91.000799999999998</v>
      </c>
      <c r="CS8" s="2">
        <f t="shared" si="0"/>
        <v>25</v>
      </c>
      <c r="CT8" s="114" t="str">
        <f t="shared" si="15"/>
        <v/>
      </c>
    </row>
    <row r="9" spans="1:98" ht="11.25" customHeight="1" x14ac:dyDescent="0.15">
      <c r="A9" s="2" t="s">
        <v>44</v>
      </c>
      <c r="B9" s="2" t="s">
        <v>45</v>
      </c>
      <c r="C9" s="2" t="s">
        <v>251</v>
      </c>
      <c r="D9" s="2" t="s">
        <v>271</v>
      </c>
      <c r="E9" s="2" t="s">
        <v>284</v>
      </c>
      <c r="F9" s="2" t="s">
        <v>314</v>
      </c>
      <c r="I9" s="2" t="s">
        <v>372</v>
      </c>
      <c r="K9" s="2" t="s">
        <v>418</v>
      </c>
      <c r="L9" s="2" t="s">
        <v>437</v>
      </c>
      <c r="M9" s="60" t="s">
        <v>455</v>
      </c>
      <c r="N9" s="2" t="s">
        <v>464</v>
      </c>
      <c r="P9" s="2" t="s">
        <v>503</v>
      </c>
      <c r="Q9" s="2" t="s">
        <v>518</v>
      </c>
      <c r="R9" s="2" t="s">
        <v>551</v>
      </c>
      <c r="S9" s="2" t="s">
        <v>559</v>
      </c>
      <c r="T9" s="2" t="s">
        <v>577</v>
      </c>
      <c r="U9" s="2" t="s">
        <v>593</v>
      </c>
      <c r="V9" s="2" t="s">
        <v>619</v>
      </c>
      <c r="X9" s="2" t="s">
        <v>640</v>
      </c>
      <c r="Z9" s="2" t="s">
        <v>673</v>
      </c>
      <c r="AA9" s="2" t="s">
        <v>683</v>
      </c>
      <c r="AB9" s="2" t="s">
        <v>699</v>
      </c>
      <c r="AC9" s="2" t="s">
        <v>716</v>
      </c>
      <c r="AD9" s="2" t="s">
        <v>730</v>
      </c>
      <c r="CE9" s="55">
        <f t="shared" si="1"/>
        <v>22</v>
      </c>
      <c r="CF9" s="55">
        <f t="shared" si="2"/>
        <v>962</v>
      </c>
      <c r="CG9" s="57">
        <f t="shared" si="3"/>
        <v>160.19999999999999</v>
      </c>
      <c r="CH9" s="55">
        <f t="shared" si="4"/>
        <v>18</v>
      </c>
      <c r="CI9" s="55">
        <f t="shared" si="5"/>
        <v>693</v>
      </c>
      <c r="CJ9" s="55">
        <f t="shared" si="6"/>
        <v>35</v>
      </c>
      <c r="CK9" s="58">
        <f t="shared" si="7"/>
        <v>19.8</v>
      </c>
      <c r="CL9" s="59">
        <f t="shared" si="8"/>
        <v>27.485714285714284</v>
      </c>
      <c r="CM9" s="59">
        <f t="shared" si="9"/>
        <v>4.3222453222453225</v>
      </c>
      <c r="CN9" s="49" t="str">
        <f t="shared" si="10"/>
        <v>6-33</v>
      </c>
      <c r="CO9" s="55">
        <f t="shared" si="11"/>
        <v>378</v>
      </c>
      <c r="CP9" s="55">
        <f t="shared" si="12"/>
        <v>0</v>
      </c>
      <c r="CQ9" s="55">
        <f t="shared" si="13"/>
        <v>0</v>
      </c>
      <c r="CR9" s="60">
        <f t="shared" si="14"/>
        <v>19.800900000000002</v>
      </c>
      <c r="CS9" s="2">
        <f t="shared" si="0"/>
        <v>11</v>
      </c>
      <c r="CT9" s="114">
        <f t="shared" si="15"/>
        <v>0.11226611226611227</v>
      </c>
    </row>
    <row r="10" spans="1:98" ht="11.25" customHeight="1" x14ac:dyDescent="0.15">
      <c r="B10" s="2" t="s">
        <v>194</v>
      </c>
      <c r="M10" s="60"/>
      <c r="P10" s="2" t="s">
        <v>502</v>
      </c>
      <c r="CE10" s="55">
        <f>BowlSplit(C10:BC10,InnsBowledIn)</f>
        <v>1</v>
      </c>
      <c r="CF10" s="55">
        <f>BowlSplit(C10:CC10,BallsBowled)</f>
        <v>12</v>
      </c>
      <c r="CG10" s="57">
        <f>BowlSplit(C10:CC10,OversBowled)</f>
        <v>2</v>
      </c>
      <c r="CH10" s="55">
        <f>BowlSplit(C10:CC10,Maidens)</f>
        <v>0</v>
      </c>
      <c r="CI10" s="55">
        <f>BowlSplit(C10:CC10,RunsConceded)</f>
        <v>8</v>
      </c>
      <c r="CJ10" s="55">
        <f>BowlSplit(C10:CC10,WicketsTaken)</f>
        <v>0</v>
      </c>
      <c r="CK10" s="58" t="str">
        <f>IF(CJ10&gt;0,CI10/CJ10,"")</f>
        <v/>
      </c>
      <c r="CL10" s="59" t="str">
        <f>IF(CJ10&gt;0,CF10/CJ10,"")</f>
        <v/>
      </c>
      <c r="CM10" s="59">
        <f>IF(CF10&gt;0,6*CI10/CF10,"")</f>
        <v>4</v>
      </c>
      <c r="CN10" s="49" t="str">
        <f>BowlSplit(C10:CC10,BestBowling)</f>
        <v>0-8</v>
      </c>
      <c r="CO10" s="55">
        <f>BowlSplit(C10:CC10,BowlPts)</f>
        <v>0</v>
      </c>
      <c r="CP10" s="55">
        <f>BowlSplit(C10:CC10,Wides)</f>
        <v>0</v>
      </c>
      <c r="CQ10" s="55">
        <f>BowlSplit(C10:CC10,NoBalls)</f>
        <v>0</v>
      </c>
      <c r="CR10" s="60">
        <f>IF(CJ10&gt;0,CK10,IF(CF10&gt;0,CF10+1000,99999))+ROW(CQ10)/10000</f>
        <v>1012.001</v>
      </c>
      <c r="CS10" s="2">
        <f t="shared" si="0"/>
        <v>27</v>
      </c>
      <c r="CT10" s="114" t="str">
        <f t="shared" si="15"/>
        <v/>
      </c>
    </row>
    <row r="11" spans="1:98" ht="11.25" customHeight="1" x14ac:dyDescent="0.15">
      <c r="A11" s="2" t="s">
        <v>47</v>
      </c>
      <c r="B11" s="2" t="s">
        <v>156</v>
      </c>
      <c r="D11" s="2" t="s">
        <v>275</v>
      </c>
      <c r="F11" s="2" t="s">
        <v>316</v>
      </c>
      <c r="O11" s="2" t="s">
        <v>494</v>
      </c>
      <c r="Q11" s="2" t="s">
        <v>522</v>
      </c>
      <c r="S11" s="2" t="s">
        <v>314</v>
      </c>
      <c r="T11" s="2" t="s">
        <v>579</v>
      </c>
      <c r="X11" s="2" t="s">
        <v>642</v>
      </c>
      <c r="AA11" s="2" t="s">
        <v>685</v>
      </c>
      <c r="CE11" s="55">
        <f t="shared" si="1"/>
        <v>8</v>
      </c>
      <c r="CF11" s="55">
        <f t="shared" si="2"/>
        <v>219</v>
      </c>
      <c r="CG11" s="57">
        <f t="shared" si="3"/>
        <v>36.299999999999997</v>
      </c>
      <c r="CH11" s="55">
        <f t="shared" si="4"/>
        <v>0</v>
      </c>
      <c r="CI11" s="55">
        <f t="shared" si="5"/>
        <v>237</v>
      </c>
      <c r="CJ11" s="55">
        <f t="shared" si="6"/>
        <v>8</v>
      </c>
      <c r="CK11" s="58">
        <f t="shared" si="7"/>
        <v>29.625</v>
      </c>
      <c r="CL11" s="59">
        <f t="shared" si="8"/>
        <v>27.375</v>
      </c>
      <c r="CM11" s="59">
        <f t="shared" si="9"/>
        <v>6.493150684931507</v>
      </c>
      <c r="CN11" s="49" t="str">
        <f t="shared" si="10"/>
        <v>3-15</v>
      </c>
      <c r="CO11" s="55">
        <f t="shared" si="11"/>
        <v>50</v>
      </c>
      <c r="CP11" s="55">
        <f t="shared" si="12"/>
        <v>2</v>
      </c>
      <c r="CQ11" s="55">
        <f t="shared" si="13"/>
        <v>0</v>
      </c>
      <c r="CR11" s="60">
        <f t="shared" si="14"/>
        <v>29.626100000000001</v>
      </c>
      <c r="CS11" s="2">
        <f t="shared" si="0"/>
        <v>18</v>
      </c>
      <c r="CT11" s="114">
        <f t="shared" si="15"/>
        <v>0</v>
      </c>
    </row>
    <row r="12" spans="1:98" ht="11.25" customHeight="1" x14ac:dyDescent="0.15">
      <c r="B12" s="2" t="s">
        <v>219</v>
      </c>
      <c r="T12" s="2" t="s">
        <v>575</v>
      </c>
      <c r="CE12" s="55">
        <f t="shared" si="1"/>
        <v>1</v>
      </c>
      <c r="CF12" s="55">
        <f t="shared" si="2"/>
        <v>18</v>
      </c>
      <c r="CG12" s="57">
        <f t="shared" si="3"/>
        <v>3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13.333333333333334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1018.0012</v>
      </c>
      <c r="CS12" s="2">
        <f t="shared" si="0"/>
        <v>28</v>
      </c>
      <c r="CT12" s="114" t="str">
        <f t="shared" si="15"/>
        <v/>
      </c>
    </row>
    <row r="13" spans="1:98" ht="11.25" customHeight="1" x14ac:dyDescent="0.15">
      <c r="B13" s="2" t="s">
        <v>676</v>
      </c>
      <c r="Z13" s="2" t="s">
        <v>677</v>
      </c>
      <c r="CE13" s="55">
        <f>BowlSplit(C13:BC13,InnsBowledIn)</f>
        <v>1</v>
      </c>
      <c r="CF13" s="55">
        <f>BowlSplit(C13:CC13,BallsBowled)</f>
        <v>6</v>
      </c>
      <c r="CG13" s="57">
        <f>BowlSplit(C13:CC13,OversBowled)</f>
        <v>1</v>
      </c>
      <c r="CH13" s="55">
        <f>BowlSplit(C13:CC13,Maidens)</f>
        <v>1</v>
      </c>
      <c r="CI13" s="55">
        <f>BowlSplit(C13:CC13,RunsConceded)</f>
        <v>0</v>
      </c>
      <c r="CJ13" s="55">
        <f>BowlSplit(C13:CC13,WicketsTaken)</f>
        <v>0</v>
      </c>
      <c r="CK13" s="58" t="str">
        <f>IF(CJ13&gt;0,CI13/CJ13,"")</f>
        <v/>
      </c>
      <c r="CL13" s="59" t="str">
        <f>IF(CJ13&gt;0,CF13/CJ13,"")</f>
        <v/>
      </c>
      <c r="CM13" s="59">
        <f>IF(CF13&gt;0,6*CI13/CF13,"")</f>
        <v>0</v>
      </c>
      <c r="CN13" s="49" t="str">
        <f>BowlSplit(C13:CC13,BestBowling)</f>
        <v>0-0</v>
      </c>
      <c r="CO13" s="55">
        <f>BowlSplit(C13:CC13,BowlPts)</f>
        <v>11</v>
      </c>
      <c r="CP13" s="55">
        <f>BowlSplit(C13:CC13,Wides)</f>
        <v>0</v>
      </c>
      <c r="CQ13" s="55">
        <f>BowlSplit(C13:CC13,NoBalls)</f>
        <v>0</v>
      </c>
      <c r="CR13" s="60">
        <f>IF(CJ13&gt;0,CK13,IF(CF13&gt;0,CF13+1000,99999))+ROW(CQ13)/10000</f>
        <v>1006.0013</v>
      </c>
      <c r="CS13" s="2">
        <f t="shared" si="0"/>
        <v>26</v>
      </c>
      <c r="CT13" s="114" t="str">
        <f t="shared" si="15"/>
        <v/>
      </c>
    </row>
    <row r="14" spans="1:98" ht="11.25" customHeight="1" x14ac:dyDescent="0.15">
      <c r="B14" s="2" t="s">
        <v>217</v>
      </c>
      <c r="M14" s="60"/>
      <c r="AA14" s="2" t="s">
        <v>684</v>
      </c>
      <c r="CE14" s="55">
        <f t="shared" si="1"/>
        <v>1</v>
      </c>
      <c r="CF14" s="55">
        <f t="shared" si="2"/>
        <v>36</v>
      </c>
      <c r="CG14" s="57">
        <f t="shared" si="3"/>
        <v>6</v>
      </c>
      <c r="CH14" s="55">
        <f t="shared" si="4"/>
        <v>0</v>
      </c>
      <c r="CI14" s="55">
        <f t="shared" si="5"/>
        <v>31</v>
      </c>
      <c r="CJ14" s="55">
        <f t="shared" si="6"/>
        <v>1</v>
      </c>
      <c r="CK14" s="58">
        <f t="shared" si="7"/>
        <v>31</v>
      </c>
      <c r="CL14" s="59">
        <f t="shared" si="8"/>
        <v>36</v>
      </c>
      <c r="CM14" s="59">
        <f t="shared" si="9"/>
        <v>5.166666666666667</v>
      </c>
      <c r="CN14" s="49" t="str">
        <f t="shared" si="10"/>
        <v>1-31</v>
      </c>
      <c r="CO14" s="55">
        <f t="shared" si="11"/>
        <v>5</v>
      </c>
      <c r="CP14" s="55">
        <f t="shared" si="12"/>
        <v>0</v>
      </c>
      <c r="CQ14" s="55">
        <f t="shared" si="13"/>
        <v>0</v>
      </c>
      <c r="CR14" s="60">
        <f t="shared" si="14"/>
        <v>31.0014</v>
      </c>
      <c r="CS14" s="2">
        <f t="shared" si="0"/>
        <v>20</v>
      </c>
      <c r="CT14" s="114" t="str">
        <f t="shared" si="15"/>
        <v/>
      </c>
    </row>
    <row r="15" spans="1:98" ht="11.25" customHeight="1" x14ac:dyDescent="0.15">
      <c r="B15" s="2" t="s">
        <v>571</v>
      </c>
      <c r="M15" s="60" t="s">
        <v>457</v>
      </c>
      <c r="N15" s="2" t="s">
        <v>465</v>
      </c>
      <c r="AC15" s="2" t="s">
        <v>720</v>
      </c>
      <c r="CE15" s="55">
        <f>BowlSplit(C15:BC15,InnsBowledIn)</f>
        <v>3</v>
      </c>
      <c r="CF15" s="55">
        <f>BowlSplit(C15:CC15,BallsBowled)</f>
        <v>36</v>
      </c>
      <c r="CG15" s="57">
        <f>BowlSplit(C15:CC15,OversBowled)</f>
        <v>6</v>
      </c>
      <c r="CH15" s="55">
        <f>BowlSplit(C15:CC15,Maidens)</f>
        <v>0</v>
      </c>
      <c r="CI15" s="55">
        <f>BowlSplit(C15:CC15,RunsConceded)</f>
        <v>57</v>
      </c>
      <c r="CJ15" s="55">
        <f>BowlSplit(C15:CC15,WicketsTaken)</f>
        <v>1</v>
      </c>
      <c r="CK15" s="58">
        <f>IF(CJ15&gt;0,CI15/CJ15,"")</f>
        <v>57</v>
      </c>
      <c r="CL15" s="59">
        <f>IF(CJ15&gt;0,CF15/CJ15,"")</f>
        <v>36</v>
      </c>
      <c r="CM15" s="59">
        <f>IF(CF15&gt;0,6*CI15/CF15,"")</f>
        <v>9.5</v>
      </c>
      <c r="CN15" s="49" t="str">
        <f>BowlSplit(C15:CC15,BestBowling)</f>
        <v>1-15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57.0015</v>
      </c>
      <c r="CS15" s="2">
        <f t="shared" si="0"/>
        <v>24</v>
      </c>
      <c r="CT15" s="114" t="str">
        <f t="shared" si="15"/>
        <v/>
      </c>
    </row>
    <row r="16" spans="1:98" ht="11.25" customHeight="1" x14ac:dyDescent="0.15">
      <c r="A16" s="2" t="s">
        <v>48</v>
      </c>
      <c r="B16" s="2" t="s">
        <v>49</v>
      </c>
      <c r="H16" s="2" t="s">
        <v>353</v>
      </c>
      <c r="M16" s="2" t="s">
        <v>456</v>
      </c>
      <c r="CE16" s="55">
        <f t="shared" si="1"/>
        <v>2</v>
      </c>
      <c r="CF16" s="55">
        <f t="shared" si="2"/>
        <v>61</v>
      </c>
      <c r="CG16" s="57">
        <f t="shared" si="3"/>
        <v>10.1</v>
      </c>
      <c r="CH16" s="55">
        <f t="shared" si="4"/>
        <v>2</v>
      </c>
      <c r="CI16" s="55">
        <f t="shared" si="5"/>
        <v>39</v>
      </c>
      <c r="CJ16" s="55">
        <f t="shared" si="6"/>
        <v>3</v>
      </c>
      <c r="CK16" s="58">
        <f t="shared" si="7"/>
        <v>13</v>
      </c>
      <c r="CL16" s="59">
        <f t="shared" si="8"/>
        <v>20.333333333333332</v>
      </c>
      <c r="CM16" s="59">
        <f t="shared" si="9"/>
        <v>3.8360655737704916</v>
      </c>
      <c r="CN16" s="49" t="str">
        <f t="shared" si="10"/>
        <v>2-21</v>
      </c>
      <c r="CO16" s="55">
        <f t="shared" si="11"/>
        <v>32</v>
      </c>
      <c r="CP16" s="55">
        <f t="shared" si="12"/>
        <v>0</v>
      </c>
      <c r="CQ16" s="55">
        <f t="shared" si="13"/>
        <v>0</v>
      </c>
      <c r="CR16" s="60">
        <f t="shared" si="14"/>
        <v>13.0016</v>
      </c>
      <c r="CS16" s="2">
        <f t="shared" si="0"/>
        <v>5</v>
      </c>
      <c r="CT16" s="114" t="str">
        <f t="shared" si="15"/>
        <v/>
      </c>
    </row>
    <row r="17" spans="1:98" ht="11.25" customHeight="1" x14ac:dyDescent="0.15">
      <c r="A17" s="2" t="s">
        <v>201</v>
      </c>
      <c r="B17" s="2" t="s">
        <v>196</v>
      </c>
      <c r="D17" s="2" t="s">
        <v>270</v>
      </c>
      <c r="G17" s="2" t="s">
        <v>330</v>
      </c>
      <c r="H17" s="2" t="s">
        <v>351</v>
      </c>
      <c r="I17" s="2" t="s">
        <v>371</v>
      </c>
      <c r="J17" s="2" t="s">
        <v>399</v>
      </c>
      <c r="L17" s="2" t="s">
        <v>433</v>
      </c>
      <c r="M17" s="2" t="s">
        <v>452</v>
      </c>
      <c r="P17" s="2" t="s">
        <v>500</v>
      </c>
      <c r="Q17" s="2" t="s">
        <v>516</v>
      </c>
      <c r="T17" s="2" t="s">
        <v>576</v>
      </c>
      <c r="U17" s="2" t="s">
        <v>592</v>
      </c>
      <c r="V17" s="2" t="s">
        <v>617</v>
      </c>
      <c r="X17" s="2" t="s">
        <v>639</v>
      </c>
      <c r="Z17" s="2" t="s">
        <v>678</v>
      </c>
      <c r="AA17" s="2" t="s">
        <v>682</v>
      </c>
      <c r="AB17" s="2" t="s">
        <v>697</v>
      </c>
      <c r="AD17" s="2" t="s">
        <v>729</v>
      </c>
      <c r="CE17" s="55">
        <f t="shared" si="1"/>
        <v>17</v>
      </c>
      <c r="CF17" s="55">
        <f t="shared" si="2"/>
        <v>516</v>
      </c>
      <c r="CG17" s="57">
        <f t="shared" si="3"/>
        <v>86</v>
      </c>
      <c r="CH17" s="55">
        <f t="shared" si="4"/>
        <v>2</v>
      </c>
      <c r="CI17" s="55">
        <f t="shared" si="5"/>
        <v>449</v>
      </c>
      <c r="CJ17" s="55">
        <f t="shared" si="6"/>
        <v>15</v>
      </c>
      <c r="CK17" s="58">
        <f t="shared" si="7"/>
        <v>29.933333333333334</v>
      </c>
      <c r="CL17" s="59">
        <f t="shared" si="8"/>
        <v>34.4</v>
      </c>
      <c r="CM17" s="59">
        <f t="shared" si="9"/>
        <v>5.2209302325581399</v>
      </c>
      <c r="CN17" s="49" t="str">
        <f t="shared" si="10"/>
        <v>2-5</v>
      </c>
      <c r="CO17" s="55">
        <f t="shared" si="11"/>
        <v>127</v>
      </c>
      <c r="CP17" s="55">
        <f t="shared" si="12"/>
        <v>0</v>
      </c>
      <c r="CQ17" s="55">
        <f t="shared" si="13"/>
        <v>3</v>
      </c>
      <c r="CR17" s="60">
        <f t="shared" si="14"/>
        <v>29.935033333333333</v>
      </c>
      <c r="CS17" s="2">
        <f t="shared" si="0"/>
        <v>19</v>
      </c>
      <c r="CT17" s="114">
        <f t="shared" si="15"/>
        <v>2.3255813953488372E-2</v>
      </c>
    </row>
    <row r="18" spans="1:98" ht="11.25" customHeight="1" x14ac:dyDescent="0.15">
      <c r="A18" s="2" t="s">
        <v>142</v>
      </c>
      <c r="B18" s="2" t="s">
        <v>157</v>
      </c>
      <c r="E18" s="2" t="s">
        <v>283</v>
      </c>
      <c r="G18" s="2" t="s">
        <v>332</v>
      </c>
      <c r="M18" s="2" t="s">
        <v>453</v>
      </c>
      <c r="Q18" s="2" t="s">
        <v>517</v>
      </c>
      <c r="X18" s="2" t="s">
        <v>644</v>
      </c>
      <c r="AA18" s="2" t="s">
        <v>687</v>
      </c>
      <c r="AB18" s="2" t="s">
        <v>703</v>
      </c>
      <c r="AC18" s="2" t="s">
        <v>718</v>
      </c>
      <c r="AD18" s="2" t="s">
        <v>734</v>
      </c>
      <c r="CE18" s="55">
        <f t="shared" si="1"/>
        <v>9</v>
      </c>
      <c r="CF18" s="55">
        <f t="shared" si="2"/>
        <v>210</v>
      </c>
      <c r="CG18" s="57">
        <f t="shared" si="3"/>
        <v>35</v>
      </c>
      <c r="CH18" s="55">
        <f t="shared" si="4"/>
        <v>1</v>
      </c>
      <c r="CI18" s="55">
        <f t="shared" si="5"/>
        <v>254</v>
      </c>
      <c r="CJ18" s="55">
        <f t="shared" si="6"/>
        <v>7</v>
      </c>
      <c r="CK18" s="58">
        <f t="shared" si="7"/>
        <v>36.285714285714285</v>
      </c>
      <c r="CL18" s="59">
        <f t="shared" si="8"/>
        <v>30</v>
      </c>
      <c r="CM18" s="59">
        <f t="shared" si="9"/>
        <v>7.2571428571428571</v>
      </c>
      <c r="CN18" s="49" t="str">
        <f t="shared" si="10"/>
        <v>3-23</v>
      </c>
      <c r="CO18" s="55">
        <f t="shared" si="11"/>
        <v>31</v>
      </c>
      <c r="CP18" s="55">
        <f t="shared" si="12"/>
        <v>0</v>
      </c>
      <c r="CQ18" s="55">
        <f t="shared" si="13"/>
        <v>0</v>
      </c>
      <c r="CR18" s="60">
        <f t="shared" si="14"/>
        <v>36.287514285714288</v>
      </c>
      <c r="CS18" s="2">
        <f t="shared" si="0"/>
        <v>21</v>
      </c>
      <c r="CT18" s="114">
        <f t="shared" si="15"/>
        <v>2.8571428571428574E-2</v>
      </c>
    </row>
    <row r="19" spans="1:98" ht="11.25" customHeight="1" x14ac:dyDescent="0.15">
      <c r="A19" s="2" t="s">
        <v>50</v>
      </c>
      <c r="B19" s="2" t="s">
        <v>51</v>
      </c>
      <c r="D19" s="2" t="s">
        <v>269</v>
      </c>
      <c r="E19" s="2" t="s">
        <v>281</v>
      </c>
      <c r="F19" s="2" t="s">
        <v>312</v>
      </c>
      <c r="I19" s="2" t="s">
        <v>367</v>
      </c>
      <c r="J19" s="2" t="s">
        <v>395</v>
      </c>
      <c r="T19" s="2" t="s">
        <v>574</v>
      </c>
      <c r="V19" s="2" t="s">
        <v>618</v>
      </c>
      <c r="Z19" s="2" t="s">
        <v>782</v>
      </c>
      <c r="AD19" s="2" t="s">
        <v>728</v>
      </c>
      <c r="CE19" s="55">
        <f t="shared" si="1"/>
        <v>9</v>
      </c>
      <c r="CF19" s="55">
        <f t="shared" si="2"/>
        <v>432</v>
      </c>
      <c r="CG19" s="57">
        <f t="shared" si="3"/>
        <v>72</v>
      </c>
      <c r="CH19" s="55">
        <f t="shared" si="4"/>
        <v>20</v>
      </c>
      <c r="CI19" s="55">
        <f t="shared" si="5"/>
        <v>198</v>
      </c>
      <c r="CJ19" s="55">
        <f t="shared" si="6"/>
        <v>7</v>
      </c>
      <c r="CK19" s="58">
        <f t="shared" si="7"/>
        <v>28.285714285714285</v>
      </c>
      <c r="CL19" s="59">
        <f t="shared" si="8"/>
        <v>61.714285714285715</v>
      </c>
      <c r="CM19" s="59">
        <f t="shared" si="9"/>
        <v>2.75</v>
      </c>
      <c r="CN19" s="49" t="str">
        <f t="shared" si="10"/>
        <v>3-27</v>
      </c>
      <c r="CO19" s="55">
        <f t="shared" si="11"/>
        <v>155</v>
      </c>
      <c r="CP19" s="55">
        <f t="shared" si="12"/>
        <v>0</v>
      </c>
      <c r="CQ19" s="55">
        <f t="shared" si="13"/>
        <v>0</v>
      </c>
      <c r="CR19" s="60">
        <f t="shared" si="14"/>
        <v>28.287614285714284</v>
      </c>
      <c r="CS19" s="2">
        <f t="shared" si="0"/>
        <v>17</v>
      </c>
      <c r="CT19" s="114">
        <f t="shared" si="15"/>
        <v>0.27777777777777779</v>
      </c>
    </row>
    <row r="20" spans="1:98" ht="11.25" customHeight="1" x14ac:dyDescent="0.15">
      <c r="A20" s="2" t="s">
        <v>52</v>
      </c>
      <c r="B20" s="2" t="s">
        <v>53</v>
      </c>
      <c r="E20" s="2" t="s">
        <v>282</v>
      </c>
      <c r="M20" s="60" t="s">
        <v>451</v>
      </c>
      <c r="CE20" s="55">
        <f t="shared" si="1"/>
        <v>2</v>
      </c>
      <c r="CF20" s="55">
        <f t="shared" si="2"/>
        <v>84</v>
      </c>
      <c r="CG20" s="57">
        <f t="shared" si="3"/>
        <v>14</v>
      </c>
      <c r="CH20" s="55">
        <f t="shared" si="4"/>
        <v>5</v>
      </c>
      <c r="CI20" s="55">
        <f t="shared" si="5"/>
        <v>36</v>
      </c>
      <c r="CJ20" s="55">
        <f t="shared" si="6"/>
        <v>6</v>
      </c>
      <c r="CK20" s="58">
        <f t="shared" si="7"/>
        <v>6</v>
      </c>
      <c r="CL20" s="59">
        <f t="shared" si="8"/>
        <v>14</v>
      </c>
      <c r="CM20" s="59">
        <f t="shared" si="9"/>
        <v>2.5714285714285716</v>
      </c>
      <c r="CN20" s="49" t="str">
        <f t="shared" si="10"/>
        <v>4-21</v>
      </c>
      <c r="CO20" s="55">
        <f t="shared" si="11"/>
        <v>85</v>
      </c>
      <c r="CP20" s="55">
        <f t="shared" si="12"/>
        <v>2</v>
      </c>
      <c r="CQ20" s="55">
        <f t="shared" si="13"/>
        <v>0</v>
      </c>
      <c r="CR20" s="60">
        <f t="shared" si="14"/>
        <v>6.0019999999999998</v>
      </c>
      <c r="CS20" s="2">
        <f t="shared" si="0"/>
        <v>1</v>
      </c>
      <c r="CT20" s="114" t="str">
        <f t="shared" si="15"/>
        <v/>
      </c>
    </row>
    <row r="21" spans="1:98" ht="11.25" customHeight="1" x14ac:dyDescent="0.15">
      <c r="B21" s="2" t="s">
        <v>122</v>
      </c>
      <c r="D21" s="2" t="s">
        <v>274</v>
      </c>
      <c r="H21" s="2" t="s">
        <v>352</v>
      </c>
      <c r="I21" s="2" t="s">
        <v>373</v>
      </c>
      <c r="M21" s="60" t="s">
        <v>454</v>
      </c>
      <c r="V21" s="2" t="s">
        <v>622</v>
      </c>
      <c r="AC21" s="2" t="s">
        <v>717</v>
      </c>
      <c r="AD21" s="2" t="s">
        <v>733</v>
      </c>
      <c r="CE21" s="55">
        <f t="shared" si="1"/>
        <v>7</v>
      </c>
      <c r="CF21" s="55">
        <f t="shared" si="2"/>
        <v>270</v>
      </c>
      <c r="CG21" s="57">
        <f t="shared" si="3"/>
        <v>45</v>
      </c>
      <c r="CH21" s="55">
        <f t="shared" si="4"/>
        <v>9</v>
      </c>
      <c r="CI21" s="55">
        <f t="shared" si="5"/>
        <v>162</v>
      </c>
      <c r="CJ21" s="55">
        <f t="shared" si="6"/>
        <v>8</v>
      </c>
      <c r="CK21" s="58">
        <f t="shared" si="7"/>
        <v>20.25</v>
      </c>
      <c r="CL21" s="59">
        <f t="shared" si="8"/>
        <v>33.75</v>
      </c>
      <c r="CM21" s="59">
        <f t="shared" si="9"/>
        <v>3.6</v>
      </c>
      <c r="CN21" s="49" t="str">
        <f t="shared" si="10"/>
        <v>3-28</v>
      </c>
      <c r="CO21" s="55">
        <f t="shared" si="11"/>
        <v>114</v>
      </c>
      <c r="CP21" s="55">
        <f t="shared" si="12"/>
        <v>1</v>
      </c>
      <c r="CQ21" s="55">
        <f t="shared" si="13"/>
        <v>0</v>
      </c>
      <c r="CR21" s="60">
        <f t="shared" si="14"/>
        <v>20.252099999999999</v>
      </c>
      <c r="CS21" s="2">
        <f t="shared" si="0"/>
        <v>12</v>
      </c>
      <c r="CT21" s="114">
        <f t="shared" si="15"/>
        <v>0.2</v>
      </c>
    </row>
    <row r="22" spans="1:98" ht="11.25" customHeight="1" x14ac:dyDescent="0.15">
      <c r="B22" s="2" t="s">
        <v>243</v>
      </c>
      <c r="C22" s="2" t="s">
        <v>249</v>
      </c>
      <c r="F22" s="2" t="s">
        <v>315</v>
      </c>
      <c r="L22" s="2" t="s">
        <v>434</v>
      </c>
      <c r="M22" s="60"/>
      <c r="N22" s="2" t="s">
        <v>461</v>
      </c>
      <c r="CE22" s="55">
        <f>BowlSplit(C22:BC22,InnsBowledIn)</f>
        <v>4</v>
      </c>
      <c r="CF22" s="55">
        <f>BowlSplit(C22:CC22,BallsBowled)</f>
        <v>138</v>
      </c>
      <c r="CG22" s="57">
        <f>BowlSplit(C22:CC22,OversBowled)</f>
        <v>23</v>
      </c>
      <c r="CH22" s="55">
        <f>BowlSplit(C22:CC22,Maidens)</f>
        <v>3</v>
      </c>
      <c r="CI22" s="55">
        <f>BowlSplit(C22:CC22,RunsConceded)</f>
        <v>77</v>
      </c>
      <c r="CJ22" s="55">
        <f>BowlSplit(C22:CC22,WicketsTaken)</f>
        <v>4</v>
      </c>
      <c r="CK22" s="58">
        <f>IF(CJ22&gt;0,CI22/CJ22,"")</f>
        <v>19.25</v>
      </c>
      <c r="CL22" s="59">
        <f>IF(CJ22&gt;0,CF22/CJ22,"")</f>
        <v>34.5</v>
      </c>
      <c r="CM22" s="59">
        <f>IF(CF22&gt;0,6*CI22/CF22,"")</f>
        <v>3.347826086956522</v>
      </c>
      <c r="CN22" s="49" t="str">
        <f>BowlSplit(C22:CC22,BestBowling)</f>
        <v>2-12</v>
      </c>
      <c r="CO22" s="55">
        <f>BowlSplit(C22:CC22,BowlPts)</f>
        <v>63</v>
      </c>
      <c r="CP22" s="55">
        <f>BowlSplit(C22:CC22,Wides)</f>
        <v>0</v>
      </c>
      <c r="CQ22" s="55">
        <f>BowlSplit(C22:CC22,NoBalls)</f>
        <v>0</v>
      </c>
      <c r="CR22" s="60">
        <f>IF(CJ22&gt;0,CK22,IF(CF22&gt;0,CF22+1000,99999))+ROW(CQ22)/10000</f>
        <v>19.252199999999998</v>
      </c>
      <c r="CS22" s="2">
        <f t="shared" si="0"/>
        <v>10</v>
      </c>
      <c r="CT22" s="114">
        <f t="shared" si="15"/>
        <v>0.13043478260869565</v>
      </c>
    </row>
    <row r="23" spans="1:98" ht="11.25" customHeight="1" x14ac:dyDescent="0.15">
      <c r="B23" s="2" t="s">
        <v>241</v>
      </c>
      <c r="C23" s="2" t="s">
        <v>254</v>
      </c>
      <c r="M23" s="60"/>
      <c r="P23" s="2" t="s">
        <v>501</v>
      </c>
      <c r="CE23" s="55">
        <f>BowlSplit(C23:BC23,InnsBowledIn)</f>
        <v>2</v>
      </c>
      <c r="CF23" s="55">
        <f>BowlSplit(C23:CC23,BallsBowled)</f>
        <v>19</v>
      </c>
      <c r="CG23" s="57">
        <f>BowlSplit(C23:CC23,OversBowled)</f>
        <v>3.1</v>
      </c>
      <c r="CH23" s="55">
        <f>BowlSplit(C23:CC23,Maidens)</f>
        <v>0</v>
      </c>
      <c r="CI23" s="55">
        <f>BowlSplit(C23:CC23,RunsConceded)</f>
        <v>19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>
        <f>IF(CF23&gt;0,6*CI23/CF23,"")</f>
        <v>6</v>
      </c>
      <c r="CN23" s="49" t="str">
        <f>BowlSplit(C23:CC23,BestBowling)</f>
        <v>0-2</v>
      </c>
      <c r="CO23" s="55">
        <f>BowlSplit(C23:CC23,BowlPts)</f>
        <v>-10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1019.0023</v>
      </c>
      <c r="CS23" s="2">
        <f t="shared" si="0"/>
        <v>30</v>
      </c>
      <c r="CT23" s="114" t="str">
        <f t="shared" si="15"/>
        <v/>
      </c>
    </row>
    <row r="24" spans="1:98" ht="11.25" customHeight="1" x14ac:dyDescent="0.15">
      <c r="B24" s="2" t="s">
        <v>523</v>
      </c>
      <c r="M24" s="60"/>
      <c r="Q24" s="2" t="s">
        <v>524</v>
      </c>
      <c r="CE24" s="55">
        <f>BowlSplit(C24:BC24,InnsBowledIn)</f>
        <v>1</v>
      </c>
      <c r="CF24" s="55">
        <f>BowlSplit(C24:CC24,BallsBowled)</f>
        <v>12</v>
      </c>
      <c r="CG24" s="57">
        <f>BowlSplit(C24:CC24,OversBowled)</f>
        <v>2</v>
      </c>
      <c r="CH24" s="55">
        <f>BowlSplit(C24:CC24,Maidens)</f>
        <v>0</v>
      </c>
      <c r="CI24" s="55">
        <f>BowlSplit(C24:CC24,RunsConceded)</f>
        <v>26</v>
      </c>
      <c r="CJ24" s="55">
        <f>BowlSplit(C24:CC24,WicketsTaken)</f>
        <v>1</v>
      </c>
      <c r="CK24" s="58">
        <f>IF(CJ24&gt;0,CI24/CJ24,"")</f>
        <v>26</v>
      </c>
      <c r="CL24" s="59">
        <f>IF(CJ24&gt;0,CF24/CJ24,"")</f>
        <v>12</v>
      </c>
      <c r="CM24" s="59">
        <f>IF(CF24&gt;0,6*CI24/CF24,"")</f>
        <v>13</v>
      </c>
      <c r="CN24" s="49" t="str">
        <f>BowlSplit(C24:CC24,BestBowling)</f>
        <v>1-26</v>
      </c>
      <c r="CO24" s="55">
        <f>BowlSplit(C24:CC24,BowlPts)</f>
        <v>5</v>
      </c>
      <c r="CP24" s="55">
        <f>BowlSplit(C24:CC24,Wides)</f>
        <v>0</v>
      </c>
      <c r="CQ24" s="55">
        <f>BowlSplit(C24:CC24,NoBalls)</f>
        <v>0</v>
      </c>
      <c r="CR24" s="60">
        <f>IF(CJ24&gt;0,CK24,IF(CF24&gt;0,CF24+1000,99999))+ROW(CQ24)/10000</f>
        <v>26.002400000000002</v>
      </c>
      <c r="CS24" s="2">
        <f t="shared" si="0"/>
        <v>14</v>
      </c>
      <c r="CT24" s="114" t="str">
        <f t="shared" si="15"/>
        <v/>
      </c>
    </row>
    <row r="25" spans="1:98" ht="11.25" customHeight="1" x14ac:dyDescent="0.15">
      <c r="B25" s="2" t="s">
        <v>389</v>
      </c>
      <c r="J25" s="2" t="s">
        <v>396</v>
      </c>
      <c r="M25" s="60"/>
      <c r="Z25" s="2" t="s">
        <v>674</v>
      </c>
      <c r="CE25" s="55">
        <f t="shared" ref="CE25:CE35" si="16">BowlSplit(C25:BC25,InnsBowledIn)</f>
        <v>2</v>
      </c>
      <c r="CF25" s="55">
        <f t="shared" ref="CF25:CF35" si="17">BowlSplit(C25:CC25,BallsBowled)</f>
        <v>87</v>
      </c>
      <c r="CG25" s="57">
        <f t="shared" ref="CG25:CG35" si="18">BowlSplit(C25:CC25,OversBowled)</f>
        <v>14.3</v>
      </c>
      <c r="CH25" s="55">
        <f t="shared" ref="CH25:CH35" si="19">BowlSplit(C25:CC25,Maidens)</f>
        <v>2</v>
      </c>
      <c r="CI25" s="55">
        <f t="shared" ref="CI25:CI35" si="20">BowlSplit(C25:CC25,RunsConceded)</f>
        <v>50</v>
      </c>
      <c r="CJ25" s="55">
        <f t="shared" ref="CJ25:CJ35" si="21">BowlSplit(C25:CC25,WicketsTaken)</f>
        <v>4</v>
      </c>
      <c r="CK25" s="58">
        <f t="shared" ref="CK25:CK35" si="22">IF(CJ25&gt;0,CI25/CJ25,"")</f>
        <v>12.5</v>
      </c>
      <c r="CL25" s="59">
        <f t="shared" ref="CL25:CL35" si="23">IF(CJ25&gt;0,CF25/CJ25,"")</f>
        <v>21.75</v>
      </c>
      <c r="CM25" s="59">
        <f t="shared" ref="CM25:CM35" si="24">IF(CF25&gt;0,6*CI25/CF25,"")</f>
        <v>3.4482758620689653</v>
      </c>
      <c r="CN25" s="49" t="str">
        <f t="shared" ref="CN25:CN35" si="25">BowlSplit(C25:CC25,BestBowling)</f>
        <v>2-25</v>
      </c>
      <c r="CO25" s="55">
        <f t="shared" ref="CO25:CO35" si="26">BowlSplit(C25:CC25,BowlPts)</f>
        <v>52</v>
      </c>
      <c r="CP25" s="55">
        <f t="shared" ref="CP25:CP35" si="27">BowlSplit(C25:CC25,Wides)</f>
        <v>0</v>
      </c>
      <c r="CQ25" s="55">
        <f t="shared" ref="CQ25:CQ35" si="28">BowlSplit(C25:CC25,NoBalls)</f>
        <v>0</v>
      </c>
      <c r="CR25" s="60">
        <f t="shared" ref="CR25:CR35" si="29">IF(CJ25&gt;0,CK25,IF(CF25&gt;0,CF25+1000,99999))+ROW(CQ25)/10000</f>
        <v>12.5025</v>
      </c>
      <c r="CS25" s="2">
        <f t="shared" si="0"/>
        <v>3</v>
      </c>
      <c r="CT25" s="114" t="str">
        <f t="shared" si="15"/>
        <v/>
      </c>
    </row>
    <row r="26" spans="1:98" ht="11.25" customHeight="1" x14ac:dyDescent="0.15">
      <c r="B26" s="70" t="s">
        <v>669</v>
      </c>
      <c r="M26" s="60"/>
      <c r="Z26" s="2" t="s">
        <v>679</v>
      </c>
      <c r="AB26" s="2" t="s">
        <v>701</v>
      </c>
      <c r="CE26" s="55">
        <f>BowlSplit(C26:BC26,InnsBowledIn)</f>
        <v>2</v>
      </c>
      <c r="CF26" s="55">
        <f>BowlSplit(C26:CC26,BallsBowled)</f>
        <v>47</v>
      </c>
      <c r="CG26" s="57">
        <f>BowlSplit(C26:CC26,OversBowled)</f>
        <v>7.5</v>
      </c>
      <c r="CH26" s="55">
        <f>BowlSplit(C26:CC26,Maidens)</f>
        <v>0</v>
      </c>
      <c r="CI26" s="55">
        <f>BowlSplit(C26:CC26,RunsConceded)</f>
        <v>29</v>
      </c>
      <c r="CJ26" s="55">
        <f>BowlSplit(C26:CC26,WicketsTaken)</f>
        <v>2</v>
      </c>
      <c r="CK26" s="58">
        <f>IF(CJ26&gt;0,CI26/CJ26,"")</f>
        <v>14.5</v>
      </c>
      <c r="CL26" s="59">
        <f>IF(CJ26&gt;0,CF26/CJ26,"")</f>
        <v>23.5</v>
      </c>
      <c r="CM26" s="59">
        <f>IF(CF26&gt;0,6*CI26/CF26,"")</f>
        <v>3.7021276595744679</v>
      </c>
      <c r="CN26" s="49" t="str">
        <f>BowlSplit(C26:CC26,BestBowling)</f>
        <v>1-3</v>
      </c>
      <c r="CO26" s="55">
        <f>BowlSplit(C26:CC26,BowlPts)</f>
        <v>30</v>
      </c>
      <c r="CP26" s="55">
        <f>BowlSplit(C26:CC26,Wides)</f>
        <v>0</v>
      </c>
      <c r="CQ26" s="55">
        <f>BowlSplit(C26:CC26,NoBalls)</f>
        <v>0</v>
      </c>
      <c r="CR26" s="60">
        <f>IF(CJ26&gt;0,CK26,IF(CF26&gt;0,CF26+1000,99999))+ROW(CQ26)/10000</f>
        <v>14.502599999999999</v>
      </c>
      <c r="CS26" s="2">
        <f t="shared" si="0"/>
        <v>7</v>
      </c>
      <c r="CT26" s="114" t="str">
        <f t="shared" si="15"/>
        <v/>
      </c>
    </row>
    <row r="27" spans="1:98" ht="11.25" customHeight="1" x14ac:dyDescent="0.15">
      <c r="A27" s="2" t="s">
        <v>56</v>
      </c>
      <c r="B27" s="2" t="s">
        <v>159</v>
      </c>
      <c r="D27" s="2" t="s">
        <v>276</v>
      </c>
      <c r="CE27" s="55">
        <f t="shared" si="16"/>
        <v>1</v>
      </c>
      <c r="CF27" s="55">
        <f t="shared" si="17"/>
        <v>12</v>
      </c>
      <c r="CG27" s="57">
        <f t="shared" si="18"/>
        <v>2</v>
      </c>
      <c r="CH27" s="55">
        <f t="shared" si="19"/>
        <v>0</v>
      </c>
      <c r="CI27" s="55">
        <f t="shared" si="20"/>
        <v>6</v>
      </c>
      <c r="CJ27" s="55">
        <f t="shared" si="21"/>
        <v>1</v>
      </c>
      <c r="CK27" s="58">
        <f t="shared" si="22"/>
        <v>6</v>
      </c>
      <c r="CL27" s="59">
        <f t="shared" si="23"/>
        <v>12</v>
      </c>
      <c r="CM27" s="59">
        <f t="shared" si="24"/>
        <v>3</v>
      </c>
      <c r="CN27" s="49" t="str">
        <f t="shared" si="25"/>
        <v>1-6</v>
      </c>
      <c r="CO27" s="55">
        <f t="shared" si="26"/>
        <v>15</v>
      </c>
      <c r="CP27" s="55">
        <f t="shared" si="27"/>
        <v>1</v>
      </c>
      <c r="CQ27" s="55">
        <f t="shared" si="28"/>
        <v>0</v>
      </c>
      <c r="CR27" s="60">
        <f t="shared" si="29"/>
        <v>6.0026999999999999</v>
      </c>
      <c r="CS27" s="2">
        <f t="shared" si="0"/>
        <v>2</v>
      </c>
      <c r="CT27" s="114" t="str">
        <f t="shared" si="15"/>
        <v/>
      </c>
    </row>
    <row r="28" spans="1:98" ht="11.25" customHeight="1" x14ac:dyDescent="0.15">
      <c r="B28" s="2" t="s">
        <v>688</v>
      </c>
      <c r="M28" s="60"/>
      <c r="AA28" s="2" t="s">
        <v>689</v>
      </c>
      <c r="CE28" s="55">
        <f>BowlSplit(C28:BC28,InnsBowledIn)</f>
        <v>1</v>
      </c>
      <c r="CF28" s="55">
        <f>BowlSplit(C28:CC28,BallsBowled)</f>
        <v>18</v>
      </c>
      <c r="CG28" s="57">
        <f>BowlSplit(C28:CC28,OversBowled)</f>
        <v>3</v>
      </c>
      <c r="CH28" s="55">
        <f>BowlSplit(C28:CC28,Maidens)</f>
        <v>0</v>
      </c>
      <c r="CI28" s="55">
        <f>BowlSplit(C28:CC28,RunsConceded)</f>
        <v>30</v>
      </c>
      <c r="CJ28" s="55">
        <f>BowlSplit(C28:CC28,WicketsTaken)</f>
        <v>0</v>
      </c>
      <c r="CK28" s="58" t="str">
        <f>IF(CJ28&gt;0,CI28/CJ28,"")</f>
        <v/>
      </c>
      <c r="CL28" s="59" t="str">
        <f>IF(CJ28&gt;0,CF28/CJ28,"")</f>
        <v/>
      </c>
      <c r="CM28" s="59">
        <f>IF(CF28&gt;0,6*CI28/CF28,"")</f>
        <v>10</v>
      </c>
      <c r="CN28" s="49" t="str">
        <f>BowlSplit(C28:CC28,BestBowling)</f>
        <v>0-30</v>
      </c>
      <c r="CO28" s="55">
        <f>BowlSplit(C28:CC28,BowlPts)</f>
        <v>-5</v>
      </c>
      <c r="CP28" s="55">
        <f>BowlSplit(C28:CC28,Wides)</f>
        <v>0</v>
      </c>
      <c r="CQ28" s="55">
        <f>BowlSplit(C28:CC28,NoBalls)</f>
        <v>0</v>
      </c>
      <c r="CR28" s="60">
        <f>IF(CJ28&gt;0,CK28,IF(CF28&gt;0,CF28+1000,99999))+ROW(CQ28)/10000</f>
        <v>1018.0028</v>
      </c>
      <c r="CS28" s="2">
        <f t="shared" si="0"/>
        <v>29</v>
      </c>
      <c r="CT28" s="114" t="str">
        <f t="shared" si="15"/>
        <v/>
      </c>
    </row>
    <row r="29" spans="1:98" ht="11.25" customHeight="1" x14ac:dyDescent="0.15">
      <c r="A29" s="2" t="s">
        <v>59</v>
      </c>
      <c r="B29" s="2" t="s">
        <v>161</v>
      </c>
      <c r="H29" s="2" t="s">
        <v>269</v>
      </c>
      <c r="I29" s="2" t="s">
        <v>369</v>
      </c>
      <c r="CE29" s="55">
        <f t="shared" si="16"/>
        <v>2</v>
      </c>
      <c r="CF29" s="55">
        <f t="shared" si="17"/>
        <v>78</v>
      </c>
      <c r="CG29" s="57">
        <f t="shared" si="18"/>
        <v>13</v>
      </c>
      <c r="CH29" s="55">
        <f t="shared" si="19"/>
        <v>1</v>
      </c>
      <c r="CI29" s="55">
        <f t="shared" si="20"/>
        <v>30</v>
      </c>
      <c r="CJ29" s="55">
        <f t="shared" si="21"/>
        <v>0</v>
      </c>
      <c r="CK29" s="58" t="str">
        <f t="shared" si="22"/>
        <v/>
      </c>
      <c r="CL29" s="59" t="str">
        <f t="shared" si="23"/>
        <v/>
      </c>
      <c r="CM29" s="59">
        <f t="shared" si="24"/>
        <v>2.3076923076923075</v>
      </c>
      <c r="CN29" s="49" t="str">
        <f t="shared" si="25"/>
        <v>0-13</v>
      </c>
      <c r="CO29" s="55">
        <f t="shared" si="26"/>
        <v>21</v>
      </c>
      <c r="CP29" s="55">
        <f t="shared" si="27"/>
        <v>0</v>
      </c>
      <c r="CQ29" s="55">
        <f t="shared" si="28"/>
        <v>0</v>
      </c>
      <c r="CR29" s="60">
        <f t="shared" si="29"/>
        <v>1078.0029</v>
      </c>
      <c r="CS29" s="2">
        <f t="shared" si="0"/>
        <v>31</v>
      </c>
      <c r="CT29" s="114" t="str">
        <f t="shared" si="15"/>
        <v/>
      </c>
    </row>
    <row r="30" spans="1:98" ht="11.25" customHeight="1" x14ac:dyDescent="0.15">
      <c r="B30" s="2" t="s">
        <v>519</v>
      </c>
      <c r="O30" s="2" t="s">
        <v>493</v>
      </c>
      <c r="Q30" s="2" t="s">
        <v>520</v>
      </c>
      <c r="R30" s="2" t="s">
        <v>550</v>
      </c>
      <c r="CE30" s="55">
        <f>BowlSplit(C30:BC30,InnsBowledIn)</f>
        <v>3</v>
      </c>
      <c r="CF30" s="55">
        <f>BowlSplit(C30:CC30,BallsBowled)</f>
        <v>61</v>
      </c>
      <c r="CG30" s="57">
        <f>BowlSplit(C30:CC30,OversBowled)</f>
        <v>10.1</v>
      </c>
      <c r="CH30" s="55">
        <f>BowlSplit(C30:CC30,Maidens)</f>
        <v>0</v>
      </c>
      <c r="CI30" s="55">
        <f>BowlSplit(C30:CC30,RunsConceded)</f>
        <v>74</v>
      </c>
      <c r="CJ30" s="55">
        <f>BowlSplit(C30:CC30,WicketsTaken)</f>
        <v>2</v>
      </c>
      <c r="CK30" s="58">
        <f>IF(CJ30&gt;0,CI30/CJ30,"")</f>
        <v>37</v>
      </c>
      <c r="CL30" s="59">
        <f>IF(CJ30&gt;0,CF30/CJ30,"")</f>
        <v>30.5</v>
      </c>
      <c r="CM30" s="59">
        <f>IF(CF30&gt;0,6*CI30/CF30,"")</f>
        <v>7.278688524590164</v>
      </c>
      <c r="CN30" s="49" t="str">
        <f>BowlSplit(C30:CC30,BestBowling)</f>
        <v>1-20</v>
      </c>
      <c r="CO30" s="55">
        <f>BowlSplit(C30:CC30,BowlPts)</f>
        <v>10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37.003</v>
      </c>
      <c r="CS30" s="2">
        <f t="shared" si="0"/>
        <v>23</v>
      </c>
      <c r="CT30" s="114" t="str">
        <f t="shared" si="15"/>
        <v/>
      </c>
    </row>
    <row r="31" spans="1:98" ht="11.25" customHeight="1" x14ac:dyDescent="0.15">
      <c r="B31" s="2" t="s">
        <v>340</v>
      </c>
      <c r="H31" s="2" t="s">
        <v>354</v>
      </c>
      <c r="I31" s="2" t="s">
        <v>368</v>
      </c>
      <c r="AC31" s="2" t="s">
        <v>719</v>
      </c>
      <c r="CE31" s="55">
        <f t="shared" si="16"/>
        <v>3</v>
      </c>
      <c r="CF31" s="55">
        <f t="shared" si="17"/>
        <v>108</v>
      </c>
      <c r="CG31" s="57">
        <f t="shared" si="18"/>
        <v>18</v>
      </c>
      <c r="CH31" s="55">
        <f t="shared" si="19"/>
        <v>2</v>
      </c>
      <c r="CI31" s="55">
        <f t="shared" si="20"/>
        <v>98</v>
      </c>
      <c r="CJ31" s="55">
        <f t="shared" si="21"/>
        <v>4</v>
      </c>
      <c r="CK31" s="58">
        <f t="shared" si="22"/>
        <v>24.5</v>
      </c>
      <c r="CL31" s="59">
        <f t="shared" si="23"/>
        <v>27</v>
      </c>
      <c r="CM31" s="59">
        <f t="shared" si="24"/>
        <v>5.4444444444444446</v>
      </c>
      <c r="CN31" s="49" t="str">
        <f t="shared" si="25"/>
        <v>3-26</v>
      </c>
      <c r="CO31" s="55">
        <f t="shared" si="26"/>
        <v>42</v>
      </c>
      <c r="CP31" s="55">
        <f t="shared" si="27"/>
        <v>0</v>
      </c>
      <c r="CQ31" s="55">
        <f t="shared" si="28"/>
        <v>0</v>
      </c>
      <c r="CR31" s="60">
        <f t="shared" si="29"/>
        <v>24.5031</v>
      </c>
      <c r="CS31" s="2">
        <f t="shared" si="0"/>
        <v>13</v>
      </c>
      <c r="CT31" s="114" t="str">
        <f t="shared" si="15"/>
        <v/>
      </c>
    </row>
    <row r="32" spans="1:98" ht="11.25" customHeight="1" x14ac:dyDescent="0.15">
      <c r="B32" s="2" t="s">
        <v>403</v>
      </c>
      <c r="K32" s="2" t="s">
        <v>415</v>
      </c>
      <c r="L32" s="2" t="s">
        <v>436</v>
      </c>
      <c r="N32" s="2" t="s">
        <v>460</v>
      </c>
      <c r="O32" s="2" t="s">
        <v>490</v>
      </c>
      <c r="Q32" s="2" t="s">
        <v>521</v>
      </c>
      <c r="R32" s="2" t="s">
        <v>548</v>
      </c>
      <c r="S32" s="2" t="s">
        <v>560</v>
      </c>
      <c r="W32" s="2" t="s">
        <v>634</v>
      </c>
      <c r="CE32" s="55">
        <f>BowlSplit(C32:BC32,InnsBowledIn)</f>
        <v>8</v>
      </c>
      <c r="CF32" s="55">
        <f>BowlSplit(C32:CC32,BallsBowled)</f>
        <v>350</v>
      </c>
      <c r="CG32" s="57">
        <f>BowlSplit(C32:CC32,OversBowled)</f>
        <v>58.2</v>
      </c>
      <c r="CH32" s="55">
        <f>BowlSplit(C32:CC32,Maidens)</f>
        <v>15</v>
      </c>
      <c r="CI32" s="55">
        <f>BowlSplit(C32:CC32,RunsConceded)</f>
        <v>183</v>
      </c>
      <c r="CJ32" s="55">
        <f>BowlSplit(C32:CC32,WicketsTaken)</f>
        <v>10</v>
      </c>
      <c r="CK32" s="58">
        <f>IF(CJ32&gt;0,CI32/CJ32,"")</f>
        <v>18.3</v>
      </c>
      <c r="CL32" s="59">
        <f>IF(CJ32&gt;0,CF32/CJ32,"")</f>
        <v>35</v>
      </c>
      <c r="CM32" s="59">
        <f>IF(CF32&gt;0,6*CI32/CF32,"")</f>
        <v>3.137142857142857</v>
      </c>
      <c r="CN32" s="49" t="str">
        <f>BowlSplit(C32:CC32,BestBowling)</f>
        <v>4-15</v>
      </c>
      <c r="CO32" s="55">
        <f>BowlSplit(C32:CC32,BowlPts)</f>
        <v>155</v>
      </c>
      <c r="CP32" s="55">
        <f>BowlSplit(C32:CC32,Wides)</f>
        <v>2</v>
      </c>
      <c r="CQ32" s="55">
        <f>BowlSplit(C32:CC32,NoBalls)</f>
        <v>0</v>
      </c>
      <c r="CR32" s="60">
        <f>IF(CJ32&gt;0,CK32,IF(CF32&gt;0,CF32+1000,99999))+ROW(CQ32)/10000</f>
        <v>18.3032</v>
      </c>
      <c r="CS32" s="2">
        <f t="shared" si="0"/>
        <v>9</v>
      </c>
      <c r="CT32" s="114">
        <f t="shared" si="15"/>
        <v>0.25714285714285712</v>
      </c>
    </row>
    <row r="33" spans="1:98" ht="11.25" customHeight="1" x14ac:dyDescent="0.15">
      <c r="B33" s="2" t="s">
        <v>387</v>
      </c>
      <c r="J33" s="2" t="s">
        <v>398</v>
      </c>
      <c r="CE33" s="55">
        <f t="shared" si="16"/>
        <v>1</v>
      </c>
      <c r="CF33" s="55">
        <f t="shared" si="17"/>
        <v>72</v>
      </c>
      <c r="CG33" s="57">
        <f t="shared" si="18"/>
        <v>12</v>
      </c>
      <c r="CH33" s="55">
        <f t="shared" si="19"/>
        <v>2</v>
      </c>
      <c r="CI33" s="55">
        <f t="shared" si="20"/>
        <v>52</v>
      </c>
      <c r="CJ33" s="55">
        <f t="shared" si="21"/>
        <v>3</v>
      </c>
      <c r="CK33" s="58">
        <f t="shared" si="22"/>
        <v>17.333333333333332</v>
      </c>
      <c r="CL33" s="59">
        <f t="shared" si="23"/>
        <v>24</v>
      </c>
      <c r="CM33" s="59">
        <f t="shared" si="24"/>
        <v>4.333333333333333</v>
      </c>
      <c r="CN33" s="49" t="str">
        <f t="shared" si="25"/>
        <v>3-52</v>
      </c>
      <c r="CO33" s="55">
        <f t="shared" si="26"/>
        <v>32</v>
      </c>
      <c r="CP33" s="55">
        <f t="shared" si="27"/>
        <v>0</v>
      </c>
      <c r="CQ33" s="55">
        <f t="shared" si="28"/>
        <v>0</v>
      </c>
      <c r="CR33" s="60">
        <f t="shared" si="29"/>
        <v>17.336633333333332</v>
      </c>
      <c r="CS33" s="2">
        <f t="shared" si="0"/>
        <v>8</v>
      </c>
      <c r="CT33" s="114" t="str">
        <f t="shared" si="15"/>
        <v/>
      </c>
    </row>
    <row r="34" spans="1:98" ht="11.25" customHeight="1" x14ac:dyDescent="0.15">
      <c r="B34" s="2" t="s">
        <v>228</v>
      </c>
      <c r="C34" s="2" t="s">
        <v>253</v>
      </c>
      <c r="G34" s="2" t="s">
        <v>336</v>
      </c>
      <c r="N34" s="2" t="s">
        <v>462</v>
      </c>
      <c r="P34" s="2" t="s">
        <v>499</v>
      </c>
      <c r="S34" s="2" t="s">
        <v>562</v>
      </c>
      <c r="U34" s="2" t="s">
        <v>595</v>
      </c>
      <c r="W34" s="2" t="s">
        <v>635</v>
      </c>
      <c r="CE34" s="55">
        <f t="shared" si="16"/>
        <v>7</v>
      </c>
      <c r="CF34" s="55">
        <f t="shared" si="17"/>
        <v>190</v>
      </c>
      <c r="CG34" s="57">
        <f t="shared" si="18"/>
        <v>31.4</v>
      </c>
      <c r="CH34" s="55">
        <f t="shared" si="19"/>
        <v>1</v>
      </c>
      <c r="CI34" s="55">
        <f t="shared" si="20"/>
        <v>153</v>
      </c>
      <c r="CJ34" s="55">
        <f t="shared" si="21"/>
        <v>11</v>
      </c>
      <c r="CK34" s="58">
        <f t="shared" si="22"/>
        <v>13.909090909090908</v>
      </c>
      <c r="CL34" s="59">
        <f t="shared" si="23"/>
        <v>17.272727272727273</v>
      </c>
      <c r="CM34" s="59">
        <f t="shared" si="24"/>
        <v>4.8315789473684214</v>
      </c>
      <c r="CN34" s="49" t="str">
        <f t="shared" si="25"/>
        <v>5-13</v>
      </c>
      <c r="CO34" s="55">
        <f t="shared" si="26"/>
        <v>121</v>
      </c>
      <c r="CP34" s="55">
        <f t="shared" si="27"/>
        <v>1</v>
      </c>
      <c r="CQ34" s="55">
        <f t="shared" si="28"/>
        <v>0</v>
      </c>
      <c r="CR34" s="60">
        <f t="shared" si="29"/>
        <v>13.912490909090907</v>
      </c>
      <c r="CS34" s="2">
        <f t="shared" si="0"/>
        <v>6</v>
      </c>
      <c r="CT34" s="114">
        <f t="shared" si="15"/>
        <v>3.1578947368421054E-2</v>
      </c>
    </row>
    <row r="35" spans="1:98" ht="11.25" customHeight="1" x14ac:dyDescent="0.15">
      <c r="A35" s="2" t="s">
        <v>63</v>
      </c>
      <c r="B35" s="2" t="s">
        <v>162</v>
      </c>
      <c r="G35" s="2" t="s">
        <v>331</v>
      </c>
      <c r="K35" s="2" t="s">
        <v>416</v>
      </c>
      <c r="P35" s="2" t="s">
        <v>497</v>
      </c>
      <c r="S35" s="2" t="s">
        <v>558</v>
      </c>
      <c r="U35" s="2" t="s">
        <v>591</v>
      </c>
      <c r="W35" s="2" t="s">
        <v>633</v>
      </c>
      <c r="AB35" s="2" t="s">
        <v>698</v>
      </c>
      <c r="CE35" s="55">
        <f t="shared" si="16"/>
        <v>7</v>
      </c>
      <c r="CF35" s="55">
        <f t="shared" si="17"/>
        <v>198</v>
      </c>
      <c r="CG35" s="57">
        <f t="shared" si="18"/>
        <v>33</v>
      </c>
      <c r="CH35" s="55">
        <f t="shared" si="19"/>
        <v>1</v>
      </c>
      <c r="CI35" s="55">
        <f t="shared" si="20"/>
        <v>138</v>
      </c>
      <c r="CJ35" s="55">
        <f t="shared" si="21"/>
        <v>5</v>
      </c>
      <c r="CK35" s="58">
        <f t="shared" si="22"/>
        <v>27.6</v>
      </c>
      <c r="CL35" s="59">
        <f t="shared" si="23"/>
        <v>39.6</v>
      </c>
      <c r="CM35" s="59">
        <f t="shared" si="24"/>
        <v>4.1818181818181817</v>
      </c>
      <c r="CN35" s="49" t="str">
        <f t="shared" si="25"/>
        <v>2-27</v>
      </c>
      <c r="CO35" s="55">
        <f t="shared" si="26"/>
        <v>66</v>
      </c>
      <c r="CP35" s="55">
        <f t="shared" si="27"/>
        <v>0</v>
      </c>
      <c r="CQ35" s="55">
        <f t="shared" si="28"/>
        <v>0</v>
      </c>
      <c r="CR35" s="60">
        <f t="shared" si="29"/>
        <v>27.6035</v>
      </c>
      <c r="CS35" s="2">
        <f t="shared" si="0"/>
        <v>16</v>
      </c>
      <c r="CT35" s="114">
        <f t="shared" si="15"/>
        <v>3.0303030303030304E-2</v>
      </c>
    </row>
    <row r="37" spans="1:98" x14ac:dyDescent="0.15">
      <c r="B37" s="2" t="s">
        <v>128</v>
      </c>
      <c r="C37" s="2">
        <f t="shared" ref="C37:AH37" si="30">BowlSplit(C5:C35,RunsConceded)</f>
        <v>73</v>
      </c>
      <c r="D37" s="2">
        <f t="shared" si="30"/>
        <v>176</v>
      </c>
      <c r="E37" s="2">
        <f t="shared" si="30"/>
        <v>194</v>
      </c>
      <c r="F37" s="2">
        <f t="shared" si="30"/>
        <v>121</v>
      </c>
      <c r="G37" s="2">
        <f t="shared" si="30"/>
        <v>208</v>
      </c>
      <c r="H37" s="2">
        <f t="shared" si="30"/>
        <v>123</v>
      </c>
      <c r="I37" s="2">
        <f t="shared" si="30"/>
        <v>136</v>
      </c>
      <c r="J37" s="2">
        <f t="shared" si="30"/>
        <v>132</v>
      </c>
      <c r="K37" s="2">
        <f t="shared" si="30"/>
        <v>59</v>
      </c>
      <c r="L37" s="2">
        <f t="shared" si="30"/>
        <v>91</v>
      </c>
      <c r="M37" s="2">
        <f t="shared" si="30"/>
        <v>194</v>
      </c>
      <c r="N37" s="2">
        <f t="shared" si="30"/>
        <v>178</v>
      </c>
      <c r="O37" s="2">
        <f t="shared" si="30"/>
        <v>95</v>
      </c>
      <c r="P37" s="2">
        <f t="shared" si="30"/>
        <v>86</v>
      </c>
      <c r="Q37" s="2">
        <f t="shared" si="30"/>
        <v>256</v>
      </c>
      <c r="R37" s="2">
        <f t="shared" si="30"/>
        <v>66</v>
      </c>
      <c r="S37" s="2">
        <f t="shared" si="30"/>
        <v>212</v>
      </c>
      <c r="T37" s="2">
        <f t="shared" si="30"/>
        <v>203</v>
      </c>
      <c r="U37" s="2">
        <f t="shared" si="30"/>
        <v>190</v>
      </c>
      <c r="V37" s="2">
        <f t="shared" si="30"/>
        <v>181</v>
      </c>
      <c r="W37" s="2">
        <f t="shared" si="30"/>
        <v>53</v>
      </c>
      <c r="X37" s="2">
        <f t="shared" si="30"/>
        <v>205</v>
      </c>
      <c r="Y37" s="2">
        <f t="shared" si="30"/>
        <v>0</v>
      </c>
      <c r="Z37" s="2">
        <f t="shared" si="30"/>
        <v>94</v>
      </c>
      <c r="AA37" s="2">
        <f t="shared" si="30"/>
        <v>215</v>
      </c>
      <c r="AB37" s="2">
        <f t="shared" si="30"/>
        <v>162</v>
      </c>
      <c r="AC37" s="2">
        <f t="shared" si="30"/>
        <v>171</v>
      </c>
      <c r="AD37" s="2">
        <f t="shared" si="30"/>
        <v>223</v>
      </c>
      <c r="AE37" s="2">
        <f t="shared" si="30"/>
        <v>0</v>
      </c>
      <c r="AF37" s="2">
        <f t="shared" si="30"/>
        <v>0</v>
      </c>
      <c r="AG37" s="2">
        <f t="shared" si="30"/>
        <v>0</v>
      </c>
      <c r="AH37" s="2">
        <f t="shared" si="30"/>
        <v>0</v>
      </c>
      <c r="AI37" s="2">
        <f t="shared" ref="AI37:BF37" si="31">BowlSplit(AI5:AI35,RunsConceded)</f>
        <v>0</v>
      </c>
      <c r="AJ37" s="2">
        <f t="shared" si="31"/>
        <v>0</v>
      </c>
      <c r="AK37" s="2">
        <f t="shared" si="31"/>
        <v>0</v>
      </c>
      <c r="AL37" s="2">
        <f t="shared" si="31"/>
        <v>0</v>
      </c>
      <c r="AM37" s="2">
        <f t="shared" si="31"/>
        <v>0</v>
      </c>
      <c r="AN37" s="2">
        <f t="shared" si="31"/>
        <v>0</v>
      </c>
      <c r="AO37" s="2">
        <f t="shared" si="31"/>
        <v>0</v>
      </c>
      <c r="AP37" s="2">
        <f t="shared" si="31"/>
        <v>0</v>
      </c>
      <c r="AQ37" s="2">
        <f t="shared" si="31"/>
        <v>0</v>
      </c>
      <c r="AR37" s="2">
        <f t="shared" si="31"/>
        <v>0</v>
      </c>
      <c r="AS37" s="2">
        <f t="shared" si="31"/>
        <v>0</v>
      </c>
      <c r="AT37" s="2">
        <f t="shared" si="31"/>
        <v>0</v>
      </c>
      <c r="AU37" s="2">
        <f t="shared" si="31"/>
        <v>0</v>
      </c>
      <c r="AV37" s="2">
        <f t="shared" si="31"/>
        <v>0</v>
      </c>
      <c r="AW37" s="2">
        <f t="shared" si="31"/>
        <v>0</v>
      </c>
      <c r="AX37" s="2">
        <f t="shared" si="31"/>
        <v>0</v>
      </c>
      <c r="AY37" s="2">
        <f t="shared" si="31"/>
        <v>0</v>
      </c>
      <c r="AZ37" s="2">
        <f t="shared" si="31"/>
        <v>0</v>
      </c>
      <c r="BA37" s="2">
        <f t="shared" si="31"/>
        <v>0</v>
      </c>
      <c r="BB37" s="2">
        <f t="shared" si="31"/>
        <v>0</v>
      </c>
      <c r="BC37" s="2">
        <f t="shared" si="31"/>
        <v>0</v>
      </c>
      <c r="BD37" s="2">
        <f t="shared" si="31"/>
        <v>0</v>
      </c>
      <c r="BE37" s="2">
        <f t="shared" si="31"/>
        <v>0</v>
      </c>
      <c r="BF37" s="2">
        <f t="shared" si="31"/>
        <v>0</v>
      </c>
      <c r="CE37" s="55">
        <f>SUM(C37:BF37)</f>
        <v>4097</v>
      </c>
      <c r="CF37" s="55">
        <f>SUM(CF5:CF35)</f>
        <v>5676</v>
      </c>
      <c r="CJ37" s="55">
        <f>SUM(CJ5:CJ35)</f>
        <v>184</v>
      </c>
    </row>
    <row r="38" spans="1:98" x14ac:dyDescent="0.15">
      <c r="B38" s="2" t="s">
        <v>129</v>
      </c>
      <c r="C38" s="2">
        <f t="array" ref="C38:BE39">TRANSPOSE(Matches!S5:T59)</f>
        <v>0</v>
      </c>
      <c r="D38" s="2">
        <v>3</v>
      </c>
      <c r="E38" s="2">
        <v>12</v>
      </c>
      <c r="F38" s="2">
        <v>0</v>
      </c>
      <c r="G38" s="2">
        <v>1</v>
      </c>
      <c r="H38" s="2">
        <v>12</v>
      </c>
      <c r="I38" s="2">
        <v>7</v>
      </c>
      <c r="J38" s="2">
        <v>20</v>
      </c>
      <c r="K38" s="2">
        <v>4</v>
      </c>
      <c r="L38" s="2">
        <v>2</v>
      </c>
      <c r="M38" s="2">
        <v>13</v>
      </c>
      <c r="N38" s="2">
        <v>4</v>
      </c>
      <c r="O38" s="2">
        <v>5</v>
      </c>
      <c r="P38" s="2">
        <v>9</v>
      </c>
      <c r="Q38" s="2">
        <v>9</v>
      </c>
      <c r="R38" s="2">
        <v>0</v>
      </c>
      <c r="S38" s="2">
        <v>23</v>
      </c>
      <c r="T38" s="2">
        <v>3</v>
      </c>
      <c r="U38" s="2">
        <v>2</v>
      </c>
      <c r="V38" s="2">
        <v>7</v>
      </c>
      <c r="W38" s="2">
        <v>9</v>
      </c>
      <c r="X38" s="2">
        <v>1</v>
      </c>
      <c r="Y38" s="2">
        <v>0</v>
      </c>
      <c r="Z38" s="2">
        <v>9</v>
      </c>
      <c r="AA38" s="2">
        <v>4</v>
      </c>
      <c r="AB38" s="2">
        <v>6</v>
      </c>
      <c r="AC38" s="2">
        <v>2</v>
      </c>
      <c r="AD38" s="2">
        <v>8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175</v>
      </c>
    </row>
    <row r="39" spans="1:98" x14ac:dyDescent="0.15">
      <c r="B39" s="2" t="s">
        <v>130</v>
      </c>
      <c r="C39" s="2">
        <v>0</v>
      </c>
      <c r="D39" s="2">
        <v>1</v>
      </c>
      <c r="E39" s="2">
        <v>1</v>
      </c>
      <c r="F39" s="2">
        <v>2</v>
      </c>
      <c r="G39" s="2">
        <v>2</v>
      </c>
      <c r="H39" s="2">
        <v>2</v>
      </c>
      <c r="I39" s="2">
        <v>1</v>
      </c>
      <c r="J39" s="2">
        <v>1</v>
      </c>
      <c r="K39" s="2">
        <v>1</v>
      </c>
      <c r="L39" s="2">
        <v>1</v>
      </c>
      <c r="M39" s="2">
        <v>5</v>
      </c>
      <c r="N39" s="2">
        <v>2</v>
      </c>
      <c r="O39" s="2">
        <v>2</v>
      </c>
      <c r="P39" s="2">
        <v>0</v>
      </c>
      <c r="Q39" s="2">
        <v>2</v>
      </c>
      <c r="R39" s="2">
        <v>0</v>
      </c>
      <c r="S39" s="2">
        <v>2</v>
      </c>
      <c r="T39" s="2">
        <v>0</v>
      </c>
      <c r="U39" s="2">
        <v>3</v>
      </c>
      <c r="V39" s="2">
        <v>2</v>
      </c>
      <c r="W39" s="2">
        <v>1</v>
      </c>
      <c r="X39" s="2">
        <v>3</v>
      </c>
      <c r="Y39" s="2">
        <v>0</v>
      </c>
      <c r="Z39" s="2">
        <v>5</v>
      </c>
      <c r="AA39" s="2">
        <v>4</v>
      </c>
      <c r="AB39" s="2">
        <v>2</v>
      </c>
      <c r="AC39" s="2">
        <v>1</v>
      </c>
      <c r="AD39" s="2">
        <v>2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48</v>
      </c>
      <c r="CG39" s="55" t="s">
        <v>176</v>
      </c>
      <c r="CH39" s="55" t="s">
        <v>177</v>
      </c>
    </row>
    <row r="40" spans="1:98" s="56" customFormat="1" x14ac:dyDescent="0.15">
      <c r="B40" s="56" t="s">
        <v>127</v>
      </c>
      <c r="C40" s="56">
        <f>SUM(C37:C39)</f>
        <v>73</v>
      </c>
      <c r="D40" s="56">
        <f t="shared" ref="D40:BE40" si="32">SUM(D37:D39)</f>
        <v>180</v>
      </c>
      <c r="E40" s="56">
        <f t="shared" si="32"/>
        <v>207</v>
      </c>
      <c r="F40" s="56">
        <f t="shared" si="32"/>
        <v>123</v>
      </c>
      <c r="G40" s="56">
        <f t="shared" si="32"/>
        <v>211</v>
      </c>
      <c r="H40" s="56">
        <f t="shared" si="32"/>
        <v>137</v>
      </c>
      <c r="I40" s="56">
        <f t="shared" si="32"/>
        <v>144</v>
      </c>
      <c r="J40" s="56">
        <f t="shared" si="32"/>
        <v>153</v>
      </c>
      <c r="K40" s="56">
        <f t="shared" si="32"/>
        <v>64</v>
      </c>
      <c r="L40" s="56">
        <f t="shared" si="32"/>
        <v>94</v>
      </c>
      <c r="M40" s="56">
        <f t="shared" si="32"/>
        <v>212</v>
      </c>
      <c r="N40" s="56">
        <f t="shared" si="32"/>
        <v>184</v>
      </c>
      <c r="O40" s="56">
        <f t="shared" si="32"/>
        <v>102</v>
      </c>
      <c r="P40" s="56">
        <f t="shared" si="32"/>
        <v>95</v>
      </c>
      <c r="Q40" s="56">
        <f t="shared" si="32"/>
        <v>267</v>
      </c>
      <c r="R40" s="56">
        <f t="shared" si="32"/>
        <v>66</v>
      </c>
      <c r="S40" s="56">
        <f t="shared" si="32"/>
        <v>237</v>
      </c>
      <c r="T40" s="56">
        <f t="shared" si="32"/>
        <v>206</v>
      </c>
      <c r="U40" s="56">
        <f t="shared" si="32"/>
        <v>195</v>
      </c>
      <c r="V40" s="56">
        <f t="shared" si="32"/>
        <v>190</v>
      </c>
      <c r="W40" s="56">
        <f t="shared" si="32"/>
        <v>63</v>
      </c>
      <c r="X40" s="56">
        <f t="shared" si="32"/>
        <v>209</v>
      </c>
      <c r="Y40" s="56">
        <f t="shared" si="32"/>
        <v>0</v>
      </c>
      <c r="Z40" s="56">
        <f t="shared" si="32"/>
        <v>108</v>
      </c>
      <c r="AA40" s="56">
        <f t="shared" si="32"/>
        <v>223</v>
      </c>
      <c r="AB40" s="56">
        <f t="shared" si="32"/>
        <v>170</v>
      </c>
      <c r="AC40" s="56">
        <f t="shared" si="32"/>
        <v>174</v>
      </c>
      <c r="AD40" s="56">
        <f t="shared" si="32"/>
        <v>233</v>
      </c>
      <c r="AE40" s="56">
        <f t="shared" si="32"/>
        <v>0</v>
      </c>
      <c r="AF40" s="56">
        <f t="shared" si="32"/>
        <v>0</v>
      </c>
      <c r="AG40" s="56">
        <f t="shared" si="32"/>
        <v>0</v>
      </c>
      <c r="AH40" s="56">
        <f t="shared" si="32"/>
        <v>0</v>
      </c>
      <c r="AI40" s="56">
        <f t="shared" si="32"/>
        <v>0</v>
      </c>
      <c r="AJ40" s="56">
        <f t="shared" si="32"/>
        <v>0</v>
      </c>
      <c r="AK40" s="56">
        <f t="shared" si="32"/>
        <v>0</v>
      </c>
      <c r="AL40" s="56">
        <f t="shared" si="32"/>
        <v>0</v>
      </c>
      <c r="AM40" s="56">
        <f t="shared" si="32"/>
        <v>0</v>
      </c>
      <c r="AN40" s="56">
        <f t="shared" si="32"/>
        <v>0</v>
      </c>
      <c r="AO40" s="56">
        <f t="shared" si="32"/>
        <v>0</v>
      </c>
      <c r="AP40" s="56">
        <f t="shared" si="32"/>
        <v>0</v>
      </c>
      <c r="AQ40" s="56">
        <f t="shared" si="32"/>
        <v>0</v>
      </c>
      <c r="AR40" s="56">
        <f t="shared" si="32"/>
        <v>0</v>
      </c>
      <c r="AS40" s="56">
        <f t="shared" si="32"/>
        <v>0</v>
      </c>
      <c r="AT40" s="56">
        <f t="shared" si="32"/>
        <v>0</v>
      </c>
      <c r="AU40" s="56">
        <f t="shared" si="32"/>
        <v>0</v>
      </c>
      <c r="AV40" s="56">
        <f t="shared" si="32"/>
        <v>0</v>
      </c>
      <c r="AW40" s="56">
        <f t="shared" si="32"/>
        <v>0</v>
      </c>
      <c r="AX40" s="56">
        <f t="shared" si="32"/>
        <v>0</v>
      </c>
      <c r="AY40" s="56">
        <f t="shared" si="32"/>
        <v>0</v>
      </c>
      <c r="AZ40" s="56">
        <f t="shared" si="32"/>
        <v>0</v>
      </c>
      <c r="BA40" s="56">
        <f t="shared" si="32"/>
        <v>0</v>
      </c>
      <c r="BB40" s="56">
        <f t="shared" si="32"/>
        <v>0</v>
      </c>
      <c r="BC40" s="56">
        <f t="shared" si="32"/>
        <v>0</v>
      </c>
      <c r="BD40" s="56">
        <f t="shared" si="32"/>
        <v>0</v>
      </c>
      <c r="BE40" s="56">
        <f t="shared" si="32"/>
        <v>0</v>
      </c>
      <c r="CE40" s="56">
        <f>SUM(C40:BF40)</f>
        <v>4320</v>
      </c>
      <c r="CG40" s="56">
        <f>MAX(C40:CB40)</f>
        <v>267</v>
      </c>
      <c r="CH40" s="56">
        <f t="array" ref="CH40">MIN(IF(C40:CB40&gt;0,C40:CB40,9999))</f>
        <v>63</v>
      </c>
      <c r="CN40" s="61"/>
    </row>
    <row r="41" spans="1:98" x14ac:dyDescent="0.15">
      <c r="B41" s="2" t="s">
        <v>36</v>
      </c>
      <c r="C41" s="2">
        <f t="shared" ref="C41:AH41" si="33">BowlSplit(C5:C35,OversBowled)</f>
        <v>19.100000000000001</v>
      </c>
      <c r="D41" s="2">
        <f t="shared" si="33"/>
        <v>40</v>
      </c>
      <c r="E41" s="2">
        <f t="shared" si="33"/>
        <v>40</v>
      </c>
      <c r="F41" s="2">
        <f t="shared" si="33"/>
        <v>32.299999999999997</v>
      </c>
      <c r="G41" s="2">
        <f t="shared" si="33"/>
        <v>42</v>
      </c>
      <c r="H41" s="2">
        <f t="shared" si="33"/>
        <v>40</v>
      </c>
      <c r="I41" s="2">
        <f t="shared" si="33"/>
        <v>39</v>
      </c>
      <c r="J41" s="2">
        <f t="shared" si="33"/>
        <v>43.3</v>
      </c>
      <c r="K41" s="2">
        <f t="shared" si="33"/>
        <v>41</v>
      </c>
      <c r="L41" s="2">
        <f t="shared" si="33"/>
        <v>25.2</v>
      </c>
      <c r="M41" s="2">
        <f t="shared" si="33"/>
        <v>37.1</v>
      </c>
      <c r="N41" s="2">
        <f t="shared" si="33"/>
        <v>41</v>
      </c>
      <c r="O41" s="2">
        <f t="shared" si="33"/>
        <v>24.1</v>
      </c>
      <c r="P41" s="2">
        <f t="shared" si="33"/>
        <v>32.200000000000003</v>
      </c>
      <c r="Q41" s="2">
        <f t="shared" si="33"/>
        <v>40</v>
      </c>
      <c r="R41" s="2">
        <f t="shared" si="33"/>
        <v>23.1</v>
      </c>
      <c r="S41" s="2">
        <f t="shared" si="33"/>
        <v>39.299999999999997</v>
      </c>
      <c r="T41" s="2">
        <f t="shared" si="33"/>
        <v>35</v>
      </c>
      <c r="U41" s="2">
        <f t="shared" si="33"/>
        <v>40</v>
      </c>
      <c r="V41" s="2">
        <f t="shared" si="33"/>
        <v>36.1</v>
      </c>
      <c r="W41" s="2">
        <f t="shared" si="33"/>
        <v>18.100000000000001</v>
      </c>
      <c r="X41" s="2">
        <f t="shared" si="33"/>
        <v>40</v>
      </c>
      <c r="Y41" s="2">
        <f t="shared" si="33"/>
        <v>0</v>
      </c>
      <c r="Z41" s="2">
        <f t="shared" si="33"/>
        <v>30.5</v>
      </c>
      <c r="AA41" s="2">
        <f t="shared" si="33"/>
        <v>30</v>
      </c>
      <c r="AB41" s="2">
        <f t="shared" si="33"/>
        <v>41</v>
      </c>
      <c r="AC41" s="2">
        <f t="shared" si="33"/>
        <v>35</v>
      </c>
      <c r="AD41" s="2">
        <f t="shared" si="33"/>
        <v>40</v>
      </c>
      <c r="AE41" s="2">
        <f t="shared" si="33"/>
        <v>0</v>
      </c>
      <c r="AF41" s="2">
        <f t="shared" si="33"/>
        <v>0</v>
      </c>
      <c r="AG41" s="2">
        <f t="shared" si="33"/>
        <v>0</v>
      </c>
      <c r="AH41" s="2">
        <f t="shared" si="33"/>
        <v>0</v>
      </c>
      <c r="AI41" s="2">
        <f t="shared" ref="AI41:BF41" si="34">BowlSplit(AI5:AI35,OversBowled)</f>
        <v>0</v>
      </c>
      <c r="AJ41" s="2">
        <f t="shared" si="34"/>
        <v>0</v>
      </c>
      <c r="AK41" s="2">
        <f t="shared" si="34"/>
        <v>0</v>
      </c>
      <c r="AL41" s="2">
        <f t="shared" si="34"/>
        <v>0</v>
      </c>
      <c r="AM41" s="2">
        <f t="shared" si="34"/>
        <v>0</v>
      </c>
      <c r="AN41" s="2">
        <f t="shared" si="34"/>
        <v>0</v>
      </c>
      <c r="AO41" s="2">
        <f t="shared" si="34"/>
        <v>0</v>
      </c>
      <c r="AP41" s="2">
        <f t="shared" si="34"/>
        <v>0</v>
      </c>
      <c r="AQ41" s="2">
        <f t="shared" si="34"/>
        <v>0</v>
      </c>
      <c r="AR41" s="2">
        <f t="shared" si="34"/>
        <v>0</v>
      </c>
      <c r="AS41" s="2">
        <f t="shared" si="34"/>
        <v>0</v>
      </c>
      <c r="AT41" s="2">
        <f t="shared" si="34"/>
        <v>0</v>
      </c>
      <c r="AU41" s="2">
        <f t="shared" si="34"/>
        <v>0</v>
      </c>
      <c r="AV41" s="2">
        <f t="shared" si="34"/>
        <v>0</v>
      </c>
      <c r="AW41" s="2">
        <f t="shared" si="34"/>
        <v>0</v>
      </c>
      <c r="AX41" s="2">
        <f t="shared" si="34"/>
        <v>0</v>
      </c>
      <c r="AY41" s="2">
        <f t="shared" si="34"/>
        <v>0</v>
      </c>
      <c r="AZ41" s="2">
        <f t="shared" si="34"/>
        <v>0</v>
      </c>
      <c r="BA41" s="2">
        <f t="shared" si="34"/>
        <v>0</v>
      </c>
      <c r="BB41" s="2">
        <f t="shared" si="34"/>
        <v>0</v>
      </c>
      <c r="BC41" s="2">
        <f t="shared" si="34"/>
        <v>0</v>
      </c>
      <c r="BD41" s="2">
        <f t="shared" si="34"/>
        <v>0</v>
      </c>
      <c r="BE41" s="2">
        <f t="shared" si="34"/>
        <v>0</v>
      </c>
      <c r="BF41" s="2">
        <f t="shared" si="34"/>
        <v>0</v>
      </c>
      <c r="CE41" s="55">
        <f>MAX(C41:CC41)</f>
        <v>43.3</v>
      </c>
    </row>
    <row r="42" spans="1:98" x14ac:dyDescent="0.15">
      <c r="B42" s="2" t="s">
        <v>35</v>
      </c>
      <c r="C42" s="2">
        <f t="shared" ref="C42:N42" si="35">BowlSplit(C5:C35,BallsBowled)</f>
        <v>115</v>
      </c>
      <c r="D42" s="2">
        <f t="shared" si="35"/>
        <v>240</v>
      </c>
      <c r="E42" s="2">
        <f t="shared" si="35"/>
        <v>240</v>
      </c>
      <c r="F42" s="2">
        <f t="shared" si="35"/>
        <v>195</v>
      </c>
      <c r="G42" s="2">
        <f t="shared" si="35"/>
        <v>252</v>
      </c>
      <c r="H42" s="2">
        <f t="shared" si="35"/>
        <v>240</v>
      </c>
      <c r="I42" s="2">
        <f t="shared" si="35"/>
        <v>234</v>
      </c>
      <c r="J42" s="2">
        <f t="shared" si="35"/>
        <v>261</v>
      </c>
      <c r="K42" s="2">
        <f t="shared" si="35"/>
        <v>246</v>
      </c>
      <c r="L42" s="2">
        <f t="shared" si="35"/>
        <v>152</v>
      </c>
      <c r="M42" s="2">
        <f t="shared" si="35"/>
        <v>223</v>
      </c>
      <c r="N42" s="2">
        <f t="shared" si="35"/>
        <v>246</v>
      </c>
      <c r="O42" s="2">
        <f>BowlSplit(T5:T35,BallsBowled)</f>
        <v>210</v>
      </c>
      <c r="P42" s="2">
        <f t="shared" ref="P42:BF42" si="36">BowlSplit(P5:P35,BallsBowled)</f>
        <v>194</v>
      </c>
      <c r="Q42" s="2">
        <f t="shared" si="36"/>
        <v>240</v>
      </c>
      <c r="R42" s="2">
        <f t="shared" si="36"/>
        <v>139</v>
      </c>
      <c r="S42" s="2">
        <f t="shared" si="36"/>
        <v>237</v>
      </c>
      <c r="T42" s="2">
        <f t="shared" si="36"/>
        <v>210</v>
      </c>
      <c r="U42" s="2">
        <f t="shared" si="36"/>
        <v>240</v>
      </c>
      <c r="V42" s="2">
        <f t="shared" si="36"/>
        <v>217</v>
      </c>
      <c r="W42" s="2">
        <f t="shared" si="36"/>
        <v>109</v>
      </c>
      <c r="X42" s="2">
        <f t="shared" si="36"/>
        <v>240</v>
      </c>
      <c r="Y42" s="2">
        <f t="shared" si="36"/>
        <v>0</v>
      </c>
      <c r="Z42" s="2">
        <f t="shared" si="36"/>
        <v>185</v>
      </c>
      <c r="AA42" s="2">
        <f t="shared" si="36"/>
        <v>180</v>
      </c>
      <c r="AB42" s="2">
        <f t="shared" si="36"/>
        <v>246</v>
      </c>
      <c r="AC42" s="2">
        <f t="shared" si="36"/>
        <v>210</v>
      </c>
      <c r="AD42" s="2">
        <f t="shared" si="36"/>
        <v>240</v>
      </c>
      <c r="AE42" s="2">
        <f t="shared" si="36"/>
        <v>0</v>
      </c>
      <c r="AF42" s="2">
        <f t="shared" si="36"/>
        <v>0</v>
      </c>
      <c r="AG42" s="2">
        <f t="shared" si="36"/>
        <v>0</v>
      </c>
      <c r="AH42" s="2">
        <f t="shared" si="36"/>
        <v>0</v>
      </c>
      <c r="AI42" s="2">
        <f t="shared" si="36"/>
        <v>0</v>
      </c>
      <c r="AJ42" s="2">
        <f t="shared" si="36"/>
        <v>0</v>
      </c>
      <c r="AK42" s="2">
        <f t="shared" si="36"/>
        <v>0</v>
      </c>
      <c r="AL42" s="2">
        <f t="shared" si="36"/>
        <v>0</v>
      </c>
      <c r="AM42" s="2">
        <f t="shared" si="36"/>
        <v>0</v>
      </c>
      <c r="AN42" s="2">
        <f t="shared" si="36"/>
        <v>0</v>
      </c>
      <c r="AO42" s="2">
        <f t="shared" si="36"/>
        <v>0</v>
      </c>
      <c r="AP42" s="2">
        <f t="shared" si="36"/>
        <v>0</v>
      </c>
      <c r="AQ42" s="2">
        <f t="shared" si="36"/>
        <v>0</v>
      </c>
      <c r="AR42" s="2">
        <f t="shared" si="36"/>
        <v>0</v>
      </c>
      <c r="AS42" s="2">
        <f t="shared" si="36"/>
        <v>0</v>
      </c>
      <c r="AT42" s="2">
        <f t="shared" si="36"/>
        <v>0</v>
      </c>
      <c r="AU42" s="2">
        <f t="shared" si="36"/>
        <v>0</v>
      </c>
      <c r="AV42" s="2">
        <f t="shared" si="36"/>
        <v>0</v>
      </c>
      <c r="AW42" s="2">
        <f t="shared" si="36"/>
        <v>0</v>
      </c>
      <c r="AX42" s="2">
        <f t="shared" si="36"/>
        <v>0</v>
      </c>
      <c r="AY42" s="2">
        <f t="shared" si="36"/>
        <v>0</v>
      </c>
      <c r="AZ42" s="2">
        <f t="shared" si="36"/>
        <v>0</v>
      </c>
      <c r="BA42" s="2">
        <f t="shared" si="36"/>
        <v>0</v>
      </c>
      <c r="BB42" s="2">
        <f t="shared" si="36"/>
        <v>0</v>
      </c>
      <c r="BC42" s="2">
        <f t="shared" si="36"/>
        <v>0</v>
      </c>
      <c r="BD42" s="2">
        <f t="shared" si="36"/>
        <v>0</v>
      </c>
      <c r="BE42" s="2">
        <f t="shared" si="36"/>
        <v>0</v>
      </c>
      <c r="BF42" s="2">
        <f t="shared" si="36"/>
        <v>0</v>
      </c>
      <c r="CE42" s="55">
        <f>SUM(C42:BF42)</f>
        <v>5741</v>
      </c>
      <c r="CF42" s="55">
        <f>INT(CE42/6)</f>
        <v>956</v>
      </c>
      <c r="CG42" s="55">
        <f>CE42-CF42*6</f>
        <v>5</v>
      </c>
      <c r="CH42" s="55">
        <f>CF42+CG42/10</f>
        <v>956.5</v>
      </c>
    </row>
    <row r="43" spans="1:98" x14ac:dyDescent="0.15">
      <c r="B43" s="2" t="s">
        <v>184</v>
      </c>
      <c r="C43" s="2">
        <f t="array" ref="C43:CC43">TRANSPOSE(Matches!P5:P59)</f>
        <v>19.100000000000001</v>
      </c>
      <c r="D43" s="2">
        <v>40</v>
      </c>
      <c r="E43" s="2">
        <v>40</v>
      </c>
      <c r="F43" s="2">
        <v>32.299999999999997</v>
      </c>
      <c r="G43" s="2">
        <v>42</v>
      </c>
      <c r="H43" s="2">
        <v>40</v>
      </c>
      <c r="I43" s="2">
        <v>39</v>
      </c>
      <c r="J43" s="2">
        <v>43.3</v>
      </c>
      <c r="K43" s="2">
        <v>41</v>
      </c>
      <c r="L43" s="2">
        <v>25.2</v>
      </c>
      <c r="M43" s="2">
        <v>37.1</v>
      </c>
      <c r="N43" s="2">
        <v>41</v>
      </c>
      <c r="O43" s="2">
        <v>24.1</v>
      </c>
      <c r="P43" s="2">
        <v>32.200000000000003</v>
      </c>
      <c r="Q43" s="2">
        <v>40</v>
      </c>
      <c r="R43" s="2">
        <v>23.1</v>
      </c>
      <c r="S43" s="2">
        <v>39.299999999999997</v>
      </c>
      <c r="T43" s="2">
        <v>35</v>
      </c>
      <c r="U43" s="2">
        <v>40</v>
      </c>
      <c r="V43" s="2">
        <v>36.1</v>
      </c>
      <c r="W43" s="2">
        <v>18.100000000000001</v>
      </c>
      <c r="X43" s="2">
        <v>40</v>
      </c>
      <c r="Y43" s="2">
        <v>0</v>
      </c>
      <c r="Z43" s="2">
        <v>30.5</v>
      </c>
      <c r="AA43" s="2">
        <v>30</v>
      </c>
      <c r="AB43" s="2">
        <v>41</v>
      </c>
      <c r="AC43" s="2">
        <v>35</v>
      </c>
      <c r="AD43" s="2">
        <v>40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 t="e">
        <v>#N/A</v>
      </c>
      <c r="BG43" s="2" t="e">
        <v>#N/A</v>
      </c>
      <c r="BH43" s="2" t="e">
        <v>#N/A</v>
      </c>
      <c r="BI43" s="2" t="e">
        <v>#N/A</v>
      </c>
      <c r="BJ43" s="2" t="e">
        <v>#N/A</v>
      </c>
      <c r="BK43" s="2" t="e">
        <v>#N/A</v>
      </c>
      <c r="BL43" s="2" t="e">
        <v>#N/A</v>
      </c>
      <c r="BM43" s="2" t="e">
        <v>#N/A</v>
      </c>
      <c r="BN43" s="2" t="e">
        <v>#N/A</v>
      </c>
      <c r="BO43" s="2" t="e">
        <v>#N/A</v>
      </c>
      <c r="BP43" s="2" t="e">
        <v>#N/A</v>
      </c>
      <c r="BQ43" s="2" t="e">
        <v>#N/A</v>
      </c>
      <c r="BR43" s="2" t="e">
        <v>#N/A</v>
      </c>
      <c r="BS43" s="2" t="e">
        <v>#N/A</v>
      </c>
      <c r="BT43" s="2" t="e">
        <v>#N/A</v>
      </c>
      <c r="BU43" s="2" t="e">
        <v>#N/A</v>
      </c>
      <c r="BV43" s="2" t="e">
        <v>#N/A</v>
      </c>
      <c r="BW43" s="2" t="e">
        <v>#N/A</v>
      </c>
      <c r="BX43" s="2" t="e">
        <v>#N/A</v>
      </c>
      <c r="BY43" s="2" t="e">
        <v>#N/A</v>
      </c>
      <c r="BZ43" s="2" t="e">
        <v>#N/A</v>
      </c>
      <c r="CA43" s="2" t="e">
        <v>#N/A</v>
      </c>
      <c r="CB43" s="2" t="e">
        <v>#N/A</v>
      </c>
      <c r="CC43" s="2" t="e">
        <v>#N/A</v>
      </c>
    </row>
    <row r="44" spans="1:98" x14ac:dyDescent="0.15">
      <c r="C44" s="2">
        <f>RunsConceded</f>
        <v>3</v>
      </c>
    </row>
    <row r="45" spans="1:98" x14ac:dyDescent="0.15">
      <c r="B45" s="2">
        <f>MAX(C45:AR75)</f>
        <v>62</v>
      </c>
      <c r="C45" s="2">
        <f t="shared" ref="C45:AR45" si="37">BowlSplit(C5,$C$44)</f>
        <v>20</v>
      </c>
      <c r="D45" s="2">
        <f t="shared" si="37"/>
        <v>28</v>
      </c>
      <c r="E45" s="2">
        <f t="shared" si="37"/>
        <v>30</v>
      </c>
      <c r="F45" s="2">
        <f t="shared" si="37"/>
        <v>27</v>
      </c>
      <c r="G45" s="2">
        <f t="shared" si="37"/>
        <v>19</v>
      </c>
      <c r="H45" s="2">
        <f t="shared" si="37"/>
        <v>0</v>
      </c>
      <c r="I45" s="2">
        <f t="shared" si="37"/>
        <v>0</v>
      </c>
      <c r="J45" s="2">
        <f t="shared" si="37"/>
        <v>0</v>
      </c>
      <c r="K45" s="2">
        <f t="shared" si="37"/>
        <v>0</v>
      </c>
      <c r="L45" s="2">
        <f t="shared" si="37"/>
        <v>0</v>
      </c>
      <c r="M45" s="2">
        <f t="shared" si="37"/>
        <v>0</v>
      </c>
      <c r="N45" s="2">
        <f t="shared" si="37"/>
        <v>27</v>
      </c>
      <c r="O45" s="2">
        <f t="shared" si="37"/>
        <v>0</v>
      </c>
      <c r="P45" s="2">
        <f t="shared" si="37"/>
        <v>0</v>
      </c>
      <c r="Q45" s="2">
        <f t="shared" si="37"/>
        <v>0</v>
      </c>
      <c r="R45" s="2">
        <f t="shared" si="37"/>
        <v>4</v>
      </c>
      <c r="S45" s="2">
        <f t="shared" si="37"/>
        <v>0</v>
      </c>
      <c r="T45" s="2">
        <f t="shared" si="37"/>
        <v>40</v>
      </c>
      <c r="U45" s="2">
        <f t="shared" si="37"/>
        <v>0</v>
      </c>
      <c r="V45" s="2">
        <f t="shared" si="37"/>
        <v>25</v>
      </c>
      <c r="W45" s="2">
        <f t="shared" si="37"/>
        <v>0</v>
      </c>
      <c r="X45" s="2">
        <f t="shared" si="37"/>
        <v>39</v>
      </c>
      <c r="Y45" s="2">
        <f t="shared" si="37"/>
        <v>0</v>
      </c>
      <c r="Z45" s="2">
        <f t="shared" si="37"/>
        <v>17</v>
      </c>
      <c r="AA45" s="2">
        <f t="shared" si="37"/>
        <v>24</v>
      </c>
      <c r="AB45" s="2">
        <f t="shared" si="37"/>
        <v>28</v>
      </c>
      <c r="AC45" s="2">
        <f t="shared" si="37"/>
        <v>0</v>
      </c>
      <c r="AD45" s="2">
        <f t="shared" si="37"/>
        <v>40</v>
      </c>
      <c r="AE45" s="2">
        <f t="shared" si="37"/>
        <v>0</v>
      </c>
      <c r="AF45" s="2">
        <f t="shared" si="37"/>
        <v>0</v>
      </c>
      <c r="AG45" s="2">
        <f t="shared" si="37"/>
        <v>0</v>
      </c>
      <c r="AH45" s="2">
        <f t="shared" si="37"/>
        <v>0</v>
      </c>
      <c r="AI45" s="2">
        <f t="shared" si="37"/>
        <v>0</v>
      </c>
      <c r="AJ45" s="2">
        <f t="shared" si="37"/>
        <v>0</v>
      </c>
      <c r="AK45" s="2">
        <f t="shared" si="37"/>
        <v>0</v>
      </c>
      <c r="AL45" s="2">
        <f t="shared" si="37"/>
        <v>0</v>
      </c>
      <c r="AM45" s="2">
        <f t="shared" si="37"/>
        <v>0</v>
      </c>
      <c r="AN45" s="2">
        <f t="shared" si="37"/>
        <v>0</v>
      </c>
      <c r="AO45" s="2">
        <f t="shared" si="37"/>
        <v>0</v>
      </c>
      <c r="AP45" s="2">
        <f t="shared" si="37"/>
        <v>0</v>
      </c>
      <c r="AQ45" s="2">
        <f t="shared" si="37"/>
        <v>0</v>
      </c>
      <c r="AR45" s="2">
        <f t="shared" si="37"/>
        <v>0</v>
      </c>
    </row>
    <row r="46" spans="1:98" x14ac:dyDescent="0.15">
      <c r="C46" s="2">
        <f t="shared" ref="C46:AR46" si="38">BowlSplit(C6,$C$44)</f>
        <v>0</v>
      </c>
      <c r="D46" s="2">
        <f t="shared" si="38"/>
        <v>0</v>
      </c>
      <c r="E46" s="2">
        <f t="shared" si="38"/>
        <v>0</v>
      </c>
      <c r="F46" s="2">
        <f t="shared" si="38"/>
        <v>0</v>
      </c>
      <c r="G46" s="2">
        <f t="shared" si="38"/>
        <v>50</v>
      </c>
      <c r="H46" s="2">
        <f t="shared" si="38"/>
        <v>0</v>
      </c>
      <c r="I46" s="2">
        <f t="shared" si="38"/>
        <v>0</v>
      </c>
      <c r="J46" s="2">
        <f t="shared" si="38"/>
        <v>0</v>
      </c>
      <c r="K46" s="2">
        <f t="shared" si="38"/>
        <v>0</v>
      </c>
      <c r="L46" s="2">
        <f t="shared" si="38"/>
        <v>0</v>
      </c>
      <c r="M46" s="2">
        <f t="shared" si="38"/>
        <v>0</v>
      </c>
      <c r="N46" s="2">
        <f t="shared" si="38"/>
        <v>0</v>
      </c>
      <c r="O46" s="2">
        <f t="shared" si="38"/>
        <v>36</v>
      </c>
      <c r="P46" s="2">
        <f t="shared" si="38"/>
        <v>0</v>
      </c>
      <c r="Q46" s="2">
        <f t="shared" si="38"/>
        <v>0</v>
      </c>
      <c r="R46" s="2">
        <f t="shared" si="38"/>
        <v>0</v>
      </c>
      <c r="S46" s="2">
        <f t="shared" si="38"/>
        <v>24</v>
      </c>
      <c r="T46" s="2">
        <f t="shared" si="38"/>
        <v>0</v>
      </c>
      <c r="U46" s="2">
        <f t="shared" si="38"/>
        <v>0</v>
      </c>
      <c r="V46" s="2">
        <f t="shared" si="38"/>
        <v>0</v>
      </c>
      <c r="W46" s="2">
        <f t="shared" si="38"/>
        <v>0</v>
      </c>
      <c r="X46" s="2">
        <f t="shared" si="38"/>
        <v>0</v>
      </c>
      <c r="Y46" s="2">
        <f t="shared" si="38"/>
        <v>0</v>
      </c>
      <c r="Z46" s="2">
        <f t="shared" si="38"/>
        <v>0</v>
      </c>
      <c r="AA46" s="2">
        <f t="shared" si="38"/>
        <v>0</v>
      </c>
      <c r="AB46" s="2">
        <f t="shared" si="38"/>
        <v>0</v>
      </c>
      <c r="AC46" s="2">
        <f t="shared" si="38"/>
        <v>0</v>
      </c>
      <c r="AD46" s="2">
        <f t="shared" si="38"/>
        <v>0</v>
      </c>
      <c r="AE46" s="2">
        <f t="shared" si="38"/>
        <v>0</v>
      </c>
      <c r="AF46" s="2">
        <f t="shared" si="38"/>
        <v>0</v>
      </c>
      <c r="AG46" s="2">
        <f t="shared" si="38"/>
        <v>0</v>
      </c>
      <c r="AH46" s="2">
        <f t="shared" si="38"/>
        <v>0</v>
      </c>
      <c r="AI46" s="2">
        <f t="shared" si="38"/>
        <v>0</v>
      </c>
      <c r="AJ46" s="2">
        <f t="shared" si="38"/>
        <v>0</v>
      </c>
      <c r="AK46" s="2">
        <f t="shared" si="38"/>
        <v>0</v>
      </c>
      <c r="AL46" s="2">
        <f t="shared" si="38"/>
        <v>0</v>
      </c>
      <c r="AM46" s="2">
        <f t="shared" si="38"/>
        <v>0</v>
      </c>
      <c r="AN46" s="2">
        <f t="shared" si="38"/>
        <v>0</v>
      </c>
      <c r="AO46" s="2">
        <f t="shared" si="38"/>
        <v>0</v>
      </c>
      <c r="AP46" s="2">
        <f t="shared" si="38"/>
        <v>0</v>
      </c>
      <c r="AQ46" s="2">
        <f t="shared" si="38"/>
        <v>0</v>
      </c>
      <c r="AR46" s="2">
        <f t="shared" si="38"/>
        <v>0</v>
      </c>
    </row>
    <row r="47" spans="1:98" x14ac:dyDescent="0.15">
      <c r="C47" s="2">
        <f t="shared" ref="C47:AR47" si="39">BowlSplit(C7,$C$44)</f>
        <v>5</v>
      </c>
      <c r="D47" s="2">
        <f t="shared" si="39"/>
        <v>24</v>
      </c>
      <c r="E47" s="2">
        <f t="shared" si="39"/>
        <v>0</v>
      </c>
      <c r="F47" s="2">
        <f t="shared" si="39"/>
        <v>19</v>
      </c>
      <c r="G47" s="2">
        <f t="shared" si="39"/>
        <v>25</v>
      </c>
      <c r="H47" s="2">
        <f t="shared" si="39"/>
        <v>9</v>
      </c>
      <c r="I47" s="2">
        <f t="shared" si="39"/>
        <v>20</v>
      </c>
      <c r="J47" s="2">
        <f t="shared" si="39"/>
        <v>15</v>
      </c>
      <c r="K47" s="2">
        <f t="shared" si="39"/>
        <v>4</v>
      </c>
      <c r="L47" s="2">
        <f t="shared" si="39"/>
        <v>21</v>
      </c>
      <c r="M47" s="2">
        <f t="shared" si="39"/>
        <v>0</v>
      </c>
      <c r="N47" s="2">
        <f t="shared" si="39"/>
        <v>27</v>
      </c>
      <c r="O47" s="2">
        <f t="shared" si="39"/>
        <v>11</v>
      </c>
      <c r="P47" s="2">
        <f t="shared" si="39"/>
        <v>12</v>
      </c>
      <c r="Q47" s="2">
        <f t="shared" si="39"/>
        <v>0</v>
      </c>
      <c r="R47" s="2">
        <f t="shared" si="39"/>
        <v>8</v>
      </c>
      <c r="S47" s="2">
        <f t="shared" si="39"/>
        <v>5</v>
      </c>
      <c r="T47" s="2">
        <f t="shared" si="39"/>
        <v>0</v>
      </c>
      <c r="U47" s="2">
        <f t="shared" si="39"/>
        <v>35</v>
      </c>
      <c r="V47" s="2">
        <f t="shared" si="39"/>
        <v>21</v>
      </c>
      <c r="W47" s="2">
        <f t="shared" si="39"/>
        <v>5</v>
      </c>
      <c r="X47" s="2">
        <f t="shared" si="39"/>
        <v>26</v>
      </c>
      <c r="Y47" s="2">
        <f t="shared" si="39"/>
        <v>0</v>
      </c>
      <c r="Z47" s="2">
        <f t="shared" si="39"/>
        <v>0</v>
      </c>
      <c r="AA47" s="2">
        <f t="shared" si="39"/>
        <v>0</v>
      </c>
      <c r="AB47" s="2">
        <f t="shared" si="39"/>
        <v>5</v>
      </c>
      <c r="AC47" s="2">
        <f t="shared" si="39"/>
        <v>30</v>
      </c>
      <c r="AD47" s="2">
        <f t="shared" si="39"/>
        <v>32</v>
      </c>
      <c r="AE47" s="2">
        <f t="shared" si="39"/>
        <v>0</v>
      </c>
      <c r="AF47" s="2">
        <f t="shared" si="39"/>
        <v>0</v>
      </c>
      <c r="AG47" s="2">
        <f t="shared" si="39"/>
        <v>0</v>
      </c>
      <c r="AH47" s="2">
        <f t="shared" si="39"/>
        <v>0</v>
      </c>
      <c r="AI47" s="2">
        <f t="shared" si="39"/>
        <v>0</v>
      </c>
      <c r="AJ47" s="2">
        <f t="shared" si="39"/>
        <v>0</v>
      </c>
      <c r="AK47" s="2">
        <f t="shared" si="39"/>
        <v>0</v>
      </c>
      <c r="AL47" s="2">
        <f t="shared" si="39"/>
        <v>0</v>
      </c>
      <c r="AM47" s="2">
        <f t="shared" si="39"/>
        <v>0</v>
      </c>
      <c r="AN47" s="2">
        <f t="shared" si="39"/>
        <v>0</v>
      </c>
      <c r="AO47" s="2">
        <f t="shared" si="39"/>
        <v>0</v>
      </c>
      <c r="AP47" s="2">
        <f t="shared" si="39"/>
        <v>0</v>
      </c>
      <c r="AQ47" s="2">
        <f t="shared" si="39"/>
        <v>0</v>
      </c>
      <c r="AR47" s="2">
        <f t="shared" si="39"/>
        <v>0</v>
      </c>
    </row>
    <row r="48" spans="1:98" x14ac:dyDescent="0.15">
      <c r="C48" s="2">
        <f t="shared" ref="C48:AR48" si="40">BowlSplit(C8,$C$44)</f>
        <v>0</v>
      </c>
      <c r="D48" s="2">
        <f t="shared" si="40"/>
        <v>0</v>
      </c>
      <c r="E48" s="2">
        <f t="shared" si="40"/>
        <v>41</v>
      </c>
      <c r="F48" s="2">
        <f t="shared" si="40"/>
        <v>0</v>
      </c>
      <c r="G48" s="2">
        <f t="shared" si="40"/>
        <v>0</v>
      </c>
      <c r="H48" s="2">
        <f t="shared" si="40"/>
        <v>0</v>
      </c>
      <c r="I48" s="2">
        <f t="shared" si="40"/>
        <v>0</v>
      </c>
      <c r="J48" s="2">
        <f t="shared" si="40"/>
        <v>0</v>
      </c>
      <c r="K48" s="2">
        <f t="shared" si="40"/>
        <v>3</v>
      </c>
      <c r="L48" s="2">
        <f t="shared" si="40"/>
        <v>0</v>
      </c>
      <c r="M48" s="2">
        <f t="shared" si="40"/>
        <v>0</v>
      </c>
      <c r="N48" s="2">
        <f t="shared" si="40"/>
        <v>0</v>
      </c>
      <c r="O48" s="2">
        <f t="shared" si="40"/>
        <v>0</v>
      </c>
      <c r="P48" s="2">
        <f t="shared" si="40"/>
        <v>8</v>
      </c>
      <c r="Q48" s="2">
        <f t="shared" si="40"/>
        <v>0</v>
      </c>
      <c r="R48" s="2">
        <f t="shared" si="40"/>
        <v>0</v>
      </c>
      <c r="S48" s="2">
        <f t="shared" si="40"/>
        <v>0</v>
      </c>
      <c r="T48" s="2">
        <f t="shared" si="40"/>
        <v>0</v>
      </c>
      <c r="U48" s="2">
        <f t="shared" si="40"/>
        <v>0</v>
      </c>
      <c r="V48" s="2">
        <f t="shared" si="40"/>
        <v>0</v>
      </c>
      <c r="W48" s="2">
        <f t="shared" si="40"/>
        <v>0</v>
      </c>
      <c r="X48" s="2">
        <f t="shared" si="40"/>
        <v>39</v>
      </c>
      <c r="Y48" s="2">
        <f t="shared" si="40"/>
        <v>0</v>
      </c>
      <c r="Z48" s="2">
        <f t="shared" si="40"/>
        <v>0</v>
      </c>
      <c r="AA48" s="2">
        <f t="shared" si="40"/>
        <v>0</v>
      </c>
      <c r="AB48" s="2">
        <f t="shared" si="40"/>
        <v>0</v>
      </c>
      <c r="AC48" s="2">
        <f t="shared" si="40"/>
        <v>0</v>
      </c>
      <c r="AD48" s="2">
        <f t="shared" si="40"/>
        <v>0</v>
      </c>
      <c r="AE48" s="2">
        <f t="shared" si="40"/>
        <v>0</v>
      </c>
      <c r="AF48" s="2">
        <f t="shared" si="40"/>
        <v>0</v>
      </c>
      <c r="AG48" s="2">
        <f t="shared" si="40"/>
        <v>0</v>
      </c>
      <c r="AH48" s="2">
        <f t="shared" si="40"/>
        <v>0</v>
      </c>
      <c r="AI48" s="2">
        <f t="shared" si="40"/>
        <v>0</v>
      </c>
      <c r="AJ48" s="2">
        <f t="shared" si="40"/>
        <v>0</v>
      </c>
      <c r="AK48" s="2">
        <f t="shared" si="40"/>
        <v>0</v>
      </c>
      <c r="AL48" s="2">
        <f t="shared" si="40"/>
        <v>0</v>
      </c>
      <c r="AM48" s="2">
        <f t="shared" si="40"/>
        <v>0</v>
      </c>
      <c r="AN48" s="2">
        <f t="shared" si="40"/>
        <v>0</v>
      </c>
      <c r="AO48" s="2">
        <f t="shared" si="40"/>
        <v>0</v>
      </c>
      <c r="AP48" s="2">
        <f t="shared" si="40"/>
        <v>0</v>
      </c>
      <c r="AQ48" s="2">
        <f t="shared" si="40"/>
        <v>0</v>
      </c>
      <c r="AR48" s="2">
        <f t="shared" si="40"/>
        <v>0</v>
      </c>
    </row>
    <row r="49" spans="3:83" x14ac:dyDescent="0.15">
      <c r="C49" s="2">
        <f t="shared" ref="C49:AR49" si="41">BowlSplit(C9,$C$44)</f>
        <v>11</v>
      </c>
      <c r="D49" s="2">
        <f t="shared" si="41"/>
        <v>28</v>
      </c>
      <c r="E49" s="2">
        <f t="shared" si="41"/>
        <v>36</v>
      </c>
      <c r="F49" s="2">
        <f t="shared" si="41"/>
        <v>21</v>
      </c>
      <c r="G49" s="2">
        <f t="shared" si="41"/>
        <v>0</v>
      </c>
      <c r="H49" s="2">
        <f t="shared" si="41"/>
        <v>0</v>
      </c>
      <c r="I49" s="2">
        <f t="shared" si="41"/>
        <v>45</v>
      </c>
      <c r="J49" s="2">
        <f t="shared" si="41"/>
        <v>0</v>
      </c>
      <c r="K49" s="2">
        <f t="shared" si="41"/>
        <v>33</v>
      </c>
      <c r="L49" s="2">
        <f t="shared" si="41"/>
        <v>14</v>
      </c>
      <c r="M49" s="2">
        <f t="shared" si="41"/>
        <v>32</v>
      </c>
      <c r="N49" s="2">
        <f t="shared" si="41"/>
        <v>28</v>
      </c>
      <c r="O49" s="2">
        <f t="shared" si="41"/>
        <v>0</v>
      </c>
      <c r="P49" s="2">
        <f t="shared" si="41"/>
        <v>13</v>
      </c>
      <c r="Q49" s="2">
        <f t="shared" si="41"/>
        <v>31</v>
      </c>
      <c r="R49" s="2">
        <f t="shared" si="41"/>
        <v>21</v>
      </c>
      <c r="S49" s="2">
        <f t="shared" si="41"/>
        <v>47</v>
      </c>
      <c r="T49" s="2">
        <f t="shared" si="41"/>
        <v>28</v>
      </c>
      <c r="U49" s="2">
        <f t="shared" si="41"/>
        <v>62</v>
      </c>
      <c r="V49" s="2">
        <f t="shared" si="41"/>
        <v>39</v>
      </c>
      <c r="W49" s="2">
        <f t="shared" si="41"/>
        <v>0</v>
      </c>
      <c r="X49" s="2">
        <f t="shared" si="41"/>
        <v>37</v>
      </c>
      <c r="Y49" s="2">
        <f t="shared" si="41"/>
        <v>0</v>
      </c>
      <c r="Z49" s="2">
        <f t="shared" si="41"/>
        <v>27</v>
      </c>
      <c r="AA49" s="2">
        <f t="shared" si="41"/>
        <v>35</v>
      </c>
      <c r="AB49" s="2">
        <f t="shared" si="41"/>
        <v>41</v>
      </c>
      <c r="AC49" s="2">
        <f t="shared" si="41"/>
        <v>27</v>
      </c>
      <c r="AD49" s="2">
        <f t="shared" si="41"/>
        <v>37</v>
      </c>
      <c r="AE49" s="2">
        <f t="shared" si="41"/>
        <v>0</v>
      </c>
      <c r="AF49" s="2">
        <f t="shared" si="41"/>
        <v>0</v>
      </c>
      <c r="AG49" s="2">
        <f t="shared" si="41"/>
        <v>0</v>
      </c>
      <c r="AH49" s="2">
        <f t="shared" si="41"/>
        <v>0</v>
      </c>
      <c r="AI49" s="2">
        <f t="shared" si="41"/>
        <v>0</v>
      </c>
      <c r="AJ49" s="2">
        <f t="shared" si="41"/>
        <v>0</v>
      </c>
      <c r="AK49" s="2">
        <f t="shared" si="41"/>
        <v>0</v>
      </c>
      <c r="AL49" s="2">
        <f t="shared" si="41"/>
        <v>0</v>
      </c>
      <c r="AM49" s="2">
        <f t="shared" si="41"/>
        <v>0</v>
      </c>
      <c r="AN49" s="2">
        <f t="shared" si="41"/>
        <v>0</v>
      </c>
      <c r="AO49" s="2">
        <f t="shared" si="41"/>
        <v>0</v>
      </c>
      <c r="AP49" s="2">
        <f t="shared" si="41"/>
        <v>0</v>
      </c>
      <c r="AQ49" s="2">
        <f t="shared" si="41"/>
        <v>0</v>
      </c>
      <c r="AR49" s="2">
        <f t="shared" si="41"/>
        <v>0</v>
      </c>
    </row>
    <row r="50" spans="3:83" x14ac:dyDescent="0.15">
      <c r="C50" s="2">
        <f t="shared" ref="C50:AR50" si="42">BowlSplit(C10,$C$44)</f>
        <v>0</v>
      </c>
      <c r="D50" s="2">
        <f t="shared" si="42"/>
        <v>0</v>
      </c>
      <c r="E50" s="2">
        <f t="shared" si="42"/>
        <v>0</v>
      </c>
      <c r="F50" s="2">
        <f t="shared" si="42"/>
        <v>0</v>
      </c>
      <c r="G50" s="2">
        <f t="shared" si="42"/>
        <v>0</v>
      </c>
      <c r="H50" s="2">
        <f t="shared" si="42"/>
        <v>0</v>
      </c>
      <c r="I50" s="2">
        <f t="shared" si="42"/>
        <v>0</v>
      </c>
      <c r="J50" s="2">
        <f t="shared" si="42"/>
        <v>0</v>
      </c>
      <c r="K50" s="2">
        <f t="shared" si="42"/>
        <v>0</v>
      </c>
      <c r="L50" s="2">
        <f t="shared" si="42"/>
        <v>0</v>
      </c>
      <c r="M50" s="2">
        <f t="shared" si="42"/>
        <v>0</v>
      </c>
      <c r="N50" s="2">
        <f t="shared" si="42"/>
        <v>0</v>
      </c>
      <c r="O50" s="2">
        <f t="shared" si="42"/>
        <v>0</v>
      </c>
      <c r="P50" s="2">
        <f t="shared" si="42"/>
        <v>8</v>
      </c>
      <c r="Q50" s="2">
        <f t="shared" si="42"/>
        <v>0</v>
      </c>
      <c r="R50" s="2">
        <f t="shared" si="42"/>
        <v>0</v>
      </c>
      <c r="S50" s="2">
        <f t="shared" si="42"/>
        <v>0</v>
      </c>
      <c r="T50" s="2">
        <f t="shared" si="42"/>
        <v>0</v>
      </c>
      <c r="U50" s="2">
        <f t="shared" si="42"/>
        <v>0</v>
      </c>
      <c r="V50" s="2">
        <f t="shared" si="42"/>
        <v>0</v>
      </c>
      <c r="W50" s="2">
        <f t="shared" si="42"/>
        <v>0</v>
      </c>
      <c r="X50" s="2">
        <f t="shared" si="42"/>
        <v>0</v>
      </c>
      <c r="Y50" s="2">
        <f t="shared" si="42"/>
        <v>0</v>
      </c>
      <c r="Z50" s="2">
        <f t="shared" si="42"/>
        <v>0</v>
      </c>
      <c r="AA50" s="2">
        <f t="shared" si="42"/>
        <v>0</v>
      </c>
      <c r="AB50" s="2">
        <f t="shared" si="42"/>
        <v>0</v>
      </c>
      <c r="AC50" s="2">
        <f t="shared" si="42"/>
        <v>0</v>
      </c>
      <c r="AD50" s="2">
        <f t="shared" si="42"/>
        <v>0</v>
      </c>
      <c r="AE50" s="2">
        <f t="shared" si="42"/>
        <v>0</v>
      </c>
      <c r="AF50" s="2">
        <f t="shared" si="42"/>
        <v>0</v>
      </c>
      <c r="AG50" s="2">
        <f t="shared" si="42"/>
        <v>0</v>
      </c>
      <c r="AH50" s="2">
        <f t="shared" si="42"/>
        <v>0</v>
      </c>
      <c r="AI50" s="2">
        <f t="shared" si="42"/>
        <v>0</v>
      </c>
      <c r="AJ50" s="2">
        <f t="shared" si="42"/>
        <v>0</v>
      </c>
      <c r="AK50" s="2">
        <f t="shared" si="42"/>
        <v>0</v>
      </c>
      <c r="AL50" s="2">
        <f t="shared" si="42"/>
        <v>0</v>
      </c>
      <c r="AM50" s="2">
        <f t="shared" si="42"/>
        <v>0</v>
      </c>
      <c r="AN50" s="2">
        <f t="shared" si="42"/>
        <v>0</v>
      </c>
      <c r="AO50" s="2">
        <f t="shared" si="42"/>
        <v>0</v>
      </c>
      <c r="AP50" s="2">
        <f t="shared" si="42"/>
        <v>0</v>
      </c>
      <c r="AQ50" s="2">
        <f t="shared" si="42"/>
        <v>0</v>
      </c>
      <c r="AR50" s="2">
        <f t="shared" si="42"/>
        <v>0</v>
      </c>
      <c r="CE50" s="59"/>
    </row>
    <row r="51" spans="3:83" x14ac:dyDescent="0.15">
      <c r="C51" s="2">
        <f t="shared" ref="C51:AR51" si="43">BowlSplit(C11,$C$44)</f>
        <v>0</v>
      </c>
      <c r="D51" s="2">
        <f t="shared" si="43"/>
        <v>23</v>
      </c>
      <c r="E51" s="2">
        <f t="shared" si="43"/>
        <v>0</v>
      </c>
      <c r="F51" s="2">
        <f t="shared" si="43"/>
        <v>15</v>
      </c>
      <c r="G51" s="2">
        <f t="shared" si="43"/>
        <v>0</v>
      </c>
      <c r="H51" s="2">
        <f t="shared" si="43"/>
        <v>0</v>
      </c>
      <c r="I51" s="2">
        <f t="shared" si="43"/>
        <v>0</v>
      </c>
      <c r="J51" s="2">
        <f t="shared" si="43"/>
        <v>0</v>
      </c>
      <c r="K51" s="2">
        <f t="shared" si="43"/>
        <v>0</v>
      </c>
      <c r="L51" s="2">
        <f t="shared" si="43"/>
        <v>0</v>
      </c>
      <c r="M51" s="2">
        <f t="shared" si="43"/>
        <v>0</v>
      </c>
      <c r="N51" s="2">
        <f t="shared" si="43"/>
        <v>0</v>
      </c>
      <c r="O51" s="2">
        <f t="shared" si="43"/>
        <v>17</v>
      </c>
      <c r="P51" s="2">
        <f t="shared" si="43"/>
        <v>0</v>
      </c>
      <c r="Q51" s="2">
        <f t="shared" si="43"/>
        <v>51</v>
      </c>
      <c r="R51" s="2">
        <f t="shared" si="43"/>
        <v>0</v>
      </c>
      <c r="S51" s="2">
        <f t="shared" si="43"/>
        <v>21</v>
      </c>
      <c r="T51" s="2">
        <f t="shared" si="43"/>
        <v>33</v>
      </c>
      <c r="U51" s="2">
        <f t="shared" si="43"/>
        <v>0</v>
      </c>
      <c r="V51" s="2">
        <f t="shared" si="43"/>
        <v>0</v>
      </c>
      <c r="W51" s="2">
        <f t="shared" si="43"/>
        <v>0</v>
      </c>
      <c r="X51" s="2">
        <f t="shared" si="43"/>
        <v>36</v>
      </c>
      <c r="Y51" s="2">
        <f t="shared" si="43"/>
        <v>0</v>
      </c>
      <c r="Z51" s="2">
        <f t="shared" si="43"/>
        <v>0</v>
      </c>
      <c r="AA51" s="2">
        <f t="shared" si="43"/>
        <v>41</v>
      </c>
      <c r="AB51" s="2">
        <f t="shared" si="43"/>
        <v>0</v>
      </c>
      <c r="AC51" s="2">
        <f t="shared" si="43"/>
        <v>0</v>
      </c>
      <c r="AD51" s="2">
        <f t="shared" si="43"/>
        <v>0</v>
      </c>
      <c r="AE51" s="2">
        <f t="shared" si="43"/>
        <v>0</v>
      </c>
      <c r="AF51" s="2">
        <f t="shared" si="43"/>
        <v>0</v>
      </c>
      <c r="AG51" s="2">
        <f t="shared" si="43"/>
        <v>0</v>
      </c>
      <c r="AH51" s="2">
        <f t="shared" si="43"/>
        <v>0</v>
      </c>
      <c r="AI51" s="2">
        <f t="shared" si="43"/>
        <v>0</v>
      </c>
      <c r="AJ51" s="2">
        <f t="shared" si="43"/>
        <v>0</v>
      </c>
      <c r="AK51" s="2">
        <f t="shared" si="43"/>
        <v>0</v>
      </c>
      <c r="AL51" s="2">
        <f t="shared" si="43"/>
        <v>0</v>
      </c>
      <c r="AM51" s="2">
        <f t="shared" si="43"/>
        <v>0</v>
      </c>
      <c r="AN51" s="2">
        <f t="shared" si="43"/>
        <v>0</v>
      </c>
      <c r="AO51" s="2">
        <f t="shared" si="43"/>
        <v>0</v>
      </c>
      <c r="AP51" s="2">
        <f t="shared" si="43"/>
        <v>0</v>
      </c>
      <c r="AQ51" s="2">
        <f t="shared" si="43"/>
        <v>0</v>
      </c>
      <c r="AR51" s="2">
        <f t="shared" si="43"/>
        <v>0</v>
      </c>
    </row>
    <row r="52" spans="3:83" x14ac:dyDescent="0.15">
      <c r="C52" s="2">
        <f t="shared" ref="C52:AR52" si="44">BowlSplit(C12,$C$44)</f>
        <v>0</v>
      </c>
      <c r="D52" s="2">
        <f t="shared" si="44"/>
        <v>0</v>
      </c>
      <c r="E52" s="2">
        <f t="shared" si="44"/>
        <v>0</v>
      </c>
      <c r="F52" s="2">
        <f t="shared" si="44"/>
        <v>0</v>
      </c>
      <c r="G52" s="2">
        <f t="shared" si="44"/>
        <v>0</v>
      </c>
      <c r="H52" s="2">
        <f t="shared" si="44"/>
        <v>0</v>
      </c>
      <c r="I52" s="2">
        <f t="shared" si="44"/>
        <v>0</v>
      </c>
      <c r="J52" s="2">
        <f t="shared" si="44"/>
        <v>0</v>
      </c>
      <c r="K52" s="2">
        <f t="shared" si="44"/>
        <v>0</v>
      </c>
      <c r="L52" s="2">
        <f t="shared" si="44"/>
        <v>0</v>
      </c>
      <c r="M52" s="2">
        <f t="shared" si="44"/>
        <v>0</v>
      </c>
      <c r="N52" s="2">
        <f t="shared" si="44"/>
        <v>0</v>
      </c>
      <c r="O52" s="2">
        <f t="shared" si="44"/>
        <v>0</v>
      </c>
      <c r="P52" s="2">
        <f t="shared" si="44"/>
        <v>0</v>
      </c>
      <c r="Q52" s="2">
        <f t="shared" si="44"/>
        <v>0</v>
      </c>
      <c r="R52" s="2">
        <f t="shared" si="44"/>
        <v>0</v>
      </c>
      <c r="S52" s="2">
        <f t="shared" si="44"/>
        <v>0</v>
      </c>
      <c r="T52" s="2">
        <f t="shared" si="44"/>
        <v>40</v>
      </c>
      <c r="U52" s="2">
        <f t="shared" si="44"/>
        <v>0</v>
      </c>
      <c r="V52" s="2">
        <f t="shared" si="44"/>
        <v>0</v>
      </c>
      <c r="W52" s="2">
        <f t="shared" si="44"/>
        <v>0</v>
      </c>
      <c r="X52" s="2">
        <f t="shared" si="44"/>
        <v>0</v>
      </c>
      <c r="Y52" s="2">
        <f t="shared" si="44"/>
        <v>0</v>
      </c>
      <c r="Z52" s="2">
        <f t="shared" si="44"/>
        <v>0</v>
      </c>
      <c r="AA52" s="2">
        <f t="shared" si="44"/>
        <v>0</v>
      </c>
      <c r="AB52" s="2">
        <f t="shared" si="44"/>
        <v>0</v>
      </c>
      <c r="AC52" s="2">
        <f t="shared" si="44"/>
        <v>0</v>
      </c>
      <c r="AD52" s="2">
        <f t="shared" si="44"/>
        <v>0</v>
      </c>
      <c r="AE52" s="2">
        <f t="shared" si="44"/>
        <v>0</v>
      </c>
      <c r="AF52" s="2">
        <f t="shared" si="44"/>
        <v>0</v>
      </c>
      <c r="AG52" s="2">
        <f t="shared" si="44"/>
        <v>0</v>
      </c>
      <c r="AH52" s="2">
        <f t="shared" si="44"/>
        <v>0</v>
      </c>
      <c r="AI52" s="2">
        <f t="shared" si="44"/>
        <v>0</v>
      </c>
      <c r="AJ52" s="2">
        <f t="shared" si="44"/>
        <v>0</v>
      </c>
      <c r="AK52" s="2">
        <f t="shared" si="44"/>
        <v>0</v>
      </c>
      <c r="AL52" s="2">
        <f t="shared" si="44"/>
        <v>0</v>
      </c>
      <c r="AM52" s="2">
        <f t="shared" si="44"/>
        <v>0</v>
      </c>
      <c r="AN52" s="2">
        <f t="shared" si="44"/>
        <v>0</v>
      </c>
      <c r="AO52" s="2">
        <f t="shared" si="44"/>
        <v>0</v>
      </c>
      <c r="AP52" s="2">
        <f t="shared" si="44"/>
        <v>0</v>
      </c>
      <c r="AQ52" s="2">
        <f t="shared" si="44"/>
        <v>0</v>
      </c>
      <c r="AR52" s="2">
        <f t="shared" si="44"/>
        <v>0</v>
      </c>
    </row>
    <row r="53" spans="3:83" x14ac:dyDescent="0.15">
      <c r="C53" s="2">
        <f t="shared" ref="C53:AR53" si="45">BowlSplit(C13,$C$44)</f>
        <v>0</v>
      </c>
      <c r="D53" s="2">
        <f t="shared" si="45"/>
        <v>0</v>
      </c>
      <c r="E53" s="2">
        <f t="shared" si="45"/>
        <v>0</v>
      </c>
      <c r="F53" s="2">
        <f t="shared" si="45"/>
        <v>0</v>
      </c>
      <c r="G53" s="2">
        <f t="shared" si="45"/>
        <v>0</v>
      </c>
      <c r="H53" s="2">
        <f t="shared" si="45"/>
        <v>0</v>
      </c>
      <c r="I53" s="2">
        <f t="shared" si="45"/>
        <v>0</v>
      </c>
      <c r="J53" s="2">
        <f t="shared" si="45"/>
        <v>0</v>
      </c>
      <c r="K53" s="2">
        <f t="shared" si="45"/>
        <v>0</v>
      </c>
      <c r="L53" s="2">
        <f t="shared" si="45"/>
        <v>0</v>
      </c>
      <c r="M53" s="2">
        <f t="shared" si="45"/>
        <v>0</v>
      </c>
      <c r="N53" s="2">
        <f t="shared" si="45"/>
        <v>0</v>
      </c>
      <c r="O53" s="2">
        <f t="shared" si="45"/>
        <v>0</v>
      </c>
      <c r="P53" s="2">
        <f t="shared" si="45"/>
        <v>0</v>
      </c>
      <c r="Q53" s="2">
        <f t="shared" si="45"/>
        <v>0</v>
      </c>
      <c r="R53" s="2">
        <f t="shared" si="45"/>
        <v>0</v>
      </c>
      <c r="S53" s="2">
        <f t="shared" si="45"/>
        <v>0</v>
      </c>
      <c r="T53" s="2">
        <f t="shared" si="45"/>
        <v>0</v>
      </c>
      <c r="U53" s="2">
        <f t="shared" si="45"/>
        <v>0</v>
      </c>
      <c r="V53" s="2">
        <f t="shared" si="45"/>
        <v>0</v>
      </c>
      <c r="W53" s="2">
        <f t="shared" si="45"/>
        <v>0</v>
      </c>
      <c r="X53" s="2">
        <f t="shared" si="45"/>
        <v>0</v>
      </c>
      <c r="Y53" s="2">
        <f t="shared" si="45"/>
        <v>0</v>
      </c>
      <c r="Z53" s="2">
        <f t="shared" si="45"/>
        <v>0</v>
      </c>
      <c r="AA53" s="2">
        <f t="shared" si="45"/>
        <v>0</v>
      </c>
      <c r="AB53" s="2">
        <f t="shared" si="45"/>
        <v>0</v>
      </c>
      <c r="AC53" s="2">
        <f t="shared" si="45"/>
        <v>0</v>
      </c>
      <c r="AD53" s="2">
        <f t="shared" si="45"/>
        <v>0</v>
      </c>
      <c r="AE53" s="2">
        <f t="shared" si="45"/>
        <v>0</v>
      </c>
      <c r="AF53" s="2">
        <f t="shared" si="45"/>
        <v>0</v>
      </c>
      <c r="AG53" s="2">
        <f t="shared" si="45"/>
        <v>0</v>
      </c>
      <c r="AH53" s="2">
        <f t="shared" si="45"/>
        <v>0</v>
      </c>
      <c r="AI53" s="2">
        <f t="shared" si="45"/>
        <v>0</v>
      </c>
      <c r="AJ53" s="2">
        <f t="shared" si="45"/>
        <v>0</v>
      </c>
      <c r="AK53" s="2">
        <f t="shared" si="45"/>
        <v>0</v>
      </c>
      <c r="AL53" s="2">
        <f t="shared" si="45"/>
        <v>0</v>
      </c>
      <c r="AM53" s="2">
        <f t="shared" si="45"/>
        <v>0</v>
      </c>
      <c r="AN53" s="2">
        <f t="shared" si="45"/>
        <v>0</v>
      </c>
      <c r="AO53" s="2">
        <f t="shared" si="45"/>
        <v>0</v>
      </c>
      <c r="AP53" s="2">
        <f t="shared" si="45"/>
        <v>0</v>
      </c>
      <c r="AQ53" s="2">
        <f t="shared" si="45"/>
        <v>0</v>
      </c>
      <c r="AR53" s="2">
        <f t="shared" si="45"/>
        <v>0</v>
      </c>
    </row>
    <row r="54" spans="3:83" x14ac:dyDescent="0.15">
      <c r="C54" s="2">
        <f t="shared" ref="C54:AR54" si="46">BowlSplit(C14,$C$44)</f>
        <v>0</v>
      </c>
      <c r="D54" s="2">
        <f t="shared" si="46"/>
        <v>0</v>
      </c>
      <c r="E54" s="2">
        <f t="shared" si="46"/>
        <v>0</v>
      </c>
      <c r="F54" s="2">
        <f t="shared" si="46"/>
        <v>0</v>
      </c>
      <c r="G54" s="2">
        <f t="shared" si="46"/>
        <v>0</v>
      </c>
      <c r="H54" s="2">
        <f t="shared" si="46"/>
        <v>0</v>
      </c>
      <c r="I54" s="2">
        <f t="shared" si="46"/>
        <v>0</v>
      </c>
      <c r="J54" s="2">
        <f t="shared" si="46"/>
        <v>0</v>
      </c>
      <c r="K54" s="2">
        <f t="shared" si="46"/>
        <v>0</v>
      </c>
      <c r="L54" s="2">
        <f t="shared" si="46"/>
        <v>0</v>
      </c>
      <c r="M54" s="2">
        <f t="shared" si="46"/>
        <v>0</v>
      </c>
      <c r="N54" s="2">
        <f t="shared" si="46"/>
        <v>0</v>
      </c>
      <c r="O54" s="2">
        <f t="shared" si="46"/>
        <v>0</v>
      </c>
      <c r="P54" s="2">
        <f t="shared" si="46"/>
        <v>0</v>
      </c>
      <c r="Q54" s="2">
        <f t="shared" si="46"/>
        <v>0</v>
      </c>
      <c r="R54" s="2">
        <f t="shared" si="46"/>
        <v>0</v>
      </c>
      <c r="S54" s="2">
        <f t="shared" si="46"/>
        <v>0</v>
      </c>
      <c r="T54" s="2">
        <f t="shared" si="46"/>
        <v>0</v>
      </c>
      <c r="U54" s="2">
        <f t="shared" si="46"/>
        <v>0</v>
      </c>
      <c r="V54" s="2">
        <f t="shared" si="46"/>
        <v>0</v>
      </c>
      <c r="W54" s="2">
        <f t="shared" si="46"/>
        <v>0</v>
      </c>
      <c r="X54" s="2">
        <f t="shared" si="46"/>
        <v>0</v>
      </c>
      <c r="Y54" s="2">
        <f t="shared" si="46"/>
        <v>0</v>
      </c>
      <c r="Z54" s="2">
        <f t="shared" si="46"/>
        <v>0</v>
      </c>
      <c r="AA54" s="2">
        <f t="shared" si="46"/>
        <v>31</v>
      </c>
      <c r="AB54" s="2">
        <f t="shared" si="46"/>
        <v>0</v>
      </c>
      <c r="AC54" s="2">
        <f t="shared" si="46"/>
        <v>0</v>
      </c>
      <c r="AD54" s="2">
        <f t="shared" si="46"/>
        <v>0</v>
      </c>
      <c r="AE54" s="2">
        <f t="shared" si="46"/>
        <v>0</v>
      </c>
      <c r="AF54" s="2">
        <f t="shared" si="46"/>
        <v>0</v>
      </c>
      <c r="AG54" s="2">
        <f t="shared" si="46"/>
        <v>0</v>
      </c>
      <c r="AH54" s="2">
        <f t="shared" si="46"/>
        <v>0</v>
      </c>
      <c r="AI54" s="2">
        <f t="shared" si="46"/>
        <v>0</v>
      </c>
      <c r="AJ54" s="2">
        <f t="shared" si="46"/>
        <v>0</v>
      </c>
      <c r="AK54" s="2">
        <f t="shared" si="46"/>
        <v>0</v>
      </c>
      <c r="AL54" s="2">
        <f t="shared" si="46"/>
        <v>0</v>
      </c>
      <c r="AM54" s="2">
        <f t="shared" si="46"/>
        <v>0</v>
      </c>
      <c r="AN54" s="2">
        <f t="shared" si="46"/>
        <v>0</v>
      </c>
      <c r="AO54" s="2">
        <f t="shared" si="46"/>
        <v>0</v>
      </c>
      <c r="AP54" s="2">
        <f t="shared" si="46"/>
        <v>0</v>
      </c>
      <c r="AQ54" s="2">
        <f t="shared" si="46"/>
        <v>0</v>
      </c>
      <c r="AR54" s="2">
        <f t="shared" si="46"/>
        <v>0</v>
      </c>
    </row>
    <row r="55" spans="3:83" x14ac:dyDescent="0.15">
      <c r="C55" s="2">
        <f t="shared" ref="C55:AR55" si="47">BowlSplit(C15,$C$44)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>
        <f t="shared" si="47"/>
        <v>0</v>
      </c>
      <c r="H55" s="2">
        <f t="shared" si="47"/>
        <v>0</v>
      </c>
      <c r="I55" s="2">
        <f t="shared" si="47"/>
        <v>0</v>
      </c>
      <c r="J55" s="2">
        <f t="shared" si="47"/>
        <v>0</v>
      </c>
      <c r="K55" s="2">
        <f t="shared" si="47"/>
        <v>0</v>
      </c>
      <c r="L55" s="2">
        <f t="shared" si="47"/>
        <v>0</v>
      </c>
      <c r="M55" s="2">
        <f t="shared" si="47"/>
        <v>15</v>
      </c>
      <c r="N55" s="2">
        <f t="shared" si="47"/>
        <v>20</v>
      </c>
      <c r="O55" s="2">
        <f t="shared" si="47"/>
        <v>0</v>
      </c>
      <c r="P55" s="2">
        <f t="shared" si="47"/>
        <v>0</v>
      </c>
      <c r="Q55" s="2">
        <f t="shared" si="47"/>
        <v>0</v>
      </c>
      <c r="R55" s="2">
        <f t="shared" si="47"/>
        <v>0</v>
      </c>
      <c r="S55" s="2">
        <f t="shared" si="47"/>
        <v>0</v>
      </c>
      <c r="T55" s="2">
        <f t="shared" si="47"/>
        <v>0</v>
      </c>
      <c r="U55" s="2">
        <f t="shared" si="47"/>
        <v>0</v>
      </c>
      <c r="V55" s="2">
        <f t="shared" si="47"/>
        <v>0</v>
      </c>
      <c r="W55" s="2">
        <f t="shared" si="47"/>
        <v>0</v>
      </c>
      <c r="X55" s="2">
        <f t="shared" si="47"/>
        <v>0</v>
      </c>
      <c r="Y55" s="2">
        <f t="shared" si="47"/>
        <v>0</v>
      </c>
      <c r="Z55" s="2">
        <f t="shared" si="47"/>
        <v>0</v>
      </c>
      <c r="AA55" s="2">
        <f t="shared" si="47"/>
        <v>0</v>
      </c>
      <c r="AB55" s="2">
        <f t="shared" si="47"/>
        <v>0</v>
      </c>
      <c r="AC55" s="2">
        <f t="shared" si="47"/>
        <v>22</v>
      </c>
      <c r="AD55" s="2">
        <f t="shared" si="47"/>
        <v>0</v>
      </c>
      <c r="AE55" s="2">
        <f t="shared" si="47"/>
        <v>0</v>
      </c>
      <c r="AF55" s="2">
        <f t="shared" si="47"/>
        <v>0</v>
      </c>
      <c r="AG55" s="2">
        <f t="shared" si="47"/>
        <v>0</v>
      </c>
      <c r="AH55" s="2">
        <f t="shared" si="47"/>
        <v>0</v>
      </c>
      <c r="AI55" s="2">
        <f t="shared" si="47"/>
        <v>0</v>
      </c>
      <c r="AJ55" s="2">
        <f t="shared" si="47"/>
        <v>0</v>
      </c>
      <c r="AK55" s="2">
        <f t="shared" si="47"/>
        <v>0</v>
      </c>
      <c r="AL55" s="2">
        <f t="shared" si="47"/>
        <v>0</v>
      </c>
      <c r="AM55" s="2">
        <f t="shared" si="47"/>
        <v>0</v>
      </c>
      <c r="AN55" s="2">
        <f t="shared" si="47"/>
        <v>0</v>
      </c>
      <c r="AO55" s="2">
        <f t="shared" si="47"/>
        <v>0</v>
      </c>
      <c r="AP55" s="2">
        <f t="shared" si="47"/>
        <v>0</v>
      </c>
      <c r="AQ55" s="2">
        <f t="shared" si="47"/>
        <v>0</v>
      </c>
      <c r="AR55" s="2">
        <f t="shared" si="47"/>
        <v>0</v>
      </c>
    </row>
    <row r="56" spans="3:83" x14ac:dyDescent="0.15">
      <c r="C56" s="2">
        <f t="shared" ref="C56:AR56" si="48">BowlSplit(C16,$C$44)</f>
        <v>0</v>
      </c>
      <c r="D56" s="2">
        <f t="shared" si="48"/>
        <v>0</v>
      </c>
      <c r="E56" s="2">
        <f t="shared" si="48"/>
        <v>0</v>
      </c>
      <c r="F56" s="2">
        <f t="shared" si="48"/>
        <v>0</v>
      </c>
      <c r="G56" s="2">
        <f t="shared" si="48"/>
        <v>0</v>
      </c>
      <c r="H56" s="2">
        <f t="shared" si="48"/>
        <v>21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18</v>
      </c>
      <c r="N56" s="2">
        <f t="shared" si="48"/>
        <v>0</v>
      </c>
      <c r="O56" s="2">
        <f t="shared" si="48"/>
        <v>0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ref="C57:AR57" si="49">BowlSplit(C17,$C$44)</f>
        <v>0</v>
      </c>
      <c r="D57" s="2">
        <f t="shared" si="49"/>
        <v>22</v>
      </c>
      <c r="E57" s="2">
        <f t="shared" si="49"/>
        <v>0</v>
      </c>
      <c r="F57" s="2">
        <f t="shared" si="49"/>
        <v>0</v>
      </c>
      <c r="G57" s="2">
        <f t="shared" si="49"/>
        <v>33</v>
      </c>
      <c r="H57" s="2">
        <f t="shared" si="49"/>
        <v>27</v>
      </c>
      <c r="I57" s="2">
        <f t="shared" si="49"/>
        <v>21</v>
      </c>
      <c r="J57" s="2">
        <f t="shared" si="49"/>
        <v>14</v>
      </c>
      <c r="K57" s="2">
        <f t="shared" si="49"/>
        <v>0</v>
      </c>
      <c r="L57" s="2">
        <f t="shared" si="49"/>
        <v>16</v>
      </c>
      <c r="M57" s="2">
        <f t="shared" si="49"/>
        <v>52</v>
      </c>
      <c r="N57" s="2">
        <f t="shared" si="49"/>
        <v>0</v>
      </c>
      <c r="O57" s="2">
        <f t="shared" si="49"/>
        <v>0</v>
      </c>
      <c r="P57" s="2">
        <f t="shared" si="49"/>
        <v>5</v>
      </c>
      <c r="Q57" s="2">
        <f t="shared" si="49"/>
        <v>44</v>
      </c>
      <c r="R57" s="2">
        <f t="shared" si="49"/>
        <v>0</v>
      </c>
      <c r="S57" s="2">
        <f t="shared" si="49"/>
        <v>0</v>
      </c>
      <c r="T57" s="2">
        <f t="shared" si="49"/>
        <v>39</v>
      </c>
      <c r="U57" s="2">
        <f t="shared" si="49"/>
        <v>36</v>
      </c>
      <c r="V57" s="2">
        <f t="shared" si="49"/>
        <v>30</v>
      </c>
      <c r="W57" s="2">
        <f t="shared" si="49"/>
        <v>0</v>
      </c>
      <c r="X57" s="2">
        <f t="shared" si="49"/>
        <v>23</v>
      </c>
      <c r="Y57" s="2">
        <f t="shared" si="49"/>
        <v>0</v>
      </c>
      <c r="Z57" s="2">
        <f t="shared" si="49"/>
        <v>6</v>
      </c>
      <c r="AA57" s="2">
        <f t="shared" si="49"/>
        <v>31</v>
      </c>
      <c r="AB57" s="2">
        <f t="shared" si="49"/>
        <v>21</v>
      </c>
      <c r="AC57" s="2">
        <f t="shared" si="49"/>
        <v>0</v>
      </c>
      <c r="AD57" s="2">
        <f t="shared" si="49"/>
        <v>29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AR58" si="50">BowlSplit(C18,$C$44)</f>
        <v>0</v>
      </c>
      <c r="D58" s="2">
        <f t="shared" si="50"/>
        <v>0</v>
      </c>
      <c r="E58" s="2">
        <f t="shared" si="50"/>
        <v>47</v>
      </c>
      <c r="F58" s="2">
        <f t="shared" si="50"/>
        <v>0</v>
      </c>
      <c r="G58" s="2">
        <f t="shared" si="50"/>
        <v>42</v>
      </c>
      <c r="H58" s="2">
        <f t="shared" si="50"/>
        <v>0</v>
      </c>
      <c r="I58" s="2">
        <f t="shared" si="50"/>
        <v>0</v>
      </c>
      <c r="J58" s="2">
        <f t="shared" si="50"/>
        <v>0</v>
      </c>
      <c r="K58" s="2">
        <f t="shared" si="50"/>
        <v>0</v>
      </c>
      <c r="L58" s="2">
        <f t="shared" si="50"/>
        <v>0</v>
      </c>
      <c r="M58" s="2">
        <f t="shared" si="50"/>
        <v>25</v>
      </c>
      <c r="N58" s="2">
        <f t="shared" si="50"/>
        <v>0</v>
      </c>
      <c r="O58" s="2">
        <f t="shared" si="50"/>
        <v>0</v>
      </c>
      <c r="P58" s="2">
        <f t="shared" si="50"/>
        <v>0</v>
      </c>
      <c r="Q58" s="2">
        <f t="shared" si="50"/>
        <v>34</v>
      </c>
      <c r="R58" s="2">
        <f t="shared" si="50"/>
        <v>0</v>
      </c>
      <c r="S58" s="2">
        <f t="shared" si="50"/>
        <v>0</v>
      </c>
      <c r="T58" s="2">
        <f t="shared" si="50"/>
        <v>0</v>
      </c>
      <c r="U58" s="2">
        <f t="shared" si="50"/>
        <v>0</v>
      </c>
      <c r="V58" s="2">
        <f t="shared" si="50"/>
        <v>0</v>
      </c>
      <c r="W58" s="2">
        <f t="shared" si="50"/>
        <v>0</v>
      </c>
      <c r="X58" s="2">
        <f t="shared" si="50"/>
        <v>5</v>
      </c>
      <c r="Y58" s="2">
        <f t="shared" si="50"/>
        <v>0</v>
      </c>
      <c r="Z58" s="2">
        <f t="shared" si="50"/>
        <v>0</v>
      </c>
      <c r="AA58" s="2">
        <f t="shared" si="50"/>
        <v>23</v>
      </c>
      <c r="AB58" s="2">
        <f t="shared" si="50"/>
        <v>14</v>
      </c>
      <c r="AC58" s="2">
        <f t="shared" si="50"/>
        <v>42</v>
      </c>
      <c r="AD58" s="2">
        <f t="shared" si="50"/>
        <v>22</v>
      </c>
      <c r="AE58" s="2">
        <f t="shared" si="50"/>
        <v>0</v>
      </c>
      <c r="AF58" s="2">
        <f t="shared" si="50"/>
        <v>0</v>
      </c>
      <c r="AG58" s="2">
        <f t="shared" si="50"/>
        <v>0</v>
      </c>
      <c r="AH58" s="2">
        <f t="shared" si="50"/>
        <v>0</v>
      </c>
      <c r="AI58" s="2">
        <f t="shared" si="50"/>
        <v>0</v>
      </c>
      <c r="AJ58" s="2">
        <f t="shared" si="50"/>
        <v>0</v>
      </c>
      <c r="AK58" s="2">
        <f t="shared" si="50"/>
        <v>0</v>
      </c>
      <c r="AL58" s="2">
        <f t="shared" si="50"/>
        <v>0</v>
      </c>
      <c r="AM58" s="2">
        <f t="shared" si="50"/>
        <v>0</v>
      </c>
      <c r="AN58" s="2">
        <f t="shared" si="50"/>
        <v>0</v>
      </c>
      <c r="AO58" s="2">
        <f t="shared" si="50"/>
        <v>0</v>
      </c>
      <c r="AP58" s="2">
        <f t="shared" si="50"/>
        <v>0</v>
      </c>
      <c r="AQ58" s="2">
        <f t="shared" si="50"/>
        <v>0</v>
      </c>
      <c r="AR58" s="2">
        <f t="shared" si="50"/>
        <v>0</v>
      </c>
    </row>
    <row r="59" spans="3:83" x14ac:dyDescent="0.15">
      <c r="C59" s="2">
        <f t="shared" ref="C59:AR59" si="51">BowlSplit(C19,$C$44)</f>
        <v>0</v>
      </c>
      <c r="D59" s="2">
        <f t="shared" si="51"/>
        <v>17</v>
      </c>
      <c r="E59" s="2">
        <f t="shared" si="51"/>
        <v>19</v>
      </c>
      <c r="F59" s="2">
        <f t="shared" si="51"/>
        <v>27</v>
      </c>
      <c r="G59" s="2">
        <f t="shared" si="51"/>
        <v>0</v>
      </c>
      <c r="H59" s="2">
        <f t="shared" si="51"/>
        <v>0</v>
      </c>
      <c r="I59" s="2">
        <f t="shared" si="51"/>
        <v>7</v>
      </c>
      <c r="J59" s="2">
        <f t="shared" si="51"/>
        <v>26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23</v>
      </c>
      <c r="U59" s="2">
        <f t="shared" si="51"/>
        <v>0</v>
      </c>
      <c r="V59" s="2">
        <f t="shared" si="51"/>
        <v>46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16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17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ref="C60:AR60" si="52">BowlSplit(C20,$C$44)</f>
        <v>0</v>
      </c>
      <c r="D60" s="2">
        <f t="shared" si="52"/>
        <v>0</v>
      </c>
      <c r="E60" s="2">
        <f t="shared" si="52"/>
        <v>21</v>
      </c>
      <c r="F60" s="2">
        <f t="shared" si="52"/>
        <v>0</v>
      </c>
      <c r="G60" s="2">
        <f t="shared" si="52"/>
        <v>0</v>
      </c>
      <c r="H60" s="2">
        <f t="shared" si="52"/>
        <v>0</v>
      </c>
      <c r="I60" s="2">
        <f t="shared" si="52"/>
        <v>0</v>
      </c>
      <c r="J60" s="2">
        <f t="shared" si="52"/>
        <v>0</v>
      </c>
      <c r="K60" s="2">
        <f t="shared" si="52"/>
        <v>0</v>
      </c>
      <c r="L60" s="2">
        <f t="shared" si="52"/>
        <v>0</v>
      </c>
      <c r="M60" s="2">
        <f t="shared" si="52"/>
        <v>15</v>
      </c>
      <c r="N60" s="2">
        <f t="shared" si="52"/>
        <v>0</v>
      </c>
      <c r="O60" s="2">
        <f t="shared" si="52"/>
        <v>0</v>
      </c>
      <c r="P60" s="2">
        <f t="shared" si="52"/>
        <v>0</v>
      </c>
      <c r="Q60" s="2">
        <f t="shared" si="52"/>
        <v>0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 t="shared" ref="C61:AR61" si="53">BowlSplit(C21,$C$44)</f>
        <v>0</v>
      </c>
      <c r="D61" s="2">
        <f t="shared" si="53"/>
        <v>28</v>
      </c>
      <c r="E61" s="2">
        <f t="shared" si="53"/>
        <v>0</v>
      </c>
      <c r="F61" s="2">
        <f t="shared" si="53"/>
        <v>0</v>
      </c>
      <c r="G61" s="2">
        <f t="shared" si="53"/>
        <v>0</v>
      </c>
      <c r="H61" s="2">
        <f t="shared" si="53"/>
        <v>23</v>
      </c>
      <c r="I61" s="2">
        <f t="shared" si="53"/>
        <v>5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37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20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3</v>
      </c>
      <c r="AD61" s="2">
        <f t="shared" si="53"/>
        <v>46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 t="shared" ref="C62:AR62" si="54">BowlSplit(C22,$C$44)</f>
        <v>24</v>
      </c>
      <c r="D62" s="2">
        <f t="shared" si="54"/>
        <v>0</v>
      </c>
      <c r="E62" s="2">
        <f t="shared" si="54"/>
        <v>0</v>
      </c>
      <c r="F62" s="2">
        <f t="shared" si="54"/>
        <v>12</v>
      </c>
      <c r="G62" s="2">
        <f t="shared" si="54"/>
        <v>0</v>
      </c>
      <c r="H62" s="2">
        <f t="shared" si="54"/>
        <v>0</v>
      </c>
      <c r="I62" s="2">
        <f t="shared" si="54"/>
        <v>0</v>
      </c>
      <c r="J62" s="2">
        <f t="shared" si="54"/>
        <v>0</v>
      </c>
      <c r="K62" s="2">
        <f t="shared" si="54"/>
        <v>0</v>
      </c>
      <c r="L62" s="2">
        <f t="shared" si="54"/>
        <v>25</v>
      </c>
      <c r="M62" s="2">
        <f t="shared" si="54"/>
        <v>0</v>
      </c>
      <c r="N62" s="2">
        <f t="shared" si="54"/>
        <v>16</v>
      </c>
      <c r="O62" s="2">
        <f t="shared" si="54"/>
        <v>0</v>
      </c>
      <c r="P62" s="2">
        <f t="shared" si="54"/>
        <v>0</v>
      </c>
      <c r="Q62" s="2">
        <f t="shared" si="54"/>
        <v>0</v>
      </c>
      <c r="R62" s="2">
        <f t="shared" si="54"/>
        <v>0</v>
      </c>
      <c r="S62" s="2">
        <f t="shared" si="54"/>
        <v>0</v>
      </c>
      <c r="T62" s="2">
        <f t="shared" si="54"/>
        <v>0</v>
      </c>
      <c r="U62" s="2">
        <f t="shared" si="54"/>
        <v>0</v>
      </c>
      <c r="V62" s="2">
        <f t="shared" si="54"/>
        <v>0</v>
      </c>
      <c r="W62" s="2">
        <f t="shared" si="54"/>
        <v>0</v>
      </c>
      <c r="X62" s="2">
        <f t="shared" si="54"/>
        <v>0</v>
      </c>
      <c r="Y62" s="2">
        <f t="shared" si="54"/>
        <v>0</v>
      </c>
      <c r="Z62" s="2">
        <f t="shared" si="54"/>
        <v>0</v>
      </c>
      <c r="AA62" s="2">
        <f t="shared" si="54"/>
        <v>0</v>
      </c>
      <c r="AB62" s="2">
        <f t="shared" si="54"/>
        <v>0</v>
      </c>
      <c r="AC62" s="2">
        <f t="shared" si="54"/>
        <v>0</v>
      </c>
      <c r="AD62" s="2">
        <f t="shared" si="54"/>
        <v>0</v>
      </c>
      <c r="AE62" s="2">
        <f t="shared" si="54"/>
        <v>0</v>
      </c>
      <c r="AF62" s="2">
        <f t="shared" si="54"/>
        <v>0</v>
      </c>
      <c r="AG62" s="2">
        <f t="shared" si="54"/>
        <v>0</v>
      </c>
      <c r="AH62" s="2">
        <f t="shared" si="54"/>
        <v>0</v>
      </c>
      <c r="AI62" s="2">
        <f t="shared" si="54"/>
        <v>0</v>
      </c>
      <c r="AJ62" s="2">
        <f t="shared" si="54"/>
        <v>0</v>
      </c>
      <c r="AK62" s="2">
        <f t="shared" si="54"/>
        <v>0</v>
      </c>
      <c r="AL62" s="2">
        <f t="shared" si="54"/>
        <v>0</v>
      </c>
      <c r="AM62" s="2">
        <f t="shared" si="54"/>
        <v>0</v>
      </c>
      <c r="AN62" s="2">
        <f t="shared" si="54"/>
        <v>0</v>
      </c>
      <c r="AO62" s="2">
        <f t="shared" si="54"/>
        <v>0</v>
      </c>
      <c r="AP62" s="2">
        <f t="shared" si="54"/>
        <v>0</v>
      </c>
      <c r="AQ62" s="2">
        <f t="shared" si="54"/>
        <v>0</v>
      </c>
      <c r="AR62" s="2">
        <f t="shared" si="54"/>
        <v>0</v>
      </c>
    </row>
    <row r="63" spans="3:83" x14ac:dyDescent="0.15">
      <c r="C63" s="2">
        <f t="shared" ref="C63:AR63" si="55">BowlSplit(C23,$C$44)</f>
        <v>2</v>
      </c>
      <c r="D63" s="2">
        <f t="shared" si="55"/>
        <v>0</v>
      </c>
      <c r="E63" s="2">
        <f t="shared" si="55"/>
        <v>0</v>
      </c>
      <c r="F63" s="2">
        <f t="shared" si="55"/>
        <v>0</v>
      </c>
      <c r="G63" s="2">
        <f t="shared" si="55"/>
        <v>0</v>
      </c>
      <c r="H63" s="2">
        <f t="shared" si="55"/>
        <v>0</v>
      </c>
      <c r="I63" s="2">
        <f t="shared" si="55"/>
        <v>0</v>
      </c>
      <c r="J63" s="2">
        <f t="shared" si="55"/>
        <v>0</v>
      </c>
      <c r="K63" s="2">
        <f t="shared" si="55"/>
        <v>0</v>
      </c>
      <c r="L63" s="2">
        <f t="shared" si="55"/>
        <v>0</v>
      </c>
      <c r="M63" s="2">
        <f t="shared" si="55"/>
        <v>0</v>
      </c>
      <c r="N63" s="2">
        <f t="shared" si="55"/>
        <v>0</v>
      </c>
      <c r="O63" s="2">
        <f t="shared" si="55"/>
        <v>0</v>
      </c>
      <c r="P63" s="2">
        <f t="shared" si="55"/>
        <v>17</v>
      </c>
      <c r="Q63" s="2">
        <f t="shared" si="55"/>
        <v>0</v>
      </c>
      <c r="R63" s="2">
        <f t="shared" si="55"/>
        <v>0</v>
      </c>
      <c r="S63" s="2">
        <f t="shared" si="55"/>
        <v>0</v>
      </c>
      <c r="T63" s="2">
        <f t="shared" si="55"/>
        <v>0</v>
      </c>
      <c r="U63" s="2">
        <f t="shared" si="55"/>
        <v>0</v>
      </c>
      <c r="V63" s="2">
        <f t="shared" si="55"/>
        <v>0</v>
      </c>
      <c r="W63" s="2">
        <f t="shared" si="55"/>
        <v>0</v>
      </c>
      <c r="X63" s="2">
        <f t="shared" si="55"/>
        <v>0</v>
      </c>
      <c r="Y63" s="2">
        <f t="shared" si="55"/>
        <v>0</v>
      </c>
      <c r="Z63" s="2">
        <f t="shared" si="55"/>
        <v>0</v>
      </c>
      <c r="AA63" s="2">
        <f t="shared" si="55"/>
        <v>0</v>
      </c>
      <c r="AB63" s="2">
        <f t="shared" si="55"/>
        <v>0</v>
      </c>
      <c r="AC63" s="2">
        <f t="shared" si="55"/>
        <v>0</v>
      </c>
      <c r="AD63" s="2">
        <f t="shared" si="55"/>
        <v>0</v>
      </c>
      <c r="AE63" s="2">
        <f t="shared" si="55"/>
        <v>0</v>
      </c>
      <c r="AF63" s="2">
        <f t="shared" si="55"/>
        <v>0</v>
      </c>
      <c r="AG63" s="2">
        <f t="shared" si="55"/>
        <v>0</v>
      </c>
      <c r="AH63" s="2">
        <f t="shared" si="55"/>
        <v>0</v>
      </c>
      <c r="AI63" s="2">
        <f t="shared" si="55"/>
        <v>0</v>
      </c>
      <c r="AJ63" s="2">
        <f t="shared" si="55"/>
        <v>0</v>
      </c>
      <c r="AK63" s="2">
        <f t="shared" si="55"/>
        <v>0</v>
      </c>
      <c r="AL63" s="2">
        <f t="shared" si="55"/>
        <v>0</v>
      </c>
      <c r="AM63" s="2">
        <f t="shared" si="55"/>
        <v>0</v>
      </c>
      <c r="AN63" s="2">
        <f t="shared" si="55"/>
        <v>0</v>
      </c>
      <c r="AO63" s="2">
        <f t="shared" si="55"/>
        <v>0</v>
      </c>
      <c r="AP63" s="2">
        <f t="shared" si="55"/>
        <v>0</v>
      </c>
      <c r="AQ63" s="2">
        <f t="shared" si="55"/>
        <v>0</v>
      </c>
      <c r="AR63" s="2">
        <f t="shared" si="55"/>
        <v>0</v>
      </c>
    </row>
    <row r="64" spans="3:83" x14ac:dyDescent="0.15">
      <c r="C64" s="2">
        <f t="shared" ref="C64:AR64" si="56">BowlSplit(C24,$C$44)</f>
        <v>0</v>
      </c>
      <c r="D64" s="2">
        <f t="shared" si="56"/>
        <v>0</v>
      </c>
      <c r="E64" s="2">
        <f t="shared" si="56"/>
        <v>0</v>
      </c>
      <c r="F64" s="2">
        <f t="shared" si="56"/>
        <v>0</v>
      </c>
      <c r="G64" s="2">
        <f t="shared" si="56"/>
        <v>0</v>
      </c>
      <c r="H64" s="2">
        <f t="shared" si="56"/>
        <v>0</v>
      </c>
      <c r="I64" s="2">
        <f t="shared" si="56"/>
        <v>0</v>
      </c>
      <c r="J64" s="2">
        <f t="shared" si="56"/>
        <v>0</v>
      </c>
      <c r="K64" s="2">
        <f t="shared" si="56"/>
        <v>0</v>
      </c>
      <c r="L64" s="2">
        <f t="shared" si="56"/>
        <v>0</v>
      </c>
      <c r="M64" s="2">
        <f t="shared" si="56"/>
        <v>0</v>
      </c>
      <c r="N64" s="2">
        <f t="shared" si="56"/>
        <v>0</v>
      </c>
      <c r="O64" s="2">
        <f t="shared" si="56"/>
        <v>0</v>
      </c>
      <c r="P64" s="2">
        <f t="shared" si="56"/>
        <v>0</v>
      </c>
      <c r="Q64" s="2">
        <f t="shared" si="56"/>
        <v>26</v>
      </c>
      <c r="R64" s="2">
        <f t="shared" si="56"/>
        <v>0</v>
      </c>
      <c r="S64" s="2">
        <f t="shared" si="56"/>
        <v>0</v>
      </c>
      <c r="T64" s="2">
        <f t="shared" si="56"/>
        <v>0</v>
      </c>
      <c r="U64" s="2">
        <f t="shared" si="56"/>
        <v>0</v>
      </c>
      <c r="V64" s="2">
        <f t="shared" si="56"/>
        <v>0</v>
      </c>
      <c r="W64" s="2">
        <f t="shared" si="56"/>
        <v>0</v>
      </c>
      <c r="X64" s="2">
        <f t="shared" si="56"/>
        <v>0</v>
      </c>
      <c r="Y64" s="2">
        <f t="shared" si="56"/>
        <v>0</v>
      </c>
      <c r="Z64" s="2">
        <f t="shared" si="56"/>
        <v>0</v>
      </c>
      <c r="AA64" s="2">
        <f t="shared" si="56"/>
        <v>0</v>
      </c>
      <c r="AB64" s="2">
        <f t="shared" si="56"/>
        <v>0</v>
      </c>
      <c r="AC64" s="2">
        <f t="shared" si="56"/>
        <v>0</v>
      </c>
      <c r="AD64" s="2">
        <f t="shared" si="56"/>
        <v>0</v>
      </c>
      <c r="AE64" s="2">
        <f t="shared" si="56"/>
        <v>0</v>
      </c>
      <c r="AF64" s="2">
        <f t="shared" si="56"/>
        <v>0</v>
      </c>
      <c r="AG64" s="2">
        <f t="shared" si="56"/>
        <v>0</v>
      </c>
      <c r="AH64" s="2">
        <f t="shared" si="56"/>
        <v>0</v>
      </c>
      <c r="AI64" s="2">
        <f t="shared" si="56"/>
        <v>0</v>
      </c>
      <c r="AJ64" s="2">
        <f t="shared" si="56"/>
        <v>0</v>
      </c>
      <c r="AK64" s="2">
        <f t="shared" si="56"/>
        <v>0</v>
      </c>
      <c r="AL64" s="2">
        <f t="shared" si="56"/>
        <v>0</v>
      </c>
      <c r="AM64" s="2">
        <f t="shared" si="56"/>
        <v>0</v>
      </c>
      <c r="AN64" s="2">
        <f t="shared" si="56"/>
        <v>0</v>
      </c>
      <c r="AO64" s="2">
        <f t="shared" si="56"/>
        <v>0</v>
      </c>
      <c r="AP64" s="2">
        <f t="shared" si="56"/>
        <v>0</v>
      </c>
      <c r="AQ64" s="2">
        <f t="shared" si="56"/>
        <v>0</v>
      </c>
      <c r="AR64" s="2">
        <f t="shared" si="56"/>
        <v>0</v>
      </c>
    </row>
    <row r="65" spans="3:44" x14ac:dyDescent="0.15">
      <c r="C65" s="2">
        <f t="shared" ref="C65:AR65" si="57">BowlSplit(C25,$C$44)</f>
        <v>0</v>
      </c>
      <c r="D65" s="2">
        <f t="shared" si="57"/>
        <v>0</v>
      </c>
      <c r="E65" s="2">
        <f t="shared" si="57"/>
        <v>0</v>
      </c>
      <c r="F65" s="2">
        <f t="shared" si="57"/>
        <v>0</v>
      </c>
      <c r="G65" s="2">
        <f t="shared" si="57"/>
        <v>0</v>
      </c>
      <c r="H65" s="2">
        <f t="shared" si="57"/>
        <v>0</v>
      </c>
      <c r="I65" s="2">
        <f t="shared" si="57"/>
        <v>0</v>
      </c>
      <c r="J65" s="2">
        <f t="shared" si="57"/>
        <v>25</v>
      </c>
      <c r="K65" s="2">
        <f t="shared" si="57"/>
        <v>0</v>
      </c>
      <c r="L65" s="2">
        <f t="shared" si="57"/>
        <v>0</v>
      </c>
      <c r="M65" s="2">
        <f t="shared" si="57"/>
        <v>0</v>
      </c>
      <c r="N65" s="2">
        <f t="shared" si="57"/>
        <v>0</v>
      </c>
      <c r="O65" s="2">
        <f t="shared" si="57"/>
        <v>0</v>
      </c>
      <c r="P65" s="2">
        <f t="shared" si="57"/>
        <v>0</v>
      </c>
      <c r="Q65" s="2">
        <f t="shared" si="57"/>
        <v>0</v>
      </c>
      <c r="R65" s="2">
        <f t="shared" si="57"/>
        <v>0</v>
      </c>
      <c r="S65" s="2">
        <f t="shared" si="57"/>
        <v>0</v>
      </c>
      <c r="T65" s="2">
        <f t="shared" si="57"/>
        <v>0</v>
      </c>
      <c r="U65" s="2">
        <f t="shared" si="57"/>
        <v>0</v>
      </c>
      <c r="V65" s="2">
        <f t="shared" si="57"/>
        <v>0</v>
      </c>
      <c r="W65" s="2">
        <f t="shared" si="57"/>
        <v>0</v>
      </c>
      <c r="X65" s="2">
        <f t="shared" si="57"/>
        <v>0</v>
      </c>
      <c r="Y65" s="2">
        <f t="shared" si="57"/>
        <v>0</v>
      </c>
      <c r="Z65" s="2">
        <f t="shared" si="57"/>
        <v>25</v>
      </c>
      <c r="AA65" s="2">
        <f t="shared" si="57"/>
        <v>0</v>
      </c>
      <c r="AB65" s="2">
        <f t="shared" si="57"/>
        <v>0</v>
      </c>
      <c r="AC65" s="2">
        <f t="shared" si="57"/>
        <v>0</v>
      </c>
      <c r="AD65" s="2">
        <f t="shared" si="57"/>
        <v>0</v>
      </c>
      <c r="AE65" s="2">
        <f t="shared" si="57"/>
        <v>0</v>
      </c>
      <c r="AF65" s="2">
        <f t="shared" si="57"/>
        <v>0</v>
      </c>
      <c r="AG65" s="2">
        <f t="shared" si="57"/>
        <v>0</v>
      </c>
      <c r="AH65" s="2">
        <f t="shared" si="57"/>
        <v>0</v>
      </c>
      <c r="AI65" s="2">
        <f t="shared" si="57"/>
        <v>0</v>
      </c>
      <c r="AJ65" s="2">
        <f t="shared" si="57"/>
        <v>0</v>
      </c>
      <c r="AK65" s="2">
        <f t="shared" si="57"/>
        <v>0</v>
      </c>
      <c r="AL65" s="2">
        <f t="shared" si="57"/>
        <v>0</v>
      </c>
      <c r="AM65" s="2">
        <f t="shared" si="57"/>
        <v>0</v>
      </c>
      <c r="AN65" s="2">
        <f t="shared" si="57"/>
        <v>0</v>
      </c>
      <c r="AO65" s="2">
        <f t="shared" si="57"/>
        <v>0</v>
      </c>
      <c r="AP65" s="2">
        <f t="shared" si="57"/>
        <v>0</v>
      </c>
      <c r="AQ65" s="2">
        <f t="shared" si="57"/>
        <v>0</v>
      </c>
      <c r="AR65" s="2">
        <f t="shared" si="57"/>
        <v>0</v>
      </c>
    </row>
    <row r="66" spans="3:44" x14ac:dyDescent="0.15">
      <c r="C66" s="2">
        <f t="shared" ref="C66:AR66" si="58">BowlSplit(C26,$C$44)</f>
        <v>0</v>
      </c>
      <c r="D66" s="2">
        <f t="shared" si="58"/>
        <v>0</v>
      </c>
      <c r="E66" s="2">
        <f t="shared" si="58"/>
        <v>0</v>
      </c>
      <c r="F66" s="2">
        <f t="shared" si="58"/>
        <v>0</v>
      </c>
      <c r="G66" s="2">
        <f t="shared" si="58"/>
        <v>0</v>
      </c>
      <c r="H66" s="2">
        <f t="shared" si="58"/>
        <v>0</v>
      </c>
      <c r="I66" s="2">
        <f t="shared" si="58"/>
        <v>0</v>
      </c>
      <c r="J66" s="2">
        <f t="shared" si="58"/>
        <v>0</v>
      </c>
      <c r="K66" s="2">
        <f t="shared" si="58"/>
        <v>0</v>
      </c>
      <c r="L66" s="2">
        <f t="shared" si="58"/>
        <v>0</v>
      </c>
      <c r="M66" s="2">
        <f t="shared" si="58"/>
        <v>0</v>
      </c>
      <c r="N66" s="2">
        <f t="shared" si="58"/>
        <v>0</v>
      </c>
      <c r="O66" s="2">
        <f t="shared" si="58"/>
        <v>0</v>
      </c>
      <c r="P66" s="2">
        <f t="shared" si="58"/>
        <v>0</v>
      </c>
      <c r="Q66" s="2">
        <f t="shared" si="58"/>
        <v>0</v>
      </c>
      <c r="R66" s="2">
        <f t="shared" si="58"/>
        <v>0</v>
      </c>
      <c r="S66" s="2">
        <f t="shared" si="58"/>
        <v>0</v>
      </c>
      <c r="T66" s="2">
        <f t="shared" si="58"/>
        <v>0</v>
      </c>
      <c r="U66" s="2">
        <f t="shared" si="58"/>
        <v>0</v>
      </c>
      <c r="V66" s="2">
        <f t="shared" si="58"/>
        <v>0</v>
      </c>
      <c r="W66" s="2">
        <f t="shared" si="58"/>
        <v>0</v>
      </c>
      <c r="X66" s="2">
        <f t="shared" si="58"/>
        <v>0</v>
      </c>
      <c r="Y66" s="2">
        <f t="shared" si="58"/>
        <v>0</v>
      </c>
      <c r="Z66" s="2">
        <f t="shared" si="58"/>
        <v>3</v>
      </c>
      <c r="AA66" s="2">
        <f t="shared" si="58"/>
        <v>0</v>
      </c>
      <c r="AB66" s="2">
        <f t="shared" si="58"/>
        <v>26</v>
      </c>
      <c r="AC66" s="2">
        <f t="shared" si="58"/>
        <v>0</v>
      </c>
      <c r="AD66" s="2">
        <f t="shared" si="58"/>
        <v>0</v>
      </c>
      <c r="AE66" s="2">
        <f t="shared" si="58"/>
        <v>0</v>
      </c>
      <c r="AF66" s="2">
        <f t="shared" si="58"/>
        <v>0</v>
      </c>
      <c r="AG66" s="2">
        <f t="shared" si="58"/>
        <v>0</v>
      </c>
      <c r="AH66" s="2">
        <f t="shared" si="58"/>
        <v>0</v>
      </c>
      <c r="AI66" s="2">
        <f t="shared" si="58"/>
        <v>0</v>
      </c>
      <c r="AJ66" s="2">
        <f t="shared" si="58"/>
        <v>0</v>
      </c>
      <c r="AK66" s="2">
        <f t="shared" si="58"/>
        <v>0</v>
      </c>
      <c r="AL66" s="2">
        <f t="shared" si="58"/>
        <v>0</v>
      </c>
      <c r="AM66" s="2">
        <f t="shared" si="58"/>
        <v>0</v>
      </c>
      <c r="AN66" s="2">
        <f t="shared" si="58"/>
        <v>0</v>
      </c>
      <c r="AO66" s="2">
        <f t="shared" si="58"/>
        <v>0</v>
      </c>
      <c r="AP66" s="2">
        <f t="shared" si="58"/>
        <v>0</v>
      </c>
      <c r="AQ66" s="2">
        <f t="shared" si="58"/>
        <v>0</v>
      </c>
      <c r="AR66" s="2">
        <f t="shared" si="58"/>
        <v>0</v>
      </c>
    </row>
    <row r="67" spans="3:44" x14ac:dyDescent="0.15">
      <c r="C67" s="2">
        <f t="shared" ref="C67:AR67" si="59">BowlSplit(C27,$C$44)</f>
        <v>0</v>
      </c>
      <c r="D67" s="2">
        <f t="shared" si="59"/>
        <v>6</v>
      </c>
      <c r="E67" s="2">
        <f t="shared" si="59"/>
        <v>0</v>
      </c>
      <c r="F67" s="2">
        <f t="shared" si="59"/>
        <v>0</v>
      </c>
      <c r="G67" s="2">
        <f t="shared" si="59"/>
        <v>0</v>
      </c>
      <c r="H67" s="2">
        <f t="shared" si="59"/>
        <v>0</v>
      </c>
      <c r="I67" s="2">
        <f t="shared" si="59"/>
        <v>0</v>
      </c>
      <c r="J67" s="2">
        <f t="shared" si="59"/>
        <v>0</v>
      </c>
      <c r="K67" s="2">
        <f t="shared" si="59"/>
        <v>0</v>
      </c>
      <c r="L67" s="2">
        <f t="shared" si="59"/>
        <v>0</v>
      </c>
      <c r="M67" s="2">
        <f t="shared" si="59"/>
        <v>0</v>
      </c>
      <c r="N67" s="2">
        <f t="shared" si="59"/>
        <v>0</v>
      </c>
      <c r="O67" s="2">
        <f t="shared" si="59"/>
        <v>0</v>
      </c>
      <c r="P67" s="2">
        <f t="shared" si="59"/>
        <v>0</v>
      </c>
      <c r="Q67" s="2">
        <f t="shared" si="59"/>
        <v>0</v>
      </c>
      <c r="R67" s="2">
        <f t="shared" si="59"/>
        <v>0</v>
      </c>
      <c r="S67" s="2">
        <f t="shared" si="59"/>
        <v>0</v>
      </c>
      <c r="T67" s="2">
        <f t="shared" si="59"/>
        <v>0</v>
      </c>
      <c r="U67" s="2">
        <f t="shared" si="59"/>
        <v>0</v>
      </c>
      <c r="V67" s="2">
        <f t="shared" si="59"/>
        <v>0</v>
      </c>
      <c r="W67" s="2">
        <f t="shared" si="59"/>
        <v>0</v>
      </c>
      <c r="X67" s="2">
        <f t="shared" si="59"/>
        <v>0</v>
      </c>
      <c r="Y67" s="2">
        <f t="shared" si="59"/>
        <v>0</v>
      </c>
      <c r="Z67" s="2">
        <f t="shared" si="59"/>
        <v>0</v>
      </c>
      <c r="AA67" s="2">
        <f t="shared" si="59"/>
        <v>0</v>
      </c>
      <c r="AB67" s="2">
        <f t="shared" si="59"/>
        <v>0</v>
      </c>
      <c r="AC67" s="2">
        <f t="shared" si="59"/>
        <v>0</v>
      </c>
      <c r="AD67" s="2">
        <f t="shared" si="59"/>
        <v>0</v>
      </c>
      <c r="AE67" s="2">
        <f t="shared" si="59"/>
        <v>0</v>
      </c>
      <c r="AF67" s="2">
        <f t="shared" si="59"/>
        <v>0</v>
      </c>
      <c r="AG67" s="2">
        <f t="shared" si="59"/>
        <v>0</v>
      </c>
      <c r="AH67" s="2">
        <f t="shared" si="59"/>
        <v>0</v>
      </c>
      <c r="AI67" s="2">
        <f t="shared" si="59"/>
        <v>0</v>
      </c>
      <c r="AJ67" s="2">
        <f t="shared" si="59"/>
        <v>0</v>
      </c>
      <c r="AK67" s="2">
        <f t="shared" si="59"/>
        <v>0</v>
      </c>
      <c r="AL67" s="2">
        <f t="shared" si="59"/>
        <v>0</v>
      </c>
      <c r="AM67" s="2">
        <f t="shared" si="59"/>
        <v>0</v>
      </c>
      <c r="AN67" s="2">
        <f t="shared" si="59"/>
        <v>0</v>
      </c>
      <c r="AO67" s="2">
        <f t="shared" si="59"/>
        <v>0</v>
      </c>
      <c r="AP67" s="2">
        <f t="shared" si="59"/>
        <v>0</v>
      </c>
      <c r="AQ67" s="2">
        <f t="shared" si="59"/>
        <v>0</v>
      </c>
      <c r="AR67" s="2">
        <f t="shared" si="59"/>
        <v>0</v>
      </c>
    </row>
    <row r="68" spans="3:44" x14ac:dyDescent="0.15">
      <c r="C68" s="2">
        <f t="shared" ref="C68:AR68" si="60">BowlSplit(C28,$C$44)</f>
        <v>0</v>
      </c>
      <c r="D68" s="2">
        <f t="shared" si="60"/>
        <v>0</v>
      </c>
      <c r="E68" s="2">
        <f t="shared" si="60"/>
        <v>0</v>
      </c>
      <c r="F68" s="2">
        <f t="shared" si="60"/>
        <v>0</v>
      </c>
      <c r="G68" s="2">
        <f t="shared" si="60"/>
        <v>0</v>
      </c>
      <c r="H68" s="2">
        <f t="shared" si="60"/>
        <v>0</v>
      </c>
      <c r="I68" s="2">
        <f t="shared" si="60"/>
        <v>0</v>
      </c>
      <c r="J68" s="2">
        <f t="shared" si="60"/>
        <v>0</v>
      </c>
      <c r="K68" s="2">
        <f t="shared" si="60"/>
        <v>0</v>
      </c>
      <c r="L68" s="2">
        <f t="shared" si="60"/>
        <v>0</v>
      </c>
      <c r="M68" s="2">
        <f t="shared" si="60"/>
        <v>0</v>
      </c>
      <c r="N68" s="2">
        <f t="shared" si="60"/>
        <v>0</v>
      </c>
      <c r="O68" s="2">
        <f t="shared" si="60"/>
        <v>0</v>
      </c>
      <c r="P68" s="2">
        <f t="shared" si="60"/>
        <v>0</v>
      </c>
      <c r="Q68" s="2">
        <f t="shared" si="60"/>
        <v>0</v>
      </c>
      <c r="R68" s="2">
        <f t="shared" si="60"/>
        <v>0</v>
      </c>
      <c r="S68" s="2">
        <f t="shared" si="60"/>
        <v>0</v>
      </c>
      <c r="T68" s="2">
        <f t="shared" si="60"/>
        <v>0</v>
      </c>
      <c r="U68" s="2">
        <f t="shared" si="60"/>
        <v>0</v>
      </c>
      <c r="V68" s="2">
        <f t="shared" si="60"/>
        <v>0</v>
      </c>
      <c r="W68" s="2">
        <f t="shared" si="60"/>
        <v>0</v>
      </c>
      <c r="X68" s="2">
        <f t="shared" si="60"/>
        <v>0</v>
      </c>
      <c r="Y68" s="2">
        <f t="shared" si="60"/>
        <v>0</v>
      </c>
      <c r="Z68" s="2">
        <f t="shared" si="60"/>
        <v>0</v>
      </c>
      <c r="AA68" s="2">
        <f t="shared" si="60"/>
        <v>30</v>
      </c>
      <c r="AB68" s="2">
        <f t="shared" si="60"/>
        <v>0</v>
      </c>
      <c r="AC68" s="2">
        <f t="shared" si="60"/>
        <v>0</v>
      </c>
      <c r="AD68" s="2">
        <f t="shared" si="60"/>
        <v>0</v>
      </c>
      <c r="AE68" s="2">
        <f t="shared" si="60"/>
        <v>0</v>
      </c>
      <c r="AF68" s="2">
        <f t="shared" si="60"/>
        <v>0</v>
      </c>
      <c r="AG68" s="2">
        <f t="shared" si="60"/>
        <v>0</v>
      </c>
      <c r="AH68" s="2">
        <f t="shared" si="60"/>
        <v>0</v>
      </c>
      <c r="AI68" s="2">
        <f t="shared" si="60"/>
        <v>0</v>
      </c>
      <c r="AJ68" s="2">
        <f t="shared" si="60"/>
        <v>0</v>
      </c>
      <c r="AK68" s="2">
        <f t="shared" si="60"/>
        <v>0</v>
      </c>
      <c r="AL68" s="2">
        <f t="shared" si="60"/>
        <v>0</v>
      </c>
      <c r="AM68" s="2">
        <f t="shared" si="60"/>
        <v>0</v>
      </c>
      <c r="AN68" s="2">
        <f t="shared" si="60"/>
        <v>0</v>
      </c>
      <c r="AO68" s="2">
        <f t="shared" si="60"/>
        <v>0</v>
      </c>
      <c r="AP68" s="2">
        <f t="shared" si="60"/>
        <v>0</v>
      </c>
      <c r="AQ68" s="2">
        <f t="shared" si="60"/>
        <v>0</v>
      </c>
      <c r="AR68" s="2">
        <f t="shared" si="60"/>
        <v>0</v>
      </c>
    </row>
    <row r="69" spans="3:44" x14ac:dyDescent="0.15">
      <c r="C69" s="2">
        <f t="shared" ref="C69:AR69" si="61">BowlSplit(C29,$C$44)</f>
        <v>0</v>
      </c>
      <c r="D69" s="2">
        <f t="shared" si="61"/>
        <v>0</v>
      </c>
      <c r="E69" s="2">
        <f t="shared" si="61"/>
        <v>0</v>
      </c>
      <c r="F69" s="2">
        <f t="shared" si="61"/>
        <v>0</v>
      </c>
      <c r="G69" s="2">
        <f t="shared" si="61"/>
        <v>0</v>
      </c>
      <c r="H69" s="2">
        <f t="shared" si="61"/>
        <v>17</v>
      </c>
      <c r="I69" s="2">
        <f t="shared" si="61"/>
        <v>13</v>
      </c>
      <c r="J69" s="2">
        <f t="shared" si="61"/>
        <v>0</v>
      </c>
      <c r="K69" s="2">
        <f t="shared" si="61"/>
        <v>0</v>
      </c>
      <c r="L69" s="2">
        <f t="shared" si="61"/>
        <v>0</v>
      </c>
      <c r="M69" s="2">
        <f t="shared" si="61"/>
        <v>0</v>
      </c>
      <c r="N69" s="2">
        <f t="shared" si="61"/>
        <v>0</v>
      </c>
      <c r="O69" s="2">
        <f t="shared" si="61"/>
        <v>0</v>
      </c>
      <c r="P69" s="2">
        <f t="shared" si="61"/>
        <v>0</v>
      </c>
      <c r="Q69" s="2">
        <f t="shared" si="61"/>
        <v>0</v>
      </c>
      <c r="R69" s="2">
        <f t="shared" si="61"/>
        <v>0</v>
      </c>
      <c r="S69" s="2">
        <f t="shared" si="61"/>
        <v>0</v>
      </c>
      <c r="T69" s="2">
        <f t="shared" si="61"/>
        <v>0</v>
      </c>
      <c r="U69" s="2">
        <f t="shared" si="61"/>
        <v>0</v>
      </c>
      <c r="V69" s="2">
        <f t="shared" si="61"/>
        <v>0</v>
      </c>
      <c r="W69" s="2">
        <f t="shared" si="61"/>
        <v>0</v>
      </c>
      <c r="X69" s="2">
        <f t="shared" si="61"/>
        <v>0</v>
      </c>
      <c r="Y69" s="2">
        <f t="shared" si="61"/>
        <v>0</v>
      </c>
      <c r="Z69" s="2">
        <f t="shared" si="61"/>
        <v>0</v>
      </c>
      <c r="AA69" s="2">
        <f t="shared" si="61"/>
        <v>0</v>
      </c>
      <c r="AB69" s="2">
        <f t="shared" si="61"/>
        <v>0</v>
      </c>
      <c r="AC69" s="2">
        <f t="shared" si="61"/>
        <v>0</v>
      </c>
      <c r="AD69" s="2">
        <f t="shared" si="61"/>
        <v>0</v>
      </c>
      <c r="AE69" s="2">
        <f t="shared" si="61"/>
        <v>0</v>
      </c>
      <c r="AF69" s="2">
        <f t="shared" si="61"/>
        <v>0</v>
      </c>
      <c r="AG69" s="2">
        <f t="shared" si="61"/>
        <v>0</v>
      </c>
      <c r="AH69" s="2">
        <f t="shared" si="61"/>
        <v>0</v>
      </c>
      <c r="AI69" s="2">
        <f t="shared" si="61"/>
        <v>0</v>
      </c>
      <c r="AJ69" s="2">
        <f t="shared" si="61"/>
        <v>0</v>
      </c>
      <c r="AK69" s="2">
        <f t="shared" si="61"/>
        <v>0</v>
      </c>
      <c r="AL69" s="2">
        <f t="shared" si="61"/>
        <v>0</v>
      </c>
      <c r="AM69" s="2">
        <f t="shared" si="61"/>
        <v>0</v>
      </c>
      <c r="AN69" s="2">
        <f t="shared" si="61"/>
        <v>0</v>
      </c>
      <c r="AO69" s="2">
        <f t="shared" si="61"/>
        <v>0</v>
      </c>
      <c r="AP69" s="2">
        <f t="shared" si="61"/>
        <v>0</v>
      </c>
      <c r="AQ69" s="2">
        <f t="shared" si="61"/>
        <v>0</v>
      </c>
      <c r="AR69" s="2">
        <f t="shared" si="61"/>
        <v>0</v>
      </c>
    </row>
    <row r="70" spans="3:44" x14ac:dyDescent="0.15">
      <c r="C70" s="2">
        <f t="shared" ref="C70:AR70" si="62">BowlSplit(C30,$C$44)</f>
        <v>0</v>
      </c>
      <c r="D70" s="2">
        <f t="shared" si="62"/>
        <v>0</v>
      </c>
      <c r="E70" s="2">
        <f t="shared" si="62"/>
        <v>0</v>
      </c>
      <c r="F70" s="2">
        <f t="shared" si="62"/>
        <v>0</v>
      </c>
      <c r="G70" s="2">
        <f t="shared" si="62"/>
        <v>0</v>
      </c>
      <c r="H70" s="2">
        <f t="shared" si="62"/>
        <v>0</v>
      </c>
      <c r="I70" s="2">
        <f t="shared" si="62"/>
        <v>0</v>
      </c>
      <c r="J70" s="2">
        <f t="shared" si="62"/>
        <v>0</v>
      </c>
      <c r="K70" s="2">
        <f t="shared" si="62"/>
        <v>0</v>
      </c>
      <c r="L70" s="2">
        <f t="shared" si="62"/>
        <v>0</v>
      </c>
      <c r="M70" s="2">
        <f t="shared" si="62"/>
        <v>0</v>
      </c>
      <c r="N70" s="2">
        <f t="shared" si="62"/>
        <v>0</v>
      </c>
      <c r="O70" s="2">
        <f t="shared" si="62"/>
        <v>20</v>
      </c>
      <c r="P70" s="2">
        <f t="shared" si="62"/>
        <v>0</v>
      </c>
      <c r="Q70" s="2">
        <f t="shared" si="62"/>
        <v>32</v>
      </c>
      <c r="R70" s="2">
        <f t="shared" si="62"/>
        <v>22</v>
      </c>
      <c r="S70" s="2">
        <f t="shared" si="62"/>
        <v>0</v>
      </c>
      <c r="T70" s="2">
        <f t="shared" si="62"/>
        <v>0</v>
      </c>
      <c r="U70" s="2">
        <f t="shared" si="62"/>
        <v>0</v>
      </c>
      <c r="V70" s="2">
        <f t="shared" si="62"/>
        <v>0</v>
      </c>
      <c r="W70" s="2">
        <f t="shared" si="62"/>
        <v>0</v>
      </c>
      <c r="X70" s="2">
        <f t="shared" si="62"/>
        <v>0</v>
      </c>
      <c r="Y70" s="2">
        <f t="shared" si="62"/>
        <v>0</v>
      </c>
      <c r="Z70" s="2">
        <f t="shared" si="62"/>
        <v>0</v>
      </c>
      <c r="AA70" s="2">
        <f t="shared" si="62"/>
        <v>0</v>
      </c>
      <c r="AB70" s="2">
        <f t="shared" si="62"/>
        <v>0</v>
      </c>
      <c r="AC70" s="2">
        <f t="shared" si="62"/>
        <v>0</v>
      </c>
      <c r="AD70" s="2">
        <f t="shared" si="62"/>
        <v>0</v>
      </c>
      <c r="AE70" s="2">
        <f t="shared" si="62"/>
        <v>0</v>
      </c>
      <c r="AF70" s="2">
        <f t="shared" si="62"/>
        <v>0</v>
      </c>
      <c r="AG70" s="2">
        <f t="shared" si="62"/>
        <v>0</v>
      </c>
      <c r="AH70" s="2">
        <f t="shared" si="62"/>
        <v>0</v>
      </c>
      <c r="AI70" s="2">
        <f t="shared" si="62"/>
        <v>0</v>
      </c>
      <c r="AJ70" s="2">
        <f t="shared" si="62"/>
        <v>0</v>
      </c>
      <c r="AK70" s="2">
        <f t="shared" si="62"/>
        <v>0</v>
      </c>
      <c r="AL70" s="2">
        <f t="shared" si="62"/>
        <v>0</v>
      </c>
      <c r="AM70" s="2">
        <f t="shared" si="62"/>
        <v>0</v>
      </c>
      <c r="AN70" s="2">
        <f t="shared" si="62"/>
        <v>0</v>
      </c>
      <c r="AO70" s="2">
        <f t="shared" si="62"/>
        <v>0</v>
      </c>
      <c r="AP70" s="2">
        <f t="shared" si="62"/>
        <v>0</v>
      </c>
      <c r="AQ70" s="2">
        <f t="shared" si="62"/>
        <v>0</v>
      </c>
      <c r="AR70" s="2">
        <f t="shared" si="62"/>
        <v>0</v>
      </c>
    </row>
    <row r="71" spans="3:44" x14ac:dyDescent="0.15">
      <c r="C71" s="2">
        <f t="shared" ref="C71:AR71" si="63">BowlSplit(C31,$C$44)</f>
        <v>0</v>
      </c>
      <c r="D71" s="2">
        <f t="shared" si="63"/>
        <v>0</v>
      </c>
      <c r="E71" s="2">
        <f t="shared" si="63"/>
        <v>0</v>
      </c>
      <c r="F71" s="2">
        <f t="shared" si="63"/>
        <v>0</v>
      </c>
      <c r="G71" s="2">
        <f t="shared" si="63"/>
        <v>0</v>
      </c>
      <c r="H71" s="2">
        <f t="shared" si="63"/>
        <v>26</v>
      </c>
      <c r="I71" s="2">
        <f t="shared" si="63"/>
        <v>25</v>
      </c>
      <c r="J71" s="2">
        <f t="shared" si="63"/>
        <v>0</v>
      </c>
      <c r="K71" s="2">
        <f t="shared" si="63"/>
        <v>0</v>
      </c>
      <c r="L71" s="2">
        <f t="shared" si="63"/>
        <v>0</v>
      </c>
      <c r="M71" s="2">
        <f t="shared" si="63"/>
        <v>0</v>
      </c>
      <c r="N71" s="2">
        <f t="shared" si="63"/>
        <v>0</v>
      </c>
      <c r="O71" s="2">
        <f t="shared" si="63"/>
        <v>0</v>
      </c>
      <c r="P71" s="2">
        <f t="shared" si="63"/>
        <v>0</v>
      </c>
      <c r="Q71" s="2">
        <f t="shared" si="63"/>
        <v>0</v>
      </c>
      <c r="R71" s="2">
        <f t="shared" si="63"/>
        <v>0</v>
      </c>
      <c r="S71" s="2">
        <f t="shared" si="63"/>
        <v>0</v>
      </c>
      <c r="T71" s="2">
        <f t="shared" si="63"/>
        <v>0</v>
      </c>
      <c r="U71" s="2">
        <f t="shared" si="63"/>
        <v>0</v>
      </c>
      <c r="V71" s="2">
        <f t="shared" si="63"/>
        <v>0</v>
      </c>
      <c r="W71" s="2">
        <f t="shared" si="63"/>
        <v>0</v>
      </c>
      <c r="X71" s="2">
        <f t="shared" si="63"/>
        <v>0</v>
      </c>
      <c r="Y71" s="2">
        <f t="shared" si="63"/>
        <v>0</v>
      </c>
      <c r="Z71" s="2">
        <f t="shared" si="63"/>
        <v>0</v>
      </c>
      <c r="AA71" s="2">
        <f t="shared" si="63"/>
        <v>0</v>
      </c>
      <c r="AB71" s="2">
        <f t="shared" si="63"/>
        <v>0</v>
      </c>
      <c r="AC71" s="2">
        <f t="shared" si="63"/>
        <v>47</v>
      </c>
      <c r="AD71" s="2">
        <f t="shared" si="63"/>
        <v>0</v>
      </c>
      <c r="AE71" s="2">
        <f t="shared" si="63"/>
        <v>0</v>
      </c>
      <c r="AF71" s="2">
        <f t="shared" si="63"/>
        <v>0</v>
      </c>
      <c r="AG71" s="2">
        <f t="shared" si="63"/>
        <v>0</v>
      </c>
      <c r="AH71" s="2">
        <f t="shared" si="63"/>
        <v>0</v>
      </c>
      <c r="AI71" s="2">
        <f t="shared" si="63"/>
        <v>0</v>
      </c>
      <c r="AJ71" s="2">
        <f t="shared" si="63"/>
        <v>0</v>
      </c>
      <c r="AK71" s="2">
        <f t="shared" si="63"/>
        <v>0</v>
      </c>
      <c r="AL71" s="2">
        <f t="shared" si="63"/>
        <v>0</v>
      </c>
      <c r="AM71" s="2">
        <f t="shared" si="63"/>
        <v>0</v>
      </c>
      <c r="AN71" s="2">
        <f t="shared" si="63"/>
        <v>0</v>
      </c>
      <c r="AO71" s="2">
        <f t="shared" si="63"/>
        <v>0</v>
      </c>
      <c r="AP71" s="2">
        <f t="shared" si="63"/>
        <v>0</v>
      </c>
      <c r="AQ71" s="2">
        <f t="shared" si="63"/>
        <v>0</v>
      </c>
      <c r="AR71" s="2">
        <f t="shared" si="63"/>
        <v>0</v>
      </c>
    </row>
    <row r="72" spans="3:44" x14ac:dyDescent="0.15">
      <c r="C72" s="2">
        <f t="shared" ref="C72:AR72" si="64">BowlSplit(C32,$C$44)</f>
        <v>0</v>
      </c>
      <c r="D72" s="2">
        <f t="shared" si="64"/>
        <v>0</v>
      </c>
      <c r="E72" s="2">
        <f t="shared" si="64"/>
        <v>0</v>
      </c>
      <c r="F72" s="2">
        <f t="shared" si="64"/>
        <v>0</v>
      </c>
      <c r="G72" s="2">
        <f t="shared" si="64"/>
        <v>0</v>
      </c>
      <c r="H72" s="2">
        <f t="shared" si="64"/>
        <v>0</v>
      </c>
      <c r="I72" s="2">
        <f t="shared" si="64"/>
        <v>0</v>
      </c>
      <c r="J72" s="2">
        <f t="shared" si="64"/>
        <v>0</v>
      </c>
      <c r="K72" s="2">
        <f t="shared" si="64"/>
        <v>8</v>
      </c>
      <c r="L72" s="2">
        <f t="shared" si="64"/>
        <v>15</v>
      </c>
      <c r="M72" s="2">
        <f t="shared" si="64"/>
        <v>0</v>
      </c>
      <c r="N72" s="2">
        <f t="shared" si="64"/>
        <v>26</v>
      </c>
      <c r="O72" s="2">
        <f t="shared" si="64"/>
        <v>11</v>
      </c>
      <c r="P72" s="2">
        <f t="shared" si="64"/>
        <v>0</v>
      </c>
      <c r="Q72" s="2">
        <f t="shared" si="64"/>
        <v>38</v>
      </c>
      <c r="R72" s="2">
        <f t="shared" si="64"/>
        <v>11</v>
      </c>
      <c r="S72" s="2">
        <f t="shared" si="64"/>
        <v>52</v>
      </c>
      <c r="T72" s="2">
        <f t="shared" si="64"/>
        <v>0</v>
      </c>
      <c r="U72" s="2">
        <f t="shared" si="64"/>
        <v>0</v>
      </c>
      <c r="V72" s="2">
        <f t="shared" si="64"/>
        <v>0</v>
      </c>
      <c r="W72" s="2">
        <f t="shared" si="64"/>
        <v>22</v>
      </c>
      <c r="X72" s="2">
        <f t="shared" si="64"/>
        <v>0</v>
      </c>
      <c r="Y72" s="2">
        <f t="shared" si="64"/>
        <v>0</v>
      </c>
      <c r="Z72" s="2">
        <f t="shared" si="64"/>
        <v>0</v>
      </c>
      <c r="AA72" s="2">
        <f t="shared" si="64"/>
        <v>0</v>
      </c>
      <c r="AB72" s="2">
        <f t="shared" si="64"/>
        <v>0</v>
      </c>
      <c r="AC72" s="2">
        <f t="shared" si="64"/>
        <v>0</v>
      </c>
      <c r="AD72" s="2">
        <f t="shared" si="64"/>
        <v>0</v>
      </c>
      <c r="AE72" s="2">
        <f t="shared" si="64"/>
        <v>0</v>
      </c>
      <c r="AF72" s="2">
        <f t="shared" si="64"/>
        <v>0</v>
      </c>
      <c r="AG72" s="2">
        <f t="shared" si="64"/>
        <v>0</v>
      </c>
      <c r="AH72" s="2">
        <f t="shared" si="64"/>
        <v>0</v>
      </c>
      <c r="AI72" s="2">
        <f t="shared" si="64"/>
        <v>0</v>
      </c>
      <c r="AJ72" s="2">
        <f t="shared" si="64"/>
        <v>0</v>
      </c>
      <c r="AK72" s="2">
        <f t="shared" si="64"/>
        <v>0</v>
      </c>
      <c r="AL72" s="2">
        <f t="shared" si="64"/>
        <v>0</v>
      </c>
      <c r="AM72" s="2">
        <f t="shared" si="64"/>
        <v>0</v>
      </c>
      <c r="AN72" s="2">
        <f t="shared" si="64"/>
        <v>0</v>
      </c>
      <c r="AO72" s="2">
        <f t="shared" si="64"/>
        <v>0</v>
      </c>
      <c r="AP72" s="2">
        <f t="shared" si="64"/>
        <v>0</v>
      </c>
      <c r="AQ72" s="2">
        <f t="shared" si="64"/>
        <v>0</v>
      </c>
      <c r="AR72" s="2">
        <f t="shared" si="64"/>
        <v>0</v>
      </c>
    </row>
    <row r="73" spans="3:44" x14ac:dyDescent="0.15">
      <c r="C73" s="2">
        <f t="shared" ref="C73:AR73" si="65">BowlSplit(C33,$C$44)</f>
        <v>0</v>
      </c>
      <c r="D73" s="2">
        <f t="shared" si="65"/>
        <v>0</v>
      </c>
      <c r="E73" s="2">
        <f t="shared" si="65"/>
        <v>0</v>
      </c>
      <c r="F73" s="2">
        <f t="shared" si="65"/>
        <v>0</v>
      </c>
      <c r="G73" s="2">
        <f t="shared" si="65"/>
        <v>0</v>
      </c>
      <c r="H73" s="2">
        <f t="shared" si="65"/>
        <v>0</v>
      </c>
      <c r="I73" s="2">
        <f t="shared" si="65"/>
        <v>0</v>
      </c>
      <c r="J73" s="2">
        <f t="shared" si="65"/>
        <v>52</v>
      </c>
      <c r="K73" s="2">
        <f t="shared" si="65"/>
        <v>0</v>
      </c>
      <c r="L73" s="2">
        <f t="shared" si="65"/>
        <v>0</v>
      </c>
      <c r="M73" s="2">
        <f t="shared" si="65"/>
        <v>0</v>
      </c>
      <c r="N73" s="2">
        <f t="shared" si="65"/>
        <v>0</v>
      </c>
      <c r="O73" s="2">
        <f t="shared" si="65"/>
        <v>0</v>
      </c>
      <c r="P73" s="2">
        <f t="shared" si="65"/>
        <v>0</v>
      </c>
      <c r="Q73" s="2">
        <f t="shared" si="65"/>
        <v>0</v>
      </c>
      <c r="R73" s="2">
        <f t="shared" si="65"/>
        <v>0</v>
      </c>
      <c r="S73" s="2">
        <f t="shared" si="65"/>
        <v>0</v>
      </c>
      <c r="T73" s="2">
        <f t="shared" si="65"/>
        <v>0</v>
      </c>
      <c r="U73" s="2">
        <f t="shared" si="65"/>
        <v>0</v>
      </c>
      <c r="V73" s="2">
        <f t="shared" si="65"/>
        <v>0</v>
      </c>
      <c r="W73" s="2">
        <f t="shared" si="65"/>
        <v>0</v>
      </c>
      <c r="X73" s="2">
        <f t="shared" si="65"/>
        <v>0</v>
      </c>
      <c r="Y73" s="2">
        <f t="shared" si="65"/>
        <v>0</v>
      </c>
      <c r="Z73" s="2">
        <f t="shared" si="65"/>
        <v>0</v>
      </c>
      <c r="AA73" s="2">
        <f t="shared" si="65"/>
        <v>0</v>
      </c>
      <c r="AB73" s="2">
        <f t="shared" si="65"/>
        <v>0</v>
      </c>
      <c r="AC73" s="2">
        <f t="shared" si="65"/>
        <v>0</v>
      </c>
      <c r="AD73" s="2">
        <f t="shared" si="65"/>
        <v>0</v>
      </c>
      <c r="AE73" s="2">
        <f t="shared" si="65"/>
        <v>0</v>
      </c>
      <c r="AF73" s="2">
        <f t="shared" si="65"/>
        <v>0</v>
      </c>
      <c r="AG73" s="2">
        <f t="shared" si="65"/>
        <v>0</v>
      </c>
      <c r="AH73" s="2">
        <f t="shared" si="65"/>
        <v>0</v>
      </c>
      <c r="AI73" s="2">
        <f t="shared" si="65"/>
        <v>0</v>
      </c>
      <c r="AJ73" s="2">
        <f t="shared" si="65"/>
        <v>0</v>
      </c>
      <c r="AK73" s="2">
        <f t="shared" si="65"/>
        <v>0</v>
      </c>
      <c r="AL73" s="2">
        <f t="shared" si="65"/>
        <v>0</v>
      </c>
      <c r="AM73" s="2">
        <f t="shared" si="65"/>
        <v>0</v>
      </c>
      <c r="AN73" s="2">
        <f t="shared" si="65"/>
        <v>0</v>
      </c>
      <c r="AO73" s="2">
        <f t="shared" si="65"/>
        <v>0</v>
      </c>
      <c r="AP73" s="2">
        <f t="shared" si="65"/>
        <v>0</v>
      </c>
      <c r="AQ73" s="2">
        <f t="shared" si="65"/>
        <v>0</v>
      </c>
      <c r="AR73" s="2">
        <f t="shared" si="65"/>
        <v>0</v>
      </c>
    </row>
    <row r="74" spans="3:44" x14ac:dyDescent="0.15">
      <c r="C74" s="2">
        <f t="shared" ref="C74:AR74" si="66">BowlSplit(C34,$C$44)</f>
        <v>11</v>
      </c>
      <c r="D74" s="2">
        <f t="shared" si="66"/>
        <v>0</v>
      </c>
      <c r="E74" s="2">
        <f t="shared" si="66"/>
        <v>0</v>
      </c>
      <c r="F74" s="2">
        <f t="shared" si="66"/>
        <v>0</v>
      </c>
      <c r="G74" s="2">
        <f t="shared" si="66"/>
        <v>12</v>
      </c>
      <c r="H74" s="2">
        <f t="shared" si="66"/>
        <v>0</v>
      </c>
      <c r="I74" s="2">
        <f t="shared" si="66"/>
        <v>0</v>
      </c>
      <c r="J74" s="2">
        <f t="shared" si="66"/>
        <v>0</v>
      </c>
      <c r="K74" s="2">
        <f t="shared" si="66"/>
        <v>0</v>
      </c>
      <c r="L74" s="2">
        <f t="shared" si="66"/>
        <v>0</v>
      </c>
      <c r="M74" s="2">
        <f t="shared" si="66"/>
        <v>0</v>
      </c>
      <c r="N74" s="2">
        <f t="shared" si="66"/>
        <v>34</v>
      </c>
      <c r="O74" s="2">
        <f t="shared" si="66"/>
        <v>0</v>
      </c>
      <c r="P74" s="2">
        <f t="shared" si="66"/>
        <v>11</v>
      </c>
      <c r="Q74" s="2">
        <f t="shared" si="66"/>
        <v>0</v>
      </c>
      <c r="R74" s="2">
        <f t="shared" si="66"/>
        <v>0</v>
      </c>
      <c r="S74" s="2">
        <f t="shared" si="66"/>
        <v>33</v>
      </c>
      <c r="T74" s="2">
        <f t="shared" si="66"/>
        <v>0</v>
      </c>
      <c r="U74" s="2">
        <f t="shared" si="66"/>
        <v>39</v>
      </c>
      <c r="V74" s="2">
        <f t="shared" si="66"/>
        <v>0</v>
      </c>
      <c r="W74" s="2">
        <f t="shared" si="66"/>
        <v>13</v>
      </c>
      <c r="X74" s="2">
        <f t="shared" si="66"/>
        <v>0</v>
      </c>
      <c r="Y74" s="2">
        <f t="shared" si="66"/>
        <v>0</v>
      </c>
      <c r="Z74" s="2">
        <f t="shared" si="66"/>
        <v>0</v>
      </c>
      <c r="AA74" s="2">
        <f t="shared" si="66"/>
        <v>0</v>
      </c>
      <c r="AB74" s="2">
        <f t="shared" si="66"/>
        <v>0</v>
      </c>
      <c r="AC74" s="2">
        <f t="shared" si="66"/>
        <v>0</v>
      </c>
      <c r="AD74" s="2">
        <f t="shared" si="66"/>
        <v>0</v>
      </c>
      <c r="AE74" s="2">
        <f t="shared" si="66"/>
        <v>0</v>
      </c>
      <c r="AF74" s="2">
        <f t="shared" si="66"/>
        <v>0</v>
      </c>
      <c r="AG74" s="2">
        <f t="shared" si="66"/>
        <v>0</v>
      </c>
      <c r="AH74" s="2">
        <f t="shared" si="66"/>
        <v>0</v>
      </c>
      <c r="AI74" s="2">
        <f t="shared" si="66"/>
        <v>0</v>
      </c>
      <c r="AJ74" s="2">
        <f t="shared" si="66"/>
        <v>0</v>
      </c>
      <c r="AK74" s="2">
        <f t="shared" si="66"/>
        <v>0</v>
      </c>
      <c r="AL74" s="2">
        <f t="shared" si="66"/>
        <v>0</v>
      </c>
      <c r="AM74" s="2">
        <f t="shared" si="66"/>
        <v>0</v>
      </c>
      <c r="AN74" s="2">
        <f t="shared" si="66"/>
        <v>0</v>
      </c>
      <c r="AO74" s="2">
        <f t="shared" si="66"/>
        <v>0</v>
      </c>
      <c r="AP74" s="2">
        <f t="shared" si="66"/>
        <v>0</v>
      </c>
      <c r="AQ74" s="2">
        <f t="shared" si="66"/>
        <v>0</v>
      </c>
      <c r="AR74" s="2">
        <f t="shared" si="66"/>
        <v>0</v>
      </c>
    </row>
    <row r="75" spans="3:44" x14ac:dyDescent="0.15">
      <c r="C75" s="2">
        <f t="shared" ref="C75:AR75" si="67">BowlSplit(C35,$C$44)</f>
        <v>0</v>
      </c>
      <c r="D75" s="2">
        <f t="shared" si="67"/>
        <v>0</v>
      </c>
      <c r="E75" s="2">
        <f t="shared" si="67"/>
        <v>0</v>
      </c>
      <c r="F75" s="2">
        <f t="shared" si="67"/>
        <v>0</v>
      </c>
      <c r="G75" s="2">
        <f t="shared" si="67"/>
        <v>27</v>
      </c>
      <c r="H75" s="2">
        <f t="shared" si="67"/>
        <v>0</v>
      </c>
      <c r="I75" s="2">
        <f t="shared" si="67"/>
        <v>0</v>
      </c>
      <c r="J75" s="2">
        <f t="shared" si="67"/>
        <v>0</v>
      </c>
      <c r="K75" s="2">
        <f t="shared" si="67"/>
        <v>11</v>
      </c>
      <c r="L75" s="2">
        <f t="shared" si="67"/>
        <v>0</v>
      </c>
      <c r="M75" s="2">
        <f t="shared" si="67"/>
        <v>0</v>
      </c>
      <c r="N75" s="2">
        <f t="shared" si="67"/>
        <v>0</v>
      </c>
      <c r="O75" s="2">
        <f t="shared" si="67"/>
        <v>0</v>
      </c>
      <c r="P75" s="2">
        <f t="shared" si="67"/>
        <v>12</v>
      </c>
      <c r="Q75" s="2">
        <f t="shared" si="67"/>
        <v>0</v>
      </c>
      <c r="R75" s="2">
        <f t="shared" si="67"/>
        <v>0</v>
      </c>
      <c r="S75" s="2">
        <f t="shared" si="67"/>
        <v>30</v>
      </c>
      <c r="T75" s="2">
        <f t="shared" si="67"/>
        <v>0</v>
      </c>
      <c r="U75" s="2">
        <f t="shared" si="67"/>
        <v>18</v>
      </c>
      <c r="V75" s="2">
        <f t="shared" si="67"/>
        <v>0</v>
      </c>
      <c r="W75" s="2">
        <f t="shared" si="67"/>
        <v>13</v>
      </c>
      <c r="X75" s="2">
        <f t="shared" si="67"/>
        <v>0</v>
      </c>
      <c r="Y75" s="2">
        <f t="shared" si="67"/>
        <v>0</v>
      </c>
      <c r="Z75" s="2">
        <f t="shared" si="67"/>
        <v>0</v>
      </c>
      <c r="AA75" s="2">
        <f t="shared" si="67"/>
        <v>0</v>
      </c>
      <c r="AB75" s="2">
        <f t="shared" si="67"/>
        <v>27</v>
      </c>
      <c r="AC75" s="2">
        <f t="shared" si="67"/>
        <v>0</v>
      </c>
      <c r="AD75" s="2">
        <f t="shared" si="67"/>
        <v>0</v>
      </c>
      <c r="AE75" s="2">
        <f t="shared" si="67"/>
        <v>0</v>
      </c>
      <c r="AF75" s="2">
        <f t="shared" si="67"/>
        <v>0</v>
      </c>
      <c r="AG75" s="2">
        <f t="shared" si="67"/>
        <v>0</v>
      </c>
      <c r="AH75" s="2">
        <f t="shared" si="67"/>
        <v>0</v>
      </c>
      <c r="AI75" s="2">
        <f t="shared" si="67"/>
        <v>0</v>
      </c>
      <c r="AJ75" s="2">
        <f t="shared" si="67"/>
        <v>0</v>
      </c>
      <c r="AK75" s="2">
        <f t="shared" si="67"/>
        <v>0</v>
      </c>
      <c r="AL75" s="2">
        <f t="shared" si="67"/>
        <v>0</v>
      </c>
      <c r="AM75" s="2">
        <f t="shared" si="67"/>
        <v>0</v>
      </c>
      <c r="AN75" s="2">
        <f t="shared" si="67"/>
        <v>0</v>
      </c>
      <c r="AO75" s="2">
        <f t="shared" si="67"/>
        <v>0</v>
      </c>
      <c r="AP75" s="2">
        <f t="shared" si="67"/>
        <v>0</v>
      </c>
      <c r="AQ75" s="2">
        <f t="shared" si="67"/>
        <v>0</v>
      </c>
      <c r="AR75" s="2">
        <f t="shared" si="67"/>
        <v>0</v>
      </c>
    </row>
  </sheetData>
  <phoneticPr fontId="0" type="noConversion"/>
  <conditionalFormatting sqref="AG96:AG107 AU45:BB87 AS45:AT95 C76:AR95">
    <cfRule type="cellIs" dxfId="2" priority="1" stopIfTrue="1" operator="greaterThan">
      <formula>5</formula>
    </cfRule>
  </conditionalFormatting>
  <conditionalFormatting sqref="C43:CC43">
    <cfRule type="cellIs" dxfId="1" priority="2" stopIfTrue="1" operator="notEqual">
      <formula>C41</formula>
    </cfRule>
  </conditionalFormatting>
  <conditionalFormatting sqref="C45:AR75">
    <cfRule type="cellIs" dxfId="0" priority="3" stopIfTrue="1" operator="equal">
      <formula>$B$45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7"/>
  <sheetViews>
    <sheetView workbookViewId="0">
      <selection activeCell="H22" sqref="H22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7" bestFit="1" customWidth="1"/>
    <col min="4" max="4" width="5.28515625" style="77" bestFit="1" customWidth="1"/>
    <col min="5" max="5" width="7.140625" style="77" bestFit="1" customWidth="1"/>
    <col min="6" max="7" width="5.28515625" style="77" bestFit="1" customWidth="1"/>
    <col min="8" max="8" width="8.85546875" style="83" bestFit="1" customWidth="1"/>
    <col min="9" max="9" width="5.28515625" bestFit="1" customWidth="1"/>
    <col min="14" max="14" width="12.7109375" style="116" bestFit="1" customWidth="1"/>
    <col min="15" max="15" width="13.140625" style="85" bestFit="1" customWidth="1"/>
    <col min="16" max="16" width="4.5703125" style="85" bestFit="1" customWidth="1"/>
    <col min="17" max="17" width="7.140625" style="85" bestFit="1" customWidth="1"/>
    <col min="18" max="18" width="5" style="140" bestFit="1" customWidth="1"/>
    <col min="19" max="19" width="5" style="85" bestFit="1" customWidth="1"/>
    <col min="20" max="20" width="8.85546875" style="132" bestFit="1" customWidth="1"/>
  </cols>
  <sheetData>
    <row r="1" spans="1:21" ht="12.75" x14ac:dyDescent="0.15">
      <c r="A1" s="62" t="s">
        <v>146</v>
      </c>
      <c r="C1" s="77" t="s">
        <v>5</v>
      </c>
      <c r="D1" s="77" t="s">
        <v>7</v>
      </c>
      <c r="E1" s="77" t="s">
        <v>8</v>
      </c>
      <c r="F1" s="77" t="s">
        <v>147</v>
      </c>
      <c r="G1" s="77" t="s">
        <v>9</v>
      </c>
      <c r="H1" s="83" t="s">
        <v>10</v>
      </c>
      <c r="J1" s="77"/>
      <c r="L1" t="s">
        <v>774</v>
      </c>
      <c r="M1">
        <f t="array" aca="1" ref="M1" ca="1">SUM(IF(NOT(ISNA(B2:B60)),1,0))</f>
        <v>42</v>
      </c>
      <c r="N1" s="141"/>
      <c r="O1" s="133" t="s">
        <v>87</v>
      </c>
      <c r="P1" s="133" t="s">
        <v>7</v>
      </c>
      <c r="Q1" s="133" t="s">
        <v>8</v>
      </c>
      <c r="R1" s="133" t="s">
        <v>147</v>
      </c>
      <c r="S1" s="133" t="s">
        <v>9</v>
      </c>
      <c r="T1" s="142" t="s">
        <v>10</v>
      </c>
    </row>
    <row r="2" spans="1:21" ht="12.75" x14ac:dyDescent="0.15">
      <c r="A2">
        <v>1</v>
      </c>
      <c r="B2" t="str">
        <f ca="1">OFFSET(Batting!$C$4,BatAves!$I2,0)</f>
        <v>Mander N</v>
      </c>
      <c r="C2" s="77">
        <f ca="1">OFFSET(Batting!$CE$4,BatAves!$I2,0)</f>
        <v>7</v>
      </c>
      <c r="D2" s="77">
        <f ca="1">OFFSET(Batting!$CG$4,BatAves!$I2,0)</f>
        <v>7</v>
      </c>
      <c r="E2" s="77">
        <f ca="1">OFFSET(Batting!$CH$4,BatAves!$I2,0)</f>
        <v>2</v>
      </c>
      <c r="F2" s="77" t="str">
        <f ca="1">OFFSET(Batting!$CJ$4,BatAves!$I2,0)</f>
        <v>154*</v>
      </c>
      <c r="G2" s="77">
        <f ca="1">OFFSET(Batting!$CK$4,BatAves!$I2,0)</f>
        <v>412</v>
      </c>
      <c r="H2" s="81">
        <f ca="1">OFFSET(Batting!$CL$4,BatAves!$I2,0)</f>
        <v>82.4</v>
      </c>
      <c r="I2">
        <f>MATCH(A2,Batting!$DF$5:$DF$46,0)</f>
        <v>23</v>
      </c>
      <c r="J2">
        <f ca="1">IF(D2&gt;=5,A2,1000+A2)</f>
        <v>1</v>
      </c>
      <c r="K2">
        <f ca="1">RANK(J2,OFFSET($J$2,0,0,$M$1,1),-1)</f>
        <v>1</v>
      </c>
      <c r="L2" t="str">
        <f ca="1">IF(D2&lt;5,B2&amp;" "&amp;D2&amp;"-"&amp;E2&amp;"-"&amp;F2&amp;"-"&amp;G2&amp;", ","")</f>
        <v/>
      </c>
      <c r="M2">
        <f ca="1">MATCH(N2,OFFSET($K$2,0,0,$M$1,1),0)</f>
        <v>1</v>
      </c>
      <c r="N2" s="111">
        <v>1</v>
      </c>
      <c r="O2" s="133" t="str">
        <f ca="1">OFFSET(B$1,$M2,0)</f>
        <v>Mander N</v>
      </c>
      <c r="P2" s="133">
        <f ca="1">OFFSET(D$1,$M2,0)</f>
        <v>7</v>
      </c>
      <c r="Q2" s="133">
        <f ca="1">OFFSET(E$1,$M2,0)</f>
        <v>2</v>
      </c>
      <c r="R2" s="133" t="str">
        <f ca="1">OFFSET(F$1,$M2,0)</f>
        <v>154*</v>
      </c>
      <c r="S2" s="133">
        <f ca="1">OFFSET(G$1,$M2,0)</f>
        <v>412</v>
      </c>
      <c r="T2" s="139">
        <f ca="1">OFFSET(H$1,$M2,0)</f>
        <v>82.4</v>
      </c>
      <c r="U2" s="77"/>
    </row>
    <row r="3" spans="1:21" ht="12.75" x14ac:dyDescent="0.15">
      <c r="A3">
        <v>2</v>
      </c>
      <c r="B3" t="str">
        <f ca="1">OFFSET(Batting!$C$4,BatAves!$I3,0)</f>
        <v>Stephens S</v>
      </c>
      <c r="C3" s="77">
        <f ca="1">OFFSET(Batting!$CE$4,BatAves!$I3,0)</f>
        <v>3</v>
      </c>
      <c r="D3" s="77">
        <f ca="1">OFFSET(Batting!$CG$4,BatAves!$I3,0)</f>
        <v>3</v>
      </c>
      <c r="E3" s="77">
        <f ca="1">OFFSET(Batting!$CH$4,BatAves!$I3,0)</f>
        <v>1</v>
      </c>
      <c r="F3" s="77">
        <f ca="1">OFFSET(Batting!$CJ$4,BatAves!$I3,0)</f>
        <v>100</v>
      </c>
      <c r="G3" s="77">
        <f ca="1">OFFSET(Batting!$CK$4,BatAves!$I3,0)</f>
        <v>113</v>
      </c>
      <c r="H3" s="81">
        <f ca="1">OFFSET(Batting!$CL$4,BatAves!$I3,0)</f>
        <v>56.5</v>
      </c>
      <c r="I3">
        <f>MATCH(A3,Batting!$DF$5:$DF$46,0)</f>
        <v>37</v>
      </c>
      <c r="J3">
        <f t="shared" ref="J3:J60" ca="1" si="0">IF(D3&gt;=5,A3,1000+A3)</f>
        <v>1002</v>
      </c>
      <c r="K3">
        <f t="shared" ref="K3:K60" ca="1" si="1">RANK(J3,OFFSET($J$2,0,0,$M$1,1),-1)</f>
        <v>21</v>
      </c>
      <c r="L3" t="str">
        <f t="shared" ref="L3:L60" ca="1" si="2">IF(D3&lt;5,B3&amp;" "&amp;D3&amp;"-"&amp;E3&amp;"-"&amp;F3&amp;"-"&amp;G3&amp;", ","")</f>
        <v xml:space="preserve">Stephens S 3-1-100-113, </v>
      </c>
      <c r="M3">
        <f t="shared" ref="M3:M43" ca="1" si="3">MATCH(N3,OFFSET($K$2,0,0,$M$1,1),0)</f>
        <v>4</v>
      </c>
      <c r="N3" s="111">
        <v>2</v>
      </c>
      <c r="O3" s="133" t="str">
        <f t="shared" ref="O3:O43" ca="1" si="4">OFFSET(B$1,$M3,0)</f>
        <v>Leadley J</v>
      </c>
      <c r="P3" s="133">
        <f t="shared" ref="P3:P43" ca="1" si="5">OFFSET(D$1,$M3,0)</f>
        <v>15</v>
      </c>
      <c r="Q3" s="133">
        <f t="shared" ref="Q3:Q43" ca="1" si="6">OFFSET(E$1,$M3,0)</f>
        <v>2</v>
      </c>
      <c r="R3" s="133" t="str">
        <f t="shared" ref="R3:R43" ca="1" si="7">OFFSET(F$1,$M3,0)</f>
        <v>102*</v>
      </c>
      <c r="S3" s="133">
        <f t="shared" ref="S3:S43" ca="1" si="8">OFFSET(G$1,$M3,0)</f>
        <v>535</v>
      </c>
      <c r="T3" s="139">
        <f t="shared" ref="T3:T43" ca="1" si="9">OFFSET(H$1,$M3,0)</f>
        <v>41.153846153846153</v>
      </c>
    </row>
    <row r="4" spans="1:21" ht="12.75" x14ac:dyDescent="0.15">
      <c r="A4">
        <v>3</v>
      </c>
      <c r="B4" t="str">
        <f ca="1">OFFSET(Batting!$C$4,BatAves!$I4,0)</f>
        <v>Murphy P</v>
      </c>
      <c r="C4" s="77">
        <f ca="1">OFFSET(Batting!$CE$4,BatAves!$I4,0)</f>
        <v>3</v>
      </c>
      <c r="D4" s="77">
        <f ca="1">OFFSET(Batting!$CG$4,BatAves!$I4,0)</f>
        <v>2</v>
      </c>
      <c r="E4" s="77">
        <f ca="1">OFFSET(Batting!$CH$4,BatAves!$I4,0)</f>
        <v>1</v>
      </c>
      <c r="F4" s="77" t="str">
        <f ca="1">OFFSET(Batting!$CJ$4,BatAves!$I4,0)</f>
        <v>50*</v>
      </c>
      <c r="G4" s="77">
        <f ca="1">OFFSET(Batting!$CK$4,BatAves!$I4,0)</f>
        <v>52</v>
      </c>
      <c r="H4" s="81">
        <f ca="1">OFFSET(Batting!$CL$4,BatAves!$I4,0)</f>
        <v>52</v>
      </c>
      <c r="I4">
        <f>MATCH(A4,Batting!$DF$5:$DF$46,0)</f>
        <v>25</v>
      </c>
      <c r="J4">
        <f t="shared" ca="1" si="0"/>
        <v>1003</v>
      </c>
      <c r="K4">
        <f t="shared" ca="1" si="1"/>
        <v>22</v>
      </c>
      <c r="L4" t="str">
        <f t="shared" ca="1" si="2"/>
        <v xml:space="preserve">Murphy P 2-1-50*-52, </v>
      </c>
      <c r="M4">
        <f t="shared" ca="1" si="3"/>
        <v>5</v>
      </c>
      <c r="N4" s="111">
        <v>3</v>
      </c>
      <c r="O4" s="133" t="str">
        <f t="shared" ca="1" si="4"/>
        <v>Clark C</v>
      </c>
      <c r="P4" s="133">
        <f t="shared" ca="1" si="5"/>
        <v>15</v>
      </c>
      <c r="Q4" s="133">
        <f t="shared" ca="1" si="6"/>
        <v>10</v>
      </c>
      <c r="R4" s="133" t="str">
        <f t="shared" ca="1" si="7"/>
        <v>51*</v>
      </c>
      <c r="S4" s="133">
        <f t="shared" ca="1" si="8"/>
        <v>189</v>
      </c>
      <c r="T4" s="139">
        <f t="shared" ca="1" si="9"/>
        <v>37.799999999999997</v>
      </c>
    </row>
    <row r="5" spans="1:21" ht="12.75" x14ac:dyDescent="0.15">
      <c r="A5">
        <v>4</v>
      </c>
      <c r="B5" t="str">
        <f ca="1">OFFSET(Batting!$C$4,BatAves!$I5,0)</f>
        <v>Leadley J</v>
      </c>
      <c r="C5" s="77">
        <f ca="1">OFFSET(Batting!$CE$4,BatAves!$I5,0)</f>
        <v>15</v>
      </c>
      <c r="D5" s="77">
        <f ca="1">OFFSET(Batting!$CG$4,BatAves!$I5,0)</f>
        <v>15</v>
      </c>
      <c r="E5" s="77">
        <f ca="1">OFFSET(Batting!$CH$4,BatAves!$I5,0)</f>
        <v>2</v>
      </c>
      <c r="F5" s="77" t="str">
        <f ca="1">OFFSET(Batting!$CJ$4,BatAves!$I5,0)</f>
        <v>102*</v>
      </c>
      <c r="G5" s="77">
        <f ca="1">OFFSET(Batting!$CK$4,BatAves!$I5,0)</f>
        <v>535</v>
      </c>
      <c r="H5" s="81">
        <f ca="1">OFFSET(Batting!$CL$4,BatAves!$I5,0)</f>
        <v>41.153846153846153</v>
      </c>
      <c r="I5">
        <f>MATCH(A5,Batting!$DF$5:$DF$46,0)</f>
        <v>16</v>
      </c>
      <c r="J5">
        <f t="shared" ca="1" si="0"/>
        <v>4</v>
      </c>
      <c r="K5">
        <f t="shared" ca="1" si="1"/>
        <v>2</v>
      </c>
      <c r="L5" t="str">
        <f t="shared" ca="1" si="2"/>
        <v/>
      </c>
      <c r="M5">
        <f t="shared" ca="1" si="3"/>
        <v>7</v>
      </c>
      <c r="N5" s="111">
        <v>4</v>
      </c>
      <c r="O5" s="133" t="str">
        <f t="shared" ca="1" si="4"/>
        <v>Brocks D</v>
      </c>
      <c r="P5" s="133">
        <f t="shared" ca="1" si="5"/>
        <v>7</v>
      </c>
      <c r="Q5" s="133">
        <f t="shared" ca="1" si="6"/>
        <v>2</v>
      </c>
      <c r="R5" s="133" t="str">
        <f t="shared" ca="1" si="7"/>
        <v>62*</v>
      </c>
      <c r="S5" s="133">
        <f t="shared" ca="1" si="8"/>
        <v>142</v>
      </c>
      <c r="T5" s="139">
        <f t="shared" ca="1" si="9"/>
        <v>28.4</v>
      </c>
    </row>
    <row r="6" spans="1:21" ht="12.75" x14ac:dyDescent="0.15">
      <c r="A6">
        <v>5</v>
      </c>
      <c r="B6" t="str">
        <f ca="1">OFFSET(Batting!$C$4,BatAves!$I6,0)</f>
        <v>Clark C</v>
      </c>
      <c r="C6" s="77">
        <f ca="1">OFFSET(Batting!$CE$4,BatAves!$I6,0)</f>
        <v>21</v>
      </c>
      <c r="D6" s="77">
        <f ca="1">OFFSET(Batting!$CG$4,BatAves!$I6,0)</f>
        <v>15</v>
      </c>
      <c r="E6" s="77">
        <f ca="1">OFFSET(Batting!$CH$4,BatAves!$I6,0)</f>
        <v>10</v>
      </c>
      <c r="F6" s="77" t="str">
        <f ca="1">OFFSET(Batting!$CJ$4,BatAves!$I6,0)</f>
        <v>51*</v>
      </c>
      <c r="G6" s="77">
        <f ca="1">OFFSET(Batting!$CK$4,BatAves!$I6,0)</f>
        <v>189</v>
      </c>
      <c r="H6" s="81">
        <f ca="1">OFFSET(Batting!$CL$4,BatAves!$I6,0)</f>
        <v>37.799999999999997</v>
      </c>
      <c r="I6">
        <f>MATCH(A6,Batting!$DF$5:$DF$46,0)</f>
        <v>4</v>
      </c>
      <c r="J6">
        <f t="shared" ca="1" si="0"/>
        <v>5</v>
      </c>
      <c r="K6">
        <f t="shared" ca="1" si="1"/>
        <v>3</v>
      </c>
      <c r="L6" t="str">
        <f t="shared" ca="1" si="2"/>
        <v/>
      </c>
      <c r="M6">
        <f t="shared" ca="1" si="3"/>
        <v>11</v>
      </c>
      <c r="N6" s="111">
        <v>5</v>
      </c>
      <c r="O6" s="133" t="str">
        <f t="shared" ca="1" si="4"/>
        <v>Coloe A</v>
      </c>
      <c r="P6" s="133">
        <f t="shared" ca="1" si="5"/>
        <v>8</v>
      </c>
      <c r="Q6" s="133">
        <f t="shared" ca="1" si="6"/>
        <v>1</v>
      </c>
      <c r="R6" s="133">
        <f t="shared" ca="1" si="7"/>
        <v>49</v>
      </c>
      <c r="S6" s="133">
        <f t="shared" ca="1" si="8"/>
        <v>121</v>
      </c>
      <c r="T6" s="139">
        <f t="shared" ca="1" si="9"/>
        <v>17.285714285714285</v>
      </c>
    </row>
    <row r="7" spans="1:21" ht="12.75" x14ac:dyDescent="0.15">
      <c r="A7">
        <v>6</v>
      </c>
      <c r="B7" t="str">
        <f ca="1">OFFSET(Batting!$C$4,BatAves!$I7,0)</f>
        <v>Sharpe D</v>
      </c>
      <c r="C7" s="77">
        <f ca="1">OFFSET(Batting!$CE$4,BatAves!$I7,0)</f>
        <v>1</v>
      </c>
      <c r="D7" s="77">
        <f ca="1">OFFSET(Batting!$CG$4,BatAves!$I7,0)</f>
        <v>1</v>
      </c>
      <c r="E7" s="77">
        <f ca="1">OFFSET(Batting!$CH$4,BatAves!$I7,0)</f>
        <v>0</v>
      </c>
      <c r="F7" s="77">
        <f ca="1">OFFSET(Batting!$CJ$4,BatAves!$I7,0)</f>
        <v>36</v>
      </c>
      <c r="G7" s="77">
        <f ca="1">OFFSET(Batting!$CK$4,BatAves!$I7,0)</f>
        <v>36</v>
      </c>
      <c r="H7" s="81">
        <f ca="1">OFFSET(Batting!$CL$4,BatAves!$I7,0)</f>
        <v>36</v>
      </c>
      <c r="I7">
        <f>MATCH(A7,Batting!$DF$5:$DF$46,0)</f>
        <v>32</v>
      </c>
      <c r="J7">
        <f t="shared" ca="1" si="0"/>
        <v>1006</v>
      </c>
      <c r="K7">
        <f t="shared" ca="1" si="1"/>
        <v>23</v>
      </c>
      <c r="L7" t="str">
        <f t="shared" ca="1" si="2"/>
        <v xml:space="preserve">Sharpe D 1-0-36-36, </v>
      </c>
      <c r="M7">
        <f t="shared" ca="1" si="3"/>
        <v>12</v>
      </c>
      <c r="N7" s="111">
        <v>6</v>
      </c>
      <c r="O7" s="133" t="str">
        <f t="shared" ca="1" si="4"/>
        <v>Sudesh</v>
      </c>
      <c r="P7" s="133">
        <f t="shared" ca="1" si="5"/>
        <v>9</v>
      </c>
      <c r="Q7" s="133">
        <f t="shared" ca="1" si="6"/>
        <v>0</v>
      </c>
      <c r="R7" s="133">
        <f t="shared" ca="1" si="7"/>
        <v>60</v>
      </c>
      <c r="S7" s="133">
        <f t="shared" ca="1" si="8"/>
        <v>142</v>
      </c>
      <c r="T7" s="139">
        <f t="shared" ca="1" si="9"/>
        <v>15.777777777777779</v>
      </c>
    </row>
    <row r="8" spans="1:21" ht="12.75" x14ac:dyDescent="0.15">
      <c r="A8">
        <v>7</v>
      </c>
      <c r="B8" t="str">
        <f ca="1">OFFSET(Batting!$C$4,BatAves!$I8,0)</f>
        <v>Brocks D</v>
      </c>
      <c r="C8" s="77">
        <f ca="1">OFFSET(Batting!$CE$4,BatAves!$I8,0)</f>
        <v>7</v>
      </c>
      <c r="D8" s="77">
        <f ca="1">OFFSET(Batting!$CG$4,BatAves!$I8,0)</f>
        <v>7</v>
      </c>
      <c r="E8" s="77">
        <f ca="1">OFFSET(Batting!$CH$4,BatAves!$I8,0)</f>
        <v>2</v>
      </c>
      <c r="F8" s="77" t="str">
        <f ca="1">OFFSET(Batting!$CJ$4,BatAves!$I8,0)</f>
        <v>62*</v>
      </c>
      <c r="G8" s="77">
        <f ca="1">OFFSET(Batting!$CK$4,BatAves!$I8,0)</f>
        <v>142</v>
      </c>
      <c r="H8" s="81">
        <f ca="1">OFFSET(Batting!$CL$4,BatAves!$I8,0)</f>
        <v>28.4</v>
      </c>
      <c r="I8">
        <f>MATCH(A8,Batting!$DF$5:$DF$46,0)</f>
        <v>3</v>
      </c>
      <c r="J8">
        <f t="shared" ca="1" si="0"/>
        <v>7</v>
      </c>
      <c r="K8">
        <f t="shared" ca="1" si="1"/>
        <v>4</v>
      </c>
      <c r="L8" t="str">
        <f t="shared" ca="1" si="2"/>
        <v/>
      </c>
      <c r="M8">
        <f t="shared" ca="1" si="3"/>
        <v>13</v>
      </c>
      <c r="N8" s="111">
        <v>7</v>
      </c>
      <c r="O8" s="133" t="str">
        <f t="shared" ca="1" si="4"/>
        <v>Edghill C</v>
      </c>
      <c r="P8" s="133">
        <f t="shared" ca="1" si="5"/>
        <v>13</v>
      </c>
      <c r="Q8" s="133">
        <f t="shared" ca="1" si="6"/>
        <v>0</v>
      </c>
      <c r="R8" s="133">
        <f t="shared" ca="1" si="7"/>
        <v>30</v>
      </c>
      <c r="S8" s="133">
        <f t="shared" ca="1" si="8"/>
        <v>179</v>
      </c>
      <c r="T8" s="139">
        <f t="shared" ca="1" si="9"/>
        <v>13.76923076923077</v>
      </c>
    </row>
    <row r="9" spans="1:21" ht="12.75" x14ac:dyDescent="0.15">
      <c r="A9">
        <v>8</v>
      </c>
      <c r="B9" t="str">
        <f ca="1">OFFSET(Batting!$C$4,BatAves!$I9,0)</f>
        <v>Lea K</v>
      </c>
      <c r="C9" s="77">
        <f ca="1">OFFSET(Batting!$CE$4,BatAves!$I9,0)</f>
        <v>2</v>
      </c>
      <c r="D9" s="77">
        <f ca="1">OFFSET(Batting!$CG$4,BatAves!$I9,0)</f>
        <v>2</v>
      </c>
      <c r="E9" s="77">
        <f ca="1">OFFSET(Batting!$CH$4,BatAves!$I9,0)</f>
        <v>0</v>
      </c>
      <c r="F9" s="77">
        <f ca="1">OFFSET(Batting!$CJ$4,BatAves!$I9,0)</f>
        <v>35</v>
      </c>
      <c r="G9" s="77">
        <f ca="1">OFFSET(Batting!$CK$4,BatAves!$I9,0)</f>
        <v>52</v>
      </c>
      <c r="H9" s="81">
        <f ca="1">OFFSET(Batting!$CL$4,BatAves!$I9,0)</f>
        <v>26</v>
      </c>
      <c r="I9">
        <f>MATCH(A9,Batting!$DF$5:$DF$46,0)</f>
        <v>14</v>
      </c>
      <c r="J9">
        <f t="shared" ca="1" si="0"/>
        <v>1008</v>
      </c>
      <c r="K9">
        <f t="shared" ca="1" si="1"/>
        <v>24</v>
      </c>
      <c r="L9" t="str">
        <f t="shared" ca="1" si="2"/>
        <v xml:space="preserve">Lea K 2-0-35-52, </v>
      </c>
      <c r="M9">
        <f t="shared" ca="1" si="3"/>
        <v>14</v>
      </c>
      <c r="N9" s="111">
        <v>8</v>
      </c>
      <c r="O9" s="133" t="str">
        <f t="shared" ca="1" si="4"/>
        <v>Worthington R</v>
      </c>
      <c r="P9" s="133">
        <f t="shared" ca="1" si="5"/>
        <v>11</v>
      </c>
      <c r="Q9" s="133">
        <f t="shared" ca="1" si="6"/>
        <v>0</v>
      </c>
      <c r="R9" s="133">
        <f t="shared" ca="1" si="7"/>
        <v>50</v>
      </c>
      <c r="S9" s="133">
        <f t="shared" ca="1" si="8"/>
        <v>151</v>
      </c>
      <c r="T9" s="139">
        <f t="shared" ca="1" si="9"/>
        <v>13.727272727272727</v>
      </c>
    </row>
    <row r="10" spans="1:21" ht="12.75" x14ac:dyDescent="0.15">
      <c r="A10">
        <v>9</v>
      </c>
      <c r="B10" t="str">
        <f ca="1">OFFSET(Batting!$C$4,BatAves!$I10,0)</f>
        <v>Middleton</v>
      </c>
      <c r="C10" s="77">
        <f ca="1">OFFSET(Batting!$CE$4,BatAves!$I10,0)</f>
        <v>4</v>
      </c>
      <c r="D10" s="77">
        <f ca="1">OFFSET(Batting!$CG$4,BatAves!$I10,0)</f>
        <v>4</v>
      </c>
      <c r="E10" s="77">
        <f ca="1">OFFSET(Batting!$CH$4,BatAves!$I10,0)</f>
        <v>0</v>
      </c>
      <c r="F10" s="77">
        <f ca="1">OFFSET(Batting!$CJ$4,BatAves!$I10,0)</f>
        <v>49</v>
      </c>
      <c r="G10" s="77">
        <f ca="1">OFFSET(Batting!$CK$4,BatAves!$I10,0)</f>
        <v>85</v>
      </c>
      <c r="H10" s="81">
        <f ca="1">OFFSET(Batting!$CL$4,BatAves!$I10,0)</f>
        <v>21.25</v>
      </c>
      <c r="I10">
        <f>MATCH(A10,Batting!$DF$5:$DF$46,0)</f>
        <v>24</v>
      </c>
      <c r="J10">
        <f t="shared" ca="1" si="0"/>
        <v>1009</v>
      </c>
      <c r="K10">
        <f t="shared" ca="1" si="1"/>
        <v>25</v>
      </c>
      <c r="L10" t="str">
        <f t="shared" ca="1" si="2"/>
        <v xml:space="preserve">Middleton 4-0-49-85, </v>
      </c>
      <c r="M10">
        <f t="shared" ca="1" si="3"/>
        <v>15</v>
      </c>
      <c r="N10" s="111">
        <v>9</v>
      </c>
      <c r="O10" s="133" t="str">
        <f t="shared" ca="1" si="4"/>
        <v>Woodhouse M</v>
      </c>
      <c r="P10" s="133">
        <f t="shared" ca="1" si="5"/>
        <v>17</v>
      </c>
      <c r="Q10" s="133">
        <f t="shared" ca="1" si="6"/>
        <v>0</v>
      </c>
      <c r="R10" s="133">
        <f t="shared" ca="1" si="7"/>
        <v>48</v>
      </c>
      <c r="S10" s="133">
        <f t="shared" ca="1" si="8"/>
        <v>223</v>
      </c>
      <c r="T10" s="139">
        <f t="shared" ca="1" si="9"/>
        <v>13.117647058823529</v>
      </c>
    </row>
    <row r="11" spans="1:21" ht="12.75" x14ac:dyDescent="0.15">
      <c r="A11">
        <v>10</v>
      </c>
      <c r="B11" t="str">
        <f ca="1">OFFSET(Batting!$C$4,BatAves!$I11,0)</f>
        <v>Springer T</v>
      </c>
      <c r="C11" s="77">
        <f ca="1">OFFSET(Batting!$CE$4,BatAves!$I11,0)</f>
        <v>2</v>
      </c>
      <c r="D11" s="77">
        <f ca="1">OFFSET(Batting!$CG$4,BatAves!$I11,0)</f>
        <v>2</v>
      </c>
      <c r="E11" s="77">
        <f ca="1">OFFSET(Batting!$CH$4,BatAves!$I11,0)</f>
        <v>0</v>
      </c>
      <c r="F11" s="77">
        <f ca="1">OFFSET(Batting!$CJ$4,BatAves!$I11,0)</f>
        <v>24</v>
      </c>
      <c r="G11" s="77">
        <f ca="1">OFFSET(Batting!$CK$4,BatAves!$I11,0)</f>
        <v>38</v>
      </c>
      <c r="H11" s="81">
        <f ca="1">OFFSET(Batting!$CL$4,BatAves!$I11,0)</f>
        <v>19</v>
      </c>
      <c r="I11">
        <f>MATCH(A11,Batting!$DF$5:$DF$46,0)</f>
        <v>35</v>
      </c>
      <c r="J11">
        <f t="shared" ca="1" si="0"/>
        <v>1010</v>
      </c>
      <c r="K11">
        <f t="shared" ca="1" si="1"/>
        <v>26</v>
      </c>
      <c r="L11" t="str">
        <f t="shared" ca="1" si="2"/>
        <v xml:space="preserve">Springer T 2-0-24-38, </v>
      </c>
      <c r="M11">
        <f t="shared" ca="1" si="3"/>
        <v>19</v>
      </c>
      <c r="N11" s="111">
        <v>10</v>
      </c>
      <c r="O11" s="133" t="str">
        <f t="shared" ca="1" si="4"/>
        <v>Cooper G</v>
      </c>
      <c r="P11" s="133">
        <f t="shared" ca="1" si="5"/>
        <v>20</v>
      </c>
      <c r="Q11" s="133">
        <f t="shared" ca="1" si="6"/>
        <v>6</v>
      </c>
      <c r="R11" s="133" t="str">
        <f t="shared" ca="1" si="7"/>
        <v>28*</v>
      </c>
      <c r="S11" s="133">
        <f t="shared" ca="1" si="8"/>
        <v>167</v>
      </c>
      <c r="T11" s="139">
        <f t="shared" ca="1" si="9"/>
        <v>11.928571428571429</v>
      </c>
    </row>
    <row r="12" spans="1:21" ht="12.75" x14ac:dyDescent="0.15">
      <c r="A12">
        <v>11</v>
      </c>
      <c r="B12" t="str">
        <f ca="1">OFFSET(Batting!$C$4,BatAves!$I12,0)</f>
        <v>Coloe A</v>
      </c>
      <c r="C12" s="77">
        <f ca="1">OFFSET(Batting!$CE$4,BatAves!$I12,0)</f>
        <v>8</v>
      </c>
      <c r="D12" s="77">
        <f ca="1">OFFSET(Batting!$CG$4,BatAves!$I12,0)</f>
        <v>8</v>
      </c>
      <c r="E12" s="77">
        <f ca="1">OFFSET(Batting!$CH$4,BatAves!$I12,0)</f>
        <v>1</v>
      </c>
      <c r="F12" s="77">
        <f ca="1">OFFSET(Batting!$CJ$4,BatAves!$I12,0)</f>
        <v>49</v>
      </c>
      <c r="G12" s="77">
        <f ca="1">OFFSET(Batting!$CK$4,BatAves!$I12,0)</f>
        <v>121</v>
      </c>
      <c r="H12" s="81">
        <f ca="1">OFFSET(Batting!$CL$4,BatAves!$I12,0)</f>
        <v>17.285714285714285</v>
      </c>
      <c r="I12">
        <f>MATCH(A12,Batting!$DF$5:$DF$46,0)</f>
        <v>5</v>
      </c>
      <c r="J12">
        <f t="shared" ca="1" si="0"/>
        <v>11</v>
      </c>
      <c r="K12">
        <f t="shared" ca="1" si="1"/>
        <v>5</v>
      </c>
      <c r="L12" t="str">
        <f t="shared" ca="1" si="2"/>
        <v/>
      </c>
      <c r="M12">
        <f t="shared" ca="1" si="3"/>
        <v>20</v>
      </c>
      <c r="N12" s="111">
        <v>11</v>
      </c>
      <c r="O12" s="133" t="str">
        <f t="shared" ca="1" si="4"/>
        <v>Elliston J</v>
      </c>
      <c r="P12" s="133">
        <f t="shared" ca="1" si="5"/>
        <v>8</v>
      </c>
      <c r="Q12" s="133">
        <f t="shared" ca="1" si="6"/>
        <v>3</v>
      </c>
      <c r="R12" s="133" t="str">
        <f t="shared" ca="1" si="7"/>
        <v>14*</v>
      </c>
      <c r="S12" s="133">
        <f t="shared" ca="1" si="8"/>
        <v>57</v>
      </c>
      <c r="T12" s="139">
        <f t="shared" ca="1" si="9"/>
        <v>11.4</v>
      </c>
    </row>
    <row r="13" spans="1:21" ht="12.75" x14ac:dyDescent="0.15">
      <c r="A13">
        <v>12</v>
      </c>
      <c r="B13" t="str">
        <f ca="1">OFFSET(Batting!$C$4,BatAves!$I13,0)</f>
        <v>Sudesh</v>
      </c>
      <c r="C13" s="77">
        <f ca="1">OFFSET(Batting!$CE$4,BatAves!$I13,0)</f>
        <v>10</v>
      </c>
      <c r="D13" s="77">
        <f ca="1">OFFSET(Batting!$CG$4,BatAves!$I13,0)</f>
        <v>9</v>
      </c>
      <c r="E13" s="77">
        <f ca="1">OFFSET(Batting!$CH$4,BatAves!$I13,0)</f>
        <v>0</v>
      </c>
      <c r="F13" s="77">
        <f ca="1">OFFSET(Batting!$CJ$4,BatAves!$I13,0)</f>
        <v>60</v>
      </c>
      <c r="G13" s="77">
        <f ca="1">OFFSET(Batting!$CK$4,BatAves!$I13,0)</f>
        <v>142</v>
      </c>
      <c r="H13" s="81">
        <f ca="1">OFFSET(Batting!$CL$4,BatAves!$I13,0)</f>
        <v>15.777777777777779</v>
      </c>
      <c r="I13">
        <f>MATCH(A13,Batting!$DF$5:$DF$46,0)</f>
        <v>38</v>
      </c>
      <c r="J13">
        <f t="shared" ca="1" si="0"/>
        <v>12</v>
      </c>
      <c r="K13">
        <f t="shared" ca="1" si="1"/>
        <v>6</v>
      </c>
      <c r="L13" t="str">
        <f t="shared" ca="1" si="2"/>
        <v/>
      </c>
      <c r="M13">
        <f t="shared" ca="1" si="3"/>
        <v>21</v>
      </c>
      <c r="N13" s="111">
        <v>12</v>
      </c>
      <c r="O13" s="133" t="str">
        <f t="shared" ca="1" si="4"/>
        <v>Mander A</v>
      </c>
      <c r="P13" s="133">
        <f t="shared" ca="1" si="5"/>
        <v>9</v>
      </c>
      <c r="Q13" s="133">
        <f t="shared" ca="1" si="6"/>
        <v>1</v>
      </c>
      <c r="R13" s="133">
        <f t="shared" ca="1" si="7"/>
        <v>22</v>
      </c>
      <c r="S13" s="133">
        <f t="shared" ca="1" si="8"/>
        <v>84</v>
      </c>
      <c r="T13" s="139">
        <f t="shared" ca="1" si="9"/>
        <v>10.5</v>
      </c>
    </row>
    <row r="14" spans="1:21" ht="12.75" x14ac:dyDescent="0.15">
      <c r="A14">
        <v>13</v>
      </c>
      <c r="B14" t="str">
        <f ca="1">OFFSET(Batting!$C$4,BatAves!$I14,0)</f>
        <v>Edghill C</v>
      </c>
      <c r="C14" s="77">
        <f ca="1">OFFSET(Batting!$CE$4,BatAves!$I14,0)</f>
        <v>13</v>
      </c>
      <c r="D14" s="77">
        <f ca="1">OFFSET(Batting!$CG$4,BatAves!$I14,0)</f>
        <v>13</v>
      </c>
      <c r="E14" s="77">
        <f ca="1">OFFSET(Batting!$CH$4,BatAves!$I14,0)</f>
        <v>0</v>
      </c>
      <c r="F14" s="77">
        <f ca="1">OFFSET(Batting!$CJ$4,BatAves!$I14,0)</f>
        <v>30</v>
      </c>
      <c r="G14" s="77">
        <f ca="1">OFFSET(Batting!$CK$4,BatAves!$I14,0)</f>
        <v>179</v>
      </c>
      <c r="H14" s="81">
        <f ca="1">OFFSET(Batting!$CL$4,BatAves!$I14,0)</f>
        <v>13.76923076923077</v>
      </c>
      <c r="I14">
        <f>MATCH(A14,Batting!$DF$5:$DF$46,0)</f>
        <v>8</v>
      </c>
      <c r="J14">
        <f t="shared" ca="1" si="0"/>
        <v>13</v>
      </c>
      <c r="K14">
        <f t="shared" ca="1" si="1"/>
        <v>7</v>
      </c>
      <c r="L14" t="str">
        <f t="shared" ca="1" si="2"/>
        <v/>
      </c>
      <c r="M14">
        <f t="shared" ca="1" si="3"/>
        <v>24</v>
      </c>
      <c r="N14" s="111">
        <v>13</v>
      </c>
      <c r="O14" s="133" t="str">
        <f t="shared" ca="1" si="4"/>
        <v>Lestrelle A</v>
      </c>
      <c r="P14" s="133">
        <f t="shared" ca="1" si="5"/>
        <v>16</v>
      </c>
      <c r="Q14" s="133">
        <f t="shared" ca="1" si="6"/>
        <v>2</v>
      </c>
      <c r="R14" s="133" t="str">
        <f t="shared" ca="1" si="7"/>
        <v>20*</v>
      </c>
      <c r="S14" s="133">
        <f t="shared" ca="1" si="8"/>
        <v>109</v>
      </c>
      <c r="T14" s="139">
        <f t="shared" ca="1" si="9"/>
        <v>7.7857142857142856</v>
      </c>
    </row>
    <row r="15" spans="1:21" ht="12.75" x14ac:dyDescent="0.15">
      <c r="A15">
        <v>14</v>
      </c>
      <c r="B15" t="str">
        <f ca="1">OFFSET(Batting!$C$4,BatAves!$I15,0)</f>
        <v>Worthington R</v>
      </c>
      <c r="C15" s="77">
        <f ca="1">OFFSET(Batting!$CE$4,BatAves!$I15,0)</f>
        <v>11</v>
      </c>
      <c r="D15" s="77">
        <f ca="1">OFFSET(Batting!$CG$4,BatAves!$I15,0)</f>
        <v>11</v>
      </c>
      <c r="E15" s="77">
        <f ca="1">OFFSET(Batting!$CH$4,BatAves!$I15,0)</f>
        <v>0</v>
      </c>
      <c r="F15" s="77">
        <f ca="1">OFFSET(Batting!$CJ$4,BatAves!$I15,0)</f>
        <v>50</v>
      </c>
      <c r="G15" s="77">
        <f ca="1">OFFSET(Batting!$CK$4,BatAves!$I15,0)</f>
        <v>151</v>
      </c>
      <c r="H15" s="81">
        <f ca="1">OFFSET(Batting!$CL$4,BatAves!$I15,0)</f>
        <v>13.727272727272727</v>
      </c>
      <c r="I15">
        <f>MATCH(A15,Batting!$DF$5:$DF$46,0)</f>
        <v>42</v>
      </c>
      <c r="J15">
        <f t="shared" ca="1" si="0"/>
        <v>14</v>
      </c>
      <c r="K15">
        <f t="shared" ca="1" si="1"/>
        <v>8</v>
      </c>
      <c r="L15" t="str">
        <f t="shared" ca="1" si="2"/>
        <v/>
      </c>
      <c r="M15">
        <f t="shared" ca="1" si="3"/>
        <v>26</v>
      </c>
      <c r="N15" s="111">
        <v>14</v>
      </c>
      <c r="O15" s="133" t="str">
        <f t="shared" ca="1" si="4"/>
        <v>Bowers M</v>
      </c>
      <c r="P15" s="133">
        <f t="shared" ca="1" si="5"/>
        <v>15</v>
      </c>
      <c r="Q15" s="133">
        <f t="shared" ca="1" si="6"/>
        <v>6</v>
      </c>
      <c r="R15" s="133" t="str">
        <f t="shared" ca="1" si="7"/>
        <v>19*</v>
      </c>
      <c r="S15" s="133">
        <f t="shared" ca="1" si="8"/>
        <v>66</v>
      </c>
      <c r="T15" s="139">
        <f t="shared" ca="1" si="9"/>
        <v>7.333333333333333</v>
      </c>
    </row>
    <row r="16" spans="1:21" ht="12.75" x14ac:dyDescent="0.15">
      <c r="A16">
        <v>15</v>
      </c>
      <c r="B16" t="str">
        <f ca="1">OFFSET(Batting!$C$4,BatAves!$I16,0)</f>
        <v>Woodhouse M</v>
      </c>
      <c r="C16" s="77">
        <f ca="1">OFFSET(Batting!$CE$4,BatAves!$I16,0)</f>
        <v>17</v>
      </c>
      <c r="D16" s="77">
        <f ca="1">OFFSET(Batting!$CG$4,BatAves!$I16,0)</f>
        <v>17</v>
      </c>
      <c r="E16" s="77">
        <f ca="1">OFFSET(Batting!$CH$4,BatAves!$I16,0)</f>
        <v>0</v>
      </c>
      <c r="F16" s="77">
        <f ca="1">OFFSET(Batting!$CJ$4,BatAves!$I16,0)</f>
        <v>48</v>
      </c>
      <c r="G16" s="77">
        <f ca="1">OFFSET(Batting!$CK$4,BatAves!$I16,0)</f>
        <v>223</v>
      </c>
      <c r="H16" s="81">
        <f ca="1">OFFSET(Batting!$CL$4,BatAves!$I16,0)</f>
        <v>13.117647058823529</v>
      </c>
      <c r="I16">
        <f>MATCH(A16,Batting!$DF$5:$DF$46,0)</f>
        <v>41</v>
      </c>
      <c r="J16">
        <f t="shared" ca="1" si="0"/>
        <v>15</v>
      </c>
      <c r="K16">
        <f t="shared" ca="1" si="1"/>
        <v>9</v>
      </c>
      <c r="L16" t="str">
        <f t="shared" ca="1" si="2"/>
        <v/>
      </c>
      <c r="M16">
        <f t="shared" ca="1" si="3"/>
        <v>29</v>
      </c>
      <c r="N16" s="111">
        <v>15</v>
      </c>
      <c r="O16" s="133" t="str">
        <f t="shared" ca="1" si="4"/>
        <v>Lestrelle J</v>
      </c>
      <c r="P16" s="133">
        <f t="shared" ca="1" si="5"/>
        <v>14</v>
      </c>
      <c r="Q16" s="133">
        <f t="shared" ca="1" si="6"/>
        <v>0</v>
      </c>
      <c r="R16" s="133">
        <f t="shared" ca="1" si="7"/>
        <v>25</v>
      </c>
      <c r="S16" s="133">
        <f t="shared" ca="1" si="8"/>
        <v>94</v>
      </c>
      <c r="T16" s="139">
        <f t="shared" ca="1" si="9"/>
        <v>6.7142857142857144</v>
      </c>
    </row>
    <row r="17" spans="1:20" ht="12.75" x14ac:dyDescent="0.15">
      <c r="A17">
        <v>16</v>
      </c>
      <c r="B17" t="str">
        <f ca="1">OFFSET(Batting!$C$4,BatAves!$I17,0)</f>
        <v>Anand</v>
      </c>
      <c r="C17" s="77">
        <f ca="1">OFFSET(Batting!$CE$4,BatAves!$I17,0)</f>
        <v>3</v>
      </c>
      <c r="D17" s="77">
        <f ca="1">OFFSET(Batting!$CG$4,BatAves!$I17,0)</f>
        <v>3</v>
      </c>
      <c r="E17" s="77">
        <f ca="1">OFFSET(Batting!$CH$4,BatAves!$I17,0)</f>
        <v>0</v>
      </c>
      <c r="F17" s="77">
        <f ca="1">OFFSET(Batting!$CJ$4,BatAves!$I17,0)</f>
        <v>30</v>
      </c>
      <c r="G17" s="77">
        <f ca="1">OFFSET(Batting!$CK$4,BatAves!$I17,0)</f>
        <v>39</v>
      </c>
      <c r="H17" s="81">
        <f ca="1">OFFSET(Batting!$CL$4,BatAves!$I17,0)</f>
        <v>13</v>
      </c>
      <c r="I17">
        <f>MATCH(A17,Batting!$DF$5:$DF$46,0)</f>
        <v>2</v>
      </c>
      <c r="J17">
        <f t="shared" ca="1" si="0"/>
        <v>1016</v>
      </c>
      <c r="K17">
        <f t="shared" ca="1" si="1"/>
        <v>27</v>
      </c>
      <c r="L17" t="str">
        <f t="shared" ca="1" si="2"/>
        <v xml:space="preserve">Anand 3-0-30-39, </v>
      </c>
      <c r="M17">
        <f t="shared" ca="1" si="3"/>
        <v>30</v>
      </c>
      <c r="N17" s="111">
        <v>16</v>
      </c>
      <c r="O17" s="133" t="str">
        <f t="shared" ca="1" si="4"/>
        <v>Rollins R</v>
      </c>
      <c r="P17" s="133">
        <f t="shared" ca="1" si="5"/>
        <v>11</v>
      </c>
      <c r="Q17" s="133">
        <f t="shared" ca="1" si="6"/>
        <v>1</v>
      </c>
      <c r="R17" s="133">
        <f t="shared" ca="1" si="7"/>
        <v>23</v>
      </c>
      <c r="S17" s="133">
        <f t="shared" ca="1" si="8"/>
        <v>60</v>
      </c>
      <c r="T17" s="139">
        <f t="shared" ca="1" si="9"/>
        <v>6</v>
      </c>
    </row>
    <row r="18" spans="1:20" ht="12.75" x14ac:dyDescent="0.15">
      <c r="A18">
        <v>17</v>
      </c>
      <c r="B18" t="str">
        <f ca="1">OFFSET(Batting!$C$4,BatAves!$I18,0)</f>
        <v>Collins N</v>
      </c>
      <c r="C18" s="77">
        <f ca="1">OFFSET(Batting!$CE$4,BatAves!$I18,0)</f>
        <v>1</v>
      </c>
      <c r="D18" s="77">
        <f ca="1">OFFSET(Batting!$CG$4,BatAves!$I18,0)</f>
        <v>1</v>
      </c>
      <c r="E18" s="77">
        <f ca="1">OFFSET(Batting!$CH$4,BatAves!$I18,0)</f>
        <v>0</v>
      </c>
      <c r="F18" s="77">
        <f ca="1">OFFSET(Batting!$CJ$4,BatAves!$I18,0)</f>
        <v>13</v>
      </c>
      <c r="G18" s="77">
        <f ca="1">OFFSET(Batting!$CK$4,BatAves!$I18,0)</f>
        <v>13</v>
      </c>
      <c r="H18" s="81">
        <f ca="1">OFFSET(Batting!$CL$4,BatAves!$I18,0)</f>
        <v>13</v>
      </c>
      <c r="I18">
        <f>MATCH(A18,Batting!$DF$5:$DF$46,0)</f>
        <v>10</v>
      </c>
      <c r="J18">
        <f t="shared" ca="1" si="0"/>
        <v>1017</v>
      </c>
      <c r="K18">
        <f t="shared" ca="1" si="1"/>
        <v>28</v>
      </c>
      <c r="L18" t="str">
        <f t="shared" ca="1" si="2"/>
        <v xml:space="preserve">Collins N 1-0-13-13, </v>
      </c>
      <c r="M18">
        <f t="shared" ca="1" si="3"/>
        <v>31</v>
      </c>
      <c r="N18" s="111">
        <v>17</v>
      </c>
      <c r="O18" s="133" t="str">
        <f t="shared" ca="1" si="4"/>
        <v>Patel N</v>
      </c>
      <c r="P18" s="133">
        <f t="shared" ca="1" si="5"/>
        <v>5</v>
      </c>
      <c r="Q18" s="133">
        <f t="shared" ca="1" si="6"/>
        <v>1</v>
      </c>
      <c r="R18" s="133" t="str">
        <f t="shared" ca="1" si="7"/>
        <v>15*</v>
      </c>
      <c r="S18" s="133">
        <f t="shared" ca="1" si="8"/>
        <v>22</v>
      </c>
      <c r="T18" s="139">
        <f t="shared" ca="1" si="9"/>
        <v>5.5</v>
      </c>
    </row>
    <row r="19" spans="1:20" ht="12.75" x14ac:dyDescent="0.15">
      <c r="A19">
        <v>18</v>
      </c>
      <c r="B19" t="str">
        <f ca="1">OFFSET(Batting!$C$4,BatAves!$I19,0)</f>
        <v>Mander C</v>
      </c>
      <c r="C19" s="77">
        <f ca="1">OFFSET(Batting!$CE$4,BatAves!$I19,0)</f>
        <v>4</v>
      </c>
      <c r="D19" s="77">
        <f ca="1">OFFSET(Batting!$CG$4,BatAves!$I19,0)</f>
        <v>2</v>
      </c>
      <c r="E19" s="77">
        <f ca="1">OFFSET(Batting!$CH$4,BatAves!$I19,0)</f>
        <v>0</v>
      </c>
      <c r="F19" s="77">
        <f ca="1">OFFSET(Batting!$CJ$4,BatAves!$I19,0)</f>
        <v>17</v>
      </c>
      <c r="G19" s="77">
        <f ca="1">OFFSET(Batting!$CK$4,BatAves!$I19,0)</f>
        <v>25</v>
      </c>
      <c r="H19" s="81">
        <f ca="1">OFFSET(Batting!$CL$4,BatAves!$I19,0)</f>
        <v>12.5</v>
      </c>
      <c r="I19">
        <f>MATCH(A19,Batting!$DF$5:$DF$46,0)</f>
        <v>22</v>
      </c>
      <c r="J19">
        <f t="shared" ca="1" si="0"/>
        <v>1018</v>
      </c>
      <c r="K19">
        <f t="shared" ca="1" si="1"/>
        <v>29</v>
      </c>
      <c r="L19" t="str">
        <f t="shared" ca="1" si="2"/>
        <v xml:space="preserve">Mander C 2-0-17-25, </v>
      </c>
      <c r="M19">
        <f t="shared" ca="1" si="3"/>
        <v>35</v>
      </c>
      <c r="N19" s="111">
        <v>18</v>
      </c>
      <c r="O19" s="133" t="str">
        <f t="shared" ca="1" si="4"/>
        <v>Wiseman R</v>
      </c>
      <c r="P19" s="133">
        <f t="shared" ca="1" si="5"/>
        <v>6</v>
      </c>
      <c r="Q19" s="133">
        <f t="shared" ca="1" si="6"/>
        <v>1</v>
      </c>
      <c r="R19" s="133" t="str">
        <f t="shared" ca="1" si="7"/>
        <v>10*</v>
      </c>
      <c r="S19" s="133">
        <f t="shared" ca="1" si="8"/>
        <v>17</v>
      </c>
      <c r="T19" s="139">
        <f t="shared" ca="1" si="9"/>
        <v>3.4</v>
      </c>
    </row>
    <row r="20" spans="1:20" ht="12.75" x14ac:dyDescent="0.15">
      <c r="A20">
        <v>19</v>
      </c>
      <c r="B20" t="str">
        <f ca="1">OFFSET(Batting!$C$4,BatAves!$I20,0)</f>
        <v>Cooper G</v>
      </c>
      <c r="C20" s="77">
        <f ca="1">OFFSET(Batting!$CE$4,BatAves!$I20,0)</f>
        <v>24</v>
      </c>
      <c r="D20" s="77">
        <f ca="1">OFFSET(Batting!$CG$4,BatAves!$I20,0)</f>
        <v>20</v>
      </c>
      <c r="E20" s="77">
        <f ca="1">OFFSET(Batting!$CH$4,BatAves!$I20,0)</f>
        <v>6</v>
      </c>
      <c r="F20" s="77" t="str">
        <f ca="1">OFFSET(Batting!$CJ$4,BatAves!$I20,0)</f>
        <v>28*</v>
      </c>
      <c r="G20" s="77">
        <f ca="1">OFFSET(Batting!$CK$4,BatAves!$I20,0)</f>
        <v>167</v>
      </c>
      <c r="H20" s="81">
        <f ca="1">OFFSET(Batting!$CL$4,BatAves!$I20,0)</f>
        <v>11.928571428571429</v>
      </c>
      <c r="I20">
        <f>MATCH(A20,Batting!$DF$5:$DF$46,0)</f>
        <v>6</v>
      </c>
      <c r="J20">
        <f t="shared" ca="1" si="0"/>
        <v>19</v>
      </c>
      <c r="K20">
        <f t="shared" ca="1" si="1"/>
        <v>10</v>
      </c>
      <c r="L20" t="str">
        <f t="shared" ca="1" si="2"/>
        <v/>
      </c>
      <c r="M20">
        <f t="shared" ca="1" si="3"/>
        <v>36</v>
      </c>
      <c r="N20" s="111">
        <v>19</v>
      </c>
      <c r="O20" s="133" t="str">
        <f t="shared" ca="1" si="4"/>
        <v>Smith C</v>
      </c>
      <c r="P20" s="133">
        <f t="shared" ca="1" si="5"/>
        <v>13</v>
      </c>
      <c r="Q20" s="133">
        <f t="shared" ca="1" si="6"/>
        <v>0</v>
      </c>
      <c r="R20" s="133">
        <f t="shared" ca="1" si="7"/>
        <v>11</v>
      </c>
      <c r="S20" s="133">
        <f t="shared" ca="1" si="8"/>
        <v>38</v>
      </c>
      <c r="T20" s="139">
        <f t="shared" ca="1" si="9"/>
        <v>2.9230769230769229</v>
      </c>
    </row>
    <row r="21" spans="1:20" ht="12.75" x14ac:dyDescent="0.15">
      <c r="A21">
        <v>20</v>
      </c>
      <c r="B21" t="str">
        <f ca="1">OFFSET(Batting!$C$4,BatAves!$I21,0)</f>
        <v>Elliston J</v>
      </c>
      <c r="C21" s="77">
        <f ca="1">OFFSET(Batting!$CE$4,BatAves!$I21,0)</f>
        <v>8</v>
      </c>
      <c r="D21" s="77">
        <f ca="1">OFFSET(Batting!$CG$4,BatAves!$I21,0)</f>
        <v>8</v>
      </c>
      <c r="E21" s="77">
        <f ca="1">OFFSET(Batting!$CH$4,BatAves!$I21,0)</f>
        <v>3</v>
      </c>
      <c r="F21" s="77" t="str">
        <f ca="1">OFFSET(Batting!$CJ$4,BatAves!$I21,0)</f>
        <v>14*</v>
      </c>
      <c r="G21" s="77">
        <f ca="1">OFFSET(Batting!$CK$4,BatAves!$I21,0)</f>
        <v>57</v>
      </c>
      <c r="H21" s="81">
        <f ca="1">OFFSET(Batting!$CL$4,BatAves!$I21,0)</f>
        <v>11.4</v>
      </c>
      <c r="I21">
        <f>MATCH(A21,Batting!$DF$5:$DF$46,0)</f>
        <v>9</v>
      </c>
      <c r="J21">
        <f t="shared" ca="1" si="0"/>
        <v>20</v>
      </c>
      <c r="K21">
        <f t="shared" ca="1" si="1"/>
        <v>11</v>
      </c>
      <c r="L21" t="str">
        <f t="shared" ca="1" si="2"/>
        <v/>
      </c>
      <c r="M21">
        <f t="shared" ca="1" si="3"/>
        <v>37</v>
      </c>
      <c r="N21" s="111">
        <v>20</v>
      </c>
      <c r="O21" s="133" t="str">
        <f t="shared" ca="1" si="4"/>
        <v>Kiernan M</v>
      </c>
      <c r="P21" s="133">
        <f t="shared" ca="1" si="5"/>
        <v>7</v>
      </c>
      <c r="Q21" s="133">
        <f t="shared" ca="1" si="6"/>
        <v>2</v>
      </c>
      <c r="R21" s="133" t="str">
        <f t="shared" ca="1" si="7"/>
        <v>4*</v>
      </c>
      <c r="S21" s="133">
        <f t="shared" ca="1" si="8"/>
        <v>7</v>
      </c>
      <c r="T21" s="139">
        <f t="shared" ca="1" si="9"/>
        <v>1.4</v>
      </c>
    </row>
    <row r="22" spans="1:20" x14ac:dyDescent="0.15">
      <c r="A22">
        <v>21</v>
      </c>
      <c r="B22" t="str">
        <f ca="1">OFFSET(Batting!$C$4,BatAves!$I22,0)</f>
        <v>Mander A</v>
      </c>
      <c r="C22" s="77">
        <f ca="1">OFFSET(Batting!$CE$4,BatAves!$I22,0)</f>
        <v>9</v>
      </c>
      <c r="D22" s="77">
        <f ca="1">OFFSET(Batting!$CG$4,BatAves!$I22,0)</f>
        <v>9</v>
      </c>
      <c r="E22" s="77">
        <f ca="1">OFFSET(Batting!$CH$4,BatAves!$I22,0)</f>
        <v>1</v>
      </c>
      <c r="F22" s="77">
        <f ca="1">OFFSET(Batting!$CJ$4,BatAves!$I22,0)</f>
        <v>22</v>
      </c>
      <c r="G22" s="77">
        <f ca="1">OFFSET(Batting!$CK$4,BatAves!$I22,0)</f>
        <v>84</v>
      </c>
      <c r="H22" s="81">
        <f ca="1">OFFSET(Batting!$CL$4,BatAves!$I22,0)</f>
        <v>10.5</v>
      </c>
      <c r="I22">
        <f>MATCH(A22,Batting!$DF$5:$DF$46,0)</f>
        <v>21</v>
      </c>
      <c r="J22">
        <f t="shared" ca="1" si="0"/>
        <v>21</v>
      </c>
      <c r="K22">
        <f t="shared" ca="1" si="1"/>
        <v>12</v>
      </c>
      <c r="L22" t="str">
        <f t="shared" ca="1" si="2"/>
        <v/>
      </c>
      <c r="M22">
        <f t="shared" ca="1" si="3"/>
        <v>2</v>
      </c>
      <c r="N22">
        <v>21</v>
      </c>
      <c r="O22" s="85" t="str">
        <f t="shared" ca="1" si="4"/>
        <v>Stephens S</v>
      </c>
      <c r="P22" s="85">
        <f t="shared" ca="1" si="5"/>
        <v>3</v>
      </c>
      <c r="Q22" s="85">
        <f t="shared" ca="1" si="6"/>
        <v>1</v>
      </c>
      <c r="R22" s="85">
        <f t="shared" ca="1" si="7"/>
        <v>100</v>
      </c>
      <c r="S22" s="85">
        <f t="shared" ca="1" si="8"/>
        <v>113</v>
      </c>
      <c r="T22" s="132">
        <f t="shared" ca="1" si="9"/>
        <v>56.5</v>
      </c>
    </row>
    <row r="23" spans="1:20" x14ac:dyDescent="0.15">
      <c r="A23">
        <v>22</v>
      </c>
      <c r="B23" t="str">
        <f ca="1">OFFSET(Batting!$C$4,BatAves!$I23,0)</f>
        <v>Lashley W</v>
      </c>
      <c r="C23" s="77">
        <f ca="1">OFFSET(Batting!$CE$4,BatAves!$I23,0)</f>
        <v>1</v>
      </c>
      <c r="D23" s="77">
        <f ca="1">OFFSET(Batting!$CG$4,BatAves!$I23,0)</f>
        <v>1</v>
      </c>
      <c r="E23" s="77">
        <f ca="1">OFFSET(Batting!$CH$4,BatAves!$I23,0)</f>
        <v>0</v>
      </c>
      <c r="F23" s="77">
        <f ca="1">OFFSET(Batting!$CJ$4,BatAves!$I23,0)</f>
        <v>10</v>
      </c>
      <c r="G23" s="77">
        <f ca="1">OFFSET(Batting!$CK$4,BatAves!$I23,0)</f>
        <v>10</v>
      </c>
      <c r="H23" s="81">
        <f ca="1">OFFSET(Batting!$CL$4,BatAves!$I23,0)</f>
        <v>10</v>
      </c>
      <c r="I23">
        <f>MATCH(A23,Batting!$DF$5:$DF$46,0)</f>
        <v>13</v>
      </c>
      <c r="J23">
        <f t="shared" ca="1" si="0"/>
        <v>1022</v>
      </c>
      <c r="K23">
        <f t="shared" ca="1" si="1"/>
        <v>30</v>
      </c>
      <c r="L23" t="str">
        <f t="shared" ca="1" si="2"/>
        <v xml:space="preserve">Lashley W 1-0-10-10, </v>
      </c>
      <c r="M23">
        <f t="shared" ca="1" si="3"/>
        <v>3</v>
      </c>
      <c r="N23">
        <v>22</v>
      </c>
      <c r="O23" s="85" t="str">
        <f t="shared" ca="1" si="4"/>
        <v>Murphy P</v>
      </c>
      <c r="P23" s="85">
        <f t="shared" ca="1" si="5"/>
        <v>2</v>
      </c>
      <c r="Q23" s="85">
        <f t="shared" ca="1" si="6"/>
        <v>1</v>
      </c>
      <c r="R23" s="85" t="str">
        <f t="shared" ca="1" si="7"/>
        <v>50*</v>
      </c>
      <c r="S23" s="85">
        <f t="shared" ca="1" si="8"/>
        <v>52</v>
      </c>
      <c r="T23" s="132">
        <f t="shared" ca="1" si="9"/>
        <v>52</v>
      </c>
    </row>
    <row r="24" spans="1:20" x14ac:dyDescent="0.15">
      <c r="A24">
        <v>23</v>
      </c>
      <c r="B24" t="str">
        <f ca="1">OFFSET(Batting!$C$4,BatAves!$I24,0)</f>
        <v>Shakespeare J</v>
      </c>
      <c r="C24" s="77">
        <f ca="1">OFFSET(Batting!$CE$4,BatAves!$I24,0)</f>
        <v>2</v>
      </c>
      <c r="D24" s="77">
        <f ca="1">OFFSET(Batting!$CG$4,BatAves!$I24,0)</f>
        <v>2</v>
      </c>
      <c r="E24" s="77">
        <f ca="1">OFFSET(Batting!$CH$4,BatAves!$I24,0)</f>
        <v>0</v>
      </c>
      <c r="F24" s="77">
        <f ca="1">OFFSET(Batting!$CJ$4,BatAves!$I24,0)</f>
        <v>12</v>
      </c>
      <c r="G24" s="77">
        <f ca="1">OFFSET(Batting!$CK$4,BatAves!$I24,0)</f>
        <v>18</v>
      </c>
      <c r="H24" s="81">
        <f ca="1">OFFSET(Batting!$CL$4,BatAves!$I24,0)</f>
        <v>9</v>
      </c>
      <c r="I24">
        <f>MATCH(A24,Batting!$DF$5:$DF$46,0)</f>
        <v>31</v>
      </c>
      <c r="J24">
        <f t="shared" ca="1" si="0"/>
        <v>1023</v>
      </c>
      <c r="K24">
        <f t="shared" ca="1" si="1"/>
        <v>31</v>
      </c>
      <c r="L24" t="str">
        <f t="shared" ca="1" si="2"/>
        <v xml:space="preserve">Shakespeare J 2-0-12-18, </v>
      </c>
      <c r="M24">
        <f t="shared" ca="1" si="3"/>
        <v>6</v>
      </c>
      <c r="N24">
        <v>23</v>
      </c>
      <c r="O24" s="85" t="str">
        <f t="shared" ca="1" si="4"/>
        <v>Sharpe D</v>
      </c>
      <c r="P24" s="85">
        <f t="shared" ca="1" si="5"/>
        <v>1</v>
      </c>
      <c r="Q24" s="85">
        <f t="shared" ca="1" si="6"/>
        <v>0</v>
      </c>
      <c r="R24" s="85">
        <f t="shared" ca="1" si="7"/>
        <v>36</v>
      </c>
      <c r="S24" s="85">
        <f t="shared" ca="1" si="8"/>
        <v>36</v>
      </c>
      <c r="T24" s="132">
        <f t="shared" ca="1" si="9"/>
        <v>36</v>
      </c>
    </row>
    <row r="25" spans="1:20" x14ac:dyDescent="0.15">
      <c r="A25">
        <v>24</v>
      </c>
      <c r="B25" t="str">
        <f ca="1">OFFSET(Batting!$C$4,BatAves!$I25,0)</f>
        <v>Lestrelle A</v>
      </c>
      <c r="C25" s="77">
        <f ca="1">OFFSET(Batting!$CE$4,BatAves!$I25,0)</f>
        <v>18</v>
      </c>
      <c r="D25" s="77">
        <f ca="1">OFFSET(Batting!$CG$4,BatAves!$I25,0)</f>
        <v>16</v>
      </c>
      <c r="E25" s="77">
        <f ca="1">OFFSET(Batting!$CH$4,BatAves!$I25,0)</f>
        <v>2</v>
      </c>
      <c r="F25" s="77" t="str">
        <f ca="1">OFFSET(Batting!$CJ$4,BatAves!$I25,0)</f>
        <v>20*</v>
      </c>
      <c r="G25" s="77">
        <f ca="1">OFFSET(Batting!$CK$4,BatAves!$I25,0)</f>
        <v>109</v>
      </c>
      <c r="H25" s="81">
        <f ca="1">OFFSET(Batting!$CL$4,BatAves!$I25,0)</f>
        <v>7.7857142857142856</v>
      </c>
      <c r="I25">
        <f>MATCH(A25,Batting!$DF$5:$DF$46,0)</f>
        <v>17</v>
      </c>
      <c r="J25">
        <f t="shared" ca="1" si="0"/>
        <v>24</v>
      </c>
      <c r="K25">
        <f t="shared" ca="1" si="1"/>
        <v>13</v>
      </c>
      <c r="L25" t="str">
        <f t="shared" ca="1" si="2"/>
        <v/>
      </c>
      <c r="M25">
        <f t="shared" ca="1" si="3"/>
        <v>8</v>
      </c>
      <c r="N25">
        <v>24</v>
      </c>
      <c r="O25" s="85" t="str">
        <f t="shared" ca="1" si="4"/>
        <v>Lea K</v>
      </c>
      <c r="P25" s="85">
        <f t="shared" ca="1" si="5"/>
        <v>2</v>
      </c>
      <c r="Q25" s="85">
        <f t="shared" ca="1" si="6"/>
        <v>0</v>
      </c>
      <c r="R25" s="85">
        <f t="shared" ca="1" si="7"/>
        <v>35</v>
      </c>
      <c r="S25" s="85">
        <f t="shared" ca="1" si="8"/>
        <v>52</v>
      </c>
      <c r="T25" s="132">
        <f t="shared" ca="1" si="9"/>
        <v>26</v>
      </c>
    </row>
    <row r="26" spans="1:20" x14ac:dyDescent="0.15">
      <c r="A26">
        <v>25</v>
      </c>
      <c r="B26" t="str">
        <f ca="1">OFFSET(Batting!$C$4,BatAves!$I26,0)</f>
        <v>Greyling R</v>
      </c>
      <c r="C26" s="77">
        <f ca="1">OFFSET(Batting!$CE$4,BatAves!$I26,0)</f>
        <v>2</v>
      </c>
      <c r="D26" s="77">
        <f ca="1">OFFSET(Batting!$CG$4,BatAves!$I26,0)</f>
        <v>2</v>
      </c>
      <c r="E26" s="77">
        <f ca="1">OFFSET(Batting!$CH$4,BatAves!$I26,0)</f>
        <v>0</v>
      </c>
      <c r="F26" s="77">
        <f ca="1">OFFSET(Batting!$CJ$4,BatAves!$I26,0)</f>
        <v>15</v>
      </c>
      <c r="G26" s="77">
        <f ca="1">OFFSET(Batting!$CK$4,BatAves!$I26,0)</f>
        <v>15</v>
      </c>
      <c r="H26" s="81">
        <f ca="1">OFFSET(Batting!$CL$4,BatAves!$I26,0)</f>
        <v>7.5</v>
      </c>
      <c r="I26">
        <f>MATCH(A26,Batting!$DF$5:$DF$46,0)</f>
        <v>11</v>
      </c>
      <c r="J26">
        <f t="shared" ca="1" si="0"/>
        <v>1025</v>
      </c>
      <c r="K26">
        <f t="shared" ca="1" si="1"/>
        <v>32</v>
      </c>
      <c r="L26" t="str">
        <f t="shared" ca="1" si="2"/>
        <v xml:space="preserve">Greyling R 2-0-15-15, </v>
      </c>
      <c r="M26">
        <f t="shared" ca="1" si="3"/>
        <v>9</v>
      </c>
      <c r="N26">
        <v>25</v>
      </c>
      <c r="O26" s="85" t="str">
        <f t="shared" ca="1" si="4"/>
        <v>Middleton</v>
      </c>
      <c r="P26" s="85">
        <f t="shared" ca="1" si="5"/>
        <v>4</v>
      </c>
      <c r="Q26" s="85">
        <f t="shared" ca="1" si="6"/>
        <v>0</v>
      </c>
      <c r="R26" s="85">
        <f t="shared" ca="1" si="7"/>
        <v>49</v>
      </c>
      <c r="S26" s="85">
        <f t="shared" ca="1" si="8"/>
        <v>85</v>
      </c>
      <c r="T26" s="132">
        <f t="shared" ca="1" si="9"/>
        <v>21.25</v>
      </c>
    </row>
    <row r="27" spans="1:20" x14ac:dyDescent="0.15">
      <c r="A27">
        <v>26</v>
      </c>
      <c r="B27" t="str">
        <f ca="1">OFFSET(Batting!$C$4,BatAves!$I27,0)</f>
        <v>Bowers M</v>
      </c>
      <c r="C27" s="77">
        <f ca="1">OFFSET(Batting!$CE$4,BatAves!$I27,0)</f>
        <v>17</v>
      </c>
      <c r="D27" s="77">
        <f ca="1">OFFSET(Batting!$CG$4,BatAves!$I27,0)</f>
        <v>15</v>
      </c>
      <c r="E27" s="77">
        <f ca="1">OFFSET(Batting!$CH$4,BatAves!$I27,0)</f>
        <v>6</v>
      </c>
      <c r="F27" s="77" t="str">
        <f ca="1">OFFSET(Batting!$CJ$4,BatAves!$I27,0)</f>
        <v>19*</v>
      </c>
      <c r="G27" s="77">
        <f ca="1">OFFSET(Batting!$CK$4,BatAves!$I27,0)</f>
        <v>66</v>
      </c>
      <c r="H27" s="81">
        <f ca="1">OFFSET(Batting!$CL$4,BatAves!$I27,0)</f>
        <v>7.333333333333333</v>
      </c>
      <c r="I27">
        <f>MATCH(A27,Batting!$DF$5:$DF$46,0)</f>
        <v>1</v>
      </c>
      <c r="J27">
        <f t="shared" ca="1" si="0"/>
        <v>26</v>
      </c>
      <c r="K27">
        <f t="shared" ca="1" si="1"/>
        <v>14</v>
      </c>
      <c r="L27" t="str">
        <f t="shared" ca="1" si="2"/>
        <v/>
      </c>
      <c r="M27">
        <f t="shared" ca="1" si="3"/>
        <v>10</v>
      </c>
      <c r="N27">
        <v>26</v>
      </c>
      <c r="O27" s="85" t="str">
        <f t="shared" ca="1" si="4"/>
        <v>Springer T</v>
      </c>
      <c r="P27" s="85">
        <f t="shared" ca="1" si="5"/>
        <v>2</v>
      </c>
      <c r="Q27" s="85">
        <f t="shared" ca="1" si="6"/>
        <v>0</v>
      </c>
      <c r="R27" s="85">
        <f t="shared" ca="1" si="7"/>
        <v>24</v>
      </c>
      <c r="S27" s="85">
        <f t="shared" ca="1" si="8"/>
        <v>38</v>
      </c>
      <c r="T27" s="132">
        <f t="shared" ca="1" si="9"/>
        <v>19</v>
      </c>
    </row>
    <row r="28" spans="1:20" x14ac:dyDescent="0.15">
      <c r="A28">
        <v>27</v>
      </c>
      <c r="B28" t="str">
        <f ca="1">OFFSET(Batting!$C$4,BatAves!$I28,0)</f>
        <v>Snow D</v>
      </c>
      <c r="C28" s="77">
        <f ca="1">OFFSET(Batting!$CE$4,BatAves!$I28,0)</f>
        <v>3</v>
      </c>
      <c r="D28" s="77">
        <f ca="1">OFFSET(Batting!$CG$4,BatAves!$I28,0)</f>
        <v>3</v>
      </c>
      <c r="E28" s="77">
        <f ca="1">OFFSET(Batting!$CH$4,BatAves!$I28,0)</f>
        <v>0</v>
      </c>
      <c r="F28" s="77">
        <f ca="1">OFFSET(Batting!$CJ$4,BatAves!$I28,0)</f>
        <v>11</v>
      </c>
      <c r="G28" s="77">
        <f ca="1">OFFSET(Batting!$CK$4,BatAves!$I28,0)</f>
        <v>21</v>
      </c>
      <c r="H28" s="81">
        <f ca="1">OFFSET(Batting!$CL$4,BatAves!$I28,0)</f>
        <v>7</v>
      </c>
      <c r="I28">
        <f>MATCH(A28,Batting!$DF$5:$DF$46,0)</f>
        <v>34</v>
      </c>
      <c r="J28">
        <f t="shared" ca="1" si="0"/>
        <v>1027</v>
      </c>
      <c r="K28">
        <f t="shared" ca="1" si="1"/>
        <v>33</v>
      </c>
      <c r="L28" t="str">
        <f t="shared" ca="1" si="2"/>
        <v xml:space="preserve">Snow D 3-0-11-21, </v>
      </c>
      <c r="M28">
        <f t="shared" ca="1" si="3"/>
        <v>16</v>
      </c>
      <c r="N28">
        <v>27</v>
      </c>
      <c r="O28" s="85" t="str">
        <f t="shared" ca="1" si="4"/>
        <v>Anand</v>
      </c>
      <c r="P28" s="85">
        <f t="shared" ca="1" si="5"/>
        <v>3</v>
      </c>
      <c r="Q28" s="85">
        <f t="shared" ca="1" si="6"/>
        <v>0</v>
      </c>
      <c r="R28" s="85">
        <f t="shared" ca="1" si="7"/>
        <v>30</v>
      </c>
      <c r="S28" s="85">
        <f t="shared" ca="1" si="8"/>
        <v>39</v>
      </c>
      <c r="T28" s="132">
        <f t="shared" ca="1" si="9"/>
        <v>13</v>
      </c>
    </row>
    <row r="29" spans="1:20" x14ac:dyDescent="0.15">
      <c r="A29">
        <v>28</v>
      </c>
      <c r="B29" t="str">
        <f ca="1">OFFSET(Batting!$C$4,BatAves!$I29,0)</f>
        <v>Wightwick T</v>
      </c>
      <c r="C29" s="77">
        <f ca="1">OFFSET(Batting!$CE$4,BatAves!$I29,0)</f>
        <v>1</v>
      </c>
      <c r="D29" s="77">
        <f ca="1">OFFSET(Batting!$CG$4,BatAves!$I29,0)</f>
        <v>1</v>
      </c>
      <c r="E29" s="77">
        <f ca="1">OFFSET(Batting!$CH$4,BatAves!$I29,0)</f>
        <v>0</v>
      </c>
      <c r="F29" s="77">
        <f ca="1">OFFSET(Batting!$CJ$4,BatAves!$I29,0)</f>
        <v>7</v>
      </c>
      <c r="G29" s="77">
        <f ca="1">OFFSET(Batting!$CK$4,BatAves!$I29,0)</f>
        <v>7</v>
      </c>
      <c r="H29" s="81">
        <f ca="1">OFFSET(Batting!$CL$4,BatAves!$I29,0)</f>
        <v>7</v>
      </c>
      <c r="I29">
        <f>MATCH(A29,Batting!$DF$5:$DF$46,0)</f>
        <v>39</v>
      </c>
      <c r="J29">
        <f t="shared" ca="1" si="0"/>
        <v>1028</v>
      </c>
      <c r="K29">
        <f t="shared" ca="1" si="1"/>
        <v>34</v>
      </c>
      <c r="L29" t="str">
        <f t="shared" ca="1" si="2"/>
        <v xml:space="preserve">Wightwick T 1-0-7-7, </v>
      </c>
      <c r="M29">
        <f t="shared" ca="1" si="3"/>
        <v>17</v>
      </c>
      <c r="N29">
        <v>28</v>
      </c>
      <c r="O29" s="85" t="str">
        <f t="shared" ca="1" si="4"/>
        <v>Collins N</v>
      </c>
      <c r="P29" s="85">
        <f t="shared" ca="1" si="5"/>
        <v>1</v>
      </c>
      <c r="Q29" s="85">
        <f t="shared" ca="1" si="6"/>
        <v>0</v>
      </c>
      <c r="R29" s="85">
        <f t="shared" ca="1" si="7"/>
        <v>13</v>
      </c>
      <c r="S29" s="85">
        <f t="shared" ca="1" si="8"/>
        <v>13</v>
      </c>
      <c r="T29" s="132">
        <f t="shared" ca="1" si="9"/>
        <v>13</v>
      </c>
    </row>
    <row r="30" spans="1:20" x14ac:dyDescent="0.15">
      <c r="A30">
        <v>29</v>
      </c>
      <c r="B30" t="str">
        <f ca="1">OFFSET(Batting!$C$4,BatAves!$I30,0)</f>
        <v>Lestrelle J</v>
      </c>
      <c r="C30" s="77">
        <f ca="1">OFFSET(Batting!$CE$4,BatAves!$I30,0)</f>
        <v>15</v>
      </c>
      <c r="D30" s="77">
        <f ca="1">OFFSET(Batting!$CG$4,BatAves!$I30,0)</f>
        <v>14</v>
      </c>
      <c r="E30" s="77">
        <f ca="1">OFFSET(Batting!$CH$4,BatAves!$I30,0)</f>
        <v>0</v>
      </c>
      <c r="F30" s="77">
        <f ca="1">OFFSET(Batting!$CJ$4,BatAves!$I30,0)</f>
        <v>25</v>
      </c>
      <c r="G30" s="77">
        <f ca="1">OFFSET(Batting!$CK$4,BatAves!$I30,0)</f>
        <v>94</v>
      </c>
      <c r="H30" s="81">
        <f ca="1">OFFSET(Batting!$CL$4,BatAves!$I30,0)</f>
        <v>6.7142857142857144</v>
      </c>
      <c r="I30">
        <f>MATCH(A30,Batting!$DF$5:$DF$46,0)</f>
        <v>18</v>
      </c>
      <c r="J30">
        <f t="shared" ca="1" si="0"/>
        <v>29</v>
      </c>
      <c r="K30">
        <f t="shared" ca="1" si="1"/>
        <v>15</v>
      </c>
      <c r="L30" t="str">
        <f t="shared" ca="1" si="2"/>
        <v/>
      </c>
      <c r="M30">
        <f t="shared" ca="1" si="3"/>
        <v>18</v>
      </c>
      <c r="N30">
        <v>29</v>
      </c>
      <c r="O30" s="85" t="str">
        <f t="shared" ca="1" si="4"/>
        <v>Mander C</v>
      </c>
      <c r="P30" s="85">
        <f t="shared" ca="1" si="5"/>
        <v>2</v>
      </c>
      <c r="Q30" s="85">
        <f t="shared" ca="1" si="6"/>
        <v>0</v>
      </c>
      <c r="R30" s="85">
        <f t="shared" ca="1" si="7"/>
        <v>17</v>
      </c>
      <c r="S30" s="85">
        <f t="shared" ca="1" si="8"/>
        <v>25</v>
      </c>
      <c r="T30" s="132">
        <f t="shared" ca="1" si="9"/>
        <v>12.5</v>
      </c>
    </row>
    <row r="31" spans="1:20" x14ac:dyDescent="0.15">
      <c r="A31">
        <v>30</v>
      </c>
      <c r="B31" t="str">
        <f ca="1">OFFSET(Batting!$C$4,BatAves!$I31,0)</f>
        <v>Rollins R</v>
      </c>
      <c r="C31" s="77">
        <f ca="1">OFFSET(Batting!$CE$4,BatAves!$I31,0)</f>
        <v>11</v>
      </c>
      <c r="D31" s="77">
        <f ca="1">OFFSET(Batting!$CG$4,BatAves!$I31,0)</f>
        <v>11</v>
      </c>
      <c r="E31" s="77">
        <f ca="1">OFFSET(Batting!$CH$4,BatAves!$I31,0)</f>
        <v>1</v>
      </c>
      <c r="F31" s="77">
        <f ca="1">OFFSET(Batting!$CJ$4,BatAves!$I31,0)</f>
        <v>23</v>
      </c>
      <c r="G31" s="77">
        <f ca="1">OFFSET(Batting!$CK$4,BatAves!$I31,0)</f>
        <v>60</v>
      </c>
      <c r="H31" s="81">
        <f ca="1">OFFSET(Batting!$CL$4,BatAves!$I31,0)</f>
        <v>6</v>
      </c>
      <c r="I31">
        <f>MATCH(A31,Batting!$DF$5:$DF$46,0)</f>
        <v>28</v>
      </c>
      <c r="J31">
        <f t="shared" ca="1" si="0"/>
        <v>30</v>
      </c>
      <c r="K31">
        <f t="shared" ca="1" si="1"/>
        <v>16</v>
      </c>
      <c r="L31" t="str">
        <f t="shared" ca="1" si="2"/>
        <v/>
      </c>
      <c r="M31">
        <f t="shared" ca="1" si="3"/>
        <v>22</v>
      </c>
      <c r="N31">
        <v>30</v>
      </c>
      <c r="O31" s="85" t="str">
        <f t="shared" ca="1" si="4"/>
        <v>Lashley W</v>
      </c>
      <c r="P31" s="85">
        <f t="shared" ca="1" si="5"/>
        <v>1</v>
      </c>
      <c r="Q31" s="85">
        <f t="shared" ca="1" si="6"/>
        <v>0</v>
      </c>
      <c r="R31" s="85">
        <f t="shared" ca="1" si="7"/>
        <v>10</v>
      </c>
      <c r="S31" s="85">
        <f t="shared" ca="1" si="8"/>
        <v>10</v>
      </c>
      <c r="T31" s="132">
        <f t="shared" ca="1" si="9"/>
        <v>10</v>
      </c>
    </row>
    <row r="32" spans="1:20" x14ac:dyDescent="0.15">
      <c r="A32">
        <v>31</v>
      </c>
      <c r="B32" t="str">
        <f ca="1">OFFSET(Batting!$C$4,BatAves!$I32,0)</f>
        <v>Patel N</v>
      </c>
      <c r="C32" s="77">
        <f ca="1">OFFSET(Batting!$CE$4,BatAves!$I32,0)</f>
        <v>5</v>
      </c>
      <c r="D32" s="77">
        <f ca="1">OFFSET(Batting!$CG$4,BatAves!$I32,0)</f>
        <v>5</v>
      </c>
      <c r="E32" s="77">
        <f ca="1">OFFSET(Batting!$CH$4,BatAves!$I32,0)</f>
        <v>1</v>
      </c>
      <c r="F32" s="77" t="str">
        <f ca="1">OFFSET(Batting!$CJ$4,BatAves!$I32,0)</f>
        <v>15*</v>
      </c>
      <c r="G32" s="77">
        <f ca="1">OFFSET(Batting!$CK$4,BatAves!$I32,0)</f>
        <v>22</v>
      </c>
      <c r="H32" s="81">
        <f ca="1">OFFSET(Batting!$CL$4,BatAves!$I32,0)</f>
        <v>5.5</v>
      </c>
      <c r="I32">
        <f>MATCH(A32,Batting!$DF$5:$DF$46,0)</f>
        <v>27</v>
      </c>
      <c r="J32">
        <f t="shared" ca="1" si="0"/>
        <v>31</v>
      </c>
      <c r="K32">
        <f t="shared" ca="1" si="1"/>
        <v>17</v>
      </c>
      <c r="L32" t="str">
        <f t="shared" ca="1" si="2"/>
        <v/>
      </c>
      <c r="M32">
        <f t="shared" ca="1" si="3"/>
        <v>23</v>
      </c>
      <c r="N32">
        <v>31</v>
      </c>
      <c r="O32" s="85" t="str">
        <f t="shared" ca="1" si="4"/>
        <v>Shakespeare J</v>
      </c>
      <c r="P32" s="85">
        <f t="shared" ca="1" si="5"/>
        <v>2</v>
      </c>
      <c r="Q32" s="85">
        <f t="shared" ca="1" si="6"/>
        <v>0</v>
      </c>
      <c r="R32" s="85">
        <f t="shared" ca="1" si="7"/>
        <v>12</v>
      </c>
      <c r="S32" s="85">
        <f t="shared" ca="1" si="8"/>
        <v>18</v>
      </c>
      <c r="T32" s="132">
        <f t="shared" ca="1" si="9"/>
        <v>9</v>
      </c>
    </row>
    <row r="33" spans="1:20" x14ac:dyDescent="0.15">
      <c r="A33">
        <v>32</v>
      </c>
      <c r="B33" t="str">
        <f ca="1">OFFSET(Batting!$C$4,BatAves!$I33,0)</f>
        <v>Shah J</v>
      </c>
      <c r="C33" s="77">
        <f ca="1">OFFSET(Batting!$CE$4,BatAves!$I33,0)</f>
        <v>2</v>
      </c>
      <c r="D33" s="77">
        <f ca="1">OFFSET(Batting!$CG$4,BatAves!$I33,0)</f>
        <v>2</v>
      </c>
      <c r="E33" s="77">
        <f ca="1">OFFSET(Batting!$CH$4,BatAves!$I33,0)</f>
        <v>0</v>
      </c>
      <c r="F33" s="77">
        <f ca="1">OFFSET(Batting!$CJ$4,BatAves!$I33,0)</f>
        <v>10</v>
      </c>
      <c r="G33" s="77">
        <f ca="1">OFFSET(Batting!$CK$4,BatAves!$I33,0)</f>
        <v>11</v>
      </c>
      <c r="H33" s="81">
        <f ca="1">OFFSET(Batting!$CL$4,BatAves!$I33,0)</f>
        <v>5.5</v>
      </c>
      <c r="I33">
        <f>MATCH(A33,Batting!$DF$5:$DF$46,0)</f>
        <v>30</v>
      </c>
      <c r="J33">
        <f t="shared" ca="1" si="0"/>
        <v>1032</v>
      </c>
      <c r="K33">
        <f t="shared" ca="1" si="1"/>
        <v>35</v>
      </c>
      <c r="L33" t="str">
        <f t="shared" ca="1" si="2"/>
        <v xml:space="preserve">Shah J 2-0-10-11, </v>
      </c>
      <c r="M33">
        <f t="shared" ca="1" si="3"/>
        <v>25</v>
      </c>
      <c r="N33">
        <v>32</v>
      </c>
      <c r="O33" s="85" t="str">
        <f t="shared" ca="1" si="4"/>
        <v>Greyling R</v>
      </c>
      <c r="P33" s="85">
        <f t="shared" ca="1" si="5"/>
        <v>2</v>
      </c>
      <c r="Q33" s="85">
        <f t="shared" ca="1" si="6"/>
        <v>0</v>
      </c>
      <c r="R33" s="85">
        <f t="shared" ca="1" si="7"/>
        <v>15</v>
      </c>
      <c r="S33" s="85">
        <f t="shared" ca="1" si="8"/>
        <v>15</v>
      </c>
      <c r="T33" s="132">
        <f t="shared" ca="1" si="9"/>
        <v>7.5</v>
      </c>
    </row>
    <row r="34" spans="1:20" x14ac:dyDescent="0.15">
      <c r="A34">
        <v>33</v>
      </c>
      <c r="B34" t="str">
        <f ca="1">OFFSET(Batting!$C$4,BatAves!$I34,0)</f>
        <v>Spurgeon</v>
      </c>
      <c r="C34" s="77">
        <f ca="1">OFFSET(Batting!$CE$4,BatAves!$I34,0)</f>
        <v>3</v>
      </c>
      <c r="D34" s="77">
        <f ca="1">OFFSET(Batting!$CG$4,BatAves!$I34,0)</f>
        <v>3</v>
      </c>
      <c r="E34" s="77">
        <f ca="1">OFFSET(Batting!$CH$4,BatAves!$I34,0)</f>
        <v>0</v>
      </c>
      <c r="F34" s="77">
        <f ca="1">OFFSET(Batting!$CJ$4,BatAves!$I34,0)</f>
        <v>9</v>
      </c>
      <c r="G34" s="77">
        <f ca="1">OFFSET(Batting!$CK$4,BatAves!$I34,0)</f>
        <v>13</v>
      </c>
      <c r="H34" s="81">
        <f ca="1">OFFSET(Batting!$CL$4,BatAves!$I34,0)</f>
        <v>4.333333333333333</v>
      </c>
      <c r="I34">
        <f>MATCH(A34,Batting!$DF$5:$DF$46,0)</f>
        <v>36</v>
      </c>
      <c r="J34">
        <f t="shared" ca="1" si="0"/>
        <v>1033</v>
      </c>
      <c r="K34">
        <f t="shared" ca="1" si="1"/>
        <v>36</v>
      </c>
      <c r="L34" t="str">
        <f t="shared" ca="1" si="2"/>
        <v xml:space="preserve">Spurgeon 3-0-9-13, </v>
      </c>
      <c r="M34">
        <f t="shared" ca="1" si="3"/>
        <v>27</v>
      </c>
      <c r="N34">
        <v>33</v>
      </c>
      <c r="O34" s="85" t="str">
        <f t="shared" ca="1" si="4"/>
        <v>Snow D</v>
      </c>
      <c r="P34" s="85">
        <f t="shared" ca="1" si="5"/>
        <v>3</v>
      </c>
      <c r="Q34" s="85">
        <f t="shared" ca="1" si="6"/>
        <v>0</v>
      </c>
      <c r="R34" s="85">
        <f t="shared" ca="1" si="7"/>
        <v>11</v>
      </c>
      <c r="S34" s="85">
        <f t="shared" ca="1" si="8"/>
        <v>21</v>
      </c>
      <c r="T34" s="132">
        <f t="shared" ca="1" si="9"/>
        <v>7</v>
      </c>
    </row>
    <row r="35" spans="1:20" x14ac:dyDescent="0.15">
      <c r="A35">
        <v>34</v>
      </c>
      <c r="B35" t="str">
        <f ca="1">OFFSET(Batting!$C$4,BatAves!$I35,0)</f>
        <v>Lovell A</v>
      </c>
      <c r="C35" s="77">
        <f ca="1">OFFSET(Batting!$CE$4,BatAves!$I35,0)</f>
        <v>1</v>
      </c>
      <c r="D35" s="77">
        <f ca="1">OFFSET(Batting!$CG$4,BatAves!$I35,0)</f>
        <v>1</v>
      </c>
      <c r="E35" s="77">
        <f ca="1">OFFSET(Batting!$CH$4,BatAves!$I35,0)</f>
        <v>0</v>
      </c>
      <c r="F35" s="77">
        <f ca="1">OFFSET(Batting!$CJ$4,BatAves!$I35,0)</f>
        <v>4</v>
      </c>
      <c r="G35" s="77">
        <f ca="1">OFFSET(Batting!$CK$4,BatAves!$I35,0)</f>
        <v>4</v>
      </c>
      <c r="H35" s="81">
        <f ca="1">OFFSET(Batting!$CL$4,BatAves!$I35,0)</f>
        <v>4</v>
      </c>
      <c r="I35">
        <f>MATCH(A35,Batting!$DF$5:$DF$46,0)</f>
        <v>20</v>
      </c>
      <c r="J35">
        <f t="shared" ca="1" si="0"/>
        <v>1034</v>
      </c>
      <c r="K35">
        <f t="shared" ca="1" si="1"/>
        <v>37</v>
      </c>
      <c r="L35" t="str">
        <f t="shared" ca="1" si="2"/>
        <v xml:space="preserve">Lovell A 1-0-4-4, </v>
      </c>
      <c r="M35">
        <f t="shared" ca="1" si="3"/>
        <v>28</v>
      </c>
      <c r="N35">
        <v>34</v>
      </c>
      <c r="O35" s="85" t="str">
        <f t="shared" ca="1" si="4"/>
        <v>Wightwick T</v>
      </c>
      <c r="P35" s="85">
        <f t="shared" ca="1" si="5"/>
        <v>1</v>
      </c>
      <c r="Q35" s="85">
        <f t="shared" ca="1" si="6"/>
        <v>0</v>
      </c>
      <c r="R35" s="85">
        <f t="shared" ca="1" si="7"/>
        <v>7</v>
      </c>
      <c r="S35" s="85">
        <f t="shared" ca="1" si="8"/>
        <v>7</v>
      </c>
      <c r="T35" s="132">
        <f t="shared" ca="1" si="9"/>
        <v>7</v>
      </c>
    </row>
    <row r="36" spans="1:20" x14ac:dyDescent="0.15">
      <c r="A36">
        <v>35</v>
      </c>
      <c r="B36" t="str">
        <f ca="1">OFFSET(Batting!$C$4,BatAves!$I36,0)</f>
        <v>Wiseman R</v>
      </c>
      <c r="C36" s="77">
        <f ca="1">OFFSET(Batting!$CE$4,BatAves!$I36,0)</f>
        <v>9</v>
      </c>
      <c r="D36" s="77">
        <f ca="1">OFFSET(Batting!$CG$4,BatAves!$I36,0)</f>
        <v>6</v>
      </c>
      <c r="E36" s="77">
        <f ca="1">OFFSET(Batting!$CH$4,BatAves!$I36,0)</f>
        <v>1</v>
      </c>
      <c r="F36" s="77" t="str">
        <f ca="1">OFFSET(Batting!$CJ$4,BatAves!$I36,0)</f>
        <v>10*</v>
      </c>
      <c r="G36" s="77">
        <f ca="1">OFFSET(Batting!$CK$4,BatAves!$I36,0)</f>
        <v>17</v>
      </c>
      <c r="H36" s="81">
        <f ca="1">OFFSET(Batting!$CL$4,BatAves!$I36,0)</f>
        <v>3.4</v>
      </c>
      <c r="I36">
        <f>MATCH(A36,Batting!$DF$5:$DF$46,0)</f>
        <v>40</v>
      </c>
      <c r="J36">
        <f t="shared" ca="1" si="0"/>
        <v>35</v>
      </c>
      <c r="K36">
        <f t="shared" ca="1" si="1"/>
        <v>18</v>
      </c>
      <c r="L36" t="str">
        <f t="shared" ca="1" si="2"/>
        <v/>
      </c>
      <c r="M36">
        <f t="shared" ca="1" si="3"/>
        <v>32</v>
      </c>
      <c r="N36">
        <v>35</v>
      </c>
      <c r="O36" s="85" t="str">
        <f t="shared" ca="1" si="4"/>
        <v>Shah J</v>
      </c>
      <c r="P36" s="85">
        <f t="shared" ca="1" si="5"/>
        <v>2</v>
      </c>
      <c r="Q36" s="85">
        <f t="shared" ca="1" si="6"/>
        <v>0</v>
      </c>
      <c r="R36" s="85">
        <f t="shared" ca="1" si="7"/>
        <v>10</v>
      </c>
      <c r="S36" s="85">
        <f t="shared" ca="1" si="8"/>
        <v>11</v>
      </c>
      <c r="T36" s="132">
        <f t="shared" ca="1" si="9"/>
        <v>5.5</v>
      </c>
    </row>
    <row r="37" spans="1:20" x14ac:dyDescent="0.15">
      <c r="A37">
        <v>36</v>
      </c>
      <c r="B37" t="str">
        <f ca="1">OFFSET(Batting!$C$4,BatAves!$I37,0)</f>
        <v>Smith C</v>
      </c>
      <c r="C37" s="77">
        <f ca="1">OFFSET(Batting!$CE$4,BatAves!$I37,0)</f>
        <v>14</v>
      </c>
      <c r="D37" s="77">
        <f ca="1">OFFSET(Batting!$CG$4,BatAves!$I37,0)</f>
        <v>13</v>
      </c>
      <c r="E37" s="77">
        <f ca="1">OFFSET(Batting!$CH$4,BatAves!$I37,0)</f>
        <v>0</v>
      </c>
      <c r="F37" s="77">
        <f ca="1">OFFSET(Batting!$CJ$4,BatAves!$I37,0)</f>
        <v>11</v>
      </c>
      <c r="G37" s="77">
        <f ca="1">OFFSET(Batting!$CK$4,BatAves!$I37,0)</f>
        <v>38</v>
      </c>
      <c r="H37" s="81">
        <f ca="1">OFFSET(Batting!$CL$4,BatAves!$I37,0)</f>
        <v>2.9230769230769229</v>
      </c>
      <c r="I37">
        <f>MATCH(A37,Batting!$DF$5:$DF$46,0)</f>
        <v>33</v>
      </c>
      <c r="J37">
        <f t="shared" ca="1" si="0"/>
        <v>36</v>
      </c>
      <c r="K37">
        <f t="shared" ca="1" si="1"/>
        <v>19</v>
      </c>
      <c r="L37" t="str">
        <f t="shared" ca="1" si="2"/>
        <v/>
      </c>
      <c r="M37">
        <f t="shared" ca="1" si="3"/>
        <v>33</v>
      </c>
      <c r="N37">
        <v>36</v>
      </c>
      <c r="O37" s="85" t="str">
        <f t="shared" ca="1" si="4"/>
        <v>Spurgeon</v>
      </c>
      <c r="P37" s="85">
        <f t="shared" ca="1" si="5"/>
        <v>3</v>
      </c>
      <c r="Q37" s="85">
        <f t="shared" ca="1" si="6"/>
        <v>0</v>
      </c>
      <c r="R37" s="85">
        <f t="shared" ca="1" si="7"/>
        <v>9</v>
      </c>
      <c r="S37" s="85">
        <f t="shared" ca="1" si="8"/>
        <v>13</v>
      </c>
      <c r="T37" s="132">
        <f t="shared" ca="1" si="9"/>
        <v>4.333333333333333</v>
      </c>
    </row>
    <row r="38" spans="1:20" x14ac:dyDescent="0.15">
      <c r="A38">
        <v>37</v>
      </c>
      <c r="B38" t="str">
        <f ca="1">OFFSET(Batting!$C$4,BatAves!$I38,0)</f>
        <v>Kiernan M</v>
      </c>
      <c r="C38" s="77">
        <f ca="1">OFFSET(Batting!$CE$4,BatAves!$I38,0)</f>
        <v>9</v>
      </c>
      <c r="D38" s="77">
        <f ca="1">OFFSET(Batting!$CG$4,BatAves!$I38,0)</f>
        <v>7</v>
      </c>
      <c r="E38" s="77">
        <f ca="1">OFFSET(Batting!$CH$4,BatAves!$I38,0)</f>
        <v>2</v>
      </c>
      <c r="F38" s="77" t="str">
        <f ca="1">OFFSET(Batting!$CJ$4,BatAves!$I38,0)</f>
        <v>4*</v>
      </c>
      <c r="G38" s="77">
        <f ca="1">OFFSET(Batting!$CK$4,BatAves!$I38,0)</f>
        <v>7</v>
      </c>
      <c r="H38" s="81">
        <f ca="1">OFFSET(Batting!$CL$4,BatAves!$I38,0)</f>
        <v>1.4</v>
      </c>
      <c r="I38">
        <f>MATCH(A38,Batting!$DF$5:$DF$46,0)</f>
        <v>12</v>
      </c>
      <c r="J38">
        <f t="shared" ca="1" si="0"/>
        <v>37</v>
      </c>
      <c r="K38">
        <f t="shared" ca="1" si="1"/>
        <v>20</v>
      </c>
      <c r="L38" t="str">
        <f t="shared" ca="1" si="2"/>
        <v/>
      </c>
      <c r="M38">
        <f t="shared" ca="1" si="3"/>
        <v>34</v>
      </c>
      <c r="N38">
        <v>37</v>
      </c>
      <c r="O38" s="85" t="str">
        <f t="shared" ca="1" si="4"/>
        <v>Lovell A</v>
      </c>
      <c r="P38" s="85">
        <f t="shared" ca="1" si="5"/>
        <v>1</v>
      </c>
      <c r="Q38" s="85">
        <f t="shared" ca="1" si="6"/>
        <v>0</v>
      </c>
      <c r="R38" s="85">
        <f t="shared" ca="1" si="7"/>
        <v>4</v>
      </c>
      <c r="S38" s="85">
        <f t="shared" ca="1" si="8"/>
        <v>4</v>
      </c>
      <c r="T38" s="132">
        <f t="shared" ca="1" si="9"/>
        <v>4</v>
      </c>
    </row>
    <row r="39" spans="1:20" x14ac:dyDescent="0.15">
      <c r="A39">
        <v>38</v>
      </c>
      <c r="B39" t="str">
        <f ca="1">OFFSET(Batting!$C$4,BatAves!$I39,0)</f>
        <v>Lea S</v>
      </c>
      <c r="C39" s="77">
        <f ca="1">OFFSET(Batting!$CE$4,BatAves!$I39,0)</f>
        <v>2</v>
      </c>
      <c r="D39" s="77">
        <f ca="1">OFFSET(Batting!$CG$4,BatAves!$I39,0)</f>
        <v>2</v>
      </c>
      <c r="E39" s="77">
        <f ca="1">OFFSET(Batting!$CH$4,BatAves!$I39,0)</f>
        <v>0</v>
      </c>
      <c r="F39" s="77">
        <f ca="1">OFFSET(Batting!$CJ$4,BatAves!$I39,0)</f>
        <v>1</v>
      </c>
      <c r="G39" s="77">
        <f ca="1">OFFSET(Batting!$CK$4,BatAves!$I39,0)</f>
        <v>1</v>
      </c>
      <c r="H39" s="81">
        <f ca="1">OFFSET(Batting!$CL$4,BatAves!$I39,0)</f>
        <v>0.5</v>
      </c>
      <c r="I39">
        <f>MATCH(A39,Batting!$DF$5:$DF$46,0)</f>
        <v>15</v>
      </c>
      <c r="J39">
        <f t="shared" ca="1" si="0"/>
        <v>1038</v>
      </c>
      <c r="K39">
        <f t="shared" ca="1" si="1"/>
        <v>38</v>
      </c>
      <c r="L39" t="str">
        <f t="shared" ca="1" si="2"/>
        <v xml:space="preserve">Lea S 2-0-1-1, </v>
      </c>
      <c r="M39">
        <f t="shared" ca="1" si="3"/>
        <v>38</v>
      </c>
      <c r="N39">
        <v>38</v>
      </c>
      <c r="O39" s="85" t="str">
        <f t="shared" ca="1" si="4"/>
        <v>Lea S</v>
      </c>
      <c r="P39" s="85">
        <f t="shared" ca="1" si="5"/>
        <v>2</v>
      </c>
      <c r="Q39" s="85">
        <f t="shared" ca="1" si="6"/>
        <v>0</v>
      </c>
      <c r="R39" s="85">
        <f t="shared" ca="1" si="7"/>
        <v>1</v>
      </c>
      <c r="S39" s="85">
        <f t="shared" ca="1" si="8"/>
        <v>1</v>
      </c>
      <c r="T39" s="132">
        <f t="shared" ca="1" si="9"/>
        <v>0.5</v>
      </c>
    </row>
    <row r="40" spans="1:20" x14ac:dyDescent="0.15">
      <c r="A40">
        <v>39</v>
      </c>
      <c r="B40" t="str">
        <f ca="1">OFFSET(Batting!$C$4,BatAves!$I40,0)</f>
        <v>Odeneal R</v>
      </c>
      <c r="C40" s="77">
        <f ca="1">OFFSET(Batting!$CE$4,BatAves!$I40,0)</f>
        <v>3</v>
      </c>
      <c r="D40" s="77">
        <f ca="1">OFFSET(Batting!$CG$4,BatAves!$I40,0)</f>
        <v>2</v>
      </c>
      <c r="E40" s="77">
        <f ca="1">OFFSET(Batting!$CH$4,BatAves!$I40,0)</f>
        <v>0</v>
      </c>
      <c r="F40" s="77">
        <f ca="1">OFFSET(Batting!$CJ$4,BatAves!$I40,0)</f>
        <v>0</v>
      </c>
      <c r="G40" s="77">
        <f ca="1">OFFSET(Batting!$CK$4,BatAves!$I40,0)</f>
        <v>0</v>
      </c>
      <c r="H40" s="81">
        <f ca="1">OFFSET(Batting!$CL$4,BatAves!$I40,0)</f>
        <v>0</v>
      </c>
      <c r="I40">
        <f>MATCH(A40,Batting!$DF$5:$DF$46,0)</f>
        <v>26</v>
      </c>
      <c r="J40">
        <f t="shared" ca="1" si="0"/>
        <v>1039</v>
      </c>
      <c r="K40">
        <f t="shared" ca="1" si="1"/>
        <v>39</v>
      </c>
      <c r="L40" t="str">
        <f t="shared" ca="1" si="2"/>
        <v xml:space="preserve">Odeneal R 2-0-0-0, </v>
      </c>
      <c r="M40">
        <f t="shared" ca="1" si="3"/>
        <v>39</v>
      </c>
      <c r="N40">
        <v>39</v>
      </c>
      <c r="O40" s="85" t="str">
        <f t="shared" ca="1" si="4"/>
        <v>Odeneal R</v>
      </c>
      <c r="P40" s="85">
        <f t="shared" ca="1" si="5"/>
        <v>2</v>
      </c>
      <c r="Q40" s="85">
        <f t="shared" ca="1" si="6"/>
        <v>0</v>
      </c>
      <c r="R40" s="85">
        <f t="shared" ca="1" si="7"/>
        <v>0</v>
      </c>
      <c r="S40" s="85">
        <f t="shared" ca="1" si="8"/>
        <v>0</v>
      </c>
      <c r="T40" s="132">
        <f t="shared" ca="1" si="9"/>
        <v>0</v>
      </c>
    </row>
    <row r="41" spans="1:20" x14ac:dyDescent="0.15">
      <c r="A41">
        <v>40</v>
      </c>
      <c r="B41" t="str">
        <f ca="1">OFFSET(Batting!$C$4,BatAves!$I41,0)</f>
        <v>Sales</v>
      </c>
      <c r="C41" s="77">
        <f ca="1">OFFSET(Batting!$CE$4,BatAves!$I41,0)</f>
        <v>1</v>
      </c>
      <c r="D41" s="77">
        <f ca="1">OFFSET(Batting!$CG$4,BatAves!$I41,0)</f>
        <v>1</v>
      </c>
      <c r="E41" s="77">
        <f ca="1">OFFSET(Batting!$CH$4,BatAves!$I41,0)</f>
        <v>0</v>
      </c>
      <c r="F41" s="77">
        <f ca="1">OFFSET(Batting!$CJ$4,BatAves!$I41,0)</f>
        <v>0</v>
      </c>
      <c r="G41" s="77">
        <f ca="1">OFFSET(Batting!$CK$4,BatAves!$I41,0)</f>
        <v>0</v>
      </c>
      <c r="H41" s="81">
        <f ca="1">OFFSET(Batting!$CL$4,BatAves!$I41,0)</f>
        <v>0</v>
      </c>
      <c r="I41">
        <f>MATCH(A41,Batting!$DF$5:$DF$46,0)</f>
        <v>29</v>
      </c>
      <c r="J41">
        <f t="shared" ca="1" si="0"/>
        <v>1040</v>
      </c>
      <c r="K41">
        <f t="shared" ca="1" si="1"/>
        <v>40</v>
      </c>
      <c r="L41" t="str">
        <f t="shared" ca="1" si="2"/>
        <v xml:space="preserve">Sales 1-0-0-0, </v>
      </c>
      <c r="M41">
        <f t="shared" ca="1" si="3"/>
        <v>40</v>
      </c>
      <c r="N41">
        <v>40</v>
      </c>
      <c r="O41" s="85" t="str">
        <f t="shared" ca="1" si="4"/>
        <v>Sales</v>
      </c>
      <c r="P41" s="85">
        <f t="shared" ca="1" si="5"/>
        <v>1</v>
      </c>
      <c r="Q41" s="85">
        <f t="shared" ca="1" si="6"/>
        <v>0</v>
      </c>
      <c r="R41" s="85">
        <f t="shared" ca="1" si="7"/>
        <v>0</v>
      </c>
      <c r="S41" s="85">
        <f t="shared" ca="1" si="8"/>
        <v>0</v>
      </c>
      <c r="T41" s="132">
        <f t="shared" ca="1" si="9"/>
        <v>0</v>
      </c>
    </row>
    <row r="42" spans="1:20" x14ac:dyDescent="0.15">
      <c r="A42">
        <v>41</v>
      </c>
      <c r="B42" t="str">
        <f ca="1">OFFSET(Batting!$C$4,BatAves!$I42,0)</f>
        <v>Litteler</v>
      </c>
      <c r="C42" s="77">
        <f ca="1">OFFSET(Batting!$CE$4,BatAves!$I42,0)</f>
        <v>1</v>
      </c>
      <c r="D42" s="77">
        <f ca="1">OFFSET(Batting!$CG$4,BatAves!$I42,0)</f>
        <v>1</v>
      </c>
      <c r="E42" s="77">
        <f ca="1">OFFSET(Batting!$CH$4,BatAves!$I42,0)</f>
        <v>0</v>
      </c>
      <c r="F42" s="77">
        <f ca="1">OFFSET(Batting!$CJ$4,BatAves!$I42,0)</f>
        <v>0</v>
      </c>
      <c r="G42" s="77">
        <f ca="1">OFFSET(Batting!$CK$4,BatAves!$I42,0)</f>
        <v>0</v>
      </c>
      <c r="H42" s="81">
        <f ca="1">OFFSET(Batting!$CL$4,BatAves!$I42,0)</f>
        <v>0</v>
      </c>
      <c r="I42">
        <f>MATCH(A42,Batting!$DF$5:$DF$46,0)</f>
        <v>19</v>
      </c>
      <c r="J42">
        <f t="shared" ca="1" si="0"/>
        <v>1041</v>
      </c>
      <c r="K42">
        <f t="shared" ca="1" si="1"/>
        <v>41</v>
      </c>
      <c r="L42" t="str">
        <f t="shared" ca="1" si="2"/>
        <v xml:space="preserve">Litteler 1-0-0-0, </v>
      </c>
      <c r="M42">
        <f t="shared" ca="1" si="3"/>
        <v>41</v>
      </c>
      <c r="N42">
        <v>41</v>
      </c>
      <c r="O42" s="85" t="str">
        <f t="shared" ca="1" si="4"/>
        <v>Litteler</v>
      </c>
      <c r="P42" s="85">
        <f t="shared" ca="1" si="5"/>
        <v>1</v>
      </c>
      <c r="Q42" s="85">
        <f t="shared" ca="1" si="6"/>
        <v>0</v>
      </c>
      <c r="R42" s="85">
        <f t="shared" ca="1" si="7"/>
        <v>0</v>
      </c>
      <c r="S42" s="85">
        <f t="shared" ca="1" si="8"/>
        <v>0</v>
      </c>
      <c r="T42" s="132">
        <f t="shared" ca="1" si="9"/>
        <v>0</v>
      </c>
    </row>
    <row r="43" spans="1:20" x14ac:dyDescent="0.15">
      <c r="A43">
        <v>42</v>
      </c>
      <c r="B43" t="str">
        <f ca="1">OFFSET(Batting!$C$4,BatAves!$I43,0)</f>
        <v>Cutler</v>
      </c>
      <c r="C43" s="77">
        <f ca="1">OFFSET(Batting!$CE$4,BatAves!$I43,0)</f>
        <v>1</v>
      </c>
      <c r="D43" s="77">
        <f ca="1">OFFSET(Batting!$CG$4,BatAves!$I43,0)</f>
        <v>1</v>
      </c>
      <c r="E43" s="77">
        <f ca="1">OFFSET(Batting!$CH$4,BatAves!$I43,0)</f>
        <v>0</v>
      </c>
      <c r="F43" s="77">
        <f ca="1">OFFSET(Batting!$CJ$4,BatAves!$I43,0)</f>
        <v>0</v>
      </c>
      <c r="G43" s="77">
        <f ca="1">OFFSET(Batting!$CK$4,BatAves!$I43,0)</f>
        <v>0</v>
      </c>
      <c r="H43" s="81">
        <f ca="1">OFFSET(Batting!$CL$4,BatAves!$I43,0)</f>
        <v>0</v>
      </c>
      <c r="I43">
        <f>MATCH(A43,Batting!$DF$5:$DF$46,0)</f>
        <v>7</v>
      </c>
      <c r="J43">
        <f t="shared" ca="1" si="0"/>
        <v>1042</v>
      </c>
      <c r="K43">
        <f t="shared" ca="1" si="1"/>
        <v>42</v>
      </c>
      <c r="L43" t="str">
        <f t="shared" ca="1" si="2"/>
        <v xml:space="preserve">Cutler 1-0-0-0, </v>
      </c>
      <c r="M43">
        <f t="shared" ca="1" si="3"/>
        <v>42</v>
      </c>
      <c r="N43">
        <v>42</v>
      </c>
      <c r="O43" s="85" t="str">
        <f t="shared" ca="1" si="4"/>
        <v>Cutler</v>
      </c>
      <c r="P43" s="85">
        <f t="shared" ca="1" si="5"/>
        <v>1</v>
      </c>
      <c r="Q43" s="85">
        <f t="shared" ca="1" si="6"/>
        <v>0</v>
      </c>
      <c r="R43" s="85">
        <f t="shared" ca="1" si="7"/>
        <v>0</v>
      </c>
      <c r="S43" s="85">
        <f t="shared" ca="1" si="8"/>
        <v>0</v>
      </c>
      <c r="T43" s="132">
        <f t="shared" ca="1" si="9"/>
        <v>0</v>
      </c>
    </row>
    <row r="44" spans="1:20" x14ac:dyDescent="0.15">
      <c r="A44">
        <v>43</v>
      </c>
      <c r="B44" t="e">
        <f ca="1">OFFSET(Batting!$C$4,BatAves!$I44,0)</f>
        <v>#N/A</v>
      </c>
      <c r="C44" s="77" t="e">
        <f ca="1">OFFSET(Batting!$CE$4,BatAves!$I44,0)</f>
        <v>#N/A</v>
      </c>
      <c r="D44" s="77" t="e">
        <f ca="1">OFFSET(Batting!$CG$4,BatAves!$I44,0)</f>
        <v>#N/A</v>
      </c>
      <c r="E44" s="77" t="e">
        <f ca="1">OFFSET(Batting!$CH$4,BatAves!$I44,0)</f>
        <v>#N/A</v>
      </c>
      <c r="F44" s="77" t="e">
        <f ca="1">OFFSET(Batting!$CJ$4,BatAves!$I44,0)</f>
        <v>#N/A</v>
      </c>
      <c r="G44" s="77" t="e">
        <f ca="1">OFFSET(Batting!$CK$4,BatAves!$I44,0)</f>
        <v>#N/A</v>
      </c>
      <c r="H44" s="81" t="e">
        <f ca="1">OFFSET(Batting!$CL$4,BatAves!$I44,0)</f>
        <v>#N/A</v>
      </c>
      <c r="I44" t="e">
        <f>MATCH(A44,Batting!$DF$5:$DF$46,0)</f>
        <v>#N/A</v>
      </c>
      <c r="J44" t="e">
        <f t="shared" ca="1" si="0"/>
        <v>#N/A</v>
      </c>
      <c r="K44" t="e">
        <f t="shared" ca="1" si="1"/>
        <v>#N/A</v>
      </c>
      <c r="L44" t="e">
        <f t="shared" ca="1" si="2"/>
        <v>#N/A</v>
      </c>
    </row>
    <row r="45" spans="1:20" x14ac:dyDescent="0.15">
      <c r="A45">
        <v>44</v>
      </c>
      <c r="B45" t="e">
        <f ca="1">OFFSET(Batting!$C$4,BatAves!$I45,0)</f>
        <v>#N/A</v>
      </c>
      <c r="C45" s="77" t="e">
        <f ca="1">OFFSET(Batting!$CE$4,BatAves!$I45,0)</f>
        <v>#N/A</v>
      </c>
      <c r="D45" s="77" t="e">
        <f ca="1">OFFSET(Batting!$CG$4,BatAves!$I45,0)</f>
        <v>#N/A</v>
      </c>
      <c r="E45" s="77" t="e">
        <f ca="1">OFFSET(Batting!$CH$4,BatAves!$I45,0)</f>
        <v>#N/A</v>
      </c>
      <c r="F45" s="77" t="e">
        <f ca="1">OFFSET(Batting!$CJ$4,BatAves!$I45,0)</f>
        <v>#N/A</v>
      </c>
      <c r="G45" s="77" t="e">
        <f ca="1">OFFSET(Batting!$CK$4,BatAves!$I45,0)</f>
        <v>#N/A</v>
      </c>
      <c r="H45" s="81" t="e">
        <f ca="1">OFFSET(Batting!$CL$4,BatAves!$I45,0)</f>
        <v>#N/A</v>
      </c>
      <c r="I45" t="e">
        <f>MATCH(A45,Batting!$DF$5:$DF$46,0)</f>
        <v>#N/A</v>
      </c>
      <c r="J45" t="e">
        <f t="shared" ca="1" si="0"/>
        <v>#N/A</v>
      </c>
      <c r="K45" t="e">
        <f t="shared" ca="1" si="1"/>
        <v>#N/A</v>
      </c>
      <c r="L45" t="e">
        <f t="shared" ca="1" si="2"/>
        <v>#N/A</v>
      </c>
    </row>
    <row r="46" spans="1:20" x14ac:dyDescent="0.15">
      <c r="A46">
        <v>45</v>
      </c>
      <c r="B46" t="e">
        <f ca="1">OFFSET(Batting!$C$4,BatAves!$I46,0)</f>
        <v>#N/A</v>
      </c>
      <c r="C46" s="77" t="e">
        <f ca="1">OFFSET(Batting!$CE$4,BatAves!$I46,0)</f>
        <v>#N/A</v>
      </c>
      <c r="D46" s="77" t="e">
        <f ca="1">OFFSET(Batting!$CG$4,BatAves!$I46,0)</f>
        <v>#N/A</v>
      </c>
      <c r="E46" s="77" t="e">
        <f ca="1">OFFSET(Batting!$CH$4,BatAves!$I46,0)</f>
        <v>#N/A</v>
      </c>
      <c r="F46" s="77" t="e">
        <f ca="1">OFFSET(Batting!$CJ$4,BatAves!$I46,0)</f>
        <v>#N/A</v>
      </c>
      <c r="G46" s="77" t="e">
        <f ca="1">OFFSET(Batting!$CK$4,BatAves!$I46,0)</f>
        <v>#N/A</v>
      </c>
      <c r="H46" s="81" t="e">
        <f ca="1">OFFSET(Batting!$CL$4,BatAves!$I46,0)</f>
        <v>#N/A</v>
      </c>
      <c r="I46" t="e">
        <f>MATCH(A46,Batting!$DF$5:$DF$46,0)</f>
        <v>#N/A</v>
      </c>
      <c r="J46" t="e">
        <f t="shared" ca="1" si="0"/>
        <v>#N/A</v>
      </c>
      <c r="K46" t="e">
        <f t="shared" ca="1" si="1"/>
        <v>#N/A</v>
      </c>
      <c r="L46" t="e">
        <f t="shared" ca="1" si="2"/>
        <v>#N/A</v>
      </c>
    </row>
    <row r="47" spans="1:20" x14ac:dyDescent="0.15">
      <c r="A47">
        <v>46</v>
      </c>
      <c r="B47" t="e">
        <f ca="1">OFFSET(Batting!$C$4,BatAves!$I47,0)</f>
        <v>#N/A</v>
      </c>
      <c r="C47" s="77" t="e">
        <f ca="1">OFFSET(Batting!$CE$4,BatAves!$I47,0)</f>
        <v>#N/A</v>
      </c>
      <c r="D47" s="77" t="e">
        <f ca="1">OFFSET(Batting!$CG$4,BatAves!$I47,0)</f>
        <v>#N/A</v>
      </c>
      <c r="E47" s="77" t="e">
        <f ca="1">OFFSET(Batting!$CH$4,BatAves!$I47,0)</f>
        <v>#N/A</v>
      </c>
      <c r="F47" s="77" t="e">
        <f ca="1">OFFSET(Batting!$CJ$4,BatAves!$I47,0)</f>
        <v>#N/A</v>
      </c>
      <c r="G47" s="77" t="e">
        <f ca="1">OFFSET(Batting!$CK$4,BatAves!$I47,0)</f>
        <v>#N/A</v>
      </c>
      <c r="H47" s="81" t="e">
        <f ca="1">OFFSET(Batting!$CL$4,BatAves!$I47,0)</f>
        <v>#N/A</v>
      </c>
      <c r="I47" t="e">
        <f>MATCH(A47,Batting!$DF$5:$DF$46,0)</f>
        <v>#N/A</v>
      </c>
      <c r="J47" t="e">
        <f t="shared" ca="1" si="0"/>
        <v>#N/A</v>
      </c>
      <c r="K47" t="e">
        <f t="shared" ca="1" si="1"/>
        <v>#N/A</v>
      </c>
      <c r="L47" t="e">
        <f t="shared" ca="1" si="2"/>
        <v>#N/A</v>
      </c>
      <c r="O47" s="85" t="s">
        <v>748</v>
      </c>
    </row>
    <row r="48" spans="1:20" x14ac:dyDescent="0.15">
      <c r="A48">
        <v>47</v>
      </c>
      <c r="B48" t="e">
        <f ca="1">OFFSET(Batting!$C$4,BatAves!$I48,0)</f>
        <v>#N/A</v>
      </c>
      <c r="C48" s="77" t="e">
        <f ca="1">OFFSET(Batting!$CE$4,BatAves!$I48,0)</f>
        <v>#N/A</v>
      </c>
      <c r="D48" s="77" t="e">
        <f ca="1">OFFSET(Batting!$CG$4,BatAves!$I48,0)</f>
        <v>#N/A</v>
      </c>
      <c r="E48" s="77" t="e">
        <f ca="1">OFFSET(Batting!$CH$4,BatAves!$I48,0)</f>
        <v>#N/A</v>
      </c>
      <c r="F48" s="77" t="e">
        <f ca="1">OFFSET(Batting!$CJ$4,BatAves!$I48,0)</f>
        <v>#N/A</v>
      </c>
      <c r="G48" s="77" t="e">
        <f ca="1">OFFSET(Batting!$CK$4,BatAves!$I48,0)</f>
        <v>#N/A</v>
      </c>
      <c r="H48" s="81" t="e">
        <f ca="1">OFFSET(Batting!$CL$4,BatAves!$I48,0)</f>
        <v>#N/A</v>
      </c>
      <c r="I48" t="e">
        <f>MATCH(A48,Batting!$DF$5:$DF$46,0)</f>
        <v>#N/A</v>
      </c>
      <c r="J48" t="e">
        <f t="shared" ca="1" si="0"/>
        <v>#N/A</v>
      </c>
      <c r="K48" t="e">
        <f t="shared" ca="1" si="1"/>
        <v>#N/A</v>
      </c>
      <c r="L48" t="e">
        <f t="shared" ca="1" si="2"/>
        <v>#N/A</v>
      </c>
      <c r="O48" s="85" t="s">
        <v>748</v>
      </c>
    </row>
    <row r="49" spans="1:15" x14ac:dyDescent="0.15">
      <c r="A49">
        <v>48</v>
      </c>
      <c r="B49" t="e">
        <f ca="1">OFFSET(Batting!$C$4,BatAves!$I49,0)</f>
        <v>#N/A</v>
      </c>
      <c r="C49" s="77" t="e">
        <f ca="1">OFFSET(Batting!$CE$4,BatAves!$I49,0)</f>
        <v>#N/A</v>
      </c>
      <c r="D49" s="77" t="e">
        <f ca="1">OFFSET(Batting!$CG$4,BatAves!$I49,0)</f>
        <v>#N/A</v>
      </c>
      <c r="E49" s="77" t="e">
        <f ca="1">OFFSET(Batting!$CH$4,BatAves!$I49,0)</f>
        <v>#N/A</v>
      </c>
      <c r="F49" s="77" t="e">
        <f ca="1">OFFSET(Batting!$CJ$4,BatAves!$I49,0)</f>
        <v>#N/A</v>
      </c>
      <c r="G49" s="77" t="e">
        <f ca="1">OFFSET(Batting!$CK$4,BatAves!$I49,0)</f>
        <v>#N/A</v>
      </c>
      <c r="H49" s="81" t="e">
        <f ca="1">OFFSET(Batting!$CL$4,BatAves!$I49,0)</f>
        <v>#N/A</v>
      </c>
      <c r="I49" t="e">
        <f>MATCH(A49,Batting!$DF$5:$DF$46,0)</f>
        <v>#N/A</v>
      </c>
      <c r="J49" t="e">
        <f t="shared" ca="1" si="0"/>
        <v>#N/A</v>
      </c>
      <c r="K49" t="e">
        <f t="shared" ca="1" si="1"/>
        <v>#N/A</v>
      </c>
      <c r="L49" t="e">
        <f t="shared" ca="1" si="2"/>
        <v>#N/A</v>
      </c>
      <c r="O49" s="85" t="s">
        <v>748</v>
      </c>
    </row>
    <row r="50" spans="1:15" x14ac:dyDescent="0.15">
      <c r="A50">
        <v>49</v>
      </c>
      <c r="B50" t="e">
        <f ca="1">OFFSET(Batting!$C$4,BatAves!$I50,0)</f>
        <v>#N/A</v>
      </c>
      <c r="C50" s="77" t="e">
        <f ca="1">OFFSET(Batting!$CE$4,BatAves!$I50,0)</f>
        <v>#N/A</v>
      </c>
      <c r="D50" s="77" t="e">
        <f ca="1">OFFSET(Batting!$CG$4,BatAves!$I50,0)</f>
        <v>#N/A</v>
      </c>
      <c r="E50" s="77" t="e">
        <f ca="1">OFFSET(Batting!$CH$4,BatAves!$I50,0)</f>
        <v>#N/A</v>
      </c>
      <c r="F50" s="77" t="e">
        <f ca="1">OFFSET(Batting!$CJ$4,BatAves!$I50,0)</f>
        <v>#N/A</v>
      </c>
      <c r="G50" s="77" t="e">
        <f ca="1">OFFSET(Batting!$CK$4,BatAves!$I50,0)</f>
        <v>#N/A</v>
      </c>
      <c r="H50" s="81" t="e">
        <f ca="1">OFFSET(Batting!$CL$4,BatAves!$I50,0)</f>
        <v>#N/A</v>
      </c>
      <c r="I50" t="e">
        <f>MATCH(A50,Batting!$DF$5:$DF$46,0)</f>
        <v>#N/A</v>
      </c>
      <c r="J50" t="e">
        <f t="shared" ca="1" si="0"/>
        <v>#N/A</v>
      </c>
      <c r="K50" t="e">
        <f t="shared" ca="1" si="1"/>
        <v>#N/A</v>
      </c>
      <c r="L50" t="e">
        <f t="shared" ca="1" si="2"/>
        <v>#N/A</v>
      </c>
      <c r="O50" s="85" t="s">
        <v>748</v>
      </c>
    </row>
    <row r="51" spans="1:15" x14ac:dyDescent="0.15">
      <c r="A51">
        <v>50</v>
      </c>
      <c r="B51" t="e">
        <f ca="1">OFFSET(Batting!$C$4,BatAves!$I51,0)</f>
        <v>#N/A</v>
      </c>
      <c r="C51" s="77" t="e">
        <f ca="1">OFFSET(Batting!$CE$4,BatAves!$I51,0)</f>
        <v>#N/A</v>
      </c>
      <c r="D51" s="77" t="e">
        <f ca="1">OFFSET(Batting!$CG$4,BatAves!$I51,0)</f>
        <v>#N/A</v>
      </c>
      <c r="E51" s="77" t="e">
        <f ca="1">OFFSET(Batting!$CH$4,BatAves!$I51,0)</f>
        <v>#N/A</v>
      </c>
      <c r="F51" s="77" t="e">
        <f ca="1">OFFSET(Batting!$CJ$4,BatAves!$I51,0)</f>
        <v>#N/A</v>
      </c>
      <c r="G51" s="77" t="e">
        <f ca="1">OFFSET(Batting!$CK$4,BatAves!$I51,0)</f>
        <v>#N/A</v>
      </c>
      <c r="H51" s="81" t="e">
        <f ca="1">OFFSET(Batting!$CL$4,BatAves!$I51,0)</f>
        <v>#N/A</v>
      </c>
      <c r="I51" t="e">
        <f>MATCH(A51,Batting!$DF$5:$DF$46,0)</f>
        <v>#N/A</v>
      </c>
      <c r="J51" t="e">
        <f t="shared" ca="1" si="0"/>
        <v>#N/A</v>
      </c>
      <c r="K51" t="e">
        <f t="shared" ca="1" si="1"/>
        <v>#N/A</v>
      </c>
      <c r="L51" t="e">
        <f t="shared" ca="1" si="2"/>
        <v>#N/A</v>
      </c>
      <c r="O51" s="85" t="s">
        <v>748</v>
      </c>
    </row>
    <row r="52" spans="1:15" x14ac:dyDescent="0.15">
      <c r="A52">
        <v>51</v>
      </c>
      <c r="B52" t="e">
        <f ca="1">OFFSET(Batting!$C$4,BatAves!$I52,0)</f>
        <v>#N/A</v>
      </c>
      <c r="C52" s="77" t="e">
        <f ca="1">OFFSET(Batting!$CE$4,BatAves!$I52,0)</f>
        <v>#N/A</v>
      </c>
      <c r="D52" s="77" t="e">
        <f ca="1">OFFSET(Batting!$CG$4,BatAves!$I52,0)</f>
        <v>#N/A</v>
      </c>
      <c r="E52" s="77" t="e">
        <f ca="1">OFFSET(Batting!$CH$4,BatAves!$I52,0)</f>
        <v>#N/A</v>
      </c>
      <c r="F52" s="77" t="e">
        <f ca="1">OFFSET(Batting!$CJ$4,BatAves!$I52,0)</f>
        <v>#N/A</v>
      </c>
      <c r="G52" s="77" t="e">
        <f ca="1">OFFSET(Batting!$CK$4,BatAves!$I52,0)</f>
        <v>#N/A</v>
      </c>
      <c r="H52" s="81" t="e">
        <f ca="1">OFFSET(Batting!$CL$4,BatAves!$I52,0)</f>
        <v>#N/A</v>
      </c>
      <c r="I52" t="e">
        <f>MATCH(A52,Batting!$DF$5:$DF$46,0)</f>
        <v>#N/A</v>
      </c>
      <c r="J52" t="e">
        <f t="shared" ca="1" si="0"/>
        <v>#N/A</v>
      </c>
      <c r="K52" t="e">
        <f t="shared" ca="1" si="1"/>
        <v>#N/A</v>
      </c>
      <c r="L52" t="e">
        <f t="shared" ca="1" si="2"/>
        <v>#N/A</v>
      </c>
      <c r="O52" s="85" t="s">
        <v>748</v>
      </c>
    </row>
    <row r="53" spans="1:15" x14ac:dyDescent="0.15">
      <c r="A53">
        <v>52</v>
      </c>
      <c r="B53" t="e">
        <f ca="1">OFFSET(Batting!$C$4,BatAves!$I53,0)</f>
        <v>#N/A</v>
      </c>
      <c r="C53" s="77" t="e">
        <f ca="1">OFFSET(Batting!$CE$4,BatAves!$I53,0)</f>
        <v>#N/A</v>
      </c>
      <c r="D53" s="77" t="e">
        <f ca="1">OFFSET(Batting!$CG$4,BatAves!$I53,0)</f>
        <v>#N/A</v>
      </c>
      <c r="E53" s="77" t="e">
        <f ca="1">OFFSET(Batting!$CH$4,BatAves!$I53,0)</f>
        <v>#N/A</v>
      </c>
      <c r="F53" s="77" t="e">
        <f ca="1">OFFSET(Batting!$CJ$4,BatAves!$I53,0)</f>
        <v>#N/A</v>
      </c>
      <c r="G53" s="77" t="e">
        <f ca="1">OFFSET(Batting!$CK$4,BatAves!$I53,0)</f>
        <v>#N/A</v>
      </c>
      <c r="H53" s="81" t="e">
        <f ca="1">OFFSET(Batting!$CL$4,BatAves!$I53,0)</f>
        <v>#N/A</v>
      </c>
      <c r="I53" t="e">
        <f>MATCH(A53,Batting!$DF$5:$DF$46,0)</f>
        <v>#N/A</v>
      </c>
      <c r="J53" t="e">
        <f t="shared" ca="1" si="0"/>
        <v>#N/A</v>
      </c>
      <c r="K53" t="e">
        <f t="shared" ca="1" si="1"/>
        <v>#N/A</v>
      </c>
      <c r="L53" t="e">
        <f t="shared" ca="1" si="2"/>
        <v>#N/A</v>
      </c>
      <c r="O53" s="85" t="s">
        <v>748</v>
      </c>
    </row>
    <row r="54" spans="1:15" x14ac:dyDescent="0.15">
      <c r="A54">
        <v>53</v>
      </c>
      <c r="B54" t="e">
        <f ca="1">OFFSET(Batting!$C$4,BatAves!$I54,0)</f>
        <v>#N/A</v>
      </c>
      <c r="C54" s="77" t="e">
        <f ca="1">OFFSET(Batting!$CE$4,BatAves!$I54,0)</f>
        <v>#N/A</v>
      </c>
      <c r="D54" s="77" t="e">
        <f ca="1">OFFSET(Batting!$CG$4,BatAves!$I54,0)</f>
        <v>#N/A</v>
      </c>
      <c r="E54" s="77" t="e">
        <f ca="1">OFFSET(Batting!$CH$4,BatAves!$I54,0)</f>
        <v>#N/A</v>
      </c>
      <c r="F54" s="77" t="e">
        <f ca="1">OFFSET(Batting!$CJ$4,BatAves!$I54,0)</f>
        <v>#N/A</v>
      </c>
      <c r="G54" s="77" t="e">
        <f ca="1">OFFSET(Batting!$CK$4,BatAves!$I54,0)</f>
        <v>#N/A</v>
      </c>
      <c r="H54" s="81" t="e">
        <f ca="1">OFFSET(Batting!$CL$4,BatAves!$I54,0)</f>
        <v>#N/A</v>
      </c>
      <c r="I54" t="e">
        <f>MATCH(A54,Batting!$DF$5:$DF$46,0)</f>
        <v>#N/A</v>
      </c>
      <c r="J54" t="e">
        <f t="shared" ca="1" si="0"/>
        <v>#N/A</v>
      </c>
      <c r="K54" t="e">
        <f t="shared" ca="1" si="1"/>
        <v>#N/A</v>
      </c>
      <c r="L54" t="e">
        <f t="shared" ca="1" si="2"/>
        <v>#N/A</v>
      </c>
      <c r="O54" s="85" t="s">
        <v>748</v>
      </c>
    </row>
    <row r="55" spans="1:15" x14ac:dyDescent="0.15">
      <c r="A55">
        <v>54</v>
      </c>
      <c r="B55" t="e">
        <f ca="1">OFFSET(Batting!$C$4,BatAves!$I55,0)</f>
        <v>#N/A</v>
      </c>
      <c r="C55" s="77" t="e">
        <f ca="1">OFFSET(Batting!$CE$4,BatAves!$I55,0)</f>
        <v>#N/A</v>
      </c>
      <c r="D55" s="77" t="e">
        <f ca="1">OFFSET(Batting!$CG$4,BatAves!$I55,0)</f>
        <v>#N/A</v>
      </c>
      <c r="E55" s="77" t="e">
        <f ca="1">OFFSET(Batting!$CH$4,BatAves!$I55,0)</f>
        <v>#N/A</v>
      </c>
      <c r="F55" s="77" t="e">
        <f ca="1">OFFSET(Batting!$CJ$4,BatAves!$I55,0)</f>
        <v>#N/A</v>
      </c>
      <c r="G55" s="77" t="e">
        <f ca="1">OFFSET(Batting!$CK$4,BatAves!$I55,0)</f>
        <v>#N/A</v>
      </c>
      <c r="H55" s="81" t="e">
        <f ca="1">OFFSET(Batting!$CL$4,BatAves!$I55,0)</f>
        <v>#N/A</v>
      </c>
      <c r="I55" t="e">
        <f>MATCH(A55,Batting!$DF$5:$DF$46,0)</f>
        <v>#N/A</v>
      </c>
      <c r="J55" t="e">
        <f t="shared" ca="1" si="0"/>
        <v>#N/A</v>
      </c>
      <c r="K55" t="e">
        <f t="shared" ca="1" si="1"/>
        <v>#N/A</v>
      </c>
      <c r="L55" t="e">
        <f t="shared" ca="1" si="2"/>
        <v>#N/A</v>
      </c>
      <c r="O55" s="85" t="s">
        <v>748</v>
      </c>
    </row>
    <row r="56" spans="1:15" x14ac:dyDescent="0.15">
      <c r="A56">
        <v>55</v>
      </c>
      <c r="B56" t="e">
        <f ca="1">OFFSET(Batting!$C$4,BatAves!$I56,0)</f>
        <v>#N/A</v>
      </c>
      <c r="C56" s="77" t="e">
        <f ca="1">OFFSET(Batting!$CE$4,BatAves!$I56,0)</f>
        <v>#N/A</v>
      </c>
      <c r="D56" s="77" t="e">
        <f ca="1">OFFSET(Batting!$CG$4,BatAves!$I56,0)</f>
        <v>#N/A</v>
      </c>
      <c r="E56" s="77" t="e">
        <f ca="1">OFFSET(Batting!$CH$4,BatAves!$I56,0)</f>
        <v>#N/A</v>
      </c>
      <c r="F56" s="77" t="e">
        <f ca="1">OFFSET(Batting!$CJ$4,BatAves!$I56,0)</f>
        <v>#N/A</v>
      </c>
      <c r="G56" s="77" t="e">
        <f ca="1">OFFSET(Batting!$CK$4,BatAves!$I56,0)</f>
        <v>#N/A</v>
      </c>
      <c r="H56" s="81" t="e">
        <f ca="1">OFFSET(Batting!$CL$4,BatAves!$I56,0)</f>
        <v>#N/A</v>
      </c>
      <c r="I56" t="e">
        <f>MATCH(A56,Batting!$DF$5:$DF$46,0)</f>
        <v>#N/A</v>
      </c>
      <c r="J56" t="e">
        <f t="shared" ca="1" si="0"/>
        <v>#N/A</v>
      </c>
      <c r="K56" t="e">
        <f t="shared" ca="1" si="1"/>
        <v>#N/A</v>
      </c>
      <c r="L56" t="e">
        <f t="shared" ca="1" si="2"/>
        <v>#N/A</v>
      </c>
      <c r="O56" s="85" t="s">
        <v>748</v>
      </c>
    </row>
    <row r="57" spans="1:15" x14ac:dyDescent="0.15">
      <c r="A57">
        <v>56</v>
      </c>
      <c r="B57" t="e">
        <f ca="1">OFFSET(Batting!$C$4,BatAves!$I57,0)</f>
        <v>#N/A</v>
      </c>
      <c r="C57" s="77" t="e">
        <f ca="1">OFFSET(Batting!$CE$4,BatAves!$I57,0)</f>
        <v>#N/A</v>
      </c>
      <c r="D57" s="77" t="e">
        <f ca="1">OFFSET(Batting!$CG$4,BatAves!$I57,0)</f>
        <v>#N/A</v>
      </c>
      <c r="E57" s="77" t="e">
        <f ca="1">OFFSET(Batting!$CH$4,BatAves!$I57,0)</f>
        <v>#N/A</v>
      </c>
      <c r="F57" s="77" t="e">
        <f ca="1">OFFSET(Batting!$CJ$4,BatAves!$I57,0)</f>
        <v>#N/A</v>
      </c>
      <c r="G57" s="77" t="e">
        <f ca="1">OFFSET(Batting!$CK$4,BatAves!$I57,0)</f>
        <v>#N/A</v>
      </c>
      <c r="H57" s="81" t="e">
        <f ca="1">OFFSET(Batting!$CL$4,BatAves!$I57,0)</f>
        <v>#N/A</v>
      </c>
      <c r="I57" t="e">
        <f>MATCH(A57,Batting!$DF$5:$DF$46,0)</f>
        <v>#N/A</v>
      </c>
      <c r="J57" t="e">
        <f t="shared" ca="1" si="0"/>
        <v>#N/A</v>
      </c>
      <c r="K57" t="e">
        <f t="shared" ca="1" si="1"/>
        <v>#N/A</v>
      </c>
      <c r="L57" t="e">
        <f t="shared" ca="1" si="2"/>
        <v>#N/A</v>
      </c>
      <c r="O57" s="85" t="s">
        <v>748</v>
      </c>
    </row>
    <row r="58" spans="1:15" x14ac:dyDescent="0.15">
      <c r="A58">
        <v>57</v>
      </c>
      <c r="B58" t="e">
        <f ca="1">OFFSET(Batting!$C$4,BatAves!$I58,0)</f>
        <v>#N/A</v>
      </c>
      <c r="C58" s="77" t="e">
        <f ca="1">OFFSET(Batting!$CE$4,BatAves!$I58,0)</f>
        <v>#N/A</v>
      </c>
      <c r="D58" s="77" t="e">
        <f ca="1">OFFSET(Batting!$CG$4,BatAves!$I58,0)</f>
        <v>#N/A</v>
      </c>
      <c r="E58" s="77" t="e">
        <f ca="1">OFFSET(Batting!$CH$4,BatAves!$I58,0)</f>
        <v>#N/A</v>
      </c>
      <c r="F58" s="77" t="e">
        <f ca="1">OFFSET(Batting!$CJ$4,BatAves!$I58,0)</f>
        <v>#N/A</v>
      </c>
      <c r="G58" s="77" t="e">
        <f ca="1">OFFSET(Batting!$CK$4,BatAves!$I58,0)</f>
        <v>#N/A</v>
      </c>
      <c r="H58" s="81" t="e">
        <f ca="1">OFFSET(Batting!$CL$4,BatAves!$I58,0)</f>
        <v>#N/A</v>
      </c>
      <c r="I58" t="e">
        <f>MATCH(A58,Batting!$DF$5:$DF$46,0)</f>
        <v>#N/A</v>
      </c>
      <c r="J58" t="e">
        <f t="shared" ca="1" si="0"/>
        <v>#N/A</v>
      </c>
      <c r="K58" t="e">
        <f t="shared" ca="1" si="1"/>
        <v>#N/A</v>
      </c>
      <c r="L58" t="e">
        <f t="shared" ca="1" si="2"/>
        <v>#N/A</v>
      </c>
      <c r="O58" s="85" t="s">
        <v>748</v>
      </c>
    </row>
    <row r="59" spans="1:15" x14ac:dyDescent="0.15">
      <c r="A59">
        <v>58</v>
      </c>
      <c r="B59" t="e">
        <f ca="1">OFFSET(Batting!$C$4,BatAves!$I59,0)</f>
        <v>#N/A</v>
      </c>
      <c r="C59" s="77" t="e">
        <f ca="1">OFFSET(Batting!$CE$4,BatAves!$I59,0)</f>
        <v>#N/A</v>
      </c>
      <c r="D59" s="77" t="e">
        <f ca="1">OFFSET(Batting!$CG$4,BatAves!$I59,0)</f>
        <v>#N/A</v>
      </c>
      <c r="E59" s="77" t="e">
        <f ca="1">OFFSET(Batting!$CH$4,BatAves!$I59,0)</f>
        <v>#N/A</v>
      </c>
      <c r="F59" s="77" t="e">
        <f ca="1">OFFSET(Batting!$CJ$4,BatAves!$I59,0)</f>
        <v>#N/A</v>
      </c>
      <c r="G59" s="77" t="e">
        <f ca="1">OFFSET(Batting!$CK$4,BatAves!$I59,0)</f>
        <v>#N/A</v>
      </c>
      <c r="H59" s="81" t="e">
        <f ca="1">OFFSET(Batting!$CL$4,BatAves!$I59,0)</f>
        <v>#N/A</v>
      </c>
      <c r="I59" t="e">
        <f>MATCH(A59,Batting!$DF$5:$DF$46,0)</f>
        <v>#N/A</v>
      </c>
      <c r="J59" t="e">
        <f t="shared" ca="1" si="0"/>
        <v>#N/A</v>
      </c>
      <c r="K59" t="e">
        <f t="shared" ca="1" si="1"/>
        <v>#N/A</v>
      </c>
      <c r="L59" t="e">
        <f t="shared" ca="1" si="2"/>
        <v>#N/A</v>
      </c>
      <c r="O59" s="85" t="s">
        <v>748</v>
      </c>
    </row>
    <row r="60" spans="1:15" x14ac:dyDescent="0.15">
      <c r="A60">
        <v>59</v>
      </c>
      <c r="B60" t="e">
        <f ca="1">OFFSET(Batting!$C$4,BatAves!$I60,0)</f>
        <v>#N/A</v>
      </c>
      <c r="C60" s="77" t="e">
        <f ca="1">OFFSET(Batting!$CE$4,BatAves!$I60,0)</f>
        <v>#N/A</v>
      </c>
      <c r="D60" s="77" t="e">
        <f ca="1">OFFSET(Batting!$CG$4,BatAves!$I60,0)</f>
        <v>#N/A</v>
      </c>
      <c r="E60" s="77" t="e">
        <f ca="1">OFFSET(Batting!$CH$4,BatAves!$I60,0)</f>
        <v>#N/A</v>
      </c>
      <c r="F60" s="77" t="e">
        <f ca="1">OFFSET(Batting!$CJ$4,BatAves!$I60,0)</f>
        <v>#N/A</v>
      </c>
      <c r="G60" s="77" t="e">
        <f ca="1">OFFSET(Batting!$CK$4,BatAves!$I60,0)</f>
        <v>#N/A</v>
      </c>
      <c r="H60" s="81" t="e">
        <f ca="1">OFFSET(Batting!$CL$4,BatAves!$I60,0)</f>
        <v>#N/A</v>
      </c>
      <c r="I60" t="e">
        <f>MATCH(A60,Batting!$DF$5:$DF$46,0)</f>
        <v>#N/A</v>
      </c>
      <c r="J60" t="e">
        <f t="shared" ca="1" si="0"/>
        <v>#N/A</v>
      </c>
      <c r="K60" t="e">
        <f t="shared" ca="1" si="1"/>
        <v>#N/A</v>
      </c>
      <c r="L60" t="e">
        <f t="shared" ca="1" si="2"/>
        <v>#N/A</v>
      </c>
      <c r="O60" s="85" t="s">
        <v>748</v>
      </c>
    </row>
    <row r="61" spans="1:15" x14ac:dyDescent="0.15">
      <c r="O61" s="85" t="s">
        <v>748</v>
      </c>
    </row>
    <row r="62" spans="1:15" x14ac:dyDescent="0.15">
      <c r="O62" s="85" t="s">
        <v>748</v>
      </c>
    </row>
    <row r="63" spans="1:15" x14ac:dyDescent="0.15">
      <c r="O63" s="85" t="s">
        <v>748</v>
      </c>
    </row>
    <row r="64" spans="1:15" x14ac:dyDescent="0.15">
      <c r="O64" s="85" t="s">
        <v>748</v>
      </c>
    </row>
    <row r="65" spans="15:15" x14ac:dyDescent="0.15">
      <c r="O65" s="85" t="s">
        <v>748</v>
      </c>
    </row>
    <row r="66" spans="15:15" x14ac:dyDescent="0.15">
      <c r="O66" s="85" t="s">
        <v>748</v>
      </c>
    </row>
    <row r="67" spans="15:15" x14ac:dyDescent="0.15">
      <c r="O67" t="s">
        <v>748</v>
      </c>
    </row>
    <row r="68" spans="15:15" x14ac:dyDescent="0.15">
      <c r="O68" t="s">
        <v>748</v>
      </c>
    </row>
    <row r="69" spans="15:15" x14ac:dyDescent="0.15">
      <c r="O69" t="s">
        <v>748</v>
      </c>
    </row>
    <row r="70" spans="15:15" x14ac:dyDescent="0.15">
      <c r="O70" t="s">
        <v>748</v>
      </c>
    </row>
    <row r="71" spans="15:15" x14ac:dyDescent="0.15">
      <c r="O71" t="s">
        <v>748</v>
      </c>
    </row>
    <row r="72" spans="15:15" x14ac:dyDescent="0.15">
      <c r="O72" t="s">
        <v>748</v>
      </c>
    </row>
    <row r="73" spans="15:15" x14ac:dyDescent="0.15">
      <c r="O73" t="s">
        <v>748</v>
      </c>
    </row>
    <row r="74" spans="15:15" x14ac:dyDescent="0.15">
      <c r="O74" t="s">
        <v>748</v>
      </c>
    </row>
    <row r="75" spans="15:15" x14ac:dyDescent="0.15">
      <c r="O75" t="s">
        <v>748</v>
      </c>
    </row>
    <row r="76" spans="15:15" x14ac:dyDescent="0.15">
      <c r="O76" t="s">
        <v>748</v>
      </c>
    </row>
    <row r="77" spans="15:15" x14ac:dyDescent="0.15">
      <c r="O77" t="s">
        <v>748</v>
      </c>
    </row>
    <row r="78" spans="15:15" x14ac:dyDescent="0.15">
      <c r="O78" t="s">
        <v>748</v>
      </c>
    </row>
    <row r="79" spans="15:15" x14ac:dyDescent="0.15">
      <c r="O79" t="s">
        <v>748</v>
      </c>
    </row>
    <row r="80" spans="15:15" x14ac:dyDescent="0.15">
      <c r="O80" t="s">
        <v>748</v>
      </c>
    </row>
    <row r="81" spans="15:15" x14ac:dyDescent="0.15">
      <c r="O81" t="s">
        <v>748</v>
      </c>
    </row>
    <row r="82" spans="15:15" x14ac:dyDescent="0.15">
      <c r="O82" t="s">
        <v>748</v>
      </c>
    </row>
    <row r="83" spans="15:15" x14ac:dyDescent="0.15">
      <c r="O83" t="s">
        <v>748</v>
      </c>
    </row>
    <row r="84" spans="15:15" x14ac:dyDescent="0.15">
      <c r="O84" t="s">
        <v>748</v>
      </c>
    </row>
    <row r="85" spans="15:15" x14ac:dyDescent="0.15">
      <c r="O85" t="s">
        <v>748</v>
      </c>
    </row>
    <row r="86" spans="15:15" x14ac:dyDescent="0.15">
      <c r="O86"/>
    </row>
    <row r="87" spans="15:15" x14ac:dyDescent="0.15">
      <c r="O87"/>
    </row>
    <row r="88" spans="15:15" x14ac:dyDescent="0.15">
      <c r="O88"/>
    </row>
    <row r="89" spans="15:15" x14ac:dyDescent="0.15">
      <c r="O89"/>
    </row>
    <row r="90" spans="15:15" x14ac:dyDescent="0.15">
      <c r="O90"/>
    </row>
    <row r="91" spans="15:15" x14ac:dyDescent="0.15">
      <c r="O91"/>
    </row>
    <row r="92" spans="15:15" x14ac:dyDescent="0.15">
      <c r="O92"/>
    </row>
    <row r="93" spans="15:15" x14ac:dyDescent="0.15">
      <c r="O93"/>
    </row>
    <row r="94" spans="15:15" x14ac:dyDescent="0.15">
      <c r="O94"/>
    </row>
    <row r="95" spans="15:15" x14ac:dyDescent="0.15">
      <c r="O95"/>
    </row>
    <row r="96" spans="15:15" x14ac:dyDescent="0.15">
      <c r="O96"/>
    </row>
    <row r="97" spans="15:15" x14ac:dyDescent="0.15">
      <c r="O97"/>
    </row>
    <row r="98" spans="15:15" x14ac:dyDescent="0.15">
      <c r="O98"/>
    </row>
    <row r="99" spans="15:15" x14ac:dyDescent="0.15">
      <c r="O99"/>
    </row>
    <row r="100" spans="15:15" x14ac:dyDescent="0.15">
      <c r="O100"/>
    </row>
    <row r="101" spans="15:15" x14ac:dyDescent="0.15">
      <c r="O101"/>
    </row>
    <row r="102" spans="15:15" x14ac:dyDescent="0.15">
      <c r="O102"/>
    </row>
    <row r="103" spans="15:15" x14ac:dyDescent="0.15">
      <c r="O103"/>
    </row>
    <row r="104" spans="15:15" x14ac:dyDescent="0.15">
      <c r="O104"/>
    </row>
    <row r="105" spans="15:15" x14ac:dyDescent="0.15">
      <c r="O105"/>
    </row>
    <row r="106" spans="15:15" x14ac:dyDescent="0.15">
      <c r="O106"/>
    </row>
    <row r="107" spans="15:15" x14ac:dyDescent="0.15">
      <c r="O107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86"/>
  <sheetViews>
    <sheetView workbookViewId="0"/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2" bestFit="1" customWidth="1"/>
    <col min="5" max="5" width="5.140625" style="77" bestFit="1" customWidth="1"/>
    <col min="6" max="6" width="5" style="77" bestFit="1" customWidth="1"/>
    <col min="7" max="7" width="7.28515625" style="77" bestFit="1" customWidth="1"/>
    <col min="8" max="8" width="7.28515625" style="81" bestFit="1" customWidth="1"/>
    <col min="9" max="9" width="6.5703125" style="78" bestFit="1" customWidth="1"/>
    <col min="10" max="10" width="5.5703125" style="78" bestFit="1" customWidth="1"/>
    <col min="11" max="11" width="4.7109375" style="77" bestFit="1" customWidth="1"/>
    <col min="12" max="12" width="5.28515625" style="77" bestFit="1" customWidth="1"/>
    <col min="13" max="13" width="5.85546875" style="77" bestFit="1" customWidth="1"/>
    <col min="14" max="14" width="23.5703125" bestFit="1" customWidth="1"/>
    <col min="15" max="15" width="9.85546875" bestFit="1" customWidth="1"/>
    <col min="18" max="18" width="13.140625" bestFit="1" customWidth="1"/>
  </cols>
  <sheetData>
    <row r="1" spans="1:26" x14ac:dyDescent="0.15">
      <c r="A1" s="62" t="s">
        <v>148</v>
      </c>
      <c r="D1" s="82" t="s">
        <v>36</v>
      </c>
      <c r="E1" s="77" t="s">
        <v>37</v>
      </c>
      <c r="F1" s="77" t="s">
        <v>9</v>
      </c>
      <c r="G1" s="77" t="s">
        <v>150</v>
      </c>
      <c r="H1" s="79" t="s">
        <v>39</v>
      </c>
      <c r="I1" s="80" t="s">
        <v>40</v>
      </c>
      <c r="J1" s="80" t="s">
        <v>41</v>
      </c>
      <c r="K1" s="50" t="s">
        <v>101</v>
      </c>
      <c r="L1" s="50"/>
      <c r="M1" s="50"/>
      <c r="O1" t="s">
        <v>746</v>
      </c>
      <c r="P1">
        <f t="array" aca="1" ref="P1" ca="1">SUM(IF(NOT(ISNA(C2:C51)),1,0))</f>
        <v>31</v>
      </c>
    </row>
    <row r="2" spans="1:26" x14ac:dyDescent="0.15">
      <c r="A2">
        <v>1</v>
      </c>
      <c r="B2">
        <f>MATCH(A2,Bowling!$CS$5:$CS$35,0)</f>
        <v>16</v>
      </c>
      <c r="C2" t="str">
        <f ca="1">OFFSET(Bowling!$B$4,BowlAves!B2,0)</f>
        <v>Mander C</v>
      </c>
      <c r="D2" s="82">
        <f t="array" aca="1" ref="D2:K2" ca="1">OFFSET(Bowling!$CG$4,BowlAves!B2,0,1,8)</f>
        <v>14</v>
      </c>
      <c r="E2" s="77">
        <f ca="1"/>
        <v>5</v>
      </c>
      <c r="F2" s="77">
        <f ca="1"/>
        <v>36</v>
      </c>
      <c r="G2" s="77">
        <f ca="1"/>
        <v>6</v>
      </c>
      <c r="H2" s="81">
        <f ca="1"/>
        <v>6</v>
      </c>
      <c r="I2" s="78">
        <f ca="1"/>
        <v>14</v>
      </c>
      <c r="J2" s="78">
        <f ca="1"/>
        <v>2.5714285714285716</v>
      </c>
      <c r="K2" s="85" t="str">
        <f ca="1"/>
        <v>4-21</v>
      </c>
      <c r="L2" s="85">
        <f ca="1">IF(G2&gt;=10,A2,1000+A2)</f>
        <v>1001</v>
      </c>
      <c r="M2" s="85">
        <f ca="1">RANK(L2,OFFSET($L$2,0,0,$P$1,1),-1)</f>
        <v>7</v>
      </c>
      <c r="N2" t="str">
        <f ca="1">IF(G2&gt;=10,"",C2&amp;" "&amp;D2&amp;"-"&amp;E2&amp;"-"&amp;F2&amp;"-"&amp;G2&amp;",")</f>
        <v>Mander C 14-5-36-6,</v>
      </c>
      <c r="O2" t="s">
        <v>747</v>
      </c>
      <c r="P2">
        <f t="array" aca="1" ref="P2" ca="1">SUM(IF(OFFSET(G2,0,0,P1,1)&gt;=10,1,0))</f>
        <v>6</v>
      </c>
      <c r="X2" s="62"/>
    </row>
    <row r="3" spans="1:26" ht="12.75" x14ac:dyDescent="0.2">
      <c r="A3">
        <v>2</v>
      </c>
      <c r="B3">
        <f>MATCH(A3,Bowling!$CS$5:$CS$35,0)</f>
        <v>23</v>
      </c>
      <c r="C3" t="str">
        <f ca="1">OFFSET(Bowling!$B$4,BowlAves!B3,0)</f>
        <v>Sharpe D</v>
      </c>
      <c r="D3" s="82">
        <f t="array" aca="1" ref="D3:K3" ca="1">OFFSET(Bowling!$CG$4,BowlAves!B3,0,1,8)</f>
        <v>2</v>
      </c>
      <c r="E3" s="77">
        <f ca="1"/>
        <v>0</v>
      </c>
      <c r="F3" s="77">
        <f ca="1"/>
        <v>6</v>
      </c>
      <c r="G3" s="77">
        <f ca="1"/>
        <v>1</v>
      </c>
      <c r="H3" s="81">
        <f ca="1"/>
        <v>6</v>
      </c>
      <c r="I3" s="78">
        <f ca="1"/>
        <v>12</v>
      </c>
      <c r="J3" s="78">
        <f ca="1"/>
        <v>3</v>
      </c>
      <c r="K3" s="85" t="str">
        <f ca="1"/>
        <v>1-6</v>
      </c>
      <c r="L3" s="85">
        <f t="shared" ref="L3:L51" ca="1" si="0">IF(G3&gt;=10,A3,1000+A3)</f>
        <v>1002</v>
      </c>
      <c r="M3" s="85">
        <f t="shared" ref="M3:M51" ca="1" si="1">RANK(L3,OFFSET($L$2,0,0,$P$1,1),-1)</f>
        <v>8</v>
      </c>
      <c r="N3" t="str">
        <f t="shared" ref="N3:N51" ca="1" si="2">IF(G3&gt;=10,"",C3&amp;" "&amp;D3&amp;"-"&amp;E3&amp;"-"&amp;F3&amp;"-"&amp;G3&amp;",")</f>
        <v>Sharpe D 2-0-6-1,</v>
      </c>
      <c r="Q3" s="133"/>
      <c r="R3" s="133" t="s">
        <v>87</v>
      </c>
      <c r="S3" s="134" t="s">
        <v>36</v>
      </c>
      <c r="T3" s="133" t="s">
        <v>37</v>
      </c>
      <c r="U3" s="133" t="s">
        <v>9</v>
      </c>
      <c r="V3" s="133" t="s">
        <v>150</v>
      </c>
      <c r="W3" s="135" t="s">
        <v>39</v>
      </c>
      <c r="X3" s="136" t="s">
        <v>40</v>
      </c>
      <c r="Y3" s="136" t="s">
        <v>41</v>
      </c>
      <c r="Z3" s="137" t="s">
        <v>101</v>
      </c>
    </row>
    <row r="4" spans="1:26" ht="12.75" x14ac:dyDescent="0.15">
      <c r="A4">
        <v>3</v>
      </c>
      <c r="B4">
        <f>MATCH(A4,Bowling!$CS$5:$CS$35,0)</f>
        <v>21</v>
      </c>
      <c r="C4" t="str">
        <f ca="1">OFFSET(Bowling!$B$4,BowlAves!B4,0)</f>
        <v>Shah</v>
      </c>
      <c r="D4" s="82">
        <f t="array" aca="1" ref="D4:K4" ca="1">OFFSET(Bowling!$CG$4,BowlAves!B4,0,1,8)</f>
        <v>14.3</v>
      </c>
      <c r="E4" s="77">
        <f ca="1"/>
        <v>2</v>
      </c>
      <c r="F4" s="77">
        <f ca="1"/>
        <v>50</v>
      </c>
      <c r="G4" s="77">
        <f ca="1"/>
        <v>4</v>
      </c>
      <c r="H4" s="81">
        <f ca="1"/>
        <v>12.5</v>
      </c>
      <c r="I4" s="78">
        <f ca="1"/>
        <v>21.75</v>
      </c>
      <c r="J4" s="78">
        <f ca="1"/>
        <v>3.4482758620689653</v>
      </c>
      <c r="K4" s="85" t="str">
        <f ca="1"/>
        <v>2-25</v>
      </c>
      <c r="L4" s="85">
        <f t="shared" ca="1" si="0"/>
        <v>1003</v>
      </c>
      <c r="M4" s="85">
        <f t="shared" ca="1" si="1"/>
        <v>9</v>
      </c>
      <c r="N4" t="str">
        <f t="shared" ca="1" si="2"/>
        <v>Shah 14.3-2-50-4,</v>
      </c>
      <c r="P4">
        <f t="shared" ref="P4:P23" ca="1" si="3">MATCH(Q4,OFFSET($M$2,0,0,$P$1,1),0)</f>
        <v>4</v>
      </c>
      <c r="Q4" s="133">
        <v>1</v>
      </c>
      <c r="R4" s="133" t="str">
        <f t="shared" ref="R4:R23" ca="1" si="4">INDEX(OFFSET(C$2,0,0,$P$1,1),$P4)</f>
        <v>Clark C</v>
      </c>
      <c r="S4" s="133">
        <f t="shared" ref="S4:S23" ca="1" si="5">INDEX(OFFSET(D$2,0,0,$P$1,1),$P4)</f>
        <v>134</v>
      </c>
      <c r="T4" s="133">
        <f t="shared" ref="T4:T23" ca="1" si="6">INDEX(OFFSET(E$2,0,0,$P$1,1),$P4)</f>
        <v>36</v>
      </c>
      <c r="U4" s="133">
        <f t="shared" ref="U4:U23" ca="1" si="7">INDEX(OFFSET(F$2,0,0,$P$1,1),$P4)</f>
        <v>359</v>
      </c>
      <c r="V4" s="133">
        <f t="shared" ref="V4:V23" ca="1" si="8">INDEX(OFFSET(G$2,0,0,$P$1,1),$P4)</f>
        <v>28</v>
      </c>
      <c r="W4" s="138">
        <f t="shared" ref="W4:W23" ca="1" si="9">ROUND(INDEX(OFFSET(H$2,0,0,$P$1,1),$P4),2)</f>
        <v>12.82</v>
      </c>
      <c r="X4" s="139">
        <f t="shared" ref="X4:X23" ca="1" si="10">ROUND(INDEX(OFFSET(I$2,0,0,$P$1,1),$P4),2)</f>
        <v>28.71</v>
      </c>
      <c r="Y4" s="139">
        <f t="shared" ref="Y4:Y23" ca="1" si="11">ROUND(INDEX(OFFSET(J$2,0,0,$P$1,1),$P4),2)</f>
        <v>2.68</v>
      </c>
      <c r="Z4" s="133" t="str">
        <f t="shared" ref="Z4:Z23" ca="1" si="12">INDEX(OFFSET(K$2,0,0,$P$1,1),$P4)</f>
        <v>4-21</v>
      </c>
    </row>
    <row r="5" spans="1:26" ht="12.75" x14ac:dyDescent="0.15">
      <c r="A5">
        <v>4</v>
      </c>
      <c r="B5">
        <f>MATCH(A5,Bowling!$CS$5:$CS$35,0)</f>
        <v>3</v>
      </c>
      <c r="C5" t="str">
        <f ca="1">OFFSET(Bowling!$B$4,BowlAves!B5,0)</f>
        <v>Clark C</v>
      </c>
      <c r="D5" s="82">
        <f t="array" aca="1" ref="D5:K5" ca="1">OFFSET(Bowling!$CG$4,BowlAves!B5,0,1,8)</f>
        <v>134</v>
      </c>
      <c r="E5" s="77">
        <f ca="1"/>
        <v>36</v>
      </c>
      <c r="F5" s="77">
        <f ca="1"/>
        <v>359</v>
      </c>
      <c r="G5" s="77">
        <f ca="1"/>
        <v>28</v>
      </c>
      <c r="H5" s="81">
        <f ca="1"/>
        <v>12.821428571428571</v>
      </c>
      <c r="I5" s="78">
        <f ca="1"/>
        <v>28.714285714285715</v>
      </c>
      <c r="J5" s="78">
        <f ca="1"/>
        <v>2.6791044776119404</v>
      </c>
      <c r="K5" s="85" t="str">
        <f ca="1"/>
        <v>4-21</v>
      </c>
      <c r="L5" s="85">
        <f t="shared" ca="1" si="0"/>
        <v>4</v>
      </c>
      <c r="M5" s="85">
        <f t="shared" ca="1" si="1"/>
        <v>1</v>
      </c>
      <c r="N5" t="str">
        <f t="shared" ca="1" si="2"/>
        <v/>
      </c>
      <c r="P5">
        <f t="shared" ca="1" si="3"/>
        <v>6</v>
      </c>
      <c r="Q5" s="133">
        <v>2</v>
      </c>
      <c r="R5" s="133" t="str">
        <f t="shared" ca="1" si="4"/>
        <v>Wiseman R</v>
      </c>
      <c r="S5" s="133">
        <f t="shared" ca="1" si="5"/>
        <v>31.4</v>
      </c>
      <c r="T5" s="133">
        <f t="shared" ca="1" si="6"/>
        <v>1</v>
      </c>
      <c r="U5" s="133">
        <f t="shared" ca="1" si="7"/>
        <v>153</v>
      </c>
      <c r="V5" s="133">
        <f t="shared" ca="1" si="8"/>
        <v>11</v>
      </c>
      <c r="W5" s="138">
        <f t="shared" ca="1" si="9"/>
        <v>13.91</v>
      </c>
      <c r="X5" s="139">
        <f t="shared" ca="1" si="10"/>
        <v>17.27</v>
      </c>
      <c r="Y5" s="139">
        <f t="shared" ca="1" si="11"/>
        <v>4.83</v>
      </c>
      <c r="Z5" s="133" t="str">
        <f t="shared" ca="1" si="12"/>
        <v>5-13</v>
      </c>
    </row>
    <row r="6" spans="1:26" ht="12.75" x14ac:dyDescent="0.15">
      <c r="A6">
        <v>5</v>
      </c>
      <c r="B6">
        <f>MATCH(A6,Bowling!$CS$5:$CS$35,0)</f>
        <v>12</v>
      </c>
      <c r="C6" t="str">
        <f ca="1">OFFSET(Bowling!$B$4,BowlAves!B6,0)</f>
        <v>Leadley J</v>
      </c>
      <c r="D6" s="82">
        <f t="array" aca="1" ref="D6:K6" ca="1">OFFSET(Bowling!$CG$4,BowlAves!B6,0,1,8)</f>
        <v>10.1</v>
      </c>
      <c r="E6" s="77">
        <f ca="1"/>
        <v>2</v>
      </c>
      <c r="F6" s="77">
        <f ca="1"/>
        <v>39</v>
      </c>
      <c r="G6" s="77">
        <f ca="1"/>
        <v>3</v>
      </c>
      <c r="H6" s="81">
        <f ca="1"/>
        <v>13</v>
      </c>
      <c r="I6" s="78">
        <f ca="1"/>
        <v>20.333333333333332</v>
      </c>
      <c r="J6" s="78">
        <f ca="1"/>
        <v>3.8360655737704916</v>
      </c>
      <c r="K6" s="85" t="str">
        <f ca="1"/>
        <v>2-21</v>
      </c>
      <c r="L6" s="85">
        <f t="shared" ca="1" si="0"/>
        <v>1005</v>
      </c>
      <c r="M6" s="85">
        <f t="shared" ca="1" si="1"/>
        <v>10</v>
      </c>
      <c r="N6" t="str">
        <f t="shared" ca="1" si="2"/>
        <v>Leadley J 10.1-2-39-3,</v>
      </c>
      <c r="P6">
        <f t="shared" ca="1" si="3"/>
        <v>9</v>
      </c>
      <c r="Q6" s="133">
        <v>3</v>
      </c>
      <c r="R6" s="133" t="str">
        <f t="shared" ca="1" si="4"/>
        <v>Sudesh</v>
      </c>
      <c r="S6" s="133">
        <f t="shared" ca="1" si="5"/>
        <v>58.2</v>
      </c>
      <c r="T6" s="133">
        <f t="shared" ca="1" si="6"/>
        <v>15</v>
      </c>
      <c r="U6" s="133">
        <f t="shared" ca="1" si="7"/>
        <v>183</v>
      </c>
      <c r="V6" s="133">
        <f t="shared" ca="1" si="8"/>
        <v>10</v>
      </c>
      <c r="W6" s="138">
        <f t="shared" ca="1" si="9"/>
        <v>18.3</v>
      </c>
      <c r="X6" s="139">
        <f t="shared" ca="1" si="10"/>
        <v>35</v>
      </c>
      <c r="Y6" s="139">
        <f t="shared" ca="1" si="11"/>
        <v>3.14</v>
      </c>
      <c r="Z6" s="133" t="str">
        <f t="shared" ca="1" si="12"/>
        <v>4-15</v>
      </c>
    </row>
    <row r="7" spans="1:26" ht="12.75" x14ac:dyDescent="0.15">
      <c r="A7">
        <v>6</v>
      </c>
      <c r="B7">
        <f>MATCH(A7,Bowling!$CS$5:$CS$35,0)</f>
        <v>30</v>
      </c>
      <c r="C7" t="str">
        <f ca="1">OFFSET(Bowling!$B$4,BowlAves!B7,0)</f>
        <v>Wiseman R</v>
      </c>
      <c r="D7" s="82">
        <f t="array" aca="1" ref="D7:K7" ca="1">OFFSET(Bowling!$CG$4,BowlAves!B7,0,1,8)</f>
        <v>31.4</v>
      </c>
      <c r="E7" s="77">
        <f ca="1"/>
        <v>1</v>
      </c>
      <c r="F7" s="77">
        <f ca="1"/>
        <v>153</v>
      </c>
      <c r="G7" s="77">
        <f ca="1"/>
        <v>11</v>
      </c>
      <c r="H7" s="81">
        <f ca="1"/>
        <v>13.909090909090908</v>
      </c>
      <c r="I7" s="78">
        <f ca="1"/>
        <v>17.272727272727273</v>
      </c>
      <c r="J7" s="78">
        <f ca="1"/>
        <v>4.8315789473684214</v>
      </c>
      <c r="K7" s="85" t="str">
        <f ca="1"/>
        <v>5-13</v>
      </c>
      <c r="L7" s="85">
        <f t="shared" ca="1" si="0"/>
        <v>6</v>
      </c>
      <c r="M7" s="85">
        <f t="shared" ca="1" si="1"/>
        <v>2</v>
      </c>
      <c r="N7" t="str">
        <f t="shared" ca="1" si="2"/>
        <v/>
      </c>
      <c r="P7">
        <f t="shared" ca="1" si="3"/>
        <v>11</v>
      </c>
      <c r="Q7" s="133">
        <v>4</v>
      </c>
      <c r="R7" s="133" t="str">
        <f t="shared" ca="1" si="4"/>
        <v>Cooper G</v>
      </c>
      <c r="S7" s="133">
        <f t="shared" ca="1" si="5"/>
        <v>160.19999999999999</v>
      </c>
      <c r="T7" s="133">
        <f t="shared" ca="1" si="6"/>
        <v>18</v>
      </c>
      <c r="U7" s="133">
        <f t="shared" ca="1" si="7"/>
        <v>693</v>
      </c>
      <c r="V7" s="133">
        <f t="shared" ca="1" si="8"/>
        <v>35</v>
      </c>
      <c r="W7" s="138">
        <f t="shared" ca="1" si="9"/>
        <v>19.8</v>
      </c>
      <c r="X7" s="139">
        <f t="shared" ca="1" si="10"/>
        <v>27.49</v>
      </c>
      <c r="Y7" s="139">
        <f t="shared" ca="1" si="11"/>
        <v>4.32</v>
      </c>
      <c r="Z7" s="133" t="str">
        <f t="shared" ca="1" si="12"/>
        <v>6-33</v>
      </c>
    </row>
    <row r="8" spans="1:26" ht="12.75" x14ac:dyDescent="0.15">
      <c r="A8">
        <v>7</v>
      </c>
      <c r="B8">
        <f>MATCH(A8,Bowling!$CS$5:$CS$35,0)</f>
        <v>22</v>
      </c>
      <c r="C8" t="str">
        <f ca="1">OFFSET(Bowling!$B$4,BowlAves!B8,0)</f>
        <v>Shakespeare J</v>
      </c>
      <c r="D8" s="82">
        <f t="array" aca="1" ref="D8:K8" ca="1">OFFSET(Bowling!$CG$4,BowlAves!B8,0,1,8)</f>
        <v>7.5</v>
      </c>
      <c r="E8" s="77">
        <f ca="1"/>
        <v>0</v>
      </c>
      <c r="F8" s="77">
        <f ca="1"/>
        <v>29</v>
      </c>
      <c r="G8" s="77">
        <f ca="1"/>
        <v>2</v>
      </c>
      <c r="H8" s="81">
        <f ca="1"/>
        <v>14.5</v>
      </c>
      <c r="I8" s="78">
        <f ca="1"/>
        <v>23.5</v>
      </c>
      <c r="J8" s="78">
        <f ca="1"/>
        <v>3.7021276595744679</v>
      </c>
      <c r="K8" s="85" t="str">
        <f ca="1"/>
        <v>1-3</v>
      </c>
      <c r="L8" s="85">
        <f t="shared" ca="1" si="0"/>
        <v>1007</v>
      </c>
      <c r="M8" s="85">
        <f t="shared" ca="1" si="1"/>
        <v>11</v>
      </c>
      <c r="N8" t="str">
        <f t="shared" ca="1" si="2"/>
        <v>Shakespeare J 7.5-0-29-2,</v>
      </c>
      <c r="P8">
        <f t="shared" ca="1" si="3"/>
        <v>15</v>
      </c>
      <c r="Q8" s="133">
        <v>5</v>
      </c>
      <c r="R8" s="133" t="str">
        <f t="shared" ca="1" si="4"/>
        <v>Bowers M</v>
      </c>
      <c r="S8" s="133">
        <f t="shared" ca="1" si="5"/>
        <v>70.2</v>
      </c>
      <c r="T8" s="133">
        <f t="shared" ca="1" si="6"/>
        <v>5</v>
      </c>
      <c r="U8" s="133">
        <f t="shared" ca="1" si="7"/>
        <v>368</v>
      </c>
      <c r="V8" s="133">
        <f t="shared" ca="1" si="8"/>
        <v>14</v>
      </c>
      <c r="W8" s="138">
        <f t="shared" ca="1" si="9"/>
        <v>26.29</v>
      </c>
      <c r="X8" s="139">
        <f t="shared" ca="1" si="10"/>
        <v>30.14</v>
      </c>
      <c r="Y8" s="139">
        <f t="shared" ca="1" si="11"/>
        <v>5.23</v>
      </c>
      <c r="Z8" s="133" t="str">
        <f t="shared" ca="1" si="12"/>
        <v>3-4</v>
      </c>
    </row>
    <row r="9" spans="1:26" ht="12.75" x14ac:dyDescent="0.15">
      <c r="A9">
        <v>8</v>
      </c>
      <c r="B9">
        <f>MATCH(A9,Bowling!$CS$5:$CS$35,0)</f>
        <v>29</v>
      </c>
      <c r="C9" t="str">
        <f ca="1">OFFSET(Bowling!$B$4,BowlAves!B9,0)</f>
        <v>Wightwick</v>
      </c>
      <c r="D9" s="82">
        <f t="array" aca="1" ref="D9:K9" ca="1">OFFSET(Bowling!$CG$4,BowlAves!B9,0,1,8)</f>
        <v>12</v>
      </c>
      <c r="E9" s="77">
        <f ca="1"/>
        <v>2</v>
      </c>
      <c r="F9" s="77">
        <f ca="1"/>
        <v>52</v>
      </c>
      <c r="G9" s="77">
        <f ca="1"/>
        <v>3</v>
      </c>
      <c r="H9" s="81">
        <f ca="1"/>
        <v>17.333333333333332</v>
      </c>
      <c r="I9" s="78">
        <f ca="1"/>
        <v>24</v>
      </c>
      <c r="J9" s="78">
        <f ca="1"/>
        <v>4.333333333333333</v>
      </c>
      <c r="K9" s="85" t="str">
        <f ca="1"/>
        <v>3-52</v>
      </c>
      <c r="L9" s="85">
        <f t="shared" ca="1" si="0"/>
        <v>1008</v>
      </c>
      <c r="M9" s="85">
        <f t="shared" ca="1" si="1"/>
        <v>12</v>
      </c>
      <c r="N9" t="str">
        <f t="shared" ca="1" si="2"/>
        <v>Wightwick 12-2-52-3,</v>
      </c>
      <c r="P9">
        <f t="shared" ca="1" si="3"/>
        <v>19</v>
      </c>
      <c r="Q9" s="133">
        <v>6</v>
      </c>
      <c r="R9" s="133" t="str">
        <f t="shared" ca="1" si="4"/>
        <v>Lestrelle A</v>
      </c>
      <c r="S9" s="133">
        <f t="shared" ca="1" si="5"/>
        <v>86</v>
      </c>
      <c r="T9" s="133">
        <f t="shared" ca="1" si="6"/>
        <v>2</v>
      </c>
      <c r="U9" s="133">
        <f t="shared" ca="1" si="7"/>
        <v>449</v>
      </c>
      <c r="V9" s="133">
        <f t="shared" ca="1" si="8"/>
        <v>15</v>
      </c>
      <c r="W9" s="138">
        <f t="shared" ca="1" si="9"/>
        <v>29.93</v>
      </c>
      <c r="X9" s="139">
        <f t="shared" ca="1" si="10"/>
        <v>34.4</v>
      </c>
      <c r="Y9" s="139">
        <f t="shared" ca="1" si="11"/>
        <v>5.22</v>
      </c>
      <c r="Z9" s="133" t="str">
        <f t="shared" ca="1" si="12"/>
        <v>2-5</v>
      </c>
    </row>
    <row r="10" spans="1:26" ht="12.75" x14ac:dyDescent="0.15">
      <c r="A10">
        <v>9</v>
      </c>
      <c r="B10">
        <f>MATCH(A10,Bowling!$CS$5:$CS$35,0)</f>
        <v>28</v>
      </c>
      <c r="C10" t="str">
        <f ca="1">OFFSET(Bowling!$B$4,BowlAves!B10,0)</f>
        <v>Sudesh</v>
      </c>
      <c r="D10" s="82">
        <f t="array" aca="1" ref="D10:K10" ca="1">OFFSET(Bowling!$CG$4,BowlAves!B10,0,1,8)</f>
        <v>58.2</v>
      </c>
      <c r="E10" s="77">
        <f ca="1"/>
        <v>15</v>
      </c>
      <c r="F10" s="77">
        <f ca="1"/>
        <v>183</v>
      </c>
      <c r="G10" s="77">
        <f ca="1"/>
        <v>10</v>
      </c>
      <c r="H10" s="81">
        <f ca="1"/>
        <v>18.3</v>
      </c>
      <c r="I10" s="78">
        <f ca="1"/>
        <v>35</v>
      </c>
      <c r="J10" s="78">
        <f ca="1"/>
        <v>3.137142857142857</v>
      </c>
      <c r="K10" s="85" t="str">
        <f ca="1"/>
        <v>4-15</v>
      </c>
      <c r="L10" s="85">
        <f t="shared" ca="1" si="0"/>
        <v>9</v>
      </c>
      <c r="M10" s="85">
        <f t="shared" ca="1" si="1"/>
        <v>3</v>
      </c>
      <c r="N10" t="str">
        <f t="shared" ca="1" si="2"/>
        <v/>
      </c>
      <c r="P10">
        <f t="shared" ca="1" si="3"/>
        <v>1</v>
      </c>
      <c r="Q10" s="133">
        <v>7</v>
      </c>
      <c r="R10" s="133" t="str">
        <f t="shared" ca="1" si="4"/>
        <v>Mander C</v>
      </c>
      <c r="S10" s="133">
        <f t="shared" ca="1" si="5"/>
        <v>14</v>
      </c>
      <c r="T10" s="133">
        <f t="shared" ca="1" si="6"/>
        <v>5</v>
      </c>
      <c r="U10" s="133">
        <f t="shared" ca="1" si="7"/>
        <v>36</v>
      </c>
      <c r="V10" s="133">
        <f t="shared" ca="1" si="8"/>
        <v>6</v>
      </c>
      <c r="W10" s="138">
        <f t="shared" ca="1" si="9"/>
        <v>6</v>
      </c>
      <c r="X10" s="139">
        <f t="shared" ca="1" si="10"/>
        <v>14</v>
      </c>
      <c r="Y10" s="139">
        <f t="shared" ca="1" si="11"/>
        <v>2.57</v>
      </c>
      <c r="Z10" s="133" t="str">
        <f t="shared" ca="1" si="12"/>
        <v>4-21</v>
      </c>
    </row>
    <row r="11" spans="1:26" ht="12.75" x14ac:dyDescent="0.15">
      <c r="A11">
        <v>10</v>
      </c>
      <c r="B11">
        <f>MATCH(A11,Bowling!$CS$5:$CS$35,0)</f>
        <v>18</v>
      </c>
      <c r="C11" t="str">
        <f ca="1">OFFSET(Bowling!$B$4,BowlAves!B11,0)</f>
        <v>Middleton</v>
      </c>
      <c r="D11" s="82">
        <f t="array" aca="1" ref="D11:K11" ca="1">OFFSET(Bowling!$CG$4,BowlAves!B11,0,1,8)</f>
        <v>23</v>
      </c>
      <c r="E11" s="77">
        <f ca="1"/>
        <v>3</v>
      </c>
      <c r="F11" s="77">
        <f ca="1"/>
        <v>77</v>
      </c>
      <c r="G11" s="77">
        <f ca="1"/>
        <v>4</v>
      </c>
      <c r="H11" s="81">
        <f ca="1"/>
        <v>19.25</v>
      </c>
      <c r="I11" s="78">
        <f ca="1"/>
        <v>34.5</v>
      </c>
      <c r="J11" s="78">
        <f ca="1"/>
        <v>3.347826086956522</v>
      </c>
      <c r="K11" s="85" t="str">
        <f ca="1"/>
        <v>2-12</v>
      </c>
      <c r="L11" s="85">
        <f t="shared" ca="1" si="0"/>
        <v>1010</v>
      </c>
      <c r="M11" s="85">
        <f t="shared" ca="1" si="1"/>
        <v>13</v>
      </c>
      <c r="N11" t="str">
        <f t="shared" ca="1" si="2"/>
        <v>Middleton 23-3-77-4,</v>
      </c>
      <c r="P11">
        <f t="shared" ca="1" si="3"/>
        <v>2</v>
      </c>
      <c r="Q11" s="133">
        <v>8</v>
      </c>
      <c r="R11" s="133" t="str">
        <f t="shared" ca="1" si="4"/>
        <v>Sharpe D</v>
      </c>
      <c r="S11" s="133">
        <f t="shared" ca="1" si="5"/>
        <v>2</v>
      </c>
      <c r="T11" s="133">
        <f t="shared" ca="1" si="6"/>
        <v>0</v>
      </c>
      <c r="U11" s="133">
        <f t="shared" ca="1" si="7"/>
        <v>6</v>
      </c>
      <c r="V11" s="133">
        <f t="shared" ca="1" si="8"/>
        <v>1</v>
      </c>
      <c r="W11" s="138">
        <f t="shared" ca="1" si="9"/>
        <v>6</v>
      </c>
      <c r="X11" s="139">
        <f t="shared" ca="1" si="10"/>
        <v>12</v>
      </c>
      <c r="Y11" s="139">
        <f t="shared" ca="1" si="11"/>
        <v>3</v>
      </c>
      <c r="Z11" s="133" t="str">
        <f t="shared" ca="1" si="12"/>
        <v>1-6</v>
      </c>
    </row>
    <row r="12" spans="1:26" ht="12.75" x14ac:dyDescent="0.15">
      <c r="A12">
        <v>11</v>
      </c>
      <c r="B12">
        <f>MATCH(A12,Bowling!$CS$5:$CS$35,0)</f>
        <v>5</v>
      </c>
      <c r="C12" t="str">
        <f ca="1">OFFSET(Bowling!$B$4,BowlAves!B12,0)</f>
        <v>Cooper G</v>
      </c>
      <c r="D12" s="82">
        <f t="array" aca="1" ref="D12:K12" ca="1">OFFSET(Bowling!$CG$4,BowlAves!B12,0,1,8)</f>
        <v>160.19999999999999</v>
      </c>
      <c r="E12" s="77">
        <f ca="1"/>
        <v>18</v>
      </c>
      <c r="F12" s="77">
        <f ca="1"/>
        <v>693</v>
      </c>
      <c r="G12" s="77">
        <f ca="1"/>
        <v>35</v>
      </c>
      <c r="H12" s="81">
        <f ca="1"/>
        <v>19.8</v>
      </c>
      <c r="I12" s="78">
        <f ca="1"/>
        <v>27.485714285714284</v>
      </c>
      <c r="J12" s="78">
        <f ca="1"/>
        <v>4.3222453222453225</v>
      </c>
      <c r="K12" s="85" t="str">
        <f ca="1"/>
        <v>6-33</v>
      </c>
      <c r="L12" s="85">
        <f t="shared" ca="1" si="0"/>
        <v>11</v>
      </c>
      <c r="M12" s="85">
        <f t="shared" ca="1" si="1"/>
        <v>4</v>
      </c>
      <c r="N12" t="str">
        <f t="shared" ca="1" si="2"/>
        <v/>
      </c>
      <c r="P12">
        <f t="shared" ca="1" si="3"/>
        <v>3</v>
      </c>
      <c r="Q12" s="133">
        <v>9</v>
      </c>
      <c r="R12" s="133" t="str">
        <f t="shared" ca="1" si="4"/>
        <v>Shah</v>
      </c>
      <c r="S12" s="133">
        <f t="shared" ca="1" si="5"/>
        <v>14.3</v>
      </c>
      <c r="T12" s="133">
        <f t="shared" ca="1" si="6"/>
        <v>2</v>
      </c>
      <c r="U12" s="133">
        <f t="shared" ca="1" si="7"/>
        <v>50</v>
      </c>
      <c r="V12" s="133">
        <f t="shared" ca="1" si="8"/>
        <v>4</v>
      </c>
      <c r="W12" s="138">
        <f t="shared" ca="1" si="9"/>
        <v>12.5</v>
      </c>
      <c r="X12" s="139">
        <f t="shared" ca="1" si="10"/>
        <v>21.75</v>
      </c>
      <c r="Y12" s="139">
        <f t="shared" ca="1" si="11"/>
        <v>3.45</v>
      </c>
      <c r="Z12" s="133" t="str">
        <f t="shared" ca="1" si="12"/>
        <v>2-25</v>
      </c>
    </row>
    <row r="13" spans="1:26" ht="12.75" x14ac:dyDescent="0.15">
      <c r="A13">
        <v>12</v>
      </c>
      <c r="B13">
        <f>MATCH(A13,Bowling!$CS$5:$CS$35,0)</f>
        <v>17</v>
      </c>
      <c r="C13" t="str">
        <f ca="1">OFFSET(Bowling!$B$4,BowlAves!B13,0)</f>
        <v>Mander N</v>
      </c>
      <c r="D13" s="82">
        <f t="array" aca="1" ref="D13:K13" ca="1">OFFSET(Bowling!$CG$4,BowlAves!B13,0,1,8)</f>
        <v>45</v>
      </c>
      <c r="E13" s="77">
        <f ca="1"/>
        <v>9</v>
      </c>
      <c r="F13" s="77">
        <f ca="1"/>
        <v>162</v>
      </c>
      <c r="G13" s="77">
        <f ca="1"/>
        <v>8</v>
      </c>
      <c r="H13" s="81">
        <f ca="1"/>
        <v>20.25</v>
      </c>
      <c r="I13" s="78">
        <f ca="1"/>
        <v>33.75</v>
      </c>
      <c r="J13" s="78">
        <f ca="1"/>
        <v>3.6</v>
      </c>
      <c r="K13" s="85" t="str">
        <f ca="1"/>
        <v>3-28</v>
      </c>
      <c r="L13" s="85">
        <f t="shared" ca="1" si="0"/>
        <v>1012</v>
      </c>
      <c r="M13" s="85">
        <f t="shared" ca="1" si="1"/>
        <v>14</v>
      </c>
      <c r="N13" t="str">
        <f t="shared" ca="1" si="2"/>
        <v>Mander N 45-9-162-8,</v>
      </c>
      <c r="P13">
        <f t="shared" ca="1" si="3"/>
        <v>5</v>
      </c>
      <c r="Q13" s="133">
        <v>10</v>
      </c>
      <c r="R13" s="133" t="str">
        <f t="shared" ca="1" si="4"/>
        <v>Leadley J</v>
      </c>
      <c r="S13" s="133">
        <f t="shared" ca="1" si="5"/>
        <v>10.1</v>
      </c>
      <c r="T13" s="133">
        <f t="shared" ca="1" si="6"/>
        <v>2</v>
      </c>
      <c r="U13" s="133">
        <f t="shared" ca="1" si="7"/>
        <v>39</v>
      </c>
      <c r="V13" s="133">
        <f t="shared" ca="1" si="8"/>
        <v>3</v>
      </c>
      <c r="W13" s="138">
        <f t="shared" ca="1" si="9"/>
        <v>13</v>
      </c>
      <c r="X13" s="139">
        <f t="shared" ca="1" si="10"/>
        <v>20.329999999999998</v>
      </c>
      <c r="Y13" s="139">
        <f t="shared" ca="1" si="11"/>
        <v>3.84</v>
      </c>
      <c r="Z13" s="133" t="str">
        <f t="shared" ca="1" si="12"/>
        <v>2-21</v>
      </c>
    </row>
    <row r="14" spans="1:26" ht="12.75" x14ac:dyDescent="0.15">
      <c r="A14">
        <v>13</v>
      </c>
      <c r="B14">
        <f>MATCH(A14,Bowling!$CS$5:$CS$35,0)</f>
        <v>27</v>
      </c>
      <c r="C14" t="str">
        <f ca="1">OFFSET(Bowling!$B$4,BowlAves!B14,0)</f>
        <v>Stephens</v>
      </c>
      <c r="D14" s="82">
        <f t="array" aca="1" ref="D14:K14" ca="1">OFFSET(Bowling!$CG$4,BowlAves!B14,0,1,8)</f>
        <v>18</v>
      </c>
      <c r="E14" s="77">
        <f ca="1"/>
        <v>2</v>
      </c>
      <c r="F14" s="77">
        <f ca="1"/>
        <v>98</v>
      </c>
      <c r="G14" s="77">
        <f ca="1"/>
        <v>4</v>
      </c>
      <c r="H14" s="81">
        <f ca="1"/>
        <v>24.5</v>
      </c>
      <c r="I14" s="78">
        <f ca="1"/>
        <v>27</v>
      </c>
      <c r="J14" s="78">
        <f ca="1"/>
        <v>5.4444444444444446</v>
      </c>
      <c r="K14" s="85" t="str">
        <f ca="1"/>
        <v>3-26</v>
      </c>
      <c r="L14" s="85">
        <f t="shared" ca="1" si="0"/>
        <v>1013</v>
      </c>
      <c r="M14" s="85">
        <f t="shared" ca="1" si="1"/>
        <v>15</v>
      </c>
      <c r="N14" t="str">
        <f t="shared" ca="1" si="2"/>
        <v>Stephens 18-2-98-4,</v>
      </c>
      <c r="P14">
        <f t="shared" ca="1" si="3"/>
        <v>7</v>
      </c>
      <c r="Q14" s="133">
        <v>11</v>
      </c>
      <c r="R14" s="133" t="str">
        <f t="shared" ca="1" si="4"/>
        <v>Shakespeare J</v>
      </c>
      <c r="S14" s="133">
        <f t="shared" ca="1" si="5"/>
        <v>7.5</v>
      </c>
      <c r="T14" s="133">
        <f t="shared" ca="1" si="6"/>
        <v>0</v>
      </c>
      <c r="U14" s="133">
        <f t="shared" ca="1" si="7"/>
        <v>29</v>
      </c>
      <c r="V14" s="133">
        <f t="shared" ca="1" si="8"/>
        <v>2</v>
      </c>
      <c r="W14" s="138">
        <f t="shared" ca="1" si="9"/>
        <v>14.5</v>
      </c>
      <c r="X14" s="139">
        <f t="shared" ca="1" si="10"/>
        <v>23.5</v>
      </c>
      <c r="Y14" s="139">
        <f t="shared" ca="1" si="11"/>
        <v>3.7</v>
      </c>
      <c r="Z14" s="133" t="str">
        <f t="shared" ca="1" si="12"/>
        <v>1-3</v>
      </c>
    </row>
    <row r="15" spans="1:26" ht="12.75" x14ac:dyDescent="0.15">
      <c r="A15">
        <v>14</v>
      </c>
      <c r="B15">
        <f>MATCH(A15,Bowling!$CS$5:$CS$35,0)</f>
        <v>20</v>
      </c>
      <c r="C15" t="str">
        <f ca="1">OFFSET(Bowling!$B$4,BowlAves!B15,0)</f>
        <v>Sales</v>
      </c>
      <c r="D15" s="82">
        <f t="array" aca="1" ref="D15:K15" ca="1">OFFSET(Bowling!$CG$4,BowlAves!B15,0,1,8)</f>
        <v>2</v>
      </c>
      <c r="E15" s="77">
        <f ca="1"/>
        <v>0</v>
      </c>
      <c r="F15" s="77">
        <f ca="1"/>
        <v>26</v>
      </c>
      <c r="G15" s="77">
        <f ca="1"/>
        <v>1</v>
      </c>
      <c r="H15" s="81">
        <f ca="1"/>
        <v>26</v>
      </c>
      <c r="I15" s="78">
        <f ca="1"/>
        <v>12</v>
      </c>
      <c r="J15" s="78">
        <f ca="1"/>
        <v>13</v>
      </c>
      <c r="K15" s="85" t="str">
        <f ca="1"/>
        <v>1-26</v>
      </c>
      <c r="L15" s="85">
        <f t="shared" ca="1" si="0"/>
        <v>1014</v>
      </c>
      <c r="M15" s="85">
        <f t="shared" ca="1" si="1"/>
        <v>16</v>
      </c>
      <c r="N15" t="str">
        <f t="shared" ca="1" si="2"/>
        <v>Sales 2-0-26-1,</v>
      </c>
      <c r="P15">
        <f t="shared" ca="1" si="3"/>
        <v>8</v>
      </c>
      <c r="Q15" s="133">
        <v>12</v>
      </c>
      <c r="R15" s="133" t="str">
        <f t="shared" ca="1" si="4"/>
        <v>Wightwick</v>
      </c>
      <c r="S15" s="133">
        <f t="shared" ca="1" si="5"/>
        <v>12</v>
      </c>
      <c r="T15" s="133">
        <f t="shared" ca="1" si="6"/>
        <v>2</v>
      </c>
      <c r="U15" s="133">
        <f t="shared" ca="1" si="7"/>
        <v>52</v>
      </c>
      <c r="V15" s="133">
        <f t="shared" ca="1" si="8"/>
        <v>3</v>
      </c>
      <c r="W15" s="138">
        <f t="shared" ca="1" si="9"/>
        <v>17.329999999999998</v>
      </c>
      <c r="X15" s="139">
        <f t="shared" ca="1" si="10"/>
        <v>24</v>
      </c>
      <c r="Y15" s="139">
        <f t="shared" ca="1" si="11"/>
        <v>4.33</v>
      </c>
      <c r="Z15" s="133" t="str">
        <f t="shared" ca="1" si="12"/>
        <v>3-52</v>
      </c>
    </row>
    <row r="16" spans="1:26" ht="12.75" x14ac:dyDescent="0.15">
      <c r="A16">
        <v>15</v>
      </c>
      <c r="B16">
        <f>MATCH(A16,Bowling!$CS$5:$CS$35,0)</f>
        <v>1</v>
      </c>
      <c r="C16" t="str">
        <f ca="1">OFFSET(Bowling!$B$4,BowlAves!B16,0)</f>
        <v>Bowers M</v>
      </c>
      <c r="D16" s="82">
        <f t="array" aca="1" ref="D16:K16" ca="1">OFFSET(Bowling!$CG$4,BowlAves!B16,0,1,8)</f>
        <v>70.2</v>
      </c>
      <c r="E16" s="77">
        <f ca="1"/>
        <v>5</v>
      </c>
      <c r="F16" s="77">
        <f ca="1"/>
        <v>368</v>
      </c>
      <c r="G16" s="77">
        <f ca="1"/>
        <v>14</v>
      </c>
      <c r="H16" s="81">
        <f ca="1"/>
        <v>26.285714285714285</v>
      </c>
      <c r="I16" s="78">
        <f ca="1"/>
        <v>30.142857142857142</v>
      </c>
      <c r="J16" s="78">
        <f ca="1"/>
        <v>5.2322274881516586</v>
      </c>
      <c r="K16" s="85" t="str">
        <f ca="1"/>
        <v>3-4</v>
      </c>
      <c r="L16" s="85">
        <f t="shared" ca="1" si="0"/>
        <v>15</v>
      </c>
      <c r="M16" s="85">
        <f t="shared" ca="1" si="1"/>
        <v>5</v>
      </c>
      <c r="N16" t="str">
        <f t="shared" ca="1" si="2"/>
        <v/>
      </c>
      <c r="P16">
        <f t="shared" ca="1" si="3"/>
        <v>10</v>
      </c>
      <c r="Q16" s="133">
        <v>13</v>
      </c>
      <c r="R16" s="133" t="str">
        <f t="shared" ca="1" si="4"/>
        <v>Middleton</v>
      </c>
      <c r="S16" s="133">
        <f t="shared" ca="1" si="5"/>
        <v>23</v>
      </c>
      <c r="T16" s="133">
        <f t="shared" ca="1" si="6"/>
        <v>3</v>
      </c>
      <c r="U16" s="133">
        <f t="shared" ca="1" si="7"/>
        <v>77</v>
      </c>
      <c r="V16" s="133">
        <f t="shared" ca="1" si="8"/>
        <v>4</v>
      </c>
      <c r="W16" s="138">
        <f t="shared" ca="1" si="9"/>
        <v>19.25</v>
      </c>
      <c r="X16" s="139">
        <f t="shared" ca="1" si="10"/>
        <v>34.5</v>
      </c>
      <c r="Y16" s="139">
        <f t="shared" ca="1" si="11"/>
        <v>3.35</v>
      </c>
      <c r="Z16" s="133" t="str">
        <f t="shared" ca="1" si="12"/>
        <v>2-12</v>
      </c>
    </row>
    <row r="17" spans="1:26" ht="12.75" x14ac:dyDescent="0.15">
      <c r="A17">
        <v>16</v>
      </c>
      <c r="B17">
        <f>MATCH(A17,Bowling!$CS$5:$CS$35,0)</f>
        <v>31</v>
      </c>
      <c r="C17" t="str">
        <f ca="1">OFFSET(Bowling!$B$4,BowlAves!B17,0)</f>
        <v>Woodhouse M</v>
      </c>
      <c r="D17" s="82">
        <f t="array" aca="1" ref="D17:K17" ca="1">OFFSET(Bowling!$CG$4,BowlAves!B17,0,1,8)</f>
        <v>33</v>
      </c>
      <c r="E17" s="77">
        <f ca="1"/>
        <v>1</v>
      </c>
      <c r="F17" s="77">
        <f ca="1"/>
        <v>138</v>
      </c>
      <c r="G17" s="77">
        <f ca="1"/>
        <v>5</v>
      </c>
      <c r="H17" s="81">
        <f ca="1"/>
        <v>27.6</v>
      </c>
      <c r="I17" s="78">
        <f ca="1"/>
        <v>39.6</v>
      </c>
      <c r="J17" s="78">
        <f ca="1"/>
        <v>4.1818181818181817</v>
      </c>
      <c r="K17" s="85" t="str">
        <f ca="1"/>
        <v>2-27</v>
      </c>
      <c r="L17" s="85">
        <f t="shared" ca="1" si="0"/>
        <v>1016</v>
      </c>
      <c r="M17" s="85">
        <f t="shared" ca="1" si="1"/>
        <v>17</v>
      </c>
      <c r="N17" t="str">
        <f t="shared" ca="1" si="2"/>
        <v>Woodhouse M 33-1-138-5,</v>
      </c>
      <c r="P17">
        <f t="shared" ca="1" si="3"/>
        <v>12</v>
      </c>
      <c r="Q17" s="133">
        <v>14</v>
      </c>
      <c r="R17" s="133" t="str">
        <f t="shared" ca="1" si="4"/>
        <v>Mander N</v>
      </c>
      <c r="S17" s="133">
        <f t="shared" ca="1" si="5"/>
        <v>45</v>
      </c>
      <c r="T17" s="133">
        <f t="shared" ca="1" si="6"/>
        <v>9</v>
      </c>
      <c r="U17" s="133">
        <f t="shared" ca="1" si="7"/>
        <v>162</v>
      </c>
      <c r="V17" s="133">
        <f t="shared" ca="1" si="8"/>
        <v>8</v>
      </c>
      <c r="W17" s="138">
        <f t="shared" ca="1" si="9"/>
        <v>20.25</v>
      </c>
      <c r="X17" s="139">
        <f t="shared" ca="1" si="10"/>
        <v>33.75</v>
      </c>
      <c r="Y17" s="139">
        <f t="shared" ca="1" si="11"/>
        <v>3.6</v>
      </c>
      <c r="Z17" s="133" t="str">
        <f t="shared" ca="1" si="12"/>
        <v>3-28</v>
      </c>
    </row>
    <row r="18" spans="1:26" ht="12.75" x14ac:dyDescent="0.15">
      <c r="A18">
        <v>17</v>
      </c>
      <c r="B18">
        <f>MATCH(A18,Bowling!$CS$5:$CS$35,0)</f>
        <v>15</v>
      </c>
      <c r="C18" t="str">
        <f ca="1">OFFSET(Bowling!$B$4,BowlAves!B18,0)</f>
        <v>Mander A</v>
      </c>
      <c r="D18" s="82">
        <f t="array" aca="1" ref="D18:K18" ca="1">OFFSET(Bowling!$CG$4,BowlAves!B18,0,1,8)</f>
        <v>72</v>
      </c>
      <c r="E18" s="77">
        <f ca="1"/>
        <v>20</v>
      </c>
      <c r="F18" s="77">
        <f ca="1"/>
        <v>198</v>
      </c>
      <c r="G18" s="77">
        <f ca="1"/>
        <v>7</v>
      </c>
      <c r="H18" s="81">
        <f ca="1"/>
        <v>28.285714285714285</v>
      </c>
      <c r="I18" s="78">
        <f ca="1"/>
        <v>61.714285714285715</v>
      </c>
      <c r="J18" s="78">
        <f ca="1"/>
        <v>2.75</v>
      </c>
      <c r="K18" s="85" t="str">
        <f ca="1"/>
        <v>3-27</v>
      </c>
      <c r="L18" s="85">
        <f t="shared" ca="1" si="0"/>
        <v>1017</v>
      </c>
      <c r="M18" s="85">
        <f t="shared" ca="1" si="1"/>
        <v>18</v>
      </c>
      <c r="N18" t="str">
        <f t="shared" ca="1" si="2"/>
        <v>Mander A 72-20-198-7,</v>
      </c>
      <c r="P18">
        <f t="shared" ca="1" si="3"/>
        <v>13</v>
      </c>
      <c r="Q18" s="133">
        <v>15</v>
      </c>
      <c r="R18" s="133" t="str">
        <f t="shared" ca="1" si="4"/>
        <v>Stephens</v>
      </c>
      <c r="S18" s="133">
        <f t="shared" ca="1" si="5"/>
        <v>18</v>
      </c>
      <c r="T18" s="133">
        <f t="shared" ca="1" si="6"/>
        <v>2</v>
      </c>
      <c r="U18" s="133">
        <f t="shared" ca="1" si="7"/>
        <v>98</v>
      </c>
      <c r="V18" s="133">
        <f t="shared" ca="1" si="8"/>
        <v>4</v>
      </c>
      <c r="W18" s="138">
        <f t="shared" ca="1" si="9"/>
        <v>24.5</v>
      </c>
      <c r="X18" s="139">
        <f t="shared" ca="1" si="10"/>
        <v>27</v>
      </c>
      <c r="Y18" s="139">
        <f t="shared" ca="1" si="11"/>
        <v>5.44</v>
      </c>
      <c r="Z18" s="133" t="str">
        <f t="shared" ca="1" si="12"/>
        <v>3-26</v>
      </c>
    </row>
    <row r="19" spans="1:26" ht="12.75" x14ac:dyDescent="0.15">
      <c r="A19">
        <v>18</v>
      </c>
      <c r="B19">
        <f>MATCH(A19,Bowling!$CS$5:$CS$35,0)</f>
        <v>7</v>
      </c>
      <c r="C19" t="str">
        <f ca="1">OFFSET(Bowling!$B$4,BowlAves!B19,0)</f>
        <v>Elliston J</v>
      </c>
      <c r="D19" s="82">
        <f t="array" aca="1" ref="D19:K19" ca="1">OFFSET(Bowling!$CG$4,BowlAves!B19,0,1,8)</f>
        <v>36.299999999999997</v>
      </c>
      <c r="E19" s="77">
        <f ca="1"/>
        <v>0</v>
      </c>
      <c r="F19" s="77">
        <f ca="1"/>
        <v>237</v>
      </c>
      <c r="G19" s="77">
        <f ca="1"/>
        <v>8</v>
      </c>
      <c r="H19" s="81">
        <f ca="1"/>
        <v>29.625</v>
      </c>
      <c r="I19" s="78">
        <f ca="1"/>
        <v>27.375</v>
      </c>
      <c r="J19" s="78">
        <f ca="1"/>
        <v>6.493150684931507</v>
      </c>
      <c r="K19" s="85" t="str">
        <f ca="1"/>
        <v>3-15</v>
      </c>
      <c r="L19" s="85">
        <f t="shared" ca="1" si="0"/>
        <v>1018</v>
      </c>
      <c r="M19" s="85">
        <f t="shared" ca="1" si="1"/>
        <v>19</v>
      </c>
      <c r="N19" t="str">
        <f t="shared" ca="1" si="2"/>
        <v>Elliston J 36.3-0-237-8,</v>
      </c>
      <c r="P19">
        <f t="shared" ca="1" si="3"/>
        <v>14</v>
      </c>
      <c r="Q19" s="133">
        <v>16</v>
      </c>
      <c r="R19" s="133" t="str">
        <f t="shared" ca="1" si="4"/>
        <v>Sales</v>
      </c>
      <c r="S19" s="133">
        <f t="shared" ca="1" si="5"/>
        <v>2</v>
      </c>
      <c r="T19" s="133">
        <f t="shared" ca="1" si="6"/>
        <v>0</v>
      </c>
      <c r="U19" s="133">
        <f t="shared" ca="1" si="7"/>
        <v>26</v>
      </c>
      <c r="V19" s="133">
        <f t="shared" ca="1" si="8"/>
        <v>1</v>
      </c>
      <c r="W19" s="138">
        <f t="shared" ca="1" si="9"/>
        <v>26</v>
      </c>
      <c r="X19" s="139">
        <f t="shared" ca="1" si="10"/>
        <v>12</v>
      </c>
      <c r="Y19" s="139">
        <f t="shared" ca="1" si="11"/>
        <v>13</v>
      </c>
      <c r="Z19" s="133" t="str">
        <f t="shared" ca="1" si="12"/>
        <v>1-26</v>
      </c>
    </row>
    <row r="20" spans="1:26" ht="12.75" x14ac:dyDescent="0.15">
      <c r="A20">
        <v>19</v>
      </c>
      <c r="B20">
        <f>MATCH(A20,Bowling!$CS$5:$CS$35,0)</f>
        <v>13</v>
      </c>
      <c r="C20" t="str">
        <f ca="1">OFFSET(Bowling!$B$4,BowlAves!B20,0)</f>
        <v>Lestrelle A</v>
      </c>
      <c r="D20" s="82">
        <f t="array" aca="1" ref="D20:K20" ca="1">OFFSET(Bowling!$CG$4,BowlAves!B20,0,1,8)</f>
        <v>86</v>
      </c>
      <c r="E20" s="77">
        <f ca="1"/>
        <v>2</v>
      </c>
      <c r="F20" s="77">
        <f ca="1"/>
        <v>449</v>
      </c>
      <c r="G20" s="77">
        <f ca="1"/>
        <v>15</v>
      </c>
      <c r="H20" s="81">
        <f ca="1"/>
        <v>29.933333333333334</v>
      </c>
      <c r="I20" s="78">
        <f ca="1"/>
        <v>34.4</v>
      </c>
      <c r="J20" s="78">
        <f ca="1"/>
        <v>5.2209302325581399</v>
      </c>
      <c r="K20" s="85" t="str">
        <f ca="1"/>
        <v>2-5</v>
      </c>
      <c r="L20" s="85">
        <f t="shared" ca="1" si="0"/>
        <v>19</v>
      </c>
      <c r="M20" s="85">
        <f t="shared" ca="1" si="1"/>
        <v>6</v>
      </c>
      <c r="N20" t="str">
        <f t="shared" ca="1" si="2"/>
        <v/>
      </c>
      <c r="P20">
        <f t="shared" ca="1" si="3"/>
        <v>16</v>
      </c>
      <c r="Q20" s="133">
        <v>17</v>
      </c>
      <c r="R20" s="133" t="str">
        <f t="shared" ca="1" si="4"/>
        <v>Woodhouse M</v>
      </c>
      <c r="S20" s="133">
        <f t="shared" ca="1" si="5"/>
        <v>33</v>
      </c>
      <c r="T20" s="133">
        <f t="shared" ca="1" si="6"/>
        <v>1</v>
      </c>
      <c r="U20" s="133">
        <f t="shared" ca="1" si="7"/>
        <v>138</v>
      </c>
      <c r="V20" s="133">
        <f t="shared" ca="1" si="8"/>
        <v>5</v>
      </c>
      <c r="W20" s="138">
        <f t="shared" ca="1" si="9"/>
        <v>27.6</v>
      </c>
      <c r="X20" s="139">
        <f t="shared" ca="1" si="10"/>
        <v>39.6</v>
      </c>
      <c r="Y20" s="139">
        <f t="shared" ca="1" si="11"/>
        <v>4.18</v>
      </c>
      <c r="Z20" s="133" t="str">
        <f t="shared" ca="1" si="12"/>
        <v>2-27</v>
      </c>
    </row>
    <row r="21" spans="1:26" ht="12.75" x14ac:dyDescent="0.15">
      <c r="A21">
        <v>20</v>
      </c>
      <c r="B21">
        <f>MATCH(A21,Bowling!$CS$5:$CS$35,0)</f>
        <v>10</v>
      </c>
      <c r="C21" t="str">
        <f ca="1">OFFSET(Bowling!$B$4,BowlAves!B21,0)</f>
        <v>Lashley W</v>
      </c>
      <c r="D21" s="82">
        <f t="array" aca="1" ref="D21:K21" ca="1">OFFSET(Bowling!$CG$4,BowlAves!B21,0,1,8)</f>
        <v>6</v>
      </c>
      <c r="E21" s="77">
        <f ca="1"/>
        <v>0</v>
      </c>
      <c r="F21" s="77">
        <f ca="1"/>
        <v>31</v>
      </c>
      <c r="G21" s="77">
        <f ca="1"/>
        <v>1</v>
      </c>
      <c r="H21" s="81">
        <f ca="1"/>
        <v>31</v>
      </c>
      <c r="I21" s="78">
        <f ca="1"/>
        <v>36</v>
      </c>
      <c r="J21" s="78">
        <f ca="1"/>
        <v>5.166666666666667</v>
      </c>
      <c r="K21" s="85" t="str">
        <f ca="1"/>
        <v>1-31</v>
      </c>
      <c r="L21" s="85">
        <f t="shared" ca="1" si="0"/>
        <v>1020</v>
      </c>
      <c r="M21" s="85">
        <f t="shared" ca="1" si="1"/>
        <v>20</v>
      </c>
      <c r="N21" t="str">
        <f t="shared" ca="1" si="2"/>
        <v>Lashley W 6-0-31-1,</v>
      </c>
      <c r="P21">
        <f t="shared" ca="1" si="3"/>
        <v>17</v>
      </c>
      <c r="Q21" s="133">
        <v>18</v>
      </c>
      <c r="R21" s="133" t="str">
        <f t="shared" ca="1" si="4"/>
        <v>Mander A</v>
      </c>
      <c r="S21" s="133">
        <f t="shared" ca="1" si="5"/>
        <v>72</v>
      </c>
      <c r="T21" s="133">
        <f t="shared" ca="1" si="6"/>
        <v>20</v>
      </c>
      <c r="U21" s="133">
        <f t="shared" ca="1" si="7"/>
        <v>198</v>
      </c>
      <c r="V21" s="133">
        <f t="shared" ca="1" si="8"/>
        <v>7</v>
      </c>
      <c r="W21" s="138">
        <f t="shared" ca="1" si="9"/>
        <v>28.29</v>
      </c>
      <c r="X21" s="139">
        <f t="shared" ca="1" si="10"/>
        <v>61.71</v>
      </c>
      <c r="Y21" s="139">
        <f t="shared" ca="1" si="11"/>
        <v>2.75</v>
      </c>
      <c r="Z21" s="133" t="str">
        <f t="shared" ca="1" si="12"/>
        <v>3-27</v>
      </c>
    </row>
    <row r="22" spans="1:26" ht="12.75" x14ac:dyDescent="0.15">
      <c r="A22">
        <v>21</v>
      </c>
      <c r="B22">
        <f>MATCH(A22,Bowling!$CS$5:$CS$35,0)</f>
        <v>14</v>
      </c>
      <c r="C22" t="str">
        <f ca="1">OFFSET(Bowling!$B$4,BowlAves!B22,0)</f>
        <v>Lestrelle J</v>
      </c>
      <c r="D22" s="82">
        <f t="array" aca="1" ref="D22:K22" ca="1">OFFSET(Bowling!$CG$4,BowlAves!B22,0,1,8)</f>
        <v>35</v>
      </c>
      <c r="E22" s="77">
        <f ca="1"/>
        <v>1</v>
      </c>
      <c r="F22" s="77">
        <f ca="1"/>
        <v>254</v>
      </c>
      <c r="G22" s="77">
        <f ca="1"/>
        <v>7</v>
      </c>
      <c r="H22" s="81">
        <f ca="1"/>
        <v>36.285714285714285</v>
      </c>
      <c r="I22" s="78">
        <f ca="1"/>
        <v>30</v>
      </c>
      <c r="J22" s="78">
        <f ca="1"/>
        <v>7.2571428571428571</v>
      </c>
      <c r="K22" s="85" t="str">
        <f ca="1"/>
        <v>3-23</v>
      </c>
      <c r="L22" s="85">
        <f t="shared" ca="1" si="0"/>
        <v>1021</v>
      </c>
      <c r="M22" s="85">
        <f t="shared" ca="1" si="1"/>
        <v>21</v>
      </c>
      <c r="N22" t="str">
        <f t="shared" ca="1" si="2"/>
        <v>Lestrelle J 35-1-254-7,</v>
      </c>
      <c r="P22">
        <f t="shared" ca="1" si="3"/>
        <v>18</v>
      </c>
      <c r="Q22" s="133">
        <v>19</v>
      </c>
      <c r="R22" s="133" t="str">
        <f t="shared" ca="1" si="4"/>
        <v>Elliston J</v>
      </c>
      <c r="S22" s="133">
        <f t="shared" ca="1" si="5"/>
        <v>36.299999999999997</v>
      </c>
      <c r="T22" s="133">
        <f t="shared" ca="1" si="6"/>
        <v>0</v>
      </c>
      <c r="U22" s="133">
        <f t="shared" ca="1" si="7"/>
        <v>237</v>
      </c>
      <c r="V22" s="133">
        <f t="shared" ca="1" si="8"/>
        <v>8</v>
      </c>
      <c r="W22" s="138">
        <f t="shared" ca="1" si="9"/>
        <v>29.63</v>
      </c>
      <c r="X22" s="139">
        <f t="shared" ca="1" si="10"/>
        <v>27.38</v>
      </c>
      <c r="Y22" s="139">
        <f t="shared" ca="1" si="11"/>
        <v>6.49</v>
      </c>
      <c r="Z22" s="133" t="str">
        <f t="shared" ca="1" si="12"/>
        <v>3-15</v>
      </c>
    </row>
    <row r="23" spans="1:26" ht="12.75" x14ac:dyDescent="0.15">
      <c r="A23">
        <v>22</v>
      </c>
      <c r="B23">
        <f>MATCH(A23,Bowling!$CS$5:$CS$35,0)</f>
        <v>2</v>
      </c>
      <c r="C23" t="str">
        <f ca="1">OFFSET(Bowling!$B$4,BowlAves!B23,0)</f>
        <v>Brocks D</v>
      </c>
      <c r="D23" s="82">
        <f t="array" aca="1" ref="D23:K23" ca="1">OFFSET(Bowling!$CG$4,BowlAves!B23,0,1,8)</f>
        <v>16</v>
      </c>
      <c r="E23" s="77">
        <f ca="1"/>
        <v>1</v>
      </c>
      <c r="F23" s="77">
        <f ca="1"/>
        <v>110</v>
      </c>
      <c r="G23" s="77">
        <f ca="1"/>
        <v>3</v>
      </c>
      <c r="H23" s="81">
        <f ca="1"/>
        <v>36.666666666666664</v>
      </c>
      <c r="I23" s="78">
        <f ca="1"/>
        <v>32</v>
      </c>
      <c r="J23" s="78">
        <f ca="1"/>
        <v>6.875</v>
      </c>
      <c r="K23" s="85" t="str">
        <f ca="1"/>
        <v>2-50</v>
      </c>
      <c r="L23" s="85">
        <f t="shared" ca="1" si="0"/>
        <v>1022</v>
      </c>
      <c r="M23" s="85">
        <f t="shared" ca="1" si="1"/>
        <v>22</v>
      </c>
      <c r="N23" t="str">
        <f t="shared" ca="1" si="2"/>
        <v>Brocks D 16-1-110-3,</v>
      </c>
      <c r="P23">
        <f t="shared" ca="1" si="3"/>
        <v>20</v>
      </c>
      <c r="Q23" s="133">
        <v>20</v>
      </c>
      <c r="R23" s="133" t="str">
        <f t="shared" ca="1" si="4"/>
        <v>Lashley W</v>
      </c>
      <c r="S23" s="133">
        <f t="shared" ca="1" si="5"/>
        <v>6</v>
      </c>
      <c r="T23" s="133">
        <f t="shared" ca="1" si="6"/>
        <v>0</v>
      </c>
      <c r="U23" s="133">
        <f t="shared" ca="1" si="7"/>
        <v>31</v>
      </c>
      <c r="V23" s="133">
        <f t="shared" ca="1" si="8"/>
        <v>1</v>
      </c>
      <c r="W23" s="138">
        <f t="shared" ca="1" si="9"/>
        <v>31</v>
      </c>
      <c r="X23" s="139">
        <f t="shared" ca="1" si="10"/>
        <v>36</v>
      </c>
      <c r="Y23" s="139">
        <f t="shared" ca="1" si="11"/>
        <v>5.17</v>
      </c>
      <c r="Z23" s="133" t="str">
        <f t="shared" ca="1" si="12"/>
        <v>1-31</v>
      </c>
    </row>
    <row r="24" spans="1:26" x14ac:dyDescent="0.15">
      <c r="A24">
        <v>23</v>
      </c>
      <c r="B24">
        <f>MATCH(A24,Bowling!$CS$5:$CS$35,0)</f>
        <v>26</v>
      </c>
      <c r="C24" t="str">
        <f ca="1">OFFSET(Bowling!$B$4,BowlAves!B24,0)</f>
        <v>Spurgeon</v>
      </c>
      <c r="D24" s="82">
        <f t="array" aca="1" ref="D24:K24" ca="1">OFFSET(Bowling!$CG$4,BowlAves!B24,0,1,8)</f>
        <v>10.1</v>
      </c>
      <c r="E24" s="77">
        <f ca="1"/>
        <v>0</v>
      </c>
      <c r="F24" s="77">
        <f ca="1"/>
        <v>74</v>
      </c>
      <c r="G24" s="77">
        <f ca="1"/>
        <v>2</v>
      </c>
      <c r="H24" s="81">
        <f ca="1"/>
        <v>37</v>
      </c>
      <c r="I24" s="78">
        <f ca="1"/>
        <v>30.5</v>
      </c>
      <c r="J24" s="78">
        <f ca="1"/>
        <v>7.278688524590164</v>
      </c>
      <c r="K24" s="85" t="str">
        <f ca="1"/>
        <v>1-20</v>
      </c>
      <c r="L24" s="85">
        <f t="shared" ca="1" si="0"/>
        <v>1023</v>
      </c>
      <c r="M24" s="85">
        <f t="shared" ca="1" si="1"/>
        <v>23</v>
      </c>
      <c r="N24" t="str">
        <f t="shared" ca="1" si="2"/>
        <v>Spurgeon 10.1-0-74-2,</v>
      </c>
      <c r="X24" s="62"/>
    </row>
    <row r="25" spans="1:26" x14ac:dyDescent="0.15">
      <c r="A25">
        <v>24</v>
      </c>
      <c r="B25">
        <f>MATCH(A25,Bowling!$CS$5:$CS$35,0)</f>
        <v>11</v>
      </c>
      <c r="C25" t="str">
        <f ca="1">OFFSET(Bowling!$B$4,BowlAves!B25,0)</f>
        <v>Kiernan M</v>
      </c>
      <c r="D25" s="82">
        <f t="array" aca="1" ref="D25:K25" ca="1">OFFSET(Bowling!$CG$4,BowlAves!B25,0,1,8)</f>
        <v>6</v>
      </c>
      <c r="E25" s="77">
        <f ca="1"/>
        <v>0</v>
      </c>
      <c r="F25" s="77">
        <f ca="1"/>
        <v>57</v>
      </c>
      <c r="G25" s="77">
        <f ca="1"/>
        <v>1</v>
      </c>
      <c r="H25" s="81">
        <f ca="1"/>
        <v>57</v>
      </c>
      <c r="I25" s="78">
        <f ca="1"/>
        <v>36</v>
      </c>
      <c r="J25" s="78">
        <f ca="1"/>
        <v>9.5</v>
      </c>
      <c r="K25" s="85" t="str">
        <f ca="1"/>
        <v>1-15</v>
      </c>
      <c r="L25" s="85">
        <f t="shared" ca="1" si="0"/>
        <v>1024</v>
      </c>
      <c r="M25" s="85">
        <f t="shared" ca="1" si="1"/>
        <v>24</v>
      </c>
      <c r="N25" t="str">
        <f t="shared" ca="1" si="2"/>
        <v>Kiernan M 6-0-57-1,</v>
      </c>
      <c r="X25" s="62"/>
    </row>
    <row r="26" spans="1:26" x14ac:dyDescent="0.15">
      <c r="A26">
        <v>25</v>
      </c>
      <c r="B26">
        <f>MATCH(A26,Bowling!$CS$5:$CS$35,0)</f>
        <v>4</v>
      </c>
      <c r="C26" t="str">
        <f ca="1">OFFSET(Bowling!$B$4,BowlAves!B26,0)</f>
        <v>Coloe A</v>
      </c>
      <c r="D26" s="82">
        <f t="array" aca="1" ref="D26:K26" ca="1">OFFSET(Bowling!$CG$4,BowlAves!B26,0,1,8)</f>
        <v>17</v>
      </c>
      <c r="E26" s="77">
        <f ca="1"/>
        <v>1</v>
      </c>
      <c r="F26" s="77">
        <f ca="1"/>
        <v>91</v>
      </c>
      <c r="G26" s="77">
        <f ca="1"/>
        <v>1</v>
      </c>
      <c r="H26" s="81">
        <f ca="1"/>
        <v>91</v>
      </c>
      <c r="I26" s="78">
        <f ca="1"/>
        <v>102</v>
      </c>
      <c r="J26" s="78">
        <f ca="1"/>
        <v>5.3529411764705879</v>
      </c>
      <c r="K26" s="85" t="str">
        <f ca="1"/>
        <v>1-41</v>
      </c>
      <c r="L26" s="85">
        <f t="shared" ca="1" si="0"/>
        <v>1025</v>
      </c>
      <c r="M26" s="85">
        <f t="shared" ca="1" si="1"/>
        <v>25</v>
      </c>
      <c r="N26" t="str">
        <f t="shared" ca="1" si="2"/>
        <v>Coloe A 17-1-91-1,</v>
      </c>
      <c r="X26" s="62"/>
    </row>
    <row r="27" spans="1:26" x14ac:dyDescent="0.15">
      <c r="A27">
        <v>26</v>
      </c>
      <c r="B27">
        <f>MATCH(A27,Bowling!$CS$5:$CS$35,0)</f>
        <v>9</v>
      </c>
      <c r="C27" t="str">
        <f ca="1">OFFSET(Bowling!$B$4,BowlAves!B27,0)</f>
        <v>Howe D</v>
      </c>
      <c r="D27" s="82">
        <f t="array" aca="1" ref="D27:K27" ca="1">OFFSET(Bowling!$CG$4,BowlAves!B27,0,1,8)</f>
        <v>1</v>
      </c>
      <c r="E27" s="77">
        <f ca="1"/>
        <v>1</v>
      </c>
      <c r="F27" s="77">
        <f ca="1"/>
        <v>0</v>
      </c>
      <c r="G27" s="77">
        <f ca="1"/>
        <v>0</v>
      </c>
      <c r="H27" s="81" t="str">
        <f ca="1"/>
        <v/>
      </c>
      <c r="I27" s="78" t="str">
        <f ca="1"/>
        <v/>
      </c>
      <c r="J27" s="78">
        <f ca="1"/>
        <v>0</v>
      </c>
      <c r="K27" s="85" t="str">
        <f ca="1"/>
        <v>0-0</v>
      </c>
      <c r="L27" s="85">
        <f t="shared" ca="1" si="0"/>
        <v>1026</v>
      </c>
      <c r="M27" s="85">
        <f t="shared" ca="1" si="1"/>
        <v>26</v>
      </c>
      <c r="N27" t="str">
        <f t="shared" ca="1" si="2"/>
        <v>Howe D 1-1-0-0,</v>
      </c>
      <c r="X27" s="62"/>
    </row>
    <row r="28" spans="1:26" x14ac:dyDescent="0.15">
      <c r="A28">
        <v>27</v>
      </c>
      <c r="B28">
        <f>MATCH(A28,Bowling!$CS$5:$CS$35,0)</f>
        <v>6</v>
      </c>
      <c r="C28" t="str">
        <f ca="1">OFFSET(Bowling!$B$4,BowlAves!B28,0)</f>
        <v>Edghill C</v>
      </c>
      <c r="D28" s="82">
        <f t="array" aca="1" ref="D28:K28" ca="1">OFFSET(Bowling!$CG$4,BowlAves!B28,0,1,8)</f>
        <v>2</v>
      </c>
      <c r="E28" s="77">
        <f ca="1"/>
        <v>0</v>
      </c>
      <c r="F28" s="77">
        <f ca="1"/>
        <v>8</v>
      </c>
      <c r="G28" s="77">
        <f ca="1"/>
        <v>0</v>
      </c>
      <c r="H28" s="81" t="str">
        <f ca="1"/>
        <v/>
      </c>
      <c r="I28" s="78" t="str">
        <f ca="1"/>
        <v/>
      </c>
      <c r="J28" s="78">
        <f ca="1"/>
        <v>4</v>
      </c>
      <c r="K28" s="85" t="str">
        <f ca="1"/>
        <v>0-8</v>
      </c>
      <c r="L28" s="85">
        <f t="shared" ca="1" si="0"/>
        <v>1027</v>
      </c>
      <c r="M28" s="85">
        <f t="shared" ca="1" si="1"/>
        <v>27</v>
      </c>
      <c r="N28" t="str">
        <f t="shared" ca="1" si="2"/>
        <v>Edghill C 2-0-8-0,</v>
      </c>
      <c r="X28" s="62"/>
    </row>
    <row r="29" spans="1:26" x14ac:dyDescent="0.15">
      <c r="A29">
        <v>28</v>
      </c>
      <c r="B29">
        <f>MATCH(A29,Bowling!$CS$5:$CS$35,0)</f>
        <v>8</v>
      </c>
      <c r="C29" t="str">
        <f ca="1">OFFSET(Bowling!$B$4,BowlAves!B29,0)</f>
        <v>Greyling R</v>
      </c>
      <c r="D29" s="82">
        <f t="array" aca="1" ref="D29:K29" ca="1">OFFSET(Bowling!$CG$4,BowlAves!B29,0,1,8)</f>
        <v>3</v>
      </c>
      <c r="E29" s="77">
        <f ca="1"/>
        <v>0</v>
      </c>
      <c r="F29" s="77">
        <f ca="1"/>
        <v>40</v>
      </c>
      <c r="G29" s="77">
        <f ca="1"/>
        <v>0</v>
      </c>
      <c r="H29" s="81" t="str">
        <f ca="1"/>
        <v/>
      </c>
      <c r="I29" s="78" t="str">
        <f ca="1"/>
        <v/>
      </c>
      <c r="J29" s="78">
        <f ca="1"/>
        <v>13.333333333333334</v>
      </c>
      <c r="K29" s="85" t="str">
        <f ca="1"/>
        <v>0-40</v>
      </c>
      <c r="L29" s="85">
        <f t="shared" ca="1" si="0"/>
        <v>1028</v>
      </c>
      <c r="M29" s="85">
        <f t="shared" ca="1" si="1"/>
        <v>28</v>
      </c>
      <c r="N29" t="str">
        <f t="shared" ca="1" si="2"/>
        <v>Greyling R 3-0-40-0,</v>
      </c>
    </row>
    <row r="30" spans="1:26" x14ac:dyDescent="0.15">
      <c r="A30">
        <v>29</v>
      </c>
      <c r="B30">
        <f>MATCH(A30,Bowling!$CS$5:$CS$35,0)</f>
        <v>24</v>
      </c>
      <c r="C30" t="str">
        <f ca="1">OFFSET(Bowling!$B$4,BowlAves!B30,0)</f>
        <v>Smith C</v>
      </c>
      <c r="D30" s="82">
        <f t="array" aca="1" ref="D30:K30" ca="1">OFFSET(Bowling!$CG$4,BowlAves!B30,0,1,8)</f>
        <v>3</v>
      </c>
      <c r="E30" s="77">
        <f ca="1"/>
        <v>0</v>
      </c>
      <c r="F30" s="77">
        <f ca="1"/>
        <v>30</v>
      </c>
      <c r="G30" s="77">
        <f ca="1"/>
        <v>0</v>
      </c>
      <c r="H30" s="81" t="str">
        <f ca="1"/>
        <v/>
      </c>
      <c r="I30" s="78" t="str">
        <f ca="1"/>
        <v/>
      </c>
      <c r="J30" s="78">
        <f ca="1"/>
        <v>10</v>
      </c>
      <c r="K30" s="85" t="str">
        <f ca="1"/>
        <v>0-30</v>
      </c>
      <c r="L30" s="85">
        <f t="shared" ca="1" si="0"/>
        <v>1029</v>
      </c>
      <c r="M30" s="85">
        <f t="shared" ca="1" si="1"/>
        <v>29</v>
      </c>
      <c r="N30" t="str">
        <f t="shared" ca="1" si="2"/>
        <v>Smith C 3-0-30-0,</v>
      </c>
    </row>
    <row r="31" spans="1:26" x14ac:dyDescent="0.15">
      <c r="A31">
        <v>30</v>
      </c>
      <c r="B31">
        <f>MATCH(A31,Bowling!$CS$5:$CS$35,0)</f>
        <v>19</v>
      </c>
      <c r="C31" t="str">
        <f ca="1">OFFSET(Bowling!$B$4,BowlAves!B31,0)</f>
        <v>Rollins</v>
      </c>
      <c r="D31" s="82">
        <f t="array" aca="1" ref="D31:K31" ca="1">OFFSET(Bowling!$CG$4,BowlAves!B31,0,1,8)</f>
        <v>3.1</v>
      </c>
      <c r="E31" s="77">
        <f ca="1"/>
        <v>0</v>
      </c>
      <c r="F31" s="77">
        <f ca="1"/>
        <v>19</v>
      </c>
      <c r="G31" s="77">
        <f ca="1"/>
        <v>0</v>
      </c>
      <c r="H31" s="81" t="str">
        <f ca="1"/>
        <v/>
      </c>
      <c r="I31" s="78" t="str">
        <f ca="1"/>
        <v/>
      </c>
      <c r="J31" s="78">
        <f ca="1"/>
        <v>6</v>
      </c>
      <c r="K31" s="85" t="str">
        <f ca="1"/>
        <v>0-2</v>
      </c>
      <c r="L31" s="85">
        <f t="shared" ca="1" si="0"/>
        <v>1030</v>
      </c>
      <c r="M31" s="85">
        <f t="shared" ca="1" si="1"/>
        <v>30</v>
      </c>
      <c r="N31" t="str">
        <f t="shared" ca="1" si="2"/>
        <v>Rollins 3.1-0-19-0,</v>
      </c>
      <c r="R31" t="s">
        <v>748</v>
      </c>
    </row>
    <row r="32" spans="1:26" x14ac:dyDescent="0.15">
      <c r="A32">
        <v>31</v>
      </c>
      <c r="B32">
        <f>MATCH(A32,Bowling!$CS$5:$CS$35,0)</f>
        <v>25</v>
      </c>
      <c r="C32" t="str">
        <f ca="1">OFFSET(Bowling!$B$4,BowlAves!B32,0)</f>
        <v>Springer T</v>
      </c>
      <c r="D32" s="82">
        <f t="array" aca="1" ref="D32:K32" ca="1">OFFSET(Bowling!$CG$4,BowlAves!B32,0,1,8)</f>
        <v>13</v>
      </c>
      <c r="E32" s="77">
        <f ca="1"/>
        <v>1</v>
      </c>
      <c r="F32" s="77">
        <f ca="1"/>
        <v>30</v>
      </c>
      <c r="G32" s="77">
        <f ca="1"/>
        <v>0</v>
      </c>
      <c r="H32" s="81" t="str">
        <f ca="1"/>
        <v/>
      </c>
      <c r="I32" s="78" t="str">
        <f ca="1"/>
        <v/>
      </c>
      <c r="J32" s="78">
        <f ca="1"/>
        <v>2.3076923076923075</v>
      </c>
      <c r="K32" s="85" t="str">
        <f ca="1"/>
        <v>0-13</v>
      </c>
      <c r="L32" s="85">
        <f t="shared" ca="1" si="0"/>
        <v>1031</v>
      </c>
      <c r="M32" s="85">
        <f t="shared" ca="1" si="1"/>
        <v>31</v>
      </c>
      <c r="N32" t="str">
        <f t="shared" ca="1" si="2"/>
        <v>Springer T 13-1-30-0,</v>
      </c>
      <c r="R32" t="s">
        <v>748</v>
      </c>
    </row>
    <row r="33" spans="1:18" x14ac:dyDescent="0.15">
      <c r="A33">
        <v>32</v>
      </c>
      <c r="B33" t="e">
        <f>MATCH(A33,Bowling!$CS$5:$CS$35,0)</f>
        <v>#N/A</v>
      </c>
      <c r="C33" t="e">
        <f ca="1">OFFSET(Bowling!$B$4,BowlAves!B33,0)</f>
        <v>#N/A</v>
      </c>
      <c r="D33" s="82" t="e">
        <f t="array" aca="1" ref="D33:K33" ca="1">OFFSET(Bowling!$CG$4,BowlAves!B33,0,1,8)</f>
        <v>#N/A</v>
      </c>
      <c r="E33" s="77" t="e">
        <f ca="1"/>
        <v>#N/A</v>
      </c>
      <c r="F33" s="77" t="e">
        <f ca="1"/>
        <v>#N/A</v>
      </c>
      <c r="G33" s="77" t="e">
        <f ca="1"/>
        <v>#N/A</v>
      </c>
      <c r="H33" s="81" t="e">
        <f ca="1"/>
        <v>#N/A</v>
      </c>
      <c r="I33" s="78" t="e">
        <f ca="1"/>
        <v>#N/A</v>
      </c>
      <c r="J33" s="78" t="e">
        <f ca="1"/>
        <v>#N/A</v>
      </c>
      <c r="K33" s="85" t="e">
        <f ca="1"/>
        <v>#N/A</v>
      </c>
      <c r="L33" s="85" t="e">
        <f t="shared" ca="1" si="0"/>
        <v>#N/A</v>
      </c>
      <c r="M33" s="85" t="e">
        <f t="shared" ca="1" si="1"/>
        <v>#N/A</v>
      </c>
      <c r="N33" t="e">
        <f t="shared" ca="1" si="2"/>
        <v>#N/A</v>
      </c>
      <c r="R33" t="s">
        <v>748</v>
      </c>
    </row>
    <row r="34" spans="1:18" x14ac:dyDescent="0.15">
      <c r="A34">
        <v>33</v>
      </c>
      <c r="B34" t="e">
        <f>MATCH(A34,Bowling!$CS$5:$CS$35,0)</f>
        <v>#N/A</v>
      </c>
      <c r="C34" t="e">
        <f ca="1">OFFSET(Bowling!$B$4,BowlAves!B34,0)</f>
        <v>#N/A</v>
      </c>
      <c r="D34" s="82" t="e">
        <f t="array" aca="1" ref="D34:K34" ca="1">OFFSET(Bowling!$CG$4,BowlAves!B34,0,1,8)</f>
        <v>#N/A</v>
      </c>
      <c r="E34" s="77" t="e">
        <f ca="1"/>
        <v>#N/A</v>
      </c>
      <c r="F34" s="77" t="e">
        <f ca="1"/>
        <v>#N/A</v>
      </c>
      <c r="G34" s="77" t="e">
        <f ca="1"/>
        <v>#N/A</v>
      </c>
      <c r="H34" s="81" t="e">
        <f ca="1"/>
        <v>#N/A</v>
      </c>
      <c r="I34" s="78" t="e">
        <f ca="1"/>
        <v>#N/A</v>
      </c>
      <c r="J34" s="78" t="e">
        <f ca="1"/>
        <v>#N/A</v>
      </c>
      <c r="K34" s="85" t="e">
        <f ca="1"/>
        <v>#N/A</v>
      </c>
      <c r="L34" s="85" t="e">
        <f t="shared" ca="1" si="0"/>
        <v>#N/A</v>
      </c>
      <c r="M34" s="85" t="e">
        <f t="shared" ca="1" si="1"/>
        <v>#N/A</v>
      </c>
      <c r="N34" t="e">
        <f t="shared" ca="1" si="2"/>
        <v>#N/A</v>
      </c>
      <c r="R34" t="s">
        <v>748</v>
      </c>
    </row>
    <row r="35" spans="1:18" x14ac:dyDescent="0.15">
      <c r="A35">
        <v>34</v>
      </c>
      <c r="B35" t="e">
        <f>MATCH(A35,Bowling!$CS$5:$CS$35,0)</f>
        <v>#N/A</v>
      </c>
      <c r="C35" t="e">
        <f ca="1">OFFSET(Bowling!$B$4,BowlAves!B35,0)</f>
        <v>#N/A</v>
      </c>
      <c r="D35" s="82" t="e">
        <f t="array" aca="1" ref="D35:K35" ca="1">OFFSET(Bowling!$CG$4,BowlAves!B35,0,1,8)</f>
        <v>#N/A</v>
      </c>
      <c r="E35" s="77" t="e">
        <f ca="1"/>
        <v>#N/A</v>
      </c>
      <c r="F35" s="77" t="e">
        <f ca="1"/>
        <v>#N/A</v>
      </c>
      <c r="G35" s="77" t="e">
        <f ca="1"/>
        <v>#N/A</v>
      </c>
      <c r="H35" s="81" t="e">
        <f ca="1"/>
        <v>#N/A</v>
      </c>
      <c r="I35" s="78" t="e">
        <f ca="1"/>
        <v>#N/A</v>
      </c>
      <c r="J35" s="78" t="e">
        <f ca="1"/>
        <v>#N/A</v>
      </c>
      <c r="K35" s="85" t="e">
        <f ca="1"/>
        <v>#N/A</v>
      </c>
      <c r="L35" s="85" t="e">
        <f t="shared" ca="1" si="0"/>
        <v>#N/A</v>
      </c>
      <c r="M35" s="85" t="e">
        <f t="shared" ca="1" si="1"/>
        <v>#N/A</v>
      </c>
      <c r="N35" t="e">
        <f t="shared" ca="1" si="2"/>
        <v>#N/A</v>
      </c>
      <c r="R35" t="s">
        <v>748</v>
      </c>
    </row>
    <row r="36" spans="1:18" x14ac:dyDescent="0.15">
      <c r="A36">
        <v>35</v>
      </c>
      <c r="B36" t="e">
        <f>MATCH(A36,Bowling!$CS$5:$CS$35,0)</f>
        <v>#N/A</v>
      </c>
      <c r="C36" t="e">
        <f ca="1">OFFSET(Bowling!$B$4,BowlAves!B36,0)</f>
        <v>#N/A</v>
      </c>
      <c r="D36" s="82" t="e">
        <f t="array" aca="1" ref="D36:K36" ca="1">OFFSET(Bowling!$CG$4,BowlAves!B36,0,1,8)</f>
        <v>#N/A</v>
      </c>
      <c r="E36" s="77" t="e">
        <f ca="1"/>
        <v>#N/A</v>
      </c>
      <c r="F36" s="77" t="e">
        <f ca="1"/>
        <v>#N/A</v>
      </c>
      <c r="G36" s="77" t="e">
        <f ca="1"/>
        <v>#N/A</v>
      </c>
      <c r="H36" s="81" t="e">
        <f ca="1"/>
        <v>#N/A</v>
      </c>
      <c r="I36" s="78" t="e">
        <f ca="1"/>
        <v>#N/A</v>
      </c>
      <c r="J36" s="78" t="e">
        <f ca="1"/>
        <v>#N/A</v>
      </c>
      <c r="K36" s="85" t="e">
        <f ca="1"/>
        <v>#N/A</v>
      </c>
      <c r="L36" s="85" t="e">
        <f t="shared" ca="1" si="0"/>
        <v>#N/A</v>
      </c>
      <c r="M36" s="85" t="e">
        <f t="shared" ca="1" si="1"/>
        <v>#N/A</v>
      </c>
      <c r="N36" t="e">
        <f t="shared" ca="1" si="2"/>
        <v>#N/A</v>
      </c>
      <c r="R36" t="s">
        <v>748</v>
      </c>
    </row>
    <row r="37" spans="1:18" x14ac:dyDescent="0.15">
      <c r="A37">
        <v>36</v>
      </c>
      <c r="B37" t="e">
        <f>MATCH(A37,Bowling!$CS$5:$CS$35,0)</f>
        <v>#N/A</v>
      </c>
      <c r="C37" t="e">
        <f ca="1">OFFSET(Bowling!$B$4,BowlAves!B37,0)</f>
        <v>#N/A</v>
      </c>
      <c r="D37" s="82" t="e">
        <f t="array" aca="1" ref="D37:K37" ca="1">OFFSET(Bowling!$CG$4,BowlAves!B37,0,1,8)</f>
        <v>#N/A</v>
      </c>
      <c r="E37" s="77" t="e">
        <f ca="1"/>
        <v>#N/A</v>
      </c>
      <c r="F37" s="77" t="e">
        <f ca="1"/>
        <v>#N/A</v>
      </c>
      <c r="G37" s="77" t="e">
        <f ca="1"/>
        <v>#N/A</v>
      </c>
      <c r="H37" s="81" t="e">
        <f ca="1"/>
        <v>#N/A</v>
      </c>
      <c r="I37" s="78" t="e">
        <f ca="1"/>
        <v>#N/A</v>
      </c>
      <c r="J37" s="78" t="e">
        <f ca="1"/>
        <v>#N/A</v>
      </c>
      <c r="K37" s="85" t="e">
        <f ca="1"/>
        <v>#N/A</v>
      </c>
      <c r="L37" s="85" t="e">
        <f t="shared" ca="1" si="0"/>
        <v>#N/A</v>
      </c>
      <c r="M37" s="85" t="e">
        <f t="shared" ca="1" si="1"/>
        <v>#N/A</v>
      </c>
      <c r="N37" t="e">
        <f t="shared" ca="1" si="2"/>
        <v>#N/A</v>
      </c>
      <c r="R37" t="s">
        <v>748</v>
      </c>
    </row>
    <row r="38" spans="1:18" x14ac:dyDescent="0.15">
      <c r="A38">
        <v>37</v>
      </c>
      <c r="B38" t="e">
        <f>MATCH(A38,Bowling!$CS$5:$CS$35,0)</f>
        <v>#N/A</v>
      </c>
      <c r="C38" t="e">
        <f ca="1">OFFSET(Bowling!$B$4,BowlAves!B38,0)</f>
        <v>#N/A</v>
      </c>
      <c r="D38" s="82" t="e">
        <f t="array" aca="1" ref="D38:K38" ca="1">OFFSET(Bowling!$CG$4,BowlAves!B38,0,1,8)</f>
        <v>#N/A</v>
      </c>
      <c r="E38" s="77" t="e">
        <f ca="1"/>
        <v>#N/A</v>
      </c>
      <c r="F38" s="77" t="e">
        <f ca="1"/>
        <v>#N/A</v>
      </c>
      <c r="G38" s="77" t="e">
        <f ca="1"/>
        <v>#N/A</v>
      </c>
      <c r="H38" s="81" t="e">
        <f ca="1"/>
        <v>#N/A</v>
      </c>
      <c r="I38" s="78" t="e">
        <f ca="1"/>
        <v>#N/A</v>
      </c>
      <c r="J38" s="78" t="e">
        <f ca="1"/>
        <v>#N/A</v>
      </c>
      <c r="K38" s="85" t="e">
        <f ca="1"/>
        <v>#N/A</v>
      </c>
      <c r="L38" s="85" t="e">
        <f t="shared" ca="1" si="0"/>
        <v>#N/A</v>
      </c>
      <c r="M38" s="85" t="e">
        <f t="shared" ca="1" si="1"/>
        <v>#N/A</v>
      </c>
      <c r="N38" t="e">
        <f t="shared" ca="1" si="2"/>
        <v>#N/A</v>
      </c>
      <c r="R38" t="s">
        <v>748</v>
      </c>
    </row>
    <row r="39" spans="1:18" x14ac:dyDescent="0.15">
      <c r="A39">
        <v>38</v>
      </c>
      <c r="B39" t="e">
        <f>MATCH(A39,Bowling!$CS$5:$CS$35,0)</f>
        <v>#N/A</v>
      </c>
      <c r="C39" t="e">
        <f ca="1">OFFSET(Bowling!$B$4,BowlAves!B39,0)</f>
        <v>#N/A</v>
      </c>
      <c r="D39" s="82" t="e">
        <f t="array" aca="1" ref="D39:K39" ca="1">OFFSET(Bowling!$CG$4,BowlAves!B39,0,1,8)</f>
        <v>#N/A</v>
      </c>
      <c r="E39" s="77" t="e">
        <f ca="1"/>
        <v>#N/A</v>
      </c>
      <c r="F39" s="77" t="e">
        <f ca="1"/>
        <v>#N/A</v>
      </c>
      <c r="G39" s="77" t="e">
        <f ca="1"/>
        <v>#N/A</v>
      </c>
      <c r="H39" s="81" t="e">
        <f ca="1"/>
        <v>#N/A</v>
      </c>
      <c r="I39" s="78" t="e">
        <f ca="1"/>
        <v>#N/A</v>
      </c>
      <c r="J39" s="78" t="e">
        <f ca="1"/>
        <v>#N/A</v>
      </c>
      <c r="K39" s="85" t="e">
        <f ca="1"/>
        <v>#N/A</v>
      </c>
      <c r="L39" s="85" t="e">
        <f t="shared" ca="1" si="0"/>
        <v>#N/A</v>
      </c>
      <c r="M39" s="85" t="e">
        <f t="shared" ca="1" si="1"/>
        <v>#N/A</v>
      </c>
      <c r="N39" t="e">
        <f t="shared" ca="1" si="2"/>
        <v>#N/A</v>
      </c>
      <c r="R39" t="s">
        <v>748</v>
      </c>
    </row>
    <row r="40" spans="1:18" x14ac:dyDescent="0.15">
      <c r="A40">
        <v>39</v>
      </c>
      <c r="B40" t="e">
        <f>MATCH(A40,Bowling!$CS$5:$CS$35,0)</f>
        <v>#N/A</v>
      </c>
      <c r="C40" t="e">
        <f ca="1">OFFSET(Bowling!$B$4,BowlAves!B40,0)</f>
        <v>#N/A</v>
      </c>
      <c r="D40" s="82" t="e">
        <f t="array" aca="1" ref="D40:K40" ca="1">OFFSET(Bowling!$CG$4,BowlAves!B40,0,1,8)</f>
        <v>#N/A</v>
      </c>
      <c r="E40" s="77" t="e">
        <f ca="1"/>
        <v>#N/A</v>
      </c>
      <c r="F40" s="77" t="e">
        <f ca="1"/>
        <v>#N/A</v>
      </c>
      <c r="G40" s="77" t="e">
        <f ca="1"/>
        <v>#N/A</v>
      </c>
      <c r="H40" s="81" t="e">
        <f ca="1"/>
        <v>#N/A</v>
      </c>
      <c r="I40" s="78" t="e">
        <f ca="1"/>
        <v>#N/A</v>
      </c>
      <c r="J40" s="78" t="e">
        <f ca="1"/>
        <v>#N/A</v>
      </c>
      <c r="K40" s="85" t="e">
        <f ca="1"/>
        <v>#N/A</v>
      </c>
      <c r="L40" s="85" t="e">
        <f t="shared" ca="1" si="0"/>
        <v>#N/A</v>
      </c>
      <c r="M40" s="85" t="e">
        <f t="shared" ca="1" si="1"/>
        <v>#N/A</v>
      </c>
      <c r="N40" t="e">
        <f t="shared" ca="1" si="2"/>
        <v>#N/A</v>
      </c>
      <c r="R40" t="s">
        <v>748</v>
      </c>
    </row>
    <row r="41" spans="1:18" x14ac:dyDescent="0.15">
      <c r="A41">
        <v>40</v>
      </c>
      <c r="B41" t="e">
        <f>MATCH(A41,Bowling!$CS$5:$CS$35,0)</f>
        <v>#N/A</v>
      </c>
      <c r="C41" t="e">
        <f ca="1">OFFSET(Bowling!$B$4,BowlAves!B41,0)</f>
        <v>#N/A</v>
      </c>
      <c r="D41" s="82" t="e">
        <f t="array" aca="1" ref="D41:K41" ca="1">OFFSET(Bowling!$CG$4,BowlAves!B41,0,1,8)</f>
        <v>#N/A</v>
      </c>
      <c r="E41" s="77" t="e">
        <f ca="1"/>
        <v>#N/A</v>
      </c>
      <c r="F41" s="77" t="e">
        <f ca="1"/>
        <v>#N/A</v>
      </c>
      <c r="G41" s="77" t="e">
        <f ca="1"/>
        <v>#N/A</v>
      </c>
      <c r="H41" s="81" t="e">
        <f ca="1"/>
        <v>#N/A</v>
      </c>
      <c r="I41" s="78" t="e">
        <f ca="1"/>
        <v>#N/A</v>
      </c>
      <c r="J41" s="78" t="e">
        <f ca="1"/>
        <v>#N/A</v>
      </c>
      <c r="K41" s="85" t="e">
        <f ca="1"/>
        <v>#N/A</v>
      </c>
      <c r="L41" s="85" t="e">
        <f t="shared" ca="1" si="0"/>
        <v>#N/A</v>
      </c>
      <c r="M41" s="85" t="e">
        <f t="shared" ca="1" si="1"/>
        <v>#N/A</v>
      </c>
      <c r="N41" t="e">
        <f t="shared" ca="1" si="2"/>
        <v>#N/A</v>
      </c>
      <c r="R41" t="s">
        <v>748</v>
      </c>
    </row>
    <row r="42" spans="1:18" x14ac:dyDescent="0.15">
      <c r="A42">
        <v>41</v>
      </c>
      <c r="B42" t="e">
        <f>MATCH(A42,Bowling!$CS$5:$CS$35,0)</f>
        <v>#N/A</v>
      </c>
      <c r="C42" t="e">
        <f ca="1">OFFSET(Bowling!$B$4,BowlAves!B42,0)</f>
        <v>#N/A</v>
      </c>
      <c r="D42" s="82" t="e">
        <f t="array" aca="1" ref="D42:K42" ca="1">OFFSET(Bowling!$CG$4,BowlAves!B42,0,1,8)</f>
        <v>#N/A</v>
      </c>
      <c r="E42" s="77" t="e">
        <f ca="1"/>
        <v>#N/A</v>
      </c>
      <c r="F42" s="77" t="e">
        <f ca="1"/>
        <v>#N/A</v>
      </c>
      <c r="G42" s="77" t="e">
        <f ca="1"/>
        <v>#N/A</v>
      </c>
      <c r="H42" s="81" t="e">
        <f ca="1"/>
        <v>#N/A</v>
      </c>
      <c r="I42" s="78" t="e">
        <f ca="1"/>
        <v>#N/A</v>
      </c>
      <c r="J42" s="78" t="e">
        <f ca="1"/>
        <v>#N/A</v>
      </c>
      <c r="K42" s="85" t="e">
        <f ca="1"/>
        <v>#N/A</v>
      </c>
      <c r="L42" s="85" t="e">
        <f t="shared" ca="1" si="0"/>
        <v>#N/A</v>
      </c>
      <c r="M42" s="85" t="e">
        <f t="shared" ca="1" si="1"/>
        <v>#N/A</v>
      </c>
      <c r="N42" t="e">
        <f t="shared" ca="1" si="2"/>
        <v>#N/A</v>
      </c>
      <c r="R42" t="s">
        <v>748</v>
      </c>
    </row>
    <row r="43" spans="1:18" x14ac:dyDescent="0.15">
      <c r="A43">
        <v>42</v>
      </c>
      <c r="B43" t="e">
        <f>MATCH(A43,Bowling!$CS$5:$CS$35,0)</f>
        <v>#N/A</v>
      </c>
      <c r="C43" t="e">
        <f ca="1">OFFSET(Bowling!$B$4,BowlAves!B43,0)</f>
        <v>#N/A</v>
      </c>
      <c r="D43" s="82" t="e">
        <f t="array" aca="1" ref="D43:K43" ca="1">OFFSET(Bowling!$CG$4,BowlAves!B43,0,1,8)</f>
        <v>#N/A</v>
      </c>
      <c r="E43" s="77" t="e">
        <f ca="1"/>
        <v>#N/A</v>
      </c>
      <c r="F43" s="77" t="e">
        <f ca="1"/>
        <v>#N/A</v>
      </c>
      <c r="G43" s="77" t="e">
        <f ca="1"/>
        <v>#N/A</v>
      </c>
      <c r="H43" s="81" t="e">
        <f ca="1"/>
        <v>#N/A</v>
      </c>
      <c r="I43" s="78" t="e">
        <f ca="1"/>
        <v>#N/A</v>
      </c>
      <c r="J43" s="78" t="e">
        <f ca="1"/>
        <v>#N/A</v>
      </c>
      <c r="K43" s="85" t="e">
        <f ca="1"/>
        <v>#N/A</v>
      </c>
      <c r="L43" s="85" t="e">
        <f t="shared" ca="1" si="0"/>
        <v>#N/A</v>
      </c>
      <c r="M43" s="85" t="e">
        <f t="shared" ca="1" si="1"/>
        <v>#N/A</v>
      </c>
      <c r="N43" t="e">
        <f t="shared" ca="1" si="2"/>
        <v>#N/A</v>
      </c>
      <c r="R43" t="s">
        <v>764</v>
      </c>
    </row>
    <row r="44" spans="1:18" x14ac:dyDescent="0.15">
      <c r="A44">
        <v>43</v>
      </c>
      <c r="B44" t="e">
        <f>MATCH(A44,Bowling!$CS$5:$CS$35,0)</f>
        <v>#N/A</v>
      </c>
      <c r="C44" t="e">
        <f ca="1">OFFSET(Bowling!$B$4,BowlAves!B44,0)</f>
        <v>#N/A</v>
      </c>
      <c r="D44" s="82" t="e">
        <f t="array" aca="1" ref="D44:K44" ca="1">OFFSET(Bowling!$CG$4,BowlAves!B44,0,1,8)</f>
        <v>#N/A</v>
      </c>
      <c r="E44" s="77" t="e">
        <f ca="1"/>
        <v>#N/A</v>
      </c>
      <c r="F44" s="77" t="e">
        <f ca="1"/>
        <v>#N/A</v>
      </c>
      <c r="G44" s="77" t="e">
        <f ca="1"/>
        <v>#N/A</v>
      </c>
      <c r="H44" s="81" t="e">
        <f ca="1"/>
        <v>#N/A</v>
      </c>
      <c r="I44" s="78" t="e">
        <f ca="1"/>
        <v>#N/A</v>
      </c>
      <c r="J44" s="78" t="e">
        <f ca="1"/>
        <v>#N/A</v>
      </c>
      <c r="K44" s="85" t="e">
        <f ca="1"/>
        <v>#N/A</v>
      </c>
      <c r="L44" s="85" t="e">
        <f t="shared" ca="1" si="0"/>
        <v>#N/A</v>
      </c>
      <c r="M44" s="85" t="e">
        <f t="shared" ca="1" si="1"/>
        <v>#N/A</v>
      </c>
      <c r="N44" t="e">
        <f t="shared" ca="1" si="2"/>
        <v>#N/A</v>
      </c>
      <c r="R44" t="s">
        <v>767</v>
      </c>
    </row>
    <row r="45" spans="1:18" x14ac:dyDescent="0.15">
      <c r="A45">
        <v>44</v>
      </c>
      <c r="B45" t="e">
        <f>MATCH(A45,Bowling!$CS$5:$CS$35,0)</f>
        <v>#N/A</v>
      </c>
      <c r="C45" t="e">
        <f ca="1">OFFSET(Bowling!$B$4,BowlAves!B45,0)</f>
        <v>#N/A</v>
      </c>
      <c r="D45" s="82" t="e">
        <f t="array" aca="1" ref="D45:K45" ca="1">OFFSET(Bowling!$CG$4,BowlAves!B45,0,1,8)</f>
        <v>#N/A</v>
      </c>
      <c r="E45" s="77" t="e">
        <f ca="1"/>
        <v>#N/A</v>
      </c>
      <c r="F45" s="77" t="e">
        <f ca="1"/>
        <v>#N/A</v>
      </c>
      <c r="G45" s="77" t="e">
        <f ca="1"/>
        <v>#N/A</v>
      </c>
      <c r="H45" s="81" t="e">
        <f ca="1"/>
        <v>#N/A</v>
      </c>
      <c r="I45" s="78" t="e">
        <f ca="1"/>
        <v>#N/A</v>
      </c>
      <c r="J45" s="78" t="e">
        <f ca="1"/>
        <v>#N/A</v>
      </c>
      <c r="K45" s="85" t="e">
        <f ca="1"/>
        <v>#N/A</v>
      </c>
      <c r="L45" s="85" t="e">
        <f t="shared" ca="1" si="0"/>
        <v>#N/A</v>
      </c>
      <c r="M45" s="85" t="e">
        <f t="shared" ca="1" si="1"/>
        <v>#N/A</v>
      </c>
      <c r="N45" t="e">
        <f t="shared" ca="1" si="2"/>
        <v>#N/A</v>
      </c>
      <c r="R45" t="s">
        <v>769</v>
      </c>
    </row>
    <row r="46" spans="1:18" x14ac:dyDescent="0.15">
      <c r="A46">
        <v>45</v>
      </c>
      <c r="B46" t="e">
        <f>MATCH(A46,Bowling!$CS$5:$CS$35,0)</f>
        <v>#N/A</v>
      </c>
      <c r="C46" t="e">
        <f ca="1">OFFSET(Bowling!$B$4,BowlAves!B46,0)</f>
        <v>#N/A</v>
      </c>
      <c r="D46" s="82" t="e">
        <f t="array" aca="1" ref="D46:K46" ca="1">OFFSET(Bowling!$CG$4,BowlAves!B46,0,1,8)</f>
        <v>#N/A</v>
      </c>
      <c r="E46" s="77" t="e">
        <f ca="1"/>
        <v>#N/A</v>
      </c>
      <c r="F46" s="77" t="e">
        <f ca="1"/>
        <v>#N/A</v>
      </c>
      <c r="G46" s="77" t="e">
        <f ca="1"/>
        <v>#N/A</v>
      </c>
      <c r="H46" s="81" t="e">
        <f ca="1"/>
        <v>#N/A</v>
      </c>
      <c r="I46" s="78" t="e">
        <f ca="1"/>
        <v>#N/A</v>
      </c>
      <c r="J46" s="78" t="e">
        <f ca="1"/>
        <v>#N/A</v>
      </c>
      <c r="K46" s="85" t="e">
        <f ca="1"/>
        <v>#N/A</v>
      </c>
      <c r="L46" s="85" t="e">
        <f t="shared" ca="1" si="0"/>
        <v>#N/A</v>
      </c>
      <c r="M46" s="85" t="e">
        <f t="shared" ca="1" si="1"/>
        <v>#N/A</v>
      </c>
      <c r="N46" t="e">
        <f t="shared" ca="1" si="2"/>
        <v>#N/A</v>
      </c>
      <c r="R46" t="s">
        <v>761</v>
      </c>
    </row>
    <row r="47" spans="1:18" x14ac:dyDescent="0.15">
      <c r="A47">
        <v>46</v>
      </c>
      <c r="B47" t="e">
        <f>MATCH(A47,Bowling!$CS$5:$CS$35,0)</f>
        <v>#N/A</v>
      </c>
      <c r="C47" t="e">
        <f ca="1">OFFSET(Bowling!$B$4,BowlAves!B47,0)</f>
        <v>#N/A</v>
      </c>
      <c r="D47" s="82" t="e">
        <f t="array" aca="1" ref="D47:K47" ca="1">OFFSET(Bowling!$CG$4,BowlAves!B47,0,1,8)</f>
        <v>#N/A</v>
      </c>
      <c r="E47" s="77" t="e">
        <f ca="1"/>
        <v>#N/A</v>
      </c>
      <c r="F47" s="77" t="e">
        <f ca="1"/>
        <v>#N/A</v>
      </c>
      <c r="G47" s="77" t="e">
        <f ca="1"/>
        <v>#N/A</v>
      </c>
      <c r="H47" s="81" t="e">
        <f ca="1"/>
        <v>#N/A</v>
      </c>
      <c r="I47" s="78" t="e">
        <f ca="1"/>
        <v>#N/A</v>
      </c>
      <c r="J47" s="78" t="e">
        <f ca="1"/>
        <v>#N/A</v>
      </c>
      <c r="K47" s="85" t="e">
        <f ca="1"/>
        <v>#N/A</v>
      </c>
      <c r="L47" s="85" t="e">
        <f t="shared" ca="1" si="0"/>
        <v>#N/A</v>
      </c>
      <c r="M47" s="85" t="e">
        <f t="shared" ca="1" si="1"/>
        <v>#N/A</v>
      </c>
      <c r="N47" t="e">
        <f t="shared" ca="1" si="2"/>
        <v>#N/A</v>
      </c>
      <c r="R47" t="s">
        <v>770</v>
      </c>
    </row>
    <row r="48" spans="1:18" x14ac:dyDescent="0.15">
      <c r="A48">
        <v>47</v>
      </c>
      <c r="B48" t="e">
        <f>MATCH(A48,Bowling!$CS$5:$CS$35,0)</f>
        <v>#N/A</v>
      </c>
      <c r="C48" t="e">
        <f ca="1">OFFSET(Bowling!$B$4,BowlAves!B48,0)</f>
        <v>#N/A</v>
      </c>
      <c r="D48" s="82" t="e">
        <f t="array" aca="1" ref="D48:K48" ca="1">OFFSET(Bowling!$CG$4,BowlAves!B48,0,1,8)</f>
        <v>#N/A</v>
      </c>
      <c r="E48" s="77" t="e">
        <f ca="1"/>
        <v>#N/A</v>
      </c>
      <c r="F48" s="77" t="e">
        <f ca="1"/>
        <v>#N/A</v>
      </c>
      <c r="G48" s="77" t="e">
        <f ca="1"/>
        <v>#N/A</v>
      </c>
      <c r="H48" s="81" t="e">
        <f ca="1"/>
        <v>#N/A</v>
      </c>
      <c r="I48" s="78" t="e">
        <f ca="1"/>
        <v>#N/A</v>
      </c>
      <c r="J48" s="78" t="e">
        <f ca="1"/>
        <v>#N/A</v>
      </c>
      <c r="K48" s="85" t="e">
        <f ca="1"/>
        <v>#N/A</v>
      </c>
      <c r="L48" s="85" t="e">
        <f t="shared" ca="1" si="0"/>
        <v>#N/A</v>
      </c>
      <c r="M48" s="85" t="e">
        <f t="shared" ca="1" si="1"/>
        <v>#N/A</v>
      </c>
      <c r="N48" t="e">
        <f t="shared" ca="1" si="2"/>
        <v>#N/A</v>
      </c>
      <c r="R48" t="s">
        <v>768</v>
      </c>
    </row>
    <row r="49" spans="1:18" x14ac:dyDescent="0.15">
      <c r="A49">
        <v>48</v>
      </c>
      <c r="B49" t="e">
        <f>MATCH(A49,Bowling!$CS$5:$CS$35,0)</f>
        <v>#N/A</v>
      </c>
      <c r="C49" t="e">
        <f ca="1">OFFSET(Bowling!$B$4,BowlAves!B49,0)</f>
        <v>#N/A</v>
      </c>
      <c r="D49" s="82" t="e">
        <f t="array" aca="1" ref="D49:K49" ca="1">OFFSET(Bowling!$CG$4,BowlAves!B49,0,1,8)</f>
        <v>#N/A</v>
      </c>
      <c r="E49" s="77" t="e">
        <f ca="1"/>
        <v>#N/A</v>
      </c>
      <c r="F49" s="77" t="e">
        <f ca="1"/>
        <v>#N/A</v>
      </c>
      <c r="G49" s="77" t="e">
        <f ca="1"/>
        <v>#N/A</v>
      </c>
      <c r="H49" s="81" t="e">
        <f ca="1"/>
        <v>#N/A</v>
      </c>
      <c r="I49" s="78" t="e">
        <f ca="1"/>
        <v>#N/A</v>
      </c>
      <c r="J49" s="78" t="e">
        <f ca="1"/>
        <v>#N/A</v>
      </c>
      <c r="K49" s="85" t="e">
        <f ca="1"/>
        <v>#N/A</v>
      </c>
      <c r="L49" s="85" t="e">
        <f t="shared" ca="1" si="0"/>
        <v>#N/A</v>
      </c>
      <c r="M49" s="85" t="e">
        <f t="shared" ca="1" si="1"/>
        <v>#N/A</v>
      </c>
      <c r="N49" t="e">
        <f t="shared" ca="1" si="2"/>
        <v>#N/A</v>
      </c>
      <c r="R49" t="s">
        <v>766</v>
      </c>
    </row>
    <row r="50" spans="1:18" x14ac:dyDescent="0.15">
      <c r="A50">
        <v>49</v>
      </c>
      <c r="B50" t="e">
        <f>MATCH(A50,Bowling!$CS$5:$CS$35,0)</f>
        <v>#N/A</v>
      </c>
      <c r="C50" t="e">
        <f ca="1">OFFSET(Bowling!$B$4,BowlAves!B50,0)</f>
        <v>#N/A</v>
      </c>
      <c r="D50" s="82" t="e">
        <f t="array" aca="1" ref="D50:K50" ca="1">OFFSET(Bowling!$CG$4,BowlAves!B50,0,1,8)</f>
        <v>#N/A</v>
      </c>
      <c r="E50" s="77" t="e">
        <f ca="1"/>
        <v>#N/A</v>
      </c>
      <c r="F50" s="77" t="e">
        <f ca="1"/>
        <v>#N/A</v>
      </c>
      <c r="G50" s="77" t="e">
        <f ca="1"/>
        <v>#N/A</v>
      </c>
      <c r="H50" s="81" t="e">
        <f ca="1"/>
        <v>#N/A</v>
      </c>
      <c r="I50" s="78" t="e">
        <f ca="1"/>
        <v>#N/A</v>
      </c>
      <c r="J50" s="78" t="e">
        <f ca="1"/>
        <v>#N/A</v>
      </c>
      <c r="K50" s="85" t="e">
        <f ca="1"/>
        <v>#N/A</v>
      </c>
      <c r="L50" s="85" t="e">
        <f t="shared" ca="1" si="0"/>
        <v>#N/A</v>
      </c>
      <c r="M50" s="85" t="e">
        <f t="shared" ca="1" si="1"/>
        <v>#N/A</v>
      </c>
      <c r="N50" t="e">
        <f t="shared" ca="1" si="2"/>
        <v>#N/A</v>
      </c>
      <c r="R50" t="s">
        <v>762</v>
      </c>
    </row>
    <row r="51" spans="1:18" x14ac:dyDescent="0.15">
      <c r="A51">
        <v>50</v>
      </c>
      <c r="B51" t="e">
        <f>MATCH(A51,Bowling!$CS$5:$CS$35,0)</f>
        <v>#N/A</v>
      </c>
      <c r="C51" t="e">
        <f ca="1">OFFSET(Bowling!$B$4,BowlAves!B51,0)</f>
        <v>#N/A</v>
      </c>
      <c r="D51" s="82" t="e">
        <f t="array" aca="1" ref="D51:K51" ca="1">OFFSET(Bowling!$CG$4,BowlAves!B51,0,1,8)</f>
        <v>#N/A</v>
      </c>
      <c r="E51" s="77" t="e">
        <f ca="1"/>
        <v>#N/A</v>
      </c>
      <c r="F51" s="77" t="e">
        <f ca="1"/>
        <v>#N/A</v>
      </c>
      <c r="G51" s="77" t="e">
        <f ca="1"/>
        <v>#N/A</v>
      </c>
      <c r="H51" s="81" t="e">
        <f ca="1"/>
        <v>#N/A</v>
      </c>
      <c r="I51" s="78" t="e">
        <f ca="1"/>
        <v>#N/A</v>
      </c>
      <c r="J51" s="78" t="e">
        <f ca="1"/>
        <v>#N/A</v>
      </c>
      <c r="K51" s="85" t="e">
        <f ca="1"/>
        <v>#N/A</v>
      </c>
      <c r="L51" s="85" t="e">
        <f t="shared" ca="1" si="0"/>
        <v>#N/A</v>
      </c>
      <c r="M51" s="85" t="e">
        <f t="shared" ca="1" si="1"/>
        <v>#N/A</v>
      </c>
      <c r="N51" t="e">
        <f t="shared" ca="1" si="2"/>
        <v>#N/A</v>
      </c>
      <c r="R51" t="s">
        <v>752</v>
      </c>
    </row>
    <row r="52" spans="1:18" x14ac:dyDescent="0.15">
      <c r="R52" t="s">
        <v>763</v>
      </c>
    </row>
    <row r="53" spans="1:18" x14ac:dyDescent="0.15">
      <c r="R53" t="s">
        <v>760</v>
      </c>
    </row>
    <row r="54" spans="1:18" x14ac:dyDescent="0.15">
      <c r="R54" t="s">
        <v>749</v>
      </c>
    </row>
    <row r="55" spans="1:18" x14ac:dyDescent="0.15">
      <c r="R55" t="s">
        <v>756</v>
      </c>
    </row>
    <row r="56" spans="1:18" x14ac:dyDescent="0.15">
      <c r="R56" t="s">
        <v>755</v>
      </c>
    </row>
    <row r="57" spans="1:18" x14ac:dyDescent="0.15">
      <c r="R57" t="s">
        <v>772</v>
      </c>
    </row>
    <row r="58" spans="1:18" x14ac:dyDescent="0.15">
      <c r="R58" t="s">
        <v>758</v>
      </c>
    </row>
    <row r="59" spans="1:18" x14ac:dyDescent="0.15">
      <c r="R59" t="s">
        <v>751</v>
      </c>
    </row>
    <row r="60" spans="1:18" x14ac:dyDescent="0.15">
      <c r="R60" t="s">
        <v>753</v>
      </c>
    </row>
    <row r="61" spans="1:18" x14ac:dyDescent="0.15">
      <c r="R61" t="s">
        <v>750</v>
      </c>
    </row>
    <row r="62" spans="1:18" x14ac:dyDescent="0.15">
      <c r="R62" t="s">
        <v>771</v>
      </c>
    </row>
    <row r="63" spans="1:18" x14ac:dyDescent="0.15">
      <c r="R63" t="s">
        <v>773</v>
      </c>
    </row>
    <row r="64" spans="1:18" x14ac:dyDescent="0.15">
      <c r="R64" t="s">
        <v>765</v>
      </c>
    </row>
    <row r="65" spans="18:18" x14ac:dyDescent="0.15">
      <c r="R65" t="s">
        <v>757</v>
      </c>
    </row>
    <row r="66" spans="18:18" x14ac:dyDescent="0.15">
      <c r="R66" t="s">
        <v>754</v>
      </c>
    </row>
    <row r="67" spans="18:18" x14ac:dyDescent="0.15">
      <c r="R67" t="s">
        <v>759</v>
      </c>
    </row>
    <row r="68" spans="18:18" x14ac:dyDescent="0.15">
      <c r="R68" t="e">
        <v>#N/A</v>
      </c>
    </row>
    <row r="69" spans="18:18" x14ac:dyDescent="0.15">
      <c r="R69" t="e">
        <v>#N/A</v>
      </c>
    </row>
    <row r="70" spans="18:18" x14ac:dyDescent="0.15">
      <c r="R70" t="e">
        <v>#N/A</v>
      </c>
    </row>
    <row r="71" spans="18:18" x14ac:dyDescent="0.15">
      <c r="R71" t="e">
        <v>#N/A</v>
      </c>
    </row>
    <row r="72" spans="18:18" x14ac:dyDescent="0.15">
      <c r="R72" t="e">
        <v>#N/A</v>
      </c>
    </row>
    <row r="73" spans="18:18" x14ac:dyDescent="0.15">
      <c r="R73" t="e">
        <v>#N/A</v>
      </c>
    </row>
    <row r="74" spans="18:18" x14ac:dyDescent="0.15">
      <c r="R74" t="e">
        <v>#N/A</v>
      </c>
    </row>
    <row r="75" spans="18:18" x14ac:dyDescent="0.15">
      <c r="R75" t="e">
        <v>#N/A</v>
      </c>
    </row>
    <row r="76" spans="18:18" x14ac:dyDescent="0.15">
      <c r="R76" t="e">
        <v>#N/A</v>
      </c>
    </row>
    <row r="77" spans="18:18" x14ac:dyDescent="0.15">
      <c r="R77" t="e">
        <v>#N/A</v>
      </c>
    </row>
    <row r="78" spans="18:18" x14ac:dyDescent="0.15">
      <c r="R78" t="e">
        <v>#N/A</v>
      </c>
    </row>
    <row r="79" spans="18:18" x14ac:dyDescent="0.15">
      <c r="R79" t="e">
        <v>#N/A</v>
      </c>
    </row>
    <row r="80" spans="18:18" x14ac:dyDescent="0.15">
      <c r="R80" t="e">
        <v>#N/A</v>
      </c>
    </row>
    <row r="81" spans="18:18" x14ac:dyDescent="0.15">
      <c r="R81" t="e">
        <v>#N/A</v>
      </c>
    </row>
    <row r="82" spans="18:18" x14ac:dyDescent="0.15">
      <c r="R82" t="e">
        <v>#N/A</v>
      </c>
    </row>
    <row r="83" spans="18:18" x14ac:dyDescent="0.15">
      <c r="R83" t="e">
        <v>#N/A</v>
      </c>
    </row>
    <row r="84" spans="18:18" x14ac:dyDescent="0.15">
      <c r="R84" t="e">
        <v>#N/A</v>
      </c>
    </row>
    <row r="85" spans="18:18" x14ac:dyDescent="0.15">
      <c r="R85" t="e">
        <v>#N/A</v>
      </c>
    </row>
    <row r="86" spans="18:18" x14ac:dyDescent="0.15">
      <c r="R86" t="e"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P1" sqref="P1:Y52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0" customFormat="1" x14ac:dyDescent="0.15"/>
    <row r="2" spans="1:41" s="91" customFormat="1" x14ac:dyDescent="0.15"/>
    <row r="13" spans="1:41" s="6" customFormat="1" x14ac:dyDescent="0.15"/>
    <row r="14" spans="1:41" s="106" customFormat="1" x14ac:dyDescent="0.15">
      <c r="K14" s="110"/>
    </row>
    <row r="15" spans="1:41" x14ac:dyDescent="0.15">
      <c r="A15" s="89">
        <f t="array" ref="A15">SUM(IF(ISNA(A16:A26),0,A16:A26))</f>
        <v>0</v>
      </c>
      <c r="B15" s="89" t="e">
        <f t="shared" ref="B15:O15" si="0">SUM(B16:B26)</f>
        <v>#N/A</v>
      </c>
      <c r="C15" s="89" t="e">
        <f t="shared" si="0"/>
        <v>#N/A</v>
      </c>
      <c r="D15" s="89" t="e">
        <f t="shared" si="0"/>
        <v>#N/A</v>
      </c>
      <c r="E15" s="89" t="e">
        <f t="shared" si="0"/>
        <v>#N/A</v>
      </c>
      <c r="F15" s="89" t="e">
        <f t="shared" si="0"/>
        <v>#N/A</v>
      </c>
      <c r="G15" s="89" t="e">
        <f t="shared" si="0"/>
        <v>#N/A</v>
      </c>
      <c r="H15" s="89" t="e">
        <f t="shared" si="0"/>
        <v>#N/A</v>
      </c>
      <c r="I15" s="89" t="e">
        <f t="shared" si="0"/>
        <v>#N/A</v>
      </c>
      <c r="J15" s="89" t="e">
        <f t="shared" si="0"/>
        <v>#N/A</v>
      </c>
      <c r="K15" s="89" t="e">
        <f t="shared" si="0"/>
        <v>#N/A</v>
      </c>
      <c r="L15" s="89" t="e">
        <f t="shared" si="0"/>
        <v>#N/A</v>
      </c>
      <c r="M15" s="89" t="e">
        <f t="shared" si="0"/>
        <v>#N/A</v>
      </c>
      <c r="N15" s="89" t="e">
        <f t="shared" si="0"/>
        <v>#N/A</v>
      </c>
      <c r="O15" s="89" t="e">
        <f t="shared" si="0"/>
        <v>#N/A</v>
      </c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 t="e">
        <f t="shared" ref="Z15:AG15" si="1">SUM(Z16:Z26)</f>
        <v>#N/A</v>
      </c>
      <c r="AA15" s="89" t="e">
        <f t="shared" si="1"/>
        <v>#N/A</v>
      </c>
      <c r="AB15" s="89" t="e">
        <f t="shared" si="1"/>
        <v>#N/A</v>
      </c>
      <c r="AC15" s="89" t="e">
        <f t="shared" si="1"/>
        <v>#N/A</v>
      </c>
      <c r="AD15" s="89" t="e">
        <f t="shared" si="1"/>
        <v>#N/A</v>
      </c>
      <c r="AE15" s="89" t="e">
        <f t="shared" si="1"/>
        <v>#N/A</v>
      </c>
      <c r="AF15" s="89" t="e">
        <f t="shared" si="1"/>
        <v>#N/A</v>
      </c>
      <c r="AG15" s="89" t="e">
        <f t="shared" si="1"/>
        <v>#N/A</v>
      </c>
      <c r="AH15" s="89" t="e">
        <f t="shared" ref="AH15:AO15" si="2">SUM(AH16:AH26)</f>
        <v>#N/A</v>
      </c>
      <c r="AI15" s="89" t="e">
        <f t="shared" si="2"/>
        <v>#N/A</v>
      </c>
      <c r="AJ15" s="89" t="e">
        <f t="shared" si="2"/>
        <v>#N/A</v>
      </c>
      <c r="AK15" s="89" t="e">
        <f t="shared" si="2"/>
        <v>#N/A</v>
      </c>
      <c r="AL15" s="89" t="e">
        <f t="shared" si="2"/>
        <v>#N/A</v>
      </c>
      <c r="AM15" s="89" t="e">
        <f t="shared" si="2"/>
        <v>#N/A</v>
      </c>
      <c r="AN15" s="89" t="e">
        <f t="shared" si="2"/>
        <v>#N/A</v>
      </c>
      <c r="AO15" s="89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2" customFormat="1" x14ac:dyDescent="0.15">
      <c r="A28" s="93">
        <f>83-166</f>
        <v>-83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>
        <v>-51</v>
      </c>
      <c r="AG28" s="93"/>
      <c r="AH28" s="93"/>
      <c r="AI28" s="93"/>
      <c r="AJ28" s="93"/>
      <c r="AK28" s="93"/>
      <c r="AL28" s="93"/>
      <c r="AM28" s="93"/>
      <c r="AN28" s="93"/>
      <c r="AO28" s="93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6" t="s">
        <v>81</v>
      </c>
      <c r="D44" s="96" t="s">
        <v>168</v>
      </c>
      <c r="E44" s="96" t="s">
        <v>82</v>
      </c>
      <c r="F44" s="96" t="s">
        <v>83</v>
      </c>
      <c r="G44" s="94" t="s">
        <v>84</v>
      </c>
      <c r="H44" s="95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341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187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279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760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259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130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223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56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36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680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195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137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682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271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374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37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482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216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5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74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MATCH(A5,Bowling!$A$5:$A$39,0)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170.5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341</v>
      </c>
      <c r="D6" s="9">
        <f ca="1">IF(NOT(ISNA(E6)),5*OFFSET(Batting!$CE$4,E6,0,1,1),0)</f>
        <v>90</v>
      </c>
      <c r="E6" s="9">
        <f ca="1">MATCH(A6,Batting!$A$5:$A$58,0)</f>
        <v>17</v>
      </c>
      <c r="F6" s="9">
        <f ca="1">IF(NOT(ISNA(E6)),OFFSET(Batting!$B$4,E6,$C$1,1,1),0)</f>
        <v>94</v>
      </c>
      <c r="G6" s="9">
        <f ca="1">MATCH(A6,Bowling!$A$5:$A$39,0)</f>
        <v>13</v>
      </c>
      <c r="H6" s="9">
        <f ca="1">IF(NOT(ISNA(G6)),OFFSET(Bowling!$CO$4,G6,0,1,1),0)</f>
        <v>127</v>
      </c>
      <c r="I6" s="9">
        <f ca="1">IF(NOT(ISNA(E6)),OFFSET(Batting!$B$4,E6,$C$1+1,1,1),0)</f>
        <v>30</v>
      </c>
      <c r="J6" s="9">
        <f ca="1">VLOOKUP(A6,'Fantasy Teams'!$A$45:$C$87,3,FALSE)</f>
        <v>2</v>
      </c>
      <c r="K6" s="10">
        <f t="shared" ref="K6:K46" ca="1" si="4">INT(C6*1000/J6)/1000</f>
        <v>170.5</v>
      </c>
      <c r="L6" s="5">
        <f t="shared" ref="L6:L46" ca="1" si="5">K6+ROW(K6)/100000</f>
        <v>170.50005999999999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129.5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187</v>
      </c>
      <c r="D7" s="9">
        <f ca="1">IF(NOT(ISNA(E7)),5*OFFSET(Batting!$CE$4,E7,0,1,1),0)</f>
        <v>40</v>
      </c>
      <c r="E7" s="9">
        <f ca="1">MATCH(A7,Batting!$A$5:$A$58,0)</f>
        <v>5</v>
      </c>
      <c r="F7" s="9">
        <f ca="1">IF(NOT(ISNA(E7)),OFFSET(Batting!$B$4,E7,$C$1,1,1),0)</f>
        <v>116</v>
      </c>
      <c r="G7" s="9">
        <f ca="1">MATCH(A7,Bowling!$A$5:$A$39,0)</f>
        <v>4</v>
      </c>
      <c r="H7" s="9">
        <f ca="1">IF(NOT(ISNA(G7)),OFFSET(Bowling!$CO$4,G7,0,1,1),0)</f>
        <v>21</v>
      </c>
      <c r="I7" s="9">
        <f ca="1">IF(NOT(ISNA(E7)),OFFSET(Batting!$B$4,E7,$C$1+1,1,1),0)</f>
        <v>10</v>
      </c>
      <c r="J7" s="9">
        <f ca="1">VLOOKUP(A7,'Fantasy Teams'!$A$45:$C$87,3,FALSE)</f>
        <v>3</v>
      </c>
      <c r="K7" s="10">
        <f t="shared" ca="1" si="4"/>
        <v>62.332999999999998</v>
      </c>
      <c r="L7" s="5">
        <f t="shared" ca="1" si="5"/>
        <v>62.333069999999999</v>
      </c>
      <c r="M7" s="5">
        <f t="shared" ca="1" si="6"/>
        <v>7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126.666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279</v>
      </c>
      <c r="D8" s="9">
        <f ca="1">IF(NOT(ISNA(E8)),5*OFFSET(Batting!$CE$4,E8,0,1,1),0)</f>
        <v>45</v>
      </c>
      <c r="E8" s="9">
        <f ca="1">MATCH(A8,Batting!$A$5:$A$58,0)</f>
        <v>21</v>
      </c>
      <c r="F8" s="9">
        <f ca="1">IF(NOT(ISNA(E8)),OFFSET(Batting!$B$4,E8,$C$1,1,1),0)</f>
        <v>74</v>
      </c>
      <c r="G8" s="9">
        <f ca="1">MATCH(A8,Bowling!$A$5:$A$39,0)</f>
        <v>15</v>
      </c>
      <c r="H8" s="9">
        <f ca="1">IF(NOT(ISNA(G8)),OFFSET(Bowling!$CO$4,G8,0,1,1),0)</f>
        <v>155</v>
      </c>
      <c r="I8" s="9">
        <f ca="1">IF(NOT(ISNA(E8)),OFFSET(Batting!$B$4,E8,$C$1+1,1,1),0)</f>
        <v>5</v>
      </c>
      <c r="J8" s="9">
        <f ca="1">VLOOKUP(A8,'Fantasy Teams'!$A$45:$C$87,3,FALSE)</f>
        <v>6</v>
      </c>
      <c r="K8" s="10">
        <f t="shared" ca="1" si="4"/>
        <v>46.5</v>
      </c>
      <c r="L8" s="5">
        <f t="shared" ca="1" si="5"/>
        <v>46.500079999999997</v>
      </c>
      <c r="M8" s="5">
        <f t="shared" ca="1" si="6"/>
        <v>13</v>
      </c>
      <c r="N8" s="5">
        <f t="shared" ca="1" si="7"/>
        <v>15</v>
      </c>
      <c r="O8" s="5">
        <f t="shared" si="8"/>
        <v>4</v>
      </c>
      <c r="P8" s="5" t="str">
        <f t="shared" ca="1" si="1"/>
        <v>Geoff Cooper</v>
      </c>
      <c r="Q8" s="7">
        <f t="shared" ca="1" si="2"/>
        <v>113.333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MATCH(A9,Bowling!$A$5:$A$39,0)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25</v>
      </c>
      <c r="O9" s="5">
        <f t="shared" si="8"/>
        <v>5</v>
      </c>
      <c r="P9" s="5" t="str">
        <f t="shared" ca="1" si="1"/>
        <v>Mike Bowers</v>
      </c>
      <c r="Q9" s="7">
        <f t="shared" ca="1" si="2"/>
        <v>90.332999999999998</v>
      </c>
      <c r="R9" s="5">
        <f t="shared" ca="1" si="3"/>
        <v>3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760</v>
      </c>
      <c r="D10" s="9">
        <f ca="1">IF(NOT(ISNA(E10)),5*OFFSET(Batting!$CE$4,E10,0,1,1),0)</f>
        <v>105</v>
      </c>
      <c r="E10" s="9">
        <f ca="1">MATCH(A10,Batting!$A$5:$A$58,0)</f>
        <v>4</v>
      </c>
      <c r="F10" s="9">
        <f ca="1">IF(NOT(ISNA(E10)),OFFSET(Batting!$B$4,E10,$C$1,1,1),0)</f>
        <v>194</v>
      </c>
      <c r="G10" s="9">
        <f ca="1">MATCH(A10,Bowling!$A$5:$A$39,0)</f>
        <v>3</v>
      </c>
      <c r="H10" s="9">
        <f ca="1">IF(NOT(ISNA(G10)),OFFSET(Bowling!$CO$4,G10,0,1,1),0)</f>
        <v>446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126.666</v>
      </c>
      <c r="L10" s="5">
        <f t="shared" ca="1" si="5"/>
        <v>126.6661</v>
      </c>
      <c r="M10" s="5">
        <f t="shared" ca="1" si="6"/>
        <v>3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74.8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259</v>
      </c>
      <c r="D11" s="9">
        <f ca="1">IF(NOT(ISNA(E11)),5*OFFSET(Batting!$CE$4,E11,0,1,1),0)</f>
        <v>65</v>
      </c>
      <c r="E11" s="9">
        <f ca="1">MATCH(A11,Batting!$A$5:$A$58,0)</f>
        <v>8</v>
      </c>
      <c r="F11" s="9">
        <f ca="1">IF(NOT(ISNA(E11)),OFFSET(Batting!$B$4,E11,$C$1,1,1),0)</f>
        <v>174</v>
      </c>
      <c r="G11" s="9" t="e">
        <f ca="1">MATCH(A11,Bowling!$A$5:$A$39,0)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20</v>
      </c>
      <c r="J11" s="9">
        <f ca="1">VLOOKUP(A11,'Fantasy Teams'!$A$45:$C$87,3,FALSE)</f>
        <v>2</v>
      </c>
      <c r="K11" s="10">
        <f t="shared" ca="1" si="4"/>
        <v>129.5</v>
      </c>
      <c r="L11" s="5">
        <f t="shared" ca="1" si="5"/>
        <v>129.50011000000001</v>
      </c>
      <c r="M11" s="5">
        <f t="shared" ca="1" si="6"/>
        <v>2</v>
      </c>
      <c r="N11" s="5">
        <f t="shared" ca="1" si="7"/>
        <v>3</v>
      </c>
      <c r="O11" s="5">
        <f t="shared" si="8"/>
        <v>7</v>
      </c>
      <c r="P11" s="5" t="str">
        <f t="shared" ca="1" si="1"/>
        <v>Aiden Coloe</v>
      </c>
      <c r="Q11" s="7">
        <f t="shared" ca="1" si="2"/>
        <v>62.332999999999998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130</v>
      </c>
      <c r="D12" s="9">
        <f ca="1">IF(NOT(ISNA(E12)),5*OFFSET(Batting!$CE$4,E12,0,1,1),0)</f>
        <v>20</v>
      </c>
      <c r="E12" s="9">
        <f ca="1">MATCH(A12,Batting!$A$5:$A$58,0)</f>
        <v>22</v>
      </c>
      <c r="F12" s="9">
        <f ca="1">IF(NOT(ISNA(E12)),OFFSET(Batting!$B$4,E12,$C$1,1,1),0)</f>
        <v>25</v>
      </c>
      <c r="G12" s="9">
        <f ca="1">MATCH(A12,Bowling!$A$5:$A$39,0)</f>
        <v>16</v>
      </c>
      <c r="H12" s="9">
        <f ca="1">IF(NOT(ISNA(G12)),OFFSET(Bowling!$CO$4,G12,0,1,1),0)</f>
        <v>85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14.444000000000001</v>
      </c>
      <c r="L12" s="5">
        <f t="shared" ca="1" si="5"/>
        <v>14.444120000000002</v>
      </c>
      <c r="M12" s="5">
        <f t="shared" ca="1" si="6"/>
        <v>16</v>
      </c>
      <c r="N12" s="5">
        <f t="shared" ca="1" si="7"/>
        <v>21</v>
      </c>
      <c r="O12" s="5">
        <f t="shared" si="8"/>
        <v>8</v>
      </c>
      <c r="P12" s="5" t="str">
        <f t="shared" ca="1" si="1"/>
        <v>John Leadley</v>
      </c>
      <c r="Q12" s="7">
        <f t="shared" ca="1" si="2"/>
        <v>62</v>
      </c>
      <c r="R12" s="5">
        <f t="shared" ca="1" si="3"/>
        <v>11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MATCH(A13,Bowling!$A$5:$A$39,0)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34</v>
      </c>
      <c r="N13" s="5">
        <f t="shared" ca="1" si="7"/>
        <v>11</v>
      </c>
      <c r="O13" s="5">
        <f t="shared" si="8"/>
        <v>9</v>
      </c>
      <c r="P13" s="5" t="str">
        <f t="shared" ca="1" si="1"/>
        <v>David Brocks</v>
      </c>
      <c r="Q13" s="7">
        <f t="shared" ca="1" si="2"/>
        <v>55.75</v>
      </c>
      <c r="R13" s="5">
        <f t="shared" ca="1" si="3"/>
        <v>4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MATCH(A14,Bowling!$A$5:$A$39,0)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33</v>
      </c>
      <c r="N14" s="5">
        <f t="shared" ca="1" si="7"/>
        <v>30</v>
      </c>
      <c r="O14" s="5">
        <f t="shared" si="8"/>
        <v>10</v>
      </c>
      <c r="P14" s="5" t="str">
        <f t="shared" ca="1" si="1"/>
        <v>Rick Worthington</v>
      </c>
      <c r="Q14" s="7">
        <f t="shared" ca="1" si="2"/>
        <v>54</v>
      </c>
      <c r="R14" s="5">
        <f t="shared" ca="1" si="3"/>
        <v>4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223</v>
      </c>
      <c r="D15" s="9">
        <f ca="1">IF(NOT(ISNA(E15)),5*OFFSET(Batting!$CE$4,E15,0,1,1),0)</f>
        <v>35</v>
      </c>
      <c r="E15" s="9">
        <f ca="1">MATCH(A15,Batting!$A$5:$A$58,0)</f>
        <v>3</v>
      </c>
      <c r="F15" s="9">
        <f ca="1">IF(NOT(ISNA(E15)),OFFSET(Batting!$B$4,E15,$C$1,1,1),0)</f>
        <v>152</v>
      </c>
      <c r="G15" s="9">
        <f ca="1">MATCH(A15,Bowling!$A$5:$A$39,0)</f>
        <v>2</v>
      </c>
      <c r="H15" s="9">
        <f ca="1">IF(NOT(ISNA(G15)),OFFSET(Bowling!$CO$4,G15,0,1,1),0)</f>
        <v>21</v>
      </c>
      <c r="I15" s="9">
        <f ca="1">IF(NOT(ISNA(E15)),OFFSET(Batting!$B$4,E15,$C$1+1,1,1),0)</f>
        <v>15</v>
      </c>
      <c r="J15" s="9">
        <f ca="1">VLOOKUP(A15,'Fantasy Teams'!$A$45:$C$87,3,FALSE)</f>
        <v>4</v>
      </c>
      <c r="K15" s="10">
        <f t="shared" ca="1" si="4"/>
        <v>55.75</v>
      </c>
      <c r="L15" s="5">
        <f t="shared" ca="1" si="5"/>
        <v>55.750149999999998</v>
      </c>
      <c r="M15" s="5">
        <f t="shared" ca="1" si="6"/>
        <v>9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53.555</v>
      </c>
      <c r="R15" s="5">
        <f t="shared" ca="1" si="3"/>
        <v>9</v>
      </c>
      <c r="S15" s="5">
        <f ca="1">SUM(R5:R15)</f>
        <v>55</v>
      </c>
      <c r="T15" s="112">
        <f t="array" aca="1" ref="T15" ca="1">SUM(Q5:Q15*R5:R15)</f>
        <v>4474.9870000000001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56</v>
      </c>
      <c r="D16" s="9">
        <f ca="1">IF(NOT(ISNA(E16)),5*OFFSET(Batting!$CE$4,E16,0,1,1),0)</f>
        <v>5</v>
      </c>
      <c r="E16" s="9">
        <f ca="1">MATCH(A16,Batting!$A$5:$A$58,0)</f>
        <v>32</v>
      </c>
      <c r="F16" s="9">
        <f ca="1">IF(NOT(ISNA(E16)),OFFSET(Batting!$B$4,E16,$C$1,1,1),0)</f>
        <v>36</v>
      </c>
      <c r="G16" s="9">
        <f ca="1">MATCH(A16,Bowling!$A$5:$A$39,0)</f>
        <v>23</v>
      </c>
      <c r="H16" s="9">
        <f ca="1">IF(NOT(ISNA(G16)),OFFSET(Bowling!$CO$4,G16,0,1,1),0)</f>
        <v>15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18.666</v>
      </c>
      <c r="L16" s="5">
        <f t="shared" ca="1" si="5"/>
        <v>18.666160000000001</v>
      </c>
      <c r="M16" s="5">
        <f t="shared" ca="1" si="6"/>
        <v>15</v>
      </c>
      <c r="N16" s="5">
        <f t="shared" ca="1" si="7"/>
        <v>19</v>
      </c>
      <c r="O16" s="5">
        <f t="shared" si="8"/>
        <v>12</v>
      </c>
      <c r="P16" s="5" t="str">
        <f t="shared" ca="1" si="1"/>
        <v>Jeff Lestrelle</v>
      </c>
      <c r="Q16" s="7">
        <f t="shared" ca="1" si="2"/>
        <v>48.75</v>
      </c>
      <c r="R16" s="5">
        <f t="shared" ca="1" si="3"/>
        <v>4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36</v>
      </c>
      <c r="D17" s="9">
        <f ca="1">IF(NOT(ISNA(E17)),5*OFFSET(Batting!$CE$4,E17,0,1,1),0)</f>
        <v>15</v>
      </c>
      <c r="E17" s="9">
        <f ca="1">MATCH(A17,Batting!$A$5:$A$58,0)</f>
        <v>34</v>
      </c>
      <c r="F17" s="9">
        <f ca="1">IF(NOT(ISNA(E17)),OFFSET(Batting!$B$4,E17,$C$1,1,1),0)</f>
        <v>21</v>
      </c>
      <c r="G17" s="9" t="e">
        <f ca="1">MATCH(A17,Bowling!$A$5:$A$39,0)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12</v>
      </c>
      <c r="L17" s="5">
        <f t="shared" ca="1" si="5"/>
        <v>12.000170000000001</v>
      </c>
      <c r="M17" s="5">
        <f t="shared" ca="1" si="6"/>
        <v>18</v>
      </c>
      <c r="N17" s="5">
        <f t="shared" ca="1" si="7"/>
        <v>4</v>
      </c>
      <c r="O17" s="5">
        <f t="shared" si="8"/>
        <v>13</v>
      </c>
      <c r="P17" s="5" t="str">
        <f t="shared" ca="1" si="1"/>
        <v>Andy Mander</v>
      </c>
      <c r="Q17" s="7">
        <f t="shared" ca="1" si="2"/>
        <v>46.5</v>
      </c>
      <c r="R17" s="5">
        <f t="shared" ca="1" si="3"/>
        <v>6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MATCH(A18,Bowling!$A$5:$A$39,0)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32</v>
      </c>
      <c r="N18" s="5">
        <f t="shared" ca="1" si="7"/>
        <v>20</v>
      </c>
      <c r="O18" s="5">
        <f t="shared" si="8"/>
        <v>14</v>
      </c>
      <c r="P18" s="5" t="str">
        <f t="shared" ca="1" si="1"/>
        <v>John Elliston</v>
      </c>
      <c r="Q18" s="7">
        <f t="shared" ca="1" si="2"/>
        <v>27.4</v>
      </c>
      <c r="R18" s="5">
        <f t="shared" ca="1" si="3"/>
        <v>5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680</v>
      </c>
      <c r="D19" s="9">
        <f ca="1">IF(NOT(ISNA(E19)),5*OFFSET(Batting!$CE$4,E19,0,1,1),0)</f>
        <v>120</v>
      </c>
      <c r="E19" s="9">
        <f ca="1">MATCH(A19,Batting!$A$5:$A$58,0)</f>
        <v>6</v>
      </c>
      <c r="F19" s="9">
        <f ca="1">IF(NOT(ISNA(E19)),OFFSET(Batting!$B$4,E19,$C$1,1,1),0)</f>
        <v>162</v>
      </c>
      <c r="G19" s="9">
        <f ca="1">MATCH(A19,Bowling!$A$5:$A$39,0)</f>
        <v>5</v>
      </c>
      <c r="H19" s="9">
        <f ca="1">IF(NOT(ISNA(G19)),OFFSET(Bowling!$CO$4,G19,0,1,1),0)</f>
        <v>378</v>
      </c>
      <c r="I19" s="9">
        <f ca="1">IF(NOT(ISNA(E19)),OFFSET(Batting!$B$4,E19,$C$1+1,1,1),0)</f>
        <v>20</v>
      </c>
      <c r="J19" s="9">
        <f ca="1">VLOOKUP(A19,'Fantasy Teams'!$A$45:$C$87,3,FALSE)</f>
        <v>6</v>
      </c>
      <c r="K19" s="10">
        <f t="shared" ca="1" si="4"/>
        <v>113.333</v>
      </c>
      <c r="L19" s="5">
        <f t="shared" ca="1" si="5"/>
        <v>113.33319</v>
      </c>
      <c r="M19" s="5">
        <f t="shared" ca="1" si="6"/>
        <v>4</v>
      </c>
      <c r="N19" s="5">
        <f t="shared" ca="1" si="7"/>
        <v>12</v>
      </c>
      <c r="O19" s="5">
        <f t="shared" si="8"/>
        <v>15</v>
      </c>
      <c r="P19" s="5" t="str">
        <f t="shared" ca="1" si="1"/>
        <v>David Sharpe</v>
      </c>
      <c r="Q19" s="7">
        <f t="shared" ca="1" si="2"/>
        <v>18.666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MATCH(A20,Bowling!$A$5:$A$39,0)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31</v>
      </c>
      <c r="N20" s="5">
        <f t="shared" ca="1" si="7"/>
        <v>8</v>
      </c>
      <c r="O20" s="5">
        <f t="shared" si="8"/>
        <v>16</v>
      </c>
      <c r="P20" s="5" t="str">
        <f t="shared" ca="1" si="1"/>
        <v>Colin Mander</v>
      </c>
      <c r="Q20" s="7">
        <f t="shared" ca="1" si="2"/>
        <v>14.444000000000001</v>
      </c>
      <c r="R20" s="5">
        <f t="shared" ca="1" si="3"/>
        <v>9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MATCH(A21,Bowling!$A$5:$A$39,0)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30</v>
      </c>
      <c r="N21" s="5">
        <f t="shared" ca="1" si="7"/>
        <v>28</v>
      </c>
      <c r="O21" s="5">
        <f t="shared" si="8"/>
        <v>17</v>
      </c>
      <c r="P21" s="5" t="str">
        <f t="shared" ca="1" si="1"/>
        <v>Naimish Patel</v>
      </c>
      <c r="Q21" s="7">
        <f t="shared" ca="1" si="2"/>
        <v>12.333</v>
      </c>
      <c r="R21" s="5">
        <f t="shared" ca="1" si="3"/>
        <v>3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MATCH(A22,Bowling!$A$5:$A$39,0)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29</v>
      </c>
      <c r="N22" s="5">
        <f t="shared" ca="1" si="7"/>
        <v>13</v>
      </c>
      <c r="O22" s="5">
        <f t="shared" si="8"/>
        <v>18</v>
      </c>
      <c r="P22" s="5" t="str">
        <f t="shared" ca="1" si="1"/>
        <v>David Snow</v>
      </c>
      <c r="Q22" s="7">
        <f t="shared" ca="1" si="2"/>
        <v>12</v>
      </c>
      <c r="R22" s="5">
        <f t="shared" ca="1" si="3"/>
        <v>3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195</v>
      </c>
      <c r="D23" s="9">
        <f ca="1">IF(NOT(ISNA(E23)),5*OFFSET(Batting!$CE$4,E23,0,1,1),0)</f>
        <v>75</v>
      </c>
      <c r="E23" s="9">
        <f ca="1">MATCH(A23,Batting!$A$5:$A$58,0)</f>
        <v>18</v>
      </c>
      <c r="F23" s="9">
        <f ca="1">IF(NOT(ISNA(E23)),OFFSET(Batting!$B$4,E23,$C$1,1,1),0)</f>
        <v>79</v>
      </c>
      <c r="G23" s="9">
        <f ca="1">MATCH(A23,Bowling!$A$5:$A$39,0)</f>
        <v>14</v>
      </c>
      <c r="H23" s="9">
        <f ca="1">IF(NOT(ISNA(G23)),OFFSET(Bowling!$CO$4,G23,0,1,1),0)</f>
        <v>31</v>
      </c>
      <c r="I23" s="9">
        <f ca="1">IF(NOT(ISNA(E23)),OFFSET(Batting!$B$4,E23,$C$1+1,1,1),0)</f>
        <v>10</v>
      </c>
      <c r="J23" s="9">
        <f ca="1">VLOOKUP(A23,'Fantasy Teams'!$A$45:$C$87,3,FALSE)</f>
        <v>4</v>
      </c>
      <c r="K23" s="10">
        <f t="shared" ca="1" si="4"/>
        <v>48.75</v>
      </c>
      <c r="L23" s="5">
        <f t="shared" ca="1" si="5"/>
        <v>48.750230000000002</v>
      </c>
      <c r="M23" s="5">
        <f t="shared" ca="1" si="6"/>
        <v>12</v>
      </c>
      <c r="N23" s="5">
        <f t="shared" ca="1" si="7"/>
        <v>35</v>
      </c>
      <c r="O23" s="5">
        <f t="shared" si="8"/>
        <v>19</v>
      </c>
      <c r="P23" s="5" t="str">
        <f t="shared" ca="1" si="1"/>
        <v>Tony Springer</v>
      </c>
      <c r="Q23" s="7">
        <f t="shared" ca="1" si="2"/>
        <v>5.6920000000000002</v>
      </c>
      <c r="R23" s="5">
        <f t="shared" ca="1" si="3"/>
        <v>13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137</v>
      </c>
      <c r="D24" s="9">
        <f ca="1">IF(NOT(ISNA(E24)),5*OFFSET(Batting!$CE$4,E24,0,1,1),0)</f>
        <v>40</v>
      </c>
      <c r="E24" s="9">
        <f ca="1">MATCH(A24,Batting!$A$5:$A$58,0)</f>
        <v>9</v>
      </c>
      <c r="F24" s="9">
        <f ca="1">IF(NOT(ISNA(E24)),OFFSET(Batting!$B$4,E24,$C$1,1,1),0)</f>
        <v>47</v>
      </c>
      <c r="G24" s="9">
        <f ca="1">MATCH(A24,Bowling!$A$5:$A$39,0)</f>
        <v>7</v>
      </c>
      <c r="H24" s="9">
        <f ca="1">IF(NOT(ISNA(G24)),OFFSET(Bowling!$CO$4,G24,0,1,1),0)</f>
        <v>50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27.4</v>
      </c>
      <c r="L24" s="5">
        <f t="shared" ca="1" si="5"/>
        <v>27.40024</v>
      </c>
      <c r="M24" s="5">
        <f t="shared" ca="1" si="6"/>
        <v>14</v>
      </c>
      <c r="N24" s="5">
        <f t="shared" ca="1" si="7"/>
        <v>32</v>
      </c>
      <c r="O24" s="5">
        <f t="shared" si="8"/>
        <v>20</v>
      </c>
      <c r="P24" s="5" t="str">
        <f t="shared" ca="1" si="1"/>
        <v>Roy Odeneal</v>
      </c>
      <c r="Q24" s="7">
        <f t="shared" ca="1" si="2"/>
        <v>2.5</v>
      </c>
      <c r="R24" s="5">
        <f t="shared" ca="1" si="3"/>
        <v>2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682</v>
      </c>
      <c r="D25" s="9">
        <f ca="1">IF(NOT(ISNA(E25)),5*OFFSET(Batting!$CE$4,E25,0,1,1),0)</f>
        <v>75</v>
      </c>
      <c r="E25" s="9">
        <f ca="1">MATCH(A25,Batting!$A$5:$A$58,0)</f>
        <v>16</v>
      </c>
      <c r="F25" s="9">
        <f ca="1">IF(NOT(ISNA(E25)),OFFSET(Batting!$B$4,E25,$C$1,1,1),0)</f>
        <v>565</v>
      </c>
      <c r="G25" s="9">
        <f ca="1">MATCH(A25,Bowling!$A$5:$A$39,0)</f>
        <v>12</v>
      </c>
      <c r="H25" s="9">
        <f ca="1">IF(NOT(ISNA(G25)),OFFSET(Bowling!$CO$4,G25,0,1,1),0)</f>
        <v>32</v>
      </c>
      <c r="I25" s="9">
        <f ca="1">IF(NOT(ISNA(E25)),OFFSET(Batting!$B$4,E25,$C$1+1,1,1),0)</f>
        <v>10</v>
      </c>
      <c r="J25" s="9">
        <f ca="1">VLOOKUP(A25,'Fantasy Teams'!$A$45:$C$87,3,FALSE)</f>
        <v>11</v>
      </c>
      <c r="K25" s="10">
        <f t="shared" ca="1" si="4"/>
        <v>62</v>
      </c>
      <c r="L25" s="5">
        <f t="shared" ca="1" si="5"/>
        <v>62.000250000000001</v>
      </c>
      <c r="M25" s="5">
        <f t="shared" ca="1" si="6"/>
        <v>8</v>
      </c>
      <c r="N25" s="5">
        <f t="shared" ca="1" si="7"/>
        <v>36</v>
      </c>
      <c r="O25" s="5">
        <f t="shared" si="8"/>
        <v>21</v>
      </c>
      <c r="P25" s="5" t="str">
        <f t="shared" ca="1" si="1"/>
        <v>Vince Reid</v>
      </c>
      <c r="Q25" s="7">
        <f t="shared" ca="1" si="2"/>
        <v>0</v>
      </c>
      <c r="R25" s="5">
        <f t="shared" ca="1" si="3"/>
        <v>4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MATCH(A26,Bowling!$A$5:$A$39,0)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28</v>
      </c>
      <c r="N26" s="5">
        <f t="shared" ca="1" si="7"/>
        <v>34</v>
      </c>
      <c r="O26" s="5">
        <f t="shared" si="8"/>
        <v>22</v>
      </c>
      <c r="P26" s="5" t="str">
        <f t="shared" ca="1" si="1"/>
        <v>Ted Dugdale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MATCH(A27,Bowling!$A$5:$A$39,0)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27</v>
      </c>
      <c r="N27" s="5">
        <f t="shared" ca="1" si="7"/>
        <v>33</v>
      </c>
      <c r="O27" s="5">
        <f t="shared" si="8"/>
        <v>23</v>
      </c>
      <c r="P27" s="5" t="str">
        <f t="shared" ca="1" si="1"/>
        <v>Steve Barry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MATCH(A28,Bowling!$A$5:$A$39,0)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26</v>
      </c>
      <c r="N28" s="5">
        <f t="shared" ca="1" si="7"/>
        <v>31</v>
      </c>
      <c r="O28" s="5">
        <f t="shared" si="8"/>
        <v>24</v>
      </c>
      <c r="P28" s="5" t="str">
        <f t="shared" ca="1" si="1"/>
        <v>Ron Morris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271</v>
      </c>
      <c r="D29" s="9">
        <f ca="1">IF(NOT(ISNA(E29)),5*OFFSET(Batting!$CE$4,E29,0,1,1),0)</f>
        <v>85</v>
      </c>
      <c r="E29" s="9">
        <f ca="1">MATCH(A29,Batting!$A$5:$A$58,0)</f>
        <v>1</v>
      </c>
      <c r="F29" s="9">
        <f ca="1">IF(NOT(ISNA(E29)),OFFSET(Batting!$B$4,E29,$C$1,1,1),0)</f>
        <v>46</v>
      </c>
      <c r="G29" s="9">
        <f ca="1">MATCH(A29,Bowling!$A$5:$A$39,0)</f>
        <v>1</v>
      </c>
      <c r="H29" s="9">
        <f ca="1">IF(NOT(ISNA(G29)),OFFSET(Bowling!$CO$4,G29,0,1,1),0)</f>
        <v>125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90.332999999999998</v>
      </c>
      <c r="L29" s="5">
        <f t="shared" ca="1" si="5"/>
        <v>90.333290000000005</v>
      </c>
      <c r="M29" s="5">
        <f t="shared" ca="1" si="6"/>
        <v>5</v>
      </c>
      <c r="N29" s="5">
        <f t="shared" ca="1" si="7"/>
        <v>26</v>
      </c>
      <c r="O29" s="5">
        <f t="shared" si="8"/>
        <v>25</v>
      </c>
      <c r="P29" s="5" t="str">
        <f t="shared" ca="1" si="1"/>
        <v>Mike Hosking</v>
      </c>
      <c r="Q29" s="7">
        <f t="shared" ca="1" si="2"/>
        <v>0</v>
      </c>
      <c r="R29" s="5">
        <f t="shared" ca="1" si="3"/>
        <v>3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MATCH(A30,Bowling!$A$5:$A$39,0)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25</v>
      </c>
      <c r="N30" s="5">
        <f t="shared" ca="1" si="7"/>
        <v>24</v>
      </c>
      <c r="O30" s="5">
        <f t="shared" si="8"/>
        <v>26</v>
      </c>
      <c r="P30" s="5" t="str">
        <f t="shared" ca="1" si="1"/>
        <v>Mick Clark</v>
      </c>
      <c r="Q30" s="7">
        <f t="shared" ca="1" si="2"/>
        <v>0</v>
      </c>
      <c r="R30" s="5">
        <f t="shared" ca="1" si="3"/>
        <v>2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374</v>
      </c>
      <c r="D31" s="9">
        <f ca="1">IF(NOT(ISNA(E31)),5*OFFSET(Batting!$CE$4,E31,0,1,1),0)</f>
        <v>85</v>
      </c>
      <c r="E31" s="9">
        <f ca="1">MATCH(A31,Batting!$A$5:$A$58,0)</f>
        <v>41</v>
      </c>
      <c r="F31" s="9">
        <f ca="1">IF(NOT(ISNA(E31)),OFFSET(Batting!$B$4,E31,$C$1,1,1),0)</f>
        <v>208</v>
      </c>
      <c r="G31" s="9">
        <f ca="1">MATCH(A31,Bowling!$A$5:$A$39,0)</f>
        <v>31</v>
      </c>
      <c r="H31" s="9">
        <f ca="1">IF(NOT(ISNA(G31)),OFFSET(Bowling!$CO$4,G31,0,1,1),0)</f>
        <v>66</v>
      </c>
      <c r="I31" s="9">
        <f ca="1">IF(NOT(ISNA(E31)),OFFSET(Batting!$B$4,E31,$C$1+1,1,1),0)</f>
        <v>15</v>
      </c>
      <c r="J31" s="9">
        <f ca="1">VLOOKUP(A31,'Fantasy Teams'!$A$45:$C$87,3,FALSE)</f>
        <v>5</v>
      </c>
      <c r="K31" s="10">
        <f t="shared" ca="1" si="4"/>
        <v>74.8</v>
      </c>
      <c r="L31" s="5">
        <f t="shared" ca="1" si="5"/>
        <v>74.800309999999996</v>
      </c>
      <c r="M31" s="5">
        <f t="shared" ca="1" si="6"/>
        <v>6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37</v>
      </c>
      <c r="D32" s="9">
        <f ca="1">IF(NOT(ISNA(E32)),5*OFFSET(Batting!$CE$4,E32,0,1,1),0)</f>
        <v>25</v>
      </c>
      <c r="E32" s="9">
        <f ca="1">MATCH(A32,Batting!$A$5:$A$58,0)</f>
        <v>27</v>
      </c>
      <c r="F32" s="9">
        <f ca="1">IF(NOT(ISNA(E32)),OFFSET(Batting!$B$4,E32,$C$1,1,1),0)</f>
        <v>12</v>
      </c>
      <c r="G32" s="9" t="e">
        <f ca="1">MATCH(A32,Bowling!$A$5:$A$39,0)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12.333</v>
      </c>
      <c r="L32" s="5">
        <f t="shared" ca="1" si="5"/>
        <v>12.333320000000001</v>
      </c>
      <c r="M32" s="5">
        <f t="shared" ca="1" si="6"/>
        <v>17</v>
      </c>
      <c r="N32" s="5">
        <f t="shared" ca="1" si="7"/>
        <v>22</v>
      </c>
      <c r="O32" s="5">
        <f t="shared" si="8"/>
        <v>28</v>
      </c>
      <c r="P32" s="5" t="str">
        <f t="shared" ref="P32:P46" ca="1" si="10">OFFSET($B$4,N32,0)</f>
        <v>Jon Worthy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482</v>
      </c>
      <c r="D33" s="9">
        <f ca="1">IF(NOT(ISNA(E33)),5*OFFSET(Batting!$CE$4,E33,0,1,1),0)</f>
        <v>35</v>
      </c>
      <c r="E33" s="9">
        <f ca="1">MATCH(A33,Batting!$A$5:$A$58,0)</f>
        <v>23</v>
      </c>
      <c r="F33" s="9">
        <f ca="1">IF(NOT(ISNA(E33)),OFFSET(Batting!$B$4,E33,$C$1,1,1),0)</f>
        <v>442</v>
      </c>
      <c r="G33" s="9" t="e">
        <f ca="1">MATCH(A33,Bowling!$A$5:$A$39,0)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5</v>
      </c>
      <c r="J33" s="9">
        <f ca="1">VLOOKUP(A33,'Fantasy Teams'!$A$45:$C$87,3,FALSE)</f>
        <v>9</v>
      </c>
      <c r="K33" s="10">
        <f t="shared" ca="1" si="4"/>
        <v>53.555</v>
      </c>
      <c r="L33" s="5">
        <f t="shared" ca="1" si="5"/>
        <v>53.555329999999998</v>
      </c>
      <c r="M33" s="5">
        <f t="shared" ca="1" si="6"/>
        <v>11</v>
      </c>
      <c r="N33" s="5">
        <f t="shared" ca="1" si="7"/>
        <v>18</v>
      </c>
      <c r="O33" s="5">
        <f t="shared" si="8"/>
        <v>29</v>
      </c>
      <c r="P33" s="5" t="str">
        <f t="shared" ca="1" si="10"/>
        <v>Jason Crisford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216</v>
      </c>
      <c r="D34" s="9">
        <f ca="1">IF(NOT(ISNA(E34)),5*OFFSET(Batting!$CE$4,E34,0,1,1),0)</f>
        <v>55</v>
      </c>
      <c r="E34" s="9">
        <f ca="1">MATCH(A34,Batting!$A$5:$A$58,0)</f>
        <v>42</v>
      </c>
      <c r="F34" s="9">
        <f ca="1">IF(NOT(ISNA(E34)),OFFSET(Batting!$B$4,E34,$C$1,1,1),0)</f>
        <v>146</v>
      </c>
      <c r="G34" s="9" t="e">
        <f ca="1">MATCH(A34,Bowling!$A$5:$A$39,0)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54</v>
      </c>
      <c r="L34" s="5">
        <f t="shared" ca="1" si="5"/>
        <v>54.000340000000001</v>
      </c>
      <c r="M34" s="5">
        <f t="shared" ca="1" si="6"/>
        <v>10</v>
      </c>
      <c r="N34" s="5">
        <f t="shared" ca="1" si="7"/>
        <v>17</v>
      </c>
      <c r="O34" s="5">
        <f t="shared" si="8"/>
        <v>30</v>
      </c>
      <c r="P34" s="5" t="str">
        <f t="shared" ca="1" si="10"/>
        <v>Glyn Angell</v>
      </c>
      <c r="Q34" s="7">
        <f t="shared" ca="1" si="11"/>
        <v>0</v>
      </c>
      <c r="R34" s="5">
        <f t="shared" ca="1" si="3"/>
        <v>1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MATCH(A35,Bowling!$A$5:$A$39,0)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24</v>
      </c>
      <c r="N35" s="5">
        <f t="shared" ca="1" si="7"/>
        <v>16</v>
      </c>
      <c r="O35" s="5">
        <f t="shared" si="8"/>
        <v>31</v>
      </c>
      <c r="P35" s="5" t="str">
        <f t="shared" ca="1" si="10"/>
        <v>Glen Lilley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5</v>
      </c>
      <c r="D36" s="9">
        <f ca="1">IF(NOT(ISNA(E36)),5*OFFSET(Batting!$CE$4,E36,0,1,1),0)</f>
        <v>15</v>
      </c>
      <c r="E36" s="9">
        <f ca="1">MATCH(A36,Batting!$A$5:$A$58,0)</f>
        <v>26</v>
      </c>
      <c r="F36" s="9">
        <f ca="1">IF(NOT(ISNA(E36)),OFFSET(Batting!$B$4,E36,$C$1,1,1),0)</f>
        <v>-10</v>
      </c>
      <c r="G36" s="9" t="e">
        <f ca="1">MATCH(A36,Bowling!$A$5:$A$39,0)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2.5</v>
      </c>
      <c r="L36" s="5">
        <f t="shared" ca="1" si="5"/>
        <v>2.5003600000000001</v>
      </c>
      <c r="M36" s="5">
        <f t="shared" ca="1" si="6"/>
        <v>20</v>
      </c>
      <c r="N36" s="5">
        <f t="shared" ca="1" si="7"/>
        <v>14</v>
      </c>
      <c r="O36" s="5">
        <f t="shared" si="8"/>
        <v>32</v>
      </c>
      <c r="P36" s="5" t="str">
        <f t="shared" ca="1" si="10"/>
        <v>Del Shewan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MATCH(A37,Bowling!$A$5:$A$39,0)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23</v>
      </c>
      <c r="N37" s="5">
        <f t="shared" ca="1" si="7"/>
        <v>10</v>
      </c>
      <c r="O37" s="5">
        <f t="shared" si="8"/>
        <v>33</v>
      </c>
      <c r="P37" s="5" t="str">
        <f t="shared" ca="1" si="10"/>
        <v>Dave Morris</v>
      </c>
      <c r="Q37" s="7">
        <f t="shared" ca="1" si="11"/>
        <v>0</v>
      </c>
      <c r="R37" s="5">
        <f t="shared" ca="1" si="3"/>
        <v>5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MATCH(A38,Bowling!$A$5:$A$39,0)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22</v>
      </c>
      <c r="N38" s="5">
        <f t="shared" ca="1" si="7"/>
        <v>9</v>
      </c>
      <c r="O38" s="5">
        <f t="shared" si="8"/>
        <v>34</v>
      </c>
      <c r="P38" s="5" t="str">
        <f t="shared" ca="1" si="10"/>
        <v>Daragh Corrigan</v>
      </c>
      <c r="Q38" s="7">
        <f t="shared" ca="1" si="11"/>
        <v>0</v>
      </c>
      <c r="R38" s="5">
        <f t="shared" ca="1" si="3"/>
        <v>2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74</v>
      </c>
      <c r="D39" s="9">
        <f ca="1">IF(NOT(ISNA(E39)),5*OFFSET(Batting!$CE$4,E39,0,1,1),0)</f>
        <v>10</v>
      </c>
      <c r="E39" s="9">
        <f ca="1">MATCH(A39,Batting!$A$5:$A$58,0)</f>
        <v>35</v>
      </c>
      <c r="F39" s="9">
        <f ca="1">IF(NOT(ISNA(E39)),OFFSET(Batting!$B$4,E39,$C$1,1,1),0)</f>
        <v>38</v>
      </c>
      <c r="G39" s="9">
        <f ca="1">MATCH(A39,Bowling!$A$5:$A$39,0)</f>
        <v>25</v>
      </c>
      <c r="H39" s="9">
        <f ca="1">IF(NOT(ISNA(G39)),OFFSET(Bowling!$CO$4,G39,0,1,1),0)</f>
        <v>21</v>
      </c>
      <c r="I39" s="9">
        <f ca="1">IF(NOT(ISNA(E39)),OFFSET(Batting!$B$4,E39,$C$1+1,1,1),0)</f>
        <v>5</v>
      </c>
      <c r="J39" s="9">
        <f ca="1">VLOOKUP(A39,'Fantasy Teams'!$A$45:$C$87,3,FALSE)</f>
        <v>13</v>
      </c>
      <c r="K39" s="10">
        <f t="shared" ca="1" si="4"/>
        <v>5.6920000000000002</v>
      </c>
      <c r="L39" s="5">
        <f t="shared" ca="1" si="5"/>
        <v>5.6923900000000005</v>
      </c>
      <c r="M39" s="5">
        <f t="shared" ca="1" si="6"/>
        <v>19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MATCH(A40,Bowling!$A$5:$A$39,0)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MATCH(A41,Bowling!$A$5:$A$39,0)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MATCH(A42,Bowling!$A$5:$A$39,0)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MATCH(A43,Bowling!$A$5:$A$39,0)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MATCH(A44,Bowling!$A$5:$A$39,0)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MATCH(A45,Bowling!$A$5:$A$39,0)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MATCH(A46,Bowling!$A$5:$A$39,0)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9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13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341</v>
      </c>
      <c r="C3" s="18">
        <f ca="1">FantasyPts!D6</f>
        <v>90</v>
      </c>
      <c r="D3" s="18">
        <f ca="1">FantasyPts!F6</f>
        <v>94</v>
      </c>
      <c r="E3" s="18">
        <f ca="1">FantasyPts!H6</f>
        <v>127</v>
      </c>
      <c r="F3" s="18">
        <f ca="1">FantasyPts!I6</f>
        <v>30</v>
      </c>
      <c r="G3" s="18">
        <f ca="1">FantasyPts!J6</f>
        <v>2</v>
      </c>
      <c r="H3" s="19">
        <f ca="1">FantasyPts!K6</f>
        <v>170.5</v>
      </c>
      <c r="I3" s="16">
        <f t="shared" ref="I3:I38" ca="1" si="0">INT(B3/100+0.5)</f>
        <v>3</v>
      </c>
      <c r="J3" s="113">
        <f t="shared" ref="J3:J42" ca="1" si="1">I3-G3</f>
        <v>1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187</v>
      </c>
      <c r="C4" s="18">
        <f ca="1">FantasyPts!D7</f>
        <v>40</v>
      </c>
      <c r="D4" s="18">
        <f ca="1">FantasyPts!F7</f>
        <v>116</v>
      </c>
      <c r="E4" s="18">
        <f ca="1">FantasyPts!H7</f>
        <v>21</v>
      </c>
      <c r="F4" s="18">
        <f ca="1">FantasyPts!I7</f>
        <v>10</v>
      </c>
      <c r="G4" s="18">
        <f ca="1">FantasyPts!J7</f>
        <v>3</v>
      </c>
      <c r="H4" s="19">
        <f ca="1">FantasyPts!K7</f>
        <v>62.332999999999998</v>
      </c>
      <c r="I4" s="16">
        <f t="shared" ca="1" si="0"/>
        <v>2</v>
      </c>
      <c r="J4" s="113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279</v>
      </c>
      <c r="C5" s="18">
        <f ca="1">FantasyPts!D8</f>
        <v>45</v>
      </c>
      <c r="D5" s="18">
        <f ca="1">FantasyPts!F8</f>
        <v>74</v>
      </c>
      <c r="E5" s="18">
        <f ca="1">FantasyPts!H8</f>
        <v>155</v>
      </c>
      <c r="F5" s="18">
        <f ca="1">FantasyPts!I8</f>
        <v>5</v>
      </c>
      <c r="G5" s="18">
        <f ca="1">FantasyPts!J8</f>
        <v>6</v>
      </c>
      <c r="H5" s="19">
        <f ca="1">FantasyPts!K8</f>
        <v>46.5</v>
      </c>
      <c r="I5" s="16">
        <f t="shared" ca="1" si="0"/>
        <v>3</v>
      </c>
      <c r="J5" s="113">
        <f t="shared" ca="1" si="1"/>
        <v>-3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13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760</v>
      </c>
      <c r="C7" s="18">
        <f ca="1">FantasyPts!D10</f>
        <v>105</v>
      </c>
      <c r="D7" s="18">
        <f ca="1">FantasyPts!F10</f>
        <v>194</v>
      </c>
      <c r="E7" s="18">
        <f ca="1">FantasyPts!H10</f>
        <v>446</v>
      </c>
      <c r="F7" s="18">
        <f ca="1">FantasyPts!I10</f>
        <v>15</v>
      </c>
      <c r="G7" s="18">
        <f ca="1">FantasyPts!J10</f>
        <v>6</v>
      </c>
      <c r="H7" s="19">
        <f ca="1">FantasyPts!K10</f>
        <v>126.666</v>
      </c>
      <c r="I7" s="16">
        <f t="shared" ca="1" si="0"/>
        <v>8</v>
      </c>
      <c r="J7" s="113">
        <f t="shared" ca="1" si="1"/>
        <v>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259</v>
      </c>
      <c r="C8" s="18">
        <f ca="1">FantasyPts!D11</f>
        <v>65</v>
      </c>
      <c r="D8" s="18">
        <f ca="1">FantasyPts!F11</f>
        <v>174</v>
      </c>
      <c r="E8" s="18">
        <f ca="1">FantasyPts!H11</f>
        <v>0</v>
      </c>
      <c r="F8" s="18">
        <f ca="1">FantasyPts!I11</f>
        <v>20</v>
      </c>
      <c r="G8" s="18">
        <f ca="1">FantasyPts!J11</f>
        <v>2</v>
      </c>
      <c r="H8" s="19">
        <f ca="1">FantasyPts!K11</f>
        <v>129.5</v>
      </c>
      <c r="I8" s="16">
        <f t="shared" ca="1" si="0"/>
        <v>3</v>
      </c>
      <c r="J8" s="113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130</v>
      </c>
      <c r="C9" s="18">
        <f ca="1">FantasyPts!D12</f>
        <v>20</v>
      </c>
      <c r="D9" s="18">
        <f ca="1">FantasyPts!F12</f>
        <v>25</v>
      </c>
      <c r="E9" s="18">
        <f ca="1">FantasyPts!H12</f>
        <v>85</v>
      </c>
      <c r="F9" s="18">
        <f ca="1">FantasyPts!I12</f>
        <v>0</v>
      </c>
      <c r="G9" s="18">
        <f ca="1">FantasyPts!J12</f>
        <v>9</v>
      </c>
      <c r="H9" s="19">
        <f ca="1">FantasyPts!K12</f>
        <v>14.444000000000001</v>
      </c>
      <c r="I9" s="16">
        <f t="shared" ca="1" si="0"/>
        <v>1</v>
      </c>
      <c r="J9" s="113">
        <f t="shared" ca="1" si="1"/>
        <v>-8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13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13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223</v>
      </c>
      <c r="C12" s="18">
        <f ca="1">FantasyPts!D15</f>
        <v>35</v>
      </c>
      <c r="D12" s="18">
        <f ca="1">FantasyPts!F15</f>
        <v>152</v>
      </c>
      <c r="E12" s="18">
        <f ca="1">FantasyPts!H15</f>
        <v>21</v>
      </c>
      <c r="F12" s="18">
        <f ca="1">FantasyPts!I15</f>
        <v>15</v>
      </c>
      <c r="G12" s="18">
        <f ca="1">FantasyPts!J15</f>
        <v>4</v>
      </c>
      <c r="H12" s="19">
        <f ca="1">FantasyPts!K15</f>
        <v>55.75</v>
      </c>
      <c r="I12" s="16">
        <f t="shared" ca="1" si="0"/>
        <v>2</v>
      </c>
      <c r="J12" s="113">
        <f t="shared" ca="1" si="1"/>
        <v>-2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56</v>
      </c>
      <c r="C13" s="18">
        <f ca="1">FantasyPts!D16</f>
        <v>5</v>
      </c>
      <c r="D13" s="18">
        <f ca="1">FantasyPts!F16</f>
        <v>36</v>
      </c>
      <c r="E13" s="18">
        <f ca="1">FantasyPts!H16</f>
        <v>15</v>
      </c>
      <c r="F13" s="18">
        <f ca="1">FantasyPts!I16</f>
        <v>0</v>
      </c>
      <c r="G13" s="18">
        <f ca="1">FantasyPts!J16</f>
        <v>3</v>
      </c>
      <c r="H13" s="19">
        <f ca="1">FantasyPts!K16</f>
        <v>18.666</v>
      </c>
      <c r="I13" s="16">
        <f t="shared" ca="1" si="0"/>
        <v>1</v>
      </c>
      <c r="J13" s="113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36</v>
      </c>
      <c r="C14" s="18">
        <f ca="1">FantasyPts!D17</f>
        <v>15</v>
      </c>
      <c r="D14" s="18">
        <f ca="1">FantasyPts!F17</f>
        <v>21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12</v>
      </c>
      <c r="I14" s="16">
        <f t="shared" ca="1" si="0"/>
        <v>0</v>
      </c>
      <c r="J14" s="113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13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680</v>
      </c>
      <c r="C16" s="18">
        <f ca="1">FantasyPts!D19</f>
        <v>120</v>
      </c>
      <c r="D16" s="18">
        <f ca="1">FantasyPts!F19</f>
        <v>162</v>
      </c>
      <c r="E16" s="18">
        <f ca="1">FantasyPts!H19</f>
        <v>378</v>
      </c>
      <c r="F16" s="18">
        <f ca="1">FantasyPts!I19</f>
        <v>20</v>
      </c>
      <c r="G16" s="18">
        <f ca="1">FantasyPts!J19</f>
        <v>6</v>
      </c>
      <c r="H16" s="19">
        <f ca="1">FantasyPts!K19</f>
        <v>113.333</v>
      </c>
      <c r="I16" s="16">
        <f t="shared" ca="1" si="0"/>
        <v>7</v>
      </c>
      <c r="J16" s="113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13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13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13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195</v>
      </c>
      <c r="C20" s="18">
        <f ca="1">FantasyPts!D23</f>
        <v>75</v>
      </c>
      <c r="D20" s="18">
        <f ca="1">FantasyPts!F23</f>
        <v>79</v>
      </c>
      <c r="E20" s="18">
        <f ca="1">FantasyPts!H23</f>
        <v>31</v>
      </c>
      <c r="F20" s="18">
        <f ca="1">FantasyPts!I23</f>
        <v>10</v>
      </c>
      <c r="G20" s="18">
        <f ca="1">FantasyPts!J23</f>
        <v>4</v>
      </c>
      <c r="H20" s="19">
        <f ca="1">FantasyPts!K23</f>
        <v>48.75</v>
      </c>
      <c r="I20" s="16">
        <f t="shared" ca="1" si="0"/>
        <v>2</v>
      </c>
      <c r="J20" s="113">
        <f t="shared" ca="1" si="1"/>
        <v>-2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137</v>
      </c>
      <c r="C21" s="18">
        <f ca="1">FantasyPts!D24</f>
        <v>40</v>
      </c>
      <c r="D21" s="18">
        <f ca="1">FantasyPts!F24</f>
        <v>47</v>
      </c>
      <c r="E21" s="18">
        <f ca="1">FantasyPts!H24</f>
        <v>50</v>
      </c>
      <c r="F21" s="18">
        <f ca="1">FantasyPts!I24</f>
        <v>0</v>
      </c>
      <c r="G21" s="18">
        <f ca="1">FantasyPts!J24</f>
        <v>5</v>
      </c>
      <c r="H21" s="19">
        <f ca="1">FantasyPts!K24</f>
        <v>27.4</v>
      </c>
      <c r="I21" s="16">
        <f t="shared" ca="1" si="0"/>
        <v>1</v>
      </c>
      <c r="J21" s="113">
        <f t="shared" ca="1" si="1"/>
        <v>-4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682</v>
      </c>
      <c r="C22" s="18">
        <f ca="1">FantasyPts!D25</f>
        <v>75</v>
      </c>
      <c r="D22" s="18">
        <f ca="1">FantasyPts!F25</f>
        <v>565</v>
      </c>
      <c r="E22" s="18">
        <f ca="1">FantasyPts!H25</f>
        <v>32</v>
      </c>
      <c r="F22" s="18">
        <f ca="1">FantasyPts!I25</f>
        <v>10</v>
      </c>
      <c r="G22" s="18">
        <f ca="1">FantasyPts!J25</f>
        <v>11</v>
      </c>
      <c r="H22" s="19">
        <f ca="1">FantasyPts!K25</f>
        <v>62</v>
      </c>
      <c r="I22" s="16">
        <f t="shared" ca="1" si="0"/>
        <v>7</v>
      </c>
      <c r="J22" s="113">
        <f t="shared" ca="1" si="1"/>
        <v>-4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13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13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13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271</v>
      </c>
      <c r="C26" s="18">
        <f ca="1">FantasyPts!D29</f>
        <v>85</v>
      </c>
      <c r="D26" s="18">
        <f ca="1">FantasyPts!F29</f>
        <v>46</v>
      </c>
      <c r="E26" s="18">
        <f ca="1">FantasyPts!H29</f>
        <v>125</v>
      </c>
      <c r="F26" s="18">
        <f ca="1">FantasyPts!I29</f>
        <v>15</v>
      </c>
      <c r="G26" s="18">
        <f ca="1">FantasyPts!J29</f>
        <v>3</v>
      </c>
      <c r="H26" s="19">
        <f ca="1">FantasyPts!K29</f>
        <v>90.332999999999998</v>
      </c>
      <c r="I26" s="16">
        <f t="shared" ca="1" si="0"/>
        <v>3</v>
      </c>
      <c r="J26" s="113">
        <f t="shared" ca="1" si="1"/>
        <v>0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13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374</v>
      </c>
      <c r="C28" s="18">
        <f ca="1">FantasyPts!D31</f>
        <v>85</v>
      </c>
      <c r="D28" s="18">
        <f ca="1">FantasyPts!F31</f>
        <v>208</v>
      </c>
      <c r="E28" s="18">
        <f ca="1">FantasyPts!H31</f>
        <v>66</v>
      </c>
      <c r="F28" s="18">
        <f ca="1">FantasyPts!I31</f>
        <v>15</v>
      </c>
      <c r="G28" s="18">
        <f ca="1">FantasyPts!J31</f>
        <v>5</v>
      </c>
      <c r="H28" s="19">
        <f ca="1">FantasyPts!K31</f>
        <v>74.8</v>
      </c>
      <c r="I28" s="16">
        <f t="shared" ca="1" si="0"/>
        <v>4</v>
      </c>
      <c r="J28" s="113">
        <f t="shared" ca="1" si="1"/>
        <v>-1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37</v>
      </c>
      <c r="C29" s="18">
        <f ca="1">FantasyPts!D32</f>
        <v>25</v>
      </c>
      <c r="D29" s="18">
        <f ca="1">FantasyPts!F32</f>
        <v>12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12.333</v>
      </c>
      <c r="I29" s="16">
        <f t="shared" ca="1" si="0"/>
        <v>0</v>
      </c>
      <c r="J29" s="113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482</v>
      </c>
      <c r="C30" s="18">
        <f ca="1">FantasyPts!D33</f>
        <v>35</v>
      </c>
      <c r="D30" s="18">
        <f ca="1">FantasyPts!F33</f>
        <v>442</v>
      </c>
      <c r="E30" s="18">
        <f ca="1">FantasyPts!H33</f>
        <v>0</v>
      </c>
      <c r="F30" s="18">
        <f ca="1">FantasyPts!I33</f>
        <v>5</v>
      </c>
      <c r="G30" s="18">
        <f ca="1">FantasyPts!J33</f>
        <v>9</v>
      </c>
      <c r="H30" s="19">
        <f ca="1">FantasyPts!K33</f>
        <v>53.555</v>
      </c>
      <c r="I30" s="16">
        <f t="shared" ca="1" si="0"/>
        <v>5</v>
      </c>
      <c r="J30" s="113">
        <f t="shared" ca="1" si="1"/>
        <v>-4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216</v>
      </c>
      <c r="C31" s="18">
        <f ca="1">FantasyPts!D34</f>
        <v>55</v>
      </c>
      <c r="D31" s="18">
        <f ca="1">FantasyPts!F34</f>
        <v>146</v>
      </c>
      <c r="E31" s="18">
        <f ca="1">FantasyPts!H34</f>
        <v>0</v>
      </c>
      <c r="F31" s="18">
        <f ca="1">FantasyPts!I34</f>
        <v>15</v>
      </c>
      <c r="G31" s="18">
        <f ca="1">FantasyPts!J34</f>
        <v>4</v>
      </c>
      <c r="H31" s="19">
        <f ca="1">FantasyPts!K34</f>
        <v>54</v>
      </c>
      <c r="I31" s="16">
        <f t="shared" ca="1" si="0"/>
        <v>2</v>
      </c>
      <c r="J31" s="113">
        <f t="shared" ca="1" si="1"/>
        <v>-2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13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5</v>
      </c>
      <c r="C33" s="18">
        <f ca="1">FantasyPts!D36</f>
        <v>15</v>
      </c>
      <c r="D33" s="18">
        <f ca="1">FantasyPts!F36</f>
        <v>-10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2.5</v>
      </c>
      <c r="I33" s="16">
        <f t="shared" ca="1" si="0"/>
        <v>0</v>
      </c>
      <c r="J33" s="113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13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13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74</v>
      </c>
      <c r="C36" s="18">
        <f ca="1">FantasyPts!D39</f>
        <v>10</v>
      </c>
      <c r="D36" s="18">
        <f ca="1">FantasyPts!F39</f>
        <v>38</v>
      </c>
      <c r="E36" s="18">
        <f ca="1">FantasyPts!H39</f>
        <v>21</v>
      </c>
      <c r="F36" s="18">
        <f ca="1">FantasyPts!I39</f>
        <v>5</v>
      </c>
      <c r="G36" s="18">
        <f ca="1">FantasyPts!J39</f>
        <v>13</v>
      </c>
      <c r="H36" s="19">
        <f ca="1">FantasyPts!K39</f>
        <v>5.6920000000000002</v>
      </c>
      <c r="I36" s="16">
        <f t="shared" ca="1" si="0"/>
        <v>1</v>
      </c>
      <c r="J36" s="113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13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13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13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13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13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13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88" customWidth="1"/>
    <col min="2" max="2" width="18" style="87" customWidth="1"/>
    <col min="3" max="3" width="40.5703125" style="87" bestFit="1" customWidth="1"/>
    <col min="4" max="4" width="9.7109375" style="88" customWidth="1"/>
    <col min="5" max="8" width="9" style="87" customWidth="1"/>
    <col min="9" max="9" width="12.28515625" style="87" customWidth="1"/>
    <col min="10" max="10" width="9.140625" customWidth="1"/>
    <col min="11" max="15" width="5.85546875" style="87" customWidth="1"/>
    <col min="16" max="16" width="10.5703125" style="87" customWidth="1"/>
    <col min="17" max="17" width="9" style="87" customWidth="1"/>
    <col min="18" max="18" width="11.5703125" style="87" customWidth="1"/>
    <col min="19" max="16384" width="9" style="87"/>
  </cols>
  <sheetData>
    <row r="1" spans="1:27" x14ac:dyDescent="0.25">
      <c r="A1" s="86" t="s">
        <v>224</v>
      </c>
    </row>
    <row r="2" spans="1:27" x14ac:dyDescent="0.25">
      <c r="A2" s="86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7"/>
      <c r="D43" s="87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2023-07-01T11:59:57Z</dcterms:modified>
</cp:coreProperties>
</file>
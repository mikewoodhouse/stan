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0" windowWidth="17625" windowHeight="12630" activeTab="4"/>
  </bookViews>
  <sheets>
    <sheet name="Matches" sheetId="1" r:id="rId1"/>
    <sheet name="Batting" sheetId="2" r:id="rId2"/>
    <sheet name="Sheet1" sheetId="18" r:id="rId3"/>
    <sheet name="Bowling" sheetId="3" r:id="rId4"/>
    <sheet name="BatAves" sheetId="9" r:id="rId5"/>
    <sheet name="BowlAves" sheetId="10" r:id="rId6"/>
    <sheet name="Fantasy Teams" sheetId="4" state="hidden" r:id="rId7"/>
    <sheet name="FantasyPts" sheetId="5" state="hidden" r:id="rId8"/>
    <sheet name="Player Stats" sheetId="6" state="hidden" r:id="rId9"/>
    <sheet name="League Table" sheetId="7" state="hidden" r:id="rId10"/>
    <sheet name="modFuncs" sheetId="8" state="veryHidden" r:id=""/>
    <sheet name="Partnerships" sheetId="16" r:id="rId11"/>
    <sheet name="Capts" sheetId="17" r:id="rId12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Batting!$D$69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Batting!$E$69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4">BatAves!$A$1:$H$45</definedName>
    <definedName name="_xlnm.Print_Area" localSheetId="5">BowlAves!$A$1:$K$31</definedName>
    <definedName name="_xlnm.Print_Area" localSheetId="3">Bowling!$A$1:$AR$37</definedName>
    <definedName name="_xlnm.Print_Area" localSheetId="9">'League Table'!$A$1:$D$36</definedName>
    <definedName name="_xlnm.Print_Area" localSheetId="0">Matches!$A$1:$AF$20</definedName>
    <definedName name="_xlnm.Print_Area" localSheetId="8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1" r:id="rId13"/>
  </pivotCaches>
</workbook>
</file>

<file path=xl/calcChain.xml><?xml version="1.0" encoding="utf-8"?>
<calcChain xmlns="http://schemas.openxmlformats.org/spreadsheetml/2006/main">
  <c r="CL54" i="3" l="1"/>
  <c r="CL53" i="3"/>
  <c r="CX46" i="2" l="1" a="1"/>
  <c r="CX46" i="2" s="1"/>
  <c r="CW46" i="2" a="1"/>
  <c r="CW46" i="2" s="1"/>
  <c r="CV46" i="2" a="1"/>
  <c r="CV46" i="2" s="1"/>
  <c r="CU46" i="2" a="1"/>
  <c r="CU46" i="2" s="1"/>
  <c r="CT46" i="2" a="1"/>
  <c r="CT46" i="2" s="1"/>
  <c r="CS46" i="2" a="1"/>
  <c r="CS46" i="2" s="1"/>
  <c r="CR46" i="2" a="1"/>
  <c r="CR46" i="2" s="1"/>
  <c r="CP46" i="2"/>
  <c r="CP46" i="2" a="1"/>
  <c r="CO46" i="2" a="1"/>
  <c r="CO46" i="2" s="1"/>
  <c r="CE46" i="2"/>
  <c r="CX45" i="2" a="1"/>
  <c r="CX45" i="2" s="1"/>
  <c r="CW45" i="2" a="1"/>
  <c r="CW45" i="2" s="1"/>
  <c r="CV45" i="2" a="1"/>
  <c r="CV45" i="2" s="1"/>
  <c r="CU45" i="2" a="1"/>
  <c r="CU45" i="2" s="1"/>
  <c r="CT45" i="2" a="1"/>
  <c r="CT45" i="2" s="1"/>
  <c r="CS45" i="2" a="1"/>
  <c r="CS45" i="2" s="1"/>
  <c r="CR45" i="2" a="1"/>
  <c r="CR45" i="2" s="1"/>
  <c r="CP45" i="2" a="1"/>
  <c r="CP45" i="2" s="1"/>
  <c r="CO45" i="2" a="1"/>
  <c r="CO45" i="2" s="1"/>
  <c r="CE45" i="2"/>
  <c r="CX44" i="2" a="1"/>
  <c r="CX44" i="2" s="1"/>
  <c r="CW44" i="2" a="1"/>
  <c r="CW44" i="2" s="1"/>
  <c r="CV44" i="2" a="1"/>
  <c r="CV44" i="2" s="1"/>
  <c r="CU44" i="2" a="1"/>
  <c r="CU44" i="2" s="1"/>
  <c r="CT44" i="2" a="1"/>
  <c r="CT44" i="2" s="1"/>
  <c r="CS44" i="2" a="1"/>
  <c r="CS44" i="2" s="1"/>
  <c r="CR44" i="2" a="1"/>
  <c r="CR44" i="2" s="1"/>
  <c r="CP44" i="2" a="1"/>
  <c r="CP44" i="2" s="1"/>
  <c r="CO44" i="2" a="1"/>
  <c r="CO44" i="2" s="1"/>
  <c r="CE44" i="2"/>
  <c r="CX43" i="2" a="1"/>
  <c r="CX43" i="2" s="1"/>
  <c r="CW43" i="2" a="1"/>
  <c r="CW43" i="2" s="1"/>
  <c r="CV43" i="2" a="1"/>
  <c r="CV43" i="2" s="1"/>
  <c r="CU43" i="2" a="1"/>
  <c r="CU43" i="2" s="1"/>
  <c r="CT43" i="2" a="1"/>
  <c r="CT43" i="2" s="1"/>
  <c r="CS43" i="2" a="1"/>
  <c r="CS43" i="2" s="1"/>
  <c r="CR43" i="2" a="1"/>
  <c r="CR43" i="2" s="1"/>
  <c r="CP43" i="2" a="1"/>
  <c r="CP43" i="2" s="1"/>
  <c r="CO43" i="2" a="1"/>
  <c r="CO43" i="2" s="1"/>
  <c r="CE43" i="2"/>
  <c r="CX42" i="2" a="1"/>
  <c r="CX42" i="2" s="1"/>
  <c r="CW42" i="2" a="1"/>
  <c r="CW42" i="2" s="1"/>
  <c r="CV42" i="2" a="1"/>
  <c r="CV42" i="2" s="1"/>
  <c r="CU42" i="2" a="1"/>
  <c r="CU42" i="2" s="1"/>
  <c r="CT42" i="2" a="1"/>
  <c r="CT42" i="2" s="1"/>
  <c r="CS42" i="2" a="1"/>
  <c r="CS42" i="2" s="1"/>
  <c r="CR42" i="2" a="1"/>
  <c r="CR42" i="2" s="1"/>
  <c r="CP42" i="2" a="1"/>
  <c r="CP42" i="2" s="1"/>
  <c r="CO42" i="2" a="1"/>
  <c r="CO42" i="2" s="1"/>
  <c r="CE42" i="2"/>
  <c r="CX41" i="2" a="1"/>
  <c r="CX41" i="2" s="1"/>
  <c r="CW41" i="2" a="1"/>
  <c r="CW41" i="2" s="1"/>
  <c r="CV41" i="2" a="1"/>
  <c r="CV41" i="2" s="1"/>
  <c r="CU41" i="2" a="1"/>
  <c r="CU41" i="2" s="1"/>
  <c r="CT41" i="2" a="1"/>
  <c r="CT41" i="2" s="1"/>
  <c r="CS41" i="2" a="1"/>
  <c r="CS41" i="2" s="1"/>
  <c r="CR41" i="2" a="1"/>
  <c r="CR41" i="2" s="1"/>
  <c r="CP41" i="2" a="1"/>
  <c r="CP41" i="2" s="1"/>
  <c r="CO41" i="2" a="1"/>
  <c r="CO41" i="2" s="1"/>
  <c r="CE41" i="2"/>
  <c r="CX40" i="2" a="1"/>
  <c r="CX40" i="2" s="1"/>
  <c r="CW40" i="2" a="1"/>
  <c r="CW40" i="2" s="1"/>
  <c r="CV40" i="2" a="1"/>
  <c r="CV40" i="2" s="1"/>
  <c r="CU40" i="2" a="1"/>
  <c r="CU40" i="2" s="1"/>
  <c r="CT40" i="2" a="1"/>
  <c r="CT40" i="2" s="1"/>
  <c r="CS40" i="2" a="1"/>
  <c r="CS40" i="2" s="1"/>
  <c r="CR40" i="2" a="1"/>
  <c r="CR40" i="2" s="1"/>
  <c r="CP40" i="2" a="1"/>
  <c r="CP40" i="2" s="1"/>
  <c r="CO40" i="2" a="1"/>
  <c r="CO40" i="2" s="1"/>
  <c r="CE40" i="2"/>
  <c r="CX39" i="2" a="1"/>
  <c r="CX39" i="2" s="1"/>
  <c r="CW39" i="2" a="1"/>
  <c r="CW39" i="2" s="1"/>
  <c r="CV39" i="2" a="1"/>
  <c r="CV39" i="2" s="1"/>
  <c r="CU39" i="2" a="1"/>
  <c r="CU39" i="2" s="1"/>
  <c r="CT39" i="2" a="1"/>
  <c r="CT39" i="2" s="1"/>
  <c r="CS39" i="2" a="1"/>
  <c r="CS39" i="2" s="1"/>
  <c r="CR39" i="2" a="1"/>
  <c r="CR39" i="2" s="1"/>
  <c r="CP39" i="2" a="1"/>
  <c r="CP39" i="2" s="1"/>
  <c r="CO39" i="2"/>
  <c r="CO39" i="2" a="1"/>
  <c r="CE39" i="2"/>
  <c r="CX38" i="2" a="1"/>
  <c r="CX38" i="2" s="1"/>
  <c r="CW38" i="2" a="1"/>
  <c r="CW38" i="2" s="1"/>
  <c r="CV38" i="2" a="1"/>
  <c r="CV38" i="2" s="1"/>
  <c r="CU38" i="2" a="1"/>
  <c r="CU38" i="2" s="1"/>
  <c r="CT38" i="2" a="1"/>
  <c r="CT38" i="2" s="1"/>
  <c r="CS38" i="2" a="1"/>
  <c r="CS38" i="2" s="1"/>
  <c r="CR38" i="2" a="1"/>
  <c r="CR38" i="2" s="1"/>
  <c r="CP38" i="2" a="1"/>
  <c r="CP38" i="2" s="1"/>
  <c r="CO38" i="2" a="1"/>
  <c r="CO38" i="2" s="1"/>
  <c r="CE38" i="2"/>
  <c r="CX37" i="2" a="1"/>
  <c r="CX37" i="2" s="1"/>
  <c r="CW37" i="2" a="1"/>
  <c r="CW37" i="2" s="1"/>
  <c r="CV37" i="2" a="1"/>
  <c r="CV37" i="2" s="1"/>
  <c r="CU37" i="2" a="1"/>
  <c r="CU37" i="2" s="1"/>
  <c r="CT37" i="2" a="1"/>
  <c r="CT37" i="2" s="1"/>
  <c r="CS37" i="2" a="1"/>
  <c r="CS37" i="2" s="1"/>
  <c r="CR37" i="2" a="1"/>
  <c r="CR37" i="2" s="1"/>
  <c r="CP37" i="2" a="1"/>
  <c r="CP37" i="2" s="1"/>
  <c r="CO37" i="2" a="1"/>
  <c r="CO37" i="2" s="1"/>
  <c r="CE37" i="2"/>
  <c r="CX36" i="2" a="1"/>
  <c r="CX36" i="2" s="1"/>
  <c r="CW36" i="2" a="1"/>
  <c r="CW36" i="2" s="1"/>
  <c r="CV36" i="2" a="1"/>
  <c r="CV36" i="2" s="1"/>
  <c r="CU36" i="2" a="1"/>
  <c r="CU36" i="2" s="1"/>
  <c r="CT36" i="2" a="1"/>
  <c r="CT36" i="2" s="1"/>
  <c r="CS36" i="2" a="1"/>
  <c r="CS36" i="2" s="1"/>
  <c r="CR36" i="2" a="1"/>
  <c r="CR36" i="2" s="1"/>
  <c r="CP36" i="2" a="1"/>
  <c r="CP36" i="2" s="1"/>
  <c r="CO36" i="2" a="1"/>
  <c r="CO36" i="2" s="1"/>
  <c r="CE36" i="2"/>
  <c r="CX35" i="2" a="1"/>
  <c r="CX35" i="2" s="1"/>
  <c r="CW35" i="2" a="1"/>
  <c r="CW35" i="2" s="1"/>
  <c r="CV35" i="2" a="1"/>
  <c r="CV35" i="2" s="1"/>
  <c r="CU35" i="2" a="1"/>
  <c r="CU35" i="2" s="1"/>
  <c r="CT35" i="2" a="1"/>
  <c r="CT35" i="2" s="1"/>
  <c r="CS35" i="2" a="1"/>
  <c r="CS35" i="2" s="1"/>
  <c r="CR35" i="2" a="1"/>
  <c r="CR35" i="2" s="1"/>
  <c r="CP35" i="2" a="1"/>
  <c r="CP35" i="2" s="1"/>
  <c r="CO35" i="2" a="1"/>
  <c r="CO35" i="2" s="1"/>
  <c r="CE35" i="2"/>
  <c r="CX34" i="2" a="1"/>
  <c r="CX34" i="2" s="1"/>
  <c r="CW34" i="2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 a="1"/>
  <c r="CR34" i="2" s="1"/>
  <c r="CP34" i="2" a="1"/>
  <c r="CP34" i="2" s="1"/>
  <c r="CO34" i="2" a="1"/>
  <c r="CO34" i="2" s="1"/>
  <c r="CE34" i="2"/>
  <c r="CX33" i="2" a="1"/>
  <c r="CX33" i="2" s="1"/>
  <c r="CW33" i="2" a="1"/>
  <c r="CW33" i="2" s="1"/>
  <c r="CV33" i="2" a="1"/>
  <c r="CV33" i="2" s="1"/>
  <c r="CU33" i="2" a="1"/>
  <c r="CU33" i="2" s="1"/>
  <c r="CT33" i="2" a="1"/>
  <c r="CT33" i="2" s="1"/>
  <c r="CS33" i="2" a="1"/>
  <c r="CS33" i="2" s="1"/>
  <c r="CR33" i="2" a="1"/>
  <c r="CR33" i="2" s="1"/>
  <c r="CP33" i="2" a="1"/>
  <c r="CP33" i="2" s="1"/>
  <c r="CO33" i="2" a="1"/>
  <c r="CO33" i="2" s="1"/>
  <c r="CE33" i="2"/>
  <c r="CX32" i="2" a="1"/>
  <c r="CX32" i="2" s="1"/>
  <c r="CW32" i="2" a="1"/>
  <c r="CW32" i="2" s="1"/>
  <c r="CV32" i="2" a="1"/>
  <c r="CV32" i="2" s="1"/>
  <c r="CU32" i="2" a="1"/>
  <c r="CU32" i="2" s="1"/>
  <c r="CT32" i="2" a="1"/>
  <c r="CT32" i="2" s="1"/>
  <c r="CS32" i="2" a="1"/>
  <c r="CS32" i="2" s="1"/>
  <c r="CR32" i="2" a="1"/>
  <c r="CR32" i="2" s="1"/>
  <c r="CP32" i="2" a="1"/>
  <c r="CP32" i="2" s="1"/>
  <c r="CO32" i="2" a="1"/>
  <c r="CO32" i="2" s="1"/>
  <c r="CE32" i="2"/>
  <c r="CX31" i="2" a="1"/>
  <c r="CX31" i="2" s="1"/>
  <c r="CW31" i="2" a="1"/>
  <c r="CW31" i="2" s="1"/>
  <c r="CV31" i="2" a="1"/>
  <c r="CV31" i="2" s="1"/>
  <c r="CU31" i="2" a="1"/>
  <c r="CU31" i="2" s="1"/>
  <c r="CT31" i="2" a="1"/>
  <c r="CT31" i="2" s="1"/>
  <c r="CS31" i="2" a="1"/>
  <c r="CS31" i="2" s="1"/>
  <c r="CR31" i="2" a="1"/>
  <c r="CR31" i="2" s="1"/>
  <c r="CP31" i="2" a="1"/>
  <c r="CP31" i="2" s="1"/>
  <c r="CO31" i="2" a="1"/>
  <c r="CO31" i="2" s="1"/>
  <c r="CE31" i="2"/>
  <c r="CX30" i="2" a="1"/>
  <c r="CX30" i="2" s="1"/>
  <c r="CW30" i="2" a="1"/>
  <c r="CW30" i="2" s="1"/>
  <c r="CV30" i="2" a="1"/>
  <c r="CV30" i="2" s="1"/>
  <c r="CU30" i="2" a="1"/>
  <c r="CU30" i="2" s="1"/>
  <c r="CT30" i="2" a="1"/>
  <c r="CT30" i="2" s="1"/>
  <c r="CS30" i="2" a="1"/>
  <c r="CS30" i="2" s="1"/>
  <c r="CR30" i="2" a="1"/>
  <c r="CR30" i="2" s="1"/>
  <c r="CP30" i="2" a="1"/>
  <c r="CP30" i="2" s="1"/>
  <c r="CO30" i="2" a="1"/>
  <c r="CO30" i="2" s="1"/>
  <c r="CE30" i="2"/>
  <c r="CX21" i="2" a="1"/>
  <c r="CX21" i="2" s="1"/>
  <c r="CW21" i="2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 a="1"/>
  <c r="CR21" i="2" s="1"/>
  <c r="CP21" i="2" a="1"/>
  <c r="CP21" i="2" s="1"/>
  <c r="CO21" i="2" a="1"/>
  <c r="CO21" i="2" s="1"/>
  <c r="CX13" i="2" a="1"/>
  <c r="CX13" i="2" s="1"/>
  <c r="CW13" i="2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 a="1"/>
  <c r="CR13" i="2" s="1"/>
  <c r="CP13" i="2" a="1"/>
  <c r="CP13" i="2" s="1"/>
  <c r="CO13" i="2" a="1"/>
  <c r="CO13" i="2" s="1"/>
  <c r="CE13" i="2"/>
  <c r="CE21" i="2"/>
  <c r="CX19" i="2" a="1"/>
  <c r="CX19" i="2" s="1"/>
  <c r="CW19" i="2" a="1"/>
  <c r="CW19" i="2" s="1"/>
  <c r="CV19" i="2" a="1"/>
  <c r="CV19" i="2" s="1"/>
  <c r="CU19" i="2" a="1"/>
  <c r="CU19" i="2" s="1"/>
  <c r="CT19" i="2" a="1"/>
  <c r="CT19" i="2" s="1"/>
  <c r="CS19" i="2" a="1"/>
  <c r="CS19" i="2" s="1"/>
  <c r="CR19" i="2" a="1"/>
  <c r="CR19" i="2" s="1"/>
  <c r="CP19" i="2" a="1"/>
  <c r="CP19" i="2" s="1"/>
  <c r="CO19" i="2" a="1"/>
  <c r="CO19" i="2" s="1"/>
  <c r="CE19" i="2"/>
  <c r="X79" i="3"/>
  <c r="T79" i="3"/>
  <c r="P79" i="3"/>
  <c r="L79" i="3"/>
  <c r="H79" i="3"/>
  <c r="D79" i="3"/>
  <c r="V78" i="3"/>
  <c r="R78" i="3"/>
  <c r="N78" i="3"/>
  <c r="J78" i="3"/>
  <c r="F78" i="3"/>
  <c r="X77" i="3"/>
  <c r="T77" i="3"/>
  <c r="P77" i="3"/>
  <c r="L77" i="3"/>
  <c r="H77" i="3"/>
  <c r="D77" i="3"/>
  <c r="V76" i="3"/>
  <c r="R76" i="3"/>
  <c r="N76" i="3"/>
  <c r="J76" i="3"/>
  <c r="F76" i="3"/>
  <c r="X75" i="3"/>
  <c r="T75" i="3"/>
  <c r="P75" i="3"/>
  <c r="L75" i="3"/>
  <c r="H75" i="3"/>
  <c r="D75" i="3"/>
  <c r="V74" i="3"/>
  <c r="R74" i="3"/>
  <c r="N74" i="3"/>
  <c r="J74" i="3"/>
  <c r="F74" i="3"/>
  <c r="X73" i="3"/>
  <c r="T73" i="3"/>
  <c r="P73" i="3"/>
  <c r="L73" i="3"/>
  <c r="H73" i="3"/>
  <c r="D73" i="3"/>
  <c r="V72" i="3"/>
  <c r="R72" i="3"/>
  <c r="N72" i="3"/>
  <c r="J72" i="3"/>
  <c r="F72" i="3"/>
  <c r="X71" i="3"/>
  <c r="T71" i="3"/>
  <c r="P71" i="3"/>
  <c r="L71" i="3"/>
  <c r="H71" i="3"/>
  <c r="D71" i="3"/>
  <c r="V70" i="3"/>
  <c r="R70" i="3"/>
  <c r="N70" i="3"/>
  <c r="J70" i="3"/>
  <c r="F70" i="3"/>
  <c r="X69" i="3"/>
  <c r="T69" i="3"/>
  <c r="P69" i="3"/>
  <c r="L69" i="3"/>
  <c r="H69" i="3"/>
  <c r="D69" i="3"/>
  <c r="V68" i="3"/>
  <c r="R68" i="3"/>
  <c r="N68" i="3"/>
  <c r="J68" i="3"/>
  <c r="F68" i="3"/>
  <c r="X67" i="3"/>
  <c r="T67" i="3"/>
  <c r="P67" i="3"/>
  <c r="L67" i="3"/>
  <c r="H67" i="3"/>
  <c r="D67" i="3"/>
  <c r="V66" i="3"/>
  <c r="R66" i="3"/>
  <c r="N66" i="3"/>
  <c r="J66" i="3"/>
  <c r="F66" i="3"/>
  <c r="X65" i="3"/>
  <c r="T65" i="3"/>
  <c r="P65" i="3"/>
  <c r="L65" i="3"/>
  <c r="H65" i="3"/>
  <c r="D65" i="3"/>
  <c r="V64" i="3"/>
  <c r="R64" i="3"/>
  <c r="N64" i="3"/>
  <c r="J64" i="3"/>
  <c r="F64" i="3"/>
  <c r="X63" i="3"/>
  <c r="T63" i="3"/>
  <c r="P63" i="3"/>
  <c r="L63" i="3"/>
  <c r="H63" i="3"/>
  <c r="D63" i="3"/>
  <c r="V62" i="3"/>
  <c r="R62" i="3"/>
  <c r="N62" i="3"/>
  <c r="J62" i="3"/>
  <c r="F62" i="3"/>
  <c r="X61" i="3"/>
  <c r="T61" i="3"/>
  <c r="P61" i="3"/>
  <c r="L61" i="3"/>
  <c r="H61" i="3"/>
  <c r="D61" i="3"/>
  <c r="V60" i="3"/>
  <c r="R60" i="3"/>
  <c r="N60" i="3"/>
  <c r="J60" i="3"/>
  <c r="F60" i="3"/>
  <c r="X59" i="3"/>
  <c r="T59" i="3"/>
  <c r="P59" i="3"/>
  <c r="L59" i="3"/>
  <c r="H59" i="3"/>
  <c r="D59" i="3"/>
  <c r="V58" i="3"/>
  <c r="R58" i="3"/>
  <c r="N58" i="3"/>
  <c r="J58" i="3"/>
  <c r="F58" i="3"/>
  <c r="X57" i="3"/>
  <c r="T57" i="3"/>
  <c r="P57" i="3"/>
  <c r="L57" i="3"/>
  <c r="H57" i="3"/>
  <c r="D57" i="3"/>
  <c r="W79" i="3"/>
  <c r="S79" i="3"/>
  <c r="O79" i="3"/>
  <c r="K79" i="3"/>
  <c r="G79" i="3"/>
  <c r="C79" i="3"/>
  <c r="U78" i="3"/>
  <c r="Q78" i="3"/>
  <c r="M78" i="3"/>
  <c r="I78" i="3"/>
  <c r="E78" i="3"/>
  <c r="W77" i="3"/>
  <c r="S77" i="3"/>
  <c r="O77" i="3"/>
  <c r="K77" i="3"/>
  <c r="G77" i="3"/>
  <c r="C77" i="3"/>
  <c r="U76" i="3"/>
  <c r="Q76" i="3"/>
  <c r="M76" i="3"/>
  <c r="I76" i="3"/>
  <c r="E76" i="3"/>
  <c r="W75" i="3"/>
  <c r="S75" i="3"/>
  <c r="O75" i="3"/>
  <c r="K75" i="3"/>
  <c r="G75" i="3"/>
  <c r="C75" i="3"/>
  <c r="U74" i="3"/>
  <c r="Q74" i="3"/>
  <c r="M74" i="3"/>
  <c r="I74" i="3"/>
  <c r="E74" i="3"/>
  <c r="W73" i="3"/>
  <c r="S73" i="3"/>
  <c r="O73" i="3"/>
  <c r="K73" i="3"/>
  <c r="G73" i="3"/>
  <c r="C73" i="3"/>
  <c r="U72" i="3"/>
  <c r="Q72" i="3"/>
  <c r="M72" i="3"/>
  <c r="I72" i="3"/>
  <c r="E72" i="3"/>
  <c r="W71" i="3"/>
  <c r="S71" i="3"/>
  <c r="O71" i="3"/>
  <c r="K71" i="3"/>
  <c r="G71" i="3"/>
  <c r="C71" i="3"/>
  <c r="U70" i="3"/>
  <c r="Q70" i="3"/>
  <c r="M70" i="3"/>
  <c r="I70" i="3"/>
  <c r="E70" i="3"/>
  <c r="W69" i="3"/>
  <c r="S69" i="3"/>
  <c r="O69" i="3"/>
  <c r="K69" i="3"/>
  <c r="G69" i="3"/>
  <c r="C69" i="3"/>
  <c r="U68" i="3"/>
  <c r="Q68" i="3"/>
  <c r="M68" i="3"/>
  <c r="I68" i="3"/>
  <c r="E68" i="3"/>
  <c r="W67" i="3"/>
  <c r="S67" i="3"/>
  <c r="O67" i="3"/>
  <c r="K67" i="3"/>
  <c r="G67" i="3"/>
  <c r="C67" i="3"/>
  <c r="U66" i="3"/>
  <c r="Q66" i="3"/>
  <c r="M66" i="3"/>
  <c r="I66" i="3"/>
  <c r="E66" i="3"/>
  <c r="W65" i="3"/>
  <c r="S65" i="3"/>
  <c r="O65" i="3"/>
  <c r="K65" i="3"/>
  <c r="G65" i="3"/>
  <c r="C65" i="3"/>
  <c r="U64" i="3"/>
  <c r="Q64" i="3"/>
  <c r="M64" i="3"/>
  <c r="I64" i="3"/>
  <c r="E64" i="3"/>
  <c r="W63" i="3"/>
  <c r="S63" i="3"/>
  <c r="O63" i="3"/>
  <c r="K63" i="3"/>
  <c r="G63" i="3"/>
  <c r="C63" i="3"/>
  <c r="U62" i="3"/>
  <c r="Q62" i="3"/>
  <c r="M62" i="3"/>
  <c r="I62" i="3"/>
  <c r="E62" i="3"/>
  <c r="W61" i="3"/>
  <c r="S61" i="3"/>
  <c r="O61" i="3"/>
  <c r="K61" i="3"/>
  <c r="G61" i="3"/>
  <c r="C61" i="3"/>
  <c r="U60" i="3"/>
  <c r="Q60" i="3"/>
  <c r="M60" i="3"/>
  <c r="I60" i="3"/>
  <c r="E60" i="3"/>
  <c r="W59" i="3"/>
  <c r="S59" i="3"/>
  <c r="O59" i="3"/>
  <c r="K59" i="3"/>
  <c r="G59" i="3"/>
  <c r="C59" i="3"/>
  <c r="U58" i="3"/>
  <c r="Q58" i="3"/>
  <c r="M58" i="3"/>
  <c r="I58" i="3"/>
  <c r="E58" i="3"/>
  <c r="W57" i="3"/>
  <c r="S57" i="3"/>
  <c r="O57" i="3"/>
  <c r="K57" i="3"/>
  <c r="G57" i="3"/>
  <c r="C57" i="3"/>
  <c r="V79" i="3"/>
  <c r="N79" i="3"/>
  <c r="F79" i="3"/>
  <c r="T78" i="3"/>
  <c r="L78" i="3"/>
  <c r="D78" i="3"/>
  <c r="R77" i="3"/>
  <c r="J77" i="3"/>
  <c r="X76" i="3"/>
  <c r="P76" i="3"/>
  <c r="H76" i="3"/>
  <c r="V75" i="3"/>
  <c r="N75" i="3"/>
  <c r="F75" i="3"/>
  <c r="T74" i="3"/>
  <c r="L74" i="3"/>
  <c r="D74" i="3"/>
  <c r="R73" i="3"/>
  <c r="J73" i="3"/>
  <c r="X72" i="3"/>
  <c r="P72" i="3"/>
  <c r="H72" i="3"/>
  <c r="V71" i="3"/>
  <c r="N71" i="3"/>
  <c r="F71" i="3"/>
  <c r="T70" i="3"/>
  <c r="L70" i="3"/>
  <c r="D70" i="3"/>
  <c r="R69" i="3"/>
  <c r="J69" i="3"/>
  <c r="X68" i="3"/>
  <c r="P68" i="3"/>
  <c r="H68" i="3"/>
  <c r="V67" i="3"/>
  <c r="N67" i="3"/>
  <c r="F67" i="3"/>
  <c r="T66" i="3"/>
  <c r="L66" i="3"/>
  <c r="D66" i="3"/>
  <c r="R65" i="3"/>
  <c r="J65" i="3"/>
  <c r="X64" i="3"/>
  <c r="P64" i="3"/>
  <c r="H64" i="3"/>
  <c r="V63" i="3"/>
  <c r="N63" i="3"/>
  <c r="F63" i="3"/>
  <c r="T62" i="3"/>
  <c r="L62" i="3"/>
  <c r="D62" i="3"/>
  <c r="R61" i="3"/>
  <c r="J61" i="3"/>
  <c r="X60" i="3"/>
  <c r="P60" i="3"/>
  <c r="H60" i="3"/>
  <c r="V59" i="3"/>
  <c r="N59" i="3"/>
  <c r="F59" i="3"/>
  <c r="T58" i="3"/>
  <c r="L58" i="3"/>
  <c r="D58" i="3"/>
  <c r="R57" i="3"/>
  <c r="J57" i="3"/>
  <c r="X56" i="3"/>
  <c r="T56" i="3"/>
  <c r="P56" i="3"/>
  <c r="L56" i="3"/>
  <c r="H56" i="3"/>
  <c r="D56" i="3"/>
  <c r="V55" i="3"/>
  <c r="R55" i="3"/>
  <c r="N55" i="3"/>
  <c r="J55" i="3"/>
  <c r="F55" i="3"/>
  <c r="X54" i="3"/>
  <c r="T54" i="3"/>
  <c r="P54" i="3"/>
  <c r="L54" i="3"/>
  <c r="H54" i="3"/>
  <c r="D54" i="3"/>
  <c r="V53" i="3"/>
  <c r="R53" i="3"/>
  <c r="N53" i="3"/>
  <c r="J53" i="3"/>
  <c r="F53" i="3"/>
  <c r="X52" i="3"/>
  <c r="T52" i="3"/>
  <c r="P52" i="3"/>
  <c r="L52" i="3"/>
  <c r="H52" i="3"/>
  <c r="D52" i="3"/>
  <c r="V51" i="3"/>
  <c r="R51" i="3"/>
  <c r="N51" i="3"/>
  <c r="J51" i="3"/>
  <c r="F51" i="3"/>
  <c r="X50" i="3"/>
  <c r="T50" i="3"/>
  <c r="P50" i="3"/>
  <c r="L50" i="3"/>
  <c r="H50" i="3"/>
  <c r="D50" i="3"/>
  <c r="V49" i="3"/>
  <c r="R49" i="3"/>
  <c r="N49" i="3"/>
  <c r="J49" i="3"/>
  <c r="F49" i="3"/>
  <c r="X48" i="3"/>
  <c r="T48" i="3"/>
  <c r="P48" i="3"/>
  <c r="L48" i="3"/>
  <c r="H48" i="3"/>
  <c r="D48" i="3"/>
  <c r="V47" i="3"/>
  <c r="R47" i="3"/>
  <c r="N47" i="3"/>
  <c r="J47" i="3"/>
  <c r="F47" i="3"/>
  <c r="W78" i="3"/>
  <c r="O74" i="3"/>
  <c r="E73" i="3"/>
  <c r="K72" i="3"/>
  <c r="I71" i="3"/>
  <c r="G70" i="3"/>
  <c r="M69" i="3"/>
  <c r="U79" i="3"/>
  <c r="M79" i="3"/>
  <c r="E79" i="3"/>
  <c r="S78" i="3"/>
  <c r="K78" i="3"/>
  <c r="C78" i="3"/>
  <c r="Q77" i="3"/>
  <c r="I77" i="3"/>
  <c r="W76" i="3"/>
  <c r="O76" i="3"/>
  <c r="G76" i="3"/>
  <c r="U75" i="3"/>
  <c r="M75" i="3"/>
  <c r="E75" i="3"/>
  <c r="S74" i="3"/>
  <c r="K74" i="3"/>
  <c r="C74" i="3"/>
  <c r="Q73" i="3"/>
  <c r="I73" i="3"/>
  <c r="W72" i="3"/>
  <c r="O72" i="3"/>
  <c r="G72" i="3"/>
  <c r="U71" i="3"/>
  <c r="M71" i="3"/>
  <c r="E71" i="3"/>
  <c r="S70" i="3"/>
  <c r="K70" i="3"/>
  <c r="C70" i="3"/>
  <c r="Q69" i="3"/>
  <c r="I69" i="3"/>
  <c r="W68" i="3"/>
  <c r="O68" i="3"/>
  <c r="G68" i="3"/>
  <c r="U67" i="3"/>
  <c r="M67" i="3"/>
  <c r="E67" i="3"/>
  <c r="S66" i="3"/>
  <c r="K66" i="3"/>
  <c r="C66" i="3"/>
  <c r="Q65" i="3"/>
  <c r="I65" i="3"/>
  <c r="W64" i="3"/>
  <c r="O64" i="3"/>
  <c r="G64" i="3"/>
  <c r="U63" i="3"/>
  <c r="M63" i="3"/>
  <c r="E63" i="3"/>
  <c r="S62" i="3"/>
  <c r="K62" i="3"/>
  <c r="C62" i="3"/>
  <c r="Q61" i="3"/>
  <c r="I61" i="3"/>
  <c r="W60" i="3"/>
  <c r="O60" i="3"/>
  <c r="G60" i="3"/>
  <c r="U59" i="3"/>
  <c r="M59" i="3"/>
  <c r="E59" i="3"/>
  <c r="S58" i="3"/>
  <c r="K58" i="3"/>
  <c r="C58" i="3"/>
  <c r="Q57" i="3"/>
  <c r="I57" i="3"/>
  <c r="W56" i="3"/>
  <c r="S56" i="3"/>
  <c r="O56" i="3"/>
  <c r="K56" i="3"/>
  <c r="G56" i="3"/>
  <c r="C56" i="3"/>
  <c r="U55" i="3"/>
  <c r="Q55" i="3"/>
  <c r="M55" i="3"/>
  <c r="I55" i="3"/>
  <c r="E55" i="3"/>
  <c r="W54" i="3"/>
  <c r="S54" i="3"/>
  <c r="O54" i="3"/>
  <c r="K54" i="3"/>
  <c r="G54" i="3"/>
  <c r="C54" i="3"/>
  <c r="U53" i="3"/>
  <c r="Q53" i="3"/>
  <c r="M53" i="3"/>
  <c r="I53" i="3"/>
  <c r="E53" i="3"/>
  <c r="W52" i="3"/>
  <c r="S52" i="3"/>
  <c r="O52" i="3"/>
  <c r="K52" i="3"/>
  <c r="G52" i="3"/>
  <c r="C52" i="3"/>
  <c r="U51" i="3"/>
  <c r="Q51" i="3"/>
  <c r="M51" i="3"/>
  <c r="I51" i="3"/>
  <c r="E51" i="3"/>
  <c r="W50" i="3"/>
  <c r="S50" i="3"/>
  <c r="O50" i="3"/>
  <c r="K50" i="3"/>
  <c r="G50" i="3"/>
  <c r="C50" i="3"/>
  <c r="U49" i="3"/>
  <c r="Q49" i="3"/>
  <c r="M49" i="3"/>
  <c r="I49" i="3"/>
  <c r="E49" i="3"/>
  <c r="W48" i="3"/>
  <c r="S48" i="3"/>
  <c r="O48" i="3"/>
  <c r="K48" i="3"/>
  <c r="G48" i="3"/>
  <c r="C48" i="3"/>
  <c r="U47" i="3"/>
  <c r="Q47" i="3"/>
  <c r="M47" i="3"/>
  <c r="I47" i="3"/>
  <c r="E47" i="3"/>
  <c r="I79" i="3"/>
  <c r="O78" i="3"/>
  <c r="G78" i="3"/>
  <c r="U77" i="3"/>
  <c r="E77" i="3"/>
  <c r="K76" i="3"/>
  <c r="C76" i="3"/>
  <c r="I75" i="3"/>
  <c r="W74" i="3"/>
  <c r="U73" i="3"/>
  <c r="S72" i="3"/>
  <c r="Q71" i="3"/>
  <c r="O70" i="3"/>
  <c r="E69" i="3"/>
  <c r="R79" i="3"/>
  <c r="J79" i="3"/>
  <c r="X78" i="3"/>
  <c r="P78" i="3"/>
  <c r="H78" i="3"/>
  <c r="V77" i="3"/>
  <c r="N77" i="3"/>
  <c r="F77" i="3"/>
  <c r="T76" i="3"/>
  <c r="L76" i="3"/>
  <c r="D76" i="3"/>
  <c r="R75" i="3"/>
  <c r="J75" i="3"/>
  <c r="X74" i="3"/>
  <c r="P74" i="3"/>
  <c r="H74" i="3"/>
  <c r="V73" i="3"/>
  <c r="N73" i="3"/>
  <c r="F73" i="3"/>
  <c r="T72" i="3"/>
  <c r="L72" i="3"/>
  <c r="D72" i="3"/>
  <c r="R71" i="3"/>
  <c r="J71" i="3"/>
  <c r="X70" i="3"/>
  <c r="P70" i="3"/>
  <c r="H70" i="3"/>
  <c r="V69" i="3"/>
  <c r="N69" i="3"/>
  <c r="F69" i="3"/>
  <c r="T68" i="3"/>
  <c r="L68" i="3"/>
  <c r="D68" i="3"/>
  <c r="R67" i="3"/>
  <c r="J67" i="3"/>
  <c r="X66" i="3"/>
  <c r="P66" i="3"/>
  <c r="H66" i="3"/>
  <c r="V65" i="3"/>
  <c r="N65" i="3"/>
  <c r="F65" i="3"/>
  <c r="T64" i="3"/>
  <c r="L64" i="3"/>
  <c r="D64" i="3"/>
  <c r="R63" i="3"/>
  <c r="J63" i="3"/>
  <c r="X62" i="3"/>
  <c r="P62" i="3"/>
  <c r="H62" i="3"/>
  <c r="V61" i="3"/>
  <c r="N61" i="3"/>
  <c r="F61" i="3"/>
  <c r="T60" i="3"/>
  <c r="L60" i="3"/>
  <c r="D60" i="3"/>
  <c r="R59" i="3"/>
  <c r="J59" i="3"/>
  <c r="X58" i="3"/>
  <c r="P58" i="3"/>
  <c r="H58" i="3"/>
  <c r="V57" i="3"/>
  <c r="N57" i="3"/>
  <c r="F57" i="3"/>
  <c r="V56" i="3"/>
  <c r="R56" i="3"/>
  <c r="N56" i="3"/>
  <c r="J56" i="3"/>
  <c r="F56" i="3"/>
  <c r="X55" i="3"/>
  <c r="T55" i="3"/>
  <c r="P55" i="3"/>
  <c r="L55" i="3"/>
  <c r="H55" i="3"/>
  <c r="D55" i="3"/>
  <c r="V54" i="3"/>
  <c r="R54" i="3"/>
  <c r="N54" i="3"/>
  <c r="J54" i="3"/>
  <c r="F54" i="3"/>
  <c r="X53" i="3"/>
  <c r="T53" i="3"/>
  <c r="P53" i="3"/>
  <c r="L53" i="3"/>
  <c r="H53" i="3"/>
  <c r="D53" i="3"/>
  <c r="V52" i="3"/>
  <c r="R52" i="3"/>
  <c r="N52" i="3"/>
  <c r="J52" i="3"/>
  <c r="F52" i="3"/>
  <c r="X51" i="3"/>
  <c r="T51" i="3"/>
  <c r="P51" i="3"/>
  <c r="L51" i="3"/>
  <c r="H51" i="3"/>
  <c r="D51" i="3"/>
  <c r="V50" i="3"/>
  <c r="R50" i="3"/>
  <c r="N50" i="3"/>
  <c r="J50" i="3"/>
  <c r="F50" i="3"/>
  <c r="X49" i="3"/>
  <c r="T49" i="3"/>
  <c r="P49" i="3"/>
  <c r="L49" i="3"/>
  <c r="H49" i="3"/>
  <c r="D49" i="3"/>
  <c r="V48" i="3"/>
  <c r="R48" i="3"/>
  <c r="N48" i="3"/>
  <c r="J48" i="3"/>
  <c r="F48" i="3"/>
  <c r="X47" i="3"/>
  <c r="T47" i="3"/>
  <c r="P47" i="3"/>
  <c r="L47" i="3"/>
  <c r="H47" i="3"/>
  <c r="D47" i="3"/>
  <c r="Q79" i="3"/>
  <c r="M77" i="3"/>
  <c r="S76" i="3"/>
  <c r="Q75" i="3"/>
  <c r="G74" i="3"/>
  <c r="M73" i="3"/>
  <c r="C72" i="3"/>
  <c r="W70" i="3"/>
  <c r="U69" i="3"/>
  <c r="C68" i="3"/>
  <c r="O66" i="3"/>
  <c r="E65" i="3"/>
  <c r="Q63" i="3"/>
  <c r="G62" i="3"/>
  <c r="S60" i="3"/>
  <c r="I59" i="3"/>
  <c r="U57" i="3"/>
  <c r="Q56" i="3"/>
  <c r="W55" i="3"/>
  <c r="G55" i="3"/>
  <c r="M54" i="3"/>
  <c r="S53" i="3"/>
  <c r="C53" i="3"/>
  <c r="I52" i="3"/>
  <c r="O51" i="3"/>
  <c r="U50" i="3"/>
  <c r="E50" i="3"/>
  <c r="K49" i="3"/>
  <c r="Q48" i="3"/>
  <c r="W47" i="3"/>
  <c r="G47" i="3"/>
  <c r="Q67" i="3"/>
  <c r="G66" i="3"/>
  <c r="S64" i="3"/>
  <c r="I63" i="3"/>
  <c r="U61" i="3"/>
  <c r="K60" i="3"/>
  <c r="W58" i="3"/>
  <c r="M57" i="3"/>
  <c r="M56" i="3"/>
  <c r="S55" i="3"/>
  <c r="C55" i="3"/>
  <c r="I54" i="3"/>
  <c r="O53" i="3"/>
  <c r="U52" i="3"/>
  <c r="E52" i="3"/>
  <c r="K51" i="3"/>
  <c r="Q50" i="3"/>
  <c r="W49" i="3"/>
  <c r="G49" i="3"/>
  <c r="M48" i="3"/>
  <c r="S47" i="3"/>
  <c r="S68" i="3"/>
  <c r="I67" i="3"/>
  <c r="U65" i="3"/>
  <c r="K64" i="3"/>
  <c r="W62" i="3"/>
  <c r="M61" i="3"/>
  <c r="C60" i="3"/>
  <c r="O58" i="3"/>
  <c r="E57" i="3"/>
  <c r="I56" i="3"/>
  <c r="O55" i="3"/>
  <c r="U54" i="3"/>
  <c r="E54" i="3"/>
  <c r="K53" i="3"/>
  <c r="Q52" i="3"/>
  <c r="W51" i="3"/>
  <c r="G51" i="3"/>
  <c r="M50" i="3"/>
  <c r="S49" i="3"/>
  <c r="C49" i="3"/>
  <c r="I48" i="3"/>
  <c r="O47" i="3"/>
  <c r="K68" i="3"/>
  <c r="W66" i="3"/>
  <c r="M65" i="3"/>
  <c r="C64" i="3"/>
  <c r="O62" i="3"/>
  <c r="E61" i="3"/>
  <c r="Q59" i="3"/>
  <c r="G58" i="3"/>
  <c r="U56" i="3"/>
  <c r="E56" i="3"/>
  <c r="K55" i="3"/>
  <c r="Q54" i="3"/>
  <c r="W53" i="3"/>
  <c r="G53" i="3"/>
  <c r="M52" i="3"/>
  <c r="S51" i="3"/>
  <c r="C51" i="3"/>
  <c r="I50" i="3"/>
  <c r="O49" i="3"/>
  <c r="U48" i="3"/>
  <c r="E48" i="3"/>
  <c r="K47" i="3"/>
  <c r="C47" i="3"/>
  <c r="Z104" i="2"/>
  <c r="V104" i="2"/>
  <c r="R104" i="2"/>
  <c r="N104" i="2"/>
  <c r="J104" i="2"/>
  <c r="F104" i="2"/>
  <c r="T104" i="2"/>
  <c r="L104" i="2"/>
  <c r="D104" i="2"/>
  <c r="S104" i="2"/>
  <c r="K104" i="2"/>
  <c r="Y104" i="2"/>
  <c r="U104" i="2"/>
  <c r="Q104" i="2"/>
  <c r="M104" i="2"/>
  <c r="I104" i="2"/>
  <c r="E104" i="2"/>
  <c r="X104" i="2"/>
  <c r="P104" i="2"/>
  <c r="H104" i="2"/>
  <c r="W104" i="2"/>
  <c r="O104" i="2"/>
  <c r="G104" i="2"/>
  <c r="Z103" i="2"/>
  <c r="V103" i="2"/>
  <c r="R103" i="2"/>
  <c r="N103" i="2"/>
  <c r="J103" i="2"/>
  <c r="F103" i="2"/>
  <c r="Y102" i="2"/>
  <c r="U102" i="2"/>
  <c r="Q102" i="2"/>
  <c r="M102" i="2"/>
  <c r="I102" i="2"/>
  <c r="E102" i="2"/>
  <c r="X101" i="2"/>
  <c r="T101" i="2"/>
  <c r="P101" i="2"/>
  <c r="L101" i="2"/>
  <c r="H101" i="2"/>
  <c r="D101" i="2"/>
  <c r="W100" i="2"/>
  <c r="S100" i="2"/>
  <c r="O100" i="2"/>
  <c r="K100" i="2"/>
  <c r="G100" i="2"/>
  <c r="Z99" i="2"/>
  <c r="V99" i="2"/>
  <c r="R99" i="2"/>
  <c r="N99" i="2"/>
  <c r="J99" i="2"/>
  <c r="F99" i="2"/>
  <c r="Y98" i="2"/>
  <c r="U98" i="2"/>
  <c r="Q98" i="2"/>
  <c r="M98" i="2"/>
  <c r="I98" i="2"/>
  <c r="E98" i="2"/>
  <c r="X97" i="2"/>
  <c r="T97" i="2"/>
  <c r="P97" i="2"/>
  <c r="L97" i="2"/>
  <c r="H97" i="2"/>
  <c r="D97" i="2"/>
  <c r="W96" i="2"/>
  <c r="S96" i="2"/>
  <c r="O96" i="2"/>
  <c r="K96" i="2"/>
  <c r="G96" i="2"/>
  <c r="Z95" i="2"/>
  <c r="V95" i="2"/>
  <c r="R95" i="2"/>
  <c r="N95" i="2"/>
  <c r="J95" i="2"/>
  <c r="F95" i="2"/>
  <c r="Y94" i="2"/>
  <c r="U94" i="2"/>
  <c r="Q94" i="2"/>
  <c r="M94" i="2"/>
  <c r="I94" i="2"/>
  <c r="E94" i="2"/>
  <c r="X93" i="2"/>
  <c r="T93" i="2"/>
  <c r="Y103" i="2"/>
  <c r="U103" i="2"/>
  <c r="Q103" i="2"/>
  <c r="M103" i="2"/>
  <c r="I103" i="2"/>
  <c r="E103" i="2"/>
  <c r="X102" i="2"/>
  <c r="T102" i="2"/>
  <c r="P102" i="2"/>
  <c r="L102" i="2"/>
  <c r="H102" i="2"/>
  <c r="D102" i="2"/>
  <c r="W101" i="2"/>
  <c r="S101" i="2"/>
  <c r="O101" i="2"/>
  <c r="K101" i="2"/>
  <c r="G101" i="2"/>
  <c r="Z100" i="2"/>
  <c r="V100" i="2"/>
  <c r="R100" i="2"/>
  <c r="N100" i="2"/>
  <c r="J100" i="2"/>
  <c r="F100" i="2"/>
  <c r="Y99" i="2"/>
  <c r="U99" i="2"/>
  <c r="Q99" i="2"/>
  <c r="M99" i="2"/>
  <c r="I99" i="2"/>
  <c r="E99" i="2"/>
  <c r="X98" i="2"/>
  <c r="T98" i="2"/>
  <c r="P98" i="2"/>
  <c r="L98" i="2"/>
  <c r="H98" i="2"/>
  <c r="D98" i="2"/>
  <c r="W97" i="2"/>
  <c r="S97" i="2"/>
  <c r="O97" i="2"/>
  <c r="K97" i="2"/>
  <c r="G97" i="2"/>
  <c r="Z96" i="2"/>
  <c r="V96" i="2"/>
  <c r="R96" i="2"/>
  <c r="N96" i="2"/>
  <c r="J96" i="2"/>
  <c r="F96" i="2"/>
  <c r="Y95" i="2"/>
  <c r="U95" i="2"/>
  <c r="Q95" i="2"/>
  <c r="M95" i="2"/>
  <c r="I95" i="2"/>
  <c r="E95" i="2"/>
  <c r="X94" i="2"/>
  <c r="T94" i="2"/>
  <c r="P94" i="2"/>
  <c r="L94" i="2"/>
  <c r="H94" i="2"/>
  <c r="D94" i="2"/>
  <c r="W93" i="2"/>
  <c r="S93" i="2"/>
  <c r="O93" i="2"/>
  <c r="X103" i="2"/>
  <c r="T103" i="2"/>
  <c r="P103" i="2"/>
  <c r="L103" i="2"/>
  <c r="H103" i="2"/>
  <c r="D103" i="2"/>
  <c r="W102" i="2"/>
  <c r="S102" i="2"/>
  <c r="O102" i="2"/>
  <c r="K102" i="2"/>
  <c r="G102" i="2"/>
  <c r="Z101" i="2"/>
  <c r="V101" i="2"/>
  <c r="R101" i="2"/>
  <c r="N101" i="2"/>
  <c r="J101" i="2"/>
  <c r="F101" i="2"/>
  <c r="Y100" i="2"/>
  <c r="U100" i="2"/>
  <c r="Q100" i="2"/>
  <c r="M100" i="2"/>
  <c r="I100" i="2"/>
  <c r="E100" i="2"/>
  <c r="X99" i="2"/>
  <c r="T99" i="2"/>
  <c r="P99" i="2"/>
  <c r="L99" i="2"/>
  <c r="H99" i="2"/>
  <c r="D99" i="2"/>
  <c r="W98" i="2"/>
  <c r="S98" i="2"/>
  <c r="O98" i="2"/>
  <c r="K98" i="2"/>
  <c r="G98" i="2"/>
  <c r="Z97" i="2"/>
  <c r="V97" i="2"/>
  <c r="R97" i="2"/>
  <c r="N97" i="2"/>
  <c r="J97" i="2"/>
  <c r="F97" i="2"/>
  <c r="Y96" i="2"/>
  <c r="U96" i="2"/>
  <c r="Q96" i="2"/>
  <c r="M96" i="2"/>
  <c r="I96" i="2"/>
  <c r="E96" i="2"/>
  <c r="X95" i="2"/>
  <c r="T95" i="2"/>
  <c r="P95" i="2"/>
  <c r="L95" i="2"/>
  <c r="H95" i="2"/>
  <c r="D95" i="2"/>
  <c r="W94" i="2"/>
  <c r="S94" i="2"/>
  <c r="O94" i="2"/>
  <c r="K94" i="2"/>
  <c r="G94" i="2"/>
  <c r="Z93" i="2"/>
  <c r="V93" i="2"/>
  <c r="R93" i="2"/>
  <c r="N93" i="2"/>
  <c r="J93" i="2"/>
  <c r="F93" i="2"/>
  <c r="Y92" i="2"/>
  <c r="U92" i="2"/>
  <c r="Q92" i="2"/>
  <c r="M92" i="2"/>
  <c r="I92" i="2"/>
  <c r="E92" i="2"/>
  <c r="X91" i="2"/>
  <c r="T91" i="2"/>
  <c r="P91" i="2"/>
  <c r="L91" i="2"/>
  <c r="H91" i="2"/>
  <c r="D91" i="2"/>
  <c r="W90" i="2"/>
  <c r="S90" i="2"/>
  <c r="O90" i="2"/>
  <c r="K90" i="2"/>
  <c r="G90" i="2"/>
  <c r="Z89" i="2"/>
  <c r="V89" i="2"/>
  <c r="R89" i="2"/>
  <c r="N89" i="2"/>
  <c r="J89" i="2"/>
  <c r="F89" i="2"/>
  <c r="Y88" i="2"/>
  <c r="U88" i="2"/>
  <c r="Q88" i="2"/>
  <c r="M88" i="2"/>
  <c r="I88" i="2"/>
  <c r="E88" i="2"/>
  <c r="X87" i="2"/>
  <c r="T87" i="2"/>
  <c r="P87" i="2"/>
  <c r="L87" i="2"/>
  <c r="H87" i="2"/>
  <c r="D87" i="2"/>
  <c r="W86" i="2"/>
  <c r="S86" i="2"/>
  <c r="O86" i="2"/>
  <c r="K86" i="2"/>
  <c r="G86" i="2"/>
  <c r="Z85" i="2"/>
  <c r="V85" i="2"/>
  <c r="R85" i="2"/>
  <c r="N85" i="2"/>
  <c r="J85" i="2"/>
  <c r="F85" i="2"/>
  <c r="Y84" i="2"/>
  <c r="U84" i="2"/>
  <c r="Q84" i="2"/>
  <c r="M84" i="2"/>
  <c r="I84" i="2"/>
  <c r="E84" i="2"/>
  <c r="X83" i="2"/>
  <c r="T83" i="2"/>
  <c r="P83" i="2"/>
  <c r="L83" i="2"/>
  <c r="H83" i="2"/>
  <c r="D83" i="2"/>
  <c r="W82" i="2"/>
  <c r="S82" i="2"/>
  <c r="O82" i="2"/>
  <c r="K82" i="2"/>
  <c r="G82" i="2"/>
  <c r="Z81" i="2"/>
  <c r="W103" i="2"/>
  <c r="G103" i="2"/>
  <c r="N102" i="2"/>
  <c r="U101" i="2"/>
  <c r="E101" i="2"/>
  <c r="L100" i="2"/>
  <c r="S99" i="2"/>
  <c r="Z98" i="2"/>
  <c r="J98" i="2"/>
  <c r="Q97" i="2"/>
  <c r="X96" i="2"/>
  <c r="H96" i="2"/>
  <c r="O95" i="2"/>
  <c r="V94" i="2"/>
  <c r="F94" i="2"/>
  <c r="P93" i="2"/>
  <c r="I93" i="2"/>
  <c r="D93" i="2"/>
  <c r="V92" i="2"/>
  <c r="P92" i="2"/>
  <c r="K92" i="2"/>
  <c r="F92" i="2"/>
  <c r="W91" i="2"/>
  <c r="R91" i="2"/>
  <c r="M91" i="2"/>
  <c r="G91" i="2"/>
  <c r="Y90" i="2"/>
  <c r="T90" i="2"/>
  <c r="N90" i="2"/>
  <c r="I90" i="2"/>
  <c r="D90" i="2"/>
  <c r="U89" i="2"/>
  <c r="P89" i="2"/>
  <c r="K89" i="2"/>
  <c r="E89" i="2"/>
  <c r="W88" i="2"/>
  <c r="R88" i="2"/>
  <c r="L88" i="2"/>
  <c r="G88" i="2"/>
  <c r="Y87" i="2"/>
  <c r="S87" i="2"/>
  <c r="N87" i="2"/>
  <c r="I87" i="2"/>
  <c r="Z86" i="2"/>
  <c r="U86" i="2"/>
  <c r="P86" i="2"/>
  <c r="J86" i="2"/>
  <c r="E86" i="2"/>
  <c r="W85" i="2"/>
  <c r="Q85" i="2"/>
  <c r="L85" i="2"/>
  <c r="G85" i="2"/>
  <c r="X84" i="2"/>
  <c r="S84" i="2"/>
  <c r="N84" i="2"/>
  <c r="H84" i="2"/>
  <c r="Z83" i="2"/>
  <c r="U83" i="2"/>
  <c r="O83" i="2"/>
  <c r="J83" i="2"/>
  <c r="E83" i="2"/>
  <c r="V82" i="2"/>
  <c r="Q82" i="2"/>
  <c r="L82" i="2"/>
  <c r="F82" i="2"/>
  <c r="X81" i="2"/>
  <c r="T81" i="2"/>
  <c r="P81" i="2"/>
  <c r="L81" i="2"/>
  <c r="H81" i="2"/>
  <c r="D81" i="2"/>
  <c r="W80" i="2"/>
  <c r="S80" i="2"/>
  <c r="O80" i="2"/>
  <c r="K80" i="2"/>
  <c r="G80" i="2"/>
  <c r="Z79" i="2"/>
  <c r="V79" i="2"/>
  <c r="R79" i="2"/>
  <c r="N79" i="2"/>
  <c r="J79" i="2"/>
  <c r="S103" i="2"/>
  <c r="Z102" i="2"/>
  <c r="J102" i="2"/>
  <c r="Q101" i="2"/>
  <c r="X100" i="2"/>
  <c r="H100" i="2"/>
  <c r="O99" i="2"/>
  <c r="V98" i="2"/>
  <c r="F98" i="2"/>
  <c r="M97" i="2"/>
  <c r="T96" i="2"/>
  <c r="D96" i="2"/>
  <c r="K95" i="2"/>
  <c r="R94" i="2"/>
  <c r="Y93" i="2"/>
  <c r="M93" i="2"/>
  <c r="O103" i="2"/>
  <c r="V102" i="2"/>
  <c r="F102" i="2"/>
  <c r="M101" i="2"/>
  <c r="T100" i="2"/>
  <c r="D100" i="2"/>
  <c r="K99" i="2"/>
  <c r="R98" i="2"/>
  <c r="Y97" i="2"/>
  <c r="I97" i="2"/>
  <c r="P96" i="2"/>
  <c r="W95" i="2"/>
  <c r="G95" i="2"/>
  <c r="N94" i="2"/>
  <c r="U93" i="2"/>
  <c r="L93" i="2"/>
  <c r="G93" i="2"/>
  <c r="X92" i="2"/>
  <c r="S92" i="2"/>
  <c r="N92" i="2"/>
  <c r="H92" i="2"/>
  <c r="Z91" i="2"/>
  <c r="U91" i="2"/>
  <c r="O91" i="2"/>
  <c r="J91" i="2"/>
  <c r="E91" i="2"/>
  <c r="V90" i="2"/>
  <c r="Q90" i="2"/>
  <c r="L90" i="2"/>
  <c r="F90" i="2"/>
  <c r="X89" i="2"/>
  <c r="S89" i="2"/>
  <c r="M89" i="2"/>
  <c r="H89" i="2"/>
  <c r="Z88" i="2"/>
  <c r="T88" i="2"/>
  <c r="O88" i="2"/>
  <c r="J88" i="2"/>
  <c r="D88" i="2"/>
  <c r="V87" i="2"/>
  <c r="Q87" i="2"/>
  <c r="K87" i="2"/>
  <c r="F87" i="2"/>
  <c r="X86" i="2"/>
  <c r="R86" i="2"/>
  <c r="M86" i="2"/>
  <c r="H86" i="2"/>
  <c r="Y85" i="2"/>
  <c r="T85" i="2"/>
  <c r="O85" i="2"/>
  <c r="I85" i="2"/>
  <c r="D85" i="2"/>
  <c r="V84" i="2"/>
  <c r="P84" i="2"/>
  <c r="K84" i="2"/>
  <c r="F84" i="2"/>
  <c r="W83" i="2"/>
  <c r="R83" i="2"/>
  <c r="M83" i="2"/>
  <c r="G83" i="2"/>
  <c r="Y82" i="2"/>
  <c r="T82" i="2"/>
  <c r="N82" i="2"/>
  <c r="I82" i="2"/>
  <c r="D82" i="2"/>
  <c r="V81" i="2"/>
  <c r="R81" i="2"/>
  <c r="N81" i="2"/>
  <c r="J81" i="2"/>
  <c r="F81" i="2"/>
  <c r="Y80" i="2"/>
  <c r="U80" i="2"/>
  <c r="Q80" i="2"/>
  <c r="M80" i="2"/>
  <c r="I80" i="2"/>
  <c r="E80" i="2"/>
  <c r="X79" i="2"/>
  <c r="T79" i="2"/>
  <c r="P79" i="2"/>
  <c r="L79" i="2"/>
  <c r="H79" i="2"/>
  <c r="D79" i="2"/>
  <c r="W78" i="2"/>
  <c r="S78" i="2"/>
  <c r="O78" i="2"/>
  <c r="K78" i="2"/>
  <c r="G78" i="2"/>
  <c r="Z77" i="2"/>
  <c r="V77" i="2"/>
  <c r="R77" i="2"/>
  <c r="N77" i="2"/>
  <c r="J77" i="2"/>
  <c r="F77" i="2"/>
  <c r="Y76" i="2"/>
  <c r="U76" i="2"/>
  <c r="Q76" i="2"/>
  <c r="M76" i="2"/>
  <c r="I76" i="2"/>
  <c r="E76" i="2"/>
  <c r="X75" i="2"/>
  <c r="T75" i="2"/>
  <c r="P75" i="2"/>
  <c r="L75" i="2"/>
  <c r="H75" i="2"/>
  <c r="D75" i="2"/>
  <c r="W74" i="2"/>
  <c r="S74" i="2"/>
  <c r="O74" i="2"/>
  <c r="K74" i="2"/>
  <c r="G74" i="2"/>
  <c r="Z73" i="2"/>
  <c r="V73" i="2"/>
  <c r="R73" i="2"/>
  <c r="N73" i="2"/>
  <c r="J73" i="2"/>
  <c r="F73" i="2"/>
  <c r="Y72" i="2"/>
  <c r="U72" i="2"/>
  <c r="Q72" i="2"/>
  <c r="M72" i="2"/>
  <c r="I72" i="2"/>
  <c r="E72" i="2"/>
  <c r="X71" i="2"/>
  <c r="T71" i="2"/>
  <c r="P71" i="2"/>
  <c r="L71" i="2"/>
  <c r="H71" i="2"/>
  <c r="D71" i="2"/>
  <c r="W70" i="2"/>
  <c r="S70" i="2"/>
  <c r="O70" i="2"/>
  <c r="K70" i="2"/>
  <c r="G70" i="2"/>
  <c r="Z69" i="2"/>
  <c r="V69" i="2"/>
  <c r="R69" i="2"/>
  <c r="N69" i="2"/>
  <c r="J69" i="2"/>
  <c r="F69" i="2"/>
  <c r="Y68" i="2"/>
  <c r="U68" i="2"/>
  <c r="Q68" i="2"/>
  <c r="M68" i="2"/>
  <c r="I68" i="2"/>
  <c r="E68" i="2"/>
  <c r="X67" i="2"/>
  <c r="T67" i="2"/>
  <c r="P67" i="2"/>
  <c r="L67" i="2"/>
  <c r="H67" i="2"/>
  <c r="D67" i="2"/>
  <c r="W66" i="2"/>
  <c r="S66" i="2"/>
  <c r="O66" i="2"/>
  <c r="K66" i="2"/>
  <c r="G66" i="2"/>
  <c r="Z65" i="2"/>
  <c r="V65" i="2"/>
  <c r="R65" i="2"/>
  <c r="N65" i="2"/>
  <c r="J65" i="2"/>
  <c r="F65" i="2"/>
  <c r="K103" i="2"/>
  <c r="R102" i="2"/>
  <c r="Y101" i="2"/>
  <c r="I101" i="2"/>
  <c r="P100" i="2"/>
  <c r="W99" i="2"/>
  <c r="G99" i="2"/>
  <c r="N98" i="2"/>
  <c r="U97" i="2"/>
  <c r="E97" i="2"/>
  <c r="L96" i="2"/>
  <c r="S95" i="2"/>
  <c r="Z94" i="2"/>
  <c r="J94" i="2"/>
  <c r="Q93" i="2"/>
  <c r="K93" i="2"/>
  <c r="E93" i="2"/>
  <c r="W92" i="2"/>
  <c r="R92" i="2"/>
  <c r="L92" i="2"/>
  <c r="G92" i="2"/>
  <c r="Y91" i="2"/>
  <c r="S91" i="2"/>
  <c r="N91" i="2"/>
  <c r="I91" i="2"/>
  <c r="Z90" i="2"/>
  <c r="U90" i="2"/>
  <c r="P90" i="2"/>
  <c r="J90" i="2"/>
  <c r="E90" i="2"/>
  <c r="W89" i="2"/>
  <c r="Q89" i="2"/>
  <c r="L89" i="2"/>
  <c r="G89" i="2"/>
  <c r="X88" i="2"/>
  <c r="S88" i="2"/>
  <c r="N88" i="2"/>
  <c r="H88" i="2"/>
  <c r="Z87" i="2"/>
  <c r="U87" i="2"/>
  <c r="O87" i="2"/>
  <c r="J87" i="2"/>
  <c r="E87" i="2"/>
  <c r="V86" i="2"/>
  <c r="Q86" i="2"/>
  <c r="L86" i="2"/>
  <c r="F86" i="2"/>
  <c r="X85" i="2"/>
  <c r="S85" i="2"/>
  <c r="M85" i="2"/>
  <c r="H85" i="2"/>
  <c r="Z84" i="2"/>
  <c r="T84" i="2"/>
  <c r="O84" i="2"/>
  <c r="J84" i="2"/>
  <c r="D84" i="2"/>
  <c r="V83" i="2"/>
  <c r="Q83" i="2"/>
  <c r="K83" i="2"/>
  <c r="F83" i="2"/>
  <c r="X82" i="2"/>
  <c r="R82" i="2"/>
  <c r="M82" i="2"/>
  <c r="H82" i="2"/>
  <c r="Y81" i="2"/>
  <c r="U81" i="2"/>
  <c r="Q81" i="2"/>
  <c r="M81" i="2"/>
  <c r="I81" i="2"/>
  <c r="E81" i="2"/>
  <c r="X80" i="2"/>
  <c r="T80" i="2"/>
  <c r="P80" i="2"/>
  <c r="L80" i="2"/>
  <c r="H80" i="2"/>
  <c r="D80" i="2"/>
  <c r="W79" i="2"/>
  <c r="S79" i="2"/>
  <c r="O79" i="2"/>
  <c r="K79" i="2"/>
  <c r="G79" i="2"/>
  <c r="Z78" i="2"/>
  <c r="V78" i="2"/>
  <c r="R78" i="2"/>
  <c r="N78" i="2"/>
  <c r="J78" i="2"/>
  <c r="F78" i="2"/>
  <c r="Y77" i="2"/>
  <c r="U77" i="2"/>
  <c r="Q77" i="2"/>
  <c r="M77" i="2"/>
  <c r="I77" i="2"/>
  <c r="E77" i="2"/>
  <c r="U85" i="2"/>
  <c r="L76" i="2"/>
  <c r="J74" i="2"/>
  <c r="L73" i="2"/>
  <c r="X72" i="2"/>
  <c r="H72" i="2"/>
  <c r="U71" i="2"/>
  <c r="J71" i="2"/>
  <c r="Q70" i="2"/>
  <c r="X69" i="2"/>
  <c r="M69" i="2"/>
  <c r="Z68" i="2"/>
  <c r="J68" i="2"/>
  <c r="Q67" i="2"/>
  <c r="X66" i="2"/>
  <c r="M66" i="2"/>
  <c r="T65" i="2"/>
  <c r="I65" i="2"/>
  <c r="D92" i="2"/>
  <c r="F91" i="2"/>
  <c r="H90" i="2"/>
  <c r="I89" i="2"/>
  <c r="K88" i="2"/>
  <c r="N86" i="2"/>
  <c r="P85" i="2"/>
  <c r="S83" i="2"/>
  <c r="W81" i="2"/>
  <c r="N80" i="2"/>
  <c r="F79" i="2"/>
  <c r="M78" i="2"/>
  <c r="L77" i="2"/>
  <c r="V76" i="2"/>
  <c r="F76" i="2"/>
  <c r="R75" i="2"/>
  <c r="G75" i="2"/>
  <c r="N74" i="2"/>
  <c r="D74" i="2"/>
  <c r="K73" i="2"/>
  <c r="W72" i="2"/>
  <c r="L72" i="2"/>
  <c r="Y71" i="2"/>
  <c r="N71" i="2"/>
  <c r="I71" i="2"/>
  <c r="U70" i="2"/>
  <c r="J70" i="2"/>
  <c r="W69" i="2"/>
  <c r="L69" i="2"/>
  <c r="X68" i="2"/>
  <c r="N68" i="2"/>
  <c r="Z67" i="2"/>
  <c r="O67" i="2"/>
  <c r="V66" i="2"/>
  <c r="L66" i="2"/>
  <c r="X65" i="2"/>
  <c r="M65" i="2"/>
  <c r="P73" i="2"/>
  <c r="J67" i="2"/>
  <c r="T92" i="2"/>
  <c r="V91" i="2"/>
  <c r="X90" i="2"/>
  <c r="Y89" i="2"/>
  <c r="D89" i="2"/>
  <c r="F88" i="2"/>
  <c r="G87" i="2"/>
  <c r="I86" i="2"/>
  <c r="K85" i="2"/>
  <c r="L84" i="2"/>
  <c r="N83" i="2"/>
  <c r="P82" i="2"/>
  <c r="S81" i="2"/>
  <c r="Z80" i="2"/>
  <c r="J80" i="2"/>
  <c r="Q79" i="2"/>
  <c r="E79" i="2"/>
  <c r="T78" i="2"/>
  <c r="L78" i="2"/>
  <c r="D78" i="2"/>
  <c r="S77" i="2"/>
  <c r="K77" i="2"/>
  <c r="Z76" i="2"/>
  <c r="T76" i="2"/>
  <c r="O76" i="2"/>
  <c r="J76" i="2"/>
  <c r="D76" i="2"/>
  <c r="V75" i="2"/>
  <c r="Q75" i="2"/>
  <c r="K75" i="2"/>
  <c r="F75" i="2"/>
  <c r="X74" i="2"/>
  <c r="R74" i="2"/>
  <c r="M74" i="2"/>
  <c r="H74" i="2"/>
  <c r="Y73" i="2"/>
  <c r="T73" i="2"/>
  <c r="O73" i="2"/>
  <c r="I73" i="2"/>
  <c r="D73" i="2"/>
  <c r="V72" i="2"/>
  <c r="P72" i="2"/>
  <c r="K72" i="2"/>
  <c r="F72" i="2"/>
  <c r="W71" i="2"/>
  <c r="R71" i="2"/>
  <c r="M71" i="2"/>
  <c r="G71" i="2"/>
  <c r="Y70" i="2"/>
  <c r="T70" i="2"/>
  <c r="N70" i="2"/>
  <c r="I70" i="2"/>
  <c r="D70" i="2"/>
  <c r="U69" i="2"/>
  <c r="P69" i="2"/>
  <c r="K69" i="2"/>
  <c r="E69" i="2"/>
  <c r="W68" i="2"/>
  <c r="R68" i="2"/>
  <c r="L68" i="2"/>
  <c r="G68" i="2"/>
  <c r="Y67" i="2"/>
  <c r="S67" i="2"/>
  <c r="N67" i="2"/>
  <c r="I67" i="2"/>
  <c r="Z66" i="2"/>
  <c r="U66" i="2"/>
  <c r="P66" i="2"/>
  <c r="J66" i="2"/>
  <c r="E66" i="2"/>
  <c r="W65" i="2"/>
  <c r="Q65" i="2"/>
  <c r="L65" i="2"/>
  <c r="G65" i="2"/>
  <c r="O92" i="2"/>
  <c r="Q91" i="2"/>
  <c r="R90" i="2"/>
  <c r="T89" i="2"/>
  <c r="V88" i="2"/>
  <c r="W87" i="2"/>
  <c r="Y86" i="2"/>
  <c r="D86" i="2"/>
  <c r="E85" i="2"/>
  <c r="G84" i="2"/>
  <c r="I83" i="2"/>
  <c r="J82" i="2"/>
  <c r="O81" i="2"/>
  <c r="V80" i="2"/>
  <c r="F80" i="2"/>
  <c r="M79" i="2"/>
  <c r="Y78" i="2"/>
  <c r="Q78" i="2"/>
  <c r="I78" i="2"/>
  <c r="X77" i="2"/>
  <c r="P77" i="2"/>
  <c r="H77" i="2"/>
  <c r="X76" i="2"/>
  <c r="S76" i="2"/>
  <c r="N76" i="2"/>
  <c r="H76" i="2"/>
  <c r="Z75" i="2"/>
  <c r="U75" i="2"/>
  <c r="O75" i="2"/>
  <c r="J75" i="2"/>
  <c r="E75" i="2"/>
  <c r="V74" i="2"/>
  <c r="Q74" i="2"/>
  <c r="L74" i="2"/>
  <c r="F74" i="2"/>
  <c r="X73" i="2"/>
  <c r="S73" i="2"/>
  <c r="M73" i="2"/>
  <c r="H73" i="2"/>
  <c r="Z72" i="2"/>
  <c r="T72" i="2"/>
  <c r="O72" i="2"/>
  <c r="J72" i="2"/>
  <c r="D72" i="2"/>
  <c r="V71" i="2"/>
  <c r="Q71" i="2"/>
  <c r="K71" i="2"/>
  <c r="F71" i="2"/>
  <c r="X70" i="2"/>
  <c r="R70" i="2"/>
  <c r="M70" i="2"/>
  <c r="H70" i="2"/>
  <c r="Y69" i="2"/>
  <c r="T69" i="2"/>
  <c r="O69" i="2"/>
  <c r="I69" i="2"/>
  <c r="D69" i="2"/>
  <c r="V68" i="2"/>
  <c r="P68" i="2"/>
  <c r="K68" i="2"/>
  <c r="F68" i="2"/>
  <c r="W67" i="2"/>
  <c r="R67" i="2"/>
  <c r="M67" i="2"/>
  <c r="G67" i="2"/>
  <c r="Y66" i="2"/>
  <c r="T66" i="2"/>
  <c r="N66" i="2"/>
  <c r="I66" i="2"/>
  <c r="D66" i="2"/>
  <c r="U65" i="2"/>
  <c r="P65" i="2"/>
  <c r="K65" i="2"/>
  <c r="E65" i="2"/>
  <c r="H93" i="2"/>
  <c r="J92" i="2"/>
  <c r="K91" i="2"/>
  <c r="M90" i="2"/>
  <c r="O89" i="2"/>
  <c r="P88" i="2"/>
  <c r="R87" i="2"/>
  <c r="T86" i="2"/>
  <c r="W84" i="2"/>
  <c r="Y83" i="2"/>
  <c r="Z82" i="2"/>
  <c r="E82" i="2"/>
  <c r="K81" i="2"/>
  <c r="R80" i="2"/>
  <c r="Y79" i="2"/>
  <c r="I79" i="2"/>
  <c r="X78" i="2"/>
  <c r="P78" i="2"/>
  <c r="H78" i="2"/>
  <c r="W77" i="2"/>
  <c r="O77" i="2"/>
  <c r="G77" i="2"/>
  <c r="W76" i="2"/>
  <c r="R76" i="2"/>
  <c r="G76" i="2"/>
  <c r="Y75" i="2"/>
  <c r="S75" i="2"/>
  <c r="N75" i="2"/>
  <c r="I75" i="2"/>
  <c r="Z74" i="2"/>
  <c r="U74" i="2"/>
  <c r="P74" i="2"/>
  <c r="E74" i="2"/>
  <c r="W73" i="2"/>
  <c r="Q73" i="2"/>
  <c r="G73" i="2"/>
  <c r="S72" i="2"/>
  <c r="N72" i="2"/>
  <c r="Z71" i="2"/>
  <c r="O71" i="2"/>
  <c r="E71" i="2"/>
  <c r="V70" i="2"/>
  <c r="L70" i="2"/>
  <c r="F70" i="2"/>
  <c r="S69" i="2"/>
  <c r="H69" i="2"/>
  <c r="T68" i="2"/>
  <c r="O68" i="2"/>
  <c r="D68" i="2"/>
  <c r="V67" i="2"/>
  <c r="K67" i="2"/>
  <c r="F67" i="2"/>
  <c r="R66" i="2"/>
  <c r="H66" i="2"/>
  <c r="Y65" i="2"/>
  <c r="O65" i="2"/>
  <c r="D65" i="2"/>
  <c r="Z92" i="2"/>
  <c r="M87" i="2"/>
  <c r="R84" i="2"/>
  <c r="U82" i="2"/>
  <c r="G81" i="2"/>
  <c r="U79" i="2"/>
  <c r="U78" i="2"/>
  <c r="E78" i="2"/>
  <c r="T77" i="2"/>
  <c r="D77" i="2"/>
  <c r="P76" i="2"/>
  <c r="K76" i="2"/>
  <c r="W75" i="2"/>
  <c r="M75" i="2"/>
  <c r="Y74" i="2"/>
  <c r="T74" i="2"/>
  <c r="I74" i="2"/>
  <c r="U73" i="2"/>
  <c r="E73" i="2"/>
  <c r="R72" i="2"/>
  <c r="G72" i="2"/>
  <c r="S71" i="2"/>
  <c r="Z70" i="2"/>
  <c r="P70" i="2"/>
  <c r="E70" i="2"/>
  <c r="Q69" i="2"/>
  <c r="G69" i="2"/>
  <c r="S68" i="2"/>
  <c r="H68" i="2"/>
  <c r="U67" i="2"/>
  <c r="E67" i="2"/>
  <c r="Q66" i="2"/>
  <c r="F66" i="2"/>
  <c r="S65" i="2"/>
  <c r="H65" i="2"/>
  <c r="CX16" i="2" l="1" a="1"/>
  <c r="CX16" i="2" s="1"/>
  <c r="CW16" i="2" a="1"/>
  <c r="CW16" i="2" s="1"/>
  <c r="CV16" i="2" a="1"/>
  <c r="CV16" i="2" s="1"/>
  <c r="CU16" i="2" a="1"/>
  <c r="CU16" i="2" s="1"/>
  <c r="CT16" i="2" a="1"/>
  <c r="CT16" i="2" s="1"/>
  <c r="CS16" i="2" a="1"/>
  <c r="CS16" i="2" s="1"/>
  <c r="CR16" i="2" a="1"/>
  <c r="CR16" i="2" s="1"/>
  <c r="CP16" i="2" a="1"/>
  <c r="CP16" i="2" s="1"/>
  <c r="CO16" i="2" a="1"/>
  <c r="CO16" i="2" s="1"/>
  <c r="CE16" i="2"/>
  <c r="CX27" i="2" a="1"/>
  <c r="CX27" i="2" s="1"/>
  <c r="CW27" i="2" a="1"/>
  <c r="CW27" i="2" s="1"/>
  <c r="CV27" i="2" a="1"/>
  <c r="CV27" i="2" s="1"/>
  <c r="CU27" i="2" a="1"/>
  <c r="CU27" i="2" s="1"/>
  <c r="CT27" i="2" a="1"/>
  <c r="CT27" i="2" s="1"/>
  <c r="CS27" i="2" a="1"/>
  <c r="CS27" i="2" s="1"/>
  <c r="CR27" i="2" a="1"/>
  <c r="CR27" i="2" s="1"/>
  <c r="CP27" i="2" a="1"/>
  <c r="CP27" i="2" s="1"/>
  <c r="CO27" i="2" a="1"/>
  <c r="CO27" i="2" s="1"/>
  <c r="CE27" i="2"/>
  <c r="CX24" i="2" a="1"/>
  <c r="CX24" i="2" s="1"/>
  <c r="CW24" i="2" a="1"/>
  <c r="CW24" i="2" s="1"/>
  <c r="CV24" i="2" a="1"/>
  <c r="CV24" i="2" s="1"/>
  <c r="CU24" i="2" a="1"/>
  <c r="CU24" i="2" s="1"/>
  <c r="CT24" i="2" a="1"/>
  <c r="CT24" i="2" s="1"/>
  <c r="CS24" i="2" a="1"/>
  <c r="CS24" i="2" s="1"/>
  <c r="CR24" i="2" a="1"/>
  <c r="CR24" i="2" s="1"/>
  <c r="CP24" i="2" a="1"/>
  <c r="CP24" i="2" s="1"/>
  <c r="CO24" i="2" a="1"/>
  <c r="CO24" i="2" s="1"/>
  <c r="CE24" i="2"/>
  <c r="CX29" i="2" a="1"/>
  <c r="CX29" i="2" s="1"/>
  <c r="CW29" i="2" a="1"/>
  <c r="CW29" i="2" s="1"/>
  <c r="CV29" i="2" a="1"/>
  <c r="CV29" i="2" s="1"/>
  <c r="CU29" i="2" a="1"/>
  <c r="CU29" i="2" s="1"/>
  <c r="CT29" i="2" a="1"/>
  <c r="CT29" i="2" s="1"/>
  <c r="CS29" i="2" a="1"/>
  <c r="CS29" i="2" s="1"/>
  <c r="CR29" i="2" a="1"/>
  <c r="CR29" i="2" s="1"/>
  <c r="CP29" i="2" a="1"/>
  <c r="CP29" i="2" s="1"/>
  <c r="CO29" i="2" a="1"/>
  <c r="CO29" i="2" s="1"/>
  <c r="CE29" i="2"/>
  <c r="CX28" i="2" a="1"/>
  <c r="CX28" i="2" s="1"/>
  <c r="CW28" i="2" a="1"/>
  <c r="CW28" i="2" s="1"/>
  <c r="CV28" i="2" a="1"/>
  <c r="CV28" i="2" s="1"/>
  <c r="CU28" i="2" a="1"/>
  <c r="CU28" i="2" s="1"/>
  <c r="CT28" i="2" a="1"/>
  <c r="CT28" i="2" s="1"/>
  <c r="CS28" i="2" a="1"/>
  <c r="CS28" i="2" s="1"/>
  <c r="CR28" i="2" a="1"/>
  <c r="CR28" i="2" s="1"/>
  <c r="CP28" i="2" a="1"/>
  <c r="CP28" i="2" s="1"/>
  <c r="CO28" i="2" a="1"/>
  <c r="CO28" i="2" s="1"/>
  <c r="CE28" i="2"/>
  <c r="CX26" i="2" a="1"/>
  <c r="CX26" i="2" s="1"/>
  <c r="CW26" i="2" a="1"/>
  <c r="CW26" i="2" s="1"/>
  <c r="CV26" i="2" a="1"/>
  <c r="CV26" i="2" s="1"/>
  <c r="CU26" i="2" a="1"/>
  <c r="CU26" i="2" s="1"/>
  <c r="CT26" i="2" a="1"/>
  <c r="CT26" i="2" s="1"/>
  <c r="CS26" i="2" a="1"/>
  <c r="CS26" i="2" s="1"/>
  <c r="CR26" i="2" a="1"/>
  <c r="CR26" i="2" s="1"/>
  <c r="CP26" i="2" a="1"/>
  <c r="CP26" i="2" s="1"/>
  <c r="CO26" i="2" a="1"/>
  <c r="CO26" i="2" s="1"/>
  <c r="CE26" i="2"/>
  <c r="CX25" i="2" a="1"/>
  <c r="CX25" i="2" s="1"/>
  <c r="CW25" i="2" a="1"/>
  <c r="CW25" i="2" s="1"/>
  <c r="CV25" i="2" a="1"/>
  <c r="CV25" i="2" s="1"/>
  <c r="CU25" i="2" a="1"/>
  <c r="CU25" i="2" s="1"/>
  <c r="CT25" i="2" a="1"/>
  <c r="CT25" i="2" s="1"/>
  <c r="CS25" i="2" a="1"/>
  <c r="CS25" i="2" s="1"/>
  <c r="CR25" i="2"/>
  <c r="CR25" i="2" a="1"/>
  <c r="CP25" i="2" a="1"/>
  <c r="CP25" i="2" s="1"/>
  <c r="CO25" i="2" a="1"/>
  <c r="CO25" i="2" s="1"/>
  <c r="CE25" i="2"/>
  <c r="CX23" i="2" a="1"/>
  <c r="CX23" i="2" s="1"/>
  <c r="CW23" i="2" a="1"/>
  <c r="CW23" i="2" s="1"/>
  <c r="CV23" i="2" a="1"/>
  <c r="CV23" i="2" s="1"/>
  <c r="CU23" i="2" a="1"/>
  <c r="CU23" i="2" s="1"/>
  <c r="CT23" i="2" a="1"/>
  <c r="CT23" i="2" s="1"/>
  <c r="CS23" i="2" a="1"/>
  <c r="CS23" i="2" s="1"/>
  <c r="CR23" i="2" a="1"/>
  <c r="CR23" i="2" s="1"/>
  <c r="CP23" i="2" a="1"/>
  <c r="CP23" i="2" s="1"/>
  <c r="CO23" i="2" a="1"/>
  <c r="CO23" i="2" s="1"/>
  <c r="CE23" i="2"/>
  <c r="CX22" i="2" a="1"/>
  <c r="CX22" i="2" s="1"/>
  <c r="CW22" i="2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 a="1"/>
  <c r="CR22" i="2" s="1"/>
  <c r="CP22" i="2" a="1"/>
  <c r="CP22" i="2" s="1"/>
  <c r="CO22" i="2" a="1"/>
  <c r="CO22" i="2" s="1"/>
  <c r="CE22" i="2"/>
  <c r="CX20" i="2" a="1"/>
  <c r="CX20" i="2" s="1"/>
  <c r="CW20" i="2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 a="1"/>
  <c r="CR20" i="2" s="1"/>
  <c r="CP20" i="2" a="1"/>
  <c r="CP20" i="2" s="1"/>
  <c r="CO20" i="2" a="1"/>
  <c r="CO20" i="2" s="1"/>
  <c r="CE20" i="2"/>
  <c r="CX18" i="2" a="1"/>
  <c r="CX18" i="2" s="1"/>
  <c r="CW18" i="2" a="1"/>
  <c r="CW18" i="2" s="1"/>
  <c r="CV18" i="2" a="1"/>
  <c r="CV18" i="2" s="1"/>
  <c r="CU18" i="2" a="1"/>
  <c r="CU18" i="2" s="1"/>
  <c r="CT18" i="2" a="1"/>
  <c r="CT18" i="2" s="1"/>
  <c r="CS18" i="2" a="1"/>
  <c r="CS18" i="2" s="1"/>
  <c r="CR18" i="2" a="1"/>
  <c r="CR18" i="2" s="1"/>
  <c r="CP18" i="2" a="1"/>
  <c r="CP18" i="2" s="1"/>
  <c r="CO18" i="2" a="1"/>
  <c r="CO18" i="2" s="1"/>
  <c r="CE18" i="2"/>
  <c r="CX17" i="2" a="1"/>
  <c r="CX17" i="2" s="1"/>
  <c r="CW17" i="2" a="1"/>
  <c r="CW17" i="2" s="1"/>
  <c r="CV17" i="2" a="1"/>
  <c r="CV17" i="2" s="1"/>
  <c r="CU17" i="2" a="1"/>
  <c r="CU17" i="2" s="1"/>
  <c r="CT17" i="2" a="1"/>
  <c r="CT17" i="2" s="1"/>
  <c r="CS17" i="2" a="1"/>
  <c r="CS17" i="2" s="1"/>
  <c r="CR17" i="2" a="1"/>
  <c r="CR17" i="2" s="1"/>
  <c r="CP17" i="2" a="1"/>
  <c r="CP17" i="2" s="1"/>
  <c r="CO17" i="2" a="1"/>
  <c r="CO17" i="2" s="1"/>
  <c r="CE17" i="2"/>
  <c r="CX15" i="2" a="1"/>
  <c r="CX15" i="2" s="1"/>
  <c r="CW15" i="2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 a="1"/>
  <c r="CR15" i="2" s="1"/>
  <c r="CP15" i="2" a="1"/>
  <c r="CP15" i="2" s="1"/>
  <c r="CO15" i="2" a="1"/>
  <c r="CO15" i="2" s="1"/>
  <c r="CE15" i="2"/>
  <c r="CX14" i="2" a="1"/>
  <c r="CX14" i="2" s="1"/>
  <c r="CW14" i="2" a="1"/>
  <c r="CW14" i="2" s="1"/>
  <c r="CV14" i="2" a="1"/>
  <c r="CV14" i="2" s="1"/>
  <c r="CU14" i="2" a="1"/>
  <c r="CU14" i="2" s="1"/>
  <c r="CT14" i="2" a="1"/>
  <c r="CT14" i="2" s="1"/>
  <c r="CS14" i="2" a="1"/>
  <c r="CS14" i="2" s="1"/>
  <c r="CR14" i="2" a="1"/>
  <c r="CR14" i="2" s="1"/>
  <c r="CP14" i="2" a="1"/>
  <c r="CP14" i="2" s="1"/>
  <c r="CO14" i="2" a="1"/>
  <c r="CO14" i="2" s="1"/>
  <c r="CE14" i="2"/>
  <c r="CX12" i="2" a="1"/>
  <c r="CX12" i="2" s="1"/>
  <c r="CW12" i="2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 a="1"/>
  <c r="CR12" i="2" s="1"/>
  <c r="CP12" i="2" a="1"/>
  <c r="CP12" i="2" s="1"/>
  <c r="CO12" i="2" a="1"/>
  <c r="CO12" i="2" s="1"/>
  <c r="CE12" i="2"/>
  <c r="CX11" i="2" a="1"/>
  <c r="CX11" i="2" s="1"/>
  <c r="CW11" i="2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 a="1"/>
  <c r="CR11" i="2" s="1"/>
  <c r="CP11" i="2" a="1"/>
  <c r="CP11" i="2" s="1"/>
  <c r="CO11" i="2" a="1"/>
  <c r="CO11" i="2" s="1"/>
  <c r="CE11" i="2"/>
  <c r="CX10" i="2" a="1"/>
  <c r="CX10" i="2" s="1"/>
  <c r="CW10" i="2" a="1"/>
  <c r="CW10" i="2" s="1"/>
  <c r="CV10" i="2" a="1"/>
  <c r="CV10" i="2" s="1"/>
  <c r="CU10" i="2" a="1"/>
  <c r="CU10" i="2" s="1"/>
  <c r="CT10" i="2" a="1"/>
  <c r="CT10" i="2" s="1"/>
  <c r="CS10" i="2" a="1"/>
  <c r="CS10" i="2" s="1"/>
  <c r="CR10" i="2" a="1"/>
  <c r="CR10" i="2" s="1"/>
  <c r="CP10" i="2" a="1"/>
  <c r="CP10" i="2" s="1"/>
  <c r="CO10" i="2" a="1"/>
  <c r="CO10" i="2" s="1"/>
  <c r="CE10" i="2"/>
  <c r="CX9" i="2" a="1"/>
  <c r="CX9" i="2" s="1"/>
  <c r="CW9" i="2" a="1"/>
  <c r="CW9" i="2" s="1"/>
  <c r="CV9" i="2" a="1"/>
  <c r="CV9" i="2" s="1"/>
  <c r="CU9" i="2" a="1"/>
  <c r="CU9" i="2" s="1"/>
  <c r="CT9" i="2" a="1"/>
  <c r="CT9" i="2" s="1"/>
  <c r="CS9" i="2" a="1"/>
  <c r="CS9" i="2" s="1"/>
  <c r="CR9" i="2" a="1"/>
  <c r="CR9" i="2" s="1"/>
  <c r="CP9" i="2" a="1"/>
  <c r="CP9" i="2" s="1"/>
  <c r="CO9" i="2" a="1"/>
  <c r="CO9" i="2" s="1"/>
  <c r="CE9" i="2"/>
  <c r="CX8" i="2" a="1"/>
  <c r="CX8" i="2" s="1"/>
  <c r="CW8" i="2" a="1"/>
  <c r="CW8" i="2" s="1"/>
  <c r="CV8" i="2" a="1"/>
  <c r="CV8" i="2" s="1"/>
  <c r="CU8" i="2" a="1"/>
  <c r="CU8" i="2" s="1"/>
  <c r="CT8" i="2" a="1"/>
  <c r="CT8" i="2" s="1"/>
  <c r="CS8" i="2" a="1"/>
  <c r="CS8" i="2" s="1"/>
  <c r="CR8" i="2" a="1"/>
  <c r="CR8" i="2" s="1"/>
  <c r="CP8" i="2" a="1"/>
  <c r="CP8" i="2" s="1"/>
  <c r="CO8" i="2" a="1"/>
  <c r="CO8" i="2" s="1"/>
  <c r="CE8" i="2"/>
  <c r="CX7" i="2" a="1"/>
  <c r="CX7" i="2" s="1"/>
  <c r="CW7" i="2" a="1"/>
  <c r="CW7" i="2" s="1"/>
  <c r="CV7" i="2" a="1"/>
  <c r="CV7" i="2" s="1"/>
  <c r="CU7" i="2" a="1"/>
  <c r="CU7" i="2" s="1"/>
  <c r="CT7" i="2" a="1"/>
  <c r="CT7" i="2" s="1"/>
  <c r="CS7" i="2" a="1"/>
  <c r="CS7" i="2" s="1"/>
  <c r="CR7" i="2" a="1"/>
  <c r="CR7" i="2" s="1"/>
  <c r="CP7" i="2" a="1"/>
  <c r="CP7" i="2" s="1"/>
  <c r="CO7" i="2" a="1"/>
  <c r="CO7" i="2" s="1"/>
  <c r="CE7" i="2"/>
  <c r="CX6" i="2" a="1"/>
  <c r="CX6" i="2" s="1"/>
  <c r="CW6" i="2" a="1"/>
  <c r="CW6" i="2" s="1"/>
  <c r="CV6" i="2" a="1"/>
  <c r="CV6" i="2" s="1"/>
  <c r="CU6" i="2" a="1"/>
  <c r="CU6" i="2" s="1"/>
  <c r="CT6" i="2" a="1"/>
  <c r="CT6" i="2" s="1"/>
  <c r="CS6" i="2" a="1"/>
  <c r="CS6" i="2" s="1"/>
  <c r="CR6" i="2" a="1"/>
  <c r="CR6" i="2" s="1"/>
  <c r="CP6" i="2" a="1"/>
  <c r="CP6" i="2" s="1"/>
  <c r="CO6" i="2" a="1"/>
  <c r="CO6" i="2" s="1"/>
  <c r="CE6" i="2"/>
  <c r="DC45" i="2"/>
  <c r="CF45" i="2"/>
  <c r="DE43" i="2"/>
  <c r="DB42" i="2"/>
  <c r="CN41" i="2"/>
  <c r="CZ40" i="2"/>
  <c r="CL39" i="2"/>
  <c r="DC37" i="2"/>
  <c r="CF37" i="2"/>
  <c r="CH46" i="2"/>
  <c r="CY44" i="2"/>
  <c r="DD43" i="2"/>
  <c r="DA42" i="2"/>
  <c r="CI41" i="2"/>
  <c r="CJ40" i="2"/>
  <c r="CQ39" i="2"/>
  <c r="CH38" i="2"/>
  <c r="CQ46" i="2"/>
  <c r="CH45" i="2"/>
  <c r="CY43" i="2"/>
  <c r="DD42" i="2"/>
  <c r="DA41" i="2"/>
  <c r="CI40" i="2"/>
  <c r="CJ39" i="2"/>
  <c r="CQ38" i="2"/>
  <c r="CJ46" i="2"/>
  <c r="CJ42" i="2"/>
  <c r="CJ38" i="2"/>
  <c r="CY35" i="2"/>
  <c r="DD34" i="2"/>
  <c r="DA33" i="2"/>
  <c r="CI32" i="2"/>
  <c r="CJ31" i="2"/>
  <c r="CQ30" i="2"/>
  <c r="CL31" i="2"/>
  <c r="CF46" i="2"/>
  <c r="DE36" i="2"/>
  <c r="DB35" i="2"/>
  <c r="CN34" i="2"/>
  <c r="CZ33" i="2"/>
  <c r="CL32" i="2"/>
  <c r="CJ30" i="2"/>
  <c r="DB43" i="2"/>
  <c r="DB39" i="2"/>
  <c r="CH37" i="2"/>
  <c r="DE35" i="2"/>
  <c r="DB34" i="2"/>
  <c r="CN33" i="2"/>
  <c r="CZ32" i="2"/>
  <c r="CI30" i="2"/>
  <c r="CZ37" i="2"/>
  <c r="DE34" i="2"/>
  <c r="CN32" i="2"/>
  <c r="CN46" i="2"/>
  <c r="DC42" i="2"/>
  <c r="CL37" i="2"/>
  <c r="DD35" i="2"/>
  <c r="CY32" i="2"/>
  <c r="DA30" i="2"/>
  <c r="CH25" i="3"/>
  <c r="CJ25" i="3"/>
  <c r="DB21" i="2"/>
  <c r="CL21" i="2"/>
  <c r="CQ21" i="2"/>
  <c r="CJ21" i="2"/>
  <c r="CL13" i="2"/>
  <c r="CQ13" i="2"/>
  <c r="DE13" i="2"/>
  <c r="CY45" i="2"/>
  <c r="DD44" i="2"/>
  <c r="DA43" i="2"/>
  <c r="CI42" i="2"/>
  <c r="CJ41" i="2"/>
  <c r="CQ40" i="2"/>
  <c r="CH39" i="2"/>
  <c r="CY37" i="2"/>
  <c r="DE46" i="2"/>
  <c r="DB45" i="2"/>
  <c r="CN44" i="2"/>
  <c r="CZ43" i="2"/>
  <c r="CL42" i="2"/>
  <c r="DC40" i="2"/>
  <c r="CF40" i="2"/>
  <c r="DE38" i="2"/>
  <c r="DB37" i="2"/>
  <c r="DE45" i="2"/>
  <c r="DB44" i="2"/>
  <c r="CN43" i="2"/>
  <c r="CZ42" i="2"/>
  <c r="CL41" i="2"/>
  <c r="DC39" i="2"/>
  <c r="CF39" i="2"/>
  <c r="DE37" i="2"/>
  <c r="DA44" i="2"/>
  <c r="DA40" i="2"/>
  <c r="DB36" i="2"/>
  <c r="CN35" i="2"/>
  <c r="CZ34" i="2"/>
  <c r="CL33" i="2"/>
  <c r="DC31" i="2"/>
  <c r="CF31" i="2"/>
  <c r="CI31" i="2"/>
  <c r="CH31" i="2"/>
  <c r="CF42" i="2"/>
  <c r="DA36" i="2"/>
  <c r="CI35" i="2"/>
  <c r="CJ34" i="2"/>
  <c r="CQ33" i="2"/>
  <c r="CH32" i="2"/>
  <c r="CF30" i="2"/>
  <c r="CI43" i="2"/>
  <c r="CI39" i="2"/>
  <c r="DD36" i="2"/>
  <c r="DA35" i="2"/>
  <c r="CI34" i="2"/>
  <c r="CJ33" i="2"/>
  <c r="CQ32" i="2"/>
  <c r="CL40" i="2"/>
  <c r="CN36" i="2"/>
  <c r="CL34" i="2"/>
  <c r="CJ32" i="2"/>
  <c r="CZ45" i="2"/>
  <c r="CN42" i="2"/>
  <c r="DC36" i="2"/>
  <c r="CQ35" i="2"/>
  <c r="CZ31" i="2"/>
  <c r="CH30" i="2"/>
  <c r="CG25" i="3"/>
  <c r="CF25" i="3"/>
  <c r="CI21" i="2"/>
  <c r="CH21" i="2"/>
  <c r="DC21" i="2"/>
  <c r="CF21" i="2"/>
  <c r="CH13" i="2"/>
  <c r="CN13" i="2"/>
  <c r="DA13" i="2"/>
  <c r="CN15" i="3"/>
  <c r="CE15" i="3"/>
  <c r="CI19" i="2"/>
  <c r="CZ19" i="2"/>
  <c r="CF19" i="2"/>
  <c r="CY19" i="2"/>
  <c r="CE36" i="3"/>
  <c r="CG34" i="3"/>
  <c r="CE32" i="3"/>
  <c r="CI29" i="3"/>
  <c r="CF28" i="3"/>
  <c r="CE26" i="3"/>
  <c r="CG23" i="3"/>
  <c r="CE21" i="3"/>
  <c r="CG19" i="3"/>
  <c r="CN34" i="3"/>
  <c r="CE33" i="3"/>
  <c r="CI30" i="3"/>
  <c r="CI37" i="3"/>
  <c r="CF34" i="3"/>
  <c r="CR31" i="3"/>
  <c r="CG29" i="3"/>
  <c r="CF26" i="3"/>
  <c r="CI22" i="3"/>
  <c r="CJ19" i="3"/>
  <c r="CH16" i="3"/>
  <c r="CN13" i="3"/>
  <c r="CH11" i="3"/>
  <c r="CN9" i="3"/>
  <c r="CR7" i="3"/>
  <c r="CJ6" i="3"/>
  <c r="CH36" i="3"/>
  <c r="CE34" i="3"/>
  <c r="CI31" i="3"/>
  <c r="CF29" i="3"/>
  <c r="CR24" i="3"/>
  <c r="CN21" i="3"/>
  <c r="CN33" i="3"/>
  <c r="CH26" i="3"/>
  <c r="CG20" i="3"/>
  <c r="CJ17" i="3"/>
  <c r="CH13" i="3"/>
  <c r="CJ11" i="3"/>
  <c r="CN8" i="3"/>
  <c r="CE6" i="3"/>
  <c r="CI16" i="3"/>
  <c r="CF8" i="3"/>
  <c r="CH29" i="3"/>
  <c r="CI23" i="3"/>
  <c r="CN19" i="3"/>
  <c r="CI17" i="3"/>
  <c r="CF14" i="3"/>
  <c r="CI11" i="3"/>
  <c r="CG8" i="3"/>
  <c r="CR37" i="3"/>
  <c r="CN26" i="3"/>
  <c r="CH17" i="3"/>
  <c r="CG11" i="3"/>
  <c r="CG35" i="3"/>
  <c r="DB46" i="2"/>
  <c r="CN45" i="2"/>
  <c r="CL43" i="2"/>
  <c r="CF41" i="2"/>
  <c r="DB38" i="2"/>
  <c r="DA46" i="2"/>
  <c r="CJ44" i="2"/>
  <c r="CH42" i="2"/>
  <c r="DD39" i="2"/>
  <c r="DD46" i="2"/>
  <c r="CI44" i="2"/>
  <c r="CQ42" i="2"/>
  <c r="CY39" i="2"/>
  <c r="DA37" i="2"/>
  <c r="CH40" i="2"/>
  <c r="CJ35" i="2"/>
  <c r="CH33" i="2"/>
  <c r="CJ45" i="2"/>
  <c r="CH43" i="2"/>
  <c r="DD40" i="2"/>
  <c r="CI38" i="2"/>
  <c r="CL46" i="2"/>
  <c r="CF44" i="2"/>
  <c r="DB41" i="2"/>
  <c r="CZ39" i="2"/>
  <c r="CZ46" i="2"/>
  <c r="DC43" i="2"/>
  <c r="DE41" i="2"/>
  <c r="CN39" i="2"/>
  <c r="CY46" i="2"/>
  <c r="CY38" i="2"/>
  <c r="CF35" i="2"/>
  <c r="DB32" i="2"/>
  <c r="CZ30" i="2"/>
  <c r="DC32" i="2"/>
  <c r="CH36" i="2"/>
  <c r="DD33" i="2"/>
  <c r="CN30" i="2"/>
  <c r="CQ41" i="2"/>
  <c r="CQ36" i="2"/>
  <c r="CY33" i="2"/>
  <c r="DA31" i="2"/>
  <c r="CZ35" i="2"/>
  <c r="DC46" i="2"/>
  <c r="DE40" i="2"/>
  <c r="CI33" i="2"/>
  <c r="CQ31" i="2"/>
  <c r="CE25" i="3"/>
  <c r="CZ21" i="2"/>
  <c r="CI13" i="2"/>
  <c r="CF13" i="2"/>
  <c r="CJ15" i="3"/>
  <c r="CG15" i="3"/>
  <c r="DD19" i="2"/>
  <c r="DE19" i="2"/>
  <c r="CR36" i="3"/>
  <c r="CF35" i="3"/>
  <c r="CG31" i="3"/>
  <c r="CN28" i="3"/>
  <c r="CI26" i="3"/>
  <c r="CH22" i="3"/>
  <c r="CJ20" i="3"/>
  <c r="CH35" i="3"/>
  <c r="CF32" i="3"/>
  <c r="CR28" i="3"/>
  <c r="CE35" i="3"/>
  <c r="CJ31" i="3"/>
  <c r="CN27" i="3"/>
  <c r="CN22" i="3"/>
  <c r="CE19" i="3"/>
  <c r="CI14" i="3"/>
  <c r="CG12" i="3"/>
  <c r="CJ9" i="3"/>
  <c r="CE7" i="3"/>
  <c r="CN36" i="3"/>
  <c r="CF33" i="3"/>
  <c r="CZ44" i="2"/>
  <c r="DC41" i="2"/>
  <c r="DE39" i="2"/>
  <c r="CN37" i="2"/>
  <c r="CI45" i="2"/>
  <c r="CQ43" i="2"/>
  <c r="CY40" i="2"/>
  <c r="DA38" i="2"/>
  <c r="DA45" i="2"/>
  <c r="CJ43" i="2"/>
  <c r="CH41" i="2"/>
  <c r="DD38" i="2"/>
  <c r="CH44" i="2"/>
  <c r="CI36" i="2"/>
  <c r="CQ34" i="2"/>
  <c r="CY31" i="2"/>
  <c r="DC30" i="2"/>
  <c r="CF38" i="2"/>
  <c r="DC34" i="2"/>
  <c r="DE32" i="2"/>
  <c r="DD45" i="2"/>
  <c r="DD37" i="2"/>
  <c r="CL35" i="2"/>
  <c r="CF33" i="2"/>
  <c r="DC38" i="2"/>
  <c r="CH34" i="2"/>
  <c r="DE44" i="2"/>
  <c r="CY36" i="2"/>
  <c r="DE30" i="2"/>
  <c r="CR25" i="3"/>
  <c r="DE21" i="2"/>
  <c r="CY21" i="2"/>
  <c r="DD13" i="2"/>
  <c r="DC13" i="2"/>
  <c r="CF15" i="3"/>
  <c r="DB19" i="2"/>
  <c r="CQ19" i="2"/>
  <c r="DA19" i="2"/>
  <c r="CI36" i="3"/>
  <c r="CH33" i="3"/>
  <c r="CH30" i="3"/>
  <c r="CJ28" i="3"/>
  <c r="CN24" i="3"/>
  <c r="CR21" i="3"/>
  <c r="CF20" i="3"/>
  <c r="CI34" i="3"/>
  <c r="CH31" i="3"/>
  <c r="CN37" i="3"/>
  <c r="CG33" i="3"/>
  <c r="CE31" i="3"/>
  <c r="CI27" i="3"/>
  <c r="CJ21" i="3"/>
  <c r="CH18" i="3"/>
  <c r="CE14" i="3"/>
  <c r="CR10" i="3"/>
  <c r="CF9" i="3"/>
  <c r="CN6" i="3"/>
  <c r="CI35" i="3"/>
  <c r="CG32" i="3"/>
  <c r="CE30" i="3"/>
  <c r="CE24" i="3"/>
  <c r="CJ37" i="3"/>
  <c r="CF27" i="3"/>
  <c r="CI19" i="3"/>
  <c r="CF16" i="3"/>
  <c r="CR11" i="3"/>
  <c r="CI8" i="3"/>
  <c r="CF19" i="3"/>
  <c r="CH10" i="3"/>
  <c r="CI28" i="3"/>
  <c r="CR20" i="3"/>
  <c r="CN17" i="3"/>
  <c r="CG13" i="3"/>
  <c r="CR9" i="3"/>
  <c r="CI6" i="3"/>
  <c r="CI24" i="3"/>
  <c r="CJ14" i="3"/>
  <c r="CG7" i="3"/>
  <c r="CN18" i="3"/>
  <c r="CE8" i="3"/>
  <c r="CF11" i="3"/>
  <c r="CI18" i="3"/>
  <c r="CR8" i="3"/>
  <c r="CG16" i="3"/>
  <c r="CJ8" i="3"/>
  <c r="CI46" i="2"/>
  <c r="CQ44" i="2"/>
  <c r="CY41" i="2"/>
  <c r="DA39" i="2"/>
  <c r="CJ37" i="2"/>
  <c r="DC44" i="2"/>
  <c r="DE42" i="2"/>
  <c r="CN40" i="2"/>
  <c r="CL38" i="2"/>
  <c r="CL45" i="2"/>
  <c r="CF43" i="2"/>
  <c r="DB40" i="2"/>
  <c r="CZ38" i="2"/>
  <c r="CY42" i="2"/>
  <c r="DC35" i="2"/>
  <c r="DE33" i="2"/>
  <c r="CN31" i="2"/>
  <c r="CY30" i="2"/>
  <c r="CI37" i="2"/>
  <c r="CY34" i="2"/>
  <c r="DA32" i="2"/>
  <c r="CQ45" i="2"/>
  <c r="CQ37" i="2"/>
  <c r="CH35" i="2"/>
  <c r="DD32" i="2"/>
  <c r="CN38" i="2"/>
  <c r="DB33" i="2"/>
  <c r="CL44" i="2"/>
  <c r="CJ36" i="2"/>
  <c r="CL30" i="2"/>
  <c r="CN25" i="3"/>
  <c r="DA21" i="2"/>
  <c r="CN21" i="2"/>
  <c r="CZ13" i="2"/>
  <c r="CY13" i="2"/>
  <c r="CI15" i="3"/>
  <c r="CL19" i="2"/>
  <c r="CN19" i="2"/>
  <c r="DC19" i="2"/>
  <c r="CN35" i="3"/>
  <c r="CR32" i="3"/>
  <c r="CR29" i="3"/>
  <c r="DB30" i="2"/>
  <c r="DD41" i="2"/>
  <c r="CF36" i="2"/>
  <c r="DD31" i="2"/>
  <c r="CJ13" i="2"/>
  <c r="CJ19" i="2"/>
  <c r="CE29" i="3"/>
  <c r="CF24" i="3"/>
  <c r="CG36" i="3"/>
  <c r="CJ29" i="3"/>
  <c r="CH32" i="3"/>
  <c r="CH23" i="3"/>
  <c r="CR14" i="3"/>
  <c r="CE10" i="3"/>
  <c r="CG37" i="3"/>
  <c r="CR30" i="3"/>
  <c r="CJ26" i="3"/>
  <c r="CF36" i="3"/>
  <c r="CJ23" i="3"/>
  <c r="CE17" i="3"/>
  <c r="CE11" i="3"/>
  <c r="CR6" i="3"/>
  <c r="CF12" i="3"/>
  <c r="CE27" i="3"/>
  <c r="CH19" i="3"/>
  <c r="CE16" i="3"/>
  <c r="CE9" i="3"/>
  <c r="CG30" i="3"/>
  <c r="CN16" i="3"/>
  <c r="CN23" i="3"/>
  <c r="CI13" i="3"/>
  <c r="CF17" i="3"/>
  <c r="CH14" i="3"/>
  <c r="CJ27" i="3"/>
  <c r="CJ12" i="3"/>
  <c r="CF34" i="2"/>
  <c r="CJ35" i="3"/>
  <c r="CN20" i="3"/>
  <c r="CR35" i="3"/>
  <c r="CR19" i="3"/>
  <c r="CI7" i="3"/>
  <c r="CG28" i="3"/>
  <c r="CN29" i="3"/>
  <c r="CG18" i="3"/>
  <c r="CG9" i="3"/>
  <c r="CE37" i="3"/>
  <c r="CR16" i="3"/>
  <c r="CH7" i="3"/>
  <c r="CN10" i="3"/>
  <c r="CG6" i="3"/>
  <c r="CH9" i="3"/>
  <c r="DB31" i="2"/>
  <c r="DE31" i="2"/>
  <c r="DB13" i="2"/>
  <c r="CH19" i="2"/>
  <c r="CJ24" i="3"/>
  <c r="CN30" i="3"/>
  <c r="CG17" i="3"/>
  <c r="CF6" i="3"/>
  <c r="CH27" i="3"/>
  <c r="CR23" i="3"/>
  <c r="CI12" i="3"/>
  <c r="CR13" i="3"/>
  <c r="CE20" i="3"/>
  <c r="CJ10" i="3"/>
  <c r="CE18" i="3"/>
  <c r="CN14" i="3"/>
  <c r="CR22" i="3"/>
  <c r="CR18" i="3"/>
  <c r="CL36" i="2"/>
  <c r="CZ36" i="2"/>
  <c r="CF32" i="2"/>
  <c r="CI25" i="3"/>
  <c r="CR15" i="3"/>
  <c r="CH37" i="3"/>
  <c r="CG27" i="3"/>
  <c r="CI21" i="3"/>
  <c r="CR33" i="3"/>
  <c r="CJ36" i="3"/>
  <c r="CF30" i="3"/>
  <c r="CI20" i="3"/>
  <c r="CJ13" i="3"/>
  <c r="CH8" i="3"/>
  <c r="CR34" i="3"/>
  <c r="CJ30" i="3"/>
  <c r="CF23" i="3"/>
  <c r="CJ32" i="3"/>
  <c r="CF22" i="3"/>
  <c r="CG14" i="3"/>
  <c r="CF10" i="3"/>
  <c r="CG21" i="3"/>
  <c r="CH6" i="3"/>
  <c r="CG26" i="3"/>
  <c r="CF18" i="3"/>
  <c r="CH12" i="3"/>
  <c r="CN7" i="3"/>
  <c r="CE28" i="3"/>
  <c r="CE13" i="3"/>
  <c r="CF21" i="3"/>
  <c r="CE12" i="3"/>
  <c r="CF7" i="3"/>
  <c r="CR12" i="3"/>
  <c r="CJ22" i="3"/>
  <c r="DC33" i="2"/>
  <c r="CZ41" i="2"/>
  <c r="DD21" i="2"/>
  <c r="CH15" i="3"/>
  <c r="CR26" i="3"/>
  <c r="CJ33" i="3"/>
  <c r="CH28" i="3"/>
  <c r="CF13" i="3"/>
  <c r="CJ34" i="3"/>
  <c r="CG22" i="3"/>
  <c r="CN12" i="3"/>
  <c r="CJ18" i="3"/>
  <c r="CE22" i="3"/>
  <c r="CN11" i="3"/>
  <c r="CE23" i="3"/>
  <c r="CH20" i="3"/>
  <c r="CR27" i="3"/>
  <c r="CG10" i="3"/>
  <c r="DD30" i="2"/>
  <c r="DA34" i="2"/>
  <c r="CI32" i="3"/>
  <c r="CF37" i="3"/>
  <c r="CN32" i="3"/>
  <c r="CG24" i="3"/>
  <c r="CI10" i="3"/>
  <c r="CN31" i="3"/>
  <c r="CH21" i="3"/>
  <c r="CR17" i="3"/>
  <c r="CJ7" i="3"/>
  <c r="CI33" i="3"/>
  <c r="CJ16" i="3"/>
  <c r="CH34" i="3"/>
  <c r="CI9" i="3"/>
  <c r="CH24" i="3"/>
  <c r="CF31" i="3"/>
  <c r="CJ16" i="2"/>
  <c r="CH16" i="2"/>
  <c r="CY16" i="2"/>
  <c r="CN16" i="2"/>
  <c r="CL27" i="2"/>
  <c r="DC27" i="2"/>
  <c r="CN27" i="2"/>
  <c r="CJ24" i="2"/>
  <c r="CL24" i="2"/>
  <c r="DC24" i="2"/>
  <c r="CN24" i="2"/>
  <c r="CQ28" i="2"/>
  <c r="CH28" i="2"/>
  <c r="CI29" i="2"/>
  <c r="CL29" i="2"/>
  <c r="DE28" i="2"/>
  <c r="CF26" i="2"/>
  <c r="CL25" i="2"/>
  <c r="CQ23" i="2"/>
  <c r="CJ22" i="2"/>
  <c r="CZ20" i="2"/>
  <c r="CJ18" i="2"/>
  <c r="DA26" i="2"/>
  <c r="CY25" i="2"/>
  <c r="DE26" i="2"/>
  <c r="CH26" i="2"/>
  <c r="DB23" i="2"/>
  <c r="CQ22" i="2"/>
  <c r="DD26" i="2"/>
  <c r="CY26" i="2"/>
  <c r="DA23" i="2"/>
  <c r="DA20" i="2"/>
  <c r="CN18" i="2"/>
  <c r="CI17" i="2"/>
  <c r="DE14" i="2"/>
  <c r="DA9" i="2"/>
  <c r="DC8" i="2"/>
  <c r="CI6" i="2"/>
  <c r="DE20" i="2"/>
  <c r="DC18" i="2"/>
  <c r="DD17" i="2"/>
  <c r="CJ15" i="2"/>
  <c r="CZ14" i="2"/>
  <c r="CJ12" i="2"/>
  <c r="CQ11" i="2"/>
  <c r="CJ10" i="2"/>
  <c r="CZ9" i="2"/>
  <c r="CJ8" i="2"/>
  <c r="CQ7" i="2"/>
  <c r="CZ6" i="2"/>
  <c r="CN14" i="2"/>
  <c r="DC11" i="2"/>
  <c r="CN9" i="2"/>
  <c r="DC20" i="2"/>
  <c r="CL18" i="2"/>
  <c r="DE15" i="2"/>
  <c r="DE10" i="2"/>
  <c r="CI10" i="2"/>
  <c r="DC23" i="2"/>
  <c r="CY22" i="2"/>
  <c r="DB16" i="2"/>
  <c r="DE16" i="2"/>
  <c r="CQ16" i="2"/>
  <c r="CF27" i="2"/>
  <c r="CY27" i="2"/>
  <c r="DB24" i="2"/>
  <c r="CQ24" i="2"/>
  <c r="CY24" i="2"/>
  <c r="CJ29" i="2"/>
  <c r="CL28" i="2"/>
  <c r="DD29" i="2"/>
  <c r="CY28" i="2"/>
  <c r="CJ26" i="2"/>
  <c r="CH25" i="2"/>
  <c r="CH23" i="2"/>
  <c r="CQ20" i="2"/>
  <c r="DC29" i="2"/>
  <c r="DC25" i="2"/>
  <c r="DB28" i="2"/>
  <c r="DB25" i="2"/>
  <c r="CF23" i="2"/>
  <c r="CF28" i="2"/>
  <c r="CI25" i="2"/>
  <c r="CY23" i="2"/>
  <c r="CY18" i="2"/>
  <c r="DC15" i="2"/>
  <c r="CI14" i="2"/>
  <c r="CI9" i="2"/>
  <c r="DC6" i="2"/>
  <c r="CN20" i="2"/>
  <c r="CQ17" i="2"/>
  <c r="CF15" i="2"/>
  <c r="CH14" i="2"/>
  <c r="CZ11" i="2"/>
  <c r="CF10" i="2"/>
  <c r="CH9" i="2"/>
  <c r="CZ7" i="2"/>
  <c r="CQ6" i="2"/>
  <c r="DA12" i="2"/>
  <c r="DE8" i="2"/>
  <c r="CY7" i="2"/>
  <c r="DA15" i="2"/>
  <c r="CN11" i="2"/>
  <c r="CN7" i="2"/>
  <c r="CI23" i="2"/>
  <c r="CQ18" i="2"/>
  <c r="DB17" i="2"/>
  <c r="CZ15" i="2"/>
  <c r="DB14" i="2"/>
  <c r="DD12" i="2"/>
  <c r="DB11" i="2"/>
  <c r="DD10" i="2"/>
  <c r="DB9" i="2"/>
  <c r="DD8" i="2"/>
  <c r="DB7" i="2"/>
  <c r="CJ6" i="2"/>
  <c r="DE11" i="2"/>
  <c r="DA7" i="2"/>
  <c r="CI7" i="2"/>
  <c r="CF16" i="2"/>
  <c r="DA16" i="2"/>
  <c r="DD16" i="2"/>
  <c r="CH27" i="2"/>
  <c r="CI27" i="2"/>
  <c r="CZ27" i="2"/>
  <c r="CH24" i="2"/>
  <c r="CI24" i="2"/>
  <c r="CF29" i="2"/>
  <c r="DB26" i="2"/>
  <c r="CZ29" i="2"/>
  <c r="CN28" i="2"/>
  <c r="DD25" i="2"/>
  <c r="DD23" i="2"/>
  <c r="DB22" i="2"/>
  <c r="CL20" i="2"/>
  <c r="DC28" i="2"/>
  <c r="CN29" i="2"/>
  <c r="CZ26" i="2"/>
  <c r="CJ25" i="2"/>
  <c r="CZ22" i="2"/>
  <c r="DA25" i="2"/>
  <c r="DE23" i="2"/>
  <c r="CH22" i="2"/>
  <c r="CI18" i="2"/>
  <c r="DA14" i="2"/>
  <c r="CY12" i="2"/>
  <c r="DA6" i="2"/>
  <c r="DC22" i="2"/>
  <c r="CJ20" i="2"/>
  <c r="CL17" i="2"/>
  <c r="CQ14" i="2"/>
  <c r="DB12" i="2"/>
  <c r="CL11" i="2"/>
  <c r="CQ9" i="2"/>
  <c r="DB8" i="2"/>
  <c r="CL7" i="2"/>
  <c r="CL6" i="2"/>
  <c r="CI12" i="2"/>
  <c r="CI8" i="2"/>
  <c r="CI20" i="2"/>
  <c r="CY17" i="2"/>
  <c r="DC14" i="2"/>
  <c r="DC9" i="2"/>
  <c r="CN22" i="2"/>
  <c r="DB20" i="2"/>
  <c r="CJ17" i="2"/>
  <c r="CQ15" i="2"/>
  <c r="CJ14" i="2"/>
  <c r="CQ12" i="2"/>
  <c r="CJ11" i="2"/>
  <c r="CZ10" i="2"/>
  <c r="CJ9" i="2"/>
  <c r="CZ8" i="2"/>
  <c r="CJ7" i="2"/>
  <c r="CF6" i="2"/>
  <c r="DA11" i="2"/>
  <c r="DB18" i="2"/>
  <c r="CY6" i="2"/>
  <c r="DB27" i="2"/>
  <c r="DD28" i="2"/>
  <c r="CF22" i="2"/>
  <c r="DD22" i="2"/>
  <c r="CN10" i="2"/>
  <c r="DD9" i="2"/>
  <c r="DA18" i="2"/>
  <c r="CF17" i="2"/>
  <c r="CF11" i="2"/>
  <c r="CI11" i="2"/>
  <c r="CL22" i="2"/>
  <c r="CL16" i="2"/>
  <c r="CJ27" i="2"/>
  <c r="DD27" i="2"/>
  <c r="DA24" i="2"/>
  <c r="CZ28" i="2"/>
  <c r="CH29" i="2"/>
  <c r="CQ25" i="2"/>
  <c r="DD20" i="2"/>
  <c r="CI26" i="2"/>
  <c r="CL26" i="2"/>
  <c r="DA28" i="2"/>
  <c r="CN23" i="2"/>
  <c r="DE17" i="2"/>
  <c r="DE9" i="2"/>
  <c r="CY20" i="2"/>
  <c r="DB15" i="2"/>
  <c r="DD11" i="2"/>
  <c r="CL9" i="2"/>
  <c r="DD6" i="2"/>
  <c r="CY11" i="2"/>
  <c r="DC17" i="2"/>
  <c r="CY14" i="2"/>
  <c r="DE18" i="2"/>
  <c r="DD15" i="2"/>
  <c r="CZ12" i="2"/>
  <c r="CQ10" i="2"/>
  <c r="CQ8" i="2"/>
  <c r="DB6" i="2"/>
  <c r="DC10" i="2"/>
  <c r="CN6" i="2"/>
  <c r="DC16" i="2"/>
  <c r="DE27" i="2"/>
  <c r="CF24" i="2"/>
  <c r="DD24" i="2"/>
  <c r="DE29" i="2"/>
  <c r="CJ28" i="2"/>
  <c r="CZ23" i="2"/>
  <c r="CH20" i="2"/>
  <c r="CY29" i="2"/>
  <c r="CF25" i="2"/>
  <c r="CN26" i="2"/>
  <c r="CF20" i="2"/>
  <c r="CY15" i="2"/>
  <c r="CY8" i="2"/>
  <c r="CH18" i="2"/>
  <c r="DD14" i="2"/>
  <c r="CH11" i="2"/>
  <c r="CF8" i="2"/>
  <c r="CH6" i="2"/>
  <c r="DC7" i="2"/>
  <c r="CN17" i="2"/>
  <c r="CY9" i="2"/>
  <c r="CZ18" i="2"/>
  <c r="CL15" i="2"/>
  <c r="CL12" i="2"/>
  <c r="CL10" i="2"/>
  <c r="CL8" i="2"/>
  <c r="DC12" i="2"/>
  <c r="CY10" i="2"/>
  <c r="CI16" i="2"/>
  <c r="DA27" i="2"/>
  <c r="CZ24" i="2"/>
  <c r="DB29" i="2"/>
  <c r="DA29" i="2"/>
  <c r="DC26" i="2"/>
  <c r="CL23" i="2"/>
  <c r="CN25" i="2"/>
  <c r="CJ23" i="2"/>
  <c r="DE25" i="2"/>
  <c r="DD18" i="2"/>
  <c r="CN15" i="2"/>
  <c r="DE6" i="2"/>
  <c r="CL14" i="2"/>
  <c r="DB10" i="2"/>
  <c r="DD7" i="2"/>
  <c r="DE12" i="2"/>
  <c r="DA22" i="2"/>
  <c r="CI15" i="2"/>
  <c r="CF18" i="2"/>
  <c r="CH15" i="2"/>
  <c r="CH12" i="2"/>
  <c r="CH10" i="2"/>
  <c r="CH8" i="2"/>
  <c r="DE7" i="2"/>
  <c r="CZ16" i="2"/>
  <c r="DE24" i="2"/>
  <c r="CZ25" i="2"/>
  <c r="CQ26" i="2"/>
  <c r="DA17" i="2"/>
  <c r="CF12" i="2"/>
  <c r="CH7" i="2"/>
  <c r="DA10" i="2"/>
  <c r="CF14" i="2"/>
  <c r="CF7" i="2"/>
  <c r="CZ17" i="2"/>
  <c r="CN12" i="2"/>
  <c r="CQ27" i="2"/>
  <c r="CQ29" i="2"/>
  <c r="CI28" i="2"/>
  <c r="DE22" i="2"/>
  <c r="CH17" i="2"/>
  <c r="DA8" i="2"/>
  <c r="CI22" i="2"/>
  <c r="CF9" i="2"/>
  <c r="CN8" i="2"/>
  <c r="CM31" i="3" l="1"/>
  <c r="CQ31" i="3"/>
  <c r="CL16" i="3"/>
  <c r="CK16" i="3"/>
  <c r="CO16" i="3" s="1"/>
  <c r="CL7" i="3"/>
  <c r="CK7" i="3"/>
  <c r="CO7" i="3" s="1"/>
  <c r="CQ37" i="3"/>
  <c r="CM37" i="3"/>
  <c r="DP34" i="2"/>
  <c r="DQ34" i="2" s="1"/>
  <c r="CL18" i="3"/>
  <c r="CK18" i="3"/>
  <c r="CO18" i="3" s="1"/>
  <c r="CL34" i="3"/>
  <c r="CO34" i="3"/>
  <c r="CK34" i="3"/>
  <c r="CQ13" i="3"/>
  <c r="CM13" i="3"/>
  <c r="CK33" i="3"/>
  <c r="CO33" i="3" s="1"/>
  <c r="CL33" i="3"/>
  <c r="DK41" i="2"/>
  <c r="DL41" i="2"/>
  <c r="DM41" i="2"/>
  <c r="CK22" i="3"/>
  <c r="CO22" i="3" s="1"/>
  <c r="CL22" i="3"/>
  <c r="CM7" i="3"/>
  <c r="CQ7" i="3"/>
  <c r="CM21" i="3"/>
  <c r="CQ21" i="3"/>
  <c r="CQ18" i="3"/>
  <c r="CM18" i="3"/>
  <c r="CM10" i="3"/>
  <c r="CQ10" i="3"/>
  <c r="CQ22" i="3"/>
  <c r="CM22" i="3"/>
  <c r="CK32" i="3"/>
  <c r="CL32" i="3"/>
  <c r="CO32" i="3"/>
  <c r="CM23" i="3"/>
  <c r="CQ23" i="3"/>
  <c r="CK30" i="3"/>
  <c r="CO30" i="3" s="1"/>
  <c r="CL30" i="3"/>
  <c r="CK13" i="3"/>
  <c r="CO13" i="3"/>
  <c r="CL13" i="3"/>
  <c r="CM30" i="3"/>
  <c r="CQ30" i="3"/>
  <c r="CL36" i="3"/>
  <c r="CK36" i="3"/>
  <c r="CO36" i="3" s="1"/>
  <c r="CG32" i="2"/>
  <c r="DM36" i="2"/>
  <c r="DK36" i="2"/>
  <c r="DL36" i="2"/>
  <c r="DI36" i="2"/>
  <c r="CK10" i="3"/>
  <c r="CO10" i="3" s="1"/>
  <c r="CL10" i="3"/>
  <c r="CQ6" i="3"/>
  <c r="CM6" i="3"/>
  <c r="CK24" i="3"/>
  <c r="CO24" i="3"/>
  <c r="CL24" i="3"/>
  <c r="CM19" i="2"/>
  <c r="DF19" i="2" s="1"/>
  <c r="DN13" i="2"/>
  <c r="DO13" i="2" s="1"/>
  <c r="DR31" i="2"/>
  <c r="DS31" i="2" s="1"/>
  <c r="DN31" i="2"/>
  <c r="DO31" i="2" s="1"/>
  <c r="CL35" i="3"/>
  <c r="CK35" i="3"/>
  <c r="CO35" i="3" s="1"/>
  <c r="CG34" i="2"/>
  <c r="CK12" i="3"/>
  <c r="CL12" i="3"/>
  <c r="CO12" i="3"/>
  <c r="CO27" i="3"/>
  <c r="CK27" i="3"/>
  <c r="CL27" i="3"/>
  <c r="CM17" i="3"/>
  <c r="CQ17" i="3"/>
  <c r="CQ12" i="3"/>
  <c r="CM12" i="3"/>
  <c r="CK23" i="3"/>
  <c r="CO23" i="3" s="1"/>
  <c r="CL23" i="3"/>
  <c r="CQ36" i="3"/>
  <c r="CM36" i="3"/>
  <c r="CL26" i="3"/>
  <c r="CK26" i="3"/>
  <c r="CO26" i="3"/>
  <c r="CO29" i="3"/>
  <c r="CK29" i="3"/>
  <c r="CL29" i="3"/>
  <c r="CQ24" i="3"/>
  <c r="CM24" i="3"/>
  <c r="CK19" i="2"/>
  <c r="CK13" i="2"/>
  <c r="CG36" i="2"/>
  <c r="DN30" i="2"/>
  <c r="DO30" i="2" s="1"/>
  <c r="DI19" i="2"/>
  <c r="DK13" i="2"/>
  <c r="DL13" i="2"/>
  <c r="DM13" i="2"/>
  <c r="DP21" i="2"/>
  <c r="DQ21" i="2" s="1"/>
  <c r="DI30" i="2"/>
  <c r="CK36" i="2"/>
  <c r="DI44" i="2"/>
  <c r="DN33" i="2"/>
  <c r="DO33" i="2" s="1"/>
  <c r="CM35" i="2"/>
  <c r="DF35" i="2" s="1"/>
  <c r="DJ37" i="2"/>
  <c r="DJ45" i="2"/>
  <c r="DP32" i="2"/>
  <c r="DQ32" i="2" s="1"/>
  <c r="DR33" i="2"/>
  <c r="DS33" i="2" s="1"/>
  <c r="DL38" i="2"/>
  <c r="DK38" i="2"/>
  <c r="DM38" i="2"/>
  <c r="DN40" i="2"/>
  <c r="DO40" i="2" s="1"/>
  <c r="CG43" i="2"/>
  <c r="DI45" i="2"/>
  <c r="DI38" i="2"/>
  <c r="DR42" i="2"/>
  <c r="DS42" i="2" s="1"/>
  <c r="CK37" i="2"/>
  <c r="DP39" i="2"/>
  <c r="DQ39" i="2" s="1"/>
  <c r="DJ44" i="2"/>
  <c r="CK8" i="3"/>
  <c r="CL8" i="3"/>
  <c r="CO8" i="3"/>
  <c r="CQ11" i="3"/>
  <c r="CM11" i="3"/>
  <c r="CL14" i="3"/>
  <c r="CK14" i="3"/>
  <c r="CO14" i="3" s="1"/>
  <c r="CQ19" i="3"/>
  <c r="CM19" i="3"/>
  <c r="CQ16" i="3"/>
  <c r="CM16" i="3"/>
  <c r="CQ27" i="3"/>
  <c r="CM27" i="3"/>
  <c r="CK37" i="3"/>
  <c r="CL37" i="3"/>
  <c r="CO37" i="3"/>
  <c r="CQ9" i="3"/>
  <c r="CM9" i="3"/>
  <c r="CK21" i="3"/>
  <c r="CO21" i="3" s="1"/>
  <c r="CL21" i="3"/>
  <c r="CM20" i="3"/>
  <c r="CQ20" i="3"/>
  <c r="CL28" i="3"/>
  <c r="CK28" i="3"/>
  <c r="CO28" i="3" s="1"/>
  <c r="DP19" i="2"/>
  <c r="DQ19" i="2" s="1"/>
  <c r="DJ19" i="2"/>
  <c r="DN19" i="2"/>
  <c r="DO19" i="2" s="1"/>
  <c r="CQ15" i="3"/>
  <c r="CM15" i="3"/>
  <c r="DR21" i="2"/>
  <c r="DS21" i="2" s="1"/>
  <c r="DR30" i="2"/>
  <c r="DS30" i="2" s="1"/>
  <c r="DR44" i="2"/>
  <c r="DS44" i="2" s="1"/>
  <c r="CM34" i="2"/>
  <c r="DF34" i="2" s="1"/>
  <c r="CG33" i="2"/>
  <c r="DI35" i="2"/>
  <c r="DR32" i="2"/>
  <c r="DS32" i="2" s="1"/>
  <c r="CG38" i="2"/>
  <c r="DJ34" i="2"/>
  <c r="CM44" i="2"/>
  <c r="DF44" i="2" s="1"/>
  <c r="CM41" i="2"/>
  <c r="DF41" i="2" s="1"/>
  <c r="CK43" i="2"/>
  <c r="DP45" i="2"/>
  <c r="DQ45" i="2" s="1"/>
  <c r="DP38" i="2"/>
  <c r="DQ38" i="2" s="1"/>
  <c r="DJ43" i="2"/>
  <c r="DR39" i="2"/>
  <c r="DS39" i="2" s="1"/>
  <c r="DL44" i="2"/>
  <c r="DM44" i="2"/>
  <c r="DK44" i="2"/>
  <c r="CM33" i="3"/>
  <c r="CQ33" i="3"/>
  <c r="CO9" i="3"/>
  <c r="CK9" i="3"/>
  <c r="CL9" i="3"/>
  <c r="CO31" i="3"/>
  <c r="CK31" i="3"/>
  <c r="CL31" i="3"/>
  <c r="CQ32" i="3"/>
  <c r="CM32" i="3"/>
  <c r="CL20" i="3"/>
  <c r="CK20" i="3"/>
  <c r="CO20" i="3" s="1"/>
  <c r="CM35" i="3"/>
  <c r="CQ35" i="3"/>
  <c r="DR19" i="2"/>
  <c r="DS19" i="2" s="1"/>
  <c r="CK15" i="3"/>
  <c r="CO15" i="3" s="1"/>
  <c r="CL15" i="3"/>
  <c r="CG13" i="2"/>
  <c r="DM21" i="2"/>
  <c r="DL21" i="2"/>
  <c r="DK21" i="2"/>
  <c r="DJ31" i="2"/>
  <c r="DR40" i="2"/>
  <c r="DS40" i="2" s="1"/>
  <c r="DK35" i="2"/>
  <c r="DM35" i="2"/>
  <c r="DL35" i="2"/>
  <c r="DP31" i="2"/>
  <c r="DQ31" i="2" s="1"/>
  <c r="DJ36" i="2"/>
  <c r="DJ41" i="2"/>
  <c r="CM36" i="2"/>
  <c r="DF36" i="2" s="1"/>
  <c r="DL30" i="2"/>
  <c r="DK30" i="2"/>
  <c r="DM30" i="2"/>
  <c r="DN32" i="2"/>
  <c r="DO32" i="2" s="1"/>
  <c r="CG35" i="2"/>
  <c r="DR41" i="2"/>
  <c r="DS41" i="2" s="1"/>
  <c r="DK46" i="2"/>
  <c r="DL46" i="2"/>
  <c r="DM46" i="2"/>
  <c r="DL39" i="2"/>
  <c r="DM39" i="2"/>
  <c r="DK39" i="2"/>
  <c r="DN41" i="2"/>
  <c r="DO41" i="2" s="1"/>
  <c r="CG44" i="2"/>
  <c r="DI46" i="2"/>
  <c r="CM43" i="2"/>
  <c r="DF43" i="2" s="1"/>
  <c r="CK45" i="2"/>
  <c r="CM33" i="2"/>
  <c r="DF33" i="2" s="1"/>
  <c r="CK35" i="2"/>
  <c r="CM40" i="2"/>
  <c r="DF40" i="2" s="1"/>
  <c r="DP37" i="2"/>
  <c r="DQ37" i="2" s="1"/>
  <c r="DJ42" i="2"/>
  <c r="CM42" i="2"/>
  <c r="DF42" i="2" s="1"/>
  <c r="CK44" i="2"/>
  <c r="DP46" i="2"/>
  <c r="DQ46" i="2" s="1"/>
  <c r="DN38" i="2"/>
  <c r="DO38" i="2" s="1"/>
  <c r="CG41" i="2"/>
  <c r="DI43" i="2"/>
  <c r="DN46" i="2"/>
  <c r="DO46" i="2" s="1"/>
  <c r="CM14" i="3"/>
  <c r="CQ14" i="3"/>
  <c r="CQ8" i="3"/>
  <c r="CM8" i="3"/>
  <c r="CL11" i="3"/>
  <c r="CK11" i="3"/>
  <c r="CO11" i="3" s="1"/>
  <c r="CK17" i="3"/>
  <c r="CO17" i="3" s="1"/>
  <c r="CL17" i="3"/>
  <c r="CQ29" i="3"/>
  <c r="CM29" i="3"/>
  <c r="CK6" i="3"/>
  <c r="CO6" i="3" s="1"/>
  <c r="CL6" i="3"/>
  <c r="CK19" i="3"/>
  <c r="CL19" i="3"/>
  <c r="CO19" i="3"/>
  <c r="CQ26" i="3"/>
  <c r="CM26" i="3"/>
  <c r="CQ34" i="3"/>
  <c r="CM34" i="3"/>
  <c r="CM28" i="3"/>
  <c r="CQ28" i="3"/>
  <c r="CG19" i="2"/>
  <c r="DM19" i="2"/>
  <c r="DL19" i="2"/>
  <c r="DK19" i="2"/>
  <c r="DP13" i="2"/>
  <c r="DQ13" i="2" s="1"/>
  <c r="CM13" i="2"/>
  <c r="DF13" i="2" s="1"/>
  <c r="CG21" i="2"/>
  <c r="CM21" i="2"/>
  <c r="DF21" i="2" s="1"/>
  <c r="CM25" i="3"/>
  <c r="CQ25" i="3"/>
  <c r="CM30" i="2"/>
  <c r="DF30" i="2" s="1"/>
  <c r="DK31" i="2"/>
  <c r="DL31" i="2"/>
  <c r="DM31" i="2"/>
  <c r="DJ35" i="2"/>
  <c r="DM45" i="2"/>
  <c r="DL45" i="2"/>
  <c r="DK45" i="2"/>
  <c r="CK32" i="2"/>
  <c r="DI34" i="2"/>
  <c r="DI40" i="2"/>
  <c r="DJ32" i="2"/>
  <c r="CK33" i="2"/>
  <c r="DP35" i="2"/>
  <c r="DQ35" i="2" s="1"/>
  <c r="CG30" i="2"/>
  <c r="CM32" i="2"/>
  <c r="DF32" i="2" s="1"/>
  <c r="DJ33" i="2"/>
  <c r="CK34" i="2"/>
  <c r="DP36" i="2"/>
  <c r="DQ36" i="2" s="1"/>
  <c r="CG42" i="2"/>
  <c r="CM31" i="2"/>
  <c r="DF31" i="2" s="1"/>
  <c r="CG31" i="2"/>
  <c r="DI33" i="2"/>
  <c r="DK34" i="2"/>
  <c r="DM34" i="2"/>
  <c r="DL34" i="2"/>
  <c r="DN36" i="2"/>
  <c r="DO36" i="2" s="1"/>
  <c r="DP40" i="2"/>
  <c r="DQ40" i="2" s="1"/>
  <c r="DP44" i="2"/>
  <c r="DQ44" i="2" s="1"/>
  <c r="DR37" i="2"/>
  <c r="DS37" i="2" s="1"/>
  <c r="CG39" i="2"/>
  <c r="DI41" i="2"/>
  <c r="DM42" i="2"/>
  <c r="DK42" i="2"/>
  <c r="DL42" i="2"/>
  <c r="DN44" i="2"/>
  <c r="DO44" i="2" s="1"/>
  <c r="DR45" i="2"/>
  <c r="DS45" i="2" s="1"/>
  <c r="DN37" i="2"/>
  <c r="DO37" i="2" s="1"/>
  <c r="DR38" i="2"/>
  <c r="DS38" i="2" s="1"/>
  <c r="CG40" i="2"/>
  <c r="DI42" i="2"/>
  <c r="DM43" i="2"/>
  <c r="DK43" i="2"/>
  <c r="DL43" i="2"/>
  <c r="DN45" i="2"/>
  <c r="DO45" i="2" s="1"/>
  <c r="DR46" i="2"/>
  <c r="DS46" i="2" s="1"/>
  <c r="CM39" i="2"/>
  <c r="DF39" i="2" s="1"/>
  <c r="DJ40" i="2"/>
  <c r="CK41" i="2"/>
  <c r="DP43" i="2"/>
  <c r="DQ43" i="2" s="1"/>
  <c r="DR13" i="2"/>
  <c r="DS13" i="2" s="1"/>
  <c r="DJ13" i="2"/>
  <c r="DI13" i="2"/>
  <c r="CK21" i="2"/>
  <c r="DJ21" i="2"/>
  <c r="DI21" i="2"/>
  <c r="DN21" i="2"/>
  <c r="DO21" i="2" s="1"/>
  <c r="CO25" i="3"/>
  <c r="CL25" i="3"/>
  <c r="CK25" i="3"/>
  <c r="DP30" i="2"/>
  <c r="DQ30" i="2" s="1"/>
  <c r="DI37" i="2"/>
  <c r="DR34" i="2"/>
  <c r="DS34" i="2" s="1"/>
  <c r="DK37" i="2"/>
  <c r="DM37" i="2"/>
  <c r="DL37" i="2"/>
  <c r="DM32" i="2"/>
  <c r="DK32" i="2"/>
  <c r="DL32" i="2"/>
  <c r="DN34" i="2"/>
  <c r="DO34" i="2" s="1"/>
  <c r="DR35" i="2"/>
  <c r="DS35" i="2" s="1"/>
  <c r="CM37" i="2"/>
  <c r="DF37" i="2" s="1"/>
  <c r="DN39" i="2"/>
  <c r="DO39" i="2" s="1"/>
  <c r="DN43" i="2"/>
  <c r="DO43" i="2" s="1"/>
  <c r="CK30" i="2"/>
  <c r="DI32" i="2"/>
  <c r="DK33" i="2"/>
  <c r="DM33" i="2"/>
  <c r="DL33" i="2"/>
  <c r="DN35" i="2"/>
  <c r="DO35" i="2" s="1"/>
  <c r="DR36" i="2"/>
  <c r="DS36" i="2" s="1"/>
  <c r="CG46" i="2"/>
  <c r="DI31" i="2"/>
  <c r="DJ30" i="2"/>
  <c r="CK31" i="2"/>
  <c r="DP33" i="2"/>
  <c r="DQ33" i="2" s="1"/>
  <c r="CK38" i="2"/>
  <c r="CK42" i="2"/>
  <c r="CK46" i="2"/>
  <c r="DJ38" i="2"/>
  <c r="CK39" i="2"/>
  <c r="DP41" i="2"/>
  <c r="DQ41" i="2" s="1"/>
  <c r="CM45" i="2"/>
  <c r="DF45" i="2" s="1"/>
  <c r="DJ46" i="2"/>
  <c r="CM38" i="2"/>
  <c r="DF38" i="2" s="1"/>
  <c r="DJ39" i="2"/>
  <c r="CK40" i="2"/>
  <c r="DP42" i="2"/>
  <c r="DQ42" i="2" s="1"/>
  <c r="CM46" i="2"/>
  <c r="DF46" i="2" s="1"/>
  <c r="CG37" i="2"/>
  <c r="DI39" i="2"/>
  <c r="DK40" i="2"/>
  <c r="DM40" i="2"/>
  <c r="DL40" i="2"/>
  <c r="DN42" i="2"/>
  <c r="DO42" i="2" s="1"/>
  <c r="DR43" i="2"/>
  <c r="DS43" i="2" s="1"/>
  <c r="CG45" i="2"/>
  <c r="DJ16" i="2"/>
  <c r="DP16" i="2"/>
  <c r="DQ16" i="2" s="1"/>
  <c r="DR16" i="2"/>
  <c r="DS16" i="2" s="1"/>
  <c r="CM16" i="2"/>
  <c r="DF16" i="2" s="1"/>
  <c r="DI16" i="2"/>
  <c r="DK16" i="2"/>
  <c r="DM16" i="2"/>
  <c r="DL16" i="2"/>
  <c r="CG16" i="2"/>
  <c r="CK16" i="2"/>
  <c r="DN16" i="2"/>
  <c r="DO16" i="2" s="1"/>
  <c r="DJ27" i="2"/>
  <c r="DK27" i="2"/>
  <c r="DL27" i="2"/>
  <c r="DM27" i="2"/>
  <c r="DP27" i="2"/>
  <c r="DQ27" i="2" s="1"/>
  <c r="DR27" i="2"/>
  <c r="DS27" i="2" s="1"/>
  <c r="CM27" i="2"/>
  <c r="DF27" i="2" s="1"/>
  <c r="DI27" i="2"/>
  <c r="CG27" i="2"/>
  <c r="CK27" i="2"/>
  <c r="DN27" i="2"/>
  <c r="DO27" i="2" s="1"/>
  <c r="DP24" i="2"/>
  <c r="DQ24" i="2" s="1"/>
  <c r="DR24" i="2"/>
  <c r="DS24" i="2" s="1"/>
  <c r="CM24" i="2"/>
  <c r="DF24" i="2" s="1"/>
  <c r="DI24" i="2"/>
  <c r="DJ24" i="2"/>
  <c r="DK24" i="2"/>
  <c r="DM24" i="2"/>
  <c r="DL24" i="2"/>
  <c r="CG24" i="2"/>
  <c r="CK24" i="2"/>
  <c r="DN24" i="2"/>
  <c r="DO24" i="2" s="1"/>
  <c r="DP7" i="2"/>
  <c r="DQ7" i="2" s="1"/>
  <c r="DR7" i="2"/>
  <c r="DS7" i="2" s="1"/>
  <c r="DP11" i="2"/>
  <c r="DQ11" i="2" s="1"/>
  <c r="DR11" i="2"/>
  <c r="DS11" i="2" s="1"/>
  <c r="CG6" i="2"/>
  <c r="CK6" i="2"/>
  <c r="DN6" i="2"/>
  <c r="DO6" i="2" s="1"/>
  <c r="CG7" i="2"/>
  <c r="CK7" i="2"/>
  <c r="DN7" i="2"/>
  <c r="DO7" i="2" s="1"/>
  <c r="CM8" i="2"/>
  <c r="DF8" i="2" s="1"/>
  <c r="DI8" i="2"/>
  <c r="DJ8" i="2"/>
  <c r="DL8" i="2"/>
  <c r="DK8" i="2"/>
  <c r="DM8" i="2"/>
  <c r="CG9" i="2"/>
  <c r="CK9" i="2"/>
  <c r="DN9" i="2"/>
  <c r="DO9" i="2" s="1"/>
  <c r="CM10" i="2"/>
  <c r="DF10" i="2" s="1"/>
  <c r="DI10" i="2"/>
  <c r="DJ10" i="2"/>
  <c r="DK10" i="2"/>
  <c r="DM10" i="2"/>
  <c r="DL10" i="2"/>
  <c r="CG11" i="2"/>
  <c r="CK11" i="2"/>
  <c r="DN11" i="2"/>
  <c r="DO11" i="2" s="1"/>
  <c r="CM12" i="2"/>
  <c r="DF12" i="2" s="1"/>
  <c r="DI12" i="2"/>
  <c r="DJ12" i="2"/>
  <c r="DL12" i="2"/>
  <c r="DK12" i="2"/>
  <c r="DM12" i="2"/>
  <c r="CG14" i="2"/>
  <c r="CK14" i="2"/>
  <c r="DN14" i="2"/>
  <c r="DO14" i="2" s="1"/>
  <c r="CM15" i="2"/>
  <c r="DF15" i="2" s="1"/>
  <c r="DI15" i="2"/>
  <c r="DJ15" i="2"/>
  <c r="DL15" i="2"/>
  <c r="DK15" i="2"/>
  <c r="DM15" i="2"/>
  <c r="CG17" i="2"/>
  <c r="CK17" i="2"/>
  <c r="DN17" i="2"/>
  <c r="DO17" i="2" s="1"/>
  <c r="CG18" i="2"/>
  <c r="DJ18" i="2"/>
  <c r="DK18" i="2"/>
  <c r="DM18" i="2"/>
  <c r="DL18" i="2"/>
  <c r="DR18" i="2"/>
  <c r="DS18" i="2" s="1"/>
  <c r="DN20" i="2"/>
  <c r="DO20" i="2" s="1"/>
  <c r="DP10" i="2"/>
  <c r="DQ10" i="2" s="1"/>
  <c r="DR10" i="2"/>
  <c r="DS10" i="2" s="1"/>
  <c r="DP15" i="2"/>
  <c r="DQ15" i="2" s="1"/>
  <c r="DR15" i="2"/>
  <c r="DS15" i="2" s="1"/>
  <c r="DI18" i="2"/>
  <c r="DP18" i="2"/>
  <c r="DQ18" i="2" s="1"/>
  <c r="DP22" i="2"/>
  <c r="DQ22" i="2" s="1"/>
  <c r="DP8" i="2"/>
  <c r="DQ8" i="2" s="1"/>
  <c r="DR8" i="2"/>
  <c r="DS8" i="2" s="1"/>
  <c r="DP12" i="2"/>
  <c r="DQ12" i="2" s="1"/>
  <c r="DR12" i="2"/>
  <c r="DS12" i="2" s="1"/>
  <c r="CM6" i="2"/>
  <c r="DF6" i="2" s="1"/>
  <c r="DI6" i="2"/>
  <c r="DJ6" i="2"/>
  <c r="DM6" i="2"/>
  <c r="DL6" i="2"/>
  <c r="DK6" i="2"/>
  <c r="CM7" i="2"/>
  <c r="DF7" i="2" s="1"/>
  <c r="DI7" i="2"/>
  <c r="DJ7" i="2"/>
  <c r="DM7" i="2"/>
  <c r="DL7" i="2"/>
  <c r="DK7" i="2"/>
  <c r="CG8" i="2"/>
  <c r="CK8" i="2"/>
  <c r="DN8" i="2"/>
  <c r="DO8" i="2" s="1"/>
  <c r="CM9" i="2"/>
  <c r="DF9" i="2" s="1"/>
  <c r="DI9" i="2"/>
  <c r="DJ9" i="2"/>
  <c r="DM9" i="2"/>
  <c r="DL9" i="2"/>
  <c r="DK9" i="2"/>
  <c r="CG10" i="2"/>
  <c r="CK10" i="2"/>
  <c r="DN10" i="2"/>
  <c r="DO10" i="2" s="1"/>
  <c r="CM11" i="2"/>
  <c r="DF11" i="2" s="1"/>
  <c r="DI11" i="2"/>
  <c r="DJ11" i="2"/>
  <c r="DM11" i="2"/>
  <c r="DL11" i="2"/>
  <c r="DK11" i="2"/>
  <c r="CG12" i="2"/>
  <c r="CK12" i="2"/>
  <c r="DN12" i="2"/>
  <c r="DO12" i="2" s="1"/>
  <c r="CM14" i="2"/>
  <c r="DF14" i="2" s="1"/>
  <c r="DI14" i="2"/>
  <c r="DJ14" i="2"/>
  <c r="DM14" i="2"/>
  <c r="DL14" i="2"/>
  <c r="DK14" i="2"/>
  <c r="CG15" i="2"/>
  <c r="CK15" i="2"/>
  <c r="DN15" i="2"/>
  <c r="DO15" i="2" s="1"/>
  <c r="CM17" i="2"/>
  <c r="DF17" i="2" s="1"/>
  <c r="DI17" i="2"/>
  <c r="DJ17" i="2"/>
  <c r="DM17" i="2"/>
  <c r="DL17" i="2"/>
  <c r="DK17" i="2"/>
  <c r="CM18" i="2"/>
  <c r="DF18" i="2" s="1"/>
  <c r="CK20" i="2"/>
  <c r="DR20" i="2"/>
  <c r="DS20" i="2" s="1"/>
  <c r="DI22" i="2"/>
  <c r="DP6" i="2"/>
  <c r="DQ6" i="2" s="1"/>
  <c r="DR6" i="2"/>
  <c r="DS6" i="2" s="1"/>
  <c r="DP9" i="2"/>
  <c r="DQ9" i="2" s="1"/>
  <c r="DR9" i="2"/>
  <c r="DS9" i="2" s="1"/>
  <c r="DP14" i="2"/>
  <c r="DQ14" i="2" s="1"/>
  <c r="DR14" i="2"/>
  <c r="DS14" i="2" s="1"/>
  <c r="DP17" i="2"/>
  <c r="DQ17" i="2" s="1"/>
  <c r="DR17" i="2"/>
  <c r="DS17" i="2" s="1"/>
  <c r="CG20" i="2"/>
  <c r="DP20" i="2"/>
  <c r="DQ20" i="2" s="1"/>
  <c r="CM22" i="2"/>
  <c r="DF22" i="2" s="1"/>
  <c r="DR22" i="2"/>
  <c r="DS22" i="2" s="1"/>
  <c r="DP23" i="2"/>
  <c r="DQ23" i="2" s="1"/>
  <c r="DR23" i="2"/>
  <c r="DS23" i="2" s="1"/>
  <c r="DP25" i="2"/>
  <c r="DQ25" i="2" s="1"/>
  <c r="DR25" i="2"/>
  <c r="DS25" i="2" s="1"/>
  <c r="CG28" i="2"/>
  <c r="DP28" i="2"/>
  <c r="DQ28" i="2" s="1"/>
  <c r="DJ22" i="2"/>
  <c r="DK22" i="2"/>
  <c r="DM22" i="2"/>
  <c r="DL22" i="2"/>
  <c r="CG23" i="2"/>
  <c r="CK23" i="2"/>
  <c r="DN23" i="2"/>
  <c r="DO23" i="2" s="1"/>
  <c r="CG25" i="2"/>
  <c r="CK25" i="2"/>
  <c r="DN25" i="2"/>
  <c r="DO25" i="2" s="1"/>
  <c r="CM26" i="2"/>
  <c r="DF26" i="2" s="1"/>
  <c r="DI26" i="2"/>
  <c r="DJ26" i="2"/>
  <c r="DK26" i="2"/>
  <c r="DM26" i="2"/>
  <c r="DL26" i="2"/>
  <c r="DR26" i="2"/>
  <c r="DS26" i="2" s="1"/>
  <c r="DN28" i="2"/>
  <c r="DO28" i="2" s="1"/>
  <c r="DP26" i="2"/>
  <c r="DQ26" i="2" s="1"/>
  <c r="CK18" i="2"/>
  <c r="DN18" i="2"/>
  <c r="DO18" i="2" s="1"/>
  <c r="CM20" i="2"/>
  <c r="DF20" i="2" s="1"/>
  <c r="DI20" i="2"/>
  <c r="DJ20" i="2"/>
  <c r="DM20" i="2"/>
  <c r="DL20" i="2"/>
  <c r="DK20" i="2"/>
  <c r="CG22" i="2"/>
  <c r="CK22" i="2"/>
  <c r="DN22" i="2"/>
  <c r="DO22" i="2" s="1"/>
  <c r="CM23" i="2"/>
  <c r="DF23" i="2" s="1"/>
  <c r="DI23" i="2"/>
  <c r="DJ23" i="2"/>
  <c r="DM23" i="2"/>
  <c r="DK23" i="2"/>
  <c r="DL23" i="2"/>
  <c r="CM25" i="2"/>
  <c r="DF25" i="2" s="1"/>
  <c r="DI25" i="2"/>
  <c r="DJ25" i="2"/>
  <c r="DM25" i="2"/>
  <c r="DL25" i="2"/>
  <c r="DK25" i="2"/>
  <c r="CG26" i="2"/>
  <c r="CK26" i="2"/>
  <c r="CK28" i="2"/>
  <c r="DR28" i="2"/>
  <c r="DS28" i="2" s="1"/>
  <c r="CM29" i="2"/>
  <c r="DF29" i="2" s="1"/>
  <c r="DI29" i="2"/>
  <c r="DJ29" i="2"/>
  <c r="DK29" i="2"/>
  <c r="DM29" i="2"/>
  <c r="DL29" i="2"/>
  <c r="DP29" i="2"/>
  <c r="DQ29" i="2" s="1"/>
  <c r="DR29" i="2"/>
  <c r="DS29" i="2" s="1"/>
  <c r="DN26" i="2"/>
  <c r="DO26" i="2" s="1"/>
  <c r="CM28" i="2"/>
  <c r="DF28" i="2" s="1"/>
  <c r="DI28" i="2"/>
  <c r="DJ28" i="2"/>
  <c r="DM28" i="2"/>
  <c r="DK28" i="2"/>
  <c r="DL28" i="2"/>
  <c r="CG29" i="2"/>
  <c r="CK29" i="2"/>
  <c r="DN29" i="2"/>
  <c r="DO29" i="2" s="1"/>
  <c r="O64" i="1" a="1"/>
  <c r="O64" i="1" s="1"/>
  <c r="P64" i="1" a="1"/>
  <c r="P64" i="1"/>
  <c r="S65" i="1"/>
  <c r="W65" i="1"/>
  <c r="L2" i="16"/>
  <c r="H64" i="2" l="1"/>
  <c r="U64" i="2"/>
  <c r="W64" i="2"/>
  <c r="E64" i="2"/>
  <c r="X64" i="2"/>
  <c r="K64" i="2"/>
  <c r="D64" i="2"/>
  <c r="Y64" i="2"/>
  <c r="Q64" i="2"/>
  <c r="N64" i="2"/>
  <c r="S64" i="2"/>
  <c r="V64" i="2"/>
  <c r="J64" i="2"/>
  <c r="L64" i="2"/>
  <c r="F64" i="2"/>
  <c r="O64" i="2"/>
  <c r="T64" i="2"/>
  <c r="D63" i="2"/>
  <c r="K63" i="2"/>
  <c r="E63" i="2"/>
  <c r="O63" i="2"/>
  <c r="Q63" i="2"/>
  <c r="F63" i="2"/>
  <c r="Y63" i="2"/>
  <c r="M63" i="2"/>
  <c r="J63" i="2"/>
  <c r="X63" i="2"/>
  <c r="I64" i="2"/>
  <c r="P63" i="2"/>
  <c r="T63" i="2"/>
  <c r="I63" i="2"/>
  <c r="L63" i="2"/>
  <c r="H63" i="2"/>
  <c r="R64" i="2"/>
  <c r="Z64" i="2"/>
  <c r="R63" i="2"/>
  <c r="W63" i="2"/>
  <c r="U63" i="2"/>
  <c r="P64" i="2"/>
  <c r="Z63" i="2"/>
  <c r="N63" i="2"/>
  <c r="M64" i="2"/>
  <c r="S63" i="2"/>
  <c r="V63" i="2"/>
  <c r="G64" i="2"/>
  <c r="G63" i="2"/>
  <c r="CE5" i="2" l="1"/>
  <c r="V84" i="3" l="1"/>
  <c r="J84" i="3"/>
  <c r="C84" i="3"/>
  <c r="B47" i="3"/>
  <c r="E84" i="3"/>
  <c r="X84" i="3"/>
  <c r="I84" i="3"/>
  <c r="K84" i="3"/>
  <c r="F84" i="3"/>
  <c r="T84" i="3"/>
  <c r="M84" i="3"/>
  <c r="H84" i="3"/>
  <c r="P84" i="3"/>
  <c r="S84" i="3"/>
  <c r="R84" i="3"/>
  <c r="G84" i="3"/>
  <c r="L84" i="3"/>
  <c r="U84" i="3"/>
  <c r="Q84" i="3"/>
  <c r="W84" i="3"/>
  <c r="N84" i="3"/>
  <c r="O84" i="3"/>
  <c r="D84" i="3"/>
  <c r="M40" i="16" l="1"/>
  <c r="L40" i="16"/>
  <c r="M39" i="16"/>
  <c r="L39" i="16"/>
  <c r="M38" i="16"/>
  <c r="L38" i="16"/>
  <c r="M37" i="16"/>
  <c r="L37" i="16"/>
  <c r="M36" i="16"/>
  <c r="L36" i="16"/>
  <c r="M35" i="16"/>
  <c r="L35" i="16"/>
  <c r="M34" i="16"/>
  <c r="L34" i="16"/>
  <c r="M33" i="16"/>
  <c r="L33" i="16"/>
  <c r="M32" i="16"/>
  <c r="L32" i="16"/>
  <c r="M31" i="16"/>
  <c r="L31" i="16"/>
  <c r="M30" i="16"/>
  <c r="L30" i="16"/>
  <c r="M29" i="16"/>
  <c r="L29" i="16"/>
  <c r="M28" i="16"/>
  <c r="L28" i="16"/>
  <c r="M27" i="16"/>
  <c r="L27" i="16"/>
  <c r="M26" i="16"/>
  <c r="L26" i="16"/>
  <c r="M25" i="16"/>
  <c r="L25" i="16"/>
  <c r="M24" i="16"/>
  <c r="L24" i="16"/>
  <c r="M23" i="16"/>
  <c r="L23" i="16"/>
  <c r="M22" i="16"/>
  <c r="L22" i="16"/>
  <c r="M21" i="16"/>
  <c r="L21" i="16"/>
  <c r="M20" i="16"/>
  <c r="L20" i="16"/>
  <c r="M19" i="16"/>
  <c r="L19" i="16"/>
  <c r="M18" i="16"/>
  <c r="L18" i="16"/>
  <c r="M17" i="16"/>
  <c r="L17" i="16"/>
  <c r="M16" i="16"/>
  <c r="L16" i="16"/>
  <c r="M15" i="16"/>
  <c r="L15" i="16"/>
  <c r="M14" i="16"/>
  <c r="L14" i="16"/>
  <c r="M13" i="16"/>
  <c r="L13" i="16"/>
  <c r="M12" i="16"/>
  <c r="L12" i="16"/>
  <c r="M11" i="16"/>
  <c r="L11" i="16"/>
  <c r="M10" i="16"/>
  <c r="L10" i="16"/>
  <c r="M9" i="16"/>
  <c r="L9" i="16"/>
  <c r="M8" i="16"/>
  <c r="L8" i="16"/>
  <c r="M7" i="16"/>
  <c r="L7" i="16"/>
  <c r="M6" i="16" l="1"/>
  <c r="L6" i="16"/>
  <c r="M5" i="16"/>
  <c r="L5" i="16"/>
  <c r="M4" i="16" l="1"/>
  <c r="L4" i="16"/>
  <c r="M3" i="16"/>
  <c r="L3" i="16"/>
  <c r="M2" i="16"/>
  <c r="CX5" i="2" a="1"/>
  <c r="CX5" i="2" s="1"/>
  <c r="DD5" i="2"/>
  <c r="DC5" i="2"/>
  <c r="CZ5" i="2"/>
  <c r="DE5" i="2"/>
  <c r="DA5" i="2"/>
  <c r="CY5" i="2"/>
  <c r="DB5" i="2"/>
  <c r="DR5" i="2" l="1"/>
  <c r="DS5" i="2" s="1"/>
  <c r="DP5" i="2"/>
  <c r="DQ5" i="2" s="1"/>
  <c r="DM5" i="2"/>
  <c r="DK5" i="2"/>
  <c r="DL5" i="2"/>
  <c r="DN5" i="2"/>
  <c r="DO5" i="2" s="1"/>
  <c r="CW5" i="2" a="1"/>
  <c r="CW5" i="2" s="1"/>
  <c r="CV5" i="2" a="1"/>
  <c r="CV5" i="2" s="1"/>
  <c r="CU5" i="2" a="1"/>
  <c r="CU5" i="2" s="1"/>
  <c r="CT5" i="2" a="1"/>
  <c r="CT5" i="2" s="1"/>
  <c r="CS5" i="2" a="1"/>
  <c r="CS5" i="2" s="1"/>
  <c r="CR5" i="2" a="1"/>
  <c r="CR5" i="2" s="1"/>
  <c r="CQ5" i="2"/>
  <c r="CP5" i="2" l="1" a="1"/>
  <c r="CP5" i="2" s="1"/>
  <c r="CO5" i="2" a="1"/>
  <c r="CO5" i="2" s="1"/>
  <c r="CN5" i="2"/>
  <c r="CL5" i="2"/>
  <c r="DI5" i="2" l="1"/>
  <c r="CJ5" i="2"/>
  <c r="CH5" i="2"/>
  <c r="CI5" i="2"/>
  <c r="DJ5" i="2" l="1"/>
  <c r="CM5" i="2"/>
  <c r="CK5" i="2"/>
  <c r="CF5" i="2"/>
  <c r="CG5" i="2" l="1"/>
  <c r="DF5" i="2"/>
  <c r="C39" i="3"/>
  <c r="DG43" i="2" l="1"/>
  <c r="DG39" i="2"/>
  <c r="DG30" i="2"/>
  <c r="DG31" i="2"/>
  <c r="DG34" i="2"/>
  <c r="DG32" i="2"/>
  <c r="DG35" i="2"/>
  <c r="DG42" i="2"/>
  <c r="DG40" i="2"/>
  <c r="DG38" i="2"/>
  <c r="DG36" i="2"/>
  <c r="DG44" i="2"/>
  <c r="DG45" i="2"/>
  <c r="DG33" i="2"/>
  <c r="DG41" i="2"/>
  <c r="DG37" i="2"/>
  <c r="DG46" i="2"/>
  <c r="DG19" i="2"/>
  <c r="DG21" i="2"/>
  <c r="DG13" i="2"/>
  <c r="DG27" i="2"/>
  <c r="DG16" i="2"/>
  <c r="DG24" i="2"/>
  <c r="DG15" i="2"/>
  <c r="DG18" i="2"/>
  <c r="DG10" i="2"/>
  <c r="DG29" i="2"/>
  <c r="DG14" i="2"/>
  <c r="DG26" i="2"/>
  <c r="DG22" i="2"/>
  <c r="DG9" i="2"/>
  <c r="DG25" i="2"/>
  <c r="DG23" i="2"/>
  <c r="DG6" i="2"/>
  <c r="DG28" i="2"/>
  <c r="DG8" i="2"/>
  <c r="DG12" i="2"/>
  <c r="DG17" i="2"/>
  <c r="DG11" i="2"/>
  <c r="DG20" i="2"/>
  <c r="DG7" i="2"/>
  <c r="A15" i="1"/>
  <c r="W60" i="2"/>
  <c r="S60" i="2"/>
  <c r="I60" i="2"/>
  <c r="N60" i="2"/>
  <c r="K60" i="2"/>
  <c r="G60" i="2"/>
  <c r="O60" i="2"/>
  <c r="R60" i="2"/>
  <c r="U60" i="2"/>
  <c r="Q60" i="2"/>
  <c r="D60" i="2"/>
  <c r="V60" i="2"/>
  <c r="M60" i="2"/>
  <c r="J60" i="2"/>
  <c r="E52" i="2"/>
  <c r="T60" i="2"/>
  <c r="X60" i="2"/>
  <c r="Z60" i="2"/>
  <c r="P60" i="2"/>
  <c r="H60" i="2"/>
  <c r="L60" i="2"/>
  <c r="F60" i="2"/>
  <c r="E60" i="2"/>
  <c r="Y60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CW48" i="2" l="1"/>
  <c r="DG5" i="2" l="1"/>
  <c r="CF5" i="3"/>
  <c r="CJ5" i="3"/>
  <c r="CR5" i="3"/>
  <c r="CN5" i="3"/>
  <c r="CE5" i="3"/>
  <c r="CG5" i="3"/>
  <c r="CI5" i="3"/>
  <c r="CH5" i="3"/>
  <c r="CQ5" i="3" l="1"/>
  <c r="CM5" i="3"/>
  <c r="CK5" i="3"/>
  <c r="CO5" i="3" s="1"/>
  <c r="CL5" i="3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CP15" i="3" l="1"/>
  <c r="CP25" i="3"/>
  <c r="CP21" i="3"/>
  <c r="CP23" i="3"/>
  <c r="CP16" i="3"/>
  <c r="CP34" i="3"/>
  <c r="CP35" i="3"/>
  <c r="CP32" i="3"/>
  <c r="CP20" i="3"/>
  <c r="CP10" i="3"/>
  <c r="CP13" i="3"/>
  <c r="CP37" i="3"/>
  <c r="CP11" i="3"/>
  <c r="CP7" i="3"/>
  <c r="CP22" i="3"/>
  <c r="CP36" i="3"/>
  <c r="CP30" i="3"/>
  <c r="CP28" i="3"/>
  <c r="CP29" i="3"/>
  <c r="CP27" i="3"/>
  <c r="CP6" i="3"/>
  <c r="CP14" i="3"/>
  <c r="CP31" i="3"/>
  <c r="CP17" i="3"/>
  <c r="CP19" i="3"/>
  <c r="CP18" i="3"/>
  <c r="CP9" i="3"/>
  <c r="CP26" i="3"/>
  <c r="CP12" i="3"/>
  <c r="CP33" i="3"/>
  <c r="CP24" i="3"/>
  <c r="CP8" i="3"/>
  <c r="O3" i="1"/>
  <c r="P3" i="1"/>
  <c r="Z28" i="1" l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M61" i="2"/>
  <c r="J61" i="2"/>
  <c r="L61" i="2"/>
  <c r="P61" i="2"/>
  <c r="F61" i="2"/>
  <c r="R61" i="2"/>
  <c r="D61" i="2"/>
  <c r="U61" i="2"/>
  <c r="X61" i="2"/>
  <c r="O61" i="2"/>
  <c r="V61" i="2"/>
  <c r="G61" i="2"/>
  <c r="T61" i="2"/>
  <c r="N61" i="2"/>
  <c r="E61" i="2"/>
  <c r="Q61" i="2"/>
  <c r="I61" i="2"/>
  <c r="S61" i="2"/>
  <c r="Z61" i="2"/>
  <c r="Y61" i="2"/>
  <c r="K61" i="2"/>
  <c r="W61" i="2"/>
  <c r="H61" i="2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C1" i="2" a="1"/>
  <c r="C1" i="2" s="1"/>
  <c r="D49" i="2" a="1"/>
  <c r="D49" i="2" s="1"/>
  <c r="E49" i="2" a="1"/>
  <c r="E49" i="2" s="1"/>
  <c r="F49" i="2" a="1"/>
  <c r="F49" i="2" s="1"/>
  <c r="G49" i="2" a="1"/>
  <c r="G49" i="2" s="1"/>
  <c r="H49" i="2" a="1"/>
  <c r="H49" i="2" s="1"/>
  <c r="I49" i="2" a="1"/>
  <c r="I49" i="2" s="1"/>
  <c r="J49" i="2" a="1"/>
  <c r="J49" i="2" s="1"/>
  <c r="K49" i="2" a="1"/>
  <c r="K49" i="2" s="1"/>
  <c r="L49" i="2" a="1"/>
  <c r="L49" i="2" s="1"/>
  <c r="M49" i="2" a="1"/>
  <c r="M49" i="2" s="1"/>
  <c r="N49" i="2" a="1"/>
  <c r="N49" i="2" s="1"/>
  <c r="O49" i="2" a="1"/>
  <c r="O49" i="2" s="1"/>
  <c r="P49" i="2" a="1"/>
  <c r="P49" i="2" s="1"/>
  <c r="Q49" i="2" a="1"/>
  <c r="Q49" i="2" s="1"/>
  <c r="R49" i="2" a="1"/>
  <c r="R49" i="2" s="1"/>
  <c r="S49" i="2" a="1"/>
  <c r="S49" i="2" s="1"/>
  <c r="T49" i="2" a="1"/>
  <c r="T49" i="2" s="1"/>
  <c r="U49" i="2" a="1"/>
  <c r="U49" i="2" s="1"/>
  <c r="V49" i="2" a="1"/>
  <c r="V49" i="2" s="1"/>
  <c r="W49" i="2" a="1"/>
  <c r="W49" i="2" s="1"/>
  <c r="X49" i="2" a="1"/>
  <c r="X49" i="2" s="1"/>
  <c r="Y49" i="2" a="1"/>
  <c r="Y49" i="2" s="1"/>
  <c r="Z49" i="2" a="1"/>
  <c r="Z49" i="2" s="1"/>
  <c r="AA49" i="2" a="1"/>
  <c r="AA49" i="2" s="1"/>
  <c r="AB49" i="2" a="1"/>
  <c r="AB49" i="2" s="1"/>
  <c r="AC49" i="2" a="1"/>
  <c r="AC49" i="2" s="1"/>
  <c r="AD49" i="2" a="1"/>
  <c r="AD49" i="2" s="1"/>
  <c r="AE49" i="2" a="1"/>
  <c r="AE49" i="2" s="1"/>
  <c r="AF49" i="2" a="1"/>
  <c r="AF49" i="2" s="1"/>
  <c r="AG49" i="2" a="1"/>
  <c r="AG49" i="2" s="1"/>
  <c r="AH49" i="2" a="1"/>
  <c r="AH49" i="2" s="1"/>
  <c r="AI49" i="2" a="1"/>
  <c r="AI49" i="2" s="1"/>
  <c r="AJ49" i="2" a="1"/>
  <c r="AJ49" i="2" s="1"/>
  <c r="AK49" i="2" a="1"/>
  <c r="AK49" i="2" s="1"/>
  <c r="AL49" i="2" a="1"/>
  <c r="AL49" i="2" s="1"/>
  <c r="AM49" i="2" a="1"/>
  <c r="AM49" i="2" s="1"/>
  <c r="AN49" i="2" a="1"/>
  <c r="AN49" i="2" s="1"/>
  <c r="AO49" i="2" a="1"/>
  <c r="AO49" i="2" s="1"/>
  <c r="AP49" i="2" a="1"/>
  <c r="AP49" i="2" s="1"/>
  <c r="AQ49" i="2" a="1"/>
  <c r="AQ49" i="2" s="1"/>
  <c r="AR49" i="2" a="1"/>
  <c r="AR49" i="2" s="1"/>
  <c r="AS49" i="2" a="1"/>
  <c r="AS49" i="2" s="1"/>
  <c r="AT49" i="2" a="1"/>
  <c r="AT49" i="2" s="1"/>
  <c r="AU49" i="2" a="1"/>
  <c r="AU49" i="2" s="1"/>
  <c r="AV49" i="2" a="1"/>
  <c r="AV49" i="2" s="1"/>
  <c r="AW49" i="2" a="1"/>
  <c r="AW49" i="2" s="1"/>
  <c r="AX49" i="2" a="1"/>
  <c r="AX49" i="2" s="1"/>
  <c r="AY49" i="2" a="1"/>
  <c r="AY49" i="2" s="1"/>
  <c r="AZ49" i="2" a="1"/>
  <c r="AZ49" i="2" s="1"/>
  <c r="BA49" i="2" a="1"/>
  <c r="BA49" i="2" s="1"/>
  <c r="BB49" i="2" a="1"/>
  <c r="BB49" i="2" s="1"/>
  <c r="BC49" i="2" a="1"/>
  <c r="BC49" i="2" s="1"/>
  <c r="BD49" i="2" a="1"/>
  <c r="BD49" i="2" s="1"/>
  <c r="BE49" i="2" a="1"/>
  <c r="BE49" i="2" s="1"/>
  <c r="BF49" i="2" a="1"/>
  <c r="BF49" i="2" s="1"/>
  <c r="D50" i="2" a="1"/>
  <c r="D50" i="2" s="1"/>
  <c r="E50" i="2" a="1"/>
  <c r="E50" i="2" s="1"/>
  <c r="F50" i="2" a="1"/>
  <c r="F50" i="2" s="1"/>
  <c r="G50" i="2" a="1"/>
  <c r="G50" i="2" s="1"/>
  <c r="H50" i="2" a="1"/>
  <c r="H50" i="2" s="1"/>
  <c r="I50" i="2" a="1"/>
  <c r="I50" i="2" s="1"/>
  <c r="J50" i="2" a="1"/>
  <c r="J50" i="2" s="1"/>
  <c r="K50" i="2" a="1"/>
  <c r="K50" i="2" s="1"/>
  <c r="L50" i="2" a="1"/>
  <c r="L50" i="2" s="1"/>
  <c r="M50" i="2" a="1"/>
  <c r="M50" i="2" s="1"/>
  <c r="N50" i="2" a="1"/>
  <c r="N50" i="2" s="1"/>
  <c r="O50" i="2" a="1"/>
  <c r="O50" i="2" s="1"/>
  <c r="P50" i="2" a="1"/>
  <c r="P50" i="2" s="1"/>
  <c r="Q50" i="2" a="1"/>
  <c r="Q50" i="2" s="1"/>
  <c r="R50" i="2" a="1"/>
  <c r="R50" i="2" s="1"/>
  <c r="S50" i="2" a="1"/>
  <c r="S50" i="2" s="1"/>
  <c r="T50" i="2" a="1"/>
  <c r="T50" i="2" s="1"/>
  <c r="U50" i="2" a="1"/>
  <c r="U50" i="2" s="1"/>
  <c r="V50" i="2" a="1"/>
  <c r="V50" i="2" s="1"/>
  <c r="W50" i="2" a="1"/>
  <c r="W50" i="2" s="1"/>
  <c r="X50" i="2" a="1"/>
  <c r="X50" i="2" s="1"/>
  <c r="Y50" i="2" a="1"/>
  <c r="Y50" i="2" s="1"/>
  <c r="Z50" i="2" a="1"/>
  <c r="Z50" i="2" s="1"/>
  <c r="AA50" i="2" a="1"/>
  <c r="AA50" i="2" s="1"/>
  <c r="AB50" i="2" a="1"/>
  <c r="AB50" i="2" s="1"/>
  <c r="AC50" i="2" a="1"/>
  <c r="AC50" i="2" s="1"/>
  <c r="AD50" i="2" a="1"/>
  <c r="AD50" i="2" s="1"/>
  <c r="AE50" i="2" a="1"/>
  <c r="AE50" i="2" s="1"/>
  <c r="AF50" i="2" a="1"/>
  <c r="AF50" i="2" s="1"/>
  <c r="AG50" i="2" a="1"/>
  <c r="AG50" i="2" s="1"/>
  <c r="AH50" i="2" a="1"/>
  <c r="AH50" i="2" s="1"/>
  <c r="AI50" i="2" a="1"/>
  <c r="AI50" i="2" s="1"/>
  <c r="AJ50" i="2" a="1"/>
  <c r="AJ50" i="2" s="1"/>
  <c r="AK50" i="2" a="1"/>
  <c r="AK50" i="2" s="1"/>
  <c r="AL50" i="2" a="1"/>
  <c r="AL50" i="2" s="1"/>
  <c r="AM50" i="2" a="1"/>
  <c r="AM50" i="2" s="1"/>
  <c r="AN50" i="2" a="1"/>
  <c r="AN50" i="2" s="1"/>
  <c r="AO50" i="2" a="1"/>
  <c r="AO50" i="2" s="1"/>
  <c r="AP50" i="2" a="1"/>
  <c r="AP50" i="2" s="1"/>
  <c r="AQ50" i="2" a="1"/>
  <c r="AQ50" i="2" s="1"/>
  <c r="AR50" i="2" a="1"/>
  <c r="AR50" i="2" s="1"/>
  <c r="AS50" i="2" a="1"/>
  <c r="AS50" i="2" s="1"/>
  <c r="AT50" i="2" a="1"/>
  <c r="AT50" i="2" s="1"/>
  <c r="AU50" i="2" a="1"/>
  <c r="AU50" i="2" s="1"/>
  <c r="AV50" i="2" a="1"/>
  <c r="AV50" i="2" s="1"/>
  <c r="AW50" i="2" a="1"/>
  <c r="AW50" i="2" s="1"/>
  <c r="AX50" i="2" a="1"/>
  <c r="AX50" i="2" s="1"/>
  <c r="AY50" i="2" a="1"/>
  <c r="AY50" i="2" s="1"/>
  <c r="AZ50" i="2" a="1"/>
  <c r="AZ50" i="2" s="1"/>
  <c r="BA50" i="2" a="1"/>
  <c r="BA50" i="2" s="1"/>
  <c r="BB50" i="2" a="1"/>
  <c r="BB50" i="2" s="1"/>
  <c r="BC50" i="2" a="1"/>
  <c r="BC50" i="2" s="1"/>
  <c r="BD50" i="2" a="1"/>
  <c r="BD50" i="2" s="1"/>
  <c r="BE50" i="2" a="1"/>
  <c r="BE50" i="2" s="1"/>
  <c r="BF50" i="2" a="1"/>
  <c r="BF50" i="2" s="1"/>
  <c r="B1" i="3" a="1"/>
  <c r="B1" i="3" s="1"/>
  <c r="C40" i="3" a="1"/>
  <c r="C40" i="3" s="1"/>
  <c r="C45" i="3" a="1"/>
  <c r="C45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C21" i="1"/>
  <c r="AD21" i="1"/>
  <c r="AA22" i="1"/>
  <c r="AB22" i="1"/>
  <c r="AC22" i="1"/>
  <c r="AD22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O65" i="1" s="1"/>
  <c r="P63" i="1" a="1"/>
  <c r="P63" i="1" s="1"/>
  <c r="P65" i="1" s="1"/>
  <c r="Q63" i="1"/>
  <c r="R63" i="1"/>
  <c r="S63" i="1"/>
  <c r="T63" i="1"/>
  <c r="U63" i="1"/>
  <c r="V63" i="1"/>
  <c r="W63" i="1"/>
  <c r="X63" i="1"/>
  <c r="AH43" i="3"/>
  <c r="AK43" i="3"/>
  <c r="AM39" i="3"/>
  <c r="AR44" i="3"/>
  <c r="BE43" i="3"/>
  <c r="AC59" i="2"/>
  <c r="AQ52" i="2"/>
  <c r="AW52" i="2"/>
  <c r="N43" i="3"/>
  <c r="Q43" i="3"/>
  <c r="AC39" i="3"/>
  <c r="K43" i="3"/>
  <c r="F43" i="3"/>
  <c r="G52" i="2"/>
  <c r="G58" i="2"/>
  <c r="H52" i="2"/>
  <c r="K56" i="2"/>
  <c r="Y59" i="2"/>
  <c r="AX52" i="2"/>
  <c r="U44" i="3"/>
  <c r="X39" i="3"/>
  <c r="S59" i="2"/>
  <c r="K59" i="2"/>
  <c r="E44" i="3"/>
  <c r="T59" i="2"/>
  <c r="E59" i="2"/>
  <c r="BE39" i="3"/>
  <c r="BD44" i="3"/>
  <c r="AV43" i="3"/>
  <c r="BC44" i="3"/>
  <c r="AU44" i="3"/>
  <c r="AR52" i="2"/>
  <c r="AV52" i="2"/>
  <c r="AD58" i="2"/>
  <c r="F44" i="3"/>
  <c r="AA44" i="3"/>
  <c r="O43" i="3"/>
  <c r="D43" i="3"/>
  <c r="V43" i="3"/>
  <c r="Q58" i="2"/>
  <c r="V52" i="2"/>
  <c r="U52" i="2"/>
  <c r="F56" i="2"/>
  <c r="O56" i="2"/>
  <c r="G56" i="2"/>
  <c r="AA56" i="2"/>
  <c r="AC44" i="3"/>
  <c r="K58" i="2"/>
  <c r="L52" i="2"/>
  <c r="L56" i="2"/>
  <c r="P43" i="3"/>
  <c r="M56" i="2"/>
  <c r="Q59" i="2"/>
  <c r="AG39" i="3"/>
  <c r="BA39" i="3"/>
  <c r="AF44" i="3"/>
  <c r="AP43" i="3"/>
  <c r="AI39" i="3"/>
  <c r="BA52" i="2"/>
  <c r="AT52" i="2"/>
  <c r="AC43" i="3"/>
  <c r="Z39" i="3"/>
  <c r="O58" i="2"/>
  <c r="D44" i="3"/>
  <c r="Z56" i="2"/>
  <c r="S56" i="2"/>
  <c r="AD43" i="3"/>
  <c r="AN39" i="3"/>
  <c r="AQ43" i="3"/>
  <c r="AT39" i="3"/>
  <c r="AD44" i="3"/>
  <c r="AB52" i="2"/>
  <c r="AB58" i="2"/>
  <c r="U39" i="3"/>
  <c r="P58" i="2"/>
  <c r="AL44" i="3"/>
  <c r="AX39" i="3"/>
  <c r="AN43" i="3"/>
  <c r="AC52" i="2"/>
  <c r="N44" i="3"/>
  <c r="AA39" i="3"/>
  <c r="O44" i="3"/>
  <c r="J58" i="2"/>
  <c r="G44" i="3"/>
  <c r="F58" i="2"/>
  <c r="AK52" i="2"/>
  <c r="W56" i="2"/>
  <c r="BD39" i="3"/>
  <c r="AE59" i="2"/>
  <c r="AS52" i="2"/>
  <c r="C44" i="3"/>
  <c r="U43" i="3"/>
  <c r="R56" i="2"/>
  <c r="AL52" i="2"/>
  <c r="J59" i="2"/>
  <c r="S44" i="3"/>
  <c r="AU43" i="3"/>
  <c r="AQ39" i="3"/>
  <c r="AA52" i="2"/>
  <c r="Q52" i="2"/>
  <c r="Q56" i="2"/>
  <c r="AW39" i="3"/>
  <c r="AG44" i="3"/>
  <c r="Z43" i="3"/>
  <c r="AQ44" i="3"/>
  <c r="H59" i="2"/>
  <c r="E56" i="2"/>
  <c r="T58" i="2"/>
  <c r="G43" i="3"/>
  <c r="AZ44" i="3"/>
  <c r="AH39" i="3"/>
  <c r="AJ52" i="2"/>
  <c r="L44" i="3"/>
  <c r="Y43" i="3"/>
  <c r="X59" i="2"/>
  <c r="H56" i="2"/>
  <c r="M44" i="3"/>
  <c r="M58" i="2"/>
  <c r="I59" i="2"/>
  <c r="BB44" i="3"/>
  <c r="AX43" i="3"/>
  <c r="V39" i="3"/>
  <c r="G39" i="3"/>
  <c r="AS43" i="3"/>
  <c r="AD52" i="2"/>
  <c r="S39" i="3"/>
  <c r="AY39" i="3"/>
  <c r="AO43" i="3"/>
  <c r="AJ43" i="3"/>
  <c r="AY44" i="3"/>
  <c r="AY43" i="3"/>
  <c r="AE58" i="2"/>
  <c r="AU52" i="2"/>
  <c r="AF52" i="2"/>
  <c r="R43" i="3"/>
  <c r="K39" i="3"/>
  <c r="H43" i="3"/>
  <c r="Q39" i="3"/>
  <c r="C43" i="3"/>
  <c r="Y58" i="2"/>
  <c r="D56" i="2"/>
  <c r="S58" i="2"/>
  <c r="N52" i="2"/>
  <c r="V59" i="2"/>
  <c r="M52" i="2"/>
  <c r="X44" i="3"/>
  <c r="N59" i="2"/>
  <c r="X52" i="2"/>
  <c r="P52" i="2"/>
  <c r="E43" i="3"/>
  <c r="U59" i="2"/>
  <c r="U58" i="2"/>
  <c r="AE43" i="3"/>
  <c r="AL39" i="3"/>
  <c r="AW43" i="3"/>
  <c r="BB43" i="3"/>
  <c r="AR39" i="3"/>
  <c r="AH52" i="2"/>
  <c r="AA59" i="2"/>
  <c r="AC58" i="2"/>
  <c r="K44" i="3"/>
  <c r="AB39" i="3"/>
  <c r="M39" i="3"/>
  <c r="Y39" i="3"/>
  <c r="H39" i="3"/>
  <c r="R58" i="2"/>
  <c r="W52" i="2"/>
  <c r="Z52" i="2"/>
  <c r="O59" i="2"/>
  <c r="H58" i="2"/>
  <c r="F59" i="2"/>
  <c r="AB43" i="3"/>
  <c r="P44" i="3"/>
  <c r="F52" i="2"/>
  <c r="I56" i="2"/>
  <c r="AO52" i="2"/>
  <c r="P39" i="3"/>
  <c r="G59" i="2"/>
  <c r="BF43" i="3"/>
  <c r="BF39" i="3"/>
  <c r="AE44" i="3"/>
  <c r="BE44" i="3"/>
  <c r="AS44" i="3"/>
  <c r="BF44" i="3"/>
  <c r="AY52" i="2"/>
  <c r="BF52" i="2"/>
  <c r="T39" i="3"/>
  <c r="Y56" i="2"/>
  <c r="BD52" i="2"/>
  <c r="L43" i="3"/>
  <c r="P59" i="2"/>
  <c r="AU39" i="3"/>
  <c r="AR43" i="3"/>
  <c r="BC43" i="3"/>
  <c r="AZ43" i="3"/>
  <c r="AJ39" i="3"/>
  <c r="BB39" i="3"/>
  <c r="AN52" i="2"/>
  <c r="AP52" i="2"/>
  <c r="O39" i="3"/>
  <c r="V58" i="2"/>
  <c r="BA44" i="3"/>
  <c r="AP44" i="3"/>
  <c r="AG52" i="2"/>
  <c r="AC56" i="2"/>
  <c r="R44" i="3"/>
  <c r="D39" i="3"/>
  <c r="D58" i="2"/>
  <c r="Z58" i="2"/>
  <c r="T52" i="2"/>
  <c r="J43" i="3"/>
  <c r="E58" i="2"/>
  <c r="W59" i="2"/>
  <c r="AE39" i="3"/>
  <c r="AG43" i="3"/>
  <c r="AP39" i="3"/>
  <c r="AB59" i="2"/>
  <c r="T43" i="3"/>
  <c r="X43" i="3"/>
  <c r="L59" i="2"/>
  <c r="X58" i="2"/>
  <c r="F39" i="3"/>
  <c r="Y52" i="2"/>
  <c r="L58" i="2"/>
  <c r="AT43" i="3"/>
  <c r="AJ44" i="3"/>
  <c r="AM52" i="2"/>
  <c r="T44" i="3"/>
  <c r="AI44" i="3"/>
  <c r="AD39" i="3"/>
  <c r="AB56" i="2"/>
  <c r="AZ39" i="3"/>
  <c r="AI43" i="3"/>
  <c r="BB52" i="2"/>
  <c r="I39" i="3"/>
  <c r="L39" i="3"/>
  <c r="V44" i="3"/>
  <c r="D52" i="2"/>
  <c r="P56" i="2"/>
  <c r="I44" i="3"/>
  <c r="AD56" i="2"/>
  <c r="AK39" i="3"/>
  <c r="AM44" i="3"/>
  <c r="AZ52" i="2"/>
  <c r="Y44" i="3"/>
  <c r="Z44" i="3"/>
  <c r="K52" i="2"/>
  <c r="S52" i="2"/>
  <c r="W39" i="3"/>
  <c r="W44" i="3"/>
  <c r="BC39" i="3"/>
  <c r="BD43" i="3"/>
  <c r="AA58" i="2"/>
  <c r="J52" i="2"/>
  <c r="AM43" i="3"/>
  <c r="BA43" i="3"/>
  <c r="AW44" i="3"/>
  <c r="J44" i="3"/>
  <c r="N56" i="2"/>
  <c r="AN44" i="3"/>
  <c r="T56" i="2"/>
  <c r="AB44" i="3"/>
  <c r="AL43" i="3"/>
  <c r="M43" i="3"/>
  <c r="O52" i="2"/>
  <c r="W58" i="2"/>
  <c r="H44" i="3"/>
  <c r="R39" i="3"/>
  <c r="AO39" i="3"/>
  <c r="AV44" i="3"/>
  <c r="E39" i="3"/>
  <c r="J39" i="3"/>
  <c r="AF43" i="3"/>
  <c r="AF39" i="3"/>
  <c r="AE52" i="2"/>
  <c r="I52" i="2"/>
  <c r="AT44" i="3"/>
  <c r="AO44" i="3"/>
  <c r="AH44" i="3"/>
  <c r="AD59" i="2"/>
  <c r="W43" i="3"/>
  <c r="AA43" i="3"/>
  <c r="Z59" i="2"/>
  <c r="J56" i="2"/>
  <c r="I43" i="3"/>
  <c r="U56" i="2"/>
  <c r="V56" i="2"/>
  <c r="AK44" i="3"/>
  <c r="AX44" i="3"/>
  <c r="AE56" i="2"/>
  <c r="N39" i="3"/>
  <c r="R52" i="2"/>
  <c r="AI52" i="2"/>
  <c r="I58" i="2"/>
  <c r="R59" i="2"/>
  <c r="AV39" i="3"/>
  <c r="BC52" i="2"/>
  <c r="S43" i="3"/>
  <c r="X56" i="2"/>
  <c r="AS39" i="3"/>
  <c r="BE52" i="2"/>
  <c r="Q44" i="3"/>
  <c r="L47" i="4" l="1"/>
  <c r="AI43" i="4"/>
  <c r="AE43" i="4"/>
  <c r="AA43" i="4"/>
  <c r="I43" i="4"/>
  <c r="E43" i="4"/>
  <c r="A41" i="4"/>
  <c r="A42" i="4" s="1"/>
  <c r="Y63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48" i="2"/>
  <c r="CF50" i="2"/>
  <c r="AB3" i="1" a="1"/>
  <c r="AB3" i="1" s="1"/>
  <c r="AC63" i="1"/>
  <c r="BN45" i="3"/>
  <c r="AH45" i="3"/>
  <c r="AX45" i="3"/>
  <c r="R45" i="3"/>
  <c r="K41" i="3"/>
  <c r="BV45" i="3"/>
  <c r="BF45" i="3"/>
  <c r="AP45" i="3"/>
  <c r="Z45" i="3"/>
  <c r="J45" i="3"/>
  <c r="AQ41" i="3"/>
  <c r="AH40" i="3"/>
  <c r="K46" i="4"/>
  <c r="N46" i="4" s="1"/>
  <c r="C5" i="7" s="1"/>
  <c r="AA41" i="3"/>
  <c r="AX40" i="3"/>
  <c r="R40" i="3"/>
  <c r="BZ45" i="3"/>
  <c r="BR45" i="3"/>
  <c r="BJ45" i="3"/>
  <c r="BB45" i="3"/>
  <c r="AT45" i="3"/>
  <c r="AL45" i="3"/>
  <c r="AD45" i="3"/>
  <c r="V45" i="3"/>
  <c r="N45" i="3"/>
  <c r="F45" i="3"/>
  <c r="AY41" i="3"/>
  <c r="AI41" i="3"/>
  <c r="S41" i="3"/>
  <c r="C41" i="3"/>
  <c r="AP40" i="3"/>
  <c r="Z40" i="3"/>
  <c r="J40" i="3"/>
  <c r="BC41" i="3"/>
  <c r="AU41" i="3"/>
  <c r="AM41" i="3"/>
  <c r="AE41" i="3"/>
  <c r="W41" i="3"/>
  <c r="O41" i="3"/>
  <c r="G41" i="3"/>
  <c r="BB40" i="3"/>
  <c r="AT40" i="3"/>
  <c r="AL40" i="3"/>
  <c r="AD40" i="3"/>
  <c r="V40" i="3"/>
  <c r="N40" i="3"/>
  <c r="F40" i="3"/>
  <c r="CB45" i="3"/>
  <c r="BX45" i="3"/>
  <c r="BT45" i="3"/>
  <c r="BP45" i="3"/>
  <c r="BL45" i="3"/>
  <c r="BH45" i="3"/>
  <c r="BD45" i="3"/>
  <c r="AZ45" i="3"/>
  <c r="AV45" i="3"/>
  <c r="AR45" i="3"/>
  <c r="AN45" i="3"/>
  <c r="AJ45" i="3"/>
  <c r="AF45" i="3"/>
  <c r="AB45" i="3"/>
  <c r="X45" i="3"/>
  <c r="T45" i="3"/>
  <c r="P45" i="3"/>
  <c r="L45" i="3"/>
  <c r="H45" i="3"/>
  <c r="D45" i="3"/>
  <c r="BE41" i="3"/>
  <c r="BA41" i="3"/>
  <c r="AW41" i="3"/>
  <c r="AS41" i="3"/>
  <c r="AO41" i="3"/>
  <c r="AK41" i="3"/>
  <c r="AG41" i="3"/>
  <c r="AC41" i="3"/>
  <c r="Y41" i="3"/>
  <c r="U41" i="3"/>
  <c r="Q41" i="3"/>
  <c r="M41" i="3"/>
  <c r="I41" i="3"/>
  <c r="E41" i="3"/>
  <c r="BD40" i="3"/>
  <c r="AZ40" i="3"/>
  <c r="AV40" i="3"/>
  <c r="AR40" i="3"/>
  <c r="AN40" i="3"/>
  <c r="AJ40" i="3"/>
  <c r="AF40" i="3"/>
  <c r="AB40" i="3"/>
  <c r="X40" i="3"/>
  <c r="T40" i="3"/>
  <c r="P40" i="3"/>
  <c r="L40" i="3"/>
  <c r="H40" i="3"/>
  <c r="D40" i="3"/>
  <c r="BD41" i="3"/>
  <c r="BB41" i="3"/>
  <c r="AZ41" i="3"/>
  <c r="AX41" i="3"/>
  <c r="AV41" i="3"/>
  <c r="AT41" i="3"/>
  <c r="AR41" i="3"/>
  <c r="AP41" i="3"/>
  <c r="AN41" i="3"/>
  <c r="AL41" i="3"/>
  <c r="AJ41" i="3"/>
  <c r="AH41" i="3"/>
  <c r="AF41" i="3"/>
  <c r="AD41" i="3"/>
  <c r="AB41" i="3"/>
  <c r="Z41" i="3"/>
  <c r="X41" i="3"/>
  <c r="V41" i="3"/>
  <c r="T41" i="3"/>
  <c r="R41" i="3"/>
  <c r="P41" i="3"/>
  <c r="N41" i="3"/>
  <c r="L41" i="3"/>
  <c r="J41" i="3"/>
  <c r="H41" i="3"/>
  <c r="F41" i="3"/>
  <c r="D41" i="3"/>
  <c r="BE40" i="3"/>
  <c r="BC40" i="3"/>
  <c r="BA40" i="3"/>
  <c r="AY40" i="3"/>
  <c r="AW40" i="3"/>
  <c r="AU40" i="3"/>
  <c r="AS40" i="3"/>
  <c r="AQ40" i="3"/>
  <c r="AO40" i="3"/>
  <c r="AM40" i="3"/>
  <c r="AK40" i="3"/>
  <c r="AI40" i="3"/>
  <c r="AG40" i="3"/>
  <c r="AE40" i="3"/>
  <c r="AC40" i="3"/>
  <c r="AA40" i="3"/>
  <c r="Y40" i="3"/>
  <c r="W40" i="3"/>
  <c r="U40" i="3"/>
  <c r="S40" i="3"/>
  <c r="Q40" i="3"/>
  <c r="O40" i="3"/>
  <c r="M40" i="3"/>
  <c r="K40" i="3"/>
  <c r="I40" i="3"/>
  <c r="G40" i="3"/>
  <c r="E40" i="3"/>
  <c r="CC45" i="3"/>
  <c r="CA45" i="3"/>
  <c r="BY45" i="3"/>
  <c r="BW45" i="3"/>
  <c r="BU45" i="3"/>
  <c r="BS45" i="3"/>
  <c r="BQ45" i="3"/>
  <c r="BO45" i="3"/>
  <c r="BM45" i="3"/>
  <c r="BK45" i="3"/>
  <c r="BI45" i="3"/>
  <c r="BG45" i="3"/>
  <c r="BE45" i="3"/>
  <c r="BC45" i="3"/>
  <c r="BA45" i="3"/>
  <c r="AY45" i="3"/>
  <c r="AW45" i="3"/>
  <c r="AU45" i="3"/>
  <c r="AS45" i="3"/>
  <c r="AQ45" i="3"/>
  <c r="AO45" i="3"/>
  <c r="AM45" i="3"/>
  <c r="AK45" i="3"/>
  <c r="AI45" i="3"/>
  <c r="AG45" i="3"/>
  <c r="AE45" i="3"/>
  <c r="AC45" i="3"/>
  <c r="AA45" i="3"/>
  <c r="Y45" i="3"/>
  <c r="W45" i="3"/>
  <c r="U45" i="3"/>
  <c r="S45" i="3"/>
  <c r="Q45" i="3"/>
  <c r="O45" i="3"/>
  <c r="M45" i="3"/>
  <c r="K45" i="3"/>
  <c r="I45" i="3"/>
  <c r="G45" i="3"/>
  <c r="E45" i="3"/>
  <c r="O66" i="1"/>
  <c r="CC1" i="3"/>
  <c r="BM1" i="3"/>
  <c r="AW1" i="3"/>
  <c r="AG1" i="3"/>
  <c r="Q1" i="3"/>
  <c r="O46" i="4"/>
  <c r="D5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48" i="2"/>
  <c r="CS48" i="2"/>
  <c r="CP48" i="2"/>
  <c r="CF49" i="2"/>
  <c r="CV48" i="2"/>
  <c r="CT48" i="2"/>
  <c r="CO48" i="2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CZ48" i="2"/>
  <c r="CE44" i="3"/>
  <c r="CE43" i="3"/>
  <c r="CE39" i="3"/>
  <c r="CF52" i="2"/>
  <c r="CO52" i="2"/>
  <c r="DD48" i="2"/>
  <c r="CJ52" i="2"/>
  <c r="DB48" i="2"/>
  <c r="DE48" i="2"/>
  <c r="DC48" i="2"/>
  <c r="DA48" i="2"/>
  <c r="CQ48" i="2"/>
  <c r="CF39" i="3"/>
  <c r="CJ39" i="3"/>
  <c r="CL52" i="2"/>
  <c r="CH52" i="2"/>
  <c r="CI52" i="2"/>
  <c r="O17" i="5"/>
  <c r="Z63" i="1"/>
  <c r="D53" i="2" a="1"/>
  <c r="AA2" i="1"/>
  <c r="AA63" i="1"/>
  <c r="AA3" i="1" a="1"/>
  <c r="AA3" i="1" s="1"/>
  <c r="AD63" i="1"/>
  <c r="AB63" i="1"/>
  <c r="CO50" i="2"/>
  <c r="P66" i="1"/>
  <c r="H93" i="4"/>
  <c r="A5" i="5" s="1" a="1"/>
  <c r="CO49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AA65" i="1" l="1"/>
  <c r="AB65" i="1"/>
  <c r="BA42" i="3"/>
  <c r="N58" i="2"/>
  <c r="M59" i="2"/>
  <c r="D59" i="2"/>
  <c r="B59" i="2" l="1"/>
  <c r="B58" i="2"/>
  <c r="H47" i="4"/>
  <c r="A6" i="7"/>
  <c r="L48" i="4"/>
  <c r="CR49" i="2"/>
  <c r="CW50" i="2" s="1"/>
  <c r="CP5" i="3"/>
  <c r="AS42" i="3"/>
  <c r="T68" i="1"/>
  <c r="R68" i="1"/>
  <c r="S68" i="1"/>
  <c r="Q68" i="1"/>
  <c r="BC42" i="3"/>
  <c r="G42" i="3"/>
  <c r="W42" i="3"/>
  <c r="AA42" i="3"/>
  <c r="AI42" i="3"/>
  <c r="AM42" i="3"/>
  <c r="E42" i="3"/>
  <c r="M42" i="3"/>
  <c r="U42" i="3"/>
  <c r="AC42" i="3"/>
  <c r="AK42" i="3"/>
  <c r="C42" i="3"/>
  <c r="I42" i="3"/>
  <c r="AB42" i="3"/>
  <c r="L42" i="3"/>
  <c r="AR42" i="3"/>
  <c r="AO42" i="3"/>
  <c r="Y42" i="3"/>
  <c r="BE42" i="3"/>
  <c r="D42" i="3"/>
  <c r="T42" i="3"/>
  <c r="AJ42" i="3"/>
  <c r="AZ42" i="3"/>
  <c r="AY42" i="3"/>
  <c r="S42" i="3"/>
  <c r="H42" i="3"/>
  <c r="P42" i="3"/>
  <c r="X42" i="3"/>
  <c r="AF42" i="3"/>
  <c r="AN42" i="3"/>
  <c r="AV42" i="3"/>
  <c r="BD42" i="3"/>
  <c r="Q42" i="3"/>
  <c r="AG42" i="3"/>
  <c r="AW42" i="3"/>
  <c r="N42" i="3"/>
  <c r="R42" i="3"/>
  <c r="Z42" i="3"/>
  <c r="AD42" i="3"/>
  <c r="AH42" i="3"/>
  <c r="AT42" i="3"/>
  <c r="O42" i="3"/>
  <c r="AE42" i="3"/>
  <c r="AU42" i="3"/>
  <c r="AQ42" i="3"/>
  <c r="K42" i="3"/>
  <c r="F42" i="3"/>
  <c r="V42" i="3"/>
  <c r="AL42" i="3"/>
  <c r="BB42" i="3"/>
  <c r="J42" i="3"/>
  <c r="AP42" i="3"/>
  <c r="AX42" i="3"/>
  <c r="CE40" i="3"/>
  <c r="CE41" i="3"/>
  <c r="O67" i="1"/>
  <c r="D53" i="2"/>
  <c r="E53" i="2"/>
  <c r="E54" i="2" s="1"/>
  <c r="G53" i="2"/>
  <c r="G54" i="2" s="1"/>
  <c r="I53" i="2"/>
  <c r="I54" i="2" s="1"/>
  <c r="K53" i="2"/>
  <c r="K54" i="2" s="1"/>
  <c r="M53" i="2"/>
  <c r="M54" i="2" s="1"/>
  <c r="O53" i="2"/>
  <c r="O54" i="2" s="1"/>
  <c r="Q53" i="2"/>
  <c r="Q54" i="2" s="1"/>
  <c r="S53" i="2"/>
  <c r="S54" i="2" s="1"/>
  <c r="U53" i="2"/>
  <c r="U54" i="2" s="1"/>
  <c r="W53" i="2"/>
  <c r="W54" i="2" s="1"/>
  <c r="Y53" i="2"/>
  <c r="Y54" i="2" s="1"/>
  <c r="AA53" i="2"/>
  <c r="AA54" i="2" s="1"/>
  <c r="AC53" i="2"/>
  <c r="AC54" i="2" s="1"/>
  <c r="AE53" i="2"/>
  <c r="AE54" i="2" s="1"/>
  <c r="AG53" i="2"/>
  <c r="AG54" i="2" s="1"/>
  <c r="AI53" i="2"/>
  <c r="AI54" i="2" s="1"/>
  <c r="AK53" i="2"/>
  <c r="AK54" i="2" s="1"/>
  <c r="AM53" i="2"/>
  <c r="AM54" i="2" s="1"/>
  <c r="AO53" i="2"/>
  <c r="AO54" i="2" s="1"/>
  <c r="AQ53" i="2"/>
  <c r="AQ54" i="2" s="1"/>
  <c r="AS53" i="2"/>
  <c r="AS54" i="2" s="1"/>
  <c r="AU53" i="2"/>
  <c r="AU54" i="2" s="1"/>
  <c r="AV53" i="2"/>
  <c r="AV54" i="2" s="1"/>
  <c r="AW53" i="2"/>
  <c r="AW54" i="2" s="1"/>
  <c r="AX53" i="2"/>
  <c r="AX54" i="2" s="1"/>
  <c r="AY53" i="2"/>
  <c r="AY54" i="2" s="1"/>
  <c r="AZ53" i="2"/>
  <c r="AZ54" i="2" s="1"/>
  <c r="BA53" i="2"/>
  <c r="BA54" i="2" s="1"/>
  <c r="BB53" i="2"/>
  <c r="BB54" i="2" s="1"/>
  <c r="BC53" i="2"/>
  <c r="BC54" i="2" s="1"/>
  <c r="BD53" i="2"/>
  <c r="BD54" i="2" s="1"/>
  <c r="BE53" i="2"/>
  <c r="BE54" i="2" s="1"/>
  <c r="BF53" i="2"/>
  <c r="BF54" i="2" s="1"/>
  <c r="H53" i="2"/>
  <c r="H54" i="2" s="1"/>
  <c r="L53" i="2"/>
  <c r="L54" i="2" s="1"/>
  <c r="P53" i="2"/>
  <c r="P54" i="2" s="1"/>
  <c r="T53" i="2"/>
  <c r="T54" i="2" s="1"/>
  <c r="X53" i="2"/>
  <c r="X54" i="2" s="1"/>
  <c r="AB53" i="2"/>
  <c r="AB54" i="2" s="1"/>
  <c r="AF53" i="2"/>
  <c r="AF54" i="2" s="1"/>
  <c r="AJ53" i="2"/>
  <c r="AJ54" i="2" s="1"/>
  <c r="AN53" i="2"/>
  <c r="AN54" i="2" s="1"/>
  <c r="AR53" i="2"/>
  <c r="AR54" i="2" s="1"/>
  <c r="F53" i="2"/>
  <c r="F54" i="2" s="1"/>
  <c r="J53" i="2"/>
  <c r="J54" i="2" s="1"/>
  <c r="N53" i="2"/>
  <c r="N54" i="2" s="1"/>
  <c r="R53" i="2"/>
  <c r="R54" i="2" s="1"/>
  <c r="V53" i="2"/>
  <c r="V54" i="2" s="1"/>
  <c r="Z53" i="2"/>
  <c r="Z54" i="2" s="1"/>
  <c r="AD53" i="2"/>
  <c r="AD54" i="2" s="1"/>
  <c r="AH53" i="2"/>
  <c r="AH54" i="2" s="1"/>
  <c r="AL53" i="2"/>
  <c r="AL54" i="2" s="1"/>
  <c r="AP53" i="2"/>
  <c r="AP54" i="2" s="1"/>
  <c r="AT53" i="2"/>
  <c r="AT54" i="2" s="1"/>
  <c r="CF44" i="3"/>
  <c r="CG44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P67" i="1"/>
  <c r="O18" i="5"/>
  <c r="CI54" i="2"/>
  <c r="H48" i="4" l="1"/>
  <c r="L49" i="4"/>
  <c r="A7" i="7"/>
  <c r="K47" i="4"/>
  <c r="N47" i="4" s="1"/>
  <c r="C6" i="7" s="1"/>
  <c r="O47" i="4"/>
  <c r="D6" i="7" s="1"/>
  <c r="M47" i="4"/>
  <c r="B6" i="7" s="1"/>
  <c r="CR50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42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42" i="3"/>
  <c r="CH42" i="3" a="1"/>
  <c r="CH42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50" i="2"/>
  <c r="CT50" i="2"/>
  <c r="CV50" i="2"/>
  <c r="CU50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O53" i="2"/>
  <c r="D54" i="2"/>
  <c r="CF53" i="2"/>
  <c r="CH44" i="3"/>
  <c r="H49" i="4" l="1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N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N47" i="10" s="1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N49" i="10" s="1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CO54" i="2"/>
  <c r="CF54" i="2"/>
  <c r="CI55" i="2" s="1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44" i="10" l="1"/>
  <c r="N43" i="10"/>
  <c r="N42" i="10"/>
  <c r="N41" i="10"/>
  <c r="N40" i="10"/>
  <c r="N39" i="10"/>
  <c r="N37" i="10"/>
  <c r="N36" i="10"/>
  <c r="N35" i="10"/>
  <c r="N19" i="10"/>
  <c r="N7" i="10"/>
  <c r="N9" i="10"/>
  <c r="N33" i="10"/>
  <c r="N29" i="10"/>
  <c r="N24" i="10"/>
  <c r="N8" i="10"/>
  <c r="N26" i="10"/>
  <c r="N10" i="10"/>
  <c r="N28" i="10"/>
  <c r="N25" i="10"/>
  <c r="N17" i="10"/>
  <c r="N20" i="10"/>
  <c r="N12" i="10"/>
  <c r="N4" i="10"/>
  <c r="N22" i="10"/>
  <c r="N14" i="10"/>
  <c r="N31" i="10"/>
  <c r="N27" i="10"/>
  <c r="N23" i="10"/>
  <c r="N15" i="10"/>
  <c r="N3" i="10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K12" i="9" l="1"/>
  <c r="K47" i="9"/>
  <c r="K40" i="9"/>
  <c r="K53" i="9"/>
  <c r="K54" i="9"/>
  <c r="K6" i="9"/>
  <c r="K24" i="9"/>
  <c r="K37" i="9"/>
  <c r="K58" i="9"/>
  <c r="K7" i="9"/>
  <c r="K10" i="9"/>
  <c r="K3" i="9"/>
  <c r="K32" i="9"/>
  <c r="K56" i="9"/>
  <c r="K11" i="9"/>
  <c r="K9" i="9"/>
  <c r="K34" i="9"/>
  <c r="K19" i="9"/>
  <c r="K22" i="9"/>
  <c r="K8" i="9"/>
  <c r="K18" i="9"/>
  <c r="K35" i="9"/>
  <c r="K2" i="9"/>
  <c r="K49" i="9"/>
  <c r="K41" i="9"/>
  <c r="K15" i="9"/>
  <c r="K60" i="9"/>
  <c r="K43" i="9"/>
  <c r="K36" i="9"/>
  <c r="K57" i="9"/>
  <c r="K30" i="9"/>
  <c r="K51" i="9"/>
  <c r="K39" i="9"/>
  <c r="K13" i="9"/>
  <c r="K4" i="9"/>
  <c r="K16" i="9"/>
  <c r="K31" i="9"/>
  <c r="K27" i="9"/>
  <c r="K25" i="9"/>
  <c r="K50" i="9"/>
  <c r="K42" i="9"/>
  <c r="K28" i="9"/>
  <c r="K38" i="9"/>
  <c r="K14" i="9"/>
  <c r="K33" i="9"/>
  <c r="K20" i="9"/>
  <c r="K45" i="9"/>
  <c r="K23" i="9"/>
  <c r="K59" i="9"/>
  <c r="K52" i="9"/>
  <c r="K55" i="9"/>
  <c r="K17" i="9"/>
  <c r="K46" i="9"/>
  <c r="K26" i="9"/>
  <c r="K21" i="9"/>
  <c r="K29" i="9"/>
  <c r="K48" i="9"/>
  <c r="K44" i="9"/>
  <c r="K5" i="9"/>
  <c r="N38" i="10"/>
  <c r="N34" i="10"/>
  <c r="N21" i="10"/>
  <c r="N11" i="10"/>
  <c r="N30" i="10"/>
  <c r="N5" i="10"/>
  <c r="N18" i="10"/>
  <c r="N32" i="10"/>
  <c r="L13" i="10"/>
  <c r="N13" i="10"/>
  <c r="L16" i="10"/>
  <c r="N16" i="10"/>
  <c r="L6" i="10"/>
  <c r="N6" i="10"/>
  <c r="L48" i="10"/>
  <c r="N48" i="10"/>
  <c r="L50" i="10"/>
  <c r="M50" i="10" s="1"/>
  <c r="N50" i="10"/>
  <c r="L2" i="10"/>
  <c r="N2" i="10"/>
  <c r="O50" i="4"/>
  <c r="D9" i="7" s="1"/>
  <c r="M50" i="4"/>
  <c r="B9" i="7" s="1"/>
  <c r="K50" i="4"/>
  <c r="N50" i="4" s="1"/>
  <c r="C9" i="7" s="1"/>
  <c r="A10" i="7"/>
  <c r="H51" i="4"/>
  <c r="L52" i="4"/>
  <c r="L38" i="10"/>
  <c r="L45" i="10"/>
  <c r="R1" i="10" a="1"/>
  <c r="R1" i="10" s="1"/>
  <c r="M51" i="10"/>
  <c r="M49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8" i="10" l="1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8" i="10" l="1" a="1"/>
  <c r="Q37" i="10" a="1"/>
  <c r="Q36" i="10" a="1"/>
  <c r="Q35" i="10" a="1"/>
  <c r="Q34" i="10" a="1"/>
  <c r="Q33" i="10" a="1"/>
  <c r="Q32" i="10" a="1"/>
  <c r="Q30" i="10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Y37" i="10" l="1"/>
  <c r="U37" i="10"/>
  <c r="Q37" i="10"/>
  <c r="X37" i="10"/>
  <c r="T37" i="10"/>
  <c r="W37" i="10"/>
  <c r="S37" i="10"/>
  <c r="V37" i="10"/>
  <c r="R37" i="10"/>
  <c r="AA37" i="10" s="1"/>
  <c r="Y38" i="10"/>
  <c r="U38" i="10"/>
  <c r="Q38" i="10"/>
  <c r="X38" i="10"/>
  <c r="T38" i="10"/>
  <c r="W38" i="10"/>
  <c r="S38" i="10"/>
  <c r="V38" i="10"/>
  <c r="R38" i="10"/>
  <c r="AA38" i="10" s="1"/>
  <c r="W33" i="10"/>
  <c r="S33" i="10"/>
  <c r="V33" i="10"/>
  <c r="R33" i="10"/>
  <c r="AA33" i="10" s="1"/>
  <c r="Y33" i="10"/>
  <c r="U33" i="10"/>
  <c r="Q33" i="10"/>
  <c r="X33" i="10"/>
  <c r="T33" i="10"/>
  <c r="W34" i="10"/>
  <c r="S34" i="10"/>
  <c r="V34" i="10"/>
  <c r="R34" i="10"/>
  <c r="AA34" i="10" s="1"/>
  <c r="Y34" i="10"/>
  <c r="U34" i="10"/>
  <c r="Q34" i="10"/>
  <c r="X34" i="10"/>
  <c r="T34" i="10"/>
  <c r="W35" i="10"/>
  <c r="S35" i="10"/>
  <c r="V35" i="10"/>
  <c r="R35" i="10"/>
  <c r="AA35" i="10" s="1"/>
  <c r="Y35" i="10"/>
  <c r="U35" i="10"/>
  <c r="Q35" i="10"/>
  <c r="X35" i="10"/>
  <c r="T35" i="10"/>
  <c r="W32" i="10"/>
  <c r="S32" i="10"/>
  <c r="V32" i="10"/>
  <c r="R32" i="10"/>
  <c r="AA32" i="10" s="1"/>
  <c r="Y32" i="10"/>
  <c r="U32" i="10"/>
  <c r="Q32" i="10"/>
  <c r="X32" i="10"/>
  <c r="T32" i="10"/>
  <c r="W36" i="10"/>
  <c r="S36" i="10"/>
  <c r="V36" i="10"/>
  <c r="R36" i="10"/>
  <c r="AA36" i="10" s="1"/>
  <c r="Y36" i="10"/>
  <c r="U36" i="10"/>
  <c r="Q36" i="10"/>
  <c r="X36" i="10"/>
  <c r="T36" i="10"/>
  <c r="W31" i="10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AA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Z37" i="10" l="1"/>
  <c r="Z35" i="10"/>
  <c r="Z38" i="10"/>
  <c r="Z34" i="10"/>
  <c r="Z36" i="10"/>
  <c r="Z33" i="10"/>
  <c r="Z32" i="10"/>
  <c r="Z26" i="10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<sst xmlns="http://schemas.openxmlformats.org/spreadsheetml/2006/main" count="1360" uniqueCount="644">
  <si>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</si>
  <si>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</si>
  <si>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</si>
  <si>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</si>
  <si>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</si>
  <si>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</si>
  <si>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</si>
  <si>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</si>
  <si>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</si>
  <si>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</si>
  <si>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</si>
  <si>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</si>
  <si>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</si>
  <si>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</si>
  <si>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</si>
  <si>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</si>
  <si>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</si>
  <si>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</si>
  <si>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</si>
  <si>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</si>
  <si>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</si>
  <si>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</si>
  <si>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</si>
  <si>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</si>
  <si>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</si>
  <si>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</si>
  <si>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</si>
  <si>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</si>
  <si>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</si>
  <si>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</si>
  <si>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</si>
  <si>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</si>
  <si>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</si>
  <si>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</si>
  <si>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</si>
  <si>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</si>
  <si>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</si>
  <si>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</si>
  <si>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</si>
  <si>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</si>
  <si>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</si>
  <si>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</si>
  <si>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</si>
  <si>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</si>
  <si>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</si>
  <si>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</si>
  <si>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</si>
  <si>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</si>
  <si>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</si>
  <si>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</si>
  <si>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</si>
  <si>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</si>
  <si>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</si>
  <si>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</si>
  <si>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</si>
  <si>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</si>
  <si>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</si>
  <si>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</si>
  <si>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</si>
  <si>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</si>
  <si>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</si>
  <si>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</si>
  <si>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</si>
  <si>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</si>
  <si>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</si>
  <si>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</si>
  <si>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</si>
  <si>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</si>
  <si>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</si>
  <si>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</si>
  <si>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</si>
  <si>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</si>
  <si>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</si>
  <si>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</si>
  <si>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</si>
  <si>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</si>
  <si>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</si>
  <si>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</si>
  <si>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</si>
  <si>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</si>
  <si>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</si>
  <si>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</si>
  <si>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</si>
  <si>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</si>
  <si>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</si>
  <si>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</si>
  <si>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</si>
  <si>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</si>
  <si>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</si>
  <si>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</si>
  <si>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</si>
  <si>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</si>
  <si>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</si>
  <si>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</si>
  <si>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</si>
  <si>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</si>
  <si>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</si>
  <si>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</si>
  <si>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</si>
  <si>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</si>
  <si>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</si>
  <si>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</si>
  <si>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</si>
  <si>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</si>
  <si>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</si>
  <si>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</si>
  <si>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</si>
  <si>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</si>
  <si>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</si>
  <si>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</si>
  <si>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</si>
  <si>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</si>
  <si>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</si>
  <si>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</si>
  <si>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</si>
  <si>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</si>
  <si>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</si>
  <si>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</si>
  <si>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</si>
  <si>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</si>
  <si>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</si>
  <si>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</si>
  <si>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</si>
  <si>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</si>
  <si>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</si>
  <si>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</si>
  <si>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</si>
  <si>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</si>
  <si>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</si>
  <si>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</si>
  <si>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</si>
  <si>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</si>
  <si>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</si>
  <si>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</si>
  <si>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</si>
  <si>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</si>
  <si>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</si>
  <si>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</si>
  <si>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</si>
  <si>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</si>
  <si>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</si>
  <si>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</si>
  <si>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</si>
  <si>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</si>
  <si>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</si>
  <si>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</si>
  <si>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</si>
  <si>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</si>
  <si>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</si>
  <si>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</si>
  <si>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</si>
  <si>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</si>
  <si>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</si>
  <si>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</si>
  <si>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</si>
  <si>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</si>
  <si>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</si>
  <si>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</si>
  <si>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</si>
  <si>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</si>
  <si>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</si>
  <si>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</si>
  <si>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</si>
  <si>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Clive</t>
  </si>
  <si>
    <t>Edghill C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</si>
  <si>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</si>
  <si>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</si>
  <si>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</si>
  <si>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</si>
  <si>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</si>
  <si>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</si>
  <si>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</si>
  <si>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</si>
  <si>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</si>
  <si>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</si>
  <si>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</si>
  <si>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</si>
  <si>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</si>
  <si>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</si>
  <si>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</si>
  <si>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</si>
  <si>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</si>
  <si>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</si>
  <si>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</si>
  <si>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</si>
  <si>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</si>
  <si>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</si>
  <si>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</si>
  <si>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</si>
  <si>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</si>
  <si>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</si>
  <si>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</si>
  <si>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</si>
  <si>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</si>
  <si>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</si>
  <si>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</si>
  <si>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</si>
  <si>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</si>
  <si>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</si>
  <si>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</si>
  <si>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</si>
  <si>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H</t>
  </si>
  <si>
    <t>Queries</t>
  </si>
  <si>
    <t>9/0/dnb/0/0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</si>
  <si>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</si>
  <si>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</si>
  <si>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</si>
  <si>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</si>
  <si>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</si>
  <si>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</si>
  <si>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</si>
  <si>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</si>
  <si>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</si>
  <si>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</si>
  <si>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</si>
  <si>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</si>
  <si>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</si>
  <si>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</si>
  <si>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</si>
  <si>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</si>
  <si>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</si>
  <si>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</si>
  <si>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</si>
  <si>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</si>
  <si>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</si>
  <si>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11/0/dnb/0/0</t>
  </si>
  <si>
    <t>A</t>
  </si>
  <si>
    <t>10/0/dnb/0/0</t>
  </si>
  <si>
    <t>8/0/dnb/0/0</t>
  </si>
  <si>
    <t>Woodgreen</t>
  </si>
  <si>
    <t>FiveFors</t>
  </si>
  <si>
    <t>Tony</t>
  </si>
  <si>
    <t>Springer T</t>
  </si>
  <si>
    <t>*</t>
  </si>
  <si>
    <t>Brocks D</t>
  </si>
  <si>
    <t>Driver S</t>
  </si>
  <si>
    <t>Sam</t>
  </si>
  <si>
    <t>Castle I</t>
  </si>
  <si>
    <t>/ret</t>
  </si>
  <si>
    <t>Match</t>
  </si>
  <si>
    <t>Total balls received</t>
  </si>
  <si>
    <t>Total Overs faced</t>
  </si>
  <si>
    <t>Nilesh</t>
  </si>
  <si>
    <t>Rathi N</t>
  </si>
  <si>
    <t>Raj</t>
  </si>
  <si>
    <t>Foxworthy P</t>
  </si>
  <si>
    <t>Wilson A</t>
  </si>
  <si>
    <t>Parboo R</t>
  </si>
  <si>
    <t>Ian</t>
  </si>
  <si>
    <t>Bhatt P</t>
  </si>
  <si>
    <t>4/0/21/1</t>
  </si>
  <si>
    <t>Spencer</t>
  </si>
  <si>
    <t>Viveganandan M</t>
  </si>
  <si>
    <t>9/0/dnb/1/0</t>
  </si>
  <si>
    <t>Other Batters</t>
  </si>
  <si>
    <t>Steeple Langford</t>
  </si>
  <si>
    <t>6/0/dnb/0/0</t>
  </si>
  <si>
    <t>7/0/dnb/0/0</t>
  </si>
  <si>
    <t>Richmond Legbreakers</t>
  </si>
  <si>
    <t>Darren</t>
  </si>
  <si>
    <t>Castle D</t>
  </si>
  <si>
    <t>4/0/dnb/0/0</t>
  </si>
  <si>
    <t>5/0/dnb/0/0</t>
  </si>
  <si>
    <t>8/0/dnb/1/0</t>
  </si>
  <si>
    <t>4/1/c/0/0</t>
  </si>
  <si>
    <t>Norwood Exiles</t>
  </si>
  <si>
    <t>5/0/dnb/1/0</t>
  </si>
  <si>
    <t>Woldingham Village</t>
  </si>
  <si>
    <t>Vs</t>
  </si>
  <si>
    <t>Catch Info</t>
  </si>
  <si>
    <t>Row Labels</t>
  </si>
  <si>
    <t>Grand Total</t>
  </si>
  <si>
    <t>25s</t>
  </si>
  <si>
    <t>Shome G</t>
  </si>
  <si>
    <t>Raminder</t>
  </si>
  <si>
    <t>8/0/32/1</t>
  </si>
  <si>
    <t>Niran S</t>
  </si>
  <si>
    <t>7/0/b/0/0</t>
  </si>
  <si>
    <t>9/0/b/0/0</t>
  </si>
  <si>
    <t>11/0/b/0/0</t>
  </si>
  <si>
    <t>8/2/22/1</t>
  </si>
  <si>
    <t>Chima R</t>
  </si>
  <si>
    <t>Lewis I</t>
  </si>
  <si>
    <t>Mike</t>
  </si>
  <si>
    <t>4/0/17/0</t>
  </si>
  <si>
    <t>2/8/c/0/2.0</t>
  </si>
  <si>
    <t>Adam</t>
  </si>
  <si>
    <t>7/0/dnb/1/0</t>
  </si>
  <si>
    <t>8/0/c/0/0</t>
  </si>
  <si>
    <t>4/0/38/0</t>
  </si>
  <si>
    <t>Chaitanya</t>
  </si>
  <si>
    <t>Sunkara C</t>
  </si>
  <si>
    <t>HSBC</t>
  </si>
  <si>
    <t>10/0/b/0/0</t>
  </si>
  <si>
    <t>Greenall D</t>
  </si>
  <si>
    <t>Monty</t>
  </si>
  <si>
    <t>Damian</t>
  </si>
  <si>
    <t>Sharma R</t>
  </si>
  <si>
    <t>6/12/b/0/1.0</t>
  </si>
  <si>
    <t>4/0/16/1</t>
  </si>
  <si>
    <t>8/2/26/0</t>
  </si>
  <si>
    <t>2/0/21/0</t>
  </si>
  <si>
    <t>8/1/22/1</t>
  </si>
  <si>
    <t>Harding 58*, Sharpe 3-22</t>
  </si>
  <si>
    <t>Springer 40, Jaya 3-5</t>
  </si>
  <si>
    <t>Dave</t>
  </si>
  <si>
    <t>Jenkins D</t>
  </si>
  <si>
    <t>1/0/b/0/0</t>
  </si>
  <si>
    <t>2/7/c/0/1.0</t>
  </si>
  <si>
    <t>Woodhouse M</t>
  </si>
  <si>
    <t>3/5/b/0/0</t>
  </si>
  <si>
    <t>Joel</t>
  </si>
  <si>
    <t>Seev J</t>
  </si>
  <si>
    <t>4/0/b/0/0</t>
  </si>
  <si>
    <t>6/24/st+/0/1.2</t>
  </si>
  <si>
    <t>7/7/c/0/0</t>
  </si>
  <si>
    <t>8/1/c/0/0</t>
  </si>
  <si>
    <t>9/1/b/0/0</t>
  </si>
  <si>
    <t>10/13/no/0/2.0</t>
  </si>
  <si>
    <t>5/40/c*+/0/6.0</t>
  </si>
  <si>
    <t>8/2/22/3</t>
  </si>
  <si>
    <t>8/0/34/2</t>
  </si>
  <si>
    <t>3/0/14/0</t>
  </si>
  <si>
    <t>5/1/21/1</t>
  </si>
  <si>
    <t>5/0/20/1</t>
  </si>
  <si>
    <t>3/0/22/0</t>
  </si>
  <si>
    <t>4/0/18/1</t>
  </si>
  <si>
    <t>4/0/16/0</t>
  </si>
  <si>
    <t>SW United</t>
  </si>
  <si>
    <t>Sharpe 63</t>
  </si>
  <si>
    <t>Malik 70</t>
  </si>
  <si>
    <t>1/12/b/0/0</t>
  </si>
  <si>
    <t>2/63/b/0/10.1</t>
  </si>
  <si>
    <t>3/11/c+/0.2/0.1</t>
  </si>
  <si>
    <t>4/3/ro/0/0</t>
  </si>
  <si>
    <t>5/8/b*/2/2.0</t>
  </si>
  <si>
    <t>6/26/c/0/3.1</t>
  </si>
  <si>
    <t>7/0/c/1/0</t>
  </si>
  <si>
    <t>8/3/c/1/0</t>
  </si>
  <si>
    <t>9/27/no/0/3.0</t>
  </si>
  <si>
    <t>Prash</t>
  </si>
  <si>
    <t>7/0/25/0</t>
  </si>
  <si>
    <t>5/0/15/2</t>
  </si>
  <si>
    <t>8/0/50/0</t>
  </si>
  <si>
    <t>6/1/24/2</t>
  </si>
  <si>
    <t>6/0/32/1</t>
  </si>
  <si>
    <t>3/0/21/0</t>
  </si>
  <si>
    <t>3.3/0/16/4</t>
  </si>
  <si>
    <t>South Bank</t>
  </si>
  <si>
    <t>Nas 118, Middleton 5-24</t>
  </si>
  <si>
    <t>Springer 53, Arnold 5-16</t>
  </si>
  <si>
    <t>Dennis</t>
  </si>
  <si>
    <t>1/4/b/0/1.0</t>
  </si>
  <si>
    <t>3/15/c+/2.0/2.0</t>
  </si>
  <si>
    <t>5/53/c*/2/8.1</t>
  </si>
  <si>
    <t>6/29/c/1/4.0</t>
  </si>
  <si>
    <t>9/13/c/0/2.0</t>
  </si>
  <si>
    <t>10/15/c/0/3.0</t>
  </si>
  <si>
    <t>Khan W</t>
  </si>
  <si>
    <t>11/0/no/0/0</t>
  </si>
  <si>
    <t>8/0/41/1</t>
  </si>
  <si>
    <t>4/2/26/0</t>
  </si>
  <si>
    <t>6/0/41/1</t>
  </si>
  <si>
    <t>8/1/41/2</t>
  </si>
  <si>
    <t>7.4/1/24/5</t>
  </si>
  <si>
    <t>Font Hill Park</t>
  </si>
  <si>
    <t>1/63/b/0/7.2</t>
  </si>
  <si>
    <t>2/6/c/0/0</t>
  </si>
  <si>
    <t>Ankit</t>
  </si>
  <si>
    <t>Madaan A</t>
  </si>
  <si>
    <t>3/2/ro/0/0</t>
  </si>
  <si>
    <t>4/15/c+*/0/3.2</t>
  </si>
  <si>
    <t>5/34/c/0/4.0</t>
  </si>
  <si>
    <t>Edd</t>
  </si>
  <si>
    <t>Foster E</t>
  </si>
  <si>
    <t>6/1/c/2/0</t>
  </si>
  <si>
    <t>Jason</t>
  </si>
  <si>
    <t>Naish J</t>
  </si>
  <si>
    <t>7/12/b/0/1.1</t>
  </si>
  <si>
    <t>8/3/no/0/0</t>
  </si>
  <si>
    <t>9/1/lbw/0/0</t>
  </si>
  <si>
    <t>11/0/lbw/0/0</t>
  </si>
  <si>
    <t>10/0/no/0/0</t>
  </si>
  <si>
    <t>6/2/14/1</t>
  </si>
  <si>
    <t>5/2/23/0</t>
  </si>
  <si>
    <t>6/2/19/2</t>
  </si>
  <si>
    <t>1/0/8/0</t>
  </si>
  <si>
    <t>3/0/16/0</t>
  </si>
  <si>
    <t>3/0/18/0</t>
  </si>
  <si>
    <t>1/3/b/0/0</t>
  </si>
  <si>
    <t>2/1/b/0/0</t>
  </si>
  <si>
    <t>3/12/c/0/2.0</t>
  </si>
  <si>
    <t>5/7/c/0/1.0</t>
  </si>
  <si>
    <t>6/19/b/0/4.0</t>
  </si>
  <si>
    <t>7/5/c+*/0/1.0</t>
  </si>
  <si>
    <t>10/5/c/0/1.0</t>
  </si>
  <si>
    <t>7/2/13/4</t>
  </si>
  <si>
    <t>2.4/0/21/0</t>
  </si>
  <si>
    <t>7/1/13/2</t>
  </si>
  <si>
    <t>7/0/35/0</t>
  </si>
  <si>
    <t>7/0/30/0</t>
  </si>
  <si>
    <t>2/0/12/0</t>
  </si>
  <si>
    <t>1/0/10/0</t>
  </si>
  <si>
    <t>Sharpe 60</t>
  </si>
  <si>
    <t>Mander 4-23</t>
  </si>
  <si>
    <t>2/2/b/0/0</t>
  </si>
  <si>
    <t>3/2/b/0/0</t>
  </si>
  <si>
    <t>4/20/b+/1.1/3.1</t>
  </si>
  <si>
    <t>6/28/c/0/4.0</t>
  </si>
  <si>
    <t>7/27/no/0/3.0</t>
  </si>
  <si>
    <t>8/0/c/2/0</t>
  </si>
  <si>
    <t>9/17/b/0/3.0</t>
  </si>
  <si>
    <t>10/11/c/0/1.0</t>
  </si>
  <si>
    <t>7/0/21/1</t>
  </si>
  <si>
    <t>7/1/22/2</t>
  </si>
  <si>
    <t>7/0/23/4</t>
  </si>
  <si>
    <t>4/0/13/0</t>
  </si>
  <si>
    <t>3/0/15/1</t>
  </si>
  <si>
    <t>4/0/19/1</t>
  </si>
  <si>
    <t>3/2/5/0</t>
  </si>
  <si>
    <t>5/60/no*/0/5.4</t>
  </si>
  <si>
    <t>Gaurav 77</t>
  </si>
  <si>
    <t>Bhatt 3-25</t>
  </si>
  <si>
    <t>Seymour D</t>
  </si>
  <si>
    <t>1/11/b/0/2.0</t>
  </si>
  <si>
    <t>Gaurav</t>
  </si>
  <si>
    <t>2/77/b/0/7.4</t>
  </si>
  <si>
    <t>3/18/c/1/4.0</t>
  </si>
  <si>
    <t>4/39/b*/1/5.2</t>
  </si>
  <si>
    <t>5/27/c/1/1.2</t>
  </si>
  <si>
    <t>6/5/ro/0/0</t>
  </si>
  <si>
    <t>7/5/c/0/1.0</t>
  </si>
  <si>
    <t>8/5/b/1/0</t>
  </si>
  <si>
    <t>Alex</t>
  </si>
  <si>
    <t>Jack</t>
  </si>
  <si>
    <t>Hayes J</t>
  </si>
  <si>
    <t>8/0/43/2</t>
  </si>
  <si>
    <t>8/0/54/1</t>
  </si>
  <si>
    <t>8/2/25/3</t>
  </si>
  <si>
    <t>Khan 64</t>
  </si>
  <si>
    <t>Sharpe 45</t>
  </si>
  <si>
    <t>1/3/c/0/0</t>
  </si>
  <si>
    <t>3/18/c+/0/3.0</t>
  </si>
  <si>
    <t>2/45/b/0/8.1</t>
  </si>
  <si>
    <t>4/43/b*/1/8.1</t>
  </si>
  <si>
    <t>5/2/b/0/0</t>
  </si>
  <si>
    <t>6/1/lbw/0/0</t>
  </si>
  <si>
    <t>7/16/c/0/3.0</t>
  </si>
  <si>
    <t>8/9/c/1/1.0</t>
  </si>
  <si>
    <t>9/34/c/0/5.0</t>
  </si>
  <si>
    <t>10/9/b/0/2.0</t>
  </si>
  <si>
    <t>11/10/no/1/1.0</t>
  </si>
  <si>
    <t>8/1/28/0</t>
  </si>
  <si>
    <t>8/2/29/0</t>
  </si>
  <si>
    <t>7/0/49/1</t>
  </si>
  <si>
    <t>4/0/32/0</t>
  </si>
  <si>
    <t>8/1/32/3</t>
  </si>
  <si>
    <t>5/0/31/1</t>
  </si>
  <si>
    <t>Beddington</t>
  </si>
  <si>
    <t>Morden</t>
  </si>
  <si>
    <t>LESSA Wanderers</t>
  </si>
  <si>
    <t>Catford Cyphers</t>
  </si>
  <si>
    <t>T</t>
  </si>
  <si>
    <t>Sharpe 51</t>
  </si>
  <si>
    <t>Browning 50*</t>
  </si>
  <si>
    <t>1/51/c/0/9.1</t>
  </si>
  <si>
    <t>2/8/c/1/1.0</t>
  </si>
  <si>
    <t>3/12/c*/0/3.0</t>
  </si>
  <si>
    <t>4/25/c+/1.0/4.0</t>
  </si>
  <si>
    <t>5/34/b/1/4.1</t>
  </si>
  <si>
    <t>7/2/c/2/0</t>
  </si>
  <si>
    <t>8/9/c/0/2.0</t>
  </si>
  <si>
    <t>9/12/no/0/2.0</t>
  </si>
  <si>
    <t>10/4/c/0/1.0</t>
  </si>
  <si>
    <t>11/11/no/0/2.0</t>
  </si>
  <si>
    <t>8/3/12/0</t>
  </si>
  <si>
    <t>8/1/19/4</t>
  </si>
  <si>
    <t>5/0/40/0</t>
  </si>
  <si>
    <t>3/0/26/0</t>
  </si>
  <si>
    <t>4/1/27/3</t>
  </si>
  <si>
    <t>6.3/1/30/3</t>
  </si>
  <si>
    <t>Moin 71, Middleton 3-22</t>
  </si>
  <si>
    <t>Moin 4-28</t>
  </si>
  <si>
    <t>1/21/b/0/4.0</t>
  </si>
  <si>
    <t>2/37/c/1/6.0</t>
  </si>
  <si>
    <t>3/0/lbw/1/0</t>
  </si>
  <si>
    <t>4/10/c/0/2.0</t>
  </si>
  <si>
    <t>5/24/b+*/0.1/3.1</t>
  </si>
  <si>
    <t>6/10/c/0/1.0</t>
  </si>
  <si>
    <t>9/10/no/0/2.0</t>
  </si>
  <si>
    <t>10/0/st/0/0</t>
  </si>
  <si>
    <t>11/8/c/0/2.0</t>
  </si>
  <si>
    <t>4/0/27/1</t>
  </si>
  <si>
    <t>8/2/11/1</t>
  </si>
  <si>
    <t>5/0/36/1</t>
  </si>
  <si>
    <t>5/0/41/0</t>
  </si>
  <si>
    <t>3/0/33/0</t>
  </si>
  <si>
    <t>3/0/35/0</t>
  </si>
  <si>
    <t>Sharpe 68</t>
  </si>
  <si>
    <t>1/22/b/0/5.0</t>
  </si>
  <si>
    <t>2/68/ro/0/13.1</t>
  </si>
  <si>
    <t>3/18/b+/0/4.0</t>
  </si>
  <si>
    <t>4/13/b/0/1.0</t>
  </si>
  <si>
    <t>5/16/lb*/1/3.0</t>
  </si>
  <si>
    <t>6/9/c/0/2.0</t>
  </si>
  <si>
    <t>7/12/c/1/2.0</t>
  </si>
  <si>
    <t>8/29/no/0/5.0</t>
  </si>
  <si>
    <t>9/18/no/1/1.1</t>
  </si>
  <si>
    <t>"Tareq"</t>
  </si>
  <si>
    <t>8/2/23/2</t>
  </si>
  <si>
    <t>7/1/20/2</t>
  </si>
  <si>
    <t>3/0/19/2</t>
  </si>
  <si>
    <t>3/0/27/1</t>
  </si>
  <si>
    <t>3/0/10/2</t>
  </si>
  <si>
    <t>Springer 99, Middleton 58*, Seymour 64</t>
  </si>
  <si>
    <t>Mander 3-9</t>
  </si>
  <si>
    <t>1/64/c/0/10.0</t>
  </si>
  <si>
    <t>2/25/c+/0/4.0</t>
  </si>
  <si>
    <t>3/99/lb*/1/19.0</t>
  </si>
  <si>
    <t>4/7/b/0/1.0</t>
  </si>
  <si>
    <t>5/58/no/0/5.3</t>
  </si>
  <si>
    <t>6/7/lb/2/1.0</t>
  </si>
  <si>
    <t>7/1/no/0/0</t>
  </si>
  <si>
    <t>Akshay</t>
  </si>
  <si>
    <t>Mahajan A</t>
  </si>
  <si>
    <t>Mubin</t>
  </si>
  <si>
    <t>Ahmed</t>
  </si>
  <si>
    <t>8/4/9/3</t>
  </si>
  <si>
    <t>Ahmed M</t>
  </si>
  <si>
    <t>6/1/28/1</t>
  </si>
  <si>
    <t>8/2/29/1</t>
  </si>
  <si>
    <t>6/0/26/2</t>
  </si>
  <si>
    <t>3.4/0/10/1</t>
  </si>
  <si>
    <t>1/0/1/2</t>
  </si>
  <si>
    <t>Bhatt 5-29, Feroz 73</t>
  </si>
  <si>
    <t>Hall 4-21</t>
  </si>
  <si>
    <t>2/30/lb/0/5.0</t>
  </si>
  <si>
    <t>3/9/b/0/2.0</t>
  </si>
  <si>
    <t>5/18/b/1/3.0</t>
  </si>
  <si>
    <t>6/2/b/0/0</t>
  </si>
  <si>
    <t>7/11/c/0/2.0</t>
  </si>
  <si>
    <t>8/15/lb+*/0/3.0</t>
  </si>
  <si>
    <t>11/1/no/0/0</t>
  </si>
  <si>
    <t>1/0/c+/0/0</t>
  </si>
  <si>
    <t>Greenall 58</t>
  </si>
  <si>
    <t>1/5/c/0/1.0</t>
  </si>
  <si>
    <t>2/58/c+/1.0/7.2</t>
  </si>
  <si>
    <t>3/54/no/0/10.0</t>
  </si>
  <si>
    <t>Crawford S</t>
  </si>
  <si>
    <t>7/2/21/1</t>
  </si>
  <si>
    <t>7/0/24/0</t>
  </si>
  <si>
    <t>5/0/35/0</t>
  </si>
  <si>
    <t>7/1/24/2</t>
  </si>
  <si>
    <t>6/0/29/1</t>
  </si>
  <si>
    <t>3/0/13/3</t>
  </si>
  <si>
    <t>Sharpe 100, Greenall 80*</t>
  </si>
  <si>
    <t>Hassan 145*</t>
  </si>
  <si>
    <t>2/100/b/0/15.1</t>
  </si>
  <si>
    <t>3/7/no*/1/1.0</t>
  </si>
  <si>
    <t>1/80/no+/0/8.2</t>
  </si>
  <si>
    <t>11/0/dnb/1/0</t>
  </si>
  <si>
    <t>8/1/56/1</t>
  </si>
  <si>
    <t>7/0/35/2</t>
  </si>
  <si>
    <t>6/0/28/0</t>
  </si>
  <si>
    <t>5/0/33/0</t>
  </si>
  <si>
    <t>3/0/31/0</t>
  </si>
  <si>
    <t>8/0/43/1</t>
  </si>
  <si>
    <t>8/0/29/5</t>
  </si>
  <si>
    <t>8/1/29/1</t>
  </si>
  <si>
    <t>4/0/11/0</t>
  </si>
  <si>
    <t>3.2/0/15/2</t>
  </si>
  <si>
    <t>Springer 56, O'Rourke 53</t>
  </si>
  <si>
    <t>1/18/c/2/3.0</t>
  </si>
  <si>
    <t>3/19/c+/0/4.0</t>
  </si>
  <si>
    <t>2/56/b*/1.0/10.1</t>
  </si>
  <si>
    <t>Pete</t>
  </si>
  <si>
    <t>O'Rourke</t>
  </si>
  <si>
    <t>4/53/c/0/7.0</t>
  </si>
  <si>
    <t>5/10/lb/0/1.0</t>
  </si>
  <si>
    <t>6/35/no/0/4.0</t>
  </si>
  <si>
    <t>7/0/lb/1/0</t>
  </si>
  <si>
    <t>8/4/no/0/1.0</t>
  </si>
  <si>
    <t>8/2/35/1</t>
  </si>
  <si>
    <t>8/1/21/2</t>
  </si>
  <si>
    <t>3/0/25/0</t>
  </si>
  <si>
    <t>6/0/45/2</t>
  </si>
  <si>
    <t>O'Rourke P</t>
  </si>
  <si>
    <t>3.4/0/22/0</t>
  </si>
  <si>
    <t>8/0/36/0</t>
  </si>
  <si>
    <t>0.2/0/4/0</t>
  </si>
  <si>
    <t>Clarkson 4-29</t>
  </si>
  <si>
    <t>Niran 75*</t>
  </si>
  <si>
    <t>1/5/lb/0/0</t>
  </si>
  <si>
    <t>2/0/c/0/0</t>
  </si>
  <si>
    <t>3/75/no+/1.0/9.0</t>
  </si>
  <si>
    <t>4/35/c*/0/8.0</t>
  </si>
  <si>
    <t>5/18/ro/0/3.0</t>
  </si>
  <si>
    <t>6/16/no/0/2.0</t>
  </si>
  <si>
    <t>8/1/21/1</t>
  </si>
  <si>
    <t>6/0/27/2</t>
  </si>
  <si>
    <t>7/0/38/0</t>
  </si>
  <si>
    <t>8/2/29/4</t>
  </si>
  <si>
    <t>6/0/37/1</t>
  </si>
  <si>
    <t>3.3/0/11/2</t>
  </si>
  <si>
    <t>4/27/no*/3/4.1</t>
  </si>
  <si>
    <t>4/32/c/1/3.0</t>
  </si>
  <si>
    <t>8/4/lbw/1/1.0</t>
  </si>
  <si>
    <t>9/15/no/1/3.0</t>
  </si>
  <si>
    <t>10/20/b/2/3.0</t>
  </si>
  <si>
    <t>4/0/c/2/0</t>
  </si>
  <si>
    <t>11/19/no/2/2.0</t>
  </si>
  <si>
    <t>Res</t>
  </si>
  <si>
    <t>Column Labels</t>
  </si>
  <si>
    <t>Count of Res</t>
  </si>
  <si>
    <t>7/7/c/1/1.0</t>
  </si>
  <si>
    <t>O'Rourke 1-0-53-53</t>
  </si>
  <si>
    <t>Greenall D 4-1-80*-151</t>
  </si>
  <si>
    <t>Chima R 2-1-19-29</t>
  </si>
  <si>
    <t>Foster E 2-0-28-29</t>
  </si>
  <si>
    <t>Castle I 2-0-19-28</t>
  </si>
  <si>
    <t>Driver S 3-0-16-41</t>
  </si>
  <si>
    <t>Mander A 4-2-17-26</t>
  </si>
  <si>
    <t>Nair S 2-1-13-13</t>
  </si>
  <si>
    <t>Smith C 4-1-12*-21</t>
  </si>
  <si>
    <t>Naish J 2-0-12-12</t>
  </si>
  <si>
    <t>Lewis I 1-0-5-5</t>
  </si>
  <si>
    <t>Seymour D 1-0-4-4</t>
  </si>
  <si>
    <t>Seev J 2-0-7-7</t>
  </si>
  <si>
    <t>Parboo R 1-0-3-3</t>
  </si>
  <si>
    <t>Lestrelle A 2-0-4-4</t>
  </si>
  <si>
    <t>Madaan A 1-0-2-2</t>
  </si>
  <si>
    <t>Bowers M 2-0-1-1</t>
  </si>
  <si>
    <t>Jenkins D 2-0-0-0</t>
  </si>
  <si>
    <t>Mahajan A 1-1-10*-10</t>
  </si>
  <si>
    <t>Khan W 1-1-0-0</t>
  </si>
  <si>
    <t>Hayes J 1-1-0-0</t>
  </si>
  <si>
    <t>6</t>
  </si>
  <si>
    <t>1</t>
  </si>
  <si>
    <t>2</t>
  </si>
  <si>
    <t>5</t>
  </si>
  <si>
    <t>1 (1)</t>
  </si>
  <si>
    <t>5 (5)</t>
  </si>
  <si>
    <t>13</t>
  </si>
  <si>
    <t>Other A 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</si>
</sst>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5" x14ac:knownFonts="1">
    <font>
      <sz val="8"/>
      <name val="Verdana"/>
      <family val="2"/>
    </font>
    <font>
      <sz val="10"/>
      <name val="Arial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  <font>
      <b/>
      <i/>
      <sz val="22"/>
      <color theme="5" tint="-0.249977111117893"/>
      <name val="Verdana"/>
      <family val="2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>
      <alignment vertical="top"/>
    </xf>
    <xf numFmtId="9" fontId="1" fillId="0" borderId="0" applyFont="0" applyFill="0" applyBorder="0" applyAlignment="0" applyProtection="0"/>
    <xf numFmtId="0" fontId="23" fillId="8" borderId="8" applyNumberFormat="0" applyAlignment="0" applyProtection="0"/>
  </cellStyleXfs>
  <cellXfs count="194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4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7" fillId="0" borderId="2" xfId="0" applyNumberFormat="1" applyFont="1" applyBorder="1" applyAlignment="1">
      <alignment horizontal="center" vertical="top"/>
    </xf>
    <xf numFmtId="15" fontId="17" fillId="0" borderId="2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 wrapText="1"/>
    </xf>
    <xf numFmtId="0" fontId="17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7" fillId="0" borderId="2" xfId="0" applyFont="1" applyBorder="1" applyAlignment="1">
      <alignment horizontal="left" vertical="top" wrapText="1"/>
    </xf>
    <xf numFmtId="165" fontId="17" fillId="0" borderId="2" xfId="0" applyNumberFormat="1" applyFont="1" applyBorder="1" applyAlignment="1">
      <alignment vertical="top" wrapText="1"/>
    </xf>
    <xf numFmtId="0" fontId="17" fillId="0" borderId="2" xfId="0" applyFont="1" applyBorder="1">
      <alignment vertical="top"/>
    </xf>
    <xf numFmtId="0" fontId="18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left" vertical="top"/>
    </xf>
    <xf numFmtId="0" fontId="20" fillId="0" borderId="0" xfId="0" applyFont="1">
      <alignment vertical="top"/>
    </xf>
    <xf numFmtId="0" fontId="0" fillId="0" borderId="0" xfId="0" applyFont="1" applyFill="1">
      <alignment vertical="top"/>
    </xf>
    <xf numFmtId="0" fontId="15" fillId="7" borderId="7" xfId="0" applyFont="1" applyFill="1" applyBorder="1" applyAlignment="1">
      <alignment horizontal="center" vertical="top" wrapText="1"/>
    </xf>
    <xf numFmtId="15" fontId="15" fillId="7" borderId="7" xfId="0" applyNumberFormat="1" applyFont="1" applyFill="1" applyBorder="1" applyAlignment="1">
      <alignment horizontal="center" vertical="top" wrapText="1"/>
    </xf>
    <xf numFmtId="0" fontId="15" fillId="7" borderId="7" xfId="0" applyFont="1" applyFill="1" applyBorder="1" applyAlignment="1">
      <alignment vertical="top" wrapText="1"/>
    </xf>
    <xf numFmtId="0" fontId="15" fillId="7" borderId="7" xfId="0" applyFont="1" applyFill="1" applyBorder="1" applyAlignment="1">
      <alignment horizontal="left" vertical="top" wrapText="1"/>
    </xf>
    <xf numFmtId="0" fontId="15" fillId="7" borderId="7" xfId="0" applyFont="1" applyFill="1" applyBorder="1" applyAlignment="1">
      <alignment horizontal="right" vertical="top" wrapText="1"/>
    </xf>
    <xf numFmtId="0" fontId="16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7" fillId="0" borderId="3" xfId="0" applyNumberFormat="1" applyFont="1" applyBorder="1" applyAlignment="1">
      <alignment horizontal="center"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horizontal="left" vertical="top" wrapText="1"/>
    </xf>
    <xf numFmtId="165" fontId="17" fillId="0" borderId="3" xfId="0" applyNumberFormat="1" applyFont="1" applyBorder="1" applyAlignment="1">
      <alignment vertical="top" wrapText="1"/>
    </xf>
    <xf numFmtId="0" fontId="17" fillId="0" borderId="3" xfId="0" applyFont="1" applyBorder="1">
      <alignment vertical="top"/>
    </xf>
    <xf numFmtId="0" fontId="17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center" vertical="top"/>
    </xf>
    <xf numFmtId="0" fontId="21" fillId="0" borderId="0" xfId="0" applyNumberFormat="1" applyFont="1" applyAlignment="1">
      <alignment horizontal="center" vertical="top"/>
    </xf>
    <xf numFmtId="0" fontId="22" fillId="0" borderId="0" xfId="0" applyFont="1">
      <alignment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/>
    </xf>
    <xf numFmtId="14" fontId="17" fillId="0" borderId="2" xfId="0" applyNumberFormat="1" applyFont="1" applyBorder="1" applyAlignment="1">
      <alignment vertical="top" wrapText="1"/>
    </xf>
    <xf numFmtId="0" fontId="17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169" fontId="2" fillId="0" borderId="3" xfId="1" applyNumberFormat="1" applyFont="1" applyBorder="1" applyAlignment="1">
      <alignment vertical="top"/>
    </xf>
    <xf numFmtId="0" fontId="23" fillId="8" borderId="8" xfId="2" applyAlignment="1">
      <alignment vertical="top"/>
    </xf>
    <xf numFmtId="16" fontId="23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4" fillId="0" borderId="0" xfId="0" applyFont="1" applyFill="1" applyAlignment="1">
      <alignment horizontal="center" vertical="top"/>
    </xf>
    <xf numFmtId="2" fontId="19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4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0" fillId="0" borderId="0" xfId="0" quotePrefix="1" applyFont="1">
      <alignment vertical="top"/>
    </xf>
    <xf numFmtId="0" fontId="0" fillId="0" borderId="0" xfId="0" quotePrefix="1" applyAlignment="1"/>
    <xf numFmtId="0" fontId="0" fillId="0" borderId="0" xfId="0" applyFill="1">
      <alignment vertical="top"/>
    </xf>
    <xf numFmtId="0" fontId="10" fillId="0" borderId="0" xfId="0" applyFont="1" applyFill="1" applyAlignment="1">
      <alignment horizontal="right" vertical="top"/>
    </xf>
    <xf numFmtId="2" fontId="8" fillId="0" borderId="0" xfId="0" applyNumberFormat="1" applyFont="1" applyFill="1">
      <alignment vertical="top"/>
    </xf>
    <xf numFmtId="166" fontId="10" fillId="0" borderId="0" xfId="0" applyNumberFormat="1" applyFont="1" applyFill="1">
      <alignment vertical="top"/>
    </xf>
    <xf numFmtId="10" fontId="10" fillId="0" borderId="0" xfId="1" applyNumberFormat="1" applyFont="1" applyFill="1" applyAlignment="1">
      <alignment vertical="top"/>
    </xf>
    <xf numFmtId="9" fontId="10" fillId="0" borderId="0" xfId="1" applyFont="1" applyFill="1" applyAlignment="1">
      <alignment vertical="top"/>
    </xf>
    <xf numFmtId="166" fontId="10" fillId="0" borderId="0" xfId="1" applyNumberFormat="1" applyFont="1" applyFill="1" applyAlignment="1">
      <alignment vertical="top"/>
    </xf>
    <xf numFmtId="15" fontId="7" fillId="10" borderId="0" xfId="0" applyNumberFormat="1" applyFont="1" applyFill="1" applyAlignment="1"/>
    <xf numFmtId="0" fontId="10" fillId="10" borderId="0" xfId="0" applyFont="1" applyFill="1" applyAlignment="1"/>
    <xf numFmtId="0" fontId="10" fillId="10" borderId="0" xfId="0" applyFont="1" applyFill="1" applyAlignment="1">
      <alignment horizontal="right"/>
    </xf>
    <xf numFmtId="165" fontId="10" fillId="10" borderId="0" xfId="0" applyNumberFormat="1" applyFont="1" applyFill="1" applyAlignment="1"/>
    <xf numFmtId="0" fontId="8" fillId="10" borderId="0" xfId="0" applyFont="1" applyFill="1" applyAlignment="1"/>
    <xf numFmtId="0" fontId="24" fillId="9" borderId="0" xfId="0" applyFont="1" applyFill="1" applyBorder="1" applyAlignment="1">
      <alignment horizontal="center" vertical="center"/>
    </xf>
    <xf numFmtId="0" fontId="24" fillId="9" borderId="9" xfId="0" applyFont="1" applyFill="1" applyBorder="1" applyAlignment="1">
      <alignment horizontal="center" vertical="center"/>
    </xf>
  </cellXfs>
  <cellStyles count="3">
    <cellStyle name="Calculation" xfId="2" builtinId="22"/>
    <cellStyle name="Normal" xfId="0" builtinId="0"/>
    <cellStyle name="Percent" xfId="1" builtinId="5"/>
  </cellStyles>
  <dxfs count="6"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3372.643268518521" createdVersion="5" refreshedVersion="5" minRefreshableVersion="3" recordCount="17">
  <cacheSource type="worksheet">
    <worksheetSource ref="A1:B18" sheet="Capts"/>
  </cacheSource>
  <cacheFields count="2">
    <cacheField name="Res" numFmtId="0">
      <sharedItems count="3">
        <s v="L"/>
        <s v="W"/>
        <s v="T"/>
      </sharedItems>
    </cacheField>
    <cacheField name="Capt" numFmtId="0">
      <sharedItems count="3">
        <s v="Springer T"/>
        <s v="Greenall D"/>
        <s v="Sharpe 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</r>
  <r>
    <x v="1"/>
    <x v="0"/>
  </r>
  <r>
    <x v="0"/>
    <x v="0"/>
  </r>
  <r>
    <x v="0"/>
    <x v="0"/>
  </r>
  <r>
    <x v="0"/>
    <x v="1"/>
  </r>
  <r>
    <x v="1"/>
    <x v="2"/>
  </r>
  <r>
    <x v="1"/>
    <x v="0"/>
  </r>
  <r>
    <x v="0"/>
    <x v="0"/>
  </r>
  <r>
    <x v="1"/>
    <x v="0"/>
  </r>
  <r>
    <x v="0"/>
    <x v="0"/>
  </r>
  <r>
    <x v="1"/>
    <x v="0"/>
  </r>
  <r>
    <x v="1"/>
    <x v="0"/>
  </r>
  <r>
    <x v="1"/>
    <x v="0"/>
  </r>
  <r>
    <x v="1"/>
    <x v="0"/>
  </r>
  <r>
    <x v="0"/>
    <x v="0"/>
  </r>
  <r>
    <x v="2"/>
    <x v="0"/>
  </r>
  <r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9:H14" firstHeaderRow="1" firstDataRow="2" firstDataCol="1"/>
  <pivotFields count="2">
    <pivotField axis="axisCol" dataField="1" showAll="0">
      <items count="4">
        <item x="0"/>
        <item x="2"/>
        <item x="1"/>
        <item t="default"/>
      </items>
    </pivotField>
    <pivotField axis="axisRow" showAll="0">
      <items count="4">
        <item x="1"/>
        <item x="2"/>
        <item x="0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R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85"/>
  <sheetViews>
    <sheetView topLeftCell="K1" workbookViewId="0">
      <selection activeCell="Y15" sqref="Y15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1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customHeight="1" x14ac:dyDescent="0.15">
      <c r="A1" s="192">
        <v>2018</v>
      </c>
      <c r="B1" s="192"/>
      <c r="C1" s="38" t="str">
        <f t="array" ref="C1">"Won:"&amp;SUM(IF($E$5:$E$67="W",1,0))</f>
        <v>Won:9</v>
      </c>
      <c r="D1" s="96" t="str">
        <f t="array" ref="D1">"N/D:"&amp;SUM(IF($E$5:$E$67="ND",1,0))</f>
        <v>N/D:0</v>
      </c>
      <c r="E1" s="29"/>
      <c r="F1" s="29"/>
      <c r="H1" s="59"/>
      <c r="J1" s="92"/>
      <c r="K1" s="28"/>
      <c r="L1" s="29"/>
      <c r="M1" s="29"/>
      <c r="N1" s="30"/>
      <c r="O1" s="30"/>
      <c r="P1" s="30"/>
      <c r="Q1" s="31"/>
      <c r="R1" s="31"/>
      <c r="S1" s="31"/>
      <c r="T1" s="31"/>
      <c r="U1" s="31"/>
      <c r="V1" s="31"/>
      <c r="W1" s="31"/>
      <c r="X1" s="31"/>
    </row>
    <row r="2" spans="1:33" s="43" customFormat="1" x14ac:dyDescent="0.15">
      <c r="A2" s="192"/>
      <c r="B2" s="192"/>
      <c r="C2" s="38" t="str">
        <f t="array" ref="C2">"Lost:"&amp;SUM(IF($E$5:$E$67="L",1,0))</f>
        <v>Lost:7</v>
      </c>
      <c r="D2" s="60" t="str">
        <f t="array" ref="D2">"Tied:"&amp;SUM(IF($E$5:$E$67="T",1,0))</f>
        <v>Tied:1</v>
      </c>
      <c r="E2" s="40"/>
      <c r="F2" s="40"/>
      <c r="G2" s="58"/>
      <c r="H2" s="60"/>
      <c r="J2" s="93"/>
      <c r="K2" s="39"/>
      <c r="L2" s="40"/>
      <c r="M2" s="40"/>
      <c r="N2" s="41" t="s">
        <v>194</v>
      </c>
      <c r="O2" s="41"/>
      <c r="P2" s="41"/>
      <c r="Q2" s="42"/>
      <c r="R2" s="42"/>
      <c r="S2" s="42"/>
      <c r="T2" s="42"/>
      <c r="U2" s="42"/>
      <c r="V2" s="42"/>
      <c r="W2" s="42"/>
      <c r="X2" s="42"/>
      <c r="Z2" s="43" t="s">
        <v>185</v>
      </c>
      <c r="AA2" s="43">
        <f>MAX(AA5:AA59)</f>
        <v>282</v>
      </c>
      <c r="AB2" s="43">
        <f>MAX(AB5:AB59)</f>
        <v>246</v>
      </c>
    </row>
    <row r="3" spans="1:33" s="43" customFormat="1" ht="12" thickBot="1" x14ac:dyDescent="0.2">
      <c r="A3" s="193"/>
      <c r="B3" s="193"/>
      <c r="C3" s="38" t="str">
        <f t="array" ref="C3">"Drawn:"&amp;SUM(IF($E$5:$E$67="D",1,0))</f>
        <v>Drawn:0</v>
      </c>
      <c r="D3" s="40"/>
      <c r="E3" s="40"/>
      <c r="F3" s="40"/>
      <c r="G3" s="39"/>
      <c r="H3" s="40"/>
      <c r="I3" s="39"/>
      <c r="J3" s="89"/>
      <c r="K3" s="39"/>
      <c r="L3" s="40"/>
      <c r="M3" s="40"/>
      <c r="N3" s="41" t="s">
        <v>195</v>
      </c>
      <c r="O3" s="163">
        <f>MAX(O5:O25)</f>
        <v>40</v>
      </c>
      <c r="P3" s="163">
        <f>MAX(P5:P25)</f>
        <v>40</v>
      </c>
      <c r="Q3" s="42"/>
      <c r="R3" s="42"/>
      <c r="S3" s="42"/>
      <c r="T3" s="42"/>
      <c r="U3" s="42"/>
      <c r="V3" s="42"/>
      <c r="W3" s="42"/>
      <c r="X3" s="42"/>
      <c r="Z3" s="43" t="s">
        <v>186</v>
      </c>
      <c r="AA3" s="43">
        <f t="array" ref="AA3">MIN(IF(AA5:AA59=0,99999,AA5:AA59))</f>
        <v>117</v>
      </c>
      <c r="AB3" s="43">
        <f t="array" ref="AB3">MIN(IF(AB5:AB59&lt;=0,99999,AB5:AB59))</f>
        <v>106</v>
      </c>
      <c r="AF3" s="43">
        <f>SUM(AF5:AF59)</f>
        <v>6</v>
      </c>
      <c r="AG3" s="43">
        <f>SUM(AG5:AG59)</f>
        <v>9</v>
      </c>
    </row>
    <row r="4" spans="1:33" s="136" customFormat="1" ht="31.5" x14ac:dyDescent="0.15">
      <c r="A4" s="130" t="s">
        <v>119</v>
      </c>
      <c r="B4" s="131" t="s">
        <v>0</v>
      </c>
      <c r="C4" s="132" t="s">
        <v>1</v>
      </c>
      <c r="D4" s="130" t="s">
        <v>2</v>
      </c>
      <c r="E4" s="130" t="s">
        <v>3</v>
      </c>
      <c r="F4" s="130" t="s">
        <v>143</v>
      </c>
      <c r="G4" s="132" t="s">
        <v>9</v>
      </c>
      <c r="H4" s="130" t="s">
        <v>32</v>
      </c>
      <c r="I4" s="130" t="s">
        <v>99</v>
      </c>
      <c r="J4" s="133"/>
      <c r="K4" s="132" t="s">
        <v>9</v>
      </c>
      <c r="L4" s="130" t="s">
        <v>32</v>
      </c>
      <c r="M4" s="130" t="s">
        <v>99</v>
      </c>
      <c r="N4" s="132"/>
      <c r="O4" s="132" t="s">
        <v>166</v>
      </c>
      <c r="P4" s="132" t="s">
        <v>167</v>
      </c>
      <c r="Q4" s="132" t="s">
        <v>101</v>
      </c>
      <c r="R4" s="134" t="s">
        <v>102</v>
      </c>
      <c r="S4" s="134" t="s">
        <v>103</v>
      </c>
      <c r="T4" s="134" t="s">
        <v>104</v>
      </c>
      <c r="U4" s="134" t="s">
        <v>105</v>
      </c>
      <c r="V4" s="134" t="s">
        <v>106</v>
      </c>
      <c r="W4" s="134" t="s">
        <v>107</v>
      </c>
      <c r="X4" s="134" t="s">
        <v>108</v>
      </c>
      <c r="Y4" s="134" t="s">
        <v>109</v>
      </c>
      <c r="Z4" s="134" t="s">
        <v>110</v>
      </c>
      <c r="AA4" s="135" t="s">
        <v>179</v>
      </c>
      <c r="AB4" s="135" t="s">
        <v>180</v>
      </c>
      <c r="AC4" s="135" t="s">
        <v>181</v>
      </c>
      <c r="AD4" s="135" t="s">
        <v>182</v>
      </c>
      <c r="AE4" s="136" t="s">
        <v>202</v>
      </c>
      <c r="AF4" s="136" t="s">
        <v>213</v>
      </c>
      <c r="AG4" s="136" t="s">
        <v>214</v>
      </c>
    </row>
    <row r="5" spans="1:33" s="22" customFormat="1" x14ac:dyDescent="0.15">
      <c r="A5" s="104" t="str">
        <f t="shared" ref="A5:A59" si="0">TEXT(WEEKDAY(B5),"ddd")</f>
        <v>Sun</v>
      </c>
      <c r="B5" s="105">
        <v>43226</v>
      </c>
      <c r="C5" s="106" t="s">
        <v>229</v>
      </c>
      <c r="D5" s="107" t="s">
        <v>201</v>
      </c>
      <c r="E5" s="107" t="s">
        <v>205</v>
      </c>
      <c r="F5" s="107" t="s">
        <v>1</v>
      </c>
      <c r="G5" s="108">
        <v>174</v>
      </c>
      <c r="H5" s="107">
        <v>9</v>
      </c>
      <c r="I5" s="107"/>
      <c r="J5" s="109" t="s">
        <v>303</v>
      </c>
      <c r="K5" s="108">
        <v>117</v>
      </c>
      <c r="L5" s="107">
        <v>10</v>
      </c>
      <c r="M5" s="107"/>
      <c r="N5" s="106" t="s">
        <v>304</v>
      </c>
      <c r="O5" s="110">
        <v>29.4</v>
      </c>
      <c r="P5" s="110">
        <v>40</v>
      </c>
      <c r="Q5" s="111">
        <v>3</v>
      </c>
      <c r="R5" s="111">
        <v>5</v>
      </c>
      <c r="S5" s="111">
        <v>4</v>
      </c>
      <c r="T5" s="111">
        <v>2</v>
      </c>
      <c r="U5" s="111">
        <v>8</v>
      </c>
      <c r="V5" s="111">
        <v>2</v>
      </c>
      <c r="W5" s="111">
        <v>8</v>
      </c>
      <c r="X5" s="111">
        <v>1</v>
      </c>
      <c r="Y5" s="111">
        <f t="shared" ref="Y5:Y27" si="1">SUM(Q5:T5)</f>
        <v>14</v>
      </c>
      <c r="Z5" s="111">
        <f t="shared" ref="Z5:Z27" si="2">SUM(U5:X5)</f>
        <v>19</v>
      </c>
      <c r="AA5" s="111">
        <f t="shared" ref="AA5:AA20" si="3">IF(F5="TOCC",G5,K5)</f>
        <v>117</v>
      </c>
      <c r="AB5" s="111">
        <f t="shared" ref="AB5:AB20" si="4">IF(F5&lt;&gt;"TOCC",G5,K5)</f>
        <v>174</v>
      </c>
      <c r="AC5" s="111">
        <f t="shared" ref="AC5:AC20" si="5">IF(F5="TOCC",H5,L5)</f>
        <v>10</v>
      </c>
      <c r="AD5" s="111">
        <f t="shared" ref="AD5:AD20" si="6">IF(F5&lt;&gt;"TOCC",H5,L5)</f>
        <v>9</v>
      </c>
      <c r="AE5" s="165"/>
      <c r="AG5" s="22">
        <v>1</v>
      </c>
    </row>
    <row r="6" spans="1:33" x14ac:dyDescent="0.15">
      <c r="A6" s="104" t="str">
        <f t="shared" si="0"/>
        <v>Sun</v>
      </c>
      <c r="B6" s="137">
        <v>43233</v>
      </c>
      <c r="C6" s="138" t="s">
        <v>328</v>
      </c>
      <c r="D6" s="139" t="s">
        <v>201</v>
      </c>
      <c r="E6" s="139" t="s">
        <v>206</v>
      </c>
      <c r="F6" s="139" t="s">
        <v>204</v>
      </c>
      <c r="G6" s="140">
        <v>215</v>
      </c>
      <c r="H6" s="139">
        <v>9</v>
      </c>
      <c r="I6" s="139"/>
      <c r="J6" s="141" t="s">
        <v>329</v>
      </c>
      <c r="K6" s="140">
        <v>207</v>
      </c>
      <c r="L6" s="139">
        <v>10</v>
      </c>
      <c r="M6" s="139"/>
      <c r="N6" s="138" t="s">
        <v>330</v>
      </c>
      <c r="O6" s="142">
        <v>40</v>
      </c>
      <c r="P6" s="142">
        <v>38.299999999999997</v>
      </c>
      <c r="Q6" s="143">
        <v>10</v>
      </c>
      <c r="R6" s="143">
        <v>0</v>
      </c>
      <c r="S6" s="143">
        <v>2</v>
      </c>
      <c r="T6" s="143">
        <v>3</v>
      </c>
      <c r="U6" s="143">
        <v>21</v>
      </c>
      <c r="V6" s="143">
        <v>3</v>
      </c>
      <c r="W6" s="143">
        <v>12</v>
      </c>
      <c r="X6" s="143">
        <v>7</v>
      </c>
      <c r="Y6" s="111">
        <f t="shared" si="1"/>
        <v>15</v>
      </c>
      <c r="Z6" s="111">
        <f t="shared" si="2"/>
        <v>43</v>
      </c>
      <c r="AA6" s="143">
        <f t="shared" si="3"/>
        <v>215</v>
      </c>
      <c r="AB6" s="143">
        <f t="shared" si="4"/>
        <v>207</v>
      </c>
      <c r="AC6" s="143">
        <f t="shared" si="5"/>
        <v>9</v>
      </c>
      <c r="AD6" s="143">
        <f t="shared" si="6"/>
        <v>10</v>
      </c>
      <c r="AE6" s="165"/>
      <c r="AF6" s="26">
        <v>1</v>
      </c>
      <c r="AG6" s="26">
        <v>1</v>
      </c>
    </row>
    <row r="7" spans="1:33" x14ac:dyDescent="0.15">
      <c r="A7" s="104" t="str">
        <f t="shared" si="0"/>
        <v>Sun</v>
      </c>
      <c r="B7" s="137">
        <v>43240</v>
      </c>
      <c r="C7" s="138" t="s">
        <v>348</v>
      </c>
      <c r="D7" s="139" t="s">
        <v>201</v>
      </c>
      <c r="E7" s="139" t="s">
        <v>205</v>
      </c>
      <c r="F7" s="139" t="s">
        <v>1</v>
      </c>
      <c r="G7" s="140">
        <v>180</v>
      </c>
      <c r="H7" s="139">
        <v>10</v>
      </c>
      <c r="I7" s="139"/>
      <c r="J7" s="141" t="s">
        <v>349</v>
      </c>
      <c r="K7" s="140">
        <v>164</v>
      </c>
      <c r="L7" s="139">
        <v>10</v>
      </c>
      <c r="M7" s="139"/>
      <c r="N7" s="138" t="s">
        <v>350</v>
      </c>
      <c r="O7" s="142">
        <v>37.200000000000003</v>
      </c>
      <c r="P7" s="142">
        <v>33.4</v>
      </c>
      <c r="Q7" s="143">
        <v>6</v>
      </c>
      <c r="R7" s="143">
        <v>0</v>
      </c>
      <c r="S7" s="143">
        <v>4</v>
      </c>
      <c r="T7" s="143">
        <v>2</v>
      </c>
      <c r="U7" s="143">
        <v>9</v>
      </c>
      <c r="V7" s="143">
        <v>2</v>
      </c>
      <c r="W7" s="143">
        <v>6</v>
      </c>
      <c r="X7" s="143">
        <v>1</v>
      </c>
      <c r="Y7" s="111">
        <f t="shared" si="1"/>
        <v>12</v>
      </c>
      <c r="Z7" s="111">
        <f t="shared" si="2"/>
        <v>18</v>
      </c>
      <c r="AA7" s="143">
        <f t="shared" si="3"/>
        <v>164</v>
      </c>
      <c r="AB7" s="143">
        <f t="shared" si="4"/>
        <v>180</v>
      </c>
      <c r="AC7" s="143">
        <f t="shared" si="5"/>
        <v>10</v>
      </c>
      <c r="AD7" s="143">
        <f t="shared" si="6"/>
        <v>10</v>
      </c>
      <c r="AE7" s="165"/>
      <c r="AF7" s="26">
        <v>1</v>
      </c>
    </row>
    <row r="8" spans="1:33" x14ac:dyDescent="0.15">
      <c r="A8" s="104" t="str">
        <f t="shared" si="0"/>
        <v>Sat</v>
      </c>
      <c r="B8" s="137">
        <v>43246</v>
      </c>
      <c r="C8" s="138" t="s">
        <v>365</v>
      </c>
      <c r="D8" s="139" t="s">
        <v>226</v>
      </c>
      <c r="E8" s="139" t="s">
        <v>205</v>
      </c>
      <c r="F8" s="139" t="s">
        <v>204</v>
      </c>
      <c r="G8" s="140">
        <v>151</v>
      </c>
      <c r="H8" s="139">
        <v>8</v>
      </c>
      <c r="I8" s="139"/>
      <c r="J8" s="144" t="s">
        <v>329</v>
      </c>
      <c r="K8" s="140">
        <v>154</v>
      </c>
      <c r="L8" s="139">
        <v>3</v>
      </c>
      <c r="M8" s="139"/>
      <c r="N8" s="138"/>
      <c r="O8" s="142">
        <v>30</v>
      </c>
      <c r="P8" s="142">
        <v>29</v>
      </c>
      <c r="Q8" s="143">
        <v>4</v>
      </c>
      <c r="R8" s="143">
        <v>1</v>
      </c>
      <c r="S8" s="143">
        <v>11</v>
      </c>
      <c r="T8" s="143">
        <v>3</v>
      </c>
      <c r="U8" s="143">
        <v>6</v>
      </c>
      <c r="V8" s="143">
        <v>3</v>
      </c>
      <c r="W8" s="143">
        <v>4</v>
      </c>
      <c r="X8" s="143">
        <v>1</v>
      </c>
      <c r="Y8" s="111">
        <f t="shared" si="1"/>
        <v>19</v>
      </c>
      <c r="Z8" s="111">
        <f t="shared" si="2"/>
        <v>14</v>
      </c>
      <c r="AA8" s="143">
        <f t="shared" si="3"/>
        <v>151</v>
      </c>
      <c r="AB8" s="143">
        <f t="shared" si="4"/>
        <v>154</v>
      </c>
      <c r="AC8" s="143">
        <f t="shared" si="5"/>
        <v>8</v>
      </c>
      <c r="AD8" s="143">
        <f t="shared" si="6"/>
        <v>3</v>
      </c>
      <c r="AE8" s="165"/>
      <c r="AF8" s="26">
        <v>1</v>
      </c>
    </row>
    <row r="9" spans="1:33" x14ac:dyDescent="0.15">
      <c r="A9" s="104" t="str">
        <f t="shared" si="0"/>
        <v>Sun</v>
      </c>
      <c r="B9" s="137">
        <v>43247</v>
      </c>
      <c r="C9" s="138" t="s">
        <v>229</v>
      </c>
      <c r="D9" s="139" t="s">
        <v>226</v>
      </c>
      <c r="E9" s="139" t="s">
        <v>205</v>
      </c>
      <c r="F9" s="139" t="s">
        <v>204</v>
      </c>
      <c r="G9" s="140">
        <v>136</v>
      </c>
      <c r="H9" s="139">
        <v>10</v>
      </c>
      <c r="I9" s="139"/>
      <c r="J9" s="141"/>
      <c r="K9" s="140">
        <v>137</v>
      </c>
      <c r="L9" s="139">
        <v>6</v>
      </c>
      <c r="M9" s="139"/>
      <c r="N9" s="138"/>
      <c r="O9" s="142">
        <v>33.1</v>
      </c>
      <c r="P9" s="142">
        <v>33.4</v>
      </c>
      <c r="Q9" s="143">
        <v>3</v>
      </c>
      <c r="R9" s="143">
        <v>0</v>
      </c>
      <c r="S9" s="143">
        <v>2</v>
      </c>
      <c r="T9" s="143">
        <v>0</v>
      </c>
      <c r="U9" s="143">
        <v>20</v>
      </c>
      <c r="V9" s="143">
        <v>3</v>
      </c>
      <c r="W9" s="143">
        <v>4</v>
      </c>
      <c r="X9" s="143">
        <v>0</v>
      </c>
      <c r="Y9" s="111">
        <f t="shared" si="1"/>
        <v>5</v>
      </c>
      <c r="Z9" s="111">
        <f t="shared" si="2"/>
        <v>27</v>
      </c>
      <c r="AA9" s="143">
        <f t="shared" si="3"/>
        <v>136</v>
      </c>
      <c r="AB9" s="143">
        <f t="shared" si="4"/>
        <v>137</v>
      </c>
      <c r="AC9" s="143">
        <f t="shared" si="5"/>
        <v>10</v>
      </c>
      <c r="AD9" s="143">
        <f t="shared" si="6"/>
        <v>6</v>
      </c>
      <c r="AE9" s="165"/>
    </row>
    <row r="10" spans="1:33" x14ac:dyDescent="0.15">
      <c r="A10" s="104" t="str">
        <f t="shared" si="0"/>
        <v>Mon</v>
      </c>
      <c r="B10" s="137">
        <v>43248</v>
      </c>
      <c r="C10" s="138" t="s">
        <v>255</v>
      </c>
      <c r="D10" s="139" t="s">
        <v>226</v>
      </c>
      <c r="E10" s="139" t="s">
        <v>206</v>
      </c>
      <c r="F10" s="139" t="s">
        <v>204</v>
      </c>
      <c r="G10" s="140">
        <v>193</v>
      </c>
      <c r="H10" s="139">
        <v>9</v>
      </c>
      <c r="I10" s="139"/>
      <c r="J10" s="141" t="s">
        <v>403</v>
      </c>
      <c r="K10" s="140">
        <v>126</v>
      </c>
      <c r="L10" s="139">
        <v>10</v>
      </c>
      <c r="M10" s="139"/>
      <c r="N10" s="138" t="s">
        <v>404</v>
      </c>
      <c r="O10" s="142">
        <v>35</v>
      </c>
      <c r="P10" s="142">
        <v>35</v>
      </c>
      <c r="Q10" s="143">
        <v>6</v>
      </c>
      <c r="R10" s="143">
        <v>0</v>
      </c>
      <c r="S10" s="143">
        <v>7</v>
      </c>
      <c r="T10" s="143">
        <v>1</v>
      </c>
      <c r="U10" s="143">
        <v>18</v>
      </c>
      <c r="V10" s="143">
        <v>4</v>
      </c>
      <c r="W10" s="143">
        <v>2</v>
      </c>
      <c r="X10" s="143">
        <v>2</v>
      </c>
      <c r="Y10" s="111">
        <f t="shared" si="1"/>
        <v>14</v>
      </c>
      <c r="Z10" s="111">
        <f t="shared" si="2"/>
        <v>26</v>
      </c>
      <c r="AA10" s="143">
        <f t="shared" si="3"/>
        <v>193</v>
      </c>
      <c r="AB10" s="143">
        <f t="shared" si="4"/>
        <v>126</v>
      </c>
      <c r="AC10" s="143">
        <f t="shared" si="5"/>
        <v>9</v>
      </c>
      <c r="AD10" s="143">
        <f t="shared" si="6"/>
        <v>10</v>
      </c>
      <c r="AE10" s="165"/>
      <c r="AG10" s="26">
        <v>1</v>
      </c>
    </row>
    <row r="11" spans="1:33" x14ac:dyDescent="0.15">
      <c r="A11" s="104" t="str">
        <f t="shared" si="0"/>
        <v>Sun</v>
      </c>
      <c r="B11" s="137">
        <v>43261</v>
      </c>
      <c r="C11" s="138" t="s">
        <v>265</v>
      </c>
      <c r="D11" s="139" t="s">
        <v>226</v>
      </c>
      <c r="E11" s="139" t="s">
        <v>206</v>
      </c>
      <c r="F11" s="139" t="s">
        <v>204</v>
      </c>
      <c r="G11" s="140">
        <v>204</v>
      </c>
      <c r="H11" s="139">
        <v>10</v>
      </c>
      <c r="I11" s="139"/>
      <c r="J11" s="141" t="s">
        <v>421</v>
      </c>
      <c r="K11" s="140">
        <v>198</v>
      </c>
      <c r="L11" s="139">
        <v>9</v>
      </c>
      <c r="M11" s="139"/>
      <c r="N11" s="138" t="s">
        <v>422</v>
      </c>
      <c r="O11" s="142">
        <v>39.299999999999997</v>
      </c>
      <c r="P11" s="142">
        <v>40</v>
      </c>
      <c r="Q11" s="143">
        <v>12</v>
      </c>
      <c r="R11" s="143">
        <v>1</v>
      </c>
      <c r="S11" s="143">
        <v>14</v>
      </c>
      <c r="T11" s="143">
        <v>3</v>
      </c>
      <c r="U11" s="143">
        <v>10</v>
      </c>
      <c r="V11" s="143">
        <v>0</v>
      </c>
      <c r="W11" s="143">
        <v>6</v>
      </c>
      <c r="X11" s="143">
        <v>1</v>
      </c>
      <c r="Y11" s="111">
        <f t="shared" si="1"/>
        <v>30</v>
      </c>
      <c r="Z11" s="111">
        <f t="shared" si="2"/>
        <v>17</v>
      </c>
      <c r="AA11" s="143">
        <f t="shared" si="3"/>
        <v>204</v>
      </c>
      <c r="AB11" s="143">
        <f t="shared" si="4"/>
        <v>198</v>
      </c>
      <c r="AC11" s="143">
        <f t="shared" si="5"/>
        <v>10</v>
      </c>
      <c r="AD11" s="143">
        <f t="shared" si="6"/>
        <v>9</v>
      </c>
      <c r="AE11" s="165"/>
      <c r="AF11" s="26">
        <v>1</v>
      </c>
    </row>
    <row r="12" spans="1:33" x14ac:dyDescent="0.15">
      <c r="A12" s="104" t="str">
        <f t="shared" si="0"/>
        <v>Sun</v>
      </c>
      <c r="B12" s="137">
        <v>43268</v>
      </c>
      <c r="C12" s="138" t="s">
        <v>251</v>
      </c>
      <c r="D12" s="139" t="s">
        <v>226</v>
      </c>
      <c r="E12" s="139" t="s">
        <v>205</v>
      </c>
      <c r="F12" s="139" t="s">
        <v>1</v>
      </c>
      <c r="G12" s="140">
        <v>211</v>
      </c>
      <c r="H12" s="139">
        <v>6</v>
      </c>
      <c r="I12" s="139"/>
      <c r="J12" s="141" t="s">
        <v>439</v>
      </c>
      <c r="K12" s="140">
        <v>204</v>
      </c>
      <c r="L12" s="139">
        <v>10</v>
      </c>
      <c r="M12" s="139"/>
      <c r="N12" s="141" t="s">
        <v>440</v>
      </c>
      <c r="O12" s="142">
        <v>37.4</v>
      </c>
      <c r="P12" s="142">
        <v>40</v>
      </c>
      <c r="Q12" s="143">
        <v>5</v>
      </c>
      <c r="R12" s="143">
        <v>0</v>
      </c>
      <c r="S12" s="143">
        <v>8</v>
      </c>
      <c r="T12" s="143">
        <v>1</v>
      </c>
      <c r="U12" s="143">
        <v>11</v>
      </c>
      <c r="V12" s="143">
        <v>2</v>
      </c>
      <c r="W12" s="143">
        <v>0</v>
      </c>
      <c r="X12" s="143">
        <v>1</v>
      </c>
      <c r="Y12" s="111">
        <f t="shared" si="1"/>
        <v>14</v>
      </c>
      <c r="Z12" s="111">
        <f t="shared" si="2"/>
        <v>14</v>
      </c>
      <c r="AA12" s="143">
        <f t="shared" si="3"/>
        <v>204</v>
      </c>
      <c r="AB12" s="143">
        <f t="shared" si="4"/>
        <v>211</v>
      </c>
      <c r="AC12" s="143">
        <f t="shared" si="5"/>
        <v>10</v>
      </c>
      <c r="AD12" s="143">
        <f t="shared" si="6"/>
        <v>6</v>
      </c>
      <c r="AE12" s="165"/>
      <c r="AG12" s="26">
        <v>1</v>
      </c>
    </row>
    <row r="13" spans="1:33" x14ac:dyDescent="0.15">
      <c r="A13" s="104" t="str">
        <f t="shared" si="0"/>
        <v>Sun</v>
      </c>
      <c r="B13" s="137">
        <v>43275</v>
      </c>
      <c r="C13" s="138" t="s">
        <v>267</v>
      </c>
      <c r="D13" s="139" t="s">
        <v>201</v>
      </c>
      <c r="E13" s="139" t="s">
        <v>206</v>
      </c>
      <c r="F13" s="139" t="s">
        <v>204</v>
      </c>
      <c r="G13" s="140">
        <v>227</v>
      </c>
      <c r="H13" s="139">
        <v>9</v>
      </c>
      <c r="I13" s="139"/>
      <c r="J13" s="141" t="s">
        <v>463</v>
      </c>
      <c r="K13" s="140">
        <v>184</v>
      </c>
      <c r="L13" s="139">
        <v>10</v>
      </c>
      <c r="M13" s="139"/>
      <c r="N13" s="138" t="s">
        <v>464</v>
      </c>
      <c r="O13" s="142">
        <v>40</v>
      </c>
      <c r="P13" s="142">
        <v>38.299999999999997</v>
      </c>
      <c r="Q13" s="143">
        <v>13</v>
      </c>
      <c r="R13" s="143">
        <v>4</v>
      </c>
      <c r="S13" s="143">
        <v>11</v>
      </c>
      <c r="T13" s="143">
        <v>2</v>
      </c>
      <c r="U13" s="143">
        <v>35</v>
      </c>
      <c r="V13" s="143">
        <v>3</v>
      </c>
      <c r="W13" s="143">
        <v>8</v>
      </c>
      <c r="X13" s="143">
        <v>1</v>
      </c>
      <c r="Y13" s="111">
        <f t="shared" si="1"/>
        <v>30</v>
      </c>
      <c r="Z13" s="111">
        <f t="shared" si="2"/>
        <v>47</v>
      </c>
      <c r="AA13" s="143">
        <f t="shared" si="3"/>
        <v>227</v>
      </c>
      <c r="AB13" s="143">
        <f t="shared" si="4"/>
        <v>184</v>
      </c>
      <c r="AC13" s="143">
        <f t="shared" si="5"/>
        <v>9</v>
      </c>
      <c r="AD13" s="143">
        <f t="shared" si="6"/>
        <v>10</v>
      </c>
      <c r="AE13" s="165"/>
    </row>
    <row r="14" spans="1:33" x14ac:dyDescent="0.15">
      <c r="A14" s="104" t="str">
        <f t="shared" si="0"/>
        <v>Sun</v>
      </c>
      <c r="B14" s="137">
        <v>43282</v>
      </c>
      <c r="C14" s="138" t="s">
        <v>295</v>
      </c>
      <c r="D14" s="139" t="s">
        <v>226</v>
      </c>
      <c r="E14" s="139" t="s">
        <v>205</v>
      </c>
      <c r="F14" s="139" t="s">
        <v>1</v>
      </c>
      <c r="G14" s="140">
        <v>246</v>
      </c>
      <c r="H14" s="139">
        <v>8</v>
      </c>
      <c r="I14" s="139"/>
      <c r="J14" s="141" t="s">
        <v>481</v>
      </c>
      <c r="K14" s="140">
        <v>141</v>
      </c>
      <c r="L14" s="139">
        <v>10</v>
      </c>
      <c r="M14" s="139"/>
      <c r="N14" s="138" t="s">
        <v>482</v>
      </c>
      <c r="O14" s="142">
        <v>29.2</v>
      </c>
      <c r="P14" s="142">
        <v>40</v>
      </c>
      <c r="Q14" s="143">
        <v>20</v>
      </c>
      <c r="R14" s="143">
        <v>0</v>
      </c>
      <c r="S14" s="143">
        <v>7</v>
      </c>
      <c r="T14" s="143">
        <v>0</v>
      </c>
      <c r="U14" s="143">
        <v>5</v>
      </c>
      <c r="V14" s="143">
        <v>1</v>
      </c>
      <c r="W14" s="143">
        <v>5</v>
      </c>
      <c r="X14" s="143">
        <v>6</v>
      </c>
      <c r="Y14" s="111">
        <f t="shared" si="1"/>
        <v>27</v>
      </c>
      <c r="Z14" s="111">
        <f t="shared" si="2"/>
        <v>17</v>
      </c>
      <c r="AA14" s="143">
        <f t="shared" si="3"/>
        <v>141</v>
      </c>
      <c r="AB14" s="143">
        <f t="shared" si="4"/>
        <v>246</v>
      </c>
      <c r="AC14" s="143">
        <f t="shared" si="5"/>
        <v>10</v>
      </c>
      <c r="AD14" s="143">
        <f t="shared" si="6"/>
        <v>8</v>
      </c>
      <c r="AE14" s="165"/>
      <c r="AG14" s="26">
        <v>2</v>
      </c>
    </row>
    <row r="15" spans="1:33" x14ac:dyDescent="0.15">
      <c r="A15" s="104" t="str">
        <f t="shared" si="0"/>
        <v>Sat</v>
      </c>
      <c r="B15" s="137">
        <v>43288</v>
      </c>
      <c r="C15" s="138" t="s">
        <v>458</v>
      </c>
      <c r="D15" s="139" t="s">
        <v>201</v>
      </c>
      <c r="E15" s="139" t="s">
        <v>206</v>
      </c>
      <c r="F15" s="139" t="s">
        <v>204</v>
      </c>
      <c r="G15" s="140">
        <v>239</v>
      </c>
      <c r="H15" s="139">
        <v>7</v>
      </c>
      <c r="I15" s="139"/>
      <c r="J15" s="141" t="s">
        <v>498</v>
      </c>
      <c r="K15" s="140">
        <v>150</v>
      </c>
      <c r="L15" s="139">
        <v>10</v>
      </c>
      <c r="M15" s="139"/>
      <c r="N15" s="138"/>
      <c r="O15" s="142">
        <v>40</v>
      </c>
      <c r="P15" s="142">
        <v>34</v>
      </c>
      <c r="Q15" s="143">
        <v>8</v>
      </c>
      <c r="R15" s="143">
        <v>2</v>
      </c>
      <c r="S15" s="143">
        <v>19</v>
      </c>
      <c r="T15" s="143">
        <v>3</v>
      </c>
      <c r="U15" s="143">
        <v>12</v>
      </c>
      <c r="V15" s="143">
        <v>8</v>
      </c>
      <c r="W15" s="143">
        <v>12</v>
      </c>
      <c r="X15" s="143">
        <v>2</v>
      </c>
      <c r="Y15" s="111">
        <f t="shared" si="1"/>
        <v>32</v>
      </c>
      <c r="Z15" s="111">
        <f t="shared" si="2"/>
        <v>34</v>
      </c>
      <c r="AA15" s="143">
        <f>IF(F15="TOCC",G15,K15)</f>
        <v>239</v>
      </c>
      <c r="AB15" s="143">
        <f>IF(F15&lt;&gt;"TOCC",G15,K15)</f>
        <v>150</v>
      </c>
      <c r="AC15" s="143">
        <f t="shared" si="5"/>
        <v>7</v>
      </c>
      <c r="AD15" s="143">
        <f t="shared" si="6"/>
        <v>10</v>
      </c>
      <c r="AE15" s="165"/>
      <c r="AF15" s="26">
        <v>1</v>
      </c>
    </row>
    <row r="16" spans="1:33" s="22" customFormat="1" x14ac:dyDescent="0.15">
      <c r="A16" s="104" t="str">
        <f t="shared" si="0"/>
        <v>Sun</v>
      </c>
      <c r="B16" s="105">
        <v>43296</v>
      </c>
      <c r="C16" s="106" t="s">
        <v>459</v>
      </c>
      <c r="D16" s="107" t="s">
        <v>226</v>
      </c>
      <c r="E16" s="107" t="s">
        <v>206</v>
      </c>
      <c r="F16" s="107" t="s">
        <v>204</v>
      </c>
      <c r="G16" s="108">
        <v>282</v>
      </c>
      <c r="H16" s="107">
        <v>5</v>
      </c>
      <c r="I16" s="107"/>
      <c r="J16" s="109" t="s">
        <v>514</v>
      </c>
      <c r="K16" s="108">
        <v>106</v>
      </c>
      <c r="L16" s="107">
        <v>10</v>
      </c>
      <c r="M16" s="107"/>
      <c r="N16" s="106" t="s">
        <v>515</v>
      </c>
      <c r="O16" s="110">
        <v>40</v>
      </c>
      <c r="P16" s="110">
        <v>32.4</v>
      </c>
      <c r="Q16" s="111">
        <v>5</v>
      </c>
      <c r="R16" s="111">
        <v>1</v>
      </c>
      <c r="S16" s="111">
        <v>1</v>
      </c>
      <c r="T16" s="111">
        <v>2</v>
      </c>
      <c r="U16" s="111">
        <v>9</v>
      </c>
      <c r="V16" s="111">
        <v>1</v>
      </c>
      <c r="W16" s="111">
        <v>10</v>
      </c>
      <c r="X16" s="111">
        <v>1</v>
      </c>
      <c r="Y16" s="111">
        <f t="shared" si="1"/>
        <v>9</v>
      </c>
      <c r="Z16" s="111">
        <f t="shared" si="2"/>
        <v>21</v>
      </c>
      <c r="AA16" s="111">
        <f t="shared" si="3"/>
        <v>282</v>
      </c>
      <c r="AB16" s="111">
        <f t="shared" si="4"/>
        <v>106</v>
      </c>
      <c r="AC16" s="111">
        <f t="shared" si="5"/>
        <v>5</v>
      </c>
      <c r="AD16" s="111">
        <f t="shared" si="6"/>
        <v>10</v>
      </c>
      <c r="AE16" s="165"/>
    </row>
    <row r="17" spans="1:33" x14ac:dyDescent="0.15">
      <c r="A17" s="104" t="str">
        <f t="shared" si="0"/>
        <v>Sun</v>
      </c>
      <c r="B17" s="105">
        <v>43303</v>
      </c>
      <c r="C17" s="138" t="s">
        <v>460</v>
      </c>
      <c r="D17" s="107" t="s">
        <v>201</v>
      </c>
      <c r="E17" s="107" t="s">
        <v>206</v>
      </c>
      <c r="F17" s="107" t="s">
        <v>1</v>
      </c>
      <c r="G17" s="108">
        <v>151</v>
      </c>
      <c r="H17" s="107">
        <v>10</v>
      </c>
      <c r="I17" s="107"/>
      <c r="J17" s="109" t="s">
        <v>534</v>
      </c>
      <c r="K17" s="108">
        <v>152</v>
      </c>
      <c r="L17" s="107">
        <v>9</v>
      </c>
      <c r="M17" s="107"/>
      <c r="N17" s="106" t="s">
        <v>535</v>
      </c>
      <c r="O17" s="110">
        <v>31.5</v>
      </c>
      <c r="P17" s="110">
        <v>39.200000000000003</v>
      </c>
      <c r="Q17" s="111">
        <v>13</v>
      </c>
      <c r="R17" s="111">
        <v>0</v>
      </c>
      <c r="S17" s="111">
        <v>5</v>
      </c>
      <c r="T17" s="111">
        <v>6</v>
      </c>
      <c r="U17" s="111">
        <v>13</v>
      </c>
      <c r="V17" s="111">
        <v>1</v>
      </c>
      <c r="W17" s="111">
        <v>14</v>
      </c>
      <c r="X17" s="111">
        <v>3</v>
      </c>
      <c r="Y17" s="111">
        <f t="shared" si="1"/>
        <v>24</v>
      </c>
      <c r="Z17" s="111">
        <f t="shared" si="2"/>
        <v>31</v>
      </c>
      <c r="AA17" s="111">
        <f t="shared" si="3"/>
        <v>152</v>
      </c>
      <c r="AB17" s="111">
        <f t="shared" si="4"/>
        <v>151</v>
      </c>
      <c r="AC17" s="111">
        <f t="shared" si="5"/>
        <v>9</v>
      </c>
      <c r="AD17" s="111">
        <f t="shared" si="6"/>
        <v>10</v>
      </c>
      <c r="AE17" s="165"/>
    </row>
    <row r="18" spans="1:33" x14ac:dyDescent="0.15">
      <c r="A18" s="104" t="str">
        <f t="shared" si="0"/>
        <v>Sun</v>
      </c>
      <c r="B18" s="105">
        <v>43324</v>
      </c>
      <c r="C18" s="138" t="s">
        <v>460</v>
      </c>
      <c r="D18" s="107" t="s">
        <v>226</v>
      </c>
      <c r="E18" s="107" t="s">
        <v>206</v>
      </c>
      <c r="F18" s="107" t="s">
        <v>1</v>
      </c>
      <c r="G18" s="108">
        <v>149</v>
      </c>
      <c r="H18" s="107">
        <v>7</v>
      </c>
      <c r="I18" s="107"/>
      <c r="J18" s="109"/>
      <c r="K18" s="108">
        <v>152</v>
      </c>
      <c r="L18" s="107">
        <v>2</v>
      </c>
      <c r="M18" s="107"/>
      <c r="N18" s="106" t="s">
        <v>544</v>
      </c>
      <c r="O18" s="110">
        <v>25.2</v>
      </c>
      <c r="P18" s="110">
        <v>35</v>
      </c>
      <c r="Q18" s="111">
        <v>5</v>
      </c>
      <c r="R18" s="111">
        <v>1</v>
      </c>
      <c r="S18" s="111">
        <v>0</v>
      </c>
      <c r="T18" s="111">
        <v>2</v>
      </c>
      <c r="U18" s="111">
        <v>9</v>
      </c>
      <c r="V18" s="111">
        <v>2</v>
      </c>
      <c r="W18" s="111">
        <v>4</v>
      </c>
      <c r="X18" s="111">
        <v>2</v>
      </c>
      <c r="Y18" s="111">
        <f t="shared" si="1"/>
        <v>8</v>
      </c>
      <c r="Z18" s="111">
        <f t="shared" si="2"/>
        <v>17</v>
      </c>
      <c r="AA18" s="111">
        <f t="shared" si="3"/>
        <v>152</v>
      </c>
      <c r="AB18" s="111">
        <f t="shared" si="4"/>
        <v>149</v>
      </c>
      <c r="AC18" s="111">
        <f t="shared" si="5"/>
        <v>2</v>
      </c>
      <c r="AD18" s="111">
        <f t="shared" si="6"/>
        <v>7</v>
      </c>
      <c r="AE18" s="165"/>
    </row>
    <row r="19" spans="1:33" x14ac:dyDescent="0.15">
      <c r="A19" s="104" t="str">
        <f t="shared" si="0"/>
        <v>Sun</v>
      </c>
      <c r="B19" s="105">
        <v>43345</v>
      </c>
      <c r="C19" s="161" t="s">
        <v>292</v>
      </c>
      <c r="D19" s="107" t="s">
        <v>226</v>
      </c>
      <c r="E19" s="107" t="s">
        <v>205</v>
      </c>
      <c r="F19" s="107" t="s">
        <v>204</v>
      </c>
      <c r="G19" s="108">
        <v>227</v>
      </c>
      <c r="H19" s="107">
        <v>1</v>
      </c>
      <c r="I19" s="107"/>
      <c r="J19" s="109" t="s">
        <v>555</v>
      </c>
      <c r="K19" s="108">
        <v>231</v>
      </c>
      <c r="L19" s="107">
        <v>4</v>
      </c>
      <c r="M19" s="107"/>
      <c r="N19" s="106" t="s">
        <v>556</v>
      </c>
      <c r="O19" s="110">
        <v>40</v>
      </c>
      <c r="P19" s="110">
        <v>37</v>
      </c>
      <c r="Q19" s="111">
        <v>9</v>
      </c>
      <c r="R19" s="111">
        <v>1</v>
      </c>
      <c r="S19" s="111">
        <v>0</v>
      </c>
      <c r="T19" s="111">
        <v>5</v>
      </c>
      <c r="U19" s="111">
        <v>15</v>
      </c>
      <c r="V19" s="111">
        <v>7</v>
      </c>
      <c r="W19" s="111">
        <v>15</v>
      </c>
      <c r="X19" s="111">
        <v>1</v>
      </c>
      <c r="Y19" s="111">
        <f t="shared" si="1"/>
        <v>15</v>
      </c>
      <c r="Z19" s="111">
        <f t="shared" si="2"/>
        <v>38</v>
      </c>
      <c r="AA19" s="111">
        <f t="shared" si="3"/>
        <v>227</v>
      </c>
      <c r="AB19" s="111">
        <f t="shared" si="4"/>
        <v>231</v>
      </c>
      <c r="AC19" s="111">
        <f t="shared" si="5"/>
        <v>1</v>
      </c>
      <c r="AD19" s="111">
        <f t="shared" si="6"/>
        <v>4</v>
      </c>
      <c r="AE19" s="165"/>
    </row>
    <row r="20" spans="1:33" x14ac:dyDescent="0.15">
      <c r="A20" s="104" t="str">
        <f t="shared" si="0"/>
        <v>Sun</v>
      </c>
      <c r="B20" s="105">
        <v>43352</v>
      </c>
      <c r="C20" s="106" t="s">
        <v>258</v>
      </c>
      <c r="D20" s="107" t="s">
        <v>201</v>
      </c>
      <c r="E20" s="107" t="s">
        <v>462</v>
      </c>
      <c r="F20" s="107" t="s">
        <v>204</v>
      </c>
      <c r="G20" s="108">
        <v>222</v>
      </c>
      <c r="H20" s="107">
        <v>6</v>
      </c>
      <c r="I20" s="107"/>
      <c r="J20" s="109" t="s">
        <v>571</v>
      </c>
      <c r="K20" s="108">
        <v>222</v>
      </c>
      <c r="L20" s="107">
        <v>8</v>
      </c>
      <c r="M20" s="107"/>
      <c r="N20" s="106"/>
      <c r="O20" s="110">
        <v>40</v>
      </c>
      <c r="P20" s="110">
        <v>40</v>
      </c>
      <c r="Q20" s="111">
        <v>16</v>
      </c>
      <c r="R20" s="111">
        <v>1</v>
      </c>
      <c r="S20" s="111">
        <v>4</v>
      </c>
      <c r="T20" s="111">
        <v>4</v>
      </c>
      <c r="U20" s="111">
        <v>12</v>
      </c>
      <c r="V20" s="111">
        <v>0</v>
      </c>
      <c r="W20" s="111">
        <v>11</v>
      </c>
      <c r="X20" s="111">
        <v>4</v>
      </c>
      <c r="Y20" s="111">
        <f t="shared" si="1"/>
        <v>25</v>
      </c>
      <c r="Z20" s="111">
        <f t="shared" si="2"/>
        <v>27</v>
      </c>
      <c r="AA20" s="111">
        <f t="shared" si="3"/>
        <v>222</v>
      </c>
      <c r="AB20" s="111">
        <f t="shared" si="4"/>
        <v>222</v>
      </c>
      <c r="AC20" s="111">
        <f t="shared" si="5"/>
        <v>6</v>
      </c>
      <c r="AD20" s="111">
        <f t="shared" si="6"/>
        <v>8</v>
      </c>
      <c r="AE20" s="165"/>
      <c r="AG20" s="26">
        <v>3</v>
      </c>
    </row>
    <row r="21" spans="1:33" x14ac:dyDescent="0.15">
      <c r="A21" s="104" t="str">
        <f t="shared" si="0"/>
        <v>Sun</v>
      </c>
      <c r="B21" s="105">
        <v>43359</v>
      </c>
      <c r="C21" s="106" t="s">
        <v>461</v>
      </c>
      <c r="D21" s="107" t="s">
        <v>226</v>
      </c>
      <c r="E21" s="107" t="s">
        <v>206</v>
      </c>
      <c r="F21" s="107" t="s">
        <v>1</v>
      </c>
      <c r="G21" s="108">
        <v>176</v>
      </c>
      <c r="H21" s="107">
        <v>10</v>
      </c>
      <c r="I21" s="107"/>
      <c r="J21" s="106" t="s">
        <v>590</v>
      </c>
      <c r="K21" s="108">
        <v>177</v>
      </c>
      <c r="L21" s="107">
        <v>4</v>
      </c>
      <c r="M21" s="107"/>
      <c r="N21" s="106" t="s">
        <v>591</v>
      </c>
      <c r="O21" s="110">
        <v>37.4</v>
      </c>
      <c r="P21" s="110">
        <v>38.299999999999997</v>
      </c>
      <c r="Q21" s="111">
        <v>11</v>
      </c>
      <c r="R21" s="111">
        <v>1</v>
      </c>
      <c r="S21" s="111">
        <v>7</v>
      </c>
      <c r="T21" s="111">
        <v>2</v>
      </c>
      <c r="U21" s="111">
        <v>8</v>
      </c>
      <c r="V21" s="111">
        <v>4</v>
      </c>
      <c r="W21" s="111">
        <v>5</v>
      </c>
      <c r="X21" s="111">
        <v>1</v>
      </c>
      <c r="Y21" s="111">
        <f t="shared" si="1"/>
        <v>21</v>
      </c>
      <c r="Z21" s="111">
        <f t="shared" si="2"/>
        <v>18</v>
      </c>
      <c r="AA21" s="111">
        <f t="shared" ref="AA21:AA59" si="7">IF(F21="TOCC",G21,K21)</f>
        <v>177</v>
      </c>
      <c r="AB21" s="111">
        <f t="shared" ref="AB21:AB59" si="8">IF(F21&lt;&gt;"TOCC",G21,K21)</f>
        <v>176</v>
      </c>
      <c r="AC21" s="111">
        <f t="shared" ref="AC21:AC59" si="9">IF(F21="TOCC",H21,L21)</f>
        <v>4</v>
      </c>
      <c r="AD21" s="111">
        <f t="shared" ref="AD21:AD59" si="10">IF(F21&lt;&gt;"TOCC",H21,L21)</f>
        <v>10</v>
      </c>
      <c r="AE21" s="165"/>
      <c r="AF21" s="26">
        <v>1</v>
      </c>
    </row>
    <row r="22" spans="1:33" x14ac:dyDescent="0.15">
      <c r="A22" s="104" t="str">
        <f t="shared" si="0"/>
        <v>Sat</v>
      </c>
      <c r="B22" s="105"/>
      <c r="C22" s="106"/>
      <c r="D22" s="107"/>
      <c r="E22" s="107"/>
      <c r="F22" s="107"/>
      <c r="G22" s="108"/>
      <c r="H22" s="107"/>
      <c r="I22" s="107"/>
      <c r="J22" s="109"/>
      <c r="K22" s="108"/>
      <c r="L22" s="107"/>
      <c r="M22" s="107"/>
      <c r="N22" s="106"/>
      <c r="O22" s="110"/>
      <c r="P22" s="110"/>
      <c r="Q22" s="111"/>
      <c r="R22" s="111"/>
      <c r="S22" s="111"/>
      <c r="T22" s="111"/>
      <c r="U22" s="111"/>
      <c r="V22" s="111"/>
      <c r="W22" s="111"/>
      <c r="X22" s="111"/>
      <c r="Y22" s="111">
        <f t="shared" si="1"/>
        <v>0</v>
      </c>
      <c r="Z22" s="111">
        <f t="shared" si="2"/>
        <v>0</v>
      </c>
      <c r="AA22" s="111">
        <f t="shared" si="7"/>
        <v>0</v>
      </c>
      <c r="AB22" s="111">
        <f t="shared" si="8"/>
        <v>0</v>
      </c>
      <c r="AC22" s="111">
        <f t="shared" si="9"/>
        <v>0</v>
      </c>
      <c r="AD22" s="111">
        <f t="shared" si="10"/>
        <v>0</v>
      </c>
      <c r="AE22" s="165"/>
    </row>
    <row r="23" spans="1:33" x14ac:dyDescent="0.15">
      <c r="A23" s="104" t="str">
        <f t="shared" si="0"/>
        <v>Sat</v>
      </c>
      <c r="B23" s="105"/>
      <c r="C23" s="106"/>
      <c r="D23" s="107"/>
      <c r="E23" s="107"/>
      <c r="F23" s="107"/>
      <c r="G23" s="108"/>
      <c r="H23" s="107"/>
      <c r="I23" s="107"/>
      <c r="J23" s="109"/>
      <c r="K23" s="108"/>
      <c r="L23" s="107"/>
      <c r="M23" s="107"/>
      <c r="N23" s="106"/>
      <c r="O23" s="110"/>
      <c r="P23" s="110"/>
      <c r="Q23" s="111"/>
      <c r="R23" s="111"/>
      <c r="S23" s="111"/>
      <c r="T23" s="111"/>
      <c r="U23" s="111"/>
      <c r="V23" s="111"/>
      <c r="W23" s="111"/>
      <c r="X23" s="111"/>
      <c r="Y23" s="111">
        <f t="shared" si="1"/>
        <v>0</v>
      </c>
      <c r="Z23" s="111">
        <f t="shared" si="2"/>
        <v>0</v>
      </c>
      <c r="AA23" s="111">
        <f t="shared" si="7"/>
        <v>0</v>
      </c>
      <c r="AB23" s="111">
        <f t="shared" si="8"/>
        <v>0</v>
      </c>
      <c r="AC23" s="111">
        <f t="shared" si="9"/>
        <v>0</v>
      </c>
      <c r="AD23" s="111">
        <f t="shared" si="10"/>
        <v>0</v>
      </c>
      <c r="AE23" s="165"/>
    </row>
    <row r="24" spans="1:33" x14ac:dyDescent="0.15">
      <c r="A24" s="104" t="str">
        <f t="shared" si="0"/>
        <v>Sat</v>
      </c>
      <c r="B24" s="105"/>
      <c r="C24" s="106"/>
      <c r="D24" s="107"/>
      <c r="E24" s="107"/>
      <c r="F24" s="107"/>
      <c r="G24" s="108"/>
      <c r="H24" s="107"/>
      <c r="I24" s="107"/>
      <c r="J24" s="109"/>
      <c r="K24" s="108"/>
      <c r="L24" s="107"/>
      <c r="M24" s="107"/>
      <c r="N24" s="106"/>
      <c r="O24" s="110"/>
      <c r="P24" s="110"/>
      <c r="Q24" s="111"/>
      <c r="R24" s="111"/>
      <c r="S24" s="111"/>
      <c r="T24" s="111"/>
      <c r="U24" s="111"/>
      <c r="V24" s="111"/>
      <c r="W24" s="111"/>
      <c r="X24" s="111"/>
      <c r="Y24" s="111">
        <f t="shared" si="1"/>
        <v>0</v>
      </c>
      <c r="Z24" s="111">
        <f t="shared" si="2"/>
        <v>0</v>
      </c>
      <c r="AA24" s="111">
        <f t="shared" si="7"/>
        <v>0</v>
      </c>
      <c r="AB24" s="111">
        <f t="shared" si="8"/>
        <v>0</v>
      </c>
      <c r="AC24" s="111">
        <f t="shared" si="9"/>
        <v>0</v>
      </c>
      <c r="AD24" s="111">
        <f t="shared" si="10"/>
        <v>0</v>
      </c>
      <c r="AE24" s="165"/>
    </row>
    <row r="25" spans="1:33" x14ac:dyDescent="0.15">
      <c r="A25" s="104" t="str">
        <f t="shared" si="0"/>
        <v>Sat</v>
      </c>
      <c r="B25" s="105"/>
      <c r="C25" s="106"/>
      <c r="D25" s="107"/>
      <c r="E25" s="107"/>
      <c r="F25" s="107"/>
      <c r="G25" s="108"/>
      <c r="H25" s="107"/>
      <c r="I25" s="107"/>
      <c r="J25" s="109"/>
      <c r="K25" s="108"/>
      <c r="L25" s="107"/>
      <c r="M25" s="107"/>
      <c r="N25" s="106"/>
      <c r="O25" s="110"/>
      <c r="P25" s="110"/>
      <c r="Q25" s="111"/>
      <c r="R25" s="111"/>
      <c r="S25" s="111"/>
      <c r="T25" s="111"/>
      <c r="U25" s="111"/>
      <c r="V25" s="111"/>
      <c r="W25" s="111"/>
      <c r="X25" s="111"/>
      <c r="Y25" s="111">
        <f t="shared" si="1"/>
        <v>0</v>
      </c>
      <c r="Z25" s="111">
        <f t="shared" si="2"/>
        <v>0</v>
      </c>
      <c r="AA25" s="111">
        <f t="shared" si="7"/>
        <v>0</v>
      </c>
      <c r="AB25" s="111">
        <f t="shared" si="8"/>
        <v>0</v>
      </c>
      <c r="AC25" s="111">
        <f t="shared" si="9"/>
        <v>0</v>
      </c>
      <c r="AD25" s="111">
        <f t="shared" si="10"/>
        <v>0</v>
      </c>
      <c r="AE25" s="165"/>
    </row>
    <row r="26" spans="1:33" x14ac:dyDescent="0.15">
      <c r="A26" s="104" t="str">
        <f t="shared" si="0"/>
        <v>Sat</v>
      </c>
      <c r="B26" s="105"/>
      <c r="C26" s="106"/>
      <c r="D26" s="107"/>
      <c r="E26" s="107"/>
      <c r="F26" s="107"/>
      <c r="G26" s="108"/>
      <c r="H26" s="107"/>
      <c r="I26" s="107"/>
      <c r="J26" s="109"/>
      <c r="K26" s="108"/>
      <c r="L26" s="107"/>
      <c r="M26" s="107"/>
      <c r="N26" s="106"/>
      <c r="O26" s="110"/>
      <c r="P26" s="110"/>
      <c r="Q26" s="111"/>
      <c r="R26" s="111"/>
      <c r="S26" s="111"/>
      <c r="T26" s="111"/>
      <c r="U26" s="111"/>
      <c r="V26" s="111"/>
      <c r="W26" s="111"/>
      <c r="X26" s="111"/>
      <c r="Y26" s="111">
        <f t="shared" si="1"/>
        <v>0</v>
      </c>
      <c r="Z26" s="111">
        <f t="shared" si="2"/>
        <v>0</v>
      </c>
      <c r="AA26" s="111">
        <f t="shared" si="7"/>
        <v>0</v>
      </c>
      <c r="AB26" s="111">
        <f t="shared" si="8"/>
        <v>0</v>
      </c>
      <c r="AC26" s="111">
        <f t="shared" si="9"/>
        <v>0</v>
      </c>
      <c r="AD26" s="111">
        <f t="shared" si="10"/>
        <v>0</v>
      </c>
      <c r="AE26" s="165"/>
    </row>
    <row r="27" spans="1:33" x14ac:dyDescent="0.15">
      <c r="A27" s="104" t="str">
        <f t="shared" si="0"/>
        <v>Sat</v>
      </c>
      <c r="B27" s="105"/>
      <c r="C27" s="106"/>
      <c r="D27" s="107"/>
      <c r="E27" s="107"/>
      <c r="F27" s="107"/>
      <c r="G27" s="108"/>
      <c r="H27" s="107"/>
      <c r="I27" s="107"/>
      <c r="J27" s="164"/>
      <c r="K27" s="108"/>
      <c r="L27" s="107"/>
      <c r="M27" s="107"/>
      <c r="N27" s="109"/>
      <c r="O27" s="110"/>
      <c r="P27" s="110"/>
      <c r="Q27" s="111"/>
      <c r="R27" s="111"/>
      <c r="S27" s="111"/>
      <c r="T27" s="111"/>
      <c r="U27" s="111"/>
      <c r="V27" s="111"/>
      <c r="W27" s="111"/>
      <c r="X27" s="111"/>
      <c r="Y27" s="111">
        <f t="shared" si="1"/>
        <v>0</v>
      </c>
      <c r="Z27" s="111">
        <f t="shared" si="2"/>
        <v>0</v>
      </c>
      <c r="AA27" s="111">
        <f t="shared" si="7"/>
        <v>0</v>
      </c>
      <c r="AB27" s="111">
        <f t="shared" si="8"/>
        <v>0</v>
      </c>
      <c r="AC27" s="111">
        <f t="shared" si="9"/>
        <v>0</v>
      </c>
      <c r="AD27" s="111">
        <f t="shared" si="10"/>
        <v>0</v>
      </c>
    </row>
    <row r="28" spans="1:33" x14ac:dyDescent="0.15">
      <c r="A28" s="104" t="str">
        <f t="shared" si="0"/>
        <v>Sat</v>
      </c>
      <c r="B28" s="105"/>
      <c r="C28" s="106"/>
      <c r="D28" s="107"/>
      <c r="E28" s="107"/>
      <c r="F28" s="107"/>
      <c r="G28" s="108"/>
      <c r="H28" s="107"/>
      <c r="I28" s="107"/>
      <c r="J28" s="109"/>
      <c r="K28" s="108"/>
      <c r="L28" s="107"/>
      <c r="M28" s="107"/>
      <c r="N28" s="106"/>
      <c r="O28" s="110"/>
      <c r="P28" s="110"/>
      <c r="Q28" s="111"/>
      <c r="R28" s="111"/>
      <c r="S28" s="111"/>
      <c r="T28" s="111"/>
      <c r="U28" s="111"/>
      <c r="V28" s="111"/>
      <c r="W28" s="111"/>
      <c r="X28" s="111"/>
      <c r="Y28" s="111">
        <f t="shared" ref="Y28:Y59" si="11">SUM(Q28:T28)</f>
        <v>0</v>
      </c>
      <c r="Z28" s="111">
        <f t="shared" ref="Z28:Z59" si="12">SUM(U28:X28)</f>
        <v>0</v>
      </c>
      <c r="AA28" s="111">
        <f t="shared" si="7"/>
        <v>0</v>
      </c>
      <c r="AB28" s="111">
        <f t="shared" si="8"/>
        <v>0</v>
      </c>
      <c r="AC28" s="111">
        <f t="shared" si="9"/>
        <v>0</v>
      </c>
      <c r="AD28" s="111">
        <f t="shared" si="10"/>
        <v>0</v>
      </c>
    </row>
    <row r="29" spans="1:33" x14ac:dyDescent="0.15">
      <c r="A29" s="104" t="str">
        <f t="shared" si="0"/>
        <v>Sat</v>
      </c>
      <c r="B29" s="105"/>
      <c r="C29" s="106"/>
      <c r="D29" s="107"/>
      <c r="E29" s="107"/>
      <c r="F29" s="107"/>
      <c r="G29" s="108"/>
      <c r="H29" s="107"/>
      <c r="I29" s="107"/>
      <c r="J29" s="109"/>
      <c r="K29" s="108"/>
      <c r="L29" s="107"/>
      <c r="M29" s="107"/>
      <c r="N29" s="106"/>
      <c r="O29" s="110"/>
      <c r="P29" s="110"/>
      <c r="Q29" s="111"/>
      <c r="R29" s="111"/>
      <c r="S29" s="111"/>
      <c r="T29" s="111"/>
      <c r="U29" s="111"/>
      <c r="V29" s="111"/>
      <c r="W29" s="111"/>
      <c r="X29" s="111"/>
      <c r="Y29" s="111">
        <f t="shared" si="11"/>
        <v>0</v>
      </c>
      <c r="Z29" s="111">
        <f t="shared" si="12"/>
        <v>0</v>
      </c>
      <c r="AA29" s="111">
        <f t="shared" si="7"/>
        <v>0</v>
      </c>
      <c r="AB29" s="111">
        <f t="shared" si="8"/>
        <v>0</v>
      </c>
      <c r="AC29" s="111">
        <f t="shared" si="9"/>
        <v>0</v>
      </c>
      <c r="AD29" s="111">
        <f t="shared" si="10"/>
        <v>0</v>
      </c>
    </row>
    <row r="30" spans="1:33" x14ac:dyDescent="0.15">
      <c r="A30" s="104" t="str">
        <f t="shared" si="0"/>
        <v>Sat</v>
      </c>
      <c r="B30" s="105"/>
      <c r="C30" s="106"/>
      <c r="D30" s="107"/>
      <c r="E30" s="107"/>
      <c r="F30" s="107"/>
      <c r="G30" s="108"/>
      <c r="H30" s="107"/>
      <c r="I30" s="107"/>
      <c r="J30" s="109"/>
      <c r="K30" s="108"/>
      <c r="L30" s="107"/>
      <c r="M30" s="107"/>
      <c r="N30" s="106"/>
      <c r="O30" s="110"/>
      <c r="P30" s="110"/>
      <c r="Q30" s="111"/>
      <c r="R30" s="111"/>
      <c r="S30" s="111"/>
      <c r="T30" s="111"/>
      <c r="U30" s="111"/>
      <c r="V30" s="111"/>
      <c r="W30" s="111"/>
      <c r="X30" s="111"/>
      <c r="Y30" s="111">
        <f t="shared" si="11"/>
        <v>0</v>
      </c>
      <c r="Z30" s="111">
        <f t="shared" si="12"/>
        <v>0</v>
      </c>
      <c r="AA30" s="111">
        <f t="shared" si="7"/>
        <v>0</v>
      </c>
      <c r="AB30" s="111">
        <f t="shared" si="8"/>
        <v>0</v>
      </c>
      <c r="AC30" s="111">
        <f t="shared" si="9"/>
        <v>0</v>
      </c>
      <c r="AD30" s="111">
        <f t="shared" si="10"/>
        <v>0</v>
      </c>
    </row>
    <row r="31" spans="1:33" x14ac:dyDescent="0.15">
      <c r="A31" s="104" t="str">
        <f t="shared" si="0"/>
        <v>Sat</v>
      </c>
      <c r="B31" s="105"/>
      <c r="C31" s="106"/>
      <c r="D31" s="107"/>
      <c r="E31" s="107"/>
      <c r="F31" s="107"/>
      <c r="G31" s="108"/>
      <c r="H31" s="107"/>
      <c r="I31" s="107"/>
      <c r="J31" s="109"/>
      <c r="K31" s="108"/>
      <c r="L31" s="107"/>
      <c r="M31" s="107"/>
      <c r="N31" s="106"/>
      <c r="O31" s="110"/>
      <c r="P31" s="110"/>
      <c r="Q31" s="111"/>
      <c r="R31" s="111"/>
      <c r="S31" s="111"/>
      <c r="T31" s="111"/>
      <c r="U31" s="111"/>
      <c r="V31" s="111"/>
      <c r="W31" s="111"/>
      <c r="X31" s="111"/>
      <c r="Y31" s="111">
        <f t="shared" si="11"/>
        <v>0</v>
      </c>
      <c r="Z31" s="111">
        <f t="shared" si="12"/>
        <v>0</v>
      </c>
      <c r="AA31" s="111">
        <f t="shared" si="7"/>
        <v>0</v>
      </c>
      <c r="AB31" s="111">
        <f t="shared" si="8"/>
        <v>0</v>
      </c>
      <c r="AC31" s="111">
        <f t="shared" si="9"/>
        <v>0</v>
      </c>
      <c r="AD31" s="111">
        <f t="shared" si="10"/>
        <v>0</v>
      </c>
    </row>
    <row r="32" spans="1:33" x14ac:dyDescent="0.15">
      <c r="A32" s="104" t="str">
        <f t="shared" si="0"/>
        <v>Sat</v>
      </c>
      <c r="B32" s="105"/>
      <c r="C32" s="106"/>
      <c r="D32" s="107"/>
      <c r="E32" s="107"/>
      <c r="F32" s="107"/>
      <c r="G32" s="108"/>
      <c r="H32" s="107"/>
      <c r="I32" s="107"/>
      <c r="J32" s="109"/>
      <c r="K32" s="108"/>
      <c r="L32" s="107"/>
      <c r="M32" s="107"/>
      <c r="N32" s="106"/>
      <c r="O32" s="110"/>
      <c r="P32" s="110"/>
      <c r="Q32" s="111"/>
      <c r="R32" s="111"/>
      <c r="S32" s="111"/>
      <c r="T32" s="111"/>
      <c r="U32" s="111"/>
      <c r="V32" s="111"/>
      <c r="W32" s="111"/>
      <c r="X32" s="111"/>
      <c r="Y32" s="111">
        <f t="shared" si="11"/>
        <v>0</v>
      </c>
      <c r="Z32" s="111">
        <f t="shared" si="12"/>
        <v>0</v>
      </c>
      <c r="AA32" s="111">
        <f t="shared" si="7"/>
        <v>0</v>
      </c>
      <c r="AB32" s="111">
        <f t="shared" si="8"/>
        <v>0</v>
      </c>
      <c r="AC32" s="111">
        <f t="shared" si="9"/>
        <v>0</v>
      </c>
      <c r="AD32" s="111">
        <f t="shared" si="10"/>
        <v>0</v>
      </c>
    </row>
    <row r="33" spans="1:30" x14ac:dyDescent="0.15">
      <c r="A33" s="104" t="str">
        <f t="shared" si="0"/>
        <v>Sat</v>
      </c>
      <c r="B33" s="105"/>
      <c r="C33" s="161"/>
      <c r="D33" s="107"/>
      <c r="E33" s="107"/>
      <c r="F33" s="107"/>
      <c r="G33" s="108"/>
      <c r="H33" s="107"/>
      <c r="I33" s="107"/>
      <c r="J33" s="109"/>
      <c r="K33" s="108"/>
      <c r="L33" s="107"/>
      <c r="M33" s="107"/>
      <c r="N33" s="106"/>
      <c r="O33" s="110"/>
      <c r="P33" s="110"/>
      <c r="Q33" s="111"/>
      <c r="R33" s="111"/>
      <c r="S33" s="111"/>
      <c r="T33" s="111"/>
      <c r="U33" s="111"/>
      <c r="V33" s="111"/>
      <c r="W33" s="111"/>
      <c r="X33" s="111"/>
      <c r="Y33" s="111">
        <f t="shared" si="11"/>
        <v>0</v>
      </c>
      <c r="Z33" s="111">
        <f t="shared" si="12"/>
        <v>0</v>
      </c>
      <c r="AA33" s="111">
        <f t="shared" si="7"/>
        <v>0</v>
      </c>
      <c r="AB33" s="111">
        <f t="shared" si="8"/>
        <v>0</v>
      </c>
      <c r="AC33" s="111">
        <f t="shared" si="9"/>
        <v>0</v>
      </c>
      <c r="AD33" s="111">
        <f t="shared" si="10"/>
        <v>0</v>
      </c>
    </row>
    <row r="34" spans="1:30" x14ac:dyDescent="0.15">
      <c r="A34" s="104" t="str">
        <f t="shared" si="0"/>
        <v>Sat</v>
      </c>
      <c r="B34" s="105"/>
      <c r="C34" s="162"/>
      <c r="D34" s="107"/>
      <c r="E34" s="107"/>
      <c r="F34" s="107"/>
      <c r="G34" s="108"/>
      <c r="H34" s="107"/>
      <c r="I34" s="107"/>
      <c r="J34" s="109"/>
      <c r="K34" s="108"/>
      <c r="L34" s="107"/>
      <c r="M34" s="107"/>
      <c r="N34" s="106"/>
      <c r="O34" s="110"/>
      <c r="P34" s="110"/>
      <c r="Q34" s="111"/>
      <c r="R34" s="111"/>
      <c r="S34" s="111"/>
      <c r="T34" s="111"/>
      <c r="U34" s="111"/>
      <c r="V34" s="111"/>
      <c r="W34" s="111"/>
      <c r="X34" s="111"/>
      <c r="Y34" s="111">
        <f t="shared" si="11"/>
        <v>0</v>
      </c>
      <c r="Z34" s="111">
        <f t="shared" si="12"/>
        <v>0</v>
      </c>
      <c r="AA34" s="111">
        <f t="shared" si="7"/>
        <v>0</v>
      </c>
      <c r="AB34" s="111">
        <f t="shared" si="8"/>
        <v>0</v>
      </c>
      <c r="AC34" s="111">
        <f t="shared" si="9"/>
        <v>0</v>
      </c>
      <c r="AD34" s="111">
        <f t="shared" si="10"/>
        <v>0</v>
      </c>
    </row>
    <row r="35" spans="1:30" x14ac:dyDescent="0.15">
      <c r="A35" s="104" t="str">
        <f t="shared" si="0"/>
        <v>Sat</v>
      </c>
      <c r="B35" s="105"/>
      <c r="C35" s="106"/>
      <c r="D35" s="107"/>
      <c r="E35" s="107"/>
      <c r="F35" s="107"/>
      <c r="G35" s="108"/>
      <c r="H35" s="107"/>
      <c r="I35" s="107"/>
      <c r="J35" s="109"/>
      <c r="K35" s="108"/>
      <c r="L35" s="107"/>
      <c r="M35" s="107"/>
      <c r="N35" s="106"/>
      <c r="O35" s="110"/>
      <c r="P35" s="110"/>
      <c r="Q35" s="111"/>
      <c r="R35" s="111"/>
      <c r="S35" s="111"/>
      <c r="T35" s="111"/>
      <c r="U35" s="111"/>
      <c r="V35" s="111"/>
      <c r="W35" s="111"/>
      <c r="X35" s="111"/>
      <c r="Y35" s="111">
        <f t="shared" si="11"/>
        <v>0</v>
      </c>
      <c r="Z35" s="111">
        <f t="shared" si="12"/>
        <v>0</v>
      </c>
      <c r="AA35" s="111">
        <f t="shared" si="7"/>
        <v>0</v>
      </c>
      <c r="AB35" s="111">
        <f t="shared" si="8"/>
        <v>0</v>
      </c>
      <c r="AC35" s="111">
        <f t="shared" si="9"/>
        <v>0</v>
      </c>
      <c r="AD35" s="111">
        <f t="shared" si="10"/>
        <v>0</v>
      </c>
    </row>
    <row r="36" spans="1:30" x14ac:dyDescent="0.15">
      <c r="A36" s="104" t="str">
        <f t="shared" si="0"/>
        <v>Sat</v>
      </c>
      <c r="B36" s="105"/>
      <c r="C36" s="106"/>
      <c r="D36" s="107"/>
      <c r="E36" s="107"/>
      <c r="F36" s="107"/>
      <c r="G36" s="108"/>
      <c r="H36" s="107"/>
      <c r="I36" s="107"/>
      <c r="J36" s="109"/>
      <c r="K36" s="108"/>
      <c r="L36" s="107"/>
      <c r="M36" s="107"/>
      <c r="N36" s="106"/>
      <c r="O36" s="110"/>
      <c r="P36" s="110"/>
      <c r="Q36" s="111"/>
      <c r="R36" s="111"/>
      <c r="S36" s="111"/>
      <c r="T36" s="111"/>
      <c r="U36" s="111"/>
      <c r="V36" s="111"/>
      <c r="W36" s="111"/>
      <c r="X36" s="111"/>
      <c r="Y36" s="111">
        <f t="shared" si="11"/>
        <v>0</v>
      </c>
      <c r="Z36" s="111">
        <f t="shared" si="12"/>
        <v>0</v>
      </c>
      <c r="AA36" s="111">
        <f t="shared" si="7"/>
        <v>0</v>
      </c>
      <c r="AB36" s="111">
        <f t="shared" si="8"/>
        <v>0</v>
      </c>
      <c r="AC36" s="111">
        <f t="shared" si="9"/>
        <v>0</v>
      </c>
      <c r="AD36" s="111">
        <f t="shared" si="10"/>
        <v>0</v>
      </c>
    </row>
    <row r="37" spans="1:30" x14ac:dyDescent="0.15">
      <c r="A37" s="104" t="str">
        <f t="shared" si="0"/>
        <v>Sat</v>
      </c>
      <c r="B37" s="105"/>
      <c r="C37" s="106"/>
      <c r="D37" s="107"/>
      <c r="E37" s="107"/>
      <c r="F37" s="107"/>
      <c r="G37" s="108"/>
      <c r="H37" s="107"/>
      <c r="I37" s="107"/>
      <c r="J37" s="109"/>
      <c r="K37" s="108"/>
      <c r="L37" s="107"/>
      <c r="M37" s="107"/>
      <c r="N37" s="106"/>
      <c r="O37" s="110"/>
      <c r="P37" s="110"/>
      <c r="Q37" s="111"/>
      <c r="R37" s="111"/>
      <c r="S37" s="111"/>
      <c r="T37" s="111"/>
      <c r="U37" s="111"/>
      <c r="V37" s="111"/>
      <c r="W37" s="111"/>
      <c r="X37" s="111"/>
      <c r="Y37" s="111">
        <f t="shared" si="11"/>
        <v>0</v>
      </c>
      <c r="Z37" s="111">
        <f t="shared" si="12"/>
        <v>0</v>
      </c>
      <c r="AA37" s="111">
        <f t="shared" si="7"/>
        <v>0</v>
      </c>
      <c r="AB37" s="111">
        <f t="shared" si="8"/>
        <v>0</v>
      </c>
      <c r="AC37" s="111">
        <f t="shared" si="9"/>
        <v>0</v>
      </c>
      <c r="AD37" s="111">
        <f t="shared" si="10"/>
        <v>0</v>
      </c>
    </row>
    <row r="38" spans="1:30" x14ac:dyDescent="0.15">
      <c r="A38" s="104" t="str">
        <f t="shared" si="0"/>
        <v>Sat</v>
      </c>
      <c r="B38" s="105"/>
      <c r="C38" s="106"/>
      <c r="D38" s="107"/>
      <c r="E38" s="107"/>
      <c r="F38" s="107"/>
      <c r="G38" s="108"/>
      <c r="H38" s="107"/>
      <c r="I38" s="107"/>
      <c r="J38" s="109"/>
      <c r="K38" s="108"/>
      <c r="L38" s="107"/>
      <c r="M38" s="107"/>
      <c r="N38" s="106"/>
      <c r="O38" s="110"/>
      <c r="P38" s="110"/>
      <c r="Q38" s="111"/>
      <c r="R38" s="111"/>
      <c r="S38" s="111"/>
      <c r="T38" s="111"/>
      <c r="U38" s="111"/>
      <c r="V38" s="111"/>
      <c r="W38" s="111"/>
      <c r="X38" s="111"/>
      <c r="Y38" s="111">
        <f t="shared" si="11"/>
        <v>0</v>
      </c>
      <c r="Z38" s="111">
        <f t="shared" si="12"/>
        <v>0</v>
      </c>
      <c r="AA38" s="111">
        <f t="shared" si="7"/>
        <v>0</v>
      </c>
      <c r="AB38" s="111">
        <f t="shared" si="8"/>
        <v>0</v>
      </c>
      <c r="AC38" s="111">
        <f t="shared" si="9"/>
        <v>0</v>
      </c>
      <c r="AD38" s="111">
        <f t="shared" si="10"/>
        <v>0</v>
      </c>
    </row>
    <row r="39" spans="1:30" x14ac:dyDescent="0.15">
      <c r="A39" s="104" t="str">
        <f t="shared" si="0"/>
        <v>Sat</v>
      </c>
      <c r="B39" s="105"/>
      <c r="C39" s="106"/>
      <c r="D39" s="107"/>
      <c r="E39" s="107"/>
      <c r="F39" s="107"/>
      <c r="G39" s="108"/>
      <c r="H39" s="107"/>
      <c r="I39" s="107"/>
      <c r="J39" s="109"/>
      <c r="K39" s="108"/>
      <c r="L39" s="107"/>
      <c r="M39" s="107"/>
      <c r="N39" s="106"/>
      <c r="O39" s="110"/>
      <c r="P39" s="110"/>
      <c r="Q39" s="111"/>
      <c r="R39" s="111"/>
      <c r="S39" s="111"/>
      <c r="T39" s="111"/>
      <c r="U39" s="111"/>
      <c r="V39" s="111"/>
      <c r="W39" s="111"/>
      <c r="X39" s="111"/>
      <c r="Y39" s="111">
        <f t="shared" si="11"/>
        <v>0</v>
      </c>
      <c r="Z39" s="111">
        <f t="shared" si="12"/>
        <v>0</v>
      </c>
      <c r="AA39" s="111">
        <f t="shared" si="7"/>
        <v>0</v>
      </c>
      <c r="AB39" s="111">
        <f t="shared" si="8"/>
        <v>0</v>
      </c>
      <c r="AC39" s="111">
        <f t="shared" si="9"/>
        <v>0</v>
      </c>
      <c r="AD39" s="111">
        <f t="shared" si="10"/>
        <v>0</v>
      </c>
    </row>
    <row r="40" spans="1:30" x14ac:dyDescent="0.15">
      <c r="A40" s="104" t="str">
        <f t="shared" si="0"/>
        <v>Sat</v>
      </c>
      <c r="B40" s="105"/>
      <c r="C40" s="106"/>
      <c r="D40" s="107"/>
      <c r="E40" s="107"/>
      <c r="F40" s="107"/>
      <c r="G40" s="108"/>
      <c r="H40" s="107"/>
      <c r="I40" s="107"/>
      <c r="J40" s="109"/>
      <c r="K40" s="108"/>
      <c r="L40" s="107"/>
      <c r="M40" s="107"/>
      <c r="N40" s="106"/>
      <c r="O40" s="110"/>
      <c r="P40" s="110"/>
      <c r="Q40" s="111"/>
      <c r="R40" s="111"/>
      <c r="S40" s="111"/>
      <c r="T40" s="111"/>
      <c r="U40" s="111"/>
      <c r="V40" s="111"/>
      <c r="W40" s="111"/>
      <c r="X40" s="111"/>
      <c r="Y40" s="111">
        <f t="shared" si="11"/>
        <v>0</v>
      </c>
      <c r="Z40" s="111">
        <f t="shared" si="12"/>
        <v>0</v>
      </c>
      <c r="AA40" s="111">
        <f t="shared" si="7"/>
        <v>0</v>
      </c>
      <c r="AB40" s="111">
        <f t="shared" si="8"/>
        <v>0</v>
      </c>
      <c r="AC40" s="111">
        <f t="shared" si="9"/>
        <v>0</v>
      </c>
      <c r="AD40" s="111">
        <f t="shared" si="10"/>
        <v>0</v>
      </c>
    </row>
    <row r="41" spans="1:30" x14ac:dyDescent="0.15">
      <c r="A41" s="104" t="str">
        <f t="shared" si="0"/>
        <v>Sat</v>
      </c>
      <c r="B41" s="105"/>
      <c r="C41" s="106"/>
      <c r="D41" s="107"/>
      <c r="E41" s="107"/>
      <c r="F41" s="107"/>
      <c r="G41" s="108"/>
      <c r="H41" s="107"/>
      <c r="I41" s="107"/>
      <c r="J41" s="109"/>
      <c r="K41" s="108"/>
      <c r="L41" s="107"/>
      <c r="M41" s="107"/>
      <c r="N41" s="106"/>
      <c r="O41" s="110"/>
      <c r="P41" s="110"/>
      <c r="Q41" s="111"/>
      <c r="R41" s="111"/>
      <c r="S41" s="111"/>
      <c r="T41" s="111"/>
      <c r="U41" s="111"/>
      <c r="V41" s="111"/>
      <c r="W41" s="111"/>
      <c r="X41" s="111"/>
      <c r="Y41" s="111">
        <f t="shared" si="11"/>
        <v>0</v>
      </c>
      <c r="Z41" s="111">
        <f t="shared" si="12"/>
        <v>0</v>
      </c>
      <c r="AA41" s="111">
        <f t="shared" si="7"/>
        <v>0</v>
      </c>
      <c r="AB41" s="111">
        <f t="shared" si="8"/>
        <v>0</v>
      </c>
      <c r="AC41" s="111">
        <f t="shared" si="9"/>
        <v>0</v>
      </c>
      <c r="AD41" s="111">
        <f t="shared" si="10"/>
        <v>0</v>
      </c>
    </row>
    <row r="42" spans="1:30" x14ac:dyDescent="0.15">
      <c r="A42" s="104" t="str">
        <f t="shared" si="0"/>
        <v>Sat</v>
      </c>
      <c r="B42" s="105"/>
      <c r="C42" s="106"/>
      <c r="D42" s="107"/>
      <c r="E42" s="107"/>
      <c r="F42" s="107"/>
      <c r="G42" s="108"/>
      <c r="H42" s="107"/>
      <c r="I42" s="107"/>
      <c r="J42" s="109"/>
      <c r="K42" s="108"/>
      <c r="L42" s="107"/>
      <c r="M42" s="107"/>
      <c r="N42" s="106"/>
      <c r="O42" s="110"/>
      <c r="P42" s="110"/>
      <c r="Q42" s="111"/>
      <c r="R42" s="111"/>
      <c r="S42" s="111"/>
      <c r="T42" s="111"/>
      <c r="U42" s="111"/>
      <c r="V42" s="111"/>
      <c r="W42" s="111"/>
      <c r="X42" s="111"/>
      <c r="Y42" s="111">
        <f t="shared" si="11"/>
        <v>0</v>
      </c>
      <c r="Z42" s="111">
        <f t="shared" si="12"/>
        <v>0</v>
      </c>
      <c r="AA42" s="111">
        <f t="shared" si="7"/>
        <v>0</v>
      </c>
      <c r="AB42" s="111">
        <f t="shared" si="8"/>
        <v>0</v>
      </c>
      <c r="AC42" s="111">
        <f t="shared" si="9"/>
        <v>0</v>
      </c>
      <c r="AD42" s="111">
        <f t="shared" si="10"/>
        <v>0</v>
      </c>
    </row>
    <row r="43" spans="1:30" x14ac:dyDescent="0.15">
      <c r="A43" s="104" t="str">
        <f t="shared" si="0"/>
        <v>Sat</v>
      </c>
      <c r="B43" s="105"/>
      <c r="C43" s="106"/>
      <c r="D43" s="107"/>
      <c r="E43" s="107"/>
      <c r="F43" s="107"/>
      <c r="G43" s="108"/>
      <c r="H43" s="107"/>
      <c r="I43" s="107"/>
      <c r="J43" s="109"/>
      <c r="K43" s="108"/>
      <c r="L43" s="107"/>
      <c r="M43" s="107"/>
      <c r="N43" s="106"/>
      <c r="O43" s="110"/>
      <c r="P43" s="110"/>
      <c r="Q43" s="111"/>
      <c r="R43" s="111"/>
      <c r="S43" s="111"/>
      <c r="T43" s="111"/>
      <c r="U43" s="111"/>
      <c r="V43" s="111"/>
      <c r="W43" s="111"/>
      <c r="X43" s="111"/>
      <c r="Y43" s="111">
        <f t="shared" si="11"/>
        <v>0</v>
      </c>
      <c r="Z43" s="111">
        <f t="shared" si="12"/>
        <v>0</v>
      </c>
      <c r="AA43" s="111">
        <f t="shared" si="7"/>
        <v>0</v>
      </c>
      <c r="AB43" s="111">
        <f t="shared" si="8"/>
        <v>0</v>
      </c>
      <c r="AC43" s="111">
        <f t="shared" si="9"/>
        <v>0</v>
      </c>
      <c r="AD43" s="111">
        <f t="shared" si="10"/>
        <v>0</v>
      </c>
    </row>
    <row r="44" spans="1:30" x14ac:dyDescent="0.15">
      <c r="A44" s="104" t="str">
        <f t="shared" si="0"/>
        <v>Sat</v>
      </c>
      <c r="B44" s="105"/>
      <c r="C44" s="106"/>
      <c r="D44" s="107"/>
      <c r="E44" s="107"/>
      <c r="F44" s="107"/>
      <c r="G44" s="108"/>
      <c r="H44" s="107"/>
      <c r="I44" s="107"/>
      <c r="J44" s="109"/>
      <c r="K44" s="108"/>
      <c r="L44" s="107"/>
      <c r="M44" s="107"/>
      <c r="N44" s="106"/>
      <c r="O44" s="110"/>
      <c r="P44" s="110"/>
      <c r="Q44" s="111"/>
      <c r="R44" s="111"/>
      <c r="S44" s="111"/>
      <c r="T44" s="111"/>
      <c r="U44" s="111"/>
      <c r="V44" s="111"/>
      <c r="W44" s="111"/>
      <c r="X44" s="111"/>
      <c r="Y44" s="111">
        <f t="shared" si="11"/>
        <v>0</v>
      </c>
      <c r="Z44" s="111">
        <f t="shared" si="12"/>
        <v>0</v>
      </c>
      <c r="AA44" s="111">
        <f t="shared" si="7"/>
        <v>0</v>
      </c>
      <c r="AB44" s="111">
        <f t="shared" si="8"/>
        <v>0</v>
      </c>
      <c r="AC44" s="111">
        <f t="shared" si="9"/>
        <v>0</v>
      </c>
      <c r="AD44" s="111">
        <f t="shared" si="10"/>
        <v>0</v>
      </c>
    </row>
    <row r="45" spans="1:30" x14ac:dyDescent="0.15">
      <c r="A45" s="104" t="str">
        <f t="shared" si="0"/>
        <v>Sat</v>
      </c>
      <c r="B45" s="105"/>
      <c r="C45" s="106"/>
      <c r="D45" s="107"/>
      <c r="E45" s="107"/>
      <c r="F45" s="107"/>
      <c r="G45" s="108"/>
      <c r="H45" s="107"/>
      <c r="I45" s="107"/>
      <c r="J45" s="109"/>
      <c r="K45" s="108"/>
      <c r="L45" s="107"/>
      <c r="M45" s="107"/>
      <c r="N45" s="106"/>
      <c r="O45" s="110"/>
      <c r="P45" s="110"/>
      <c r="Q45" s="111"/>
      <c r="R45" s="111"/>
      <c r="S45" s="111"/>
      <c r="T45" s="111"/>
      <c r="U45" s="111"/>
      <c r="V45" s="111"/>
      <c r="W45" s="111"/>
      <c r="X45" s="111"/>
      <c r="Y45" s="111">
        <f t="shared" si="11"/>
        <v>0</v>
      </c>
      <c r="Z45" s="111">
        <f t="shared" si="12"/>
        <v>0</v>
      </c>
      <c r="AA45" s="111">
        <f t="shared" si="7"/>
        <v>0</v>
      </c>
      <c r="AB45" s="111">
        <f t="shared" si="8"/>
        <v>0</v>
      </c>
      <c r="AC45" s="111">
        <f t="shared" si="9"/>
        <v>0</v>
      </c>
      <c r="AD45" s="111">
        <f t="shared" si="10"/>
        <v>0</v>
      </c>
    </row>
    <row r="46" spans="1:30" x14ac:dyDescent="0.15">
      <c r="A46" s="104" t="str">
        <f t="shared" si="0"/>
        <v>Sat</v>
      </c>
      <c r="B46" s="105"/>
      <c r="C46" s="106"/>
      <c r="D46" s="107"/>
      <c r="E46" s="107"/>
      <c r="F46" s="107"/>
      <c r="G46" s="108"/>
      <c r="H46" s="107"/>
      <c r="I46" s="107"/>
      <c r="J46" s="109"/>
      <c r="K46" s="108"/>
      <c r="L46" s="107"/>
      <c r="M46" s="107"/>
      <c r="N46" s="106"/>
      <c r="O46" s="110"/>
      <c r="P46" s="110"/>
      <c r="Q46" s="111"/>
      <c r="R46" s="111"/>
      <c r="S46" s="111"/>
      <c r="T46" s="111"/>
      <c r="U46" s="111"/>
      <c r="V46" s="111"/>
      <c r="W46" s="111"/>
      <c r="X46" s="111"/>
      <c r="Y46" s="111">
        <f t="shared" si="11"/>
        <v>0</v>
      </c>
      <c r="Z46" s="111">
        <f t="shared" si="12"/>
        <v>0</v>
      </c>
      <c r="AA46" s="111">
        <f>IF(F46="TOCC",G46,K46)</f>
        <v>0</v>
      </c>
      <c r="AB46" s="111">
        <f>IF(F46&lt;&gt;"TOCC",G46,K46)</f>
        <v>0</v>
      </c>
      <c r="AC46" s="111">
        <f>IF(F46="TOCC",H46,L46)</f>
        <v>0</v>
      </c>
      <c r="AD46" s="111">
        <f>IF(F46&lt;&gt;"TOCC",H46,L46)</f>
        <v>0</v>
      </c>
    </row>
    <row r="47" spans="1:30" x14ac:dyDescent="0.15">
      <c r="A47" s="104" t="str">
        <f t="shared" si="0"/>
        <v>Sat</v>
      </c>
      <c r="B47" s="105"/>
      <c r="C47" s="106"/>
      <c r="D47" s="107"/>
      <c r="E47" s="107"/>
      <c r="F47" s="107"/>
      <c r="G47" s="108"/>
      <c r="H47" s="107"/>
      <c r="I47" s="107"/>
      <c r="J47" s="109"/>
      <c r="K47" s="108"/>
      <c r="L47" s="107"/>
      <c r="M47" s="107"/>
      <c r="N47" s="106"/>
      <c r="O47" s="110"/>
      <c r="P47" s="110"/>
      <c r="Q47" s="111"/>
      <c r="R47" s="111"/>
      <c r="S47" s="111"/>
      <c r="T47" s="111"/>
      <c r="U47" s="111"/>
      <c r="V47" s="111"/>
      <c r="W47" s="111"/>
      <c r="X47" s="111"/>
      <c r="Y47" s="111">
        <f t="shared" si="11"/>
        <v>0</v>
      </c>
      <c r="Z47" s="111">
        <f t="shared" si="12"/>
        <v>0</v>
      </c>
      <c r="AA47" s="111">
        <f t="shared" si="7"/>
        <v>0</v>
      </c>
      <c r="AB47" s="111">
        <f t="shared" si="8"/>
        <v>0</v>
      </c>
      <c r="AC47" s="111">
        <f t="shared" si="9"/>
        <v>0</v>
      </c>
      <c r="AD47" s="111">
        <f t="shared" si="10"/>
        <v>0</v>
      </c>
    </row>
    <row r="48" spans="1:30" x14ac:dyDescent="0.15">
      <c r="A48" s="104" t="str">
        <f t="shared" si="0"/>
        <v>Sat</v>
      </c>
      <c r="B48" s="105"/>
      <c r="C48" s="106"/>
      <c r="D48" s="107"/>
      <c r="E48" s="107"/>
      <c r="F48" s="107"/>
      <c r="G48" s="108"/>
      <c r="H48" s="107"/>
      <c r="I48" s="107"/>
      <c r="J48" s="109"/>
      <c r="K48" s="108"/>
      <c r="L48" s="107"/>
      <c r="M48" s="107"/>
      <c r="N48" s="106"/>
      <c r="O48" s="110"/>
      <c r="P48" s="110"/>
      <c r="Q48" s="111"/>
      <c r="R48" s="111"/>
      <c r="S48" s="111"/>
      <c r="T48" s="111"/>
      <c r="U48" s="111"/>
      <c r="V48" s="111"/>
      <c r="W48" s="111"/>
      <c r="X48" s="111"/>
      <c r="Y48" s="111">
        <f t="shared" si="11"/>
        <v>0</v>
      </c>
      <c r="Z48" s="111">
        <f t="shared" si="12"/>
        <v>0</v>
      </c>
      <c r="AA48" s="111">
        <f t="shared" si="7"/>
        <v>0</v>
      </c>
      <c r="AB48" s="111">
        <f t="shared" si="8"/>
        <v>0</v>
      </c>
      <c r="AC48" s="111">
        <f t="shared" si="9"/>
        <v>0</v>
      </c>
      <c r="AD48" s="111">
        <f t="shared" si="10"/>
        <v>0</v>
      </c>
    </row>
    <row r="49" spans="1:30" x14ac:dyDescent="0.15">
      <c r="A49" s="104" t="str">
        <f t="shared" si="0"/>
        <v>Sat</v>
      </c>
      <c r="B49" s="105"/>
      <c r="C49" s="106"/>
      <c r="D49" s="107"/>
      <c r="E49" s="107"/>
      <c r="F49" s="107"/>
      <c r="G49" s="108"/>
      <c r="H49" s="107"/>
      <c r="I49" s="107"/>
      <c r="J49" s="109"/>
      <c r="K49" s="108"/>
      <c r="L49" s="107"/>
      <c r="M49" s="107"/>
      <c r="N49" s="106"/>
      <c r="O49" s="110"/>
      <c r="P49" s="110"/>
      <c r="Q49" s="111"/>
      <c r="R49" s="111"/>
      <c r="S49" s="111"/>
      <c r="T49" s="111"/>
      <c r="U49" s="111"/>
      <c r="V49" s="111"/>
      <c r="W49" s="111"/>
      <c r="X49" s="111"/>
      <c r="Y49" s="111">
        <f t="shared" si="11"/>
        <v>0</v>
      </c>
      <c r="Z49" s="111">
        <f t="shared" si="12"/>
        <v>0</v>
      </c>
      <c r="AA49" s="111">
        <f t="shared" si="7"/>
        <v>0</v>
      </c>
      <c r="AB49" s="111">
        <f t="shared" si="8"/>
        <v>0</v>
      </c>
      <c r="AC49" s="111">
        <f t="shared" si="9"/>
        <v>0</v>
      </c>
      <c r="AD49" s="111">
        <f t="shared" si="10"/>
        <v>0</v>
      </c>
    </row>
    <row r="50" spans="1:30" x14ac:dyDescent="0.15">
      <c r="A50" s="104" t="str">
        <f t="shared" si="0"/>
        <v>Sat</v>
      </c>
      <c r="B50" s="105"/>
      <c r="C50" s="106"/>
      <c r="D50" s="107"/>
      <c r="E50" s="107"/>
      <c r="F50" s="107"/>
      <c r="G50" s="108"/>
      <c r="H50" s="107"/>
      <c r="I50" s="107"/>
      <c r="J50" s="109"/>
      <c r="K50" s="108"/>
      <c r="L50" s="107"/>
      <c r="M50" s="107"/>
      <c r="N50" s="106"/>
      <c r="O50" s="110"/>
      <c r="P50" s="110"/>
      <c r="Q50" s="111"/>
      <c r="R50" s="111"/>
      <c r="S50" s="111"/>
      <c r="T50" s="111"/>
      <c r="U50" s="111"/>
      <c r="V50" s="111"/>
      <c r="W50" s="111"/>
      <c r="X50" s="111"/>
      <c r="Y50" s="111">
        <f t="shared" si="11"/>
        <v>0</v>
      </c>
      <c r="Z50" s="111">
        <f t="shared" si="12"/>
        <v>0</v>
      </c>
      <c r="AA50" s="111">
        <f t="shared" si="7"/>
        <v>0</v>
      </c>
      <c r="AB50" s="111">
        <f t="shared" si="8"/>
        <v>0</v>
      </c>
      <c r="AC50" s="111">
        <f t="shared" si="9"/>
        <v>0</v>
      </c>
      <c r="AD50" s="111">
        <f t="shared" si="10"/>
        <v>0</v>
      </c>
    </row>
    <row r="51" spans="1:30" x14ac:dyDescent="0.15">
      <c r="A51" s="104" t="str">
        <f t="shared" si="0"/>
        <v>Sat</v>
      </c>
      <c r="B51" s="105"/>
      <c r="C51" s="106"/>
      <c r="D51" s="107"/>
      <c r="E51" s="107"/>
      <c r="F51" s="107"/>
      <c r="G51" s="108"/>
      <c r="H51" s="107"/>
      <c r="I51" s="107"/>
      <c r="J51" s="109"/>
      <c r="K51" s="108"/>
      <c r="L51" s="107"/>
      <c r="M51" s="107"/>
      <c r="N51" s="106"/>
      <c r="O51" s="110"/>
      <c r="P51" s="110"/>
      <c r="Q51" s="111"/>
      <c r="R51" s="111"/>
      <c r="S51" s="111"/>
      <c r="T51" s="111"/>
      <c r="U51" s="111"/>
      <c r="V51" s="111"/>
      <c r="W51" s="111"/>
      <c r="X51" s="111"/>
      <c r="Y51" s="111">
        <f t="shared" si="11"/>
        <v>0</v>
      </c>
      <c r="Z51" s="111">
        <f t="shared" si="12"/>
        <v>0</v>
      </c>
      <c r="AA51" s="111">
        <f t="shared" si="7"/>
        <v>0</v>
      </c>
      <c r="AB51" s="111">
        <f t="shared" si="8"/>
        <v>0</v>
      </c>
      <c r="AC51" s="111">
        <f t="shared" si="9"/>
        <v>0</v>
      </c>
      <c r="AD51" s="111">
        <f t="shared" si="10"/>
        <v>0</v>
      </c>
    </row>
    <row r="52" spans="1:30" x14ac:dyDescent="0.15">
      <c r="A52" s="104" t="str">
        <f t="shared" si="0"/>
        <v>Sat</v>
      </c>
      <c r="B52" s="105"/>
      <c r="C52" s="106"/>
      <c r="D52" s="107"/>
      <c r="E52" s="107"/>
      <c r="F52" s="107"/>
      <c r="G52" s="108"/>
      <c r="H52" s="107"/>
      <c r="I52" s="107"/>
      <c r="J52" s="109"/>
      <c r="K52" s="108"/>
      <c r="L52" s="107"/>
      <c r="M52" s="107"/>
      <c r="N52" s="106"/>
      <c r="O52" s="110"/>
      <c r="P52" s="110"/>
      <c r="Q52" s="111"/>
      <c r="R52" s="111"/>
      <c r="S52" s="111"/>
      <c r="T52" s="111"/>
      <c r="U52" s="111"/>
      <c r="V52" s="111"/>
      <c r="W52" s="111"/>
      <c r="X52" s="111"/>
      <c r="Y52" s="111">
        <f t="shared" si="11"/>
        <v>0</v>
      </c>
      <c r="Z52" s="111">
        <f t="shared" si="12"/>
        <v>0</v>
      </c>
      <c r="AA52" s="111">
        <f t="shared" si="7"/>
        <v>0</v>
      </c>
      <c r="AB52" s="111">
        <f t="shared" si="8"/>
        <v>0</v>
      </c>
      <c r="AC52" s="111">
        <f t="shared" si="9"/>
        <v>0</v>
      </c>
      <c r="AD52" s="111">
        <f t="shared" si="10"/>
        <v>0</v>
      </c>
    </row>
    <row r="53" spans="1:30" x14ac:dyDescent="0.15">
      <c r="A53" s="104" t="str">
        <f t="shared" si="0"/>
        <v>Sat</v>
      </c>
      <c r="B53" s="105"/>
      <c r="C53" s="106"/>
      <c r="D53" s="107"/>
      <c r="E53" s="107"/>
      <c r="F53" s="107"/>
      <c r="G53" s="108"/>
      <c r="H53" s="107"/>
      <c r="I53" s="107"/>
      <c r="J53" s="109"/>
      <c r="K53" s="108"/>
      <c r="L53" s="107"/>
      <c r="M53" s="107"/>
      <c r="N53" s="106"/>
      <c r="O53" s="110"/>
      <c r="P53" s="110"/>
      <c r="Q53" s="111"/>
      <c r="R53" s="111"/>
      <c r="S53" s="111"/>
      <c r="T53" s="111"/>
      <c r="U53" s="111"/>
      <c r="V53" s="111"/>
      <c r="W53" s="111"/>
      <c r="X53" s="111"/>
      <c r="Y53" s="111">
        <f t="shared" si="11"/>
        <v>0</v>
      </c>
      <c r="Z53" s="111">
        <f t="shared" si="12"/>
        <v>0</v>
      </c>
      <c r="AA53" s="111">
        <f t="shared" si="7"/>
        <v>0</v>
      </c>
      <c r="AB53" s="111">
        <f t="shared" si="8"/>
        <v>0</v>
      </c>
      <c r="AC53" s="111">
        <f t="shared" si="9"/>
        <v>0</v>
      </c>
      <c r="AD53" s="111">
        <f t="shared" si="10"/>
        <v>0</v>
      </c>
    </row>
    <row r="54" spans="1:30" x14ac:dyDescent="0.15">
      <c r="A54" s="104" t="str">
        <f t="shared" si="0"/>
        <v>Sat</v>
      </c>
      <c r="B54" s="105"/>
      <c r="C54" s="112"/>
      <c r="D54" s="107"/>
      <c r="E54" s="107"/>
      <c r="F54" s="107"/>
      <c r="G54" s="108"/>
      <c r="H54" s="107"/>
      <c r="I54" s="107"/>
      <c r="J54" s="109"/>
      <c r="K54" s="108"/>
      <c r="L54" s="107"/>
      <c r="M54" s="107"/>
      <c r="N54" s="106"/>
      <c r="O54" s="110"/>
      <c r="P54" s="110"/>
      <c r="Q54" s="111"/>
      <c r="R54" s="111"/>
      <c r="S54" s="111"/>
      <c r="T54" s="111"/>
      <c r="U54" s="111"/>
      <c r="V54" s="111"/>
      <c r="W54" s="111"/>
      <c r="X54" s="111"/>
      <c r="Y54" s="111">
        <f t="shared" si="11"/>
        <v>0</v>
      </c>
      <c r="Z54" s="111">
        <f t="shared" si="12"/>
        <v>0</v>
      </c>
      <c r="AA54" s="111">
        <f t="shared" si="7"/>
        <v>0</v>
      </c>
      <c r="AB54" s="111">
        <f t="shared" si="8"/>
        <v>0</v>
      </c>
      <c r="AC54" s="111">
        <f t="shared" si="9"/>
        <v>0</v>
      </c>
      <c r="AD54" s="111">
        <f t="shared" si="10"/>
        <v>0</v>
      </c>
    </row>
    <row r="55" spans="1:30" x14ac:dyDescent="0.15">
      <c r="A55" s="104" t="str">
        <f t="shared" si="0"/>
        <v>Sat</v>
      </c>
      <c r="B55" s="105"/>
      <c r="C55" s="106"/>
      <c r="D55" s="107"/>
      <c r="E55" s="107"/>
      <c r="F55" s="107"/>
      <c r="G55" s="108"/>
      <c r="H55" s="107"/>
      <c r="I55" s="107"/>
      <c r="J55" s="109"/>
      <c r="K55" s="108"/>
      <c r="L55" s="107"/>
      <c r="M55" s="107"/>
      <c r="N55" s="106"/>
      <c r="O55" s="110"/>
      <c r="P55" s="110"/>
      <c r="Q55" s="111"/>
      <c r="R55" s="111"/>
      <c r="S55" s="111"/>
      <c r="T55" s="111"/>
      <c r="U55" s="111"/>
      <c r="V55" s="111"/>
      <c r="W55" s="111"/>
      <c r="X55" s="111"/>
      <c r="Y55" s="111">
        <f t="shared" si="11"/>
        <v>0</v>
      </c>
      <c r="Z55" s="111">
        <f t="shared" si="12"/>
        <v>0</v>
      </c>
      <c r="AA55" s="111">
        <f t="shared" si="7"/>
        <v>0</v>
      </c>
      <c r="AB55" s="111">
        <f t="shared" si="8"/>
        <v>0</v>
      </c>
      <c r="AC55" s="111">
        <f t="shared" si="9"/>
        <v>0</v>
      </c>
      <c r="AD55" s="111">
        <f t="shared" si="10"/>
        <v>0</v>
      </c>
    </row>
    <row r="56" spans="1:30" x14ac:dyDescent="0.15">
      <c r="A56" s="104" t="str">
        <f t="shared" si="0"/>
        <v>Sat</v>
      </c>
      <c r="B56" s="105"/>
      <c r="C56" s="106"/>
      <c r="D56" s="107"/>
      <c r="E56" s="107"/>
      <c r="F56" s="107"/>
      <c r="G56" s="108"/>
      <c r="H56" s="107"/>
      <c r="I56" s="107"/>
      <c r="J56" s="109"/>
      <c r="K56" s="108"/>
      <c r="L56" s="107"/>
      <c r="M56" s="107"/>
      <c r="N56" s="106"/>
      <c r="O56" s="110"/>
      <c r="P56" s="110"/>
      <c r="Q56" s="111"/>
      <c r="R56" s="111"/>
      <c r="S56" s="111"/>
      <c r="T56" s="111"/>
      <c r="U56" s="111"/>
      <c r="V56" s="111"/>
      <c r="W56" s="111"/>
      <c r="X56" s="111"/>
      <c r="Y56" s="111">
        <f t="shared" si="11"/>
        <v>0</v>
      </c>
      <c r="Z56" s="111">
        <f t="shared" si="12"/>
        <v>0</v>
      </c>
      <c r="AA56" s="111">
        <f t="shared" si="7"/>
        <v>0</v>
      </c>
      <c r="AB56" s="111">
        <f t="shared" si="8"/>
        <v>0</v>
      </c>
      <c r="AC56" s="111">
        <f t="shared" si="9"/>
        <v>0</v>
      </c>
      <c r="AD56" s="111">
        <f t="shared" si="10"/>
        <v>0</v>
      </c>
    </row>
    <row r="57" spans="1:30" x14ac:dyDescent="0.15">
      <c r="A57" s="104" t="str">
        <f t="shared" si="0"/>
        <v>Sat</v>
      </c>
      <c r="B57" s="105"/>
      <c r="C57" s="106"/>
      <c r="D57" s="107"/>
      <c r="E57" s="107"/>
      <c r="F57" s="107"/>
      <c r="G57" s="108"/>
      <c r="H57" s="107"/>
      <c r="I57" s="107"/>
      <c r="J57" s="109"/>
      <c r="K57" s="108"/>
      <c r="L57" s="107"/>
      <c r="M57" s="107"/>
      <c r="N57" s="106"/>
      <c r="O57" s="110"/>
      <c r="P57" s="110"/>
      <c r="Q57" s="111"/>
      <c r="R57" s="111"/>
      <c r="S57" s="111"/>
      <c r="T57" s="111"/>
      <c r="U57" s="111"/>
      <c r="V57" s="111"/>
      <c r="W57" s="111"/>
      <c r="X57" s="111"/>
      <c r="Y57" s="111">
        <f t="shared" si="11"/>
        <v>0</v>
      </c>
      <c r="Z57" s="111">
        <f t="shared" si="12"/>
        <v>0</v>
      </c>
      <c r="AA57" s="111">
        <f t="shared" si="7"/>
        <v>0</v>
      </c>
      <c r="AB57" s="111">
        <f t="shared" si="8"/>
        <v>0</v>
      </c>
      <c r="AC57" s="111">
        <f t="shared" si="9"/>
        <v>0</v>
      </c>
      <c r="AD57" s="111">
        <f t="shared" si="10"/>
        <v>0</v>
      </c>
    </row>
    <row r="58" spans="1:30" x14ac:dyDescent="0.15">
      <c r="A58" s="104" t="str">
        <f t="shared" si="0"/>
        <v>Sat</v>
      </c>
      <c r="B58" s="105"/>
      <c r="C58" s="106"/>
      <c r="D58" s="107"/>
      <c r="E58" s="107"/>
      <c r="F58" s="107"/>
      <c r="G58" s="108"/>
      <c r="H58" s="107"/>
      <c r="I58" s="107" t="s">
        <v>100</v>
      </c>
      <c r="J58" s="109"/>
      <c r="K58" s="108"/>
      <c r="L58" s="107"/>
      <c r="M58" s="107"/>
      <c r="N58" s="106"/>
      <c r="O58" s="110"/>
      <c r="P58" s="110"/>
      <c r="Q58" s="111"/>
      <c r="R58" s="111"/>
      <c r="S58" s="111"/>
      <c r="T58" s="111"/>
      <c r="U58" s="111"/>
      <c r="V58" s="111"/>
      <c r="W58" s="111"/>
      <c r="X58" s="111"/>
      <c r="Y58" s="111">
        <f t="shared" si="11"/>
        <v>0</v>
      </c>
      <c r="Z58" s="111">
        <f t="shared" si="12"/>
        <v>0</v>
      </c>
      <c r="AA58" s="111">
        <f t="shared" si="7"/>
        <v>0</v>
      </c>
      <c r="AB58" s="111">
        <f t="shared" si="8"/>
        <v>0</v>
      </c>
      <c r="AC58" s="111">
        <f t="shared" si="9"/>
        <v>0</v>
      </c>
      <c r="AD58" s="111">
        <f t="shared" si="10"/>
        <v>0</v>
      </c>
    </row>
    <row r="59" spans="1:30" x14ac:dyDescent="0.15">
      <c r="A59" s="104" t="str">
        <f t="shared" si="0"/>
        <v>Sat</v>
      </c>
      <c r="B59" s="105"/>
      <c r="C59" s="106"/>
      <c r="D59" s="107"/>
      <c r="E59" s="107"/>
      <c r="F59" s="107"/>
      <c r="G59" s="108"/>
      <c r="H59" s="107"/>
      <c r="I59" s="107" t="s">
        <v>100</v>
      </c>
      <c r="J59" s="109"/>
      <c r="K59" s="108"/>
      <c r="L59" s="107"/>
      <c r="M59" s="107"/>
      <c r="N59" s="106"/>
      <c r="O59" s="110"/>
      <c r="P59" s="110"/>
      <c r="Q59" s="111"/>
      <c r="R59" s="111"/>
      <c r="S59" s="111"/>
      <c r="T59" s="111"/>
      <c r="U59" s="111"/>
      <c r="V59" s="111"/>
      <c r="W59" s="111"/>
      <c r="X59" s="111"/>
      <c r="Y59" s="111">
        <f t="shared" si="11"/>
        <v>0</v>
      </c>
      <c r="Z59" s="111">
        <f t="shared" si="12"/>
        <v>0</v>
      </c>
      <c r="AA59" s="111">
        <f t="shared" si="7"/>
        <v>0</v>
      </c>
      <c r="AB59" s="111">
        <f t="shared" si="8"/>
        <v>0</v>
      </c>
      <c r="AC59" s="111">
        <f t="shared" si="9"/>
        <v>0</v>
      </c>
      <c r="AD59" s="111">
        <f t="shared" si="10"/>
        <v>0</v>
      </c>
    </row>
    <row r="60" spans="1:30" ht="12" thickBot="1" x14ac:dyDescent="0.2">
      <c r="A60" s="37"/>
      <c r="B60" s="33"/>
      <c r="C60" s="35"/>
      <c r="D60" s="34"/>
      <c r="E60" s="34"/>
      <c r="F60" s="34"/>
      <c r="G60" s="32"/>
      <c r="H60" s="34"/>
      <c r="I60" s="34"/>
      <c r="J60" s="90"/>
      <c r="K60" s="32"/>
      <c r="L60" s="34"/>
      <c r="M60" s="34"/>
      <c r="N60" s="35"/>
      <c r="O60" s="35"/>
      <c r="P60" s="35"/>
    </row>
    <row r="61" spans="1:30" ht="21" x14ac:dyDescent="0.15">
      <c r="A61" s="37"/>
      <c r="B61" s="33"/>
      <c r="C61" s="35"/>
      <c r="D61" s="34"/>
      <c r="E61" s="34"/>
      <c r="F61" s="34"/>
      <c r="G61" s="32"/>
      <c r="H61" s="34"/>
      <c r="I61" s="34"/>
      <c r="J61" s="90"/>
      <c r="K61" s="32"/>
      <c r="L61" s="34"/>
      <c r="M61" s="34"/>
      <c r="N61" s="35" t="s">
        <v>139</v>
      </c>
      <c r="O61" s="35">
        <f>MAX(O5:O59)</f>
        <v>40</v>
      </c>
      <c r="P61" s="35">
        <f>MAX(P5:P59)</f>
        <v>40</v>
      </c>
      <c r="Q61" s="132" t="s">
        <v>101</v>
      </c>
      <c r="R61" s="134" t="s">
        <v>102</v>
      </c>
      <c r="S61" s="134" t="s">
        <v>103</v>
      </c>
      <c r="T61" s="134" t="s">
        <v>104</v>
      </c>
      <c r="U61" s="134" t="s">
        <v>105</v>
      </c>
      <c r="V61" s="134" t="s">
        <v>106</v>
      </c>
      <c r="W61" s="134" t="s">
        <v>107</v>
      </c>
      <c r="X61" s="134" t="s">
        <v>108</v>
      </c>
    </row>
    <row r="62" spans="1:30" x14ac:dyDescent="0.15">
      <c r="A62" s="37"/>
      <c r="B62" s="33"/>
      <c r="C62" s="35"/>
      <c r="D62" s="34"/>
      <c r="E62" s="34"/>
      <c r="F62" s="34"/>
      <c r="G62" s="32"/>
      <c r="H62" s="34"/>
      <c r="I62" s="34"/>
      <c r="J62" s="90"/>
      <c r="K62" s="32"/>
      <c r="L62" s="34"/>
      <c r="M62" s="34"/>
      <c r="N62" s="35"/>
      <c r="O62" s="168" t="s">
        <v>204</v>
      </c>
      <c r="P62" s="168" t="s">
        <v>1</v>
      </c>
      <c r="Q62" s="36"/>
      <c r="R62" s="36"/>
      <c r="S62" s="36"/>
      <c r="T62" s="36"/>
      <c r="U62" s="36"/>
      <c r="V62" s="36"/>
      <c r="W62" s="36"/>
      <c r="X62" s="36"/>
    </row>
    <row r="63" spans="1:30" x14ac:dyDescent="0.15">
      <c r="A63" s="37"/>
      <c r="B63" s="33"/>
      <c r="C63" s="35"/>
      <c r="D63" s="34"/>
      <c r="E63" s="34"/>
      <c r="F63" s="34"/>
      <c r="G63" s="32"/>
      <c r="H63" s="34"/>
      <c r="I63" s="34"/>
      <c r="J63" s="90"/>
      <c r="K63" s="32"/>
      <c r="L63" s="34"/>
      <c r="M63" s="34"/>
      <c r="N63" s="35"/>
      <c r="O63" s="35">
        <f t="array" ref="O63">SUM(FLOOR(O5:O59,1))</f>
        <v>602</v>
      </c>
      <c r="P63" s="35">
        <f t="array" ref="P63">SUM(FLOOR(P5:P59,1))</f>
        <v>621</v>
      </c>
      <c r="Q63" s="36">
        <f>SUM(Q5:Q59)</f>
        <v>149</v>
      </c>
      <c r="R63" s="36">
        <f t="shared" ref="R63:Z63" si="13">SUM(R5:R59)</f>
        <v>18</v>
      </c>
      <c r="S63" s="36">
        <f t="shared" si="13"/>
        <v>106</v>
      </c>
      <c r="T63" s="36">
        <f t="shared" si="13"/>
        <v>41</v>
      </c>
      <c r="U63" s="36">
        <f t="shared" si="13"/>
        <v>221</v>
      </c>
      <c r="V63" s="36">
        <f t="shared" si="13"/>
        <v>46</v>
      </c>
      <c r="W63" s="36">
        <f t="shared" si="13"/>
        <v>126</v>
      </c>
      <c r="X63" s="36">
        <f t="shared" si="13"/>
        <v>35</v>
      </c>
      <c r="Y63" s="36">
        <f t="shared" si="13"/>
        <v>314</v>
      </c>
      <c r="Z63" s="36">
        <f t="shared" si="13"/>
        <v>428</v>
      </c>
      <c r="AA63" s="26">
        <f>SUM(AA5:AA59)</f>
        <v>3203</v>
      </c>
      <c r="AB63" s="26">
        <f>SUM(AB5:AB59)</f>
        <v>3002</v>
      </c>
      <c r="AC63" s="26">
        <f>SUM(AC5:AC59)</f>
        <v>129</v>
      </c>
      <c r="AD63" s="26">
        <f>SUM(AD5:AD59)</f>
        <v>140</v>
      </c>
    </row>
    <row r="64" spans="1:30" x14ac:dyDescent="0.15">
      <c r="A64" s="37"/>
      <c r="B64" s="33"/>
      <c r="C64" s="35"/>
      <c r="D64" s="34"/>
      <c r="E64" s="34"/>
      <c r="I64" s="34"/>
      <c r="J64" s="90"/>
      <c r="K64" s="32"/>
      <c r="L64" s="34"/>
      <c r="M64" s="34"/>
      <c r="N64" s="35"/>
      <c r="O64" s="35">
        <f t="array" ref="O64">SUM(O5:O59-FLOOR(O5:O59,1))*10</f>
        <v>26.999999999999957</v>
      </c>
      <c r="P64" s="35">
        <f t="array" ref="P64">SUM(P5:P59-FLOOR(P5:P59,1))*10</f>
        <v>22.999999999999901</v>
      </c>
      <c r="Q64" s="36"/>
      <c r="R64" s="36"/>
      <c r="S64" s="36"/>
      <c r="T64" s="36"/>
      <c r="U64" s="36"/>
      <c r="V64" s="36"/>
      <c r="W64" s="36"/>
      <c r="X64" s="36"/>
    </row>
    <row r="65" spans="1:28" x14ac:dyDescent="0.15">
      <c r="A65" s="37"/>
      <c r="B65" s="33"/>
      <c r="C65" s="35"/>
      <c r="D65" s="34"/>
      <c r="E65" s="34"/>
      <c r="I65" s="34"/>
      <c r="J65" s="90"/>
      <c r="K65" s="32"/>
      <c r="L65" s="34"/>
      <c r="M65" s="34"/>
      <c r="N65" s="168" t="s">
        <v>240</v>
      </c>
      <c r="O65" s="35">
        <f>O63*6+O64</f>
        <v>3639</v>
      </c>
      <c r="P65" s="35">
        <f>P63*6+P64</f>
        <v>3749</v>
      </c>
      <c r="Q65" s="36"/>
      <c r="R65" s="36"/>
      <c r="S65" s="36">
        <f>MAX(S7:S59)</f>
        <v>19</v>
      </c>
      <c r="T65" s="36"/>
      <c r="U65" s="36"/>
      <c r="V65" s="36"/>
      <c r="W65" s="36">
        <f>MAX(W7:W59)</f>
        <v>15</v>
      </c>
      <c r="X65" s="36"/>
      <c r="Z65" s="26" t="s">
        <v>33</v>
      </c>
      <c r="AA65" s="26">
        <f>AA63/AC63</f>
        <v>24.829457364341085</v>
      </c>
      <c r="AB65" s="26">
        <f>AB63/AD63</f>
        <v>21.442857142857143</v>
      </c>
    </row>
    <row r="66" spans="1:28" x14ac:dyDescent="0.15">
      <c r="A66" s="37"/>
      <c r="B66" s="33"/>
      <c r="C66" s="35"/>
      <c r="D66" s="34"/>
      <c r="E66" s="34"/>
      <c r="F66" s="34"/>
      <c r="G66" s="32"/>
      <c r="H66" s="34"/>
      <c r="I66" s="34"/>
      <c r="J66" s="90"/>
      <c r="K66" s="32"/>
      <c r="L66" s="34"/>
      <c r="M66" s="34"/>
      <c r="N66" s="168" t="s">
        <v>241</v>
      </c>
      <c r="O66" s="35">
        <f>INT(O65/6)+(O65-INT(O65/6)*6)/10</f>
        <v>606.29999999999995</v>
      </c>
      <c r="P66" s="35">
        <f>INT(P65/6)+(P65-INT(P65/6)*6)/10</f>
        <v>624.5</v>
      </c>
      <c r="Q66" s="36"/>
      <c r="R66" s="36"/>
      <c r="S66" s="36"/>
      <c r="T66" s="36"/>
      <c r="U66" s="36"/>
      <c r="V66" s="36"/>
      <c r="W66" s="36"/>
      <c r="X66" s="36"/>
    </row>
    <row r="67" spans="1:28" x14ac:dyDescent="0.15">
      <c r="A67" s="37"/>
      <c r="B67" s="33"/>
      <c r="C67" s="35"/>
      <c r="D67" s="34"/>
      <c r="E67" s="34"/>
      <c r="I67" s="34"/>
      <c r="J67" s="90"/>
      <c r="K67" s="32"/>
      <c r="L67" s="34"/>
      <c r="M67" s="34"/>
      <c r="N67" s="35" t="s">
        <v>184</v>
      </c>
      <c r="O67" s="35">
        <f>AA63/O65*100</f>
        <v>88.018686452322072</v>
      </c>
      <c r="P67" s="35">
        <f>AB63/P65*100</f>
        <v>80.074686583088834</v>
      </c>
      <c r="Q67" s="36"/>
      <c r="R67" s="36"/>
      <c r="S67" s="36"/>
      <c r="T67" s="36"/>
      <c r="U67" s="36"/>
      <c r="V67" s="36"/>
      <c r="W67" s="36"/>
      <c r="X67" s="36"/>
    </row>
    <row r="68" spans="1:28" x14ac:dyDescent="0.15">
      <c r="F68" s="34"/>
      <c r="G68" s="32"/>
      <c r="H68" s="34"/>
      <c r="Q68" s="26">
        <f>$Y$63*Q63/SUM($Q$63:$T$63)</f>
        <v>149</v>
      </c>
      <c r="R68" s="26">
        <f t="shared" ref="R68:T68" si="14">$Y$63*R63/SUM($Q$63:$T$63)</f>
        <v>18</v>
      </c>
      <c r="S68" s="26">
        <f t="shared" si="14"/>
        <v>106</v>
      </c>
      <c r="T68" s="26">
        <f t="shared" si="14"/>
        <v>41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  <row r="73" spans="1:28" x14ac:dyDescent="0.15">
      <c r="F73" s="34"/>
      <c r="G73" s="32"/>
      <c r="H73" s="34"/>
    </row>
    <row r="85" spans="6:8" x14ac:dyDescent="0.15">
      <c r="F85" s="34"/>
      <c r="G85" s="32"/>
      <c r="H85" s="34"/>
    </row>
  </sheetData>
  <sortState ref="F64:H86">
    <sortCondition ref="F64:F86"/>
    <sortCondition ref="H64:H86"/>
  </sortState>
  <mergeCells count="1">
    <mergeCell ref="A1:B3"/>
  </mergeCells>
  <phoneticPr fontId="0" type="noConversion"/>
  <conditionalFormatting sqref="F5 F7:F59">
    <cfRule type="cellIs" dxfId="5" priority="3" stopIfTrue="1" operator="equal">
      <formula>"TOCC"</formula>
    </cfRule>
  </conditionalFormatting>
  <conditionalFormatting sqref="G5:G2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Y1550"/>
  <sheetViews>
    <sheetView workbookViewId="0">
      <selection activeCell="A38" sqref="A38"/>
    </sheetView>
  </sheetViews>
  <sheetFormatPr defaultRowHeight="10.5" x14ac:dyDescent="0.15"/>
  <cols>
    <col min="1" max="1" width="6.28515625" style="65" bestFit="1" customWidth="1"/>
    <col min="2" max="2" width="7" style="65" bestFit="1" customWidth="1"/>
    <col min="3" max="3" width="14.5703125" style="65" bestFit="1" customWidth="1"/>
    <col min="4" max="4" width="16.7109375" style="65" customWidth="1"/>
    <col min="5" max="5" width="13.7109375" style="65" bestFit="1" customWidth="1"/>
    <col min="6" max="6" width="12.42578125" style="65" bestFit="1" customWidth="1"/>
    <col min="7" max="7" width="14.140625" style="65" bestFit="1" customWidth="1"/>
    <col min="8" max="8" width="11.85546875" style="65" bestFit="1" customWidth="1"/>
    <col min="9" max="9" width="13.5703125" style="65" bestFit="1" customWidth="1"/>
    <col min="10" max="10" width="12.28515625" style="65" bestFit="1" customWidth="1"/>
    <col min="11" max="11" width="12.42578125" style="65" bestFit="1" customWidth="1"/>
    <col min="12" max="12" width="13.42578125" style="65" bestFit="1" customWidth="1"/>
    <col min="13" max="14" width="14.7109375" style="65" bestFit="1" customWidth="1"/>
    <col min="15" max="15" width="12.85546875" style="65" bestFit="1" customWidth="1"/>
    <col min="16" max="16" width="13.140625" style="65" bestFit="1" customWidth="1"/>
    <col min="17" max="17" width="12.42578125" style="65" bestFit="1" customWidth="1"/>
    <col min="18" max="18" width="13.7109375" style="65" bestFit="1" customWidth="1"/>
    <col min="19" max="19" width="14.140625" style="65" bestFit="1" customWidth="1"/>
    <col min="20" max="21" width="13.42578125" style="65" bestFit="1" customWidth="1"/>
    <col min="22" max="22" width="15.28515625" style="65" bestFit="1" customWidth="1"/>
    <col min="23" max="23" width="13.42578125" style="65" customWidth="1"/>
    <col min="24" max="24" width="13.85546875" style="65" customWidth="1"/>
    <col min="25" max="25" width="14.28515625" style="65" customWidth="1"/>
    <col min="26" max="26" width="14.42578125" style="65" customWidth="1"/>
    <col min="27" max="27" width="13.85546875" style="65" customWidth="1"/>
    <col min="28" max="28" width="14.5703125" style="65" customWidth="1"/>
    <col min="29" max="29" width="12.42578125" style="65" customWidth="1"/>
    <col min="30" max="30" width="13.5703125" style="65" customWidth="1"/>
    <col min="31" max="31" width="14.28515625" style="65" customWidth="1"/>
    <col min="32" max="81" width="2.7109375" style="65" hidden="1" customWidth="1"/>
    <col min="82" max="82" width="2.7109375" style="65" customWidth="1"/>
    <col min="83" max="83" width="14.42578125" style="65" bestFit="1" customWidth="1"/>
    <col min="84" max="84" width="8.140625" style="65" bestFit="1" customWidth="1"/>
    <col min="85" max="85" width="8.140625" style="65" hidden="1" customWidth="1"/>
    <col min="86" max="86" width="8.140625" style="65" bestFit="1" customWidth="1"/>
    <col min="87" max="87" width="7.140625" style="65" bestFit="1" customWidth="1"/>
    <col min="88" max="88" width="8" style="65" hidden="1" customWidth="1"/>
    <col min="89" max="89" width="4.5703125" style="65" bestFit="1" customWidth="1"/>
    <col min="90" max="90" width="5" style="65" bestFit="1" customWidth="1"/>
    <col min="91" max="91" width="8.7109375" style="57" hidden="1" customWidth="1"/>
    <col min="92" max="92" width="5.7109375" style="65" hidden="1" customWidth="1"/>
    <col min="93" max="93" width="5.5703125" style="65" bestFit="1" customWidth="1"/>
    <col min="94" max="94" width="4.140625" style="65" bestFit="1" customWidth="1"/>
    <col min="95" max="95" width="6" style="65" bestFit="1" customWidth="1"/>
    <col min="96" max="98" width="5.28515625" style="65" bestFit="1" customWidth="1"/>
    <col min="99" max="101" width="4.140625" style="65" bestFit="1" customWidth="1"/>
    <col min="102" max="102" width="4" style="65" bestFit="1" customWidth="1"/>
    <col min="103" max="103" width="5.7109375" style="65" bestFit="1" customWidth="1"/>
    <col min="104" max="105" width="8.140625" style="65" bestFit="1" customWidth="1"/>
    <col min="106" max="106" width="5.42578125" style="65" bestFit="1" customWidth="1"/>
    <col min="107" max="107" width="9.5703125" style="65" bestFit="1" customWidth="1"/>
    <col min="108" max="108" width="6.5703125" style="65" bestFit="1" customWidth="1"/>
    <col min="109" max="109" width="5.140625" style="65" bestFit="1" customWidth="1"/>
    <col min="110" max="110" width="11" style="65" bestFit="1" customWidth="1"/>
    <col min="111" max="112" width="5.140625" style="65" bestFit="1" customWidth="1"/>
    <col min="113" max="115" width="9.140625" style="65"/>
    <col min="116" max="116" width="16.28515625" style="65" bestFit="1" customWidth="1"/>
    <col min="117" max="117" width="9.140625" style="65"/>
    <col min="118" max="118" width="14.42578125" style="65" bestFit="1" customWidth="1"/>
    <col min="119" max="119" width="12.85546875" style="65" bestFit="1" customWidth="1"/>
    <col min="120" max="120" width="16.28515625" style="65" bestFit="1" customWidth="1"/>
    <col min="121" max="16384" width="9.140625" style="65"/>
  </cols>
  <sheetData>
    <row r="1" spans="1:123" s="64" customFormat="1" ht="50.25" customHeight="1" x14ac:dyDescent="0.15">
      <c r="A1" s="61"/>
      <c r="B1" s="61"/>
      <c r="C1" s="48" t="str">
        <f t="array" ref="C1:CD4">TRANSPOSE(Matches!B4:E82)</f>
        <v>Date</v>
      </c>
      <c r="D1" s="62">
        <v>43226</v>
      </c>
      <c r="E1" s="62">
        <v>43233</v>
      </c>
      <c r="F1" s="62">
        <v>43240</v>
      </c>
      <c r="G1" s="62">
        <v>43246</v>
      </c>
      <c r="H1" s="62">
        <v>43247</v>
      </c>
      <c r="I1" s="62">
        <v>43248</v>
      </c>
      <c r="J1" s="62">
        <v>43261</v>
      </c>
      <c r="K1" s="62">
        <v>43268</v>
      </c>
      <c r="L1" s="62">
        <v>43275</v>
      </c>
      <c r="M1" s="62">
        <v>43282</v>
      </c>
      <c r="N1" s="62">
        <v>43288</v>
      </c>
      <c r="O1" s="62">
        <v>43296</v>
      </c>
      <c r="P1" s="62">
        <v>43303</v>
      </c>
      <c r="Q1" s="62">
        <v>43324</v>
      </c>
      <c r="R1" s="62">
        <v>43345</v>
      </c>
      <c r="S1" s="62">
        <v>43352</v>
      </c>
      <c r="T1" s="62">
        <v>43359</v>
      </c>
      <c r="U1" s="62">
        <v>0</v>
      </c>
      <c r="V1" s="62">
        <v>0</v>
      </c>
      <c r="W1" s="62">
        <v>0</v>
      </c>
      <c r="X1" s="62">
        <v>0</v>
      </c>
      <c r="Y1" s="62">
        <v>0</v>
      </c>
      <c r="Z1" s="62">
        <v>0</v>
      </c>
      <c r="AA1" s="62">
        <v>0</v>
      </c>
      <c r="AB1" s="62">
        <v>0</v>
      </c>
      <c r="AC1" s="62">
        <v>0</v>
      </c>
      <c r="AD1" s="62">
        <v>0</v>
      </c>
      <c r="AE1" s="62">
        <v>0</v>
      </c>
      <c r="AF1" s="62">
        <v>0</v>
      </c>
      <c r="AG1" s="62">
        <v>0</v>
      </c>
      <c r="AH1" s="62">
        <v>0</v>
      </c>
      <c r="AI1" s="62">
        <v>0</v>
      </c>
      <c r="AJ1" s="62">
        <v>0</v>
      </c>
      <c r="AK1" s="62">
        <v>0</v>
      </c>
      <c r="AL1" s="62">
        <v>0</v>
      </c>
      <c r="AM1" s="62">
        <v>0</v>
      </c>
      <c r="AN1" s="62">
        <v>0</v>
      </c>
      <c r="AO1" s="62">
        <v>0</v>
      </c>
      <c r="AP1" s="62">
        <v>0</v>
      </c>
      <c r="AQ1" s="62">
        <v>0</v>
      </c>
      <c r="AR1" s="62">
        <v>0</v>
      </c>
      <c r="AS1" s="62">
        <v>0</v>
      </c>
      <c r="AT1" s="62">
        <v>0</v>
      </c>
      <c r="AU1" s="62">
        <v>0</v>
      </c>
      <c r="AV1" s="62">
        <v>0</v>
      </c>
      <c r="AW1" s="62">
        <v>0</v>
      </c>
      <c r="AX1" s="62">
        <v>0</v>
      </c>
      <c r="AY1" s="62">
        <v>0</v>
      </c>
      <c r="AZ1" s="62">
        <v>0</v>
      </c>
      <c r="BA1" s="62">
        <v>0</v>
      </c>
      <c r="BB1" s="62">
        <v>0</v>
      </c>
      <c r="BC1" s="62">
        <v>0</v>
      </c>
      <c r="BD1" s="62">
        <v>0</v>
      </c>
      <c r="BE1" s="62">
        <v>0</v>
      </c>
      <c r="BF1" s="62">
        <v>0</v>
      </c>
      <c r="BG1" s="62">
        <v>0</v>
      </c>
      <c r="BH1" s="62">
        <v>0</v>
      </c>
      <c r="BI1" s="62">
        <v>0</v>
      </c>
      <c r="BJ1" s="62">
        <v>0</v>
      </c>
      <c r="BK1" s="62">
        <v>0</v>
      </c>
      <c r="BL1" s="62">
        <v>0</v>
      </c>
      <c r="BM1" s="62">
        <v>0</v>
      </c>
      <c r="BN1" s="62">
        <v>0</v>
      </c>
      <c r="BO1" s="62">
        <v>0</v>
      </c>
      <c r="BP1" s="62">
        <v>0</v>
      </c>
      <c r="BQ1" s="62">
        <v>0</v>
      </c>
      <c r="BR1" s="62">
        <v>0</v>
      </c>
      <c r="BS1" s="62">
        <v>0</v>
      </c>
      <c r="BT1" s="62">
        <v>0</v>
      </c>
      <c r="BU1" s="62">
        <v>0</v>
      </c>
      <c r="BV1" s="62">
        <v>0</v>
      </c>
      <c r="BW1" s="62">
        <v>0</v>
      </c>
      <c r="BX1" s="62">
        <v>0</v>
      </c>
      <c r="BY1" s="62">
        <v>0</v>
      </c>
      <c r="BZ1" s="62">
        <v>0</v>
      </c>
      <c r="CA1" s="62">
        <v>0</v>
      </c>
      <c r="CB1" s="62">
        <v>0</v>
      </c>
      <c r="CC1" s="62">
        <v>0</v>
      </c>
      <c r="CD1" s="62" t="e">
        <v>#N/A</v>
      </c>
      <c r="CE1" s="62"/>
      <c r="CF1" s="61"/>
      <c r="CG1" s="61"/>
      <c r="CH1" s="61"/>
      <c r="CI1" s="61"/>
      <c r="CJ1" s="61"/>
      <c r="CK1" s="61"/>
      <c r="CL1" s="61"/>
      <c r="CM1" s="63"/>
    </row>
    <row r="2" spans="1:123" ht="83.25" customHeight="1" x14ac:dyDescent="0.15">
      <c r="C2" s="51" t="str">
        <v>Opp</v>
      </c>
      <c r="D2" s="66" t="str">
        <v>Woodgreen</v>
      </c>
      <c r="E2" s="66" t="str">
        <v>SW United</v>
      </c>
      <c r="F2" s="66" t="str">
        <v>South Bank</v>
      </c>
      <c r="G2" s="66" t="str">
        <v>Font Hill Park</v>
      </c>
      <c r="H2" s="66" t="str">
        <v>Woodgreen</v>
      </c>
      <c r="I2" s="66" t="str">
        <v>Steeple Langford</v>
      </c>
      <c r="J2" s="66" t="str">
        <v>Norwood Exiles</v>
      </c>
      <c r="K2" s="66" t="str">
        <v>Spencer</v>
      </c>
      <c r="L2" s="66" t="str">
        <v>Woldingham Village</v>
      </c>
      <c r="M2" s="66" t="str">
        <v>Monty</v>
      </c>
      <c r="N2" s="66" t="str">
        <v>Beddington</v>
      </c>
      <c r="O2" s="66" t="str">
        <v>Morden</v>
      </c>
      <c r="P2" s="66" t="str">
        <v>LESSA Wanderers</v>
      </c>
      <c r="Q2" s="66" t="str">
        <v>LESSA Wanderers</v>
      </c>
      <c r="R2" s="66" t="str">
        <v>HSBC</v>
      </c>
      <c r="S2" s="66" t="str">
        <v>Richmond Legbreakers</v>
      </c>
      <c r="T2" s="66" t="str">
        <v>Catford Cyphers</v>
      </c>
      <c r="U2" s="66">
        <v>0</v>
      </c>
      <c r="V2" s="66">
        <v>0</v>
      </c>
      <c r="W2" s="66">
        <v>0</v>
      </c>
      <c r="X2" s="66">
        <v>0</v>
      </c>
      <c r="Y2" s="66">
        <v>0</v>
      </c>
      <c r="Z2" s="66">
        <v>0</v>
      </c>
      <c r="AA2" s="66">
        <v>0</v>
      </c>
      <c r="AB2" s="66">
        <v>0</v>
      </c>
      <c r="AC2" s="66">
        <v>0</v>
      </c>
      <c r="AD2" s="66">
        <v>0</v>
      </c>
      <c r="AE2" s="66">
        <v>0</v>
      </c>
      <c r="AF2" s="66">
        <v>0</v>
      </c>
      <c r="AG2" s="66">
        <v>0</v>
      </c>
      <c r="AH2" s="66">
        <v>0</v>
      </c>
      <c r="AI2" s="66">
        <v>0</v>
      </c>
      <c r="AJ2" s="66">
        <v>0</v>
      </c>
      <c r="AK2" s="66">
        <v>0</v>
      </c>
      <c r="AL2" s="66">
        <v>0</v>
      </c>
      <c r="AM2" s="66">
        <v>0</v>
      </c>
      <c r="AN2" s="66">
        <v>0</v>
      </c>
      <c r="AO2" s="66">
        <v>0</v>
      </c>
      <c r="AP2" s="66">
        <v>0</v>
      </c>
      <c r="AQ2" s="66">
        <v>0</v>
      </c>
      <c r="AR2" s="66">
        <v>0</v>
      </c>
      <c r="AS2" s="66">
        <v>0</v>
      </c>
      <c r="AT2" s="66">
        <v>0</v>
      </c>
      <c r="AU2" s="66">
        <v>0</v>
      </c>
      <c r="AV2" s="66">
        <v>0</v>
      </c>
      <c r="AW2" s="66">
        <v>0</v>
      </c>
      <c r="AX2" s="66">
        <v>0</v>
      </c>
      <c r="AY2" s="66">
        <v>0</v>
      </c>
      <c r="AZ2" s="66">
        <v>0</v>
      </c>
      <c r="BA2" s="66">
        <v>0</v>
      </c>
      <c r="BB2" s="66">
        <v>0</v>
      </c>
      <c r="BC2" s="66">
        <v>0</v>
      </c>
      <c r="BD2" s="66">
        <v>0</v>
      </c>
      <c r="BE2" s="66">
        <v>0</v>
      </c>
      <c r="BF2" s="66">
        <v>0</v>
      </c>
      <c r="BG2" s="66">
        <v>0</v>
      </c>
      <c r="BH2" s="66">
        <v>0</v>
      </c>
      <c r="BI2" s="66">
        <v>0</v>
      </c>
      <c r="BJ2" s="66">
        <v>0</v>
      </c>
      <c r="BK2" s="66">
        <v>0</v>
      </c>
      <c r="BL2" s="66">
        <v>0</v>
      </c>
      <c r="BM2" s="66">
        <v>0</v>
      </c>
      <c r="BN2" s="66">
        <v>0</v>
      </c>
      <c r="BO2" s="66">
        <v>0</v>
      </c>
      <c r="BP2" s="66">
        <v>0</v>
      </c>
      <c r="BQ2" s="66">
        <v>0</v>
      </c>
      <c r="BR2" s="66">
        <v>0</v>
      </c>
      <c r="BS2" s="66">
        <v>0</v>
      </c>
      <c r="BT2" s="66">
        <v>0</v>
      </c>
      <c r="BU2" s="66">
        <v>0</v>
      </c>
      <c r="BV2" s="66">
        <v>0</v>
      </c>
      <c r="BW2" s="66">
        <v>0</v>
      </c>
      <c r="BX2" s="66">
        <v>0</v>
      </c>
      <c r="BY2" s="66">
        <v>0</v>
      </c>
      <c r="BZ2" s="66">
        <v>0</v>
      </c>
      <c r="CA2" s="66">
        <v>0</v>
      </c>
      <c r="CB2" s="66">
        <v>0</v>
      </c>
      <c r="CC2" s="66">
        <v>0</v>
      </c>
      <c r="CD2" s="66" t="e">
        <v>#N/A</v>
      </c>
      <c r="CE2" s="66"/>
      <c r="CO2" s="65" t="s">
        <v>4</v>
      </c>
    </row>
    <row r="3" spans="1:123" x14ac:dyDescent="0.15">
      <c r="C3" s="51" t="str">
        <v>Venue</v>
      </c>
      <c r="D3" s="51" t="str">
        <v>H</v>
      </c>
      <c r="E3" s="51" t="str">
        <v>H</v>
      </c>
      <c r="F3" s="51" t="str">
        <v>H</v>
      </c>
      <c r="G3" s="51" t="str">
        <v>A</v>
      </c>
      <c r="H3" s="51" t="str">
        <v>A</v>
      </c>
      <c r="I3" s="51" t="str">
        <v>A</v>
      </c>
      <c r="J3" s="51" t="str">
        <v>A</v>
      </c>
      <c r="K3" s="51" t="str">
        <v>A</v>
      </c>
      <c r="L3" s="51" t="str">
        <v>H</v>
      </c>
      <c r="M3" s="51" t="str">
        <v>A</v>
      </c>
      <c r="N3" s="51" t="str">
        <v>H</v>
      </c>
      <c r="O3" s="51" t="str">
        <v>A</v>
      </c>
      <c r="P3" s="51" t="str">
        <v>H</v>
      </c>
      <c r="Q3" s="51" t="str">
        <v>A</v>
      </c>
      <c r="R3" s="51" t="str">
        <v>A</v>
      </c>
      <c r="S3" s="51" t="str">
        <v>H</v>
      </c>
      <c r="T3" s="51" t="str">
        <v>A</v>
      </c>
      <c r="U3" s="51">
        <v>0</v>
      </c>
      <c r="V3" s="51">
        <v>0</v>
      </c>
      <c r="W3" s="51">
        <v>0</v>
      </c>
      <c r="X3" s="51">
        <v>0</v>
      </c>
      <c r="Y3" s="51">
        <v>0</v>
      </c>
      <c r="Z3" s="51">
        <v>0</v>
      </c>
      <c r="AA3" s="51">
        <v>0</v>
      </c>
      <c r="AB3" s="51">
        <v>0</v>
      </c>
      <c r="AC3" s="51">
        <v>0</v>
      </c>
      <c r="AD3" s="51">
        <v>0</v>
      </c>
      <c r="AE3" s="51">
        <v>0</v>
      </c>
      <c r="AF3" s="51">
        <v>0</v>
      </c>
      <c r="AG3" s="51">
        <v>0</v>
      </c>
      <c r="AH3" s="51">
        <v>0</v>
      </c>
      <c r="AI3" s="51">
        <v>0</v>
      </c>
      <c r="AJ3" s="51">
        <v>0</v>
      </c>
      <c r="AK3" s="51">
        <v>0</v>
      </c>
      <c r="AL3" s="51">
        <v>0</v>
      </c>
      <c r="AM3" s="51">
        <v>0</v>
      </c>
      <c r="AN3" s="51">
        <v>0</v>
      </c>
      <c r="AO3" s="51">
        <v>0</v>
      </c>
      <c r="AP3" s="51">
        <v>0</v>
      </c>
      <c r="AQ3" s="51">
        <v>0</v>
      </c>
      <c r="AR3" s="51">
        <v>0</v>
      </c>
      <c r="AS3" s="51">
        <v>0</v>
      </c>
      <c r="AT3" s="51">
        <v>0</v>
      </c>
      <c r="AU3" s="51">
        <v>0</v>
      </c>
      <c r="AV3" s="51">
        <v>0</v>
      </c>
      <c r="AW3" s="51">
        <v>0</v>
      </c>
      <c r="AX3" s="51">
        <v>0</v>
      </c>
      <c r="AY3" s="51">
        <v>0</v>
      </c>
      <c r="AZ3" s="51">
        <v>0</v>
      </c>
      <c r="BA3" s="51">
        <v>0</v>
      </c>
      <c r="BB3" s="51">
        <v>0</v>
      </c>
      <c r="BC3" s="51">
        <v>0</v>
      </c>
      <c r="BD3" s="51">
        <v>0</v>
      </c>
      <c r="BE3" s="51">
        <v>0</v>
      </c>
      <c r="BF3" s="51">
        <v>0</v>
      </c>
      <c r="BG3" s="51">
        <v>0</v>
      </c>
      <c r="BH3" s="51">
        <v>0</v>
      </c>
      <c r="BI3" s="51">
        <v>0</v>
      </c>
      <c r="BJ3" s="51">
        <v>0</v>
      </c>
      <c r="BK3" s="51">
        <v>0</v>
      </c>
      <c r="BL3" s="51">
        <v>0</v>
      </c>
      <c r="BM3" s="51">
        <v>0</v>
      </c>
      <c r="BN3" s="51">
        <v>0</v>
      </c>
      <c r="BO3" s="51">
        <v>0</v>
      </c>
      <c r="BP3" s="51">
        <v>0</v>
      </c>
      <c r="BQ3" s="51">
        <v>0</v>
      </c>
      <c r="BR3" s="51">
        <v>0</v>
      </c>
      <c r="BS3" s="51">
        <v>0</v>
      </c>
      <c r="BT3" s="51">
        <v>0</v>
      </c>
      <c r="BU3" s="51">
        <v>0</v>
      </c>
      <c r="BV3" s="51">
        <v>0</v>
      </c>
      <c r="BW3" s="51">
        <v>0</v>
      </c>
      <c r="BX3" s="51">
        <v>0</v>
      </c>
      <c r="BY3" s="51">
        <v>0</v>
      </c>
      <c r="BZ3" s="51">
        <v>0</v>
      </c>
      <c r="CA3" s="51">
        <v>0</v>
      </c>
      <c r="CB3" s="51">
        <v>0</v>
      </c>
      <c r="CC3" s="51">
        <v>0</v>
      </c>
      <c r="CD3" s="51" t="e">
        <v>#N/A</v>
      </c>
      <c r="CE3" s="51"/>
    </row>
    <row r="4" spans="1:123" x14ac:dyDescent="0.15">
      <c r="C4" s="51" t="str">
        <v>Result</v>
      </c>
      <c r="D4" s="65" t="str">
        <v>L</v>
      </c>
      <c r="E4" s="51" t="str">
        <v>W</v>
      </c>
      <c r="F4" s="51" t="str">
        <v>L</v>
      </c>
      <c r="G4" s="51" t="str">
        <v>L</v>
      </c>
      <c r="H4" s="51" t="str">
        <v>L</v>
      </c>
      <c r="I4" s="51" t="str">
        <v>W</v>
      </c>
      <c r="J4" s="51" t="str">
        <v>W</v>
      </c>
      <c r="K4" s="51" t="str">
        <v>L</v>
      </c>
      <c r="L4" s="51" t="str">
        <v>W</v>
      </c>
      <c r="M4" s="51" t="str">
        <v>L</v>
      </c>
      <c r="N4" s="51" t="str">
        <v>W</v>
      </c>
      <c r="O4" s="51" t="str">
        <v>W</v>
      </c>
      <c r="P4" s="51" t="str">
        <v>W</v>
      </c>
      <c r="Q4" s="51" t="str">
        <v>W</v>
      </c>
      <c r="R4" s="51" t="str">
        <v>L</v>
      </c>
      <c r="S4" s="51" t="str">
        <v>T</v>
      </c>
      <c r="T4" s="51" t="str">
        <v>W</v>
      </c>
      <c r="U4" s="51">
        <v>0</v>
      </c>
      <c r="V4" s="51">
        <v>0</v>
      </c>
      <c r="W4" s="51">
        <v>0</v>
      </c>
      <c r="X4" s="51">
        <v>0</v>
      </c>
      <c r="Y4" s="51">
        <v>0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>
        <v>0</v>
      </c>
      <c r="AG4" s="51">
        <v>0</v>
      </c>
      <c r="AH4" s="51">
        <v>0</v>
      </c>
      <c r="AI4" s="51">
        <v>0</v>
      </c>
      <c r="AJ4" s="51">
        <v>0</v>
      </c>
      <c r="AK4" s="51">
        <v>0</v>
      </c>
      <c r="AL4" s="51">
        <v>0</v>
      </c>
      <c r="AM4" s="51">
        <v>0</v>
      </c>
      <c r="AN4" s="51">
        <v>0</v>
      </c>
      <c r="AO4" s="51">
        <v>0</v>
      </c>
      <c r="AP4" s="51">
        <v>0</v>
      </c>
      <c r="AQ4" s="51">
        <v>0</v>
      </c>
      <c r="AR4" s="51">
        <v>0</v>
      </c>
      <c r="AS4" s="51">
        <v>0</v>
      </c>
      <c r="AT4" s="51">
        <v>0</v>
      </c>
      <c r="AU4" s="51">
        <v>0</v>
      </c>
      <c r="AV4" s="51">
        <v>0</v>
      </c>
      <c r="AW4" s="51">
        <v>0</v>
      </c>
      <c r="AX4" s="51">
        <v>0</v>
      </c>
      <c r="AY4" s="51">
        <v>0</v>
      </c>
      <c r="AZ4" s="51">
        <v>0</v>
      </c>
      <c r="BA4" s="51">
        <v>0</v>
      </c>
      <c r="BB4" s="51">
        <v>0</v>
      </c>
      <c r="BC4" s="51">
        <v>0</v>
      </c>
      <c r="BD4" s="51">
        <v>0</v>
      </c>
      <c r="BE4" s="51">
        <v>0</v>
      </c>
      <c r="BF4" s="51">
        <v>0</v>
      </c>
      <c r="BG4" s="51">
        <v>0</v>
      </c>
      <c r="BH4" s="51">
        <v>0</v>
      </c>
      <c r="BI4" s="51">
        <v>0</v>
      </c>
      <c r="BJ4" s="51">
        <v>0</v>
      </c>
      <c r="BK4" s="51">
        <v>0</v>
      </c>
      <c r="BL4" s="51">
        <v>0</v>
      </c>
      <c r="BM4" s="51">
        <v>0</v>
      </c>
      <c r="BN4" s="51">
        <v>0</v>
      </c>
      <c r="BO4" s="51">
        <v>0</v>
      </c>
      <c r="BP4" s="51">
        <v>0</v>
      </c>
      <c r="BQ4" s="51">
        <v>0</v>
      </c>
      <c r="BR4" s="51">
        <v>0</v>
      </c>
      <c r="BS4" s="51">
        <v>0</v>
      </c>
      <c r="BT4" s="51">
        <v>0</v>
      </c>
      <c r="BU4" s="51">
        <v>0</v>
      </c>
      <c r="BV4" s="51">
        <v>0</v>
      </c>
      <c r="BW4" s="51">
        <v>0</v>
      </c>
      <c r="BX4" s="51">
        <v>0</v>
      </c>
      <c r="BY4" s="51">
        <v>0</v>
      </c>
      <c r="BZ4" s="51">
        <v>0</v>
      </c>
      <c r="CA4" s="51">
        <v>0</v>
      </c>
      <c r="CB4" s="51">
        <v>0</v>
      </c>
      <c r="CC4" s="51">
        <v>0</v>
      </c>
      <c r="CD4" s="51" t="e">
        <v>#N/A</v>
      </c>
      <c r="CE4" s="51"/>
      <c r="CF4" s="47" t="s">
        <v>5</v>
      </c>
      <c r="CG4" s="47" t="s">
        <v>6</v>
      </c>
      <c r="CH4" s="47" t="s">
        <v>7</v>
      </c>
      <c r="CI4" s="47" t="s">
        <v>8</v>
      </c>
      <c r="CJ4" s="47" t="s">
        <v>116</v>
      </c>
      <c r="CK4" s="47" t="s">
        <v>132</v>
      </c>
      <c r="CL4" s="47" t="s">
        <v>9</v>
      </c>
      <c r="CM4" s="44" t="s">
        <v>33</v>
      </c>
      <c r="CN4" s="65" t="s">
        <v>11</v>
      </c>
      <c r="CO4" s="47" t="s">
        <v>12</v>
      </c>
      <c r="CP4" s="47" t="s">
        <v>13</v>
      </c>
      <c r="CQ4" s="47" t="s">
        <v>14</v>
      </c>
      <c r="CR4" s="47" t="s">
        <v>15</v>
      </c>
      <c r="CS4" s="47" t="s">
        <v>16</v>
      </c>
      <c r="CT4" s="47" t="s">
        <v>17</v>
      </c>
      <c r="CU4" s="47" t="s">
        <v>18</v>
      </c>
      <c r="CV4" s="47" t="s">
        <v>19</v>
      </c>
      <c r="CW4" s="47" t="s">
        <v>190</v>
      </c>
      <c r="CX4" s="71" t="s">
        <v>238</v>
      </c>
      <c r="CY4" s="71" t="s">
        <v>222</v>
      </c>
      <c r="CZ4" s="47" t="s">
        <v>20</v>
      </c>
      <c r="DA4" s="47" t="s">
        <v>21</v>
      </c>
      <c r="DB4" s="47" t="s">
        <v>22</v>
      </c>
      <c r="DC4" s="47" t="s">
        <v>23</v>
      </c>
      <c r="DD4" s="65" t="s">
        <v>117</v>
      </c>
      <c r="DE4" s="65" t="s">
        <v>118</v>
      </c>
      <c r="DF4" s="65" t="s">
        <v>130</v>
      </c>
      <c r="DG4" s="65" t="s">
        <v>129</v>
      </c>
      <c r="DH4" s="65" t="s">
        <v>136</v>
      </c>
      <c r="DI4" s="65" t="s">
        <v>144</v>
      </c>
      <c r="DJ4" s="65" t="s">
        <v>146</v>
      </c>
      <c r="DL4" s="118" t="s">
        <v>269</v>
      </c>
      <c r="DN4" s="118" t="s">
        <v>22</v>
      </c>
      <c r="DP4" s="118" t="s">
        <v>21</v>
      </c>
      <c r="DR4" s="118" t="s">
        <v>272</v>
      </c>
    </row>
    <row r="5" spans="1:123" x14ac:dyDescent="0.15">
      <c r="B5" t="s">
        <v>525</v>
      </c>
      <c r="C5" t="s">
        <v>526</v>
      </c>
      <c r="D5"/>
      <c r="E5"/>
      <c r="F5" s="118"/>
      <c r="G5"/>
      <c r="H5" s="118"/>
      <c r="I5" s="118"/>
      <c r="J5"/>
      <c r="K5" s="118"/>
      <c r="L5" s="118"/>
      <c r="M5" s="118"/>
      <c r="N5" s="118"/>
      <c r="O5" s="118" t="s">
        <v>227</v>
      </c>
      <c r="P5"/>
      <c r="Q5"/>
      <c r="R5"/>
      <c r="S5"/>
      <c r="T5"/>
      <c r="U5"/>
      <c r="V5"/>
      <c r="W5"/>
      <c r="X5"/>
      <c r="Y5"/>
      <c r="Z5"/>
      <c r="CE5" s="65" t="str">
        <f>C5</f>
        <v>Ahmed</v>
      </c>
      <c r="CF5" s="65">
        <f t="shared" ref="CF5" si="0">BatSplit(D5:CD5,MatchesPlayed)</f>
        <v>1</v>
      </c>
      <c r="CG5" s="65">
        <f t="shared" ref="CG5" si="1">CF5-CH5</f>
        <v>1</v>
      </c>
      <c r="CH5" s="65">
        <f t="shared" ref="CH5" si="2">BatSplit(D5:CD5,InnsBattedIn)</f>
        <v>0</v>
      </c>
      <c r="CI5" s="65">
        <f t="shared" ref="CI5" si="3">BatSplit(D5:CD5,NotOuts)</f>
        <v>0</v>
      </c>
      <c r="CJ5" s="65">
        <f t="shared" ref="CJ5" si="4">BatSplit(D5:CD5,HighestScore)</f>
        <v>0</v>
      </c>
      <c r="CK5" s="69">
        <f t="shared" ref="CK5" si="5">IF(CJ5&lt;0,-CJ5&amp;"*",CJ5)</f>
        <v>0</v>
      </c>
      <c r="CL5" s="65">
        <f t="shared" ref="CL5" si="6">BatSplit(D5:CD5,RunsScored)</f>
        <v>0</v>
      </c>
      <c r="CM5" s="67">
        <f t="shared" ref="CM5" si="7">IF(CH5=CI5,0,CL5/(CH5-CI5))</f>
        <v>0</v>
      </c>
      <c r="CN5" s="65">
        <f t="shared" ref="CN5:CN46" si="8">BatSplit(D5:CD5,FldPts)</f>
        <v>0</v>
      </c>
      <c r="CO5" s="68">
        <f t="array" ref="CO5">SUM(IF(ISERR(FIND("*",D5:CD5)),0,1))</f>
        <v>0</v>
      </c>
      <c r="CP5" s="68">
        <f t="array" ref="CP5">SUM(IF(ISERR(FIND("+",D5:CD5)),0,1))</f>
        <v>0</v>
      </c>
      <c r="CQ5" s="65">
        <f t="shared" ref="CQ5:CQ46" si="9">BatSplit(D5:CD5,Ducks)</f>
        <v>0</v>
      </c>
      <c r="CR5" s="68">
        <f t="array" ref="CR5">SUM(IF(ISERR(FIND(CR$4,$D5:$CD5)),0,1))</f>
        <v>0</v>
      </c>
      <c r="CS5" s="68">
        <f t="array" ref="CS5">SUM(IF(ISERR(FIND(CS$4,$D5:$CD5)),0,1))</f>
        <v>0</v>
      </c>
      <c r="CT5" s="68">
        <f t="array" ref="CT5">SUM(IF(ISERR(FIND(CT$4,$D5:$CD5)),0,1))</f>
        <v>0</v>
      </c>
      <c r="CU5" s="68">
        <f t="array" ref="CU5">SUM(IF(ISERR(FIND(CU$4,$D5:$CD5)),0,1))</f>
        <v>0</v>
      </c>
      <c r="CV5" s="68">
        <f t="array" ref="CV5">SUM(IF(ISERR(FIND(CV$4,$D5:$CD5)),0,1))</f>
        <v>0</v>
      </c>
      <c r="CW5" s="68">
        <f t="array" ref="CW5">SUM(IF(ISERR(FIND(CW$4,$D5:$CD5)),0,1))</f>
        <v>0</v>
      </c>
      <c r="CX5" s="68">
        <f t="array" ref="CX5">SUM(IF(ISERR(FIND(CX$4,$D5:$CD5)),0,1))</f>
        <v>0</v>
      </c>
      <c r="CY5" s="68">
        <f t="shared" ref="CY5:CY46" si="10">BatSplit(D5:CD5,Fifties)</f>
        <v>0</v>
      </c>
      <c r="CZ5" s="68">
        <f t="shared" ref="CZ5:CZ46" si="11">BatSplit(D5:CD5,Catches)</f>
        <v>0</v>
      </c>
      <c r="DA5" s="68">
        <f t="shared" ref="DA5:DA46" si="12">BatSplit(D5:CD5,Fours)</f>
        <v>0</v>
      </c>
      <c r="DB5" s="68">
        <f t="shared" ref="DB5:DB46" si="13">BatSplit(D5:CD5,Sixes)</f>
        <v>0</v>
      </c>
      <c r="DC5" s="68">
        <f t="shared" ref="DC5:DC46" si="14">BatSplit(D5:CD5,Stumpings)</f>
        <v>0</v>
      </c>
      <c r="DD5" s="68">
        <f t="shared" ref="DD5:DD46" si="15">BatSplit(D5:CD5,CaughtWkt)</f>
        <v>0</v>
      </c>
      <c r="DE5" s="68">
        <f t="shared" ref="DE5:DE46" si="16">BatSplit(D5:CD5,TwentyFives)</f>
        <v>0</v>
      </c>
      <c r="DF5" s="65">
        <f t="shared" ref="DF5:DF29" si="17">ROUND(IF(ISERROR(CM5),0,CM5),2)*100000+CH5*100+CF5+CL5/100+ROW()/100000</f>
        <v>1.0000500000000001</v>
      </c>
      <c r="DG5" s="65">
        <f t="shared" ref="DG5:DG46" si="18">RANK(DF5,$DF$5:$DF$46)</f>
        <v>37</v>
      </c>
      <c r="DH5" s="65">
        <v>0</v>
      </c>
      <c r="DI5" s="86" t="str">
        <f t="shared" ref="DI5:DI29" si="19">IF(CL5&gt;=50,(DA5*4+DB5*6+DH5*5)/CL5,"")</f>
        <v/>
      </c>
      <c r="DJ5" s="94" t="e">
        <f t="shared" ref="DJ5:DJ29" si="20">CQ5/(CH5-CI5)</f>
        <v>#DIV/0!</v>
      </c>
      <c r="DK5" s="174">
        <f>CZ5</f>
        <v>0</v>
      </c>
      <c r="DL5" s="65" t="str">
        <f>IF(CZ5=0,"",CZ5&amp;IF(DD5=0,""," ("&amp;DD5&amp;")"))</f>
        <v/>
      </c>
      <c r="DM5" s="65" t="str">
        <f t="shared" ref="DM5:DM29" si="21">IF(CZ5=0,"",C5)</f>
        <v/>
      </c>
      <c r="DN5" s="68">
        <f>DB5</f>
        <v>0</v>
      </c>
      <c r="DO5" s="65" t="str">
        <f t="shared" ref="DO5:DO29" si="22">IF(DN5=0,"",C5)</f>
        <v/>
      </c>
      <c r="DP5" s="68">
        <f>DA5</f>
        <v>0</v>
      </c>
      <c r="DQ5" s="65" t="str">
        <f t="shared" ref="DQ5:DQ29" si="23">IF(DP5=0,"",C5)</f>
        <v/>
      </c>
      <c r="DR5" s="68">
        <f>DE5</f>
        <v>0</v>
      </c>
      <c r="DS5" s="65" t="str">
        <f t="shared" ref="DS5:DS29" si="24">IF(DR5=0,"",C5)</f>
        <v/>
      </c>
    </row>
    <row r="6" spans="1:123" x14ac:dyDescent="0.15">
      <c r="B6" t="s">
        <v>340</v>
      </c>
      <c r="C6" t="s">
        <v>249</v>
      </c>
      <c r="D6"/>
      <c r="E6" t="s">
        <v>339</v>
      </c>
      <c r="F6" s="118"/>
      <c r="G6" s="118"/>
      <c r="H6" s="118" t="s">
        <v>392</v>
      </c>
      <c r="I6" s="118" t="s">
        <v>412</v>
      </c>
      <c r="J6" s="118" t="s">
        <v>429</v>
      </c>
      <c r="K6" s="118" t="s">
        <v>449</v>
      </c>
      <c r="L6" s="118" t="s">
        <v>471</v>
      </c>
      <c r="M6" s="118" t="s">
        <v>488</v>
      </c>
      <c r="N6" s="118" t="s">
        <v>505</v>
      </c>
      <c r="O6" s="118" t="s">
        <v>521</v>
      </c>
      <c r="P6" s="118" t="s">
        <v>608</v>
      </c>
      <c r="Q6" s="118" t="s">
        <v>256</v>
      </c>
      <c r="R6" s="118" t="s">
        <v>227</v>
      </c>
      <c r="S6" s="118" t="s">
        <v>581</v>
      </c>
      <c r="T6" s="118" t="s">
        <v>597</v>
      </c>
      <c r="U6"/>
      <c r="V6"/>
      <c r="W6"/>
      <c r="X6"/>
      <c r="Y6"/>
      <c r="Z6"/>
      <c r="CE6" s="65" t="str">
        <f t="shared" ref="CE6:CE29" si="25">C6</f>
        <v>Bhatt P</v>
      </c>
      <c r="CF6" s="65">
        <f t="shared" ref="CF6:CF29" si="26">BatSplit(D6:CD6,MatchesPlayed)</f>
        <v>14</v>
      </c>
      <c r="CG6" s="65">
        <f t="shared" ref="CG6:CG29" si="27">CF6-CH6</f>
        <v>2</v>
      </c>
      <c r="CH6" s="65">
        <f t="shared" ref="CH6:CH29" si="28">BatSplit(D6:CD6,InnsBattedIn)</f>
        <v>12</v>
      </c>
      <c r="CI6" s="65">
        <f t="shared" ref="CI6:CI29" si="29">BatSplit(D6:CD6,NotOuts)</f>
        <v>3</v>
      </c>
      <c r="CJ6" s="65">
        <f t="shared" ref="CJ6:CJ29" si="30">BatSplit(D6:CD6,HighestScore)</f>
        <v>34</v>
      </c>
      <c r="CK6" s="69">
        <f t="shared" ref="CK6:CK29" si="31">IF(CJ6&lt;0,-CJ6&amp;"*",CJ6)</f>
        <v>34</v>
      </c>
      <c r="CL6" s="65">
        <f t="shared" ref="CL6:CL29" si="32">BatSplit(D6:CD6,RunsScored)</f>
        <v>184</v>
      </c>
      <c r="CM6" s="67">
        <f t="shared" ref="CM6:CM29" si="33">IF(CH6=CI6,0,CL6/(CH6-CI6))</f>
        <v>20.444444444444443</v>
      </c>
      <c r="CN6" s="65">
        <f t="shared" si="8"/>
        <v>30</v>
      </c>
      <c r="CO6" s="68">
        <f t="array" ref="CO6">SUM(IF(ISERR(FIND("*",D6:CD6)),0,1))</f>
        <v>0</v>
      </c>
      <c r="CP6" s="68">
        <f t="array" ref="CP6">SUM(IF(ISERR(FIND("+",D6:CD6)),0,1))</f>
        <v>0</v>
      </c>
      <c r="CQ6" s="65">
        <f t="shared" si="9"/>
        <v>0</v>
      </c>
      <c r="CR6" s="68">
        <f t="array" ref="CR6">SUM(IF(ISERR(FIND(CR$4,$D6:$CD6)),0,1))</f>
        <v>1</v>
      </c>
      <c r="CS6" s="68">
        <f t="array" ref="CS6">SUM(IF(ISERR(FIND(CS$4,$D6:$CD6)),0,1))</f>
        <v>7</v>
      </c>
      <c r="CT6" s="68">
        <f t="array" ref="CT6">SUM(IF(ISERR(FIND(CT$4,$D6:$CD6)),0,1))</f>
        <v>1</v>
      </c>
      <c r="CU6" s="68">
        <f t="array" ref="CU6">SUM(IF(ISERR(FIND(CU$4,$D6:$CD6)),0,1))</f>
        <v>0</v>
      </c>
      <c r="CV6" s="68">
        <f t="array" ref="CV6">SUM(IF(ISERR(FIND(CV$4,$D6:$CD6)),0,1))</f>
        <v>0</v>
      </c>
      <c r="CW6" s="68">
        <f t="array" ref="CW6">SUM(IF(ISERR(FIND(CW$4,$D6:$CD6)),0,1))</f>
        <v>0</v>
      </c>
      <c r="CX6" s="68">
        <f t="array" ref="CX6">SUM(IF(ISERR(FIND(CX$4,$D6:$CD6)),0,1))</f>
        <v>0</v>
      </c>
      <c r="CY6" s="68">
        <f t="shared" si="10"/>
        <v>0</v>
      </c>
      <c r="CZ6" s="68">
        <f t="shared" si="11"/>
        <v>6</v>
      </c>
      <c r="DA6" s="68">
        <f t="shared" si="12"/>
        <v>23</v>
      </c>
      <c r="DB6" s="68">
        <f t="shared" si="13"/>
        <v>2</v>
      </c>
      <c r="DC6" s="68">
        <f t="shared" si="14"/>
        <v>0</v>
      </c>
      <c r="DD6" s="68">
        <f t="shared" si="15"/>
        <v>0</v>
      </c>
      <c r="DE6" s="68">
        <f t="shared" si="16"/>
        <v>3</v>
      </c>
      <c r="DF6" s="65">
        <f t="shared" si="17"/>
        <v>2045215.8400600003</v>
      </c>
      <c r="DG6" s="65">
        <f t="shared" si="18"/>
        <v>10</v>
      </c>
      <c r="DH6" s="65">
        <v>0</v>
      </c>
      <c r="DI6" s="86">
        <f t="shared" si="19"/>
        <v>0.56521739130434778</v>
      </c>
      <c r="DJ6" s="94">
        <f t="shared" si="20"/>
        <v>0</v>
      </c>
      <c r="DK6" s="174">
        <f t="shared" ref="DK6:DK29" si="34">CZ6</f>
        <v>6</v>
      </c>
      <c r="DL6" s="65" t="str">
        <f t="shared" ref="DL6:DL29" si="35">IF(CZ6=0,"",CZ6&amp;IF(DD6=0,""," ("&amp;DD6&amp;")"))</f>
        <v>6</v>
      </c>
      <c r="DM6" s="65" t="str">
        <f t="shared" si="21"/>
        <v>Bhatt P</v>
      </c>
      <c r="DN6" s="68">
        <f t="shared" ref="DN6:DN29" si="36">DB6</f>
        <v>2</v>
      </c>
      <c r="DO6" s="65" t="str">
        <f t="shared" si="22"/>
        <v>Bhatt P</v>
      </c>
      <c r="DP6" s="68">
        <f t="shared" ref="DP6:DP29" si="37">DA6</f>
        <v>23</v>
      </c>
      <c r="DQ6" s="65" t="str">
        <f t="shared" si="23"/>
        <v>Bhatt P</v>
      </c>
      <c r="DR6" s="68">
        <f t="shared" ref="DR6:DR29" si="38">DE6</f>
        <v>3</v>
      </c>
      <c r="DS6" s="65" t="str">
        <f t="shared" si="24"/>
        <v>Bhatt P</v>
      </c>
    </row>
    <row r="7" spans="1:123" x14ac:dyDescent="0.15">
      <c r="B7" t="s">
        <v>283</v>
      </c>
      <c r="C7" t="s">
        <v>137</v>
      </c>
      <c r="D7"/>
      <c r="E7"/>
      <c r="F7" s="118"/>
      <c r="G7" s="118" t="s">
        <v>225</v>
      </c>
      <c r="H7" s="118" t="s">
        <v>317</v>
      </c>
      <c r="I7" s="118" t="s">
        <v>279</v>
      </c>
      <c r="J7" s="118"/>
      <c r="K7" s="118"/>
      <c r="L7" s="118"/>
      <c r="M7" s="118"/>
      <c r="N7" s="118"/>
      <c r="O7"/>
      <c r="P7"/>
      <c r="Q7"/>
      <c r="R7" t="s">
        <v>560</v>
      </c>
      <c r="S7" t="s">
        <v>225</v>
      </c>
      <c r="T7"/>
      <c r="U7"/>
      <c r="V7"/>
      <c r="W7"/>
      <c r="X7"/>
      <c r="Y7"/>
      <c r="Z7"/>
      <c r="CE7" s="65" t="str">
        <f t="shared" si="25"/>
        <v>Bowers M</v>
      </c>
      <c r="CF7" s="65">
        <f t="shared" si="26"/>
        <v>5</v>
      </c>
      <c r="CG7" s="65">
        <f t="shared" si="27"/>
        <v>3</v>
      </c>
      <c r="CH7" s="65">
        <f t="shared" si="28"/>
        <v>2</v>
      </c>
      <c r="CI7" s="65">
        <f t="shared" si="29"/>
        <v>0</v>
      </c>
      <c r="CJ7" s="65">
        <f t="shared" si="30"/>
        <v>1</v>
      </c>
      <c r="CK7" s="69">
        <f t="shared" si="31"/>
        <v>1</v>
      </c>
      <c r="CL7" s="65">
        <f t="shared" si="32"/>
        <v>1</v>
      </c>
      <c r="CM7" s="67">
        <f t="shared" si="33"/>
        <v>0.5</v>
      </c>
      <c r="CN7" s="65">
        <f t="shared" si="8"/>
        <v>5</v>
      </c>
      <c r="CO7" s="68">
        <f t="array" ref="CO7">SUM(IF(ISERR(FIND("*",D7:CD7)),0,1))</f>
        <v>0</v>
      </c>
      <c r="CP7" s="68">
        <f t="array" ref="CP7">SUM(IF(ISERR(FIND("+",D7:CD7)),0,1))</f>
        <v>0</v>
      </c>
      <c r="CQ7" s="65">
        <f t="shared" si="9"/>
        <v>1</v>
      </c>
      <c r="CR7" s="68">
        <f t="array" ref="CR7">SUM(IF(ISERR(FIND(CR$4,$D7:$CD7)),0,1))</f>
        <v>2</v>
      </c>
      <c r="CS7" s="68">
        <f t="array" ref="CS7">SUM(IF(ISERR(FIND(CS$4,$D7:$CD7)),0,1))</f>
        <v>0</v>
      </c>
      <c r="CT7" s="68">
        <f t="array" ref="CT7">SUM(IF(ISERR(FIND(CT$4,$D7:$CD7)),0,1))</f>
        <v>0</v>
      </c>
      <c r="CU7" s="68">
        <f t="array" ref="CU7">SUM(IF(ISERR(FIND(CU$4,$D7:$CD7)),0,1))</f>
        <v>0</v>
      </c>
      <c r="CV7" s="68">
        <f t="array" ref="CV7">SUM(IF(ISERR(FIND(CV$4,$D7:$CD7)),0,1))</f>
        <v>0</v>
      </c>
      <c r="CW7" s="68">
        <f t="array" ref="CW7">SUM(IF(ISERR(FIND(CW$4,$D7:$CD7)),0,1))</f>
        <v>0</v>
      </c>
      <c r="CX7" s="68">
        <f t="array" ref="CX7">SUM(IF(ISERR(FIND(CX$4,$D7:$CD7)),0,1))</f>
        <v>0</v>
      </c>
      <c r="CY7" s="68">
        <f t="shared" si="10"/>
        <v>0</v>
      </c>
      <c r="CZ7" s="68">
        <f t="shared" si="11"/>
        <v>1</v>
      </c>
      <c r="DA7" s="68">
        <f t="shared" si="12"/>
        <v>0</v>
      </c>
      <c r="DB7" s="68">
        <f t="shared" si="13"/>
        <v>0</v>
      </c>
      <c r="DC7" s="68">
        <f t="shared" si="14"/>
        <v>0</v>
      </c>
      <c r="DD7" s="68">
        <f t="shared" si="15"/>
        <v>0</v>
      </c>
      <c r="DE7" s="68">
        <f t="shared" si="16"/>
        <v>0</v>
      </c>
      <c r="DF7" s="65">
        <f t="shared" si="17"/>
        <v>50205.010070000004</v>
      </c>
      <c r="DG7" s="65">
        <f t="shared" si="18"/>
        <v>29</v>
      </c>
      <c r="DH7" s="65">
        <v>0</v>
      </c>
      <c r="DI7" s="86" t="str">
        <f t="shared" si="19"/>
        <v/>
      </c>
      <c r="DJ7" s="94">
        <f t="shared" si="20"/>
        <v>0.5</v>
      </c>
      <c r="DK7" s="174">
        <f t="shared" si="34"/>
        <v>1</v>
      </c>
      <c r="DL7" s="65" t="str">
        <f t="shared" si="35"/>
        <v>1</v>
      </c>
      <c r="DM7" s="65" t="str">
        <f t="shared" si="21"/>
        <v>Bowers M</v>
      </c>
      <c r="DN7" s="68">
        <f t="shared" si="36"/>
        <v>0</v>
      </c>
      <c r="DO7" s="65" t="str">
        <f t="shared" si="22"/>
        <v/>
      </c>
      <c r="DP7" s="68">
        <f t="shared" si="37"/>
        <v>0</v>
      </c>
      <c r="DQ7" s="65" t="str">
        <f t="shared" si="23"/>
        <v/>
      </c>
      <c r="DR7" s="68">
        <f t="shared" si="38"/>
        <v>0</v>
      </c>
      <c r="DS7" s="65" t="str">
        <f t="shared" si="24"/>
        <v/>
      </c>
    </row>
    <row r="8" spans="1:123" x14ac:dyDescent="0.15">
      <c r="B8" t="s">
        <v>24</v>
      </c>
      <c r="C8" t="s">
        <v>234</v>
      </c>
      <c r="D8"/>
      <c r="E8"/>
      <c r="F8" s="118"/>
      <c r="G8" s="118"/>
      <c r="H8" s="118"/>
      <c r="I8" s="118"/>
      <c r="J8"/>
      <c r="K8" s="118"/>
      <c r="L8" s="118"/>
      <c r="M8" s="118"/>
      <c r="N8" s="118"/>
      <c r="O8"/>
      <c r="P8" t="s">
        <v>609</v>
      </c>
      <c r="Q8"/>
      <c r="R8"/>
      <c r="S8"/>
      <c r="T8"/>
      <c r="U8"/>
      <c r="V8"/>
      <c r="W8"/>
      <c r="X8"/>
      <c r="Y8"/>
      <c r="Z8"/>
      <c r="CE8" s="65" t="str">
        <f t="shared" si="25"/>
        <v>Brocks D</v>
      </c>
      <c r="CF8" s="65">
        <f t="shared" si="26"/>
        <v>1</v>
      </c>
      <c r="CG8" s="65">
        <f t="shared" si="27"/>
        <v>0</v>
      </c>
      <c r="CH8" s="65">
        <f t="shared" si="28"/>
        <v>1</v>
      </c>
      <c r="CI8" s="65">
        <f t="shared" si="29"/>
        <v>0</v>
      </c>
      <c r="CJ8" s="65">
        <f t="shared" si="30"/>
        <v>0</v>
      </c>
      <c r="CK8" s="69">
        <f t="shared" si="31"/>
        <v>0</v>
      </c>
      <c r="CL8" s="65">
        <f t="shared" si="32"/>
        <v>0</v>
      </c>
      <c r="CM8" s="67">
        <f t="shared" si="33"/>
        <v>0</v>
      </c>
      <c r="CN8" s="65">
        <f t="shared" si="8"/>
        <v>10</v>
      </c>
      <c r="CO8" s="68">
        <f t="array" ref="CO8">SUM(IF(ISERR(FIND("*",D8:CD8)),0,1))</f>
        <v>0</v>
      </c>
      <c r="CP8" s="68">
        <f t="array" ref="CP8">SUM(IF(ISERR(FIND("+",D8:CD8)),0,1))</f>
        <v>0</v>
      </c>
      <c r="CQ8" s="65">
        <f t="shared" si="9"/>
        <v>1</v>
      </c>
      <c r="CR8" s="68">
        <f t="array" ref="CR8">SUM(IF(ISERR(FIND(CR$4,$D8:$CD8)),0,1))</f>
        <v>0</v>
      </c>
      <c r="CS8" s="68">
        <f t="array" ref="CS8">SUM(IF(ISERR(FIND(CS$4,$D8:$CD8)),0,1))</f>
        <v>1</v>
      </c>
      <c r="CT8" s="68">
        <f t="array" ref="CT8">SUM(IF(ISERR(FIND(CT$4,$D8:$CD8)),0,1))</f>
        <v>0</v>
      </c>
      <c r="CU8" s="68">
        <f t="array" ref="CU8">SUM(IF(ISERR(FIND(CU$4,$D8:$CD8)),0,1))</f>
        <v>0</v>
      </c>
      <c r="CV8" s="68">
        <f t="array" ref="CV8">SUM(IF(ISERR(FIND(CV$4,$D8:$CD8)),0,1))</f>
        <v>0</v>
      </c>
      <c r="CW8" s="68">
        <f t="array" ref="CW8">SUM(IF(ISERR(FIND(CW$4,$D8:$CD8)),0,1))</f>
        <v>0</v>
      </c>
      <c r="CX8" s="68">
        <f t="array" ref="CX8">SUM(IF(ISERR(FIND(CX$4,$D8:$CD8)),0,1))</f>
        <v>0</v>
      </c>
      <c r="CY8" s="68">
        <f t="shared" si="10"/>
        <v>0</v>
      </c>
      <c r="CZ8" s="68">
        <f t="shared" si="11"/>
        <v>2</v>
      </c>
      <c r="DA8" s="68">
        <f t="shared" si="12"/>
        <v>0</v>
      </c>
      <c r="DB8" s="68">
        <f t="shared" si="13"/>
        <v>0</v>
      </c>
      <c r="DC8" s="68">
        <f t="shared" si="14"/>
        <v>0</v>
      </c>
      <c r="DD8" s="68">
        <f t="shared" si="15"/>
        <v>0</v>
      </c>
      <c r="DE8" s="68">
        <f t="shared" si="16"/>
        <v>0</v>
      </c>
      <c r="DF8" s="65">
        <f t="shared" si="17"/>
        <v>101.00008</v>
      </c>
      <c r="DG8" s="65">
        <f t="shared" si="18"/>
        <v>34</v>
      </c>
      <c r="DH8" s="65">
        <v>0</v>
      </c>
      <c r="DI8" s="86" t="str">
        <f t="shared" si="19"/>
        <v/>
      </c>
      <c r="DJ8" s="94">
        <f t="shared" si="20"/>
        <v>1</v>
      </c>
      <c r="DK8" s="174">
        <f t="shared" si="34"/>
        <v>2</v>
      </c>
      <c r="DL8" s="65" t="str">
        <f t="shared" si="35"/>
        <v>2</v>
      </c>
      <c r="DM8" s="65" t="str">
        <f t="shared" si="21"/>
        <v>Brocks D</v>
      </c>
      <c r="DN8" s="68">
        <f t="shared" si="36"/>
        <v>0</v>
      </c>
      <c r="DO8" s="65" t="str">
        <f t="shared" si="22"/>
        <v/>
      </c>
      <c r="DP8" s="68">
        <f t="shared" si="37"/>
        <v>0</v>
      </c>
      <c r="DQ8" s="65" t="str">
        <f t="shared" si="23"/>
        <v/>
      </c>
      <c r="DR8" s="68">
        <f t="shared" si="38"/>
        <v>0</v>
      </c>
      <c r="DS8" s="65" t="str">
        <f t="shared" si="24"/>
        <v/>
      </c>
    </row>
    <row r="9" spans="1:123" x14ac:dyDescent="0.15">
      <c r="B9" t="s">
        <v>259</v>
      </c>
      <c r="C9" t="s">
        <v>260</v>
      </c>
      <c r="D9"/>
      <c r="E9"/>
      <c r="F9"/>
      <c r="G9"/>
      <c r="H9"/>
      <c r="I9"/>
      <c r="J9"/>
      <c r="K9"/>
      <c r="L9" s="118"/>
      <c r="M9" s="118"/>
      <c r="N9"/>
      <c r="O9"/>
      <c r="P9"/>
      <c r="Q9"/>
      <c r="R9"/>
      <c r="S9"/>
      <c r="T9"/>
      <c r="U9"/>
      <c r="V9"/>
      <c r="W9"/>
      <c r="X9"/>
      <c r="Y9"/>
      <c r="Z9"/>
      <c r="CE9" s="65" t="str">
        <f t="shared" si="25"/>
        <v>Castle D</v>
      </c>
      <c r="CF9" s="65">
        <f t="shared" si="26"/>
        <v>0</v>
      </c>
      <c r="CG9" s="65">
        <f t="shared" si="27"/>
        <v>0</v>
      </c>
      <c r="CH9" s="65">
        <f t="shared" si="28"/>
        <v>0</v>
      </c>
      <c r="CI9" s="65">
        <f t="shared" si="29"/>
        <v>0</v>
      </c>
      <c r="CJ9" s="65">
        <f t="shared" si="30"/>
        <v>0</v>
      </c>
      <c r="CK9" s="69">
        <f t="shared" si="31"/>
        <v>0</v>
      </c>
      <c r="CL9" s="65">
        <f t="shared" si="32"/>
        <v>0</v>
      </c>
      <c r="CM9" s="67">
        <f t="shared" si="33"/>
        <v>0</v>
      </c>
      <c r="CN9" s="65">
        <f t="shared" si="8"/>
        <v>0</v>
      </c>
      <c r="CO9" s="68">
        <f t="array" ref="CO9">SUM(IF(ISERR(FIND("*",D9:CD9)),0,1))</f>
        <v>0</v>
      </c>
      <c r="CP9" s="68">
        <f t="array" ref="CP9">SUM(IF(ISERR(FIND("+",D9:CD9)),0,1))</f>
        <v>0</v>
      </c>
      <c r="CQ9" s="65">
        <f t="shared" si="9"/>
        <v>0</v>
      </c>
      <c r="CR9" s="68">
        <f t="array" ref="CR9">SUM(IF(ISERR(FIND(CR$4,$D9:$CD9)),0,1))</f>
        <v>0</v>
      </c>
      <c r="CS9" s="68">
        <f t="array" ref="CS9">SUM(IF(ISERR(FIND(CS$4,$D9:$CD9)),0,1))</f>
        <v>0</v>
      </c>
      <c r="CT9" s="68">
        <f t="array" ref="CT9">SUM(IF(ISERR(FIND(CT$4,$D9:$CD9)),0,1))</f>
        <v>0</v>
      </c>
      <c r="CU9" s="68">
        <f t="array" ref="CU9">SUM(IF(ISERR(FIND(CU$4,$D9:$CD9)),0,1))</f>
        <v>0</v>
      </c>
      <c r="CV9" s="68">
        <f t="array" ref="CV9">SUM(IF(ISERR(FIND(CV$4,$D9:$CD9)),0,1))</f>
        <v>0</v>
      </c>
      <c r="CW9" s="68">
        <f t="array" ref="CW9">SUM(IF(ISERR(FIND(CW$4,$D9:$CD9)),0,1))</f>
        <v>0</v>
      </c>
      <c r="CX9" s="68">
        <f t="array" ref="CX9">SUM(IF(ISERR(FIND(CX$4,$D9:$CD9)),0,1))</f>
        <v>0</v>
      </c>
      <c r="CY9" s="68">
        <f t="shared" si="10"/>
        <v>0</v>
      </c>
      <c r="CZ9" s="68">
        <f t="shared" si="11"/>
        <v>0</v>
      </c>
      <c r="DA9" s="68">
        <f t="shared" si="12"/>
        <v>0</v>
      </c>
      <c r="DB9" s="68">
        <f t="shared" si="13"/>
        <v>0</v>
      </c>
      <c r="DC9" s="68">
        <f t="shared" si="14"/>
        <v>0</v>
      </c>
      <c r="DD9" s="68">
        <f t="shared" si="15"/>
        <v>0</v>
      </c>
      <c r="DE9" s="68">
        <f t="shared" si="16"/>
        <v>0</v>
      </c>
      <c r="DF9" s="65">
        <f t="shared" si="17"/>
        <v>9.0000000000000006E-5</v>
      </c>
      <c r="DG9" s="65">
        <f t="shared" si="18"/>
        <v>42</v>
      </c>
      <c r="DH9" s="65">
        <v>0</v>
      </c>
      <c r="DI9" s="86" t="str">
        <f t="shared" si="19"/>
        <v/>
      </c>
      <c r="DJ9" s="94" t="e">
        <f t="shared" si="20"/>
        <v>#DIV/0!</v>
      </c>
      <c r="DK9" s="174">
        <f t="shared" si="34"/>
        <v>0</v>
      </c>
      <c r="DL9" s="65" t="str">
        <f t="shared" si="35"/>
        <v/>
      </c>
      <c r="DM9" s="65" t="str">
        <f t="shared" si="21"/>
        <v/>
      </c>
      <c r="DN9" s="68">
        <f t="shared" si="36"/>
        <v>0</v>
      </c>
      <c r="DO9" s="65" t="str">
        <f t="shared" si="22"/>
        <v/>
      </c>
      <c r="DP9" s="68">
        <f t="shared" si="37"/>
        <v>0</v>
      </c>
      <c r="DQ9" s="65" t="str">
        <f t="shared" si="23"/>
        <v/>
      </c>
      <c r="DR9" s="68">
        <f t="shared" si="38"/>
        <v>0</v>
      </c>
      <c r="DS9" s="65" t="str">
        <f t="shared" si="24"/>
        <v/>
      </c>
    </row>
    <row r="10" spans="1:123" x14ac:dyDescent="0.15">
      <c r="B10" t="s">
        <v>248</v>
      </c>
      <c r="C10" t="s">
        <v>237</v>
      </c>
      <c r="D10"/>
      <c r="E10"/>
      <c r="F10"/>
      <c r="G10"/>
      <c r="H10"/>
      <c r="I10"/>
      <c r="J10"/>
      <c r="K10"/>
      <c r="L10" s="118"/>
      <c r="M10" s="118"/>
      <c r="N10" t="s">
        <v>504</v>
      </c>
      <c r="O10"/>
      <c r="P10"/>
      <c r="Q10"/>
      <c r="R10" t="s">
        <v>262</v>
      </c>
      <c r="S10" t="s">
        <v>573</v>
      </c>
      <c r="T10"/>
      <c r="U10"/>
      <c r="V10"/>
      <c r="W10"/>
      <c r="X10"/>
      <c r="Y10"/>
      <c r="Z10"/>
      <c r="CE10" s="65" t="str">
        <f t="shared" si="25"/>
        <v>Castle I</v>
      </c>
      <c r="CF10" s="65">
        <f t="shared" si="26"/>
        <v>3</v>
      </c>
      <c r="CG10" s="65">
        <f t="shared" si="27"/>
        <v>1</v>
      </c>
      <c r="CH10" s="65">
        <f t="shared" si="28"/>
        <v>2</v>
      </c>
      <c r="CI10" s="65">
        <f t="shared" si="29"/>
        <v>0</v>
      </c>
      <c r="CJ10" s="65">
        <f t="shared" si="30"/>
        <v>19</v>
      </c>
      <c r="CK10" s="69">
        <f t="shared" si="31"/>
        <v>19</v>
      </c>
      <c r="CL10" s="65">
        <f t="shared" si="32"/>
        <v>28</v>
      </c>
      <c r="CM10" s="67">
        <f t="shared" si="33"/>
        <v>14</v>
      </c>
      <c r="CN10" s="65">
        <f t="shared" si="8"/>
        <v>0</v>
      </c>
      <c r="CO10" s="68">
        <f t="array" ref="CO10">SUM(IF(ISERR(FIND("*",D10:CD10)),0,1))</f>
        <v>0</v>
      </c>
      <c r="CP10" s="68">
        <f t="array" ref="CP10">SUM(IF(ISERR(FIND("+",D10:CD10)),0,1))</f>
        <v>1</v>
      </c>
      <c r="CQ10" s="65">
        <f t="shared" si="9"/>
        <v>0</v>
      </c>
      <c r="CR10" s="68">
        <f t="array" ref="CR10">SUM(IF(ISERR(FIND(CR$4,$D10:$CD10)),0,1))</f>
        <v>0</v>
      </c>
      <c r="CS10" s="68">
        <f t="array" ref="CS10">SUM(IF(ISERR(FIND(CS$4,$D10:$CD10)),0,1))</f>
        <v>2</v>
      </c>
      <c r="CT10" s="68">
        <f t="array" ref="CT10">SUM(IF(ISERR(FIND(CT$4,$D10:$CD10)),0,1))</f>
        <v>0</v>
      </c>
      <c r="CU10" s="68">
        <f t="array" ref="CU10">SUM(IF(ISERR(FIND(CU$4,$D10:$CD10)),0,1))</f>
        <v>0</v>
      </c>
      <c r="CV10" s="68">
        <f t="array" ref="CV10">SUM(IF(ISERR(FIND(CV$4,$D10:$CD10)),0,1))</f>
        <v>0</v>
      </c>
      <c r="CW10" s="68">
        <f t="array" ref="CW10">SUM(IF(ISERR(FIND(CW$4,$D10:$CD10)),0,1))</f>
        <v>0</v>
      </c>
      <c r="CX10" s="68">
        <f t="array" ref="CX10">SUM(IF(ISERR(FIND(CX$4,$D10:$CD10)),0,1))</f>
        <v>0</v>
      </c>
      <c r="CY10" s="68">
        <f t="shared" si="10"/>
        <v>0</v>
      </c>
      <c r="CZ10" s="68">
        <f t="shared" si="11"/>
        <v>0</v>
      </c>
      <c r="DA10" s="68">
        <f t="shared" si="12"/>
        <v>6</v>
      </c>
      <c r="DB10" s="68">
        <f t="shared" si="13"/>
        <v>0</v>
      </c>
      <c r="DC10" s="68">
        <f t="shared" si="14"/>
        <v>0</v>
      </c>
      <c r="DD10" s="68">
        <f t="shared" si="15"/>
        <v>0</v>
      </c>
      <c r="DE10" s="68">
        <f t="shared" si="16"/>
        <v>0</v>
      </c>
      <c r="DF10" s="65">
        <f t="shared" si="17"/>
        <v>1400203.2801000001</v>
      </c>
      <c r="DG10" s="65">
        <f t="shared" si="18"/>
        <v>13</v>
      </c>
      <c r="DH10" s="65">
        <v>0</v>
      </c>
      <c r="DI10" s="86" t="str">
        <f t="shared" si="19"/>
        <v/>
      </c>
      <c r="DJ10" s="94">
        <f t="shared" si="20"/>
        <v>0</v>
      </c>
      <c r="DK10" s="174">
        <f t="shared" si="34"/>
        <v>0</v>
      </c>
      <c r="DL10" s="65" t="str">
        <f t="shared" si="35"/>
        <v/>
      </c>
      <c r="DM10" s="65" t="str">
        <f t="shared" si="21"/>
        <v/>
      </c>
      <c r="DN10" s="68">
        <f t="shared" si="36"/>
        <v>0</v>
      </c>
      <c r="DO10" s="65" t="str">
        <f t="shared" si="22"/>
        <v/>
      </c>
      <c r="DP10" s="68">
        <f t="shared" si="37"/>
        <v>6</v>
      </c>
      <c r="DQ10" s="65" t="str">
        <f t="shared" si="23"/>
        <v>Castle I</v>
      </c>
      <c r="DR10" s="68">
        <f t="shared" si="38"/>
        <v>0</v>
      </c>
      <c r="DS10" s="65" t="str">
        <f t="shared" si="24"/>
        <v/>
      </c>
    </row>
    <row r="11" spans="1:123" x14ac:dyDescent="0.15">
      <c r="B11" t="s">
        <v>274</v>
      </c>
      <c r="C11" t="s">
        <v>281</v>
      </c>
      <c r="D11"/>
      <c r="E11"/>
      <c r="F11"/>
      <c r="G11"/>
      <c r="H11" t="s">
        <v>393</v>
      </c>
      <c r="I11"/>
      <c r="J11"/>
      <c r="K11" s="118" t="s">
        <v>451</v>
      </c>
      <c r="L11" s="118"/>
      <c r="M11" s="118"/>
      <c r="N11"/>
      <c r="O11"/>
      <c r="P11"/>
      <c r="Q11"/>
      <c r="R11"/>
      <c r="S11"/>
      <c r="T11"/>
      <c r="U11"/>
      <c r="V11"/>
      <c r="W11"/>
      <c r="X11"/>
      <c r="Y11"/>
      <c r="Z11"/>
      <c r="CE11" s="65" t="str">
        <f t="shared" si="25"/>
        <v>Chima R</v>
      </c>
      <c r="CF11" s="65">
        <f t="shared" si="26"/>
        <v>2</v>
      </c>
      <c r="CG11" s="65">
        <f t="shared" si="27"/>
        <v>0</v>
      </c>
      <c r="CH11" s="65">
        <f t="shared" si="28"/>
        <v>2</v>
      </c>
      <c r="CI11" s="65">
        <f t="shared" si="29"/>
        <v>1</v>
      </c>
      <c r="CJ11" s="65">
        <f t="shared" si="30"/>
        <v>19</v>
      </c>
      <c r="CK11" s="69">
        <f t="shared" si="31"/>
        <v>19</v>
      </c>
      <c r="CL11" s="65">
        <f t="shared" si="32"/>
        <v>29</v>
      </c>
      <c r="CM11" s="67">
        <f t="shared" si="33"/>
        <v>29</v>
      </c>
      <c r="CN11" s="65">
        <f t="shared" si="8"/>
        <v>5</v>
      </c>
      <c r="CO11" s="68">
        <f t="array" ref="CO11">SUM(IF(ISERR(FIND("*",D11:CD11)),0,1))</f>
        <v>0</v>
      </c>
      <c r="CP11" s="68">
        <f t="array" ref="CP11">SUM(IF(ISERR(FIND("+",D11:CD11)),0,1))</f>
        <v>0</v>
      </c>
      <c r="CQ11" s="65">
        <f t="shared" si="9"/>
        <v>0</v>
      </c>
      <c r="CR11" s="68">
        <f t="array" ref="CR11">SUM(IF(ISERR(FIND(CR$4,$D11:$CD11)),0,1))</f>
        <v>1</v>
      </c>
      <c r="CS11" s="68">
        <f t="array" ref="CS11">SUM(IF(ISERR(FIND(CS$4,$D11:$CD11)),0,1))</f>
        <v>0</v>
      </c>
      <c r="CT11" s="68">
        <f t="array" ref="CT11">SUM(IF(ISERR(FIND(CT$4,$D11:$CD11)),0,1))</f>
        <v>0</v>
      </c>
      <c r="CU11" s="68">
        <f t="array" ref="CU11">SUM(IF(ISERR(FIND(CU$4,$D11:$CD11)),0,1))</f>
        <v>0</v>
      </c>
      <c r="CV11" s="68">
        <f t="array" ref="CV11">SUM(IF(ISERR(FIND(CV$4,$D11:$CD11)),0,1))</f>
        <v>0</v>
      </c>
      <c r="CW11" s="68">
        <f t="array" ref="CW11">SUM(IF(ISERR(FIND(CW$4,$D11:$CD11)),0,1))</f>
        <v>0</v>
      </c>
      <c r="CX11" s="68">
        <f t="array" ref="CX11">SUM(IF(ISERR(FIND(CX$4,$D11:$CD11)),0,1))</f>
        <v>0</v>
      </c>
      <c r="CY11" s="68">
        <f t="shared" si="10"/>
        <v>0</v>
      </c>
      <c r="CZ11" s="68">
        <f t="shared" si="11"/>
        <v>1</v>
      </c>
      <c r="DA11" s="68">
        <f t="shared" si="12"/>
        <v>5</v>
      </c>
      <c r="DB11" s="68">
        <f t="shared" si="13"/>
        <v>0</v>
      </c>
      <c r="DC11" s="68">
        <f t="shared" si="14"/>
        <v>0</v>
      </c>
      <c r="DD11" s="68">
        <f t="shared" si="15"/>
        <v>0</v>
      </c>
      <c r="DE11" s="68">
        <f t="shared" si="16"/>
        <v>0</v>
      </c>
      <c r="DF11" s="65">
        <f t="shared" si="17"/>
        <v>2900202.2901099999</v>
      </c>
      <c r="DG11" s="65">
        <f t="shared" si="18"/>
        <v>6</v>
      </c>
      <c r="DH11" s="65">
        <v>0</v>
      </c>
      <c r="DI11" s="86" t="str">
        <f t="shared" si="19"/>
        <v/>
      </c>
      <c r="DJ11" s="94">
        <f t="shared" si="20"/>
        <v>0</v>
      </c>
      <c r="DK11" s="174">
        <f t="shared" si="34"/>
        <v>1</v>
      </c>
      <c r="DL11" s="65" t="str">
        <f t="shared" si="35"/>
        <v>1</v>
      </c>
      <c r="DM11" s="65" t="str">
        <f t="shared" si="21"/>
        <v>Chima R</v>
      </c>
      <c r="DN11" s="68">
        <f t="shared" si="36"/>
        <v>0</v>
      </c>
      <c r="DO11" s="65" t="str">
        <f t="shared" si="22"/>
        <v/>
      </c>
      <c r="DP11" s="68">
        <f t="shared" si="37"/>
        <v>5</v>
      </c>
      <c r="DQ11" s="65" t="str">
        <f t="shared" si="23"/>
        <v>Chima R</v>
      </c>
      <c r="DR11" s="68">
        <f t="shared" si="38"/>
        <v>0</v>
      </c>
      <c r="DS11" s="65" t="str">
        <f t="shared" si="24"/>
        <v/>
      </c>
    </row>
    <row r="12" spans="1:123" s="113" customFormat="1" x14ac:dyDescent="0.15">
      <c r="B12" s="129" t="s">
        <v>209</v>
      </c>
      <c r="C12" s="129" t="s">
        <v>210</v>
      </c>
      <c r="D12" s="180" t="s">
        <v>317</v>
      </c>
      <c r="E12" s="180" t="s">
        <v>610</v>
      </c>
      <c r="F12" s="180"/>
      <c r="G12" s="180"/>
      <c r="H12" s="180"/>
      <c r="I12" s="180"/>
      <c r="J12" s="180" t="s">
        <v>432</v>
      </c>
      <c r="K12" s="180"/>
      <c r="L12" s="180"/>
      <c r="M12" s="180" t="s">
        <v>490</v>
      </c>
      <c r="N12" s="180" t="s">
        <v>227</v>
      </c>
      <c r="O12" s="180"/>
      <c r="P12" s="180" t="s">
        <v>540</v>
      </c>
      <c r="Q12" s="180" t="s">
        <v>263</v>
      </c>
      <c r="R12" s="180"/>
      <c r="S12" s="180" t="s">
        <v>203</v>
      </c>
      <c r="T12" s="180" t="s">
        <v>253</v>
      </c>
      <c r="U12" s="180"/>
      <c r="V12" s="180"/>
      <c r="W12" s="180"/>
      <c r="X12" s="180"/>
      <c r="Y12" s="180"/>
      <c r="Z12" s="180"/>
      <c r="CE12" s="113" t="str">
        <f t="shared" si="25"/>
        <v>Clarkson M</v>
      </c>
      <c r="CF12" s="113">
        <f t="shared" si="26"/>
        <v>9</v>
      </c>
      <c r="CG12" s="113">
        <f t="shared" si="27"/>
        <v>4</v>
      </c>
      <c r="CH12" s="113">
        <f t="shared" si="28"/>
        <v>5</v>
      </c>
      <c r="CI12" s="113">
        <f t="shared" si="29"/>
        <v>1</v>
      </c>
      <c r="CJ12" s="113">
        <f t="shared" si="30"/>
        <v>-19</v>
      </c>
      <c r="CK12" s="181" t="str">
        <f t="shared" si="31"/>
        <v>19*</v>
      </c>
      <c r="CL12" s="113">
        <f t="shared" si="32"/>
        <v>36</v>
      </c>
      <c r="CM12" s="182">
        <f t="shared" si="33"/>
        <v>9</v>
      </c>
      <c r="CN12" s="113">
        <f t="shared" si="8"/>
        <v>25</v>
      </c>
      <c r="CO12" s="183">
        <f t="array" ref="CO12">SUM(IF(ISERR(FIND("*",D12:CD12)),0,1))</f>
        <v>0</v>
      </c>
      <c r="CP12" s="183">
        <f t="array" ref="CP12">SUM(IF(ISERR(FIND("+",D12:CD12)),0,1))</f>
        <v>0</v>
      </c>
      <c r="CQ12" s="113">
        <f t="shared" si="9"/>
        <v>1</v>
      </c>
      <c r="CR12" s="183">
        <f t="array" ref="CR12">SUM(IF(ISERR(FIND(CR$4,$D12:$CD12)),0,1))</f>
        <v>2</v>
      </c>
      <c r="CS12" s="183">
        <f t="array" ref="CS12">SUM(IF(ISERR(FIND(CS$4,$D12:$CD12)),0,1))</f>
        <v>1</v>
      </c>
      <c r="CT12" s="183">
        <f t="array" ref="CT12">SUM(IF(ISERR(FIND(CT$4,$D12:$CD12)),0,1))</f>
        <v>0</v>
      </c>
      <c r="CU12" s="183">
        <f t="array" ref="CU12">SUM(IF(ISERR(FIND(CU$4,$D12:$CD12)),0,1))</f>
        <v>1</v>
      </c>
      <c r="CV12" s="183">
        <f t="array" ref="CV12">SUM(IF(ISERR(FIND(CV$4,$D12:$CD12)),0,1))</f>
        <v>0</v>
      </c>
      <c r="CW12" s="183">
        <f t="array" ref="CW12">SUM(IF(ISERR(FIND(CW$4,$D12:$CD12)),0,1))</f>
        <v>0</v>
      </c>
      <c r="CX12" s="183">
        <f t="array" ref="CX12">SUM(IF(ISERR(FIND(CX$4,$D12:$CD12)),0,1))</f>
        <v>0</v>
      </c>
      <c r="CY12" s="183">
        <f t="shared" si="10"/>
        <v>0</v>
      </c>
      <c r="CZ12" s="183">
        <f t="shared" si="11"/>
        <v>5</v>
      </c>
      <c r="DA12" s="183">
        <f t="shared" si="12"/>
        <v>4</v>
      </c>
      <c r="DB12" s="183">
        <f t="shared" si="13"/>
        <v>0</v>
      </c>
      <c r="DC12" s="183">
        <f t="shared" si="14"/>
        <v>0</v>
      </c>
      <c r="DD12" s="183">
        <f t="shared" si="15"/>
        <v>0</v>
      </c>
      <c r="DE12" s="183">
        <f t="shared" si="16"/>
        <v>0</v>
      </c>
      <c r="DF12" s="113">
        <f t="shared" si="17"/>
        <v>900509.36011999997</v>
      </c>
      <c r="DG12" s="113">
        <f t="shared" si="18"/>
        <v>17</v>
      </c>
      <c r="DH12" s="113">
        <v>0</v>
      </c>
      <c r="DI12" s="184" t="str">
        <f t="shared" si="19"/>
        <v/>
      </c>
      <c r="DJ12" s="185">
        <f t="shared" si="20"/>
        <v>0.25</v>
      </c>
      <c r="DK12" s="186">
        <f t="shared" si="34"/>
        <v>5</v>
      </c>
      <c r="DL12" s="113" t="str">
        <f t="shared" si="35"/>
        <v>5</v>
      </c>
      <c r="DM12" s="113" t="str">
        <f t="shared" si="21"/>
        <v>Clarkson M</v>
      </c>
      <c r="DN12" s="183">
        <f t="shared" si="36"/>
        <v>0</v>
      </c>
      <c r="DO12" s="113" t="str">
        <f t="shared" si="22"/>
        <v/>
      </c>
      <c r="DP12" s="183">
        <f t="shared" si="37"/>
        <v>4</v>
      </c>
      <c r="DQ12" s="113" t="str">
        <f t="shared" si="23"/>
        <v>Clarkson M</v>
      </c>
      <c r="DR12" s="183">
        <f t="shared" si="38"/>
        <v>0</v>
      </c>
      <c r="DS12" s="113" t="str">
        <f t="shared" si="24"/>
        <v/>
      </c>
    </row>
    <row r="13" spans="1:123" x14ac:dyDescent="0.15">
      <c r="B13" s="118"/>
      <c r="C13" s="118" t="s">
        <v>548</v>
      </c>
      <c r="D13"/>
      <c r="E13"/>
      <c r="F13"/>
      <c r="G13"/>
      <c r="H13"/>
      <c r="I13"/>
      <c r="J13"/>
      <c r="K13"/>
      <c r="L13"/>
      <c r="M13"/>
      <c r="N13"/>
      <c r="O13"/>
      <c r="P13"/>
      <c r="Q13" t="s">
        <v>225</v>
      </c>
      <c r="R13"/>
      <c r="S13"/>
      <c r="T13"/>
      <c r="U13"/>
      <c r="V13"/>
      <c r="W13"/>
      <c r="X13"/>
      <c r="Y13"/>
      <c r="Z13"/>
      <c r="CE13" s="65" t="str">
        <f t="shared" ref="CE13" si="39">C13</f>
        <v>Crawford S</v>
      </c>
      <c r="CF13" s="65">
        <f t="shared" ref="CF13" si="40">BatSplit(D13:CD13,MatchesPlayed)</f>
        <v>1</v>
      </c>
      <c r="CG13" s="65">
        <f t="shared" ref="CG13" si="41">CF13-CH13</f>
        <v>1</v>
      </c>
      <c r="CH13" s="65">
        <f t="shared" ref="CH13" si="42">BatSplit(D13:CD13,InnsBattedIn)</f>
        <v>0</v>
      </c>
      <c r="CI13" s="65">
        <f t="shared" ref="CI13" si="43">BatSplit(D13:CD13,NotOuts)</f>
        <v>0</v>
      </c>
      <c r="CJ13" s="65">
        <f t="shared" ref="CJ13" si="44">BatSplit(D13:CD13,HighestScore)</f>
        <v>0</v>
      </c>
      <c r="CK13" s="69">
        <f t="shared" ref="CK13" si="45">IF(CJ13&lt;0,-CJ13&amp;"*",CJ13)</f>
        <v>0</v>
      </c>
      <c r="CL13" s="65">
        <f t="shared" ref="CL13" si="46">BatSplit(D13:CD13,RunsScored)</f>
        <v>0</v>
      </c>
      <c r="CM13" s="67">
        <f t="shared" ref="CM13" si="47">IF(CH13=CI13,0,CL13/(CH13-CI13))</f>
        <v>0</v>
      </c>
      <c r="CN13" s="65">
        <f t="shared" si="8"/>
        <v>0</v>
      </c>
      <c r="CO13" s="68">
        <f t="array" ref="CO13">SUM(IF(ISERR(FIND("*",D13:CD13)),0,1))</f>
        <v>0</v>
      </c>
      <c r="CP13" s="68">
        <f t="array" ref="CP13">SUM(IF(ISERR(FIND("+",D13:CD13)),0,1))</f>
        <v>0</v>
      </c>
      <c r="CQ13" s="65">
        <f t="shared" si="9"/>
        <v>0</v>
      </c>
      <c r="CR13" s="68">
        <f t="array" ref="CR13">SUM(IF(ISERR(FIND(CR$4,$D13:$CD13)),0,1))</f>
        <v>0</v>
      </c>
      <c r="CS13" s="68">
        <f t="array" ref="CS13">SUM(IF(ISERR(FIND(CS$4,$D13:$CD13)),0,1))</f>
        <v>0</v>
      </c>
      <c r="CT13" s="68">
        <f t="array" ref="CT13">SUM(IF(ISERR(FIND(CT$4,$D13:$CD13)),0,1))</f>
        <v>0</v>
      </c>
      <c r="CU13" s="68">
        <f t="array" ref="CU13">SUM(IF(ISERR(FIND(CU$4,$D13:$CD13)),0,1))</f>
        <v>0</v>
      </c>
      <c r="CV13" s="68">
        <f t="array" ref="CV13">SUM(IF(ISERR(FIND(CV$4,$D13:$CD13)),0,1))</f>
        <v>0</v>
      </c>
      <c r="CW13" s="68">
        <f t="array" ref="CW13">SUM(IF(ISERR(FIND(CW$4,$D13:$CD13)),0,1))</f>
        <v>0</v>
      </c>
      <c r="CX13" s="68">
        <f t="array" ref="CX13">SUM(IF(ISERR(FIND(CX$4,$D13:$CD13)),0,1))</f>
        <v>0</v>
      </c>
      <c r="CY13" s="68">
        <f t="shared" si="10"/>
        <v>0</v>
      </c>
      <c r="CZ13" s="68">
        <f t="shared" si="11"/>
        <v>0</v>
      </c>
      <c r="DA13" s="68">
        <f t="shared" si="12"/>
        <v>0</v>
      </c>
      <c r="DB13" s="68">
        <f t="shared" si="13"/>
        <v>0</v>
      </c>
      <c r="DC13" s="68">
        <f t="shared" si="14"/>
        <v>0</v>
      </c>
      <c r="DD13" s="68">
        <f t="shared" si="15"/>
        <v>0</v>
      </c>
      <c r="DE13" s="68">
        <f t="shared" si="16"/>
        <v>0</v>
      </c>
      <c r="DF13" s="65">
        <f t="shared" si="17"/>
        <v>1.00013</v>
      </c>
      <c r="DG13" s="65">
        <f t="shared" si="18"/>
        <v>36</v>
      </c>
      <c r="DH13" s="65">
        <v>0</v>
      </c>
      <c r="DI13" s="86" t="str">
        <f t="shared" si="19"/>
        <v/>
      </c>
      <c r="DJ13" s="94" t="e">
        <f t="shared" si="20"/>
        <v>#DIV/0!</v>
      </c>
      <c r="DK13" s="174">
        <f t="shared" ref="DK13" si="48">CZ13</f>
        <v>0</v>
      </c>
      <c r="DL13" s="65" t="str">
        <f t="shared" ref="DL13" si="49">IF(CZ13=0,"",CZ13&amp;IF(DD13=0,""," ("&amp;DD13&amp;")"))</f>
        <v/>
      </c>
      <c r="DM13" s="65" t="str">
        <f t="shared" si="21"/>
        <v/>
      </c>
      <c r="DN13" s="68">
        <f t="shared" ref="DN13" si="50">DB13</f>
        <v>0</v>
      </c>
      <c r="DO13" s="65" t="str">
        <f t="shared" si="22"/>
        <v/>
      </c>
      <c r="DP13" s="68">
        <f t="shared" ref="DP13" si="51">DA13</f>
        <v>0</v>
      </c>
      <c r="DQ13" s="65" t="str">
        <f t="shared" si="23"/>
        <v/>
      </c>
      <c r="DR13" s="68">
        <f t="shared" ref="DR13" si="52">DE13</f>
        <v>0</v>
      </c>
      <c r="DS13" s="65" t="str">
        <f t="shared" si="24"/>
        <v/>
      </c>
    </row>
    <row r="14" spans="1:123" x14ac:dyDescent="0.15">
      <c r="B14" s="118" t="s">
        <v>236</v>
      </c>
      <c r="C14" s="118" t="s">
        <v>235</v>
      </c>
      <c r="G14" s="118"/>
      <c r="K14" s="118" t="s">
        <v>447</v>
      </c>
      <c r="L14" t="s">
        <v>298</v>
      </c>
      <c r="M14"/>
      <c r="N14" t="s">
        <v>502</v>
      </c>
      <c r="O14"/>
      <c r="P14"/>
      <c r="Q14" t="s">
        <v>287</v>
      </c>
      <c r="R14"/>
      <c r="S14"/>
      <c r="T14"/>
      <c r="U14"/>
      <c r="V14"/>
      <c r="W14" s="118"/>
      <c r="Y14"/>
      <c r="CE14" s="65" t="str">
        <f t="shared" si="25"/>
        <v>Driver S</v>
      </c>
      <c r="CF14" s="65">
        <f t="shared" si="26"/>
        <v>4</v>
      </c>
      <c r="CG14" s="65">
        <f t="shared" si="27"/>
        <v>1</v>
      </c>
      <c r="CH14" s="65">
        <f t="shared" si="28"/>
        <v>3</v>
      </c>
      <c r="CI14" s="65">
        <f t="shared" si="29"/>
        <v>0</v>
      </c>
      <c r="CJ14" s="65">
        <f t="shared" si="30"/>
        <v>16</v>
      </c>
      <c r="CK14" s="69">
        <f t="shared" si="31"/>
        <v>16</v>
      </c>
      <c r="CL14" s="65">
        <f t="shared" si="32"/>
        <v>41</v>
      </c>
      <c r="CM14" s="67">
        <f t="shared" si="33"/>
        <v>13.666666666666666</v>
      </c>
      <c r="CN14" s="65">
        <f t="shared" si="8"/>
        <v>5</v>
      </c>
      <c r="CO14" s="68">
        <f t="array" ref="CO14">SUM(IF(ISERR(FIND("*",D14:CD14)),0,1))</f>
        <v>0</v>
      </c>
      <c r="CP14" s="68">
        <f t="array" ref="CP14">SUM(IF(ISERR(FIND("+",D14:CD14)),0,1))</f>
        <v>0</v>
      </c>
      <c r="CQ14" s="65">
        <f t="shared" si="9"/>
        <v>0</v>
      </c>
      <c r="CR14" s="68">
        <f t="array" ref="CR14">SUM(IF(ISERR(FIND(CR$4,$D14:$CD14)),0,1))</f>
        <v>2</v>
      </c>
      <c r="CS14" s="68">
        <f t="array" ref="CS14">SUM(IF(ISERR(FIND(CS$4,$D14:$CD14)),0,1))</f>
        <v>1</v>
      </c>
      <c r="CT14" s="68">
        <f t="array" ref="CT14">SUM(IF(ISERR(FIND(CT$4,$D14:$CD14)),0,1))</f>
        <v>0</v>
      </c>
      <c r="CU14" s="68">
        <f t="array" ref="CU14">SUM(IF(ISERR(FIND(CU$4,$D14:$CD14)),0,1))</f>
        <v>0</v>
      </c>
      <c r="CV14" s="68">
        <f t="array" ref="CV14">SUM(IF(ISERR(FIND(CV$4,$D14:$CD14)),0,1))</f>
        <v>0</v>
      </c>
      <c r="CW14" s="68">
        <f t="array" ref="CW14">SUM(IF(ISERR(FIND(CW$4,$D14:$CD14)),0,1))</f>
        <v>0</v>
      </c>
      <c r="CX14" s="68">
        <f t="array" ref="CX14">SUM(IF(ISERR(FIND(CX$4,$D14:$CD14)),0,1))</f>
        <v>0</v>
      </c>
      <c r="CY14" s="68">
        <f t="shared" si="10"/>
        <v>0</v>
      </c>
      <c r="CZ14" s="68">
        <f t="shared" si="11"/>
        <v>1</v>
      </c>
      <c r="DA14" s="68">
        <f t="shared" si="12"/>
        <v>5</v>
      </c>
      <c r="DB14" s="68">
        <f t="shared" si="13"/>
        <v>0</v>
      </c>
      <c r="DC14" s="68">
        <f t="shared" si="14"/>
        <v>0</v>
      </c>
      <c r="DD14" s="68">
        <f t="shared" si="15"/>
        <v>0</v>
      </c>
      <c r="DE14" s="68">
        <f t="shared" si="16"/>
        <v>0</v>
      </c>
      <c r="DF14" s="65">
        <f t="shared" si="17"/>
        <v>1367304.4101399998</v>
      </c>
      <c r="DG14" s="65">
        <f t="shared" si="18"/>
        <v>14</v>
      </c>
      <c r="DH14" s="65">
        <v>0</v>
      </c>
      <c r="DI14" s="86" t="str">
        <f t="shared" si="19"/>
        <v/>
      </c>
      <c r="DJ14" s="94">
        <f t="shared" si="20"/>
        <v>0</v>
      </c>
      <c r="DK14" s="174">
        <f t="shared" si="34"/>
        <v>1</v>
      </c>
      <c r="DL14" s="65" t="str">
        <f t="shared" si="35"/>
        <v>1</v>
      </c>
      <c r="DM14" s="65" t="str">
        <f t="shared" si="21"/>
        <v>Driver S</v>
      </c>
      <c r="DN14" s="68">
        <f t="shared" si="36"/>
        <v>0</v>
      </c>
      <c r="DO14" s="65" t="str">
        <f t="shared" si="22"/>
        <v/>
      </c>
      <c r="DP14" s="68">
        <f t="shared" si="37"/>
        <v>5</v>
      </c>
      <c r="DQ14" s="65" t="str">
        <f t="shared" si="23"/>
        <v>Driver S</v>
      </c>
      <c r="DR14" s="68">
        <f t="shared" si="38"/>
        <v>0</v>
      </c>
      <c r="DS14" s="65" t="str">
        <f t="shared" si="24"/>
        <v/>
      </c>
    </row>
    <row r="15" spans="1:123" x14ac:dyDescent="0.15">
      <c r="B15" s="65" t="s">
        <v>163</v>
      </c>
      <c r="C15" s="65" t="s">
        <v>164</v>
      </c>
      <c r="D15" s="118"/>
      <c r="E15" s="118"/>
      <c r="F15" s="118"/>
      <c r="G15" s="118"/>
      <c r="H15" s="118"/>
      <c r="I15" s="118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CE15" s="65" t="str">
        <f t="shared" si="25"/>
        <v>Edghill C</v>
      </c>
      <c r="CF15" s="65">
        <f t="shared" si="26"/>
        <v>0</v>
      </c>
      <c r="CG15" s="65">
        <f t="shared" si="27"/>
        <v>0</v>
      </c>
      <c r="CH15" s="65">
        <f t="shared" si="28"/>
        <v>0</v>
      </c>
      <c r="CI15" s="65">
        <f t="shared" si="29"/>
        <v>0</v>
      </c>
      <c r="CJ15" s="65">
        <f t="shared" si="30"/>
        <v>0</v>
      </c>
      <c r="CK15" s="69">
        <f t="shared" si="31"/>
        <v>0</v>
      </c>
      <c r="CL15" s="65">
        <f t="shared" si="32"/>
        <v>0</v>
      </c>
      <c r="CM15" s="67">
        <f t="shared" si="33"/>
        <v>0</v>
      </c>
      <c r="CN15" s="65">
        <f t="shared" si="8"/>
        <v>0</v>
      </c>
      <c r="CO15" s="68">
        <f t="array" ref="CO15">SUM(IF(ISERR(FIND("*",D15:CD15)),0,1))</f>
        <v>0</v>
      </c>
      <c r="CP15" s="68">
        <f t="array" ref="CP15">SUM(IF(ISERR(FIND("+",D15:CD15)),0,1))</f>
        <v>0</v>
      </c>
      <c r="CQ15" s="65">
        <f t="shared" si="9"/>
        <v>0</v>
      </c>
      <c r="CR15" s="68">
        <f t="array" ref="CR15">SUM(IF(ISERR(FIND(CR$4,$D15:$CD15)),0,1))</f>
        <v>0</v>
      </c>
      <c r="CS15" s="68">
        <f t="array" ref="CS15">SUM(IF(ISERR(FIND(CS$4,$D15:$CD15)),0,1))</f>
        <v>0</v>
      </c>
      <c r="CT15" s="68">
        <f t="array" ref="CT15">SUM(IF(ISERR(FIND(CT$4,$D15:$CD15)),0,1))</f>
        <v>0</v>
      </c>
      <c r="CU15" s="68">
        <f t="array" ref="CU15">SUM(IF(ISERR(FIND(CU$4,$D15:$CD15)),0,1))</f>
        <v>0</v>
      </c>
      <c r="CV15" s="68">
        <f t="array" ref="CV15">SUM(IF(ISERR(FIND(CV$4,$D15:$CD15)),0,1))</f>
        <v>0</v>
      </c>
      <c r="CW15" s="68">
        <f t="array" ref="CW15">SUM(IF(ISERR(FIND(CW$4,$D15:$CD15)),0,1))</f>
        <v>0</v>
      </c>
      <c r="CX15" s="68">
        <f t="array" ref="CX15">SUM(IF(ISERR(FIND(CX$4,$D15:$CD15)),0,1))</f>
        <v>0</v>
      </c>
      <c r="CY15" s="68">
        <f t="shared" si="10"/>
        <v>0</v>
      </c>
      <c r="CZ15" s="68">
        <f t="shared" si="11"/>
        <v>0</v>
      </c>
      <c r="DA15" s="68">
        <f t="shared" si="12"/>
        <v>0</v>
      </c>
      <c r="DB15" s="68">
        <f t="shared" si="13"/>
        <v>0</v>
      </c>
      <c r="DC15" s="68">
        <f t="shared" si="14"/>
        <v>0</v>
      </c>
      <c r="DD15" s="68">
        <f t="shared" si="15"/>
        <v>0</v>
      </c>
      <c r="DE15" s="68">
        <f t="shared" si="16"/>
        <v>0</v>
      </c>
      <c r="DF15" s="65">
        <f t="shared" si="17"/>
        <v>1.4999999999999999E-4</v>
      </c>
      <c r="DG15" s="65">
        <f t="shared" si="18"/>
        <v>41</v>
      </c>
      <c r="DH15" s="65">
        <v>0</v>
      </c>
      <c r="DI15" s="86" t="str">
        <f t="shared" si="19"/>
        <v/>
      </c>
      <c r="DJ15" s="94" t="e">
        <f t="shared" si="20"/>
        <v>#DIV/0!</v>
      </c>
      <c r="DK15" s="174">
        <f t="shared" si="34"/>
        <v>0</v>
      </c>
      <c r="DL15" s="65" t="str">
        <f t="shared" si="35"/>
        <v/>
      </c>
      <c r="DM15" s="65" t="str">
        <f t="shared" si="21"/>
        <v/>
      </c>
      <c r="DN15" s="68">
        <f t="shared" si="36"/>
        <v>0</v>
      </c>
      <c r="DO15" s="65" t="str">
        <f t="shared" si="22"/>
        <v/>
      </c>
      <c r="DP15" s="68">
        <f t="shared" si="37"/>
        <v>0</v>
      </c>
      <c r="DQ15" s="65" t="str">
        <f t="shared" si="23"/>
        <v/>
      </c>
      <c r="DR15" s="68">
        <f t="shared" si="38"/>
        <v>0</v>
      </c>
      <c r="DS15" s="65" t="str">
        <f t="shared" si="24"/>
        <v/>
      </c>
    </row>
    <row r="16" spans="1:123" x14ac:dyDescent="0.15">
      <c r="B16" s="118" t="s">
        <v>373</v>
      </c>
      <c r="C16" s="118" t="s">
        <v>374</v>
      </c>
      <c r="D16" s="118"/>
      <c r="E16" s="118"/>
      <c r="F16" s="118"/>
      <c r="G16" s="118" t="s">
        <v>375</v>
      </c>
      <c r="H16" s="118"/>
      <c r="I16" s="118" t="s">
        <v>408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CE16" s="65" t="str">
        <f t="shared" ref="CE16" si="53">C16</f>
        <v>Foster E</v>
      </c>
      <c r="CF16" s="65">
        <f t="shared" ref="CF16" si="54">BatSplit(D16:CD16,MatchesPlayed)</f>
        <v>2</v>
      </c>
      <c r="CG16" s="65">
        <f t="shared" ref="CG16" si="55">CF16-CH16</f>
        <v>0</v>
      </c>
      <c r="CH16" s="65">
        <f t="shared" ref="CH16" si="56">BatSplit(D16:CD16,InnsBattedIn)</f>
        <v>2</v>
      </c>
      <c r="CI16" s="65">
        <f t="shared" ref="CI16" si="57">BatSplit(D16:CD16,NotOuts)</f>
        <v>0</v>
      </c>
      <c r="CJ16" s="65">
        <f t="shared" ref="CJ16" si="58">BatSplit(D16:CD16,HighestScore)</f>
        <v>28</v>
      </c>
      <c r="CK16" s="69">
        <f t="shared" ref="CK16" si="59">IF(CJ16&lt;0,-CJ16&amp;"*",CJ16)</f>
        <v>28</v>
      </c>
      <c r="CL16" s="65">
        <f t="shared" ref="CL16" si="60">BatSplit(D16:CD16,RunsScored)</f>
        <v>29</v>
      </c>
      <c r="CM16" s="67">
        <f t="shared" ref="CM16" si="61">IF(CH16=CI16,0,CL16/(CH16-CI16))</f>
        <v>14.5</v>
      </c>
      <c r="CN16" s="65">
        <f t="shared" si="8"/>
        <v>10</v>
      </c>
      <c r="CO16" s="68">
        <f t="array" ref="CO16">SUM(IF(ISERR(FIND("*",D16:CD16)),0,1))</f>
        <v>0</v>
      </c>
      <c r="CP16" s="68">
        <f t="array" ref="CP16">SUM(IF(ISERR(FIND("+",D16:CD16)),0,1))</f>
        <v>0</v>
      </c>
      <c r="CQ16" s="65">
        <f t="shared" si="9"/>
        <v>0</v>
      </c>
      <c r="CR16" s="68">
        <f t="array" ref="CR16">SUM(IF(ISERR(FIND(CR$4,$D16:$CD16)),0,1))</f>
        <v>0</v>
      </c>
      <c r="CS16" s="68">
        <f t="array" ref="CS16">SUM(IF(ISERR(FIND(CS$4,$D16:$CD16)),0,1))</f>
        <v>2</v>
      </c>
      <c r="CT16" s="68">
        <f t="array" ref="CT16">SUM(IF(ISERR(FIND(CT$4,$D16:$CD16)),0,1))</f>
        <v>0</v>
      </c>
      <c r="CU16" s="68">
        <f t="array" ref="CU16">SUM(IF(ISERR(FIND(CU$4,$D16:$CD16)),0,1))</f>
        <v>0</v>
      </c>
      <c r="CV16" s="68">
        <f t="array" ref="CV16">SUM(IF(ISERR(FIND(CV$4,$D16:$CD16)),0,1))</f>
        <v>0</v>
      </c>
      <c r="CW16" s="68">
        <f t="array" ref="CW16">SUM(IF(ISERR(FIND(CW$4,$D16:$CD16)),0,1))</f>
        <v>0</v>
      </c>
      <c r="CX16" s="68">
        <f t="array" ref="CX16">SUM(IF(ISERR(FIND(CX$4,$D16:$CD16)),0,1))</f>
        <v>0</v>
      </c>
      <c r="CY16" s="68">
        <f t="shared" si="10"/>
        <v>0</v>
      </c>
      <c r="CZ16" s="68">
        <f t="shared" si="11"/>
        <v>2</v>
      </c>
      <c r="DA16" s="68">
        <f t="shared" si="12"/>
        <v>4</v>
      </c>
      <c r="DB16" s="68">
        <f t="shared" si="13"/>
        <v>0</v>
      </c>
      <c r="DC16" s="68">
        <f t="shared" si="14"/>
        <v>0</v>
      </c>
      <c r="DD16" s="68">
        <f t="shared" si="15"/>
        <v>0</v>
      </c>
      <c r="DE16" s="68">
        <f t="shared" si="16"/>
        <v>1</v>
      </c>
      <c r="DF16" s="65">
        <f t="shared" si="17"/>
        <v>1450202.2901600001</v>
      </c>
      <c r="DG16" s="65">
        <f t="shared" si="18"/>
        <v>12</v>
      </c>
      <c r="DH16" s="65">
        <v>0</v>
      </c>
      <c r="DI16" s="86" t="str">
        <f t="shared" si="19"/>
        <v/>
      </c>
      <c r="DJ16" s="94">
        <f t="shared" si="20"/>
        <v>0</v>
      </c>
      <c r="DK16" s="174">
        <f t="shared" ref="DK16" si="62">CZ16</f>
        <v>2</v>
      </c>
      <c r="DL16" s="65" t="str">
        <f t="shared" ref="DL16" si="63">IF(CZ16=0,"",CZ16&amp;IF(DD16=0,""," ("&amp;DD16&amp;")"))</f>
        <v>2</v>
      </c>
      <c r="DM16" s="65" t="str">
        <f t="shared" si="21"/>
        <v>Foster E</v>
      </c>
      <c r="DN16" s="68">
        <f t="shared" ref="DN16" si="64">DB16</f>
        <v>0</v>
      </c>
      <c r="DO16" s="65" t="str">
        <f t="shared" si="22"/>
        <v/>
      </c>
      <c r="DP16" s="68">
        <f t="shared" ref="DP16" si="65">DA16</f>
        <v>4</v>
      </c>
      <c r="DQ16" s="65" t="str">
        <f t="shared" si="23"/>
        <v>Foster E</v>
      </c>
      <c r="DR16" s="68">
        <f t="shared" ref="DR16" si="66">DE16</f>
        <v>1</v>
      </c>
      <c r="DS16" s="65" t="str">
        <f t="shared" si="24"/>
        <v>Foster E</v>
      </c>
    </row>
    <row r="17" spans="2:123" x14ac:dyDescent="0.15">
      <c r="C17" s="118" t="s">
        <v>245</v>
      </c>
      <c r="D17" s="118" t="s">
        <v>308</v>
      </c>
      <c r="E17" s="118" t="s">
        <v>334</v>
      </c>
      <c r="F17" s="118"/>
      <c r="G17" s="118"/>
      <c r="H17" s="118"/>
      <c r="I17" s="118"/>
      <c r="J17" s="118" t="s">
        <v>431</v>
      </c>
      <c r="K17"/>
      <c r="L17"/>
      <c r="M17" t="s">
        <v>486</v>
      </c>
      <c r="N17"/>
      <c r="O17" t="s">
        <v>522</v>
      </c>
      <c r="P17"/>
      <c r="Q17"/>
      <c r="R17"/>
      <c r="S17"/>
      <c r="T17" t="s">
        <v>596</v>
      </c>
      <c r="U17"/>
      <c r="V17"/>
      <c r="W17"/>
      <c r="X17"/>
      <c r="Y17"/>
      <c r="Z17"/>
      <c r="CE17" s="65" t="str">
        <f t="shared" si="25"/>
        <v>Foxworthy P</v>
      </c>
      <c r="CF17" s="65">
        <f t="shared" si="26"/>
        <v>6</v>
      </c>
      <c r="CG17" s="65">
        <f t="shared" si="27"/>
        <v>0</v>
      </c>
      <c r="CH17" s="65">
        <f t="shared" si="28"/>
        <v>6</v>
      </c>
      <c r="CI17" s="65">
        <f t="shared" si="29"/>
        <v>1</v>
      </c>
      <c r="CJ17" s="65">
        <f t="shared" si="30"/>
        <v>18</v>
      </c>
      <c r="CK17" s="69">
        <f t="shared" si="31"/>
        <v>18</v>
      </c>
      <c r="CL17" s="65">
        <f t="shared" si="32"/>
        <v>44</v>
      </c>
      <c r="CM17" s="67">
        <f t="shared" si="33"/>
        <v>8.8000000000000007</v>
      </c>
      <c r="CN17" s="65">
        <f t="shared" si="8"/>
        <v>0</v>
      </c>
      <c r="CO17" s="68">
        <f t="array" ref="CO17">SUM(IF(ISERR(FIND("*",D17:CD17)),0,1))</f>
        <v>0</v>
      </c>
      <c r="CP17" s="68">
        <f t="array" ref="CP17">SUM(IF(ISERR(FIND("+",D17:CD17)),0,1))</f>
        <v>0</v>
      </c>
      <c r="CQ17" s="65">
        <f t="shared" si="9"/>
        <v>0</v>
      </c>
      <c r="CR17" s="68">
        <f t="array" ref="CR17">SUM(IF(ISERR(FIND(CR$4,$D17:$CD17)),0,1))</f>
        <v>0</v>
      </c>
      <c r="CS17" s="68">
        <f t="array" ref="CS17">SUM(IF(ISERR(FIND(CS$4,$D17:$CD17)),0,1))</f>
        <v>3</v>
      </c>
      <c r="CT17" s="68">
        <f t="array" ref="CT17">SUM(IF(ISERR(FIND(CT$4,$D17:$CD17)),0,1))</f>
        <v>0</v>
      </c>
      <c r="CU17" s="68">
        <f t="array" ref="CU17">SUM(IF(ISERR(FIND(CU$4,$D17:$CD17)),0,1))</f>
        <v>0</v>
      </c>
      <c r="CV17" s="68">
        <f t="array" ref="CV17">SUM(IF(ISERR(FIND(CV$4,$D17:$CD17)),0,1))</f>
        <v>2</v>
      </c>
      <c r="CW17" s="68">
        <f t="array" ref="CW17">SUM(IF(ISERR(FIND(CW$4,$D17:$CD17)),0,1))</f>
        <v>0</v>
      </c>
      <c r="CX17" s="68">
        <f t="array" ref="CX17">SUM(IF(ISERR(FIND(CX$4,$D17:$CD17)),0,1))</f>
        <v>0</v>
      </c>
      <c r="CY17" s="68">
        <f t="shared" si="10"/>
        <v>0</v>
      </c>
      <c r="CZ17" s="68">
        <f t="shared" si="11"/>
        <v>0</v>
      </c>
      <c r="DA17" s="68">
        <f t="shared" si="12"/>
        <v>7</v>
      </c>
      <c r="DB17" s="68">
        <f t="shared" si="13"/>
        <v>0</v>
      </c>
      <c r="DC17" s="68">
        <f t="shared" si="14"/>
        <v>0</v>
      </c>
      <c r="DD17" s="68">
        <f t="shared" si="15"/>
        <v>0</v>
      </c>
      <c r="DE17" s="68">
        <f t="shared" si="16"/>
        <v>0</v>
      </c>
      <c r="DF17" s="65">
        <f t="shared" si="17"/>
        <v>880606.44017000007</v>
      </c>
      <c r="DG17" s="65">
        <f t="shared" si="18"/>
        <v>18</v>
      </c>
      <c r="DH17" s="65">
        <v>0</v>
      </c>
      <c r="DI17" s="86" t="str">
        <f t="shared" si="19"/>
        <v/>
      </c>
      <c r="DJ17" s="94">
        <f t="shared" si="20"/>
        <v>0</v>
      </c>
      <c r="DK17" s="174">
        <f t="shared" si="34"/>
        <v>0</v>
      </c>
      <c r="DL17" s="65" t="str">
        <f t="shared" si="35"/>
        <v/>
      </c>
      <c r="DM17" s="65" t="str">
        <f t="shared" si="21"/>
        <v/>
      </c>
      <c r="DN17" s="68">
        <f t="shared" si="36"/>
        <v>0</v>
      </c>
      <c r="DO17" s="65" t="str">
        <f t="shared" si="22"/>
        <v/>
      </c>
      <c r="DP17" s="68">
        <f t="shared" si="37"/>
        <v>7</v>
      </c>
      <c r="DQ17" s="65" t="str">
        <f t="shared" si="23"/>
        <v>Foxworthy P</v>
      </c>
      <c r="DR17" s="68">
        <f t="shared" si="38"/>
        <v>0</v>
      </c>
      <c r="DS17" s="65" t="str">
        <f t="shared" si="24"/>
        <v/>
      </c>
    </row>
    <row r="18" spans="2:123" x14ac:dyDescent="0.15">
      <c r="B18" s="118" t="s">
        <v>296</v>
      </c>
      <c r="C18" s="118" t="s">
        <v>294</v>
      </c>
      <c r="D18" s="118"/>
      <c r="E18" s="118"/>
      <c r="F18" s="118" t="s">
        <v>285</v>
      </c>
      <c r="G18" s="118"/>
      <c r="H18" s="118" t="s">
        <v>394</v>
      </c>
      <c r="I18" s="118"/>
      <c r="J18"/>
      <c r="K18"/>
      <c r="L18"/>
      <c r="M18"/>
      <c r="N18"/>
      <c r="O18"/>
      <c r="P18"/>
      <c r="Q18" t="s">
        <v>546</v>
      </c>
      <c r="R18" s="118" t="s">
        <v>559</v>
      </c>
      <c r="S18"/>
      <c r="T18"/>
      <c r="U18"/>
      <c r="V18"/>
      <c r="W18"/>
      <c r="X18"/>
      <c r="Y18"/>
      <c r="Z18"/>
      <c r="CE18" s="65" t="str">
        <f t="shared" si="25"/>
        <v>Greenall D</v>
      </c>
      <c r="CF18" s="65">
        <f t="shared" si="26"/>
        <v>4</v>
      </c>
      <c r="CG18" s="65">
        <f t="shared" si="27"/>
        <v>0</v>
      </c>
      <c r="CH18" s="65">
        <f t="shared" si="28"/>
        <v>4</v>
      </c>
      <c r="CI18" s="65">
        <f t="shared" si="29"/>
        <v>1</v>
      </c>
      <c r="CJ18" s="65">
        <f t="shared" si="30"/>
        <v>-80</v>
      </c>
      <c r="CK18" s="69" t="str">
        <f t="shared" si="31"/>
        <v>80*</v>
      </c>
      <c r="CL18" s="65">
        <f t="shared" si="32"/>
        <v>151</v>
      </c>
      <c r="CM18" s="67">
        <f t="shared" si="33"/>
        <v>50.333333333333336</v>
      </c>
      <c r="CN18" s="65">
        <f t="shared" si="8"/>
        <v>0</v>
      </c>
      <c r="CO18" s="68">
        <f t="array" ref="CO18">SUM(IF(ISERR(FIND("*",D18:CD18)),0,1))</f>
        <v>1</v>
      </c>
      <c r="CP18" s="68">
        <f t="array" ref="CP18">SUM(IF(ISERR(FIND("+",D18:CD18)),0,1))</f>
        <v>3</v>
      </c>
      <c r="CQ18" s="65">
        <f t="shared" si="9"/>
        <v>0</v>
      </c>
      <c r="CR18" s="68">
        <f t="array" ref="CR18">SUM(IF(ISERR(FIND(CR$4,$D18:$CD18)),0,1))</f>
        <v>0</v>
      </c>
      <c r="CS18" s="68">
        <f t="array" ref="CS18">SUM(IF(ISERR(FIND(CS$4,$D18:$CD18)),0,1))</f>
        <v>3</v>
      </c>
      <c r="CT18" s="68">
        <f t="array" ref="CT18">SUM(IF(ISERR(FIND(CT$4,$D18:$CD18)),0,1))</f>
        <v>0</v>
      </c>
      <c r="CU18" s="68">
        <f t="array" ref="CU18">SUM(IF(ISERR(FIND(CU$4,$D18:$CD18)),0,1))</f>
        <v>0</v>
      </c>
      <c r="CV18" s="68">
        <f t="array" ref="CV18">SUM(IF(ISERR(FIND(CV$4,$D18:$CD18)),0,1))</f>
        <v>0</v>
      </c>
      <c r="CW18" s="68">
        <f t="array" ref="CW18">SUM(IF(ISERR(FIND(CW$4,$D18:$CD18)),0,1))</f>
        <v>0</v>
      </c>
      <c r="CX18" s="68">
        <f t="array" ref="CX18">SUM(IF(ISERR(FIND(CX$4,$D18:$CD18)),0,1))</f>
        <v>0</v>
      </c>
      <c r="CY18" s="68">
        <f t="shared" si="10"/>
        <v>2</v>
      </c>
      <c r="CZ18" s="68">
        <f t="shared" si="11"/>
        <v>1</v>
      </c>
      <c r="DA18" s="68">
        <f t="shared" si="12"/>
        <v>18</v>
      </c>
      <c r="DB18" s="68">
        <f t="shared" si="13"/>
        <v>4</v>
      </c>
      <c r="DC18" s="68">
        <f t="shared" si="14"/>
        <v>0</v>
      </c>
      <c r="DD18" s="68">
        <f t="shared" si="15"/>
        <v>1</v>
      </c>
      <c r="DE18" s="68">
        <f t="shared" si="16"/>
        <v>2</v>
      </c>
      <c r="DF18" s="65">
        <f t="shared" si="17"/>
        <v>5033405.5101800002</v>
      </c>
      <c r="DG18" s="65">
        <f t="shared" si="18"/>
        <v>3</v>
      </c>
      <c r="DH18" s="65">
        <v>0</v>
      </c>
      <c r="DI18" s="86">
        <f t="shared" si="19"/>
        <v>0.63576158940397354</v>
      </c>
      <c r="DJ18" s="94">
        <f t="shared" si="20"/>
        <v>0</v>
      </c>
      <c r="DK18" s="174">
        <f t="shared" si="34"/>
        <v>1</v>
      </c>
      <c r="DL18" s="65" t="str">
        <f t="shared" si="35"/>
        <v>1 (1)</v>
      </c>
      <c r="DM18" s="65" t="str">
        <f t="shared" si="21"/>
        <v>Greenall D</v>
      </c>
      <c r="DN18" s="68">
        <f t="shared" si="36"/>
        <v>4</v>
      </c>
      <c r="DO18" s="65" t="str">
        <f t="shared" si="22"/>
        <v>Greenall D</v>
      </c>
      <c r="DP18" s="68">
        <f t="shared" si="37"/>
        <v>18</v>
      </c>
      <c r="DQ18" s="65" t="str">
        <f t="shared" si="23"/>
        <v>Greenall D</v>
      </c>
      <c r="DR18" s="68">
        <f t="shared" si="38"/>
        <v>2</v>
      </c>
      <c r="DS18" s="65" t="str">
        <f t="shared" si="24"/>
        <v>Greenall D</v>
      </c>
    </row>
    <row r="19" spans="2:123" x14ac:dyDescent="0.15">
      <c r="B19" s="118" t="s">
        <v>434</v>
      </c>
      <c r="C19" s="118" t="s">
        <v>435</v>
      </c>
      <c r="D19" s="118"/>
      <c r="E19" s="118"/>
      <c r="F19" s="118"/>
      <c r="G19" s="118"/>
      <c r="H19" s="118"/>
      <c r="I19" s="118"/>
      <c r="J19" t="s">
        <v>382</v>
      </c>
      <c r="K19"/>
      <c r="L19"/>
      <c r="M19"/>
      <c r="N19"/>
      <c r="O19"/>
      <c r="P19"/>
      <c r="Q19"/>
      <c r="S19"/>
      <c r="T19"/>
      <c r="U19"/>
      <c r="V19"/>
      <c r="W19"/>
      <c r="X19"/>
      <c r="Y19"/>
      <c r="Z19"/>
      <c r="CE19" s="118" t="str">
        <f t="shared" si="25"/>
        <v>Hayes J</v>
      </c>
      <c r="CF19" s="65">
        <f t="shared" ref="CF19" si="67">BatSplit(D19:CD19,MatchesPlayed)</f>
        <v>1</v>
      </c>
      <c r="CG19" s="65">
        <f t="shared" ref="CG19" si="68">CF19-CH19</f>
        <v>0</v>
      </c>
      <c r="CH19" s="65">
        <f t="shared" ref="CH19" si="69">BatSplit(D19:CD19,InnsBattedIn)</f>
        <v>1</v>
      </c>
      <c r="CI19" s="65">
        <f t="shared" ref="CI19" si="70">BatSplit(D19:CD19,NotOuts)</f>
        <v>1</v>
      </c>
      <c r="CJ19" s="65">
        <f t="shared" ref="CJ19" si="71">BatSplit(D19:CD19,HighestScore)</f>
        <v>0</v>
      </c>
      <c r="CK19" s="69">
        <f t="shared" ref="CK19" si="72">IF(CJ19&lt;0,-CJ19&amp;"*",CJ19)</f>
        <v>0</v>
      </c>
      <c r="CL19" s="65">
        <f t="shared" ref="CL19" si="73">BatSplit(D19:CD19,RunsScored)</f>
        <v>0</v>
      </c>
      <c r="CM19" s="67">
        <f t="shared" ref="CM19" si="74">IF(CH19=CI19,0,CL19/(CH19-CI19))</f>
        <v>0</v>
      </c>
      <c r="CN19" s="65">
        <f t="shared" si="8"/>
        <v>0</v>
      </c>
      <c r="CO19" s="68">
        <f t="array" ref="CO19">SUM(IF(ISERR(FIND("*",D19:CD19)),0,1))</f>
        <v>0</v>
      </c>
      <c r="CP19" s="68">
        <f t="array" ref="CP19">SUM(IF(ISERR(FIND("+",D19:CD19)),0,1))</f>
        <v>0</v>
      </c>
      <c r="CQ19" s="65">
        <f t="shared" si="9"/>
        <v>0</v>
      </c>
      <c r="CR19" s="68">
        <f t="array" ref="CR19">SUM(IF(ISERR(FIND(CR$4,$D19:$CD19)),0,1))</f>
        <v>0</v>
      </c>
      <c r="CS19" s="68">
        <f t="array" ref="CS19">SUM(IF(ISERR(FIND(CS$4,$D19:$CD19)),0,1))</f>
        <v>0</v>
      </c>
      <c r="CT19" s="68">
        <f t="array" ref="CT19">SUM(IF(ISERR(FIND(CT$4,$D19:$CD19)),0,1))</f>
        <v>0</v>
      </c>
      <c r="CU19" s="68">
        <f t="array" ref="CU19">SUM(IF(ISERR(FIND(CU$4,$D19:$CD19)),0,1))</f>
        <v>0</v>
      </c>
      <c r="CV19" s="68">
        <f t="array" ref="CV19">SUM(IF(ISERR(FIND(CV$4,$D19:$CD19)),0,1))</f>
        <v>0</v>
      </c>
      <c r="CW19" s="68">
        <f t="array" ref="CW19">SUM(IF(ISERR(FIND(CW$4,$D19:$CD19)),0,1))</f>
        <v>0</v>
      </c>
      <c r="CX19" s="68">
        <f t="array" ref="CX19">SUM(IF(ISERR(FIND(CX$4,$D19:$CD19)),0,1))</f>
        <v>0</v>
      </c>
      <c r="CY19" s="68">
        <f t="shared" si="10"/>
        <v>0</v>
      </c>
      <c r="CZ19" s="68">
        <f t="shared" si="11"/>
        <v>0</v>
      </c>
      <c r="DA19" s="68">
        <f t="shared" si="12"/>
        <v>0</v>
      </c>
      <c r="DB19" s="68">
        <f t="shared" si="13"/>
        <v>0</v>
      </c>
      <c r="DC19" s="68">
        <f t="shared" si="14"/>
        <v>0</v>
      </c>
      <c r="DD19" s="68">
        <f t="shared" si="15"/>
        <v>0</v>
      </c>
      <c r="DE19" s="68">
        <f t="shared" si="16"/>
        <v>0</v>
      </c>
      <c r="DF19" s="65">
        <f t="shared" si="17"/>
        <v>101.00019</v>
      </c>
      <c r="DG19" s="65">
        <f t="shared" si="18"/>
        <v>33</v>
      </c>
      <c r="DH19" s="65">
        <v>0</v>
      </c>
      <c r="DI19" s="86" t="str">
        <f t="shared" si="19"/>
        <v/>
      </c>
      <c r="DJ19" s="94" t="e">
        <f t="shared" si="20"/>
        <v>#DIV/0!</v>
      </c>
      <c r="DK19" s="174">
        <f t="shared" ref="DK19" si="75">CZ19</f>
        <v>0</v>
      </c>
      <c r="DL19" s="65" t="str">
        <f t="shared" ref="DL19" si="76">IF(CZ19=0,"",CZ19&amp;IF(DD19=0,""," ("&amp;DD19&amp;")"))</f>
        <v/>
      </c>
      <c r="DM19" s="65" t="str">
        <f t="shared" si="21"/>
        <v/>
      </c>
      <c r="DN19" s="68">
        <f t="shared" ref="DN19" si="77">DB19</f>
        <v>0</v>
      </c>
      <c r="DO19" s="65" t="str">
        <f t="shared" si="22"/>
        <v/>
      </c>
      <c r="DP19" s="68">
        <f t="shared" ref="DP19" si="78">DA19</f>
        <v>0</v>
      </c>
      <c r="DQ19" s="65" t="str">
        <f t="shared" si="23"/>
        <v/>
      </c>
      <c r="DR19" s="68">
        <f t="shared" ref="DR19" si="79">DE19</f>
        <v>0</v>
      </c>
      <c r="DS19" s="65" t="str">
        <f t="shared" si="24"/>
        <v/>
      </c>
    </row>
    <row r="20" spans="2:123" x14ac:dyDescent="0.15">
      <c r="B20" s="118" t="s">
        <v>305</v>
      </c>
      <c r="C20" s="118" t="s">
        <v>306</v>
      </c>
      <c r="D20" s="118" t="s">
        <v>307</v>
      </c>
      <c r="E20" s="118" t="s">
        <v>337</v>
      </c>
      <c r="F20" s="118"/>
      <c r="G20" s="118"/>
      <c r="H20" s="118"/>
      <c r="I20" s="118"/>
      <c r="J20"/>
      <c r="K20"/>
      <c r="L20"/>
      <c r="M20"/>
      <c r="N20"/>
      <c r="O20"/>
      <c r="P20"/>
      <c r="Q20"/>
      <c r="S20"/>
      <c r="T20"/>
      <c r="U20"/>
      <c r="V20"/>
      <c r="W20"/>
      <c r="X20"/>
      <c r="Y20"/>
      <c r="Z20"/>
      <c r="CE20" s="65" t="str">
        <f t="shared" si="25"/>
        <v>Jenkins D</v>
      </c>
      <c r="CF20" s="65">
        <f t="shared" si="26"/>
        <v>2</v>
      </c>
      <c r="CG20" s="65">
        <f t="shared" si="27"/>
        <v>0</v>
      </c>
      <c r="CH20" s="65">
        <f t="shared" si="28"/>
        <v>2</v>
      </c>
      <c r="CI20" s="65">
        <f t="shared" si="29"/>
        <v>0</v>
      </c>
      <c r="CJ20" s="65">
        <f t="shared" si="30"/>
        <v>0</v>
      </c>
      <c r="CK20" s="69">
        <f t="shared" si="31"/>
        <v>0</v>
      </c>
      <c r="CL20" s="65">
        <f t="shared" si="32"/>
        <v>0</v>
      </c>
      <c r="CM20" s="67">
        <f t="shared" si="33"/>
        <v>0</v>
      </c>
      <c r="CN20" s="65">
        <f t="shared" si="8"/>
        <v>5</v>
      </c>
      <c r="CO20" s="68">
        <f t="array" ref="CO20">SUM(IF(ISERR(FIND("*",D20:CD20)),0,1))</f>
        <v>0</v>
      </c>
      <c r="CP20" s="68">
        <f t="array" ref="CP20">SUM(IF(ISERR(FIND("+",D20:CD20)),0,1))</f>
        <v>0</v>
      </c>
      <c r="CQ20" s="65">
        <f t="shared" si="9"/>
        <v>2</v>
      </c>
      <c r="CR20" s="68">
        <f t="array" ref="CR20">SUM(IF(ISERR(FIND(CR$4,$D20:$CD20)),0,1))</f>
        <v>1</v>
      </c>
      <c r="CS20" s="68">
        <f t="array" ref="CS20">SUM(IF(ISERR(FIND(CS$4,$D20:$CD20)),0,1))</f>
        <v>1</v>
      </c>
      <c r="CT20" s="68">
        <f t="array" ref="CT20">SUM(IF(ISERR(FIND(CT$4,$D20:$CD20)),0,1))</f>
        <v>0</v>
      </c>
      <c r="CU20" s="68">
        <f t="array" ref="CU20">SUM(IF(ISERR(FIND(CU$4,$D20:$CD20)),0,1))</f>
        <v>0</v>
      </c>
      <c r="CV20" s="68">
        <f t="array" ref="CV20">SUM(IF(ISERR(FIND(CV$4,$D20:$CD20)),0,1))</f>
        <v>0</v>
      </c>
      <c r="CW20" s="68">
        <f t="array" ref="CW20">SUM(IF(ISERR(FIND(CW$4,$D20:$CD20)),0,1))</f>
        <v>0</v>
      </c>
      <c r="CX20" s="68">
        <f t="array" ref="CX20">SUM(IF(ISERR(FIND(CX$4,$D20:$CD20)),0,1))</f>
        <v>0</v>
      </c>
      <c r="CY20" s="68">
        <f t="shared" si="10"/>
        <v>0</v>
      </c>
      <c r="CZ20" s="68">
        <f t="shared" si="11"/>
        <v>1</v>
      </c>
      <c r="DA20" s="68">
        <f t="shared" si="12"/>
        <v>0</v>
      </c>
      <c r="DB20" s="68">
        <f t="shared" si="13"/>
        <v>0</v>
      </c>
      <c r="DC20" s="68">
        <f t="shared" si="14"/>
        <v>0</v>
      </c>
      <c r="DD20" s="68">
        <f t="shared" si="15"/>
        <v>0</v>
      </c>
      <c r="DE20" s="68">
        <f t="shared" si="16"/>
        <v>0</v>
      </c>
      <c r="DF20" s="65">
        <f t="shared" si="17"/>
        <v>202.00020000000001</v>
      </c>
      <c r="DG20" s="65">
        <f t="shared" si="18"/>
        <v>30</v>
      </c>
      <c r="DH20" s="65">
        <v>0</v>
      </c>
      <c r="DI20" s="86" t="str">
        <f t="shared" si="19"/>
        <v/>
      </c>
      <c r="DJ20" s="94">
        <f t="shared" si="20"/>
        <v>1</v>
      </c>
      <c r="DK20" s="174">
        <f t="shared" si="34"/>
        <v>1</v>
      </c>
      <c r="DL20" s="65" t="str">
        <f t="shared" si="35"/>
        <v>1</v>
      </c>
      <c r="DM20" s="65" t="str">
        <f t="shared" si="21"/>
        <v>Jenkins D</v>
      </c>
      <c r="DN20" s="68">
        <f t="shared" si="36"/>
        <v>0</v>
      </c>
      <c r="DO20" s="65" t="str">
        <f t="shared" si="22"/>
        <v/>
      </c>
      <c r="DP20" s="68">
        <f t="shared" si="37"/>
        <v>0</v>
      </c>
      <c r="DQ20" s="65" t="str">
        <f t="shared" si="23"/>
        <v/>
      </c>
      <c r="DR20" s="68">
        <f t="shared" si="38"/>
        <v>0</v>
      </c>
      <c r="DS20" s="65" t="str">
        <f t="shared" si="24"/>
        <v/>
      </c>
    </row>
    <row r="21" spans="2:123" x14ac:dyDescent="0.15">
      <c r="B21" s="118" t="s">
        <v>523</v>
      </c>
      <c r="C21" s="178" t="s">
        <v>524</v>
      </c>
      <c r="D21" s="118"/>
      <c r="E21" s="118"/>
      <c r="F21" s="118"/>
      <c r="G21" s="118"/>
      <c r="H21" s="118"/>
      <c r="I21" s="118"/>
      <c r="J21"/>
      <c r="K21"/>
      <c r="L21"/>
      <c r="M21" t="s">
        <v>489</v>
      </c>
      <c r="N21"/>
      <c r="O21" t="s">
        <v>253</v>
      </c>
      <c r="P21"/>
      <c r="Q21"/>
      <c r="S21"/>
      <c r="T21"/>
      <c r="U21"/>
      <c r="V21"/>
      <c r="W21"/>
      <c r="X21"/>
      <c r="Y21"/>
      <c r="Z21"/>
      <c r="CE21" s="118" t="str">
        <f t="shared" si="25"/>
        <v>Mahajan A</v>
      </c>
      <c r="CF21" s="65">
        <f t="shared" ref="CF21" si="80">BatSplit(D21:CD21,MatchesPlayed)</f>
        <v>2</v>
      </c>
      <c r="CG21" s="65">
        <f t="shared" ref="CG21" si="81">CF21-CH21</f>
        <v>1</v>
      </c>
      <c r="CH21" s="65">
        <f t="shared" ref="CH21" si="82">BatSplit(D21:CD21,InnsBattedIn)</f>
        <v>1</v>
      </c>
      <c r="CI21" s="65">
        <f t="shared" ref="CI21" si="83">BatSplit(D21:CD21,NotOuts)</f>
        <v>1</v>
      </c>
      <c r="CJ21" s="65">
        <f t="shared" ref="CJ21" si="84">BatSplit(D21:CD21,HighestScore)</f>
        <v>-10</v>
      </c>
      <c r="CK21" s="69" t="str">
        <f t="shared" ref="CK21" si="85">IF(CJ21&lt;0,-CJ21&amp;"*",CJ21)</f>
        <v>10*</v>
      </c>
      <c r="CL21" s="65">
        <f t="shared" ref="CL21" si="86">BatSplit(D21:CD21,RunsScored)</f>
        <v>10</v>
      </c>
      <c r="CM21" s="67">
        <f t="shared" ref="CM21" si="87">IF(CH21=CI21,0,CL21/(CH21-CI21))</f>
        <v>0</v>
      </c>
      <c r="CN21" s="65">
        <f t="shared" si="8"/>
        <v>5</v>
      </c>
      <c r="CO21" s="68">
        <f t="array" ref="CO21">SUM(IF(ISERR(FIND("*",D21:CD21)),0,1))</f>
        <v>0</v>
      </c>
      <c r="CP21" s="68">
        <f t="array" ref="CP21">SUM(IF(ISERR(FIND("+",D21:CD21)),0,1))</f>
        <v>0</v>
      </c>
      <c r="CQ21" s="65">
        <f t="shared" si="9"/>
        <v>0</v>
      </c>
      <c r="CR21" s="68">
        <f t="array" ref="CR21">SUM(IF(ISERR(FIND(CR$4,$D21:$CD21)),0,1))</f>
        <v>0</v>
      </c>
      <c r="CS21" s="68">
        <f t="array" ref="CS21">SUM(IF(ISERR(FIND(CS$4,$D21:$CD21)),0,1))</f>
        <v>0</v>
      </c>
      <c r="CT21" s="68">
        <f t="array" ref="CT21">SUM(IF(ISERR(FIND(CT$4,$D21:$CD21)),0,1))</f>
        <v>0</v>
      </c>
      <c r="CU21" s="68">
        <f t="array" ref="CU21">SUM(IF(ISERR(FIND(CU$4,$D21:$CD21)),0,1))</f>
        <v>0</v>
      </c>
      <c r="CV21" s="68">
        <f t="array" ref="CV21">SUM(IF(ISERR(FIND(CV$4,$D21:$CD21)),0,1))</f>
        <v>0</v>
      </c>
      <c r="CW21" s="68">
        <f t="array" ref="CW21">SUM(IF(ISERR(FIND(CW$4,$D21:$CD21)),0,1))</f>
        <v>0</v>
      </c>
      <c r="CX21" s="68">
        <f t="array" ref="CX21">SUM(IF(ISERR(FIND(CX$4,$D21:$CD21)),0,1))</f>
        <v>0</v>
      </c>
      <c r="CY21" s="68">
        <f t="shared" si="10"/>
        <v>0</v>
      </c>
      <c r="CZ21" s="68">
        <f t="shared" si="11"/>
        <v>1</v>
      </c>
      <c r="DA21" s="68">
        <f t="shared" si="12"/>
        <v>2</v>
      </c>
      <c r="DB21" s="68">
        <f t="shared" si="13"/>
        <v>0</v>
      </c>
      <c r="DC21" s="68">
        <f t="shared" si="14"/>
        <v>0</v>
      </c>
      <c r="DD21" s="68">
        <f t="shared" si="15"/>
        <v>0</v>
      </c>
      <c r="DE21" s="68">
        <f t="shared" si="16"/>
        <v>0</v>
      </c>
      <c r="DF21" s="65">
        <f t="shared" si="17"/>
        <v>102.10020999999999</v>
      </c>
      <c r="DG21" s="65">
        <f t="shared" si="18"/>
        <v>31</v>
      </c>
      <c r="DH21" s="65">
        <v>0</v>
      </c>
      <c r="DI21" s="86" t="str">
        <f t="shared" si="19"/>
        <v/>
      </c>
      <c r="DJ21" s="94" t="e">
        <f t="shared" si="20"/>
        <v>#DIV/0!</v>
      </c>
      <c r="DK21" s="174">
        <f t="shared" ref="DK21" si="88">CZ21</f>
        <v>1</v>
      </c>
      <c r="DL21" s="65" t="str">
        <f t="shared" ref="DL21" si="89">IF(CZ21=0,"",CZ21&amp;IF(DD21=0,""," ("&amp;DD21&amp;")"))</f>
        <v>1</v>
      </c>
      <c r="DM21" s="65" t="str">
        <f t="shared" si="21"/>
        <v>Mahajan A</v>
      </c>
      <c r="DN21" s="68">
        <f t="shared" ref="DN21" si="90">DB21</f>
        <v>0</v>
      </c>
      <c r="DO21" s="65" t="str">
        <f t="shared" si="22"/>
        <v/>
      </c>
      <c r="DP21" s="68">
        <f t="shared" ref="DP21" si="91">DA21</f>
        <v>2</v>
      </c>
      <c r="DQ21" s="65" t="str">
        <f t="shared" si="23"/>
        <v>Mahajan A</v>
      </c>
      <c r="DR21" s="68">
        <f t="shared" ref="DR21" si="92">DE21</f>
        <v>0</v>
      </c>
      <c r="DS21" s="65" t="str">
        <f t="shared" si="24"/>
        <v/>
      </c>
    </row>
    <row r="22" spans="2:123" x14ac:dyDescent="0.15">
      <c r="B22" s="118" t="s">
        <v>206</v>
      </c>
      <c r="C22" s="118" t="s">
        <v>358</v>
      </c>
      <c r="D22" s="118"/>
      <c r="E22" s="118"/>
      <c r="F22" s="118" t="s">
        <v>359</v>
      </c>
      <c r="G22" s="118"/>
      <c r="H22" s="118"/>
      <c r="I22" s="118"/>
      <c r="J22"/>
      <c r="K22"/>
      <c r="L22"/>
      <c r="M22"/>
      <c r="N22"/>
      <c r="O22"/>
      <c r="P22"/>
      <c r="Q22"/>
      <c r="S22"/>
      <c r="T22"/>
      <c r="U22"/>
      <c r="V22"/>
      <c r="W22"/>
      <c r="X22"/>
      <c r="Y22"/>
      <c r="Z22"/>
      <c r="CE22" s="65" t="str">
        <f t="shared" si="25"/>
        <v>Khan W</v>
      </c>
      <c r="CF22" s="65">
        <f t="shared" si="26"/>
        <v>1</v>
      </c>
      <c r="CG22" s="65">
        <f t="shared" si="27"/>
        <v>0</v>
      </c>
      <c r="CH22" s="65">
        <f t="shared" si="28"/>
        <v>1</v>
      </c>
      <c r="CI22" s="65">
        <f t="shared" si="29"/>
        <v>1</v>
      </c>
      <c r="CJ22" s="65">
        <f t="shared" si="30"/>
        <v>0</v>
      </c>
      <c r="CK22" s="69">
        <f t="shared" si="31"/>
        <v>0</v>
      </c>
      <c r="CL22" s="65">
        <f t="shared" si="32"/>
        <v>0</v>
      </c>
      <c r="CM22" s="67">
        <f t="shared" si="33"/>
        <v>0</v>
      </c>
      <c r="CN22" s="65">
        <f t="shared" si="8"/>
        <v>0</v>
      </c>
      <c r="CO22" s="68">
        <f t="array" ref="CO22">SUM(IF(ISERR(FIND("*",D22:CD22)),0,1))</f>
        <v>0</v>
      </c>
      <c r="CP22" s="68">
        <f t="array" ref="CP22">SUM(IF(ISERR(FIND("+",D22:CD22)),0,1))</f>
        <v>0</v>
      </c>
      <c r="CQ22" s="65">
        <f t="shared" si="9"/>
        <v>0</v>
      </c>
      <c r="CR22" s="68">
        <f t="array" ref="CR22">SUM(IF(ISERR(FIND(CR$4,$D22:$CD22)),0,1))</f>
        <v>0</v>
      </c>
      <c r="CS22" s="68">
        <f t="array" ref="CS22">SUM(IF(ISERR(FIND(CS$4,$D22:$CD22)),0,1))</f>
        <v>0</v>
      </c>
      <c r="CT22" s="68">
        <f t="array" ref="CT22">SUM(IF(ISERR(FIND(CT$4,$D22:$CD22)),0,1))</f>
        <v>0</v>
      </c>
      <c r="CU22" s="68">
        <f t="array" ref="CU22">SUM(IF(ISERR(FIND(CU$4,$D22:$CD22)),0,1))</f>
        <v>0</v>
      </c>
      <c r="CV22" s="68">
        <f t="array" ref="CV22">SUM(IF(ISERR(FIND(CV$4,$D22:$CD22)),0,1))</f>
        <v>0</v>
      </c>
      <c r="CW22" s="68">
        <f t="array" ref="CW22">SUM(IF(ISERR(FIND(CW$4,$D22:$CD22)),0,1))</f>
        <v>0</v>
      </c>
      <c r="CX22" s="68">
        <f t="array" ref="CX22">SUM(IF(ISERR(FIND(CX$4,$D22:$CD22)),0,1))</f>
        <v>0</v>
      </c>
      <c r="CY22" s="68">
        <f t="shared" si="10"/>
        <v>0</v>
      </c>
      <c r="CZ22" s="68">
        <f t="shared" si="11"/>
        <v>0</v>
      </c>
      <c r="DA22" s="68">
        <f t="shared" si="12"/>
        <v>0</v>
      </c>
      <c r="DB22" s="68">
        <f t="shared" si="13"/>
        <v>0</v>
      </c>
      <c r="DC22" s="68">
        <f t="shared" si="14"/>
        <v>0</v>
      </c>
      <c r="DD22" s="68">
        <f t="shared" si="15"/>
        <v>0</v>
      </c>
      <c r="DE22" s="68">
        <f t="shared" si="16"/>
        <v>0</v>
      </c>
      <c r="DF22" s="65">
        <f t="shared" si="17"/>
        <v>101.00022</v>
      </c>
      <c r="DG22" s="65">
        <f t="shared" si="18"/>
        <v>32</v>
      </c>
      <c r="DH22" s="65">
        <v>0</v>
      </c>
      <c r="DI22" s="86" t="str">
        <f t="shared" si="19"/>
        <v/>
      </c>
      <c r="DJ22" s="94" t="e">
        <f t="shared" si="20"/>
        <v>#DIV/0!</v>
      </c>
      <c r="DK22" s="174">
        <f t="shared" si="34"/>
        <v>0</v>
      </c>
      <c r="DL22" s="65" t="str">
        <f t="shared" si="35"/>
        <v/>
      </c>
      <c r="DM22" s="65" t="str">
        <f t="shared" si="21"/>
        <v/>
      </c>
      <c r="DN22" s="68">
        <f t="shared" si="36"/>
        <v>0</v>
      </c>
      <c r="DO22" s="65" t="str">
        <f t="shared" si="22"/>
        <v/>
      </c>
      <c r="DP22" s="68">
        <f t="shared" si="37"/>
        <v>0</v>
      </c>
      <c r="DQ22" s="65" t="str">
        <f t="shared" si="23"/>
        <v/>
      </c>
      <c r="DR22" s="68">
        <f t="shared" si="38"/>
        <v>0</v>
      </c>
      <c r="DS22" s="65" t="str">
        <f t="shared" si="24"/>
        <v/>
      </c>
    </row>
    <row r="23" spans="2:123" x14ac:dyDescent="0.15">
      <c r="B23" s="65" t="s">
        <v>192</v>
      </c>
      <c r="C23" s="65" t="s">
        <v>191</v>
      </c>
      <c r="D23"/>
      <c r="F23"/>
      <c r="G23"/>
      <c r="H23"/>
      <c r="I23"/>
      <c r="J23"/>
      <c r="K23"/>
      <c r="L23" s="118"/>
      <c r="M23"/>
      <c r="N23"/>
      <c r="O23"/>
      <c r="P23"/>
      <c r="Q23"/>
      <c r="R23"/>
      <c r="S23"/>
      <c r="T23"/>
      <c r="U23"/>
      <c r="V23"/>
      <c r="W23"/>
      <c r="X23"/>
      <c r="CE23" s="65" t="str">
        <f t="shared" si="25"/>
        <v>Kiernan M</v>
      </c>
      <c r="CF23" s="65">
        <f t="shared" si="26"/>
        <v>0</v>
      </c>
      <c r="CG23" s="65">
        <f t="shared" si="27"/>
        <v>0</v>
      </c>
      <c r="CH23" s="65">
        <f t="shared" si="28"/>
        <v>0</v>
      </c>
      <c r="CI23" s="65">
        <f t="shared" si="29"/>
        <v>0</v>
      </c>
      <c r="CJ23" s="65">
        <f t="shared" si="30"/>
        <v>0</v>
      </c>
      <c r="CK23" s="69">
        <f t="shared" si="31"/>
        <v>0</v>
      </c>
      <c r="CL23" s="65">
        <f t="shared" si="32"/>
        <v>0</v>
      </c>
      <c r="CM23" s="67">
        <f t="shared" si="33"/>
        <v>0</v>
      </c>
      <c r="CN23" s="65">
        <f t="shared" si="8"/>
        <v>0</v>
      </c>
      <c r="CO23" s="68">
        <f t="array" ref="CO23">SUM(IF(ISERR(FIND("*",D23:CD23)),0,1))</f>
        <v>0</v>
      </c>
      <c r="CP23" s="68">
        <f t="array" ref="CP23">SUM(IF(ISERR(FIND("+",D23:CD23)),0,1))</f>
        <v>0</v>
      </c>
      <c r="CQ23" s="65">
        <f t="shared" si="9"/>
        <v>0</v>
      </c>
      <c r="CR23" s="68">
        <f t="array" ref="CR23">SUM(IF(ISERR(FIND(CR$4,$D23:$CD23)),0,1))</f>
        <v>0</v>
      </c>
      <c r="CS23" s="68">
        <f t="array" ref="CS23">SUM(IF(ISERR(FIND(CS$4,$D23:$CD23)),0,1))</f>
        <v>0</v>
      </c>
      <c r="CT23" s="68">
        <f t="array" ref="CT23">SUM(IF(ISERR(FIND(CT$4,$D23:$CD23)),0,1))</f>
        <v>0</v>
      </c>
      <c r="CU23" s="68">
        <f t="array" ref="CU23">SUM(IF(ISERR(FIND(CU$4,$D23:$CD23)),0,1))</f>
        <v>0</v>
      </c>
      <c r="CV23" s="68">
        <f t="array" ref="CV23">SUM(IF(ISERR(FIND(CV$4,$D23:$CD23)),0,1))</f>
        <v>0</v>
      </c>
      <c r="CW23" s="68">
        <f t="array" ref="CW23">SUM(IF(ISERR(FIND(CW$4,$D23:$CD23)),0,1))</f>
        <v>0</v>
      </c>
      <c r="CX23" s="68">
        <f t="array" ref="CX23">SUM(IF(ISERR(FIND(CX$4,$D23:$CD23)),0,1))</f>
        <v>0</v>
      </c>
      <c r="CY23" s="68">
        <f t="shared" si="10"/>
        <v>0</v>
      </c>
      <c r="CZ23" s="68">
        <f t="shared" si="11"/>
        <v>0</v>
      </c>
      <c r="DA23" s="68">
        <f t="shared" si="12"/>
        <v>0</v>
      </c>
      <c r="DB23" s="68">
        <f t="shared" si="13"/>
        <v>0</v>
      </c>
      <c r="DC23" s="68">
        <f t="shared" si="14"/>
        <v>0</v>
      </c>
      <c r="DD23" s="68">
        <f t="shared" si="15"/>
        <v>0</v>
      </c>
      <c r="DE23" s="68">
        <f t="shared" si="16"/>
        <v>0</v>
      </c>
      <c r="DF23" s="65">
        <f t="shared" si="17"/>
        <v>2.3000000000000001E-4</v>
      </c>
      <c r="DG23" s="65">
        <f t="shared" si="18"/>
        <v>40</v>
      </c>
      <c r="DH23" s="65">
        <v>0</v>
      </c>
      <c r="DI23" s="86" t="str">
        <f t="shared" si="19"/>
        <v/>
      </c>
      <c r="DJ23" s="94" t="e">
        <f t="shared" si="20"/>
        <v>#DIV/0!</v>
      </c>
      <c r="DK23" s="174">
        <f t="shared" si="34"/>
        <v>0</v>
      </c>
      <c r="DL23" s="65" t="str">
        <f t="shared" si="35"/>
        <v/>
      </c>
      <c r="DM23" s="65" t="str">
        <f t="shared" si="21"/>
        <v/>
      </c>
      <c r="DN23" s="68">
        <f t="shared" si="36"/>
        <v>0</v>
      </c>
      <c r="DO23" s="65" t="str">
        <f t="shared" si="22"/>
        <v/>
      </c>
      <c r="DP23" s="68">
        <f t="shared" si="37"/>
        <v>0</v>
      </c>
      <c r="DQ23" s="65" t="str">
        <f t="shared" si="23"/>
        <v/>
      </c>
      <c r="DR23" s="68">
        <f t="shared" si="38"/>
        <v>0</v>
      </c>
      <c r="DS23" s="65" t="str">
        <f t="shared" si="24"/>
        <v/>
      </c>
    </row>
    <row r="24" spans="2:123" x14ac:dyDescent="0.15">
      <c r="B24" s="118" t="s">
        <v>351</v>
      </c>
      <c r="C24" s="118" t="s">
        <v>423</v>
      </c>
      <c r="D24"/>
      <c r="F24" t="s">
        <v>352</v>
      </c>
      <c r="G24"/>
      <c r="H24"/>
      <c r="I24"/>
      <c r="J24"/>
      <c r="K24"/>
      <c r="L24" s="118"/>
      <c r="M24"/>
      <c r="N24"/>
      <c r="O24"/>
      <c r="P24"/>
      <c r="Q24"/>
      <c r="R24"/>
      <c r="S24"/>
      <c r="T24"/>
      <c r="U24"/>
      <c r="V24"/>
      <c r="W24"/>
      <c r="X24"/>
      <c r="CE24" s="65" t="str">
        <f t="shared" ref="CE24" si="93">C24</f>
        <v>Seymour D</v>
      </c>
      <c r="CF24" s="65">
        <f t="shared" ref="CF24" si="94">BatSplit(D24:CD24,MatchesPlayed)</f>
        <v>1</v>
      </c>
      <c r="CG24" s="65">
        <f t="shared" ref="CG24" si="95">CF24-CH24</f>
        <v>0</v>
      </c>
      <c r="CH24" s="65">
        <f t="shared" ref="CH24" si="96">BatSplit(D24:CD24,InnsBattedIn)</f>
        <v>1</v>
      </c>
      <c r="CI24" s="65">
        <f t="shared" ref="CI24" si="97">BatSplit(D24:CD24,NotOuts)</f>
        <v>0</v>
      </c>
      <c r="CJ24" s="65">
        <f t="shared" ref="CJ24" si="98">BatSplit(D24:CD24,HighestScore)</f>
        <v>4</v>
      </c>
      <c r="CK24" s="69">
        <f t="shared" ref="CK24" si="99">IF(CJ24&lt;0,-CJ24&amp;"*",CJ24)</f>
        <v>4</v>
      </c>
      <c r="CL24" s="65">
        <f t="shared" ref="CL24" si="100">BatSplit(D24:CD24,RunsScored)</f>
        <v>4</v>
      </c>
      <c r="CM24" s="67">
        <f t="shared" ref="CM24" si="101">IF(CH24=CI24,0,CL24/(CH24-CI24))</f>
        <v>4</v>
      </c>
      <c r="CN24" s="65">
        <f t="shared" si="8"/>
        <v>0</v>
      </c>
      <c r="CO24" s="68">
        <f t="array" ref="CO24">SUM(IF(ISERR(FIND("*",D24:CD24)),0,1))</f>
        <v>0</v>
      </c>
      <c r="CP24" s="68">
        <f t="array" ref="CP24">SUM(IF(ISERR(FIND("+",D24:CD24)),0,1))</f>
        <v>0</v>
      </c>
      <c r="CQ24" s="65">
        <f t="shared" si="9"/>
        <v>0</v>
      </c>
      <c r="CR24" s="68">
        <f t="array" ref="CR24">SUM(IF(ISERR(FIND(CR$4,$D24:$CD24)),0,1))</f>
        <v>1</v>
      </c>
      <c r="CS24" s="68">
        <f t="array" ref="CS24">SUM(IF(ISERR(FIND(CS$4,$D24:$CD24)),0,1))</f>
        <v>0</v>
      </c>
      <c r="CT24" s="68">
        <f t="array" ref="CT24">SUM(IF(ISERR(FIND(CT$4,$D24:$CD24)),0,1))</f>
        <v>0</v>
      </c>
      <c r="CU24" s="68">
        <f t="array" ref="CU24">SUM(IF(ISERR(FIND(CU$4,$D24:$CD24)),0,1))</f>
        <v>0</v>
      </c>
      <c r="CV24" s="68">
        <f t="array" ref="CV24">SUM(IF(ISERR(FIND(CV$4,$D24:$CD24)),0,1))</f>
        <v>0</v>
      </c>
      <c r="CW24" s="68">
        <f t="array" ref="CW24">SUM(IF(ISERR(FIND(CW$4,$D24:$CD24)),0,1))</f>
        <v>0</v>
      </c>
      <c r="CX24" s="68">
        <f t="array" ref="CX24">SUM(IF(ISERR(FIND(CX$4,$D24:$CD24)),0,1))</f>
        <v>0</v>
      </c>
      <c r="CY24" s="68">
        <f t="shared" si="10"/>
        <v>0</v>
      </c>
      <c r="CZ24" s="68">
        <f t="shared" si="11"/>
        <v>0</v>
      </c>
      <c r="DA24" s="68">
        <f t="shared" si="12"/>
        <v>1</v>
      </c>
      <c r="DB24" s="68">
        <f t="shared" si="13"/>
        <v>0</v>
      </c>
      <c r="DC24" s="68">
        <f t="shared" si="14"/>
        <v>0</v>
      </c>
      <c r="DD24" s="68">
        <f t="shared" si="15"/>
        <v>0</v>
      </c>
      <c r="DE24" s="68">
        <f t="shared" si="16"/>
        <v>0</v>
      </c>
      <c r="DF24" s="65">
        <f t="shared" si="17"/>
        <v>400101.04024</v>
      </c>
      <c r="DG24" s="65">
        <f t="shared" si="18"/>
        <v>23</v>
      </c>
      <c r="DH24" s="65">
        <v>0</v>
      </c>
      <c r="DI24" s="86" t="str">
        <f t="shared" si="19"/>
        <v/>
      </c>
      <c r="DJ24" s="94">
        <f t="shared" si="20"/>
        <v>0</v>
      </c>
      <c r="DK24" s="174">
        <f t="shared" ref="DK24" si="102">CZ24</f>
        <v>0</v>
      </c>
      <c r="DL24" s="65" t="str">
        <f t="shared" ref="DL24" si="103">IF(CZ24=0,"",CZ24&amp;IF(DD24=0,""," ("&amp;DD24&amp;")"))</f>
        <v/>
      </c>
      <c r="DM24" s="65" t="str">
        <f t="shared" si="21"/>
        <v/>
      </c>
      <c r="DN24" s="68">
        <f t="shared" ref="DN24" si="104">DB24</f>
        <v>0</v>
      </c>
      <c r="DO24" s="65" t="str">
        <f t="shared" si="22"/>
        <v/>
      </c>
      <c r="DP24" s="68">
        <f t="shared" ref="DP24" si="105">DA24</f>
        <v>1</v>
      </c>
      <c r="DQ24" s="65" t="str">
        <f t="shared" si="23"/>
        <v>Seymour D</v>
      </c>
      <c r="DR24" s="68">
        <f t="shared" ref="DR24" si="106">DE24</f>
        <v>0</v>
      </c>
      <c r="DS24" s="65" t="str">
        <f t="shared" si="24"/>
        <v/>
      </c>
    </row>
    <row r="25" spans="2:123" x14ac:dyDescent="0.15">
      <c r="B25" s="118" t="s">
        <v>286</v>
      </c>
      <c r="C25" s="118" t="s">
        <v>165</v>
      </c>
      <c r="D25" t="s">
        <v>279</v>
      </c>
      <c r="F25"/>
      <c r="G25"/>
      <c r="H25"/>
      <c r="I25"/>
      <c r="J25"/>
      <c r="K25"/>
      <c r="L25" s="118" t="s">
        <v>473</v>
      </c>
      <c r="M25"/>
      <c r="N25"/>
      <c r="O25"/>
      <c r="P25"/>
      <c r="Q25"/>
      <c r="R25"/>
      <c r="S25"/>
      <c r="T25"/>
      <c r="U25"/>
      <c r="V25"/>
      <c r="W25"/>
      <c r="X25"/>
      <c r="CE25" s="65" t="str">
        <f t="shared" si="25"/>
        <v>Lestrelle A</v>
      </c>
      <c r="CF25" s="65">
        <f t="shared" si="26"/>
        <v>2</v>
      </c>
      <c r="CG25" s="65">
        <f t="shared" si="27"/>
        <v>0</v>
      </c>
      <c r="CH25" s="65">
        <f t="shared" si="28"/>
        <v>2</v>
      </c>
      <c r="CI25" s="65">
        <f t="shared" si="29"/>
        <v>0</v>
      </c>
      <c r="CJ25" s="65">
        <f t="shared" si="30"/>
        <v>4</v>
      </c>
      <c r="CK25" s="69">
        <f t="shared" si="31"/>
        <v>4</v>
      </c>
      <c r="CL25" s="65">
        <f t="shared" si="32"/>
        <v>4</v>
      </c>
      <c r="CM25" s="67">
        <f t="shared" si="33"/>
        <v>2</v>
      </c>
      <c r="CN25" s="65">
        <f t="shared" si="8"/>
        <v>0</v>
      </c>
      <c r="CO25" s="68">
        <f t="array" ref="CO25">SUM(IF(ISERR(FIND("*",D25:CD25)),0,1))</f>
        <v>0</v>
      </c>
      <c r="CP25" s="68">
        <f t="array" ref="CP25">SUM(IF(ISERR(FIND("+",D25:CD25)),0,1))</f>
        <v>0</v>
      </c>
      <c r="CQ25" s="65">
        <f t="shared" si="9"/>
        <v>1</v>
      </c>
      <c r="CR25" s="68">
        <f t="array" ref="CR25">SUM(IF(ISERR(FIND(CR$4,$D25:$CD25)),0,1))</f>
        <v>1</v>
      </c>
      <c r="CS25" s="68">
        <f t="array" ref="CS25">SUM(IF(ISERR(FIND(CS$4,$D25:$CD25)),0,1))</f>
        <v>1</v>
      </c>
      <c r="CT25" s="68">
        <f t="array" ref="CT25">SUM(IF(ISERR(FIND(CT$4,$D25:$CD25)),0,1))</f>
        <v>0</v>
      </c>
      <c r="CU25" s="68">
        <f t="array" ref="CU25">SUM(IF(ISERR(FIND(CU$4,$D25:$CD25)),0,1))</f>
        <v>0</v>
      </c>
      <c r="CV25" s="68">
        <f t="array" ref="CV25">SUM(IF(ISERR(FIND(CV$4,$D25:$CD25)),0,1))</f>
        <v>0</v>
      </c>
      <c r="CW25" s="68">
        <f t="array" ref="CW25">SUM(IF(ISERR(FIND(CW$4,$D25:$CD25)),0,1))</f>
        <v>0</v>
      </c>
      <c r="CX25" s="68">
        <f t="array" ref="CX25">SUM(IF(ISERR(FIND(CX$4,$D25:$CD25)),0,1))</f>
        <v>0</v>
      </c>
      <c r="CY25" s="68">
        <f t="shared" si="10"/>
        <v>0</v>
      </c>
      <c r="CZ25" s="68">
        <f t="shared" si="11"/>
        <v>0</v>
      </c>
      <c r="DA25" s="68">
        <f t="shared" si="12"/>
        <v>1</v>
      </c>
      <c r="DB25" s="68">
        <f t="shared" si="13"/>
        <v>0</v>
      </c>
      <c r="DC25" s="68">
        <f t="shared" si="14"/>
        <v>0</v>
      </c>
      <c r="DD25" s="68">
        <f t="shared" si="15"/>
        <v>0</v>
      </c>
      <c r="DE25" s="68">
        <f t="shared" si="16"/>
        <v>0</v>
      </c>
      <c r="DF25" s="65">
        <f t="shared" si="17"/>
        <v>200202.04025000002</v>
      </c>
      <c r="DG25" s="65">
        <f t="shared" si="18"/>
        <v>26</v>
      </c>
      <c r="DH25" s="65">
        <v>0</v>
      </c>
      <c r="DI25" s="86" t="str">
        <f t="shared" si="19"/>
        <v/>
      </c>
      <c r="DJ25" s="94">
        <f t="shared" si="20"/>
        <v>0.5</v>
      </c>
      <c r="DK25" s="174">
        <f t="shared" si="34"/>
        <v>0</v>
      </c>
      <c r="DL25" s="65" t="str">
        <f t="shared" si="35"/>
        <v/>
      </c>
      <c r="DM25" s="65" t="str">
        <f t="shared" si="21"/>
        <v/>
      </c>
      <c r="DN25" s="68">
        <f t="shared" si="36"/>
        <v>0</v>
      </c>
      <c r="DO25" s="65" t="str">
        <f t="shared" si="22"/>
        <v/>
      </c>
      <c r="DP25" s="68">
        <f t="shared" si="37"/>
        <v>1</v>
      </c>
      <c r="DQ25" s="65" t="str">
        <f t="shared" si="23"/>
        <v>Lestrelle A</v>
      </c>
      <c r="DR25" s="68">
        <f t="shared" si="38"/>
        <v>0</v>
      </c>
      <c r="DS25" s="65" t="str">
        <f t="shared" si="24"/>
        <v/>
      </c>
    </row>
    <row r="26" spans="2:123" x14ac:dyDescent="0.15">
      <c r="B26" s="118" t="s">
        <v>248</v>
      </c>
      <c r="C26" s="118" t="s">
        <v>282</v>
      </c>
      <c r="D26"/>
      <c r="F26"/>
      <c r="G26"/>
      <c r="H26"/>
      <c r="I26"/>
      <c r="J26" t="s">
        <v>430</v>
      </c>
      <c r="K26"/>
      <c r="L26" s="118"/>
      <c r="M26"/>
      <c r="N26"/>
      <c r="O26"/>
      <c r="P26"/>
      <c r="Q26"/>
      <c r="R26"/>
      <c r="S26"/>
      <c r="T26"/>
      <c r="U26"/>
      <c r="V26"/>
      <c r="W26"/>
      <c r="X26"/>
      <c r="CE26" s="65" t="str">
        <f t="shared" si="25"/>
        <v>Lewis I</v>
      </c>
      <c r="CF26" s="65">
        <f t="shared" si="26"/>
        <v>1</v>
      </c>
      <c r="CG26" s="65">
        <f t="shared" si="27"/>
        <v>0</v>
      </c>
      <c r="CH26" s="65">
        <f t="shared" si="28"/>
        <v>1</v>
      </c>
      <c r="CI26" s="65">
        <f t="shared" si="29"/>
        <v>0</v>
      </c>
      <c r="CJ26" s="65">
        <f t="shared" si="30"/>
        <v>5</v>
      </c>
      <c r="CK26" s="69">
        <f t="shared" si="31"/>
        <v>5</v>
      </c>
      <c r="CL26" s="65">
        <f t="shared" si="32"/>
        <v>5</v>
      </c>
      <c r="CM26" s="67">
        <f t="shared" si="33"/>
        <v>5</v>
      </c>
      <c r="CN26" s="65">
        <f t="shared" si="8"/>
        <v>0</v>
      </c>
      <c r="CO26" s="68">
        <f t="array" ref="CO26">SUM(IF(ISERR(FIND("*",D26:CD26)),0,1))</f>
        <v>0</v>
      </c>
      <c r="CP26" s="68">
        <f t="array" ref="CP26">SUM(IF(ISERR(FIND("+",D26:CD26)),0,1))</f>
        <v>0</v>
      </c>
      <c r="CQ26" s="65">
        <f t="shared" si="9"/>
        <v>0</v>
      </c>
      <c r="CR26" s="68">
        <f t="array" ref="CR26">SUM(IF(ISERR(FIND(CR$4,$D26:$CD26)),0,1))</f>
        <v>0</v>
      </c>
      <c r="CS26" s="68">
        <f t="array" ref="CS26">SUM(IF(ISERR(FIND(CS$4,$D26:$CD26)),0,1))</f>
        <v>0</v>
      </c>
      <c r="CT26" s="68">
        <f t="array" ref="CT26">SUM(IF(ISERR(FIND(CT$4,$D26:$CD26)),0,1))</f>
        <v>0</v>
      </c>
      <c r="CU26" s="68">
        <f t="array" ref="CU26">SUM(IF(ISERR(FIND(CU$4,$D26:$CD26)),0,1))</f>
        <v>0</v>
      </c>
      <c r="CV26" s="68">
        <f t="array" ref="CV26">SUM(IF(ISERR(FIND(CV$4,$D26:$CD26)),0,1))</f>
        <v>1</v>
      </c>
      <c r="CW26" s="68">
        <f t="array" ref="CW26">SUM(IF(ISERR(FIND(CW$4,$D26:$CD26)),0,1))</f>
        <v>0</v>
      </c>
      <c r="CX26" s="68">
        <f t="array" ref="CX26">SUM(IF(ISERR(FIND(CX$4,$D26:$CD26)),0,1))</f>
        <v>0</v>
      </c>
      <c r="CY26" s="68">
        <f t="shared" si="10"/>
        <v>0</v>
      </c>
      <c r="CZ26" s="68">
        <f t="shared" si="11"/>
        <v>0</v>
      </c>
      <c r="DA26" s="68">
        <f t="shared" si="12"/>
        <v>0</v>
      </c>
      <c r="DB26" s="68">
        <f t="shared" si="13"/>
        <v>0</v>
      </c>
      <c r="DC26" s="68">
        <f t="shared" si="14"/>
        <v>0</v>
      </c>
      <c r="DD26" s="68">
        <f t="shared" si="15"/>
        <v>0</v>
      </c>
      <c r="DE26" s="68">
        <f t="shared" si="16"/>
        <v>0</v>
      </c>
      <c r="DF26" s="65">
        <f t="shared" si="17"/>
        <v>500101.05025999999</v>
      </c>
      <c r="DG26" s="65">
        <f t="shared" si="18"/>
        <v>21</v>
      </c>
      <c r="DH26" s="65">
        <v>0</v>
      </c>
      <c r="DI26" s="86" t="str">
        <f t="shared" si="19"/>
        <v/>
      </c>
      <c r="DJ26" s="94">
        <f t="shared" si="20"/>
        <v>0</v>
      </c>
      <c r="DK26" s="174">
        <f t="shared" si="34"/>
        <v>0</v>
      </c>
      <c r="DL26" s="65" t="str">
        <f t="shared" si="35"/>
        <v/>
      </c>
      <c r="DM26" s="65" t="str">
        <f t="shared" si="21"/>
        <v/>
      </c>
      <c r="DN26" s="68">
        <f t="shared" si="36"/>
        <v>0</v>
      </c>
      <c r="DO26" s="65" t="str">
        <f t="shared" si="22"/>
        <v/>
      </c>
      <c r="DP26" s="68">
        <f t="shared" si="37"/>
        <v>0</v>
      </c>
      <c r="DQ26" s="65" t="str">
        <f t="shared" si="23"/>
        <v/>
      </c>
      <c r="DR26" s="68">
        <f t="shared" si="38"/>
        <v>0</v>
      </c>
      <c r="DS26" s="65" t="str">
        <f t="shared" si="24"/>
        <v/>
      </c>
    </row>
    <row r="27" spans="2:123" x14ac:dyDescent="0.15">
      <c r="B27" s="118" t="s">
        <v>368</v>
      </c>
      <c r="C27" s="118" t="s">
        <v>369</v>
      </c>
      <c r="D27"/>
      <c r="F27"/>
      <c r="G27" t="s">
        <v>370</v>
      </c>
      <c r="H27"/>
      <c r="I27"/>
      <c r="J27"/>
      <c r="K27"/>
      <c r="L27" s="118"/>
      <c r="M27"/>
      <c r="N27"/>
      <c r="O27"/>
      <c r="P27"/>
      <c r="Q27"/>
      <c r="R27"/>
      <c r="S27"/>
      <c r="T27"/>
      <c r="U27"/>
      <c r="V27"/>
      <c r="W27"/>
      <c r="X27"/>
      <c r="CE27" s="65" t="str">
        <f t="shared" ref="CE27" si="107">C27</f>
        <v>Madaan A</v>
      </c>
      <c r="CF27" s="65">
        <f t="shared" ref="CF27" si="108">BatSplit(D27:CD27,MatchesPlayed)</f>
        <v>1</v>
      </c>
      <c r="CG27" s="65">
        <f t="shared" ref="CG27" si="109">CF27-CH27</f>
        <v>0</v>
      </c>
      <c r="CH27" s="65">
        <f t="shared" ref="CH27" si="110">BatSplit(D27:CD27,InnsBattedIn)</f>
        <v>1</v>
      </c>
      <c r="CI27" s="65">
        <f t="shared" ref="CI27" si="111">BatSplit(D27:CD27,NotOuts)</f>
        <v>0</v>
      </c>
      <c r="CJ27" s="65">
        <f t="shared" ref="CJ27" si="112">BatSplit(D27:CD27,HighestScore)</f>
        <v>2</v>
      </c>
      <c r="CK27" s="69">
        <f t="shared" ref="CK27" si="113">IF(CJ27&lt;0,-CJ27&amp;"*",CJ27)</f>
        <v>2</v>
      </c>
      <c r="CL27" s="65">
        <f t="shared" ref="CL27" si="114">BatSplit(D27:CD27,RunsScored)</f>
        <v>2</v>
      </c>
      <c r="CM27" s="67">
        <f t="shared" ref="CM27" si="115">IF(CH27=CI27,0,CL27/(CH27-CI27))</f>
        <v>2</v>
      </c>
      <c r="CN27" s="65">
        <f t="shared" si="8"/>
        <v>0</v>
      </c>
      <c r="CO27" s="68">
        <f t="array" ref="CO27">SUM(IF(ISERR(FIND("*",D27:CD27)),0,1))</f>
        <v>0</v>
      </c>
      <c r="CP27" s="68">
        <f t="array" ref="CP27">SUM(IF(ISERR(FIND("+",D27:CD27)),0,1))</f>
        <v>0</v>
      </c>
      <c r="CQ27" s="65">
        <f t="shared" si="9"/>
        <v>0</v>
      </c>
      <c r="CR27" s="68">
        <f t="array" ref="CR27">SUM(IF(ISERR(FIND(CR$4,$D27:$CD27)),0,1))</f>
        <v>0</v>
      </c>
      <c r="CS27" s="68">
        <f t="array" ref="CS27">SUM(IF(ISERR(FIND(CS$4,$D27:$CD27)),0,1))</f>
        <v>0</v>
      </c>
      <c r="CT27" s="68">
        <f t="array" ref="CT27">SUM(IF(ISERR(FIND(CT$4,$D27:$CD27)),0,1))</f>
        <v>0</v>
      </c>
      <c r="CU27" s="68">
        <f t="array" ref="CU27">SUM(IF(ISERR(FIND(CU$4,$D27:$CD27)),0,1))</f>
        <v>0</v>
      </c>
      <c r="CV27" s="68">
        <f t="array" ref="CV27">SUM(IF(ISERR(FIND(CV$4,$D27:$CD27)),0,1))</f>
        <v>1</v>
      </c>
      <c r="CW27" s="68">
        <f t="array" ref="CW27">SUM(IF(ISERR(FIND(CW$4,$D27:$CD27)),0,1))</f>
        <v>0</v>
      </c>
      <c r="CX27" s="68">
        <f t="array" ref="CX27">SUM(IF(ISERR(FIND(CX$4,$D27:$CD27)),0,1))</f>
        <v>0</v>
      </c>
      <c r="CY27" s="68">
        <f t="shared" si="10"/>
        <v>0</v>
      </c>
      <c r="CZ27" s="68">
        <f t="shared" si="11"/>
        <v>0</v>
      </c>
      <c r="DA27" s="68">
        <f t="shared" si="12"/>
        <v>0</v>
      </c>
      <c r="DB27" s="68">
        <f t="shared" si="13"/>
        <v>0</v>
      </c>
      <c r="DC27" s="68">
        <f t="shared" si="14"/>
        <v>0</v>
      </c>
      <c r="DD27" s="68">
        <f t="shared" si="15"/>
        <v>0</v>
      </c>
      <c r="DE27" s="68">
        <f t="shared" si="16"/>
        <v>0</v>
      </c>
      <c r="DF27" s="65">
        <f t="shared" si="17"/>
        <v>200101.02026999998</v>
      </c>
      <c r="DG27" s="65">
        <f t="shared" si="18"/>
        <v>27</v>
      </c>
      <c r="DH27" s="65">
        <v>0</v>
      </c>
      <c r="DI27" s="86" t="str">
        <f t="shared" si="19"/>
        <v/>
      </c>
      <c r="DJ27" s="94">
        <f t="shared" si="20"/>
        <v>0</v>
      </c>
      <c r="DK27" s="174">
        <f t="shared" ref="DK27" si="116">CZ27</f>
        <v>0</v>
      </c>
      <c r="DL27" s="65" t="str">
        <f t="shared" ref="DL27" si="117">IF(CZ27=0,"",CZ27&amp;IF(DD27=0,""," ("&amp;DD27&amp;")"))</f>
        <v/>
      </c>
      <c r="DM27" s="65" t="str">
        <f t="shared" si="21"/>
        <v/>
      </c>
      <c r="DN27" s="68">
        <f t="shared" ref="DN27" si="118">DB27</f>
        <v>0</v>
      </c>
      <c r="DO27" s="65" t="str">
        <f t="shared" si="22"/>
        <v/>
      </c>
      <c r="DP27" s="68">
        <f t="shared" ref="DP27" si="119">DA27</f>
        <v>0</v>
      </c>
      <c r="DQ27" s="65" t="str">
        <f t="shared" si="23"/>
        <v/>
      </c>
      <c r="DR27" s="68">
        <f t="shared" ref="DR27" si="120">DE27</f>
        <v>0</v>
      </c>
      <c r="DS27" s="65" t="str">
        <f t="shared" si="24"/>
        <v/>
      </c>
    </row>
    <row r="28" spans="2:123" x14ac:dyDescent="0.15">
      <c r="B28" s="118" t="s">
        <v>25</v>
      </c>
      <c r="C28" t="s">
        <v>224</v>
      </c>
      <c r="D28"/>
      <c r="E28"/>
      <c r="F28"/>
      <c r="G28" t="s">
        <v>379</v>
      </c>
      <c r="H28" s="118" t="s">
        <v>395</v>
      </c>
      <c r="I28" s="118" t="s">
        <v>411</v>
      </c>
      <c r="J28" s="118"/>
      <c r="K28"/>
      <c r="L28"/>
      <c r="M28"/>
      <c r="N28"/>
      <c r="O28" t="s">
        <v>225</v>
      </c>
      <c r="P28" t="s">
        <v>542</v>
      </c>
      <c r="Q28"/>
      <c r="R28"/>
      <c r="S28"/>
      <c r="T28" t="s">
        <v>225</v>
      </c>
      <c r="U28"/>
      <c r="V28"/>
      <c r="W28"/>
      <c r="X28" s="118"/>
      <c r="Y28" s="118"/>
      <c r="Z28" s="118"/>
      <c r="CE28" s="65" t="str">
        <f t="shared" si="25"/>
        <v>Mander A</v>
      </c>
      <c r="CF28" s="65">
        <f t="shared" si="26"/>
        <v>6</v>
      </c>
      <c r="CG28" s="65">
        <f t="shared" si="27"/>
        <v>2</v>
      </c>
      <c r="CH28" s="65">
        <f t="shared" si="28"/>
        <v>4</v>
      </c>
      <c r="CI28" s="65">
        <f t="shared" si="29"/>
        <v>2</v>
      </c>
      <c r="CJ28" s="65">
        <f t="shared" si="30"/>
        <v>17</v>
      </c>
      <c r="CK28" s="69">
        <f t="shared" si="31"/>
        <v>17</v>
      </c>
      <c r="CL28" s="65">
        <f t="shared" si="32"/>
        <v>26</v>
      </c>
      <c r="CM28" s="67">
        <f t="shared" si="33"/>
        <v>13</v>
      </c>
      <c r="CN28" s="65">
        <f t="shared" si="8"/>
        <v>0</v>
      </c>
      <c r="CO28" s="68">
        <f t="array" ref="CO28">SUM(IF(ISERR(FIND("*",D28:CD28)),0,1))</f>
        <v>0</v>
      </c>
      <c r="CP28" s="68">
        <f t="array" ref="CP28">SUM(IF(ISERR(FIND("+",D28:CD28)),0,1))</f>
        <v>0</v>
      </c>
      <c r="CQ28" s="65">
        <f t="shared" si="9"/>
        <v>0</v>
      </c>
      <c r="CR28" s="68">
        <f t="array" ref="CR28">SUM(IF(ISERR(FIND(CR$4,$D28:$CD28)),0,1))</f>
        <v>1</v>
      </c>
      <c r="CS28" s="68">
        <f t="array" ref="CS28">SUM(IF(ISERR(FIND(CS$4,$D28:$CD28)),0,1))</f>
        <v>1</v>
      </c>
      <c r="CT28" s="68">
        <f t="array" ref="CT28">SUM(IF(ISERR(FIND(CT$4,$D28:$CD28)),0,1))</f>
        <v>0</v>
      </c>
      <c r="CU28" s="68">
        <f t="array" ref="CU28">SUM(IF(ISERR(FIND(CU$4,$D28:$CD28)),0,1))</f>
        <v>0</v>
      </c>
      <c r="CV28" s="68">
        <f t="array" ref="CV28">SUM(IF(ISERR(FIND(CV$4,$D28:$CD28)),0,1))</f>
        <v>0</v>
      </c>
      <c r="CW28" s="68">
        <f t="array" ref="CW28">SUM(IF(ISERR(FIND(CW$4,$D28:$CD28)),0,1))</f>
        <v>0</v>
      </c>
      <c r="CX28" s="68">
        <f t="array" ref="CX28">SUM(IF(ISERR(FIND(CX$4,$D28:$CD28)),0,1))</f>
        <v>0</v>
      </c>
      <c r="CY28" s="68">
        <f t="shared" si="10"/>
        <v>0</v>
      </c>
      <c r="CZ28" s="68">
        <f t="shared" si="11"/>
        <v>0</v>
      </c>
      <c r="DA28" s="68">
        <f t="shared" si="12"/>
        <v>4</v>
      </c>
      <c r="DB28" s="68">
        <f t="shared" si="13"/>
        <v>0</v>
      </c>
      <c r="DC28" s="68">
        <f t="shared" si="14"/>
        <v>0</v>
      </c>
      <c r="DD28" s="68">
        <f t="shared" si="15"/>
        <v>0</v>
      </c>
      <c r="DE28" s="68">
        <f t="shared" si="16"/>
        <v>0</v>
      </c>
      <c r="DF28" s="65">
        <f t="shared" si="17"/>
        <v>1300406.26028</v>
      </c>
      <c r="DG28" s="65">
        <f t="shared" si="18"/>
        <v>15</v>
      </c>
      <c r="DH28" s="65">
        <v>0</v>
      </c>
      <c r="DI28" s="86" t="str">
        <f t="shared" si="19"/>
        <v/>
      </c>
      <c r="DJ28" s="94">
        <f t="shared" si="20"/>
        <v>0</v>
      </c>
      <c r="DK28" s="174">
        <f t="shared" si="34"/>
        <v>0</v>
      </c>
      <c r="DL28" s="65" t="str">
        <f t="shared" si="35"/>
        <v/>
      </c>
      <c r="DM28" s="65" t="str">
        <f t="shared" si="21"/>
        <v/>
      </c>
      <c r="DN28" s="68">
        <f t="shared" si="36"/>
        <v>0</v>
      </c>
      <c r="DO28" s="65" t="str">
        <f t="shared" si="22"/>
        <v/>
      </c>
      <c r="DP28" s="68">
        <f t="shared" si="37"/>
        <v>4</v>
      </c>
      <c r="DQ28" s="65" t="str">
        <f t="shared" si="23"/>
        <v>Mander A</v>
      </c>
      <c r="DR28" s="68">
        <f t="shared" si="38"/>
        <v>0</v>
      </c>
      <c r="DS28" s="65" t="str">
        <f t="shared" si="24"/>
        <v/>
      </c>
    </row>
    <row r="29" spans="2:123" x14ac:dyDescent="0.15">
      <c r="B29" s="65" t="s">
        <v>27</v>
      </c>
      <c r="C29" s="65" t="s">
        <v>207</v>
      </c>
      <c r="D29" t="s">
        <v>318</v>
      </c>
      <c r="E29" t="s">
        <v>336</v>
      </c>
      <c r="F29" t="s">
        <v>355</v>
      </c>
      <c r="G29" t="s">
        <v>380</v>
      </c>
      <c r="H29" t="s">
        <v>288</v>
      </c>
      <c r="I29" t="s">
        <v>406</v>
      </c>
      <c r="J29" t="s">
        <v>427</v>
      </c>
      <c r="K29" t="s">
        <v>445</v>
      </c>
      <c r="L29" t="s">
        <v>474</v>
      </c>
      <c r="M29" t="s">
        <v>606</v>
      </c>
      <c r="N29" t="s">
        <v>507</v>
      </c>
      <c r="O29" t="s">
        <v>520</v>
      </c>
      <c r="P29" t="s">
        <v>538</v>
      </c>
      <c r="Q29"/>
      <c r="R29" t="s">
        <v>203</v>
      </c>
      <c r="S29" t="s">
        <v>578</v>
      </c>
      <c r="T29"/>
      <c r="U29"/>
      <c r="V29"/>
      <c r="W29"/>
      <c r="X29"/>
      <c r="Y29"/>
      <c r="Z29"/>
      <c r="CE29" s="65" t="str">
        <f t="shared" si="25"/>
        <v>Middleton J</v>
      </c>
      <c r="CF29" s="65">
        <f t="shared" si="26"/>
        <v>15</v>
      </c>
      <c r="CG29" s="65">
        <f t="shared" si="27"/>
        <v>1</v>
      </c>
      <c r="CH29" s="65">
        <f t="shared" si="28"/>
        <v>14</v>
      </c>
      <c r="CI29" s="65">
        <f t="shared" si="29"/>
        <v>4</v>
      </c>
      <c r="CJ29" s="65">
        <f t="shared" si="30"/>
        <v>-58</v>
      </c>
      <c r="CK29" s="69" t="str">
        <f t="shared" si="31"/>
        <v>58*</v>
      </c>
      <c r="CL29" s="65">
        <f t="shared" si="32"/>
        <v>210</v>
      </c>
      <c r="CM29" s="67">
        <f t="shared" si="33"/>
        <v>21</v>
      </c>
      <c r="CN29" s="65">
        <f t="shared" si="8"/>
        <v>25</v>
      </c>
      <c r="CO29" s="68">
        <f t="array" ref="CO29">SUM(IF(ISERR(FIND("*",D29:CD29)),0,1))</f>
        <v>0</v>
      </c>
      <c r="CP29" s="68">
        <f t="array" ref="CP29">SUM(IF(ISERR(FIND("+",D29:CD29)),0,1))</f>
        <v>0</v>
      </c>
      <c r="CQ29" s="65">
        <f t="shared" si="9"/>
        <v>1</v>
      </c>
      <c r="CR29" s="68">
        <f t="array" ref="CR29">SUM(IF(ISERR(FIND(CR$4,$D29:$CD29)),0,1))</f>
        <v>3</v>
      </c>
      <c r="CS29" s="68">
        <f t="array" ref="CS29">SUM(IF(ISERR(FIND(CS$4,$D29:$CD29)),0,1))</f>
        <v>4</v>
      </c>
      <c r="CT29" s="68">
        <f t="array" ref="CT29">SUM(IF(ISERR(FIND(CT$4,$D29:$CD29)),0,1))</f>
        <v>3</v>
      </c>
      <c r="CU29" s="68">
        <f t="array" ref="CU29">SUM(IF(ISERR(FIND(CU$4,$D29:$CD29)),0,1))</f>
        <v>0</v>
      </c>
      <c r="CV29" s="68">
        <f t="array" ref="CV29">SUM(IF(ISERR(FIND(CV$4,$D29:$CD29)),0,1))</f>
        <v>0</v>
      </c>
      <c r="CW29" s="68">
        <f t="array" ref="CW29">SUM(IF(ISERR(FIND(CW$4,$D29:$CD29)),0,1))</f>
        <v>0</v>
      </c>
      <c r="CX29" s="68">
        <f t="array" ref="CX29">SUM(IF(ISERR(FIND(CX$4,$D29:$CD29)),0,1))</f>
        <v>0</v>
      </c>
      <c r="CY29" s="68">
        <f t="shared" si="10"/>
        <v>1</v>
      </c>
      <c r="CZ29" s="68">
        <f t="shared" si="11"/>
        <v>5</v>
      </c>
      <c r="DA29" s="68">
        <f t="shared" si="12"/>
        <v>26</v>
      </c>
      <c r="DB29" s="68">
        <f t="shared" si="13"/>
        <v>5</v>
      </c>
      <c r="DC29" s="68">
        <f t="shared" si="14"/>
        <v>0</v>
      </c>
      <c r="DD29" s="68">
        <f t="shared" si="15"/>
        <v>0</v>
      </c>
      <c r="DE29" s="68">
        <f t="shared" si="16"/>
        <v>3</v>
      </c>
      <c r="DF29" s="65">
        <f t="shared" si="17"/>
        <v>2101417.10029</v>
      </c>
      <c r="DG29" s="65">
        <f t="shared" si="18"/>
        <v>9</v>
      </c>
      <c r="DH29" s="65">
        <v>0</v>
      </c>
      <c r="DI29" s="86">
        <f t="shared" si="19"/>
        <v>0.63809523809523805</v>
      </c>
      <c r="DJ29" s="94">
        <f t="shared" si="20"/>
        <v>0.1</v>
      </c>
      <c r="DK29" s="174">
        <f t="shared" si="34"/>
        <v>5</v>
      </c>
      <c r="DL29" s="65" t="str">
        <f t="shared" si="35"/>
        <v>5</v>
      </c>
      <c r="DM29" s="65" t="str">
        <f t="shared" si="21"/>
        <v>Middleton J</v>
      </c>
      <c r="DN29" s="68">
        <f t="shared" si="36"/>
        <v>5</v>
      </c>
      <c r="DO29" s="65" t="str">
        <f t="shared" si="22"/>
        <v>Middleton J</v>
      </c>
      <c r="DP29" s="68">
        <f t="shared" si="37"/>
        <v>26</v>
      </c>
      <c r="DQ29" s="65" t="str">
        <f t="shared" si="23"/>
        <v>Middleton J</v>
      </c>
      <c r="DR29" s="68">
        <f t="shared" si="38"/>
        <v>3</v>
      </c>
      <c r="DS29" s="65" t="str">
        <f t="shared" si="24"/>
        <v>Middleton J</v>
      </c>
    </row>
    <row r="30" spans="2:123" x14ac:dyDescent="0.15">
      <c r="B30" t="s">
        <v>211</v>
      </c>
      <c r="C30" t="s">
        <v>212</v>
      </c>
      <c r="D30"/>
      <c r="E30"/>
      <c r="F30" t="s">
        <v>356</v>
      </c>
      <c r="G30" t="s">
        <v>382</v>
      </c>
      <c r="H30"/>
      <c r="I30"/>
      <c r="J30"/>
      <c r="K30"/>
      <c r="L30"/>
      <c r="M30"/>
      <c r="N30"/>
      <c r="O30"/>
      <c r="P30"/>
      <c r="Q30" s="118"/>
      <c r="R30" t="s">
        <v>257</v>
      </c>
      <c r="S30"/>
      <c r="T30"/>
      <c r="U30"/>
      <c r="V30"/>
      <c r="W30"/>
      <c r="X30"/>
      <c r="Y30"/>
      <c r="CE30" s="65" t="str">
        <f t="shared" ref="CE30:CE46" si="121">C30</f>
        <v>Nair S</v>
      </c>
      <c r="CF30" s="65">
        <f t="shared" ref="CF30:CF46" si="122">BatSplit(D30:CD30,MatchesPlayed)</f>
        <v>3</v>
      </c>
      <c r="CG30" s="65">
        <f t="shared" ref="CG30:CG46" si="123">CF30-CH30</f>
        <v>1</v>
      </c>
      <c r="CH30" s="65">
        <f t="shared" ref="CH30:CH46" si="124">BatSplit(D30:CD30,InnsBattedIn)</f>
        <v>2</v>
      </c>
      <c r="CI30" s="65">
        <f t="shared" ref="CI30:CI46" si="125">BatSplit(D30:CD30,NotOuts)</f>
        <v>1</v>
      </c>
      <c r="CJ30" s="65">
        <f t="shared" ref="CJ30:CJ46" si="126">BatSplit(D30:CD30,HighestScore)</f>
        <v>13</v>
      </c>
      <c r="CK30" s="69">
        <f t="shared" ref="CK30:CK46" si="127">IF(CJ30&lt;0,-CJ30&amp;"*",CJ30)</f>
        <v>13</v>
      </c>
      <c r="CL30" s="65">
        <f t="shared" ref="CL30:CL46" si="128">BatSplit(D30:CD30,RunsScored)</f>
        <v>13</v>
      </c>
      <c r="CM30" s="67">
        <f t="shared" ref="CM30:CM46" si="129">IF(CH30=CI30,0,CL30/(CH30-CI30))</f>
        <v>13</v>
      </c>
      <c r="CN30" s="65">
        <f t="shared" si="8"/>
        <v>0</v>
      </c>
      <c r="CO30" s="68">
        <f t="array" ref="CO30">SUM(IF(ISERR(FIND("*",D30:CD30)),0,1))</f>
        <v>0</v>
      </c>
      <c r="CP30" s="68">
        <f t="array" ref="CP30">SUM(IF(ISERR(FIND("+",D30:CD30)),0,1))</f>
        <v>0</v>
      </c>
      <c r="CQ30" s="65">
        <f t="shared" si="9"/>
        <v>0</v>
      </c>
      <c r="CR30" s="68">
        <f t="array" ref="CR30">SUM(IF(ISERR(FIND(CR$4,$D30:$CD30)),0,1))</f>
        <v>0</v>
      </c>
      <c r="CS30" s="68">
        <f t="array" ref="CS30">SUM(IF(ISERR(FIND(CS$4,$D30:$CD30)),0,1))</f>
        <v>1</v>
      </c>
      <c r="CT30" s="68">
        <f t="array" ref="CT30">SUM(IF(ISERR(FIND(CT$4,$D30:$CD30)),0,1))</f>
        <v>0</v>
      </c>
      <c r="CU30" s="68">
        <f t="array" ref="CU30">SUM(IF(ISERR(FIND(CU$4,$D30:$CD30)),0,1))</f>
        <v>0</v>
      </c>
      <c r="CV30" s="68">
        <f t="array" ref="CV30">SUM(IF(ISERR(FIND(CV$4,$D30:$CD30)),0,1))</f>
        <v>0</v>
      </c>
      <c r="CW30" s="68">
        <f t="array" ref="CW30">SUM(IF(ISERR(FIND(CW$4,$D30:$CD30)),0,1))</f>
        <v>0</v>
      </c>
      <c r="CX30" s="68">
        <f t="array" ref="CX30">SUM(IF(ISERR(FIND(CX$4,$D30:$CD30)),0,1))</f>
        <v>0</v>
      </c>
      <c r="CY30" s="68">
        <f t="shared" si="10"/>
        <v>0</v>
      </c>
      <c r="CZ30" s="68">
        <f t="shared" si="11"/>
        <v>0</v>
      </c>
      <c r="DA30" s="68">
        <f t="shared" si="12"/>
        <v>2</v>
      </c>
      <c r="DB30" s="68">
        <f t="shared" si="13"/>
        <v>0</v>
      </c>
      <c r="DC30" s="68">
        <f t="shared" si="14"/>
        <v>0</v>
      </c>
      <c r="DD30" s="68">
        <f t="shared" si="15"/>
        <v>0</v>
      </c>
      <c r="DE30" s="68">
        <f t="shared" si="16"/>
        <v>0</v>
      </c>
      <c r="DF30" s="65">
        <f t="shared" ref="DF30:DF46" si="130">ROUND(IF(ISERROR(CM30),0,CM30),2)*100000+CH30*100+CF30+CL30/100+ROW()/100000</f>
        <v>1300203.1302999998</v>
      </c>
      <c r="DG30" s="65">
        <f t="shared" si="18"/>
        <v>16</v>
      </c>
      <c r="DH30" s="65">
        <v>0</v>
      </c>
      <c r="DI30" s="86" t="str">
        <f t="shared" ref="DI30:DI46" si="131">IF(CL30&gt;=50,(DA30*4+DB30*6+DH30*5)/CL30,"")</f>
        <v/>
      </c>
      <c r="DJ30" s="94">
        <f t="shared" ref="DJ30:DJ46" si="132">CQ30/(CH30-CI30)</f>
        <v>0</v>
      </c>
      <c r="DK30" s="174">
        <f t="shared" ref="DK30:DK46" si="133">CZ30</f>
        <v>0</v>
      </c>
      <c r="DL30" s="65" t="str">
        <f t="shared" ref="DL30:DL46" si="134">IF(CZ30=0,"",CZ30&amp;IF(DD30=0,""," ("&amp;DD30&amp;")"))</f>
        <v/>
      </c>
      <c r="DM30" s="65" t="str">
        <f t="shared" ref="DM30:DM46" si="135">IF(CZ30=0,"",C30)</f>
        <v/>
      </c>
      <c r="DN30" s="68">
        <f t="shared" ref="DN30:DN46" si="136">DB30</f>
        <v>0</v>
      </c>
      <c r="DO30" s="65" t="str">
        <f t="shared" ref="DO30:DO46" si="137">IF(DN30=0,"",C30)</f>
        <v/>
      </c>
      <c r="DP30" s="68">
        <f t="shared" ref="DP30:DP46" si="138">DA30</f>
        <v>2</v>
      </c>
      <c r="DQ30" s="65" t="str">
        <f t="shared" ref="DQ30:DQ46" si="139">IF(DP30=0,"",C30)</f>
        <v>Nair S</v>
      </c>
      <c r="DR30" s="68">
        <f t="shared" ref="DR30:DR46" si="140">DE30</f>
        <v>0</v>
      </c>
      <c r="DS30" s="65" t="str">
        <f t="shared" ref="DS30:DS46" si="141">IF(DR30=0,"",C30)</f>
        <v/>
      </c>
    </row>
    <row r="31" spans="2:123" x14ac:dyDescent="0.15">
      <c r="B31" t="s">
        <v>376</v>
      </c>
      <c r="C31" t="s">
        <v>377</v>
      </c>
      <c r="D31"/>
      <c r="E31"/>
      <c r="F31"/>
      <c r="G31" t="s">
        <v>378</v>
      </c>
      <c r="H31"/>
      <c r="I31" t="s">
        <v>410</v>
      </c>
      <c r="J31"/>
      <c r="K31"/>
      <c r="L31"/>
      <c r="M31"/>
      <c r="N31"/>
      <c r="O31"/>
      <c r="P31"/>
      <c r="Q31" s="118"/>
      <c r="R31"/>
      <c r="S31"/>
      <c r="T31"/>
      <c r="U31"/>
      <c r="V31"/>
      <c r="W31"/>
      <c r="X31"/>
      <c r="Y31"/>
      <c r="CE31" s="65" t="str">
        <f t="shared" si="121"/>
        <v>Naish J</v>
      </c>
      <c r="CF31" s="65">
        <f t="shared" si="122"/>
        <v>2</v>
      </c>
      <c r="CG31" s="65">
        <f t="shared" si="123"/>
        <v>0</v>
      </c>
      <c r="CH31" s="65">
        <f t="shared" si="124"/>
        <v>2</v>
      </c>
      <c r="CI31" s="65">
        <f t="shared" si="125"/>
        <v>0</v>
      </c>
      <c r="CJ31" s="65">
        <f t="shared" si="126"/>
        <v>12</v>
      </c>
      <c r="CK31" s="69">
        <f t="shared" si="127"/>
        <v>12</v>
      </c>
      <c r="CL31" s="65">
        <f t="shared" si="128"/>
        <v>12</v>
      </c>
      <c r="CM31" s="67">
        <f t="shared" si="129"/>
        <v>6</v>
      </c>
      <c r="CN31" s="65">
        <f t="shared" si="8"/>
        <v>10</v>
      </c>
      <c r="CO31" s="68">
        <f t="array" ref="CO31">SUM(IF(ISERR(FIND("*",D31:CD31)),0,1))</f>
        <v>0</v>
      </c>
      <c r="CP31" s="68">
        <f t="array" ref="CP31">SUM(IF(ISERR(FIND("+",D31:CD31)),0,1))</f>
        <v>0</v>
      </c>
      <c r="CQ31" s="65">
        <f t="shared" si="9"/>
        <v>1</v>
      </c>
      <c r="CR31" s="68">
        <f t="array" ref="CR31">SUM(IF(ISERR(FIND(CR$4,$D31:$CD31)),0,1))</f>
        <v>1</v>
      </c>
      <c r="CS31" s="68">
        <f t="array" ref="CS31">SUM(IF(ISERR(FIND(CS$4,$D31:$CD31)),0,1))</f>
        <v>1</v>
      </c>
      <c r="CT31" s="68">
        <f t="array" ref="CT31">SUM(IF(ISERR(FIND(CT$4,$D31:$CD31)),0,1))</f>
        <v>0</v>
      </c>
      <c r="CU31" s="68">
        <f t="array" ref="CU31">SUM(IF(ISERR(FIND(CU$4,$D31:$CD31)),0,1))</f>
        <v>0</v>
      </c>
      <c r="CV31" s="68">
        <f t="array" ref="CV31">SUM(IF(ISERR(FIND(CV$4,$D31:$CD31)),0,1))</f>
        <v>0</v>
      </c>
      <c r="CW31" s="68">
        <f t="array" ref="CW31">SUM(IF(ISERR(FIND(CW$4,$D31:$CD31)),0,1))</f>
        <v>0</v>
      </c>
      <c r="CX31" s="68">
        <f t="array" ref="CX31">SUM(IF(ISERR(FIND(CX$4,$D31:$CD31)),0,1))</f>
        <v>0</v>
      </c>
      <c r="CY31" s="68">
        <f t="shared" si="10"/>
        <v>0</v>
      </c>
      <c r="CZ31" s="68">
        <f t="shared" si="11"/>
        <v>2</v>
      </c>
      <c r="DA31" s="68">
        <f t="shared" si="12"/>
        <v>1</v>
      </c>
      <c r="DB31" s="68">
        <f t="shared" si="13"/>
        <v>1</v>
      </c>
      <c r="DC31" s="68">
        <f t="shared" si="14"/>
        <v>0</v>
      </c>
      <c r="DD31" s="68">
        <f t="shared" si="15"/>
        <v>0</v>
      </c>
      <c r="DE31" s="68">
        <f t="shared" si="16"/>
        <v>0</v>
      </c>
      <c r="DF31" s="65">
        <f t="shared" si="130"/>
        <v>600202.12031000003</v>
      </c>
      <c r="DG31" s="65">
        <f t="shared" si="18"/>
        <v>20</v>
      </c>
      <c r="DH31" s="65">
        <v>0</v>
      </c>
      <c r="DI31" s="86" t="str">
        <f t="shared" si="131"/>
        <v/>
      </c>
      <c r="DJ31" s="94">
        <f t="shared" si="132"/>
        <v>0.5</v>
      </c>
      <c r="DK31" s="174">
        <f t="shared" si="133"/>
        <v>2</v>
      </c>
      <c r="DL31" s="65" t="str">
        <f t="shared" si="134"/>
        <v>2</v>
      </c>
      <c r="DM31" s="65" t="str">
        <f t="shared" si="135"/>
        <v>Naish J</v>
      </c>
      <c r="DN31" s="68">
        <f t="shared" si="136"/>
        <v>1</v>
      </c>
      <c r="DO31" s="65" t="str">
        <f t="shared" si="137"/>
        <v>Naish J</v>
      </c>
      <c r="DP31" s="68">
        <f t="shared" si="138"/>
        <v>1</v>
      </c>
      <c r="DQ31" s="65" t="str">
        <f t="shared" si="139"/>
        <v>Naish J</v>
      </c>
      <c r="DR31" s="68">
        <f t="shared" si="140"/>
        <v>0</v>
      </c>
      <c r="DS31" s="65" t="str">
        <f t="shared" si="141"/>
        <v/>
      </c>
    </row>
    <row r="32" spans="2:123" x14ac:dyDescent="0.15">
      <c r="B32"/>
      <c r="C32" t="s">
        <v>276</v>
      </c>
      <c r="D32"/>
      <c r="E32" t="s">
        <v>333</v>
      </c>
      <c r="F32" t="s">
        <v>353</v>
      </c>
      <c r="G32"/>
      <c r="H32"/>
      <c r="I32" t="s">
        <v>407</v>
      </c>
      <c r="J32"/>
      <c r="K32" t="s">
        <v>442</v>
      </c>
      <c r="L32" t="s">
        <v>468</v>
      </c>
      <c r="M32"/>
      <c r="N32" t="s">
        <v>501</v>
      </c>
      <c r="O32" t="s">
        <v>517</v>
      </c>
      <c r="P32"/>
      <c r="Q32" s="118" t="s">
        <v>545</v>
      </c>
      <c r="R32" s="118"/>
      <c r="S32" s="118"/>
      <c r="T32" s="118" t="s">
        <v>594</v>
      </c>
      <c r="U32"/>
      <c r="V32"/>
      <c r="W32"/>
      <c r="X32"/>
      <c r="Y32"/>
      <c r="Z32" s="118"/>
      <c r="CE32" s="65" t="str">
        <f t="shared" si="121"/>
        <v>Niran S</v>
      </c>
      <c r="CF32" s="65">
        <f t="shared" si="122"/>
        <v>9</v>
      </c>
      <c r="CG32" s="65">
        <f t="shared" si="123"/>
        <v>0</v>
      </c>
      <c r="CH32" s="65">
        <f t="shared" si="124"/>
        <v>9</v>
      </c>
      <c r="CI32" s="65">
        <f t="shared" si="125"/>
        <v>1</v>
      </c>
      <c r="CJ32" s="65">
        <f t="shared" si="126"/>
        <v>-75</v>
      </c>
      <c r="CK32" s="69" t="str">
        <f t="shared" si="127"/>
        <v>75*</v>
      </c>
      <c r="CL32" s="65">
        <f t="shared" si="128"/>
        <v>212</v>
      </c>
      <c r="CM32" s="67">
        <f t="shared" si="129"/>
        <v>26.5</v>
      </c>
      <c r="CN32" s="65">
        <f t="shared" si="8"/>
        <v>0</v>
      </c>
      <c r="CO32" s="68">
        <f t="array" ref="CO32">SUM(IF(ISERR(FIND("*",D32:CD32)),0,1))</f>
        <v>0</v>
      </c>
      <c r="CP32" s="68">
        <f t="array" ref="CP32">SUM(IF(ISERR(FIND("+",D32:CD32)),0,1))</f>
        <v>8</v>
      </c>
      <c r="CQ32" s="65">
        <f t="shared" si="9"/>
        <v>0</v>
      </c>
      <c r="CR32" s="68">
        <f t="array" ref="CR32">SUM(IF(ISERR(FIND(CR$4,$D32:$CD32)),0,1))</f>
        <v>2</v>
      </c>
      <c r="CS32" s="68">
        <f t="array" ref="CS32">SUM(IF(ISERR(FIND(CS$4,$D32:$CD32)),0,1))</f>
        <v>6</v>
      </c>
      <c r="CT32" s="68">
        <f t="array" ref="CT32">SUM(IF(ISERR(FIND(CT$4,$D32:$CD32)),0,1))</f>
        <v>0</v>
      </c>
      <c r="CU32" s="68">
        <f t="array" ref="CU32">SUM(IF(ISERR(FIND(CU$4,$D32:$CD32)),0,1))</f>
        <v>0</v>
      </c>
      <c r="CV32" s="68">
        <f t="array" ref="CV32">SUM(IF(ISERR(FIND(CV$4,$D32:$CD32)),0,1))</f>
        <v>0</v>
      </c>
      <c r="CW32" s="68">
        <f t="array" ref="CW32">SUM(IF(ISERR(FIND(CW$4,$D32:$CD32)),0,1))</f>
        <v>0</v>
      </c>
      <c r="CX32" s="68">
        <f t="array" ref="CX32">SUM(IF(ISERR(FIND(CX$4,$D32:$CD32)),0,1))</f>
        <v>0</v>
      </c>
      <c r="CY32" s="68">
        <f t="shared" si="10"/>
        <v>1</v>
      </c>
      <c r="CZ32" s="68">
        <f t="shared" si="11"/>
        <v>5</v>
      </c>
      <c r="DA32" s="68">
        <f t="shared" si="12"/>
        <v>30</v>
      </c>
      <c r="DB32" s="68">
        <f t="shared" si="13"/>
        <v>2</v>
      </c>
      <c r="DC32" s="68">
        <f t="shared" si="14"/>
        <v>3</v>
      </c>
      <c r="DD32" s="68">
        <f t="shared" si="15"/>
        <v>5</v>
      </c>
      <c r="DE32" s="68">
        <f t="shared" si="16"/>
        <v>3</v>
      </c>
      <c r="DF32" s="65">
        <f t="shared" si="130"/>
        <v>2650911.1203200002</v>
      </c>
      <c r="DG32" s="65">
        <f t="shared" si="18"/>
        <v>7</v>
      </c>
      <c r="DH32" s="65">
        <v>0</v>
      </c>
      <c r="DI32" s="86">
        <f t="shared" si="131"/>
        <v>0.62264150943396224</v>
      </c>
      <c r="DJ32" s="94">
        <f t="shared" si="132"/>
        <v>0</v>
      </c>
      <c r="DK32" s="174">
        <f t="shared" si="133"/>
        <v>5</v>
      </c>
      <c r="DL32" s="65" t="str">
        <f t="shared" si="134"/>
        <v>5 (5)</v>
      </c>
      <c r="DM32" s="65" t="str">
        <f t="shared" si="135"/>
        <v>Niran S</v>
      </c>
      <c r="DN32" s="68">
        <f t="shared" si="136"/>
        <v>2</v>
      </c>
      <c r="DO32" s="65" t="str">
        <f t="shared" si="137"/>
        <v>Niran S</v>
      </c>
      <c r="DP32" s="68">
        <f t="shared" si="138"/>
        <v>30</v>
      </c>
      <c r="DQ32" s="65" t="str">
        <f t="shared" si="139"/>
        <v>Niran S</v>
      </c>
      <c r="DR32" s="68">
        <f t="shared" si="140"/>
        <v>3</v>
      </c>
      <c r="DS32" s="65" t="str">
        <f t="shared" si="141"/>
        <v>Niran S</v>
      </c>
    </row>
    <row r="33" spans="2:123" x14ac:dyDescent="0.15">
      <c r="B33" t="s">
        <v>575</v>
      </c>
      <c r="C33" t="s">
        <v>576</v>
      </c>
      <c r="D33"/>
      <c r="E33"/>
      <c r="F33"/>
      <c r="G33"/>
      <c r="H33"/>
      <c r="I33"/>
      <c r="J33"/>
      <c r="K33"/>
      <c r="L33"/>
      <c r="M33"/>
      <c r="N33"/>
      <c r="O33"/>
      <c r="P33"/>
      <c r="Q33" s="118"/>
      <c r="R33" s="118"/>
      <c r="S33" s="118" t="s">
        <v>577</v>
      </c>
      <c r="T33" s="118"/>
      <c r="U33"/>
      <c r="V33"/>
      <c r="W33"/>
      <c r="X33"/>
      <c r="Y33"/>
      <c r="Z33" s="118"/>
      <c r="CE33" s="65" t="str">
        <f t="shared" si="121"/>
        <v>O'Rourke</v>
      </c>
      <c r="CF33" s="65">
        <f t="shared" si="122"/>
        <v>1</v>
      </c>
      <c r="CG33" s="65">
        <f t="shared" si="123"/>
        <v>0</v>
      </c>
      <c r="CH33" s="65">
        <f t="shared" si="124"/>
        <v>1</v>
      </c>
      <c r="CI33" s="65">
        <f t="shared" si="125"/>
        <v>0</v>
      </c>
      <c r="CJ33" s="65">
        <f t="shared" si="126"/>
        <v>53</v>
      </c>
      <c r="CK33" s="69">
        <f t="shared" si="127"/>
        <v>53</v>
      </c>
      <c r="CL33" s="65">
        <f t="shared" si="128"/>
        <v>53</v>
      </c>
      <c r="CM33" s="67">
        <f t="shared" si="129"/>
        <v>53</v>
      </c>
      <c r="CN33" s="65">
        <f t="shared" si="8"/>
        <v>0</v>
      </c>
      <c r="CO33" s="68">
        <f t="array" ref="CO33">SUM(IF(ISERR(FIND("*",D33:CD33)),0,1))</f>
        <v>0</v>
      </c>
      <c r="CP33" s="68">
        <f t="array" ref="CP33">SUM(IF(ISERR(FIND("+",D33:CD33)),0,1))</f>
        <v>0</v>
      </c>
      <c r="CQ33" s="65">
        <f t="shared" si="9"/>
        <v>0</v>
      </c>
      <c r="CR33" s="68">
        <f t="array" ref="CR33">SUM(IF(ISERR(FIND(CR$4,$D33:$CD33)),0,1))</f>
        <v>0</v>
      </c>
      <c r="CS33" s="68">
        <f t="array" ref="CS33">SUM(IF(ISERR(FIND(CS$4,$D33:$CD33)),0,1))</f>
        <v>1</v>
      </c>
      <c r="CT33" s="68">
        <f t="array" ref="CT33">SUM(IF(ISERR(FIND(CT$4,$D33:$CD33)),0,1))</f>
        <v>0</v>
      </c>
      <c r="CU33" s="68">
        <f t="array" ref="CU33">SUM(IF(ISERR(FIND(CU$4,$D33:$CD33)),0,1))</f>
        <v>0</v>
      </c>
      <c r="CV33" s="68">
        <f t="array" ref="CV33">SUM(IF(ISERR(FIND(CV$4,$D33:$CD33)),0,1))</f>
        <v>0</v>
      </c>
      <c r="CW33" s="68">
        <f t="array" ref="CW33">SUM(IF(ISERR(FIND(CW$4,$D33:$CD33)),0,1))</f>
        <v>0</v>
      </c>
      <c r="CX33" s="68">
        <f t="array" ref="CX33">SUM(IF(ISERR(FIND(CX$4,$D33:$CD33)),0,1))</f>
        <v>0</v>
      </c>
      <c r="CY33" s="68">
        <f t="shared" si="10"/>
        <v>1</v>
      </c>
      <c r="CZ33" s="68">
        <f t="shared" si="11"/>
        <v>0</v>
      </c>
      <c r="DA33" s="68">
        <f t="shared" si="12"/>
        <v>7</v>
      </c>
      <c r="DB33" s="68">
        <f t="shared" si="13"/>
        <v>0</v>
      </c>
      <c r="DC33" s="68">
        <f t="shared" si="14"/>
        <v>0</v>
      </c>
      <c r="DD33" s="68">
        <f t="shared" si="15"/>
        <v>0</v>
      </c>
      <c r="DE33" s="68">
        <f t="shared" si="16"/>
        <v>1</v>
      </c>
      <c r="DF33" s="65">
        <f t="shared" si="130"/>
        <v>5300101.5303300004</v>
      </c>
      <c r="DG33" s="65">
        <f t="shared" si="18"/>
        <v>2</v>
      </c>
      <c r="DH33" s="65">
        <v>0</v>
      </c>
      <c r="DI33" s="86">
        <f t="shared" si="131"/>
        <v>0.52830188679245282</v>
      </c>
      <c r="DJ33" s="94">
        <f t="shared" si="132"/>
        <v>0</v>
      </c>
      <c r="DK33" s="174">
        <f t="shared" si="133"/>
        <v>0</v>
      </c>
      <c r="DL33" s="65" t="str">
        <f t="shared" si="134"/>
        <v/>
      </c>
      <c r="DM33" s="65" t="str">
        <f t="shared" si="135"/>
        <v/>
      </c>
      <c r="DN33" s="68">
        <f t="shared" si="136"/>
        <v>0</v>
      </c>
      <c r="DO33" s="65" t="str">
        <f t="shared" si="137"/>
        <v/>
      </c>
      <c r="DP33" s="68">
        <f t="shared" si="138"/>
        <v>7</v>
      </c>
      <c r="DQ33" s="65" t="str">
        <f t="shared" si="139"/>
        <v>O'Rourke</v>
      </c>
      <c r="DR33" s="68">
        <f t="shared" si="140"/>
        <v>1</v>
      </c>
      <c r="DS33" s="65" t="str">
        <f t="shared" si="141"/>
        <v>O'Rourke</v>
      </c>
    </row>
    <row r="34" spans="2:123" x14ac:dyDescent="0.15">
      <c r="B34"/>
      <c r="C34" t="s">
        <v>247</v>
      </c>
      <c r="D34"/>
      <c r="E34"/>
      <c r="F34"/>
      <c r="G34"/>
      <c r="H34" t="s">
        <v>389</v>
      </c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 s="118"/>
      <c r="CE34" s="65" t="str">
        <f t="shared" si="121"/>
        <v>Parboo R</v>
      </c>
      <c r="CF34" s="65">
        <f t="shared" si="122"/>
        <v>1</v>
      </c>
      <c r="CG34" s="65">
        <f t="shared" si="123"/>
        <v>0</v>
      </c>
      <c r="CH34" s="65">
        <f t="shared" si="124"/>
        <v>1</v>
      </c>
      <c r="CI34" s="65">
        <f t="shared" si="125"/>
        <v>0</v>
      </c>
      <c r="CJ34" s="65">
        <f t="shared" si="126"/>
        <v>3</v>
      </c>
      <c r="CK34" s="69">
        <f t="shared" si="127"/>
        <v>3</v>
      </c>
      <c r="CL34" s="65">
        <f t="shared" si="128"/>
        <v>3</v>
      </c>
      <c r="CM34" s="67">
        <f t="shared" si="129"/>
        <v>3</v>
      </c>
      <c r="CN34" s="65">
        <f t="shared" si="8"/>
        <v>0</v>
      </c>
      <c r="CO34" s="68">
        <f t="array" ref="CO34">SUM(IF(ISERR(FIND("*",D34:CD34)),0,1))</f>
        <v>0</v>
      </c>
      <c r="CP34" s="68">
        <f t="array" ref="CP34">SUM(IF(ISERR(FIND("+",D34:CD34)),0,1))</f>
        <v>0</v>
      </c>
      <c r="CQ34" s="65">
        <f t="shared" si="9"/>
        <v>0</v>
      </c>
      <c r="CR34" s="68">
        <f t="array" ref="CR34">SUM(IF(ISERR(FIND(CR$4,$D34:$CD34)),0,1))</f>
        <v>1</v>
      </c>
      <c r="CS34" s="68">
        <f t="array" ref="CS34">SUM(IF(ISERR(FIND(CS$4,$D34:$CD34)),0,1))</f>
        <v>0</v>
      </c>
      <c r="CT34" s="68">
        <f t="array" ref="CT34">SUM(IF(ISERR(FIND(CT$4,$D34:$CD34)),0,1))</f>
        <v>0</v>
      </c>
      <c r="CU34" s="68">
        <f t="array" ref="CU34">SUM(IF(ISERR(FIND(CU$4,$D34:$CD34)),0,1))</f>
        <v>0</v>
      </c>
      <c r="CV34" s="68">
        <f t="array" ref="CV34">SUM(IF(ISERR(FIND(CV$4,$D34:$CD34)),0,1))</f>
        <v>0</v>
      </c>
      <c r="CW34" s="68">
        <f t="array" ref="CW34">SUM(IF(ISERR(FIND(CW$4,$D34:$CD34)),0,1))</f>
        <v>0</v>
      </c>
      <c r="CX34" s="68">
        <f t="array" ref="CX34">SUM(IF(ISERR(FIND(CX$4,$D34:$CD34)),0,1))</f>
        <v>0</v>
      </c>
      <c r="CY34" s="68">
        <f t="shared" si="10"/>
        <v>0</v>
      </c>
      <c r="CZ34" s="68">
        <f t="shared" si="11"/>
        <v>0</v>
      </c>
      <c r="DA34" s="68">
        <f t="shared" si="12"/>
        <v>0</v>
      </c>
      <c r="DB34" s="68">
        <f t="shared" si="13"/>
        <v>0</v>
      </c>
      <c r="DC34" s="68">
        <f t="shared" si="14"/>
        <v>0</v>
      </c>
      <c r="DD34" s="68">
        <f t="shared" si="15"/>
        <v>0</v>
      </c>
      <c r="DE34" s="68">
        <f t="shared" si="16"/>
        <v>0</v>
      </c>
      <c r="DF34" s="65">
        <f t="shared" si="130"/>
        <v>300101.03034000006</v>
      </c>
      <c r="DG34" s="65">
        <f t="shared" si="18"/>
        <v>25</v>
      </c>
      <c r="DH34" s="65">
        <v>0</v>
      </c>
      <c r="DI34" s="86" t="str">
        <f t="shared" si="131"/>
        <v/>
      </c>
      <c r="DJ34" s="94">
        <f t="shared" si="132"/>
        <v>0</v>
      </c>
      <c r="DK34" s="174">
        <f t="shared" si="133"/>
        <v>0</v>
      </c>
      <c r="DL34" s="65" t="str">
        <f t="shared" si="134"/>
        <v/>
      </c>
      <c r="DM34" s="65" t="str">
        <f t="shared" si="135"/>
        <v/>
      </c>
      <c r="DN34" s="68">
        <f t="shared" si="136"/>
        <v>0</v>
      </c>
      <c r="DO34" s="65" t="str">
        <f t="shared" si="137"/>
        <v/>
      </c>
      <c r="DP34" s="68">
        <f t="shared" si="138"/>
        <v>0</v>
      </c>
      <c r="DQ34" s="65" t="str">
        <f t="shared" si="139"/>
        <v/>
      </c>
      <c r="DR34" s="68">
        <f t="shared" si="140"/>
        <v>0</v>
      </c>
      <c r="DS34" s="65" t="str">
        <f t="shared" si="141"/>
        <v/>
      </c>
    </row>
    <row r="35" spans="2:123" x14ac:dyDescent="0.15">
      <c r="B35" t="s">
        <v>242</v>
      </c>
      <c r="C35" t="s">
        <v>243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 s="118"/>
      <c r="CE35" s="65" t="str">
        <f t="shared" si="121"/>
        <v>Rathi N</v>
      </c>
      <c r="CF35" s="65">
        <f t="shared" si="122"/>
        <v>0</v>
      </c>
      <c r="CG35" s="65">
        <f t="shared" si="123"/>
        <v>0</v>
      </c>
      <c r="CH35" s="65">
        <f t="shared" si="124"/>
        <v>0</v>
      </c>
      <c r="CI35" s="65">
        <f t="shared" si="125"/>
        <v>0</v>
      </c>
      <c r="CJ35" s="65">
        <f t="shared" si="126"/>
        <v>0</v>
      </c>
      <c r="CK35" s="69">
        <f t="shared" si="127"/>
        <v>0</v>
      </c>
      <c r="CL35" s="65">
        <f t="shared" si="128"/>
        <v>0</v>
      </c>
      <c r="CM35" s="67">
        <f t="shared" si="129"/>
        <v>0</v>
      </c>
      <c r="CN35" s="65">
        <f t="shared" si="8"/>
        <v>0</v>
      </c>
      <c r="CO35" s="68">
        <f t="array" ref="CO35">SUM(IF(ISERR(FIND("*",D35:CD35)),0,1))</f>
        <v>0</v>
      </c>
      <c r="CP35" s="68">
        <f t="array" ref="CP35">SUM(IF(ISERR(FIND("+",D35:CD35)),0,1))</f>
        <v>0</v>
      </c>
      <c r="CQ35" s="65">
        <f t="shared" si="9"/>
        <v>0</v>
      </c>
      <c r="CR35" s="68">
        <f t="array" ref="CR35">SUM(IF(ISERR(FIND(CR$4,$D35:$CD35)),0,1))</f>
        <v>0</v>
      </c>
      <c r="CS35" s="68">
        <f t="array" ref="CS35">SUM(IF(ISERR(FIND(CS$4,$D35:$CD35)),0,1))</f>
        <v>0</v>
      </c>
      <c r="CT35" s="68">
        <f t="array" ref="CT35">SUM(IF(ISERR(FIND(CT$4,$D35:$CD35)),0,1))</f>
        <v>0</v>
      </c>
      <c r="CU35" s="68">
        <f t="array" ref="CU35">SUM(IF(ISERR(FIND(CU$4,$D35:$CD35)),0,1))</f>
        <v>0</v>
      </c>
      <c r="CV35" s="68">
        <f t="array" ref="CV35">SUM(IF(ISERR(FIND(CV$4,$D35:$CD35)),0,1))</f>
        <v>0</v>
      </c>
      <c r="CW35" s="68">
        <f t="array" ref="CW35">SUM(IF(ISERR(FIND(CW$4,$D35:$CD35)),0,1))</f>
        <v>0</v>
      </c>
      <c r="CX35" s="68">
        <f t="array" ref="CX35">SUM(IF(ISERR(FIND(CX$4,$D35:$CD35)),0,1))</f>
        <v>0</v>
      </c>
      <c r="CY35" s="68">
        <f t="shared" si="10"/>
        <v>0</v>
      </c>
      <c r="CZ35" s="68">
        <f t="shared" si="11"/>
        <v>0</v>
      </c>
      <c r="DA35" s="68">
        <f t="shared" si="12"/>
        <v>0</v>
      </c>
      <c r="DB35" s="68">
        <f t="shared" si="13"/>
        <v>0</v>
      </c>
      <c r="DC35" s="68">
        <f t="shared" si="14"/>
        <v>0</v>
      </c>
      <c r="DD35" s="68">
        <f t="shared" si="15"/>
        <v>0</v>
      </c>
      <c r="DE35" s="68">
        <f t="shared" si="16"/>
        <v>0</v>
      </c>
      <c r="DF35" s="65">
        <f t="shared" si="130"/>
        <v>3.5E-4</v>
      </c>
      <c r="DG35" s="65">
        <f t="shared" si="18"/>
        <v>39</v>
      </c>
      <c r="DH35" s="65">
        <v>0</v>
      </c>
      <c r="DI35" s="86" t="str">
        <f t="shared" si="131"/>
        <v/>
      </c>
      <c r="DJ35" s="94" t="e">
        <f t="shared" si="132"/>
        <v>#DIV/0!</v>
      </c>
      <c r="DK35" s="174">
        <f t="shared" si="133"/>
        <v>0</v>
      </c>
      <c r="DL35" s="65" t="str">
        <f t="shared" si="134"/>
        <v/>
      </c>
      <c r="DM35" s="65" t="str">
        <f t="shared" si="135"/>
        <v/>
      </c>
      <c r="DN35" s="68">
        <f t="shared" si="136"/>
        <v>0</v>
      </c>
      <c r="DO35" s="65" t="str">
        <f t="shared" si="137"/>
        <v/>
      </c>
      <c r="DP35" s="68">
        <f t="shared" si="138"/>
        <v>0</v>
      </c>
      <c r="DQ35" s="65" t="str">
        <f t="shared" si="139"/>
        <v/>
      </c>
      <c r="DR35" s="68">
        <f t="shared" si="140"/>
        <v>0</v>
      </c>
      <c r="DS35" s="65" t="str">
        <f t="shared" si="141"/>
        <v/>
      </c>
    </row>
    <row r="36" spans="2:123" x14ac:dyDescent="0.15">
      <c r="B36" s="118" t="s">
        <v>311</v>
      </c>
      <c r="C36" s="118" t="s">
        <v>312</v>
      </c>
      <c r="D36" t="s">
        <v>313</v>
      </c>
      <c r="E36"/>
      <c r="F36" t="s">
        <v>614</v>
      </c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CE36" s="65" t="str">
        <f t="shared" si="121"/>
        <v>Seev J</v>
      </c>
      <c r="CF36" s="65">
        <f t="shared" si="122"/>
        <v>2</v>
      </c>
      <c r="CG36" s="65">
        <f t="shared" si="123"/>
        <v>0</v>
      </c>
      <c r="CH36" s="65">
        <f t="shared" si="124"/>
        <v>2</v>
      </c>
      <c r="CI36" s="65">
        <f t="shared" si="125"/>
        <v>0</v>
      </c>
      <c r="CJ36" s="65">
        <f t="shared" si="126"/>
        <v>7</v>
      </c>
      <c r="CK36" s="69">
        <f t="shared" si="127"/>
        <v>7</v>
      </c>
      <c r="CL36" s="65">
        <f t="shared" si="128"/>
        <v>7</v>
      </c>
      <c r="CM36" s="67">
        <f t="shared" si="129"/>
        <v>3.5</v>
      </c>
      <c r="CN36" s="65">
        <f t="shared" si="8"/>
        <v>5</v>
      </c>
      <c r="CO36" s="68">
        <f t="array" ref="CO36">SUM(IF(ISERR(FIND("*",D36:CD36)),0,1))</f>
        <v>0</v>
      </c>
      <c r="CP36" s="68">
        <f t="array" ref="CP36">SUM(IF(ISERR(FIND("+",D36:CD36)),0,1))</f>
        <v>0</v>
      </c>
      <c r="CQ36" s="65">
        <f t="shared" si="9"/>
        <v>1</v>
      </c>
      <c r="CR36" s="68">
        <f t="array" ref="CR36">SUM(IF(ISERR(FIND(CR$4,$D36:$CD36)),0,1))</f>
        <v>1</v>
      </c>
      <c r="CS36" s="68">
        <f t="array" ref="CS36">SUM(IF(ISERR(FIND(CS$4,$D36:$CD36)),0,1))</f>
        <v>1</v>
      </c>
      <c r="CT36" s="68">
        <f t="array" ref="CT36">SUM(IF(ISERR(FIND(CT$4,$D36:$CD36)),0,1))</f>
        <v>0</v>
      </c>
      <c r="CU36" s="68">
        <f t="array" ref="CU36">SUM(IF(ISERR(FIND(CU$4,$D36:$CD36)),0,1))</f>
        <v>0</v>
      </c>
      <c r="CV36" s="68">
        <f t="array" ref="CV36">SUM(IF(ISERR(FIND(CV$4,$D36:$CD36)),0,1))</f>
        <v>0</v>
      </c>
      <c r="CW36" s="68">
        <f t="array" ref="CW36">SUM(IF(ISERR(FIND(CW$4,$D36:$CD36)),0,1))</f>
        <v>0</v>
      </c>
      <c r="CX36" s="68">
        <f t="array" ref="CX36">SUM(IF(ISERR(FIND(CX$4,$D36:$CD36)),0,1))</f>
        <v>0</v>
      </c>
      <c r="CY36" s="68">
        <f t="shared" si="10"/>
        <v>0</v>
      </c>
      <c r="CZ36" s="68">
        <f t="shared" si="11"/>
        <v>1</v>
      </c>
      <c r="DA36" s="68">
        <f t="shared" si="12"/>
        <v>1</v>
      </c>
      <c r="DB36" s="68">
        <f t="shared" si="13"/>
        <v>0</v>
      </c>
      <c r="DC36" s="68">
        <f t="shared" si="14"/>
        <v>0</v>
      </c>
      <c r="DD36" s="68">
        <f t="shared" si="15"/>
        <v>0</v>
      </c>
      <c r="DE36" s="68">
        <f t="shared" si="16"/>
        <v>0</v>
      </c>
      <c r="DF36" s="65">
        <f t="shared" si="130"/>
        <v>350202.07036000001</v>
      </c>
      <c r="DG36" s="65">
        <f t="shared" si="18"/>
        <v>24</v>
      </c>
      <c r="DH36" s="65">
        <v>0</v>
      </c>
      <c r="DI36" s="86" t="str">
        <f t="shared" si="131"/>
        <v/>
      </c>
      <c r="DJ36" s="94">
        <f t="shared" si="132"/>
        <v>0.5</v>
      </c>
      <c r="DK36" s="174">
        <f t="shared" si="133"/>
        <v>1</v>
      </c>
      <c r="DL36" s="65" t="str">
        <f t="shared" si="134"/>
        <v>1</v>
      </c>
      <c r="DM36" s="65" t="str">
        <f t="shared" si="135"/>
        <v>Seev J</v>
      </c>
      <c r="DN36" s="68">
        <f t="shared" si="136"/>
        <v>0</v>
      </c>
      <c r="DO36" s="65" t="str">
        <f t="shared" si="137"/>
        <v/>
      </c>
      <c r="DP36" s="68">
        <f t="shared" si="138"/>
        <v>1</v>
      </c>
      <c r="DQ36" s="65" t="str">
        <f t="shared" si="139"/>
        <v>Seev J</v>
      </c>
      <c r="DR36" s="68">
        <f t="shared" si="140"/>
        <v>0</v>
      </c>
      <c r="DS36" s="65" t="str">
        <f t="shared" si="141"/>
        <v/>
      </c>
    </row>
    <row r="37" spans="2:123" x14ac:dyDescent="0.15">
      <c r="B37" s="65" t="s">
        <v>28</v>
      </c>
      <c r="C37" s="65" t="s">
        <v>200</v>
      </c>
      <c r="D37" t="s">
        <v>316</v>
      </c>
      <c r="E37" t="s">
        <v>331</v>
      </c>
      <c r="F37" t="s">
        <v>357</v>
      </c>
      <c r="G37" t="s">
        <v>372</v>
      </c>
      <c r="H37" t="s">
        <v>605</v>
      </c>
      <c r="I37" t="s">
        <v>307</v>
      </c>
      <c r="J37" s="118" t="s">
        <v>424</v>
      </c>
      <c r="K37" s="118" t="s">
        <v>450</v>
      </c>
      <c r="L37" s="118" t="s">
        <v>466</v>
      </c>
      <c r="M37" s="118" t="s">
        <v>483</v>
      </c>
      <c r="N37" s="118" t="s">
        <v>499</v>
      </c>
      <c r="O37" s="118" t="s">
        <v>516</v>
      </c>
      <c r="P37" s="118" t="s">
        <v>607</v>
      </c>
      <c r="Q37" s="118" t="s">
        <v>203</v>
      </c>
      <c r="R37" s="118" t="s">
        <v>261</v>
      </c>
      <c r="S37" s="118" t="s">
        <v>572</v>
      </c>
      <c r="T37" s="118" t="s">
        <v>592</v>
      </c>
      <c r="U37"/>
      <c r="W37"/>
      <c r="X37"/>
      <c r="Y37"/>
      <c r="Z37"/>
      <c r="CE37" s="65" t="str">
        <f t="shared" si="121"/>
        <v>Seymour C</v>
      </c>
      <c r="CF37" s="65">
        <f t="shared" si="122"/>
        <v>17</v>
      </c>
      <c r="CG37" s="65">
        <f t="shared" si="123"/>
        <v>2</v>
      </c>
      <c r="CH37" s="65">
        <f t="shared" si="124"/>
        <v>15</v>
      </c>
      <c r="CI37" s="65">
        <f t="shared" si="125"/>
        <v>1</v>
      </c>
      <c r="CJ37" s="65">
        <f t="shared" si="126"/>
        <v>64</v>
      </c>
      <c r="CK37" s="69">
        <f t="shared" si="127"/>
        <v>64</v>
      </c>
      <c r="CL37" s="65">
        <f t="shared" si="128"/>
        <v>267</v>
      </c>
      <c r="CM37" s="67">
        <f t="shared" si="129"/>
        <v>19.071428571428573</v>
      </c>
      <c r="CN37" s="65">
        <f t="shared" si="8"/>
        <v>25</v>
      </c>
      <c r="CO37" s="68">
        <f t="array" ref="CO37">SUM(IF(ISERR(FIND("*",D37:CD37)),0,1))</f>
        <v>0</v>
      </c>
      <c r="CP37" s="68">
        <f t="array" ref="CP37">SUM(IF(ISERR(FIND("+",D37:CD37)),0,1))</f>
        <v>0</v>
      </c>
      <c r="CQ37" s="65">
        <f t="shared" si="9"/>
        <v>1</v>
      </c>
      <c r="CR37" s="68">
        <f t="array" ref="CR37">SUM(IF(ISERR(FIND(CR$4,$D37:$CD37)),0,1))</f>
        <v>6</v>
      </c>
      <c r="CS37" s="68">
        <f t="array" ref="CS37">SUM(IF(ISERR(FIND(CS$4,$D37:$CD37)),0,1))</f>
        <v>7</v>
      </c>
      <c r="CT37" s="68">
        <f t="array" ref="CT37">SUM(IF(ISERR(FIND(CT$4,$D37:$CD37)),0,1))</f>
        <v>1</v>
      </c>
      <c r="CU37" s="68">
        <f t="array" ref="CU37">SUM(IF(ISERR(FIND(CU$4,$D37:$CD37)),0,1))</f>
        <v>0</v>
      </c>
      <c r="CV37" s="68">
        <f t="array" ref="CV37">SUM(IF(ISERR(FIND(CV$4,$D37:$CD37)),0,1))</f>
        <v>0</v>
      </c>
      <c r="CW37" s="68">
        <f t="array" ref="CW37">SUM(IF(ISERR(FIND(CW$4,$D37:$CD37)),0,1))</f>
        <v>0</v>
      </c>
      <c r="CX37" s="68">
        <f t="array" ref="CX37">SUM(IF(ISERR(FIND(CX$4,$D37:$CD37)),0,1))</f>
        <v>0</v>
      </c>
      <c r="CY37" s="68">
        <f t="shared" si="10"/>
        <v>1</v>
      </c>
      <c r="CZ37" s="68">
        <f t="shared" si="11"/>
        <v>5</v>
      </c>
      <c r="DA37" s="68">
        <f t="shared" si="12"/>
        <v>40</v>
      </c>
      <c r="DB37" s="68">
        <f t="shared" si="13"/>
        <v>0</v>
      </c>
      <c r="DC37" s="68">
        <f t="shared" si="14"/>
        <v>0</v>
      </c>
      <c r="DD37" s="68">
        <f t="shared" si="15"/>
        <v>0</v>
      </c>
      <c r="DE37" s="68">
        <f t="shared" si="16"/>
        <v>3</v>
      </c>
      <c r="DF37" s="65">
        <f t="shared" si="130"/>
        <v>1908519.6703699999</v>
      </c>
      <c r="DG37" s="65">
        <f t="shared" si="18"/>
        <v>11</v>
      </c>
      <c r="DH37" s="65">
        <v>0</v>
      </c>
      <c r="DI37" s="86">
        <f t="shared" si="131"/>
        <v>0.59925093632958804</v>
      </c>
      <c r="DJ37" s="94">
        <f t="shared" si="132"/>
        <v>7.1428571428571425E-2</v>
      </c>
      <c r="DK37" s="174">
        <f t="shared" si="133"/>
        <v>5</v>
      </c>
      <c r="DL37" s="65" t="str">
        <f t="shared" si="134"/>
        <v>5</v>
      </c>
      <c r="DM37" s="65" t="str">
        <f t="shared" si="135"/>
        <v>Seymour C</v>
      </c>
      <c r="DN37" s="68">
        <f t="shared" si="136"/>
        <v>0</v>
      </c>
      <c r="DO37" s="65" t="str">
        <f t="shared" si="137"/>
        <v/>
      </c>
      <c r="DP37" s="68">
        <f t="shared" si="138"/>
        <v>40</v>
      </c>
      <c r="DQ37" s="65" t="str">
        <f t="shared" si="139"/>
        <v>Seymour C</v>
      </c>
      <c r="DR37" s="68">
        <f t="shared" si="140"/>
        <v>3</v>
      </c>
      <c r="DS37" s="65" t="str">
        <f t="shared" si="141"/>
        <v>Seymour C</v>
      </c>
    </row>
    <row r="38" spans="2:123" x14ac:dyDescent="0.15">
      <c r="B38" s="65" t="s">
        <v>24</v>
      </c>
      <c r="C38" s="65" t="s">
        <v>138</v>
      </c>
      <c r="D38" t="s">
        <v>314</v>
      </c>
      <c r="E38" t="s">
        <v>332</v>
      </c>
      <c r="F38"/>
      <c r="G38" t="s">
        <v>366</v>
      </c>
      <c r="H38"/>
      <c r="I38" t="s">
        <v>420</v>
      </c>
      <c r="J38"/>
      <c r="K38" t="s">
        <v>443</v>
      </c>
      <c r="L38" t="s">
        <v>465</v>
      </c>
      <c r="M38" t="s">
        <v>484</v>
      </c>
      <c r="N38" t="s">
        <v>500</v>
      </c>
      <c r="O38"/>
      <c r="P38"/>
      <c r="Q38" t="s">
        <v>547</v>
      </c>
      <c r="R38" t="s">
        <v>557</v>
      </c>
      <c r="S38"/>
      <c r="T38"/>
      <c r="U38"/>
      <c r="V38"/>
      <c r="W38"/>
      <c r="X38"/>
      <c r="Y38"/>
      <c r="Z38"/>
      <c r="CE38" s="65" t="str">
        <f t="shared" si="121"/>
        <v>Sharpe D</v>
      </c>
      <c r="CF38" s="65">
        <f t="shared" si="122"/>
        <v>10</v>
      </c>
      <c r="CG38" s="65">
        <f t="shared" si="123"/>
        <v>0</v>
      </c>
      <c r="CH38" s="65">
        <f t="shared" si="124"/>
        <v>10</v>
      </c>
      <c r="CI38" s="65">
        <f t="shared" si="125"/>
        <v>2</v>
      </c>
      <c r="CJ38" s="65">
        <f t="shared" si="126"/>
        <v>100</v>
      </c>
      <c r="CK38" s="69">
        <f t="shared" si="127"/>
        <v>100</v>
      </c>
      <c r="CL38" s="65">
        <f t="shared" si="128"/>
        <v>565</v>
      </c>
      <c r="CM38" s="67">
        <f t="shared" si="129"/>
        <v>70.625</v>
      </c>
      <c r="CN38" s="65">
        <f t="shared" si="8"/>
        <v>5</v>
      </c>
      <c r="CO38" s="68">
        <f t="array" ref="CO38">SUM(IF(ISERR(FIND("*",D38:CD38)),0,1))</f>
        <v>1</v>
      </c>
      <c r="CP38" s="68">
        <f t="array" ref="CP38">SUM(IF(ISERR(FIND("+",D38:CD38)),0,1))</f>
        <v>1</v>
      </c>
      <c r="CQ38" s="65">
        <f t="shared" si="9"/>
        <v>0</v>
      </c>
      <c r="CR38" s="68">
        <f t="array" ref="CR38">SUM(IF(ISERR(FIND(CR$4,$D38:$CD38)),0,1))</f>
        <v>4</v>
      </c>
      <c r="CS38" s="68">
        <f t="array" ref="CS38">SUM(IF(ISERR(FIND(CS$4,$D38:$CD38)),0,1))</f>
        <v>2</v>
      </c>
      <c r="CT38" s="68">
        <f t="array" ref="CT38">SUM(IF(ISERR(FIND(CT$4,$D38:$CD38)),0,1))</f>
        <v>0</v>
      </c>
      <c r="CU38" s="68">
        <f t="array" ref="CU38">SUM(IF(ISERR(FIND(CU$4,$D38:$CD38)),0,1))</f>
        <v>1</v>
      </c>
      <c r="CV38" s="68">
        <f t="array" ref="CV38">SUM(IF(ISERR(FIND(CV$4,$D38:$CD38)),0,1))</f>
        <v>1</v>
      </c>
      <c r="CW38" s="68">
        <f t="array" ref="CW38">SUM(IF(ISERR(FIND(CW$4,$D38:$CD38)),0,1))</f>
        <v>0</v>
      </c>
      <c r="CX38" s="68">
        <f t="array" ref="CX38">SUM(IF(ISERR(FIND(CX$4,$D38:$CD38)),0,1))</f>
        <v>0</v>
      </c>
      <c r="CY38" s="68">
        <f t="shared" si="10"/>
        <v>7</v>
      </c>
      <c r="CZ38" s="68">
        <f t="shared" si="11"/>
        <v>1</v>
      </c>
      <c r="DA38" s="68">
        <f t="shared" si="12"/>
        <v>84</v>
      </c>
      <c r="DB38" s="68">
        <f t="shared" si="13"/>
        <v>13</v>
      </c>
      <c r="DC38" s="68">
        <f t="shared" si="14"/>
        <v>0</v>
      </c>
      <c r="DD38" s="68">
        <f t="shared" si="15"/>
        <v>0</v>
      </c>
      <c r="DE38" s="68">
        <f t="shared" si="16"/>
        <v>9</v>
      </c>
      <c r="DF38" s="65">
        <f t="shared" si="130"/>
        <v>7064015.6503800005</v>
      </c>
      <c r="DG38" s="65">
        <f t="shared" si="18"/>
        <v>1</v>
      </c>
      <c r="DH38" s="65">
        <v>0</v>
      </c>
      <c r="DI38" s="86">
        <f t="shared" si="131"/>
        <v>0.73274336283185837</v>
      </c>
      <c r="DJ38" s="94">
        <f t="shared" si="132"/>
        <v>0</v>
      </c>
      <c r="DK38" s="174">
        <f t="shared" si="133"/>
        <v>1</v>
      </c>
      <c r="DL38" s="65" t="str">
        <f t="shared" si="134"/>
        <v>1</v>
      </c>
      <c r="DM38" s="65" t="str">
        <f t="shared" si="135"/>
        <v>Sharpe D</v>
      </c>
      <c r="DN38" s="68">
        <f t="shared" si="136"/>
        <v>13</v>
      </c>
      <c r="DO38" s="65" t="str">
        <f t="shared" si="137"/>
        <v>Sharpe D</v>
      </c>
      <c r="DP38" s="68">
        <f t="shared" si="138"/>
        <v>84</v>
      </c>
      <c r="DQ38" s="65" t="str">
        <f t="shared" si="139"/>
        <v>Sharpe D</v>
      </c>
      <c r="DR38" s="68">
        <f t="shared" si="140"/>
        <v>9</v>
      </c>
      <c r="DS38" s="65" t="str">
        <f t="shared" si="141"/>
        <v>Sharpe D</v>
      </c>
    </row>
    <row r="39" spans="2:123" x14ac:dyDescent="0.15">
      <c r="B39" s="118" t="s">
        <v>425</v>
      </c>
      <c r="C39" s="118" t="s">
        <v>273</v>
      </c>
      <c r="D39"/>
      <c r="E39"/>
      <c r="F39"/>
      <c r="G39"/>
      <c r="H39"/>
      <c r="I39"/>
      <c r="J39" t="s">
        <v>426</v>
      </c>
      <c r="K39" t="s">
        <v>441</v>
      </c>
      <c r="L39" t="s">
        <v>469</v>
      </c>
      <c r="M39" t="s">
        <v>485</v>
      </c>
      <c r="N39"/>
      <c r="O39"/>
      <c r="P39" t="s">
        <v>536</v>
      </c>
      <c r="Q39"/>
      <c r="R39"/>
      <c r="S39"/>
      <c r="T39" t="s">
        <v>593</v>
      </c>
      <c r="U39"/>
      <c r="V39"/>
      <c r="W39"/>
      <c r="X39"/>
      <c r="Y39"/>
      <c r="Z39"/>
      <c r="CE39" s="65" t="str">
        <f t="shared" si="121"/>
        <v>Shome G</v>
      </c>
      <c r="CF39" s="65">
        <f t="shared" si="122"/>
        <v>6</v>
      </c>
      <c r="CG39" s="65">
        <f t="shared" si="123"/>
        <v>0</v>
      </c>
      <c r="CH39" s="65">
        <f t="shared" si="124"/>
        <v>6</v>
      </c>
      <c r="CI39" s="65">
        <f t="shared" si="125"/>
        <v>0</v>
      </c>
      <c r="CJ39" s="65">
        <f t="shared" si="126"/>
        <v>77</v>
      </c>
      <c r="CK39" s="69">
        <f t="shared" si="127"/>
        <v>77</v>
      </c>
      <c r="CL39" s="65">
        <f t="shared" si="128"/>
        <v>144</v>
      </c>
      <c r="CM39" s="67">
        <f t="shared" si="129"/>
        <v>24</v>
      </c>
      <c r="CN39" s="65">
        <f t="shared" si="8"/>
        <v>10</v>
      </c>
      <c r="CO39" s="68">
        <f t="array" ref="CO39">SUM(IF(ISERR(FIND("*",D39:CD39)),0,1))</f>
        <v>0</v>
      </c>
      <c r="CP39" s="68">
        <f t="array" ref="CP39">SUM(IF(ISERR(FIND("+",D39:CD39)),0,1))</f>
        <v>0</v>
      </c>
      <c r="CQ39" s="65">
        <f t="shared" si="9"/>
        <v>2</v>
      </c>
      <c r="CR39" s="68">
        <f t="array" ref="CR39">SUM(IF(ISERR(FIND(CR$4,$D39:$CD39)),0,1))</f>
        <v>2</v>
      </c>
      <c r="CS39" s="68">
        <f t="array" ref="CS39">SUM(IF(ISERR(FIND(CS$4,$D39:$CD39)),0,1))</f>
        <v>2</v>
      </c>
      <c r="CT39" s="68">
        <f t="array" ref="CT39">SUM(IF(ISERR(FIND(CT$4,$D39:$CD39)),0,1))</f>
        <v>2</v>
      </c>
      <c r="CU39" s="68">
        <f t="array" ref="CU39">SUM(IF(ISERR(FIND(CU$4,$D39:$CD39)),0,1))</f>
        <v>0</v>
      </c>
      <c r="CV39" s="68">
        <f t="array" ref="CV39">SUM(IF(ISERR(FIND(CV$4,$D39:$CD39)),0,1))</f>
        <v>0</v>
      </c>
      <c r="CW39" s="68">
        <f t="array" ref="CW39">SUM(IF(ISERR(FIND(CW$4,$D39:$CD39)),0,1))</f>
        <v>0</v>
      </c>
      <c r="CX39" s="68">
        <f t="array" ref="CX39">SUM(IF(ISERR(FIND(CX$4,$D39:$CD39)),0,1))</f>
        <v>0</v>
      </c>
      <c r="CY39" s="68">
        <f t="shared" si="10"/>
        <v>1</v>
      </c>
      <c r="CZ39" s="68">
        <f t="shared" si="11"/>
        <v>2</v>
      </c>
      <c r="DA39" s="68">
        <f t="shared" si="12"/>
        <v>16</v>
      </c>
      <c r="DB39" s="68">
        <f t="shared" si="13"/>
        <v>5</v>
      </c>
      <c r="DC39" s="68">
        <f t="shared" si="14"/>
        <v>0</v>
      </c>
      <c r="DD39" s="68">
        <f t="shared" si="15"/>
        <v>0</v>
      </c>
      <c r="DE39" s="68">
        <f t="shared" si="16"/>
        <v>3</v>
      </c>
      <c r="DF39" s="65">
        <f t="shared" si="130"/>
        <v>2400607.4403900001</v>
      </c>
      <c r="DG39" s="65">
        <f t="shared" si="18"/>
        <v>8</v>
      </c>
      <c r="DH39" s="65">
        <v>0</v>
      </c>
      <c r="DI39" s="86">
        <f t="shared" si="131"/>
        <v>0.65277777777777779</v>
      </c>
      <c r="DJ39" s="94">
        <f t="shared" si="132"/>
        <v>0.33333333333333331</v>
      </c>
      <c r="DK39" s="174">
        <f t="shared" si="133"/>
        <v>2</v>
      </c>
      <c r="DL39" s="65" t="str">
        <f t="shared" si="134"/>
        <v>2</v>
      </c>
      <c r="DM39" s="65" t="str">
        <f t="shared" si="135"/>
        <v>Shome G</v>
      </c>
      <c r="DN39" s="68">
        <f t="shared" si="136"/>
        <v>5</v>
      </c>
      <c r="DO39" s="65" t="str">
        <f t="shared" si="137"/>
        <v>Shome G</v>
      </c>
      <c r="DP39" s="68">
        <f t="shared" si="138"/>
        <v>16</v>
      </c>
      <c r="DQ39" s="65" t="str">
        <f t="shared" si="139"/>
        <v>Shome G</v>
      </c>
      <c r="DR39" s="68">
        <f t="shared" si="140"/>
        <v>3</v>
      </c>
      <c r="DS39" s="65" t="str">
        <f t="shared" si="141"/>
        <v>Shome G</v>
      </c>
    </row>
    <row r="40" spans="2:123" x14ac:dyDescent="0.15">
      <c r="B40" s="65" t="s">
        <v>26</v>
      </c>
      <c r="C40" s="65" t="s">
        <v>193</v>
      </c>
      <c r="D40"/>
      <c r="E40" t="s">
        <v>293</v>
      </c>
      <c r="F40"/>
      <c r="G40" s="118"/>
      <c r="H40" s="118"/>
      <c r="I40" s="118"/>
      <c r="J40" s="118" t="s">
        <v>381</v>
      </c>
      <c r="K40" s="118" t="s">
        <v>448</v>
      </c>
      <c r="L40" s="118" t="s">
        <v>472</v>
      </c>
      <c r="M40" s="118"/>
      <c r="N40" s="118"/>
      <c r="O40" s="118"/>
      <c r="P40" s="118"/>
      <c r="Q40" s="118" t="s">
        <v>227</v>
      </c>
      <c r="R40" s="118" t="s">
        <v>228</v>
      </c>
      <c r="S40" s="118" t="s">
        <v>227</v>
      </c>
      <c r="T40" s="118" t="s">
        <v>228</v>
      </c>
      <c r="U40" s="118"/>
      <c r="V40" s="118"/>
      <c r="W40" s="118"/>
      <c r="X40" s="118"/>
      <c r="Y40" s="118"/>
      <c r="CE40" s="65" t="str">
        <f t="shared" si="121"/>
        <v>Smith C</v>
      </c>
      <c r="CF40" s="65">
        <f t="shared" si="122"/>
        <v>8</v>
      </c>
      <c r="CG40" s="65">
        <f t="shared" si="123"/>
        <v>4</v>
      </c>
      <c r="CH40" s="65">
        <f t="shared" si="124"/>
        <v>4</v>
      </c>
      <c r="CI40" s="65">
        <f t="shared" si="125"/>
        <v>1</v>
      </c>
      <c r="CJ40" s="65">
        <f t="shared" si="126"/>
        <v>-12</v>
      </c>
      <c r="CK40" s="69" t="str">
        <f t="shared" si="127"/>
        <v>12*</v>
      </c>
      <c r="CL40" s="65">
        <f t="shared" si="128"/>
        <v>21</v>
      </c>
      <c r="CM40" s="67">
        <f t="shared" si="129"/>
        <v>7</v>
      </c>
      <c r="CN40" s="65">
        <f t="shared" si="8"/>
        <v>5</v>
      </c>
      <c r="CO40" s="68">
        <f t="array" ref="CO40">SUM(IF(ISERR(FIND("*",D40:CD40)),0,1))</f>
        <v>0</v>
      </c>
      <c r="CP40" s="68">
        <f t="array" ref="CP40">SUM(IF(ISERR(FIND("+",D40:CD40)),0,1))</f>
        <v>0</v>
      </c>
      <c r="CQ40" s="65">
        <f t="shared" si="9"/>
        <v>2</v>
      </c>
      <c r="CR40" s="68">
        <f t="array" ref="CR40">SUM(IF(ISERR(FIND(CR$4,$D40:$CD40)),0,1))</f>
        <v>1</v>
      </c>
      <c r="CS40" s="68">
        <f t="array" ref="CS40">SUM(IF(ISERR(FIND(CS$4,$D40:$CD40)),0,1))</f>
        <v>1</v>
      </c>
      <c r="CT40" s="68">
        <f t="array" ref="CT40">SUM(IF(ISERR(FIND(CT$4,$D40:$CD40)),0,1))</f>
        <v>1</v>
      </c>
      <c r="CU40" s="68">
        <f t="array" ref="CU40">SUM(IF(ISERR(FIND(CU$4,$D40:$CD40)),0,1))</f>
        <v>0</v>
      </c>
      <c r="CV40" s="68">
        <f t="array" ref="CV40">SUM(IF(ISERR(FIND(CV$4,$D40:$CD40)),0,1))</f>
        <v>0</v>
      </c>
      <c r="CW40" s="68">
        <f t="array" ref="CW40">SUM(IF(ISERR(FIND(CW$4,$D40:$CD40)),0,1))</f>
        <v>0</v>
      </c>
      <c r="CX40" s="68">
        <f t="array" ref="CX40">SUM(IF(ISERR(FIND(CX$4,$D40:$CD40)),0,1))</f>
        <v>0</v>
      </c>
      <c r="CY40" s="68">
        <f t="shared" si="10"/>
        <v>0</v>
      </c>
      <c r="CZ40" s="68">
        <f t="shared" si="11"/>
        <v>1</v>
      </c>
      <c r="DA40" s="68">
        <f t="shared" si="12"/>
        <v>3</v>
      </c>
      <c r="DB40" s="68">
        <f t="shared" si="13"/>
        <v>0</v>
      </c>
      <c r="DC40" s="68">
        <f t="shared" si="14"/>
        <v>0</v>
      </c>
      <c r="DD40" s="68">
        <f t="shared" si="15"/>
        <v>0</v>
      </c>
      <c r="DE40" s="68">
        <f t="shared" si="16"/>
        <v>0</v>
      </c>
      <c r="DF40" s="65">
        <f t="shared" si="130"/>
        <v>700408.21039999998</v>
      </c>
      <c r="DG40" s="65">
        <f t="shared" si="18"/>
        <v>19</v>
      </c>
      <c r="DH40" s="65">
        <v>0</v>
      </c>
      <c r="DI40" s="86" t="str">
        <f t="shared" si="131"/>
        <v/>
      </c>
      <c r="DJ40" s="94">
        <f t="shared" si="132"/>
        <v>0.66666666666666663</v>
      </c>
      <c r="DK40" s="174">
        <f t="shared" si="133"/>
        <v>1</v>
      </c>
      <c r="DL40" s="65" t="str">
        <f t="shared" si="134"/>
        <v>1</v>
      </c>
      <c r="DM40" s="65" t="str">
        <f t="shared" si="135"/>
        <v>Smith C</v>
      </c>
      <c r="DN40" s="68">
        <f t="shared" si="136"/>
        <v>0</v>
      </c>
      <c r="DO40" s="65" t="str">
        <f t="shared" si="137"/>
        <v/>
      </c>
      <c r="DP40" s="68">
        <f t="shared" si="138"/>
        <v>3</v>
      </c>
      <c r="DQ40" s="65" t="str">
        <f t="shared" si="139"/>
        <v>Smith C</v>
      </c>
      <c r="DR40" s="68">
        <f t="shared" si="140"/>
        <v>0</v>
      </c>
      <c r="DS40" s="65" t="str">
        <f t="shared" si="141"/>
        <v/>
      </c>
    </row>
    <row r="41" spans="2:123" x14ac:dyDescent="0.15">
      <c r="B41" s="118" t="s">
        <v>231</v>
      </c>
      <c r="C41" s="118" t="s">
        <v>232</v>
      </c>
      <c r="D41" t="s">
        <v>319</v>
      </c>
      <c r="E41" t="s">
        <v>335</v>
      </c>
      <c r="F41" t="s">
        <v>354</v>
      </c>
      <c r="G41" s="118" t="s">
        <v>371</v>
      </c>
      <c r="H41" t="s">
        <v>390</v>
      </c>
      <c r="I41" t="s">
        <v>409</v>
      </c>
      <c r="J41" t="s">
        <v>428</v>
      </c>
      <c r="K41" s="118" t="s">
        <v>444</v>
      </c>
      <c r="L41" s="118" t="s">
        <v>467</v>
      </c>
      <c r="M41" s="118" t="s">
        <v>487</v>
      </c>
      <c r="N41" s="118" t="s">
        <v>503</v>
      </c>
      <c r="O41" s="118" t="s">
        <v>518</v>
      </c>
      <c r="P41" s="118" t="s">
        <v>541</v>
      </c>
      <c r="Q41" s="118" t="s">
        <v>604</v>
      </c>
      <c r="R41" s="118" t="s">
        <v>558</v>
      </c>
      <c r="S41" s="118" t="s">
        <v>574</v>
      </c>
      <c r="T41" s="118" t="s">
        <v>595</v>
      </c>
      <c r="U41"/>
      <c r="V41"/>
      <c r="W41"/>
      <c r="X41"/>
      <c r="Y41"/>
      <c r="Z41" s="118"/>
      <c r="CE41" s="65" t="str">
        <f t="shared" si="121"/>
        <v>Springer T</v>
      </c>
      <c r="CF41" s="65">
        <f t="shared" si="122"/>
        <v>17</v>
      </c>
      <c r="CG41" s="65">
        <f t="shared" si="123"/>
        <v>0</v>
      </c>
      <c r="CH41" s="65">
        <f t="shared" si="124"/>
        <v>17</v>
      </c>
      <c r="CI41" s="65">
        <f t="shared" si="125"/>
        <v>3</v>
      </c>
      <c r="CJ41" s="65">
        <f t="shared" si="126"/>
        <v>99</v>
      </c>
      <c r="CK41" s="69">
        <f t="shared" si="127"/>
        <v>99</v>
      </c>
      <c r="CL41" s="65">
        <f t="shared" si="128"/>
        <v>517</v>
      </c>
      <c r="CM41" s="67">
        <f t="shared" si="129"/>
        <v>36.928571428571431</v>
      </c>
      <c r="CN41" s="65">
        <f t="shared" si="8"/>
        <v>65</v>
      </c>
      <c r="CO41" s="68">
        <f t="array" ref="CO41">SUM(IF(ISERR(FIND("*",D41:CD41)),0,1))</f>
        <v>15</v>
      </c>
      <c r="CP41" s="68">
        <f t="array" ref="CP41">SUM(IF(ISERR(FIND("+",D41:CD41)),0,1))</f>
        <v>4</v>
      </c>
      <c r="CQ41" s="65">
        <f t="shared" si="9"/>
        <v>0</v>
      </c>
      <c r="CR41" s="68">
        <f t="array" ref="CR41">SUM(IF(ISERR(FIND(CR$4,$D41:$CD41)),0,1))</f>
        <v>6</v>
      </c>
      <c r="CS41" s="68">
        <f t="array" ref="CS41">SUM(IF(ISERR(FIND(CS$4,$D41:$CD41)),0,1))</f>
        <v>5</v>
      </c>
      <c r="CT41" s="68">
        <f t="array" ref="CT41">SUM(IF(ISERR(FIND(CT$4,$D41:$CD41)),0,1))</f>
        <v>3</v>
      </c>
      <c r="CU41" s="68">
        <f t="array" ref="CU41">SUM(IF(ISERR(FIND(CU$4,$D41:$CD41)),0,1))</f>
        <v>0</v>
      </c>
      <c r="CV41" s="68">
        <f t="array" ref="CV41">SUM(IF(ISERR(FIND(CV$4,$D41:$CD41)),0,1))</f>
        <v>0</v>
      </c>
      <c r="CW41" s="68">
        <f t="array" ref="CW41">SUM(IF(ISERR(FIND(CW$4,$D41:$CD41)),0,1))</f>
        <v>0</v>
      </c>
      <c r="CX41" s="68">
        <f t="array" ref="CX41">SUM(IF(ISERR(FIND(CX$4,$D41:$CD41)),0,1))</f>
        <v>0</v>
      </c>
      <c r="CY41" s="68">
        <f t="shared" si="10"/>
        <v>3</v>
      </c>
      <c r="CZ41" s="68">
        <f t="shared" si="11"/>
        <v>13</v>
      </c>
      <c r="DA41" s="68">
        <f t="shared" si="12"/>
        <v>89</v>
      </c>
      <c r="DB41" s="68">
        <f t="shared" si="13"/>
        <v>9</v>
      </c>
      <c r="DC41" s="68">
        <f t="shared" si="14"/>
        <v>1</v>
      </c>
      <c r="DD41" s="68">
        <f t="shared" si="15"/>
        <v>0</v>
      </c>
      <c r="DE41" s="68">
        <f t="shared" si="16"/>
        <v>9</v>
      </c>
      <c r="DF41" s="65">
        <f t="shared" si="130"/>
        <v>3694722.1704099998</v>
      </c>
      <c r="DG41" s="65">
        <f t="shared" si="18"/>
        <v>4</v>
      </c>
      <c r="DH41" s="65">
        <v>0</v>
      </c>
      <c r="DI41" s="86">
        <f t="shared" si="131"/>
        <v>0.79303675048355904</v>
      </c>
      <c r="DJ41" s="94">
        <f t="shared" si="132"/>
        <v>0</v>
      </c>
      <c r="DK41" s="174">
        <f t="shared" si="133"/>
        <v>13</v>
      </c>
      <c r="DL41" s="65" t="str">
        <f t="shared" si="134"/>
        <v>13</v>
      </c>
      <c r="DM41" s="65" t="str">
        <f t="shared" si="135"/>
        <v>Springer T</v>
      </c>
      <c r="DN41" s="68">
        <f t="shared" si="136"/>
        <v>9</v>
      </c>
      <c r="DO41" s="65" t="str">
        <f t="shared" si="137"/>
        <v>Springer T</v>
      </c>
      <c r="DP41" s="68">
        <f t="shared" si="138"/>
        <v>89</v>
      </c>
      <c r="DQ41" s="65" t="str">
        <f t="shared" si="139"/>
        <v>Springer T</v>
      </c>
      <c r="DR41" s="68">
        <f t="shared" si="140"/>
        <v>9</v>
      </c>
      <c r="DS41" s="65" t="str">
        <f t="shared" si="141"/>
        <v>Springer T</v>
      </c>
    </row>
    <row r="42" spans="2:123" x14ac:dyDescent="0.15">
      <c r="B42" s="118" t="s">
        <v>290</v>
      </c>
      <c r="C42" s="118" t="s">
        <v>291</v>
      </c>
      <c r="D42"/>
      <c r="E42"/>
      <c r="F42"/>
      <c r="G42"/>
      <c r="H42"/>
      <c r="I42"/>
      <c r="J42"/>
      <c r="K42" s="118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 s="118"/>
      <c r="CE42" s="65" t="str">
        <f t="shared" si="121"/>
        <v>Sunkara C</v>
      </c>
      <c r="CF42" s="65">
        <f t="shared" si="122"/>
        <v>0</v>
      </c>
      <c r="CG42" s="65">
        <f t="shared" si="123"/>
        <v>0</v>
      </c>
      <c r="CH42" s="65">
        <f t="shared" si="124"/>
        <v>0</v>
      </c>
      <c r="CI42" s="65">
        <f t="shared" si="125"/>
        <v>0</v>
      </c>
      <c r="CJ42" s="65">
        <f t="shared" si="126"/>
        <v>0</v>
      </c>
      <c r="CK42" s="69">
        <f t="shared" si="127"/>
        <v>0</v>
      </c>
      <c r="CL42" s="65">
        <f t="shared" si="128"/>
        <v>0</v>
      </c>
      <c r="CM42" s="67">
        <f t="shared" si="129"/>
        <v>0</v>
      </c>
      <c r="CN42" s="65">
        <f t="shared" si="8"/>
        <v>0</v>
      </c>
      <c r="CO42" s="68">
        <f t="array" ref="CO42">SUM(IF(ISERR(FIND("*",D42:CD42)),0,1))</f>
        <v>0</v>
      </c>
      <c r="CP42" s="68">
        <f t="array" ref="CP42">SUM(IF(ISERR(FIND("+",D42:CD42)),0,1))</f>
        <v>0</v>
      </c>
      <c r="CQ42" s="65">
        <f t="shared" si="9"/>
        <v>0</v>
      </c>
      <c r="CR42" s="68">
        <f t="array" ref="CR42">SUM(IF(ISERR(FIND(CR$4,$D42:$CD42)),0,1))</f>
        <v>0</v>
      </c>
      <c r="CS42" s="68">
        <f t="array" ref="CS42">SUM(IF(ISERR(FIND(CS$4,$D42:$CD42)),0,1))</f>
        <v>0</v>
      </c>
      <c r="CT42" s="68">
        <f t="array" ref="CT42">SUM(IF(ISERR(FIND(CT$4,$D42:$CD42)),0,1))</f>
        <v>0</v>
      </c>
      <c r="CU42" s="68">
        <f t="array" ref="CU42">SUM(IF(ISERR(FIND(CU$4,$D42:$CD42)),0,1))</f>
        <v>0</v>
      </c>
      <c r="CV42" s="68">
        <f t="array" ref="CV42">SUM(IF(ISERR(FIND(CV$4,$D42:$CD42)),0,1))</f>
        <v>0</v>
      </c>
      <c r="CW42" s="68">
        <f t="array" ref="CW42">SUM(IF(ISERR(FIND(CW$4,$D42:$CD42)),0,1))</f>
        <v>0</v>
      </c>
      <c r="CX42" s="68">
        <f t="array" ref="CX42">SUM(IF(ISERR(FIND(CX$4,$D42:$CD42)),0,1))</f>
        <v>0</v>
      </c>
      <c r="CY42" s="68">
        <f t="shared" si="10"/>
        <v>0</v>
      </c>
      <c r="CZ42" s="68">
        <f t="shared" si="11"/>
        <v>0</v>
      </c>
      <c r="DA42" s="68">
        <f t="shared" si="12"/>
        <v>0</v>
      </c>
      <c r="DB42" s="68">
        <f t="shared" si="13"/>
        <v>0</v>
      </c>
      <c r="DC42" s="68">
        <f t="shared" si="14"/>
        <v>0</v>
      </c>
      <c r="DD42" s="68">
        <f t="shared" si="15"/>
        <v>0</v>
      </c>
      <c r="DE42" s="68">
        <f t="shared" si="16"/>
        <v>0</v>
      </c>
      <c r="DF42" s="65">
        <f t="shared" si="130"/>
        <v>4.2000000000000002E-4</v>
      </c>
      <c r="DG42" s="65">
        <f t="shared" si="18"/>
        <v>38</v>
      </c>
      <c r="DH42" s="65">
        <v>0</v>
      </c>
      <c r="DI42" s="86" t="str">
        <f t="shared" si="131"/>
        <v/>
      </c>
      <c r="DJ42" s="94" t="e">
        <f t="shared" si="132"/>
        <v>#DIV/0!</v>
      </c>
      <c r="DK42" s="174">
        <f t="shared" si="133"/>
        <v>0</v>
      </c>
      <c r="DL42" s="65" t="str">
        <f t="shared" si="134"/>
        <v/>
      </c>
      <c r="DM42" s="65" t="str">
        <f t="shared" si="135"/>
        <v/>
      </c>
      <c r="DN42" s="68">
        <f t="shared" si="136"/>
        <v>0</v>
      </c>
      <c r="DO42" s="65" t="str">
        <f t="shared" si="137"/>
        <v/>
      </c>
      <c r="DP42" s="68">
        <f t="shared" si="138"/>
        <v>0</v>
      </c>
      <c r="DQ42" s="65" t="str">
        <f t="shared" si="139"/>
        <v/>
      </c>
      <c r="DR42" s="68">
        <f t="shared" si="140"/>
        <v>0</v>
      </c>
      <c r="DS42" s="65" t="str">
        <f t="shared" si="141"/>
        <v/>
      </c>
    </row>
    <row r="43" spans="2:123" x14ac:dyDescent="0.15">
      <c r="B43" s="118"/>
      <c r="C43" s="178" t="s">
        <v>508</v>
      </c>
      <c r="D43"/>
      <c r="E43"/>
      <c r="F43"/>
      <c r="G43"/>
      <c r="H43"/>
      <c r="I43"/>
      <c r="J43"/>
      <c r="K43"/>
      <c r="L43"/>
      <c r="M43"/>
      <c r="N43" s="118" t="s">
        <v>225</v>
      </c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Z43" s="118"/>
      <c r="CE43" s="65" t="str">
        <f t="shared" si="121"/>
        <v>"Tareq"</v>
      </c>
      <c r="CF43" s="65">
        <f t="shared" si="122"/>
        <v>1</v>
      </c>
      <c r="CG43" s="65">
        <f t="shared" si="123"/>
        <v>1</v>
      </c>
      <c r="CH43" s="65">
        <f t="shared" si="124"/>
        <v>0</v>
      </c>
      <c r="CI43" s="65">
        <f t="shared" si="125"/>
        <v>0</v>
      </c>
      <c r="CJ43" s="65">
        <f t="shared" si="126"/>
        <v>0</v>
      </c>
      <c r="CK43" s="69">
        <f t="shared" si="127"/>
        <v>0</v>
      </c>
      <c r="CL43" s="65">
        <f t="shared" si="128"/>
        <v>0</v>
      </c>
      <c r="CM43" s="67">
        <f t="shared" si="129"/>
        <v>0</v>
      </c>
      <c r="CN43" s="65">
        <f t="shared" si="8"/>
        <v>0</v>
      </c>
      <c r="CO43" s="68">
        <f t="array" ref="CO43">SUM(IF(ISERR(FIND("*",D43:CD43)),0,1))</f>
        <v>0</v>
      </c>
      <c r="CP43" s="68">
        <f t="array" ref="CP43">SUM(IF(ISERR(FIND("+",D43:CD43)),0,1))</f>
        <v>0</v>
      </c>
      <c r="CQ43" s="65">
        <f t="shared" si="9"/>
        <v>0</v>
      </c>
      <c r="CR43" s="68">
        <f t="array" ref="CR43">SUM(IF(ISERR(FIND(CR$4,$D43:$CD43)),0,1))</f>
        <v>0</v>
      </c>
      <c r="CS43" s="68">
        <f t="array" ref="CS43">SUM(IF(ISERR(FIND(CS$4,$D43:$CD43)),0,1))</f>
        <v>0</v>
      </c>
      <c r="CT43" s="68">
        <f t="array" ref="CT43">SUM(IF(ISERR(FIND(CT$4,$D43:$CD43)),0,1))</f>
        <v>0</v>
      </c>
      <c r="CU43" s="68">
        <f t="array" ref="CU43">SUM(IF(ISERR(FIND(CU$4,$D43:$CD43)),0,1))</f>
        <v>0</v>
      </c>
      <c r="CV43" s="68">
        <f t="array" ref="CV43">SUM(IF(ISERR(FIND(CV$4,$D43:$CD43)),0,1))</f>
        <v>0</v>
      </c>
      <c r="CW43" s="68">
        <f t="array" ref="CW43">SUM(IF(ISERR(FIND(CW$4,$D43:$CD43)),0,1))</f>
        <v>0</v>
      </c>
      <c r="CX43" s="68">
        <f t="array" ref="CX43">SUM(IF(ISERR(FIND(CX$4,$D43:$CD43)),0,1))</f>
        <v>0</v>
      </c>
      <c r="CY43" s="68">
        <f t="shared" si="10"/>
        <v>0</v>
      </c>
      <c r="CZ43" s="68">
        <f t="shared" si="11"/>
        <v>0</v>
      </c>
      <c r="DA43" s="68">
        <f t="shared" si="12"/>
        <v>0</v>
      </c>
      <c r="DB43" s="68">
        <f t="shared" si="13"/>
        <v>0</v>
      </c>
      <c r="DC43" s="68">
        <f t="shared" si="14"/>
        <v>0</v>
      </c>
      <c r="DD43" s="68">
        <f t="shared" si="15"/>
        <v>0</v>
      </c>
      <c r="DE43" s="68">
        <f t="shared" si="16"/>
        <v>0</v>
      </c>
      <c r="DF43" s="65">
        <f t="shared" si="130"/>
        <v>1.0004299999999999</v>
      </c>
      <c r="DG43" s="65">
        <f t="shared" si="18"/>
        <v>35</v>
      </c>
      <c r="DH43" s="65">
        <v>0</v>
      </c>
      <c r="DI43" s="86" t="str">
        <f t="shared" si="131"/>
        <v/>
      </c>
      <c r="DJ43" s="94" t="e">
        <f t="shared" si="132"/>
        <v>#DIV/0!</v>
      </c>
      <c r="DK43" s="174">
        <f t="shared" si="133"/>
        <v>0</v>
      </c>
      <c r="DL43" s="65" t="str">
        <f t="shared" si="134"/>
        <v/>
      </c>
      <c r="DM43" s="65" t="str">
        <f t="shared" si="135"/>
        <v/>
      </c>
      <c r="DN43" s="68">
        <f t="shared" si="136"/>
        <v>0</v>
      </c>
      <c r="DO43" s="65" t="str">
        <f t="shared" si="137"/>
        <v/>
      </c>
      <c r="DP43" s="68">
        <f t="shared" si="138"/>
        <v>0</v>
      </c>
      <c r="DQ43" s="65" t="str">
        <f t="shared" si="139"/>
        <v/>
      </c>
      <c r="DR43" s="68">
        <f t="shared" si="140"/>
        <v>0</v>
      </c>
      <c r="DS43" s="65" t="str">
        <f t="shared" si="141"/>
        <v/>
      </c>
    </row>
    <row r="44" spans="2:123" x14ac:dyDescent="0.15">
      <c r="B44" s="118" t="s">
        <v>244</v>
      </c>
      <c r="C44" s="118" t="s">
        <v>252</v>
      </c>
      <c r="D44"/>
      <c r="E44"/>
      <c r="F44"/>
      <c r="G44"/>
      <c r="H44"/>
      <c r="I44"/>
      <c r="J44"/>
      <c r="K44" s="118"/>
      <c r="L44" s="118"/>
      <c r="M44" t="s">
        <v>491</v>
      </c>
      <c r="N44" s="118" t="s">
        <v>506</v>
      </c>
      <c r="O44" t="s">
        <v>519</v>
      </c>
      <c r="P44" t="s">
        <v>537</v>
      </c>
      <c r="Q44" t="s">
        <v>266</v>
      </c>
      <c r="R44" s="118"/>
      <c r="S44" s="118" t="s">
        <v>579</v>
      </c>
      <c r="T44" s="118" t="s">
        <v>227</v>
      </c>
      <c r="U44" s="118"/>
      <c r="V44" s="118"/>
      <c r="W44" s="118"/>
      <c r="X44" s="118"/>
      <c r="Y44" s="118"/>
      <c r="Z44" s="118"/>
      <c r="CE44" s="65" t="str">
        <f t="shared" si="121"/>
        <v>Viveganandan M</v>
      </c>
      <c r="CF44" s="65">
        <f t="shared" si="122"/>
        <v>7</v>
      </c>
      <c r="CG44" s="65">
        <f t="shared" si="123"/>
        <v>2</v>
      </c>
      <c r="CH44" s="65">
        <f t="shared" si="124"/>
        <v>5</v>
      </c>
      <c r="CI44" s="65">
        <f t="shared" si="125"/>
        <v>2</v>
      </c>
      <c r="CJ44" s="65">
        <f t="shared" si="126"/>
        <v>-35</v>
      </c>
      <c r="CK44" s="69" t="str">
        <f t="shared" si="127"/>
        <v>35*</v>
      </c>
      <c r="CL44" s="65">
        <f t="shared" si="128"/>
        <v>88</v>
      </c>
      <c r="CM44" s="67">
        <f t="shared" si="129"/>
        <v>29.333333333333332</v>
      </c>
      <c r="CN44" s="65">
        <f t="shared" si="8"/>
        <v>5</v>
      </c>
      <c r="CO44" s="68">
        <f t="array" ref="CO44">SUM(IF(ISERR(FIND("*",D44:CD44)),0,1))</f>
        <v>0</v>
      </c>
      <c r="CP44" s="68">
        <f t="array" ref="CP44">SUM(IF(ISERR(FIND("+",D44:CD44)),0,1))</f>
        <v>0</v>
      </c>
      <c r="CQ44" s="65">
        <f t="shared" si="9"/>
        <v>0</v>
      </c>
      <c r="CR44" s="68">
        <f t="array" ref="CR44">SUM(IF(ISERR(FIND(CR$4,$D44:$CD44)),0,1))</f>
        <v>2</v>
      </c>
      <c r="CS44" s="68">
        <f t="array" ref="CS44">SUM(IF(ISERR(FIND(CS$4,$D44:$CD44)),0,1))</f>
        <v>1</v>
      </c>
      <c r="CT44" s="68">
        <f t="array" ref="CT44">SUM(IF(ISERR(FIND(CT$4,$D44:$CD44)),0,1))</f>
        <v>0</v>
      </c>
      <c r="CU44" s="68">
        <f t="array" ref="CU44">SUM(IF(ISERR(FIND(CU$4,$D44:$CD44)),0,1))</f>
        <v>0</v>
      </c>
      <c r="CV44" s="68">
        <f t="array" ref="CV44">SUM(IF(ISERR(FIND(CV$4,$D44:$CD44)),0,1))</f>
        <v>0</v>
      </c>
      <c r="CW44" s="68">
        <f t="array" ref="CW44">SUM(IF(ISERR(FIND(CW$4,$D44:$CD44)),0,1))</f>
        <v>0</v>
      </c>
      <c r="CX44" s="68">
        <f t="array" ref="CX44">SUM(IF(ISERR(FIND(CX$4,$D44:$CD44)),0,1))</f>
        <v>0</v>
      </c>
      <c r="CY44" s="68">
        <f t="shared" si="10"/>
        <v>0</v>
      </c>
      <c r="CZ44" s="68">
        <f t="shared" si="11"/>
        <v>1</v>
      </c>
      <c r="DA44" s="68">
        <f t="shared" si="12"/>
        <v>14</v>
      </c>
      <c r="DB44" s="68">
        <f t="shared" si="13"/>
        <v>0</v>
      </c>
      <c r="DC44" s="68">
        <f t="shared" si="14"/>
        <v>0</v>
      </c>
      <c r="DD44" s="68">
        <f t="shared" si="15"/>
        <v>0</v>
      </c>
      <c r="DE44" s="68">
        <f t="shared" si="16"/>
        <v>2</v>
      </c>
      <c r="DF44" s="65">
        <f t="shared" si="130"/>
        <v>2933507.88044</v>
      </c>
      <c r="DG44" s="65">
        <f t="shared" si="18"/>
        <v>5</v>
      </c>
      <c r="DH44" s="65">
        <v>0</v>
      </c>
      <c r="DI44" s="86">
        <f t="shared" si="131"/>
        <v>0.63636363636363635</v>
      </c>
      <c r="DJ44" s="94">
        <f t="shared" si="132"/>
        <v>0</v>
      </c>
      <c r="DK44" s="174">
        <f t="shared" si="133"/>
        <v>1</v>
      </c>
      <c r="DL44" s="65" t="str">
        <f t="shared" si="134"/>
        <v>1</v>
      </c>
      <c r="DM44" s="65" t="str">
        <f t="shared" si="135"/>
        <v>Viveganandan M</v>
      </c>
      <c r="DN44" s="68">
        <f t="shared" si="136"/>
        <v>0</v>
      </c>
      <c r="DO44" s="65" t="str">
        <f t="shared" si="137"/>
        <v/>
      </c>
      <c r="DP44" s="68">
        <f t="shared" si="138"/>
        <v>14</v>
      </c>
      <c r="DQ44" s="65" t="str">
        <f t="shared" si="139"/>
        <v>Viveganandan M</v>
      </c>
      <c r="DR44" s="68">
        <f t="shared" si="140"/>
        <v>2</v>
      </c>
      <c r="DS44" s="65" t="str">
        <f t="shared" si="141"/>
        <v>Viveganandan M</v>
      </c>
    </row>
    <row r="45" spans="2:123" x14ac:dyDescent="0.15">
      <c r="B45" s="118" t="s">
        <v>433</v>
      </c>
      <c r="C45" s="118" t="s">
        <v>246</v>
      </c>
      <c r="D45" t="s">
        <v>315</v>
      </c>
      <c r="E45" t="s">
        <v>338</v>
      </c>
      <c r="F45" t="s">
        <v>288</v>
      </c>
      <c r="G45"/>
      <c r="H45"/>
      <c r="I45"/>
      <c r="J45" t="s">
        <v>278</v>
      </c>
      <c r="K45" s="118" t="s">
        <v>446</v>
      </c>
      <c r="L45" t="s">
        <v>470</v>
      </c>
      <c r="M45" t="s">
        <v>277</v>
      </c>
      <c r="N45" s="118"/>
      <c r="O45" s="118" t="s">
        <v>263</v>
      </c>
      <c r="P45" s="118" t="s">
        <v>539</v>
      </c>
      <c r="Q45"/>
      <c r="R45" s="118" t="s">
        <v>256</v>
      </c>
      <c r="S45" s="118" t="s">
        <v>580</v>
      </c>
      <c r="T45" s="118" t="s">
        <v>287</v>
      </c>
      <c r="U45" s="118"/>
      <c r="V45" s="118"/>
      <c r="W45" s="118"/>
      <c r="X45" s="118"/>
      <c r="Y45" s="118"/>
      <c r="Z45" s="118"/>
      <c r="CE45" s="65" t="str">
        <f t="shared" si="121"/>
        <v>Wilson A</v>
      </c>
      <c r="CF45" s="65">
        <f t="shared" si="122"/>
        <v>12</v>
      </c>
      <c r="CG45" s="65">
        <f t="shared" si="123"/>
        <v>3</v>
      </c>
      <c r="CH45" s="65">
        <f t="shared" si="124"/>
        <v>9</v>
      </c>
      <c r="CI45" s="65">
        <f t="shared" si="125"/>
        <v>0</v>
      </c>
      <c r="CJ45" s="65">
        <f t="shared" si="126"/>
        <v>7</v>
      </c>
      <c r="CK45" s="69">
        <f t="shared" si="127"/>
        <v>7</v>
      </c>
      <c r="CL45" s="65">
        <f t="shared" si="128"/>
        <v>15</v>
      </c>
      <c r="CM45" s="67">
        <f t="shared" si="129"/>
        <v>1.6666666666666667</v>
      </c>
      <c r="CN45" s="65">
        <f t="shared" si="8"/>
        <v>30</v>
      </c>
      <c r="CO45" s="68">
        <f t="array" ref="CO45">SUM(IF(ISERR(FIND("*",D45:CD45)),0,1))</f>
        <v>0</v>
      </c>
      <c r="CP45" s="68">
        <f t="array" ref="CP45">SUM(IF(ISERR(FIND("+",D45:CD45)),0,1))</f>
        <v>0</v>
      </c>
      <c r="CQ45" s="65">
        <f t="shared" si="9"/>
        <v>4</v>
      </c>
      <c r="CR45" s="68">
        <f t="array" ref="CR45">SUM(IF(ISERR(FIND(CR$4,$D45:$CD45)),0,1))</f>
        <v>3</v>
      </c>
      <c r="CS45" s="68">
        <f t="array" ref="CS45">SUM(IF(ISERR(FIND(CS$4,$D45:$CD45)),0,1))</f>
        <v>4</v>
      </c>
      <c r="CT45" s="68">
        <f t="array" ref="CT45">SUM(IF(ISERR(FIND(CT$4,$D45:$CD45)),0,1))</f>
        <v>2</v>
      </c>
      <c r="CU45" s="68">
        <f t="array" ref="CU45">SUM(IF(ISERR(FIND(CU$4,$D45:$CD45)),0,1))</f>
        <v>0</v>
      </c>
      <c r="CV45" s="68">
        <f t="array" ref="CV45">SUM(IF(ISERR(FIND(CV$4,$D45:$CD45)),0,1))</f>
        <v>0</v>
      </c>
      <c r="CW45" s="68">
        <f t="array" ref="CW45">SUM(IF(ISERR(FIND(CW$4,$D45:$CD45)),0,1))</f>
        <v>0</v>
      </c>
      <c r="CX45" s="68">
        <f t="array" ref="CX45">SUM(IF(ISERR(FIND(CX$4,$D45:$CD45)),0,1))</f>
        <v>0</v>
      </c>
      <c r="CY45" s="68">
        <f t="shared" si="10"/>
        <v>0</v>
      </c>
      <c r="CZ45" s="68">
        <f t="shared" si="11"/>
        <v>6</v>
      </c>
      <c r="DA45" s="68">
        <f t="shared" si="12"/>
        <v>0</v>
      </c>
      <c r="DB45" s="68">
        <f t="shared" si="13"/>
        <v>0</v>
      </c>
      <c r="DC45" s="68">
        <f t="shared" si="14"/>
        <v>0</v>
      </c>
      <c r="DD45" s="68">
        <f t="shared" si="15"/>
        <v>0</v>
      </c>
      <c r="DE45" s="68">
        <f t="shared" si="16"/>
        <v>0</v>
      </c>
      <c r="DF45" s="65">
        <f t="shared" si="130"/>
        <v>167912.15044999999</v>
      </c>
      <c r="DG45" s="65">
        <f t="shared" si="18"/>
        <v>28</v>
      </c>
      <c r="DH45" s="65">
        <v>0</v>
      </c>
      <c r="DI45" s="86" t="str">
        <f t="shared" si="131"/>
        <v/>
      </c>
      <c r="DJ45" s="94">
        <f t="shared" si="132"/>
        <v>0.44444444444444442</v>
      </c>
      <c r="DK45" s="174">
        <f t="shared" si="133"/>
        <v>6</v>
      </c>
      <c r="DL45" s="65" t="str">
        <f t="shared" si="134"/>
        <v>6</v>
      </c>
      <c r="DM45" s="65" t="str">
        <f t="shared" si="135"/>
        <v>Wilson A</v>
      </c>
      <c r="DN45" s="68">
        <f t="shared" si="136"/>
        <v>0</v>
      </c>
      <c r="DO45" s="65" t="str">
        <f t="shared" si="137"/>
        <v/>
      </c>
      <c r="DP45" s="68">
        <f t="shared" si="138"/>
        <v>0</v>
      </c>
      <c r="DQ45" s="65" t="str">
        <f t="shared" si="139"/>
        <v/>
      </c>
      <c r="DR45" s="68">
        <f t="shared" si="140"/>
        <v>0</v>
      </c>
      <c r="DS45" s="65" t="str">
        <f t="shared" si="141"/>
        <v/>
      </c>
    </row>
    <row r="46" spans="2:123" x14ac:dyDescent="0.15">
      <c r="B46" t="s">
        <v>283</v>
      </c>
      <c r="C46" t="s">
        <v>309</v>
      </c>
      <c r="D46" s="118" t="s">
        <v>310</v>
      </c>
      <c r="E46" s="118"/>
      <c r="F46" s="118" t="s">
        <v>264</v>
      </c>
      <c r="G46" s="118" t="s">
        <v>367</v>
      </c>
      <c r="H46" s="118" t="s">
        <v>391</v>
      </c>
      <c r="I46" s="118" t="s">
        <v>405</v>
      </c>
      <c r="J46"/>
      <c r="K46" s="118"/>
      <c r="L46"/>
      <c r="M46"/>
      <c r="N46"/>
      <c r="O46"/>
      <c r="P46" t="s">
        <v>543</v>
      </c>
      <c r="Q46"/>
      <c r="R46"/>
      <c r="S46"/>
      <c r="T46"/>
      <c r="U46"/>
      <c r="V46"/>
      <c r="W46"/>
      <c r="X46"/>
      <c r="Y46"/>
      <c r="Z46"/>
      <c r="CE46" s="65" t="str">
        <f t="shared" si="121"/>
        <v>Woodhouse M</v>
      </c>
      <c r="CF46" s="65">
        <f t="shared" si="122"/>
        <v>6</v>
      </c>
      <c r="CG46" s="65">
        <f t="shared" si="123"/>
        <v>0</v>
      </c>
      <c r="CH46" s="65">
        <f t="shared" si="124"/>
        <v>6</v>
      </c>
      <c r="CI46" s="65">
        <f t="shared" si="125"/>
        <v>0</v>
      </c>
      <c r="CJ46" s="65">
        <f t="shared" si="126"/>
        <v>12</v>
      </c>
      <c r="CK46" s="69">
        <f t="shared" si="127"/>
        <v>12</v>
      </c>
      <c r="CL46" s="65">
        <f t="shared" si="128"/>
        <v>26</v>
      </c>
      <c r="CM46" s="67">
        <f t="shared" si="129"/>
        <v>4.333333333333333</v>
      </c>
      <c r="CN46" s="65">
        <f t="shared" si="8"/>
        <v>0</v>
      </c>
      <c r="CO46" s="68">
        <f t="array" ref="CO46">SUM(IF(ISERR(FIND("*",D46:CD46)),0,1))</f>
        <v>0</v>
      </c>
      <c r="CP46" s="68">
        <f t="array" ref="CP46">SUM(IF(ISERR(FIND("+",D46:CD46)),0,1))</f>
        <v>1</v>
      </c>
      <c r="CQ46" s="65">
        <f t="shared" si="9"/>
        <v>1</v>
      </c>
      <c r="CR46" s="68">
        <f t="array" ref="CR46">SUM(IF(ISERR(FIND(CR$4,$D46:$CD46)),0,1))</f>
        <v>2</v>
      </c>
      <c r="CS46" s="68">
        <f t="array" ref="CS46">SUM(IF(ISERR(FIND(CS$4,$D46:$CD46)),0,1))</f>
        <v>4</v>
      </c>
      <c r="CT46" s="68">
        <f t="array" ref="CT46">SUM(IF(ISERR(FIND(CT$4,$D46:$CD46)),0,1))</f>
        <v>0</v>
      </c>
      <c r="CU46" s="68">
        <f t="array" ref="CU46">SUM(IF(ISERR(FIND(CU$4,$D46:$CD46)),0,1))</f>
        <v>0</v>
      </c>
      <c r="CV46" s="68">
        <f t="array" ref="CV46">SUM(IF(ISERR(FIND(CV$4,$D46:$CD46)),0,1))</f>
        <v>0</v>
      </c>
      <c r="CW46" s="68">
        <f t="array" ref="CW46">SUM(IF(ISERR(FIND(CW$4,$D46:$CD46)),0,1))</f>
        <v>0</v>
      </c>
      <c r="CX46" s="68">
        <f t="array" ref="CX46">SUM(IF(ISERR(FIND(CX$4,$D46:$CD46)),0,1))</f>
        <v>0</v>
      </c>
      <c r="CY46" s="68">
        <f t="shared" si="10"/>
        <v>0</v>
      </c>
      <c r="CZ46" s="68">
        <f t="shared" si="11"/>
        <v>0</v>
      </c>
      <c r="DA46" s="68">
        <f t="shared" si="12"/>
        <v>2</v>
      </c>
      <c r="DB46" s="68">
        <f t="shared" si="13"/>
        <v>0</v>
      </c>
      <c r="DC46" s="68">
        <f t="shared" si="14"/>
        <v>0</v>
      </c>
      <c r="DD46" s="68">
        <f t="shared" si="15"/>
        <v>0</v>
      </c>
      <c r="DE46" s="68">
        <f t="shared" si="16"/>
        <v>0</v>
      </c>
      <c r="DF46" s="65">
        <f t="shared" si="130"/>
        <v>433606.26046000002</v>
      </c>
      <c r="DG46" s="65">
        <f t="shared" si="18"/>
        <v>22</v>
      </c>
      <c r="DH46" s="65">
        <v>0</v>
      </c>
      <c r="DI46" s="86" t="str">
        <f t="shared" si="131"/>
        <v/>
      </c>
      <c r="DJ46" s="94">
        <f t="shared" si="132"/>
        <v>0.16666666666666666</v>
      </c>
      <c r="DK46" s="174">
        <f t="shared" si="133"/>
        <v>0</v>
      </c>
      <c r="DL46" s="65" t="str">
        <f t="shared" si="134"/>
        <v/>
      </c>
      <c r="DM46" s="65" t="str">
        <f t="shared" si="135"/>
        <v/>
      </c>
      <c r="DN46" s="68">
        <f t="shared" si="136"/>
        <v>0</v>
      </c>
      <c r="DO46" s="65" t="str">
        <f t="shared" si="137"/>
        <v/>
      </c>
      <c r="DP46" s="68">
        <f t="shared" si="138"/>
        <v>2</v>
      </c>
      <c r="DQ46" s="65" t="str">
        <f t="shared" si="139"/>
        <v>Woodhouse M</v>
      </c>
      <c r="DR46" s="68">
        <f t="shared" si="140"/>
        <v>0</v>
      </c>
      <c r="DS46" s="65" t="str">
        <f t="shared" si="141"/>
        <v/>
      </c>
    </row>
    <row r="47" spans="2:123" x14ac:dyDescent="0.15">
      <c r="CK47" s="69"/>
      <c r="CM47" s="67"/>
      <c r="CO47" s="68"/>
      <c r="CP47" s="68"/>
      <c r="CR47" s="68"/>
      <c r="CS47" s="68"/>
      <c r="CT47" s="68"/>
      <c r="CU47" s="68"/>
      <c r="CV47" s="68"/>
      <c r="CW47" s="68"/>
      <c r="CX47" s="68"/>
      <c r="CY47" s="68"/>
    </row>
    <row r="48" spans="2:123" x14ac:dyDescent="0.15">
      <c r="CO48" s="87">
        <f t="shared" ref="CO48:CW48" si="142">SUM(CO5:CO47)</f>
        <v>17</v>
      </c>
      <c r="CP48" s="87">
        <f t="shared" si="142"/>
        <v>18</v>
      </c>
      <c r="CQ48" s="57">
        <f t="shared" si="142"/>
        <v>19</v>
      </c>
      <c r="CR48" s="70">
        <f t="shared" si="142"/>
        <v>46</v>
      </c>
      <c r="CS48" s="70">
        <f t="shared" si="142"/>
        <v>63</v>
      </c>
      <c r="CT48" s="70">
        <f t="shared" si="142"/>
        <v>13</v>
      </c>
      <c r="CU48" s="70">
        <f t="shared" si="142"/>
        <v>2</v>
      </c>
      <c r="CV48" s="70">
        <f t="shared" si="142"/>
        <v>5</v>
      </c>
      <c r="CW48" s="70">
        <f t="shared" si="142"/>
        <v>0</v>
      </c>
      <c r="CX48" s="70"/>
      <c r="CY48" s="70"/>
      <c r="CZ48" s="57">
        <f t="shared" ref="CZ48:DE48" si="143">SUM(CZ5:CZ47)</f>
        <v>63</v>
      </c>
      <c r="DA48" s="57">
        <f t="shared" si="143"/>
        <v>395</v>
      </c>
      <c r="DB48" s="57">
        <f t="shared" si="143"/>
        <v>41</v>
      </c>
      <c r="DC48" s="57">
        <f t="shared" si="143"/>
        <v>4</v>
      </c>
      <c r="DD48" s="57">
        <f t="shared" si="143"/>
        <v>6</v>
      </c>
      <c r="DE48" s="57">
        <f t="shared" si="143"/>
        <v>39</v>
      </c>
    </row>
    <row r="49" spans="2:129" x14ac:dyDescent="0.15">
      <c r="C49" s="65" t="s">
        <v>120</v>
      </c>
      <c r="D49" s="65">
        <f t="array" ref="D49">SUM(IF(NOT(ISERR(FIND("*",D5:D46))),1,0))</f>
        <v>1</v>
      </c>
      <c r="E49" s="65">
        <f t="array" ref="E49">SUM(IF(NOT(ISERR(FIND("*",E5:E46))),1,0))</f>
        <v>1</v>
      </c>
      <c r="F49" s="65">
        <f t="array" ref="F49">SUM(IF(NOT(ISERR(FIND("*",F5:F46))),1,0))</f>
        <v>1</v>
      </c>
      <c r="G49" s="65">
        <f t="array" ref="G49">SUM(IF(NOT(ISERR(FIND("*",G5:G46))),1,0))</f>
        <v>1</v>
      </c>
      <c r="H49" s="65">
        <f t="array" ref="H49">SUM(IF(NOT(ISERR(FIND("*",H5:H46))),1,0))</f>
        <v>1</v>
      </c>
      <c r="I49" s="65">
        <f t="array" ref="I49">SUM(IF(NOT(ISERR(FIND("*",I5:I46))),1,0))</f>
        <v>1</v>
      </c>
      <c r="J49" s="65">
        <f t="array" ref="J49">SUM(IF(NOT(ISERR(FIND("*",J5:J46))),1,0))</f>
        <v>1</v>
      </c>
      <c r="K49" s="65">
        <f t="array" ref="K49">SUM(IF(NOT(ISERR(FIND("*",K5:K46))),1,0))</f>
        <v>1</v>
      </c>
      <c r="L49" s="65">
        <f t="array" ref="L49">SUM(IF(NOT(ISERR(FIND("*",L5:L46))),1,0))</f>
        <v>1</v>
      </c>
      <c r="M49" s="65">
        <f t="array" ref="M49">SUM(IF(NOT(ISERR(FIND("*",M5:M46))),1,0))</f>
        <v>1</v>
      </c>
      <c r="N49" s="65">
        <f t="array" ref="N49">SUM(IF(NOT(ISERR(FIND("*",N5:N46))),1,0))</f>
        <v>1</v>
      </c>
      <c r="O49" s="65">
        <f t="array" ref="O49">SUM(IF(NOT(ISERR(FIND("*",O5:O46))),1,0))</f>
        <v>1</v>
      </c>
      <c r="P49" s="65">
        <f t="array" ref="P49">SUM(IF(NOT(ISERR(FIND("*",P5:P46))),1,0))</f>
        <v>1</v>
      </c>
      <c r="Q49" s="65">
        <f t="array" ref="Q49">SUM(IF(NOT(ISERR(FIND("*",Q5:Q46))),1,0))</f>
        <v>1</v>
      </c>
      <c r="R49" s="65">
        <f t="array" ref="R49">SUM(IF(NOT(ISERR(FIND("*",R5:R46))),1,0))</f>
        <v>1</v>
      </c>
      <c r="S49" s="65">
        <f t="array" ref="S49">SUM(IF(NOT(ISERR(FIND("*",S5:S46))),1,0))</f>
        <v>1</v>
      </c>
      <c r="T49" s="65">
        <f t="array" ref="T49">SUM(IF(NOT(ISERR(FIND("*",T5:T46))),1,0))</f>
        <v>1</v>
      </c>
      <c r="U49" s="65">
        <f t="array" ref="U49">SUM(IF(NOT(ISERR(FIND("*",U5:U46))),1,0))</f>
        <v>0</v>
      </c>
      <c r="V49" s="65">
        <f t="array" ref="V49">SUM(IF(NOT(ISERR(FIND("*",V5:V46))),1,0))</f>
        <v>0</v>
      </c>
      <c r="W49" s="65">
        <f t="array" ref="W49">SUM(IF(NOT(ISERR(FIND("*",W5:W46))),1,0))</f>
        <v>0</v>
      </c>
      <c r="X49" s="65">
        <f t="array" ref="X49">SUM(IF(NOT(ISERR(FIND("*",X5:X46))),1,0))</f>
        <v>0</v>
      </c>
      <c r="Y49" s="65">
        <f t="array" ref="Y49">SUM(IF(NOT(ISERR(FIND("*",Y5:Y46))),1,0))</f>
        <v>0</v>
      </c>
      <c r="Z49" s="65">
        <f t="array" ref="Z49">SUM(IF(NOT(ISERR(FIND("*",Z5:Z46))),1,0))</f>
        <v>0</v>
      </c>
      <c r="AA49" s="65">
        <f t="array" ref="AA49">SUM(IF(NOT(ISERR(FIND("*",AA5:AA46))),1,0))</f>
        <v>0</v>
      </c>
      <c r="AB49" s="65">
        <f t="array" ref="AB49">SUM(IF(NOT(ISERR(FIND("*",AB5:AB46))),1,0))</f>
        <v>0</v>
      </c>
      <c r="AC49" s="65">
        <f t="array" ref="AC49">SUM(IF(NOT(ISERR(FIND("*",AC5:AC46))),1,0))</f>
        <v>0</v>
      </c>
      <c r="AD49" s="65">
        <f t="array" ref="AD49">SUM(IF(NOT(ISERR(FIND("*",AD5:AD46))),1,0))</f>
        <v>0</v>
      </c>
      <c r="AE49" s="65">
        <f t="array" ref="AE49">SUM(IF(NOT(ISERR(FIND("*",AE5:AE46))),1,0))</f>
        <v>0</v>
      </c>
      <c r="AF49" s="65">
        <f t="array" ref="AF49">SUM(IF(NOT(ISERR(FIND("*",AF5:AF46))),1,0))</f>
        <v>0</v>
      </c>
      <c r="AG49" s="65">
        <f t="array" ref="AG49">SUM(IF(NOT(ISERR(FIND("*",AG5:AG46))),1,0))</f>
        <v>0</v>
      </c>
      <c r="AH49" s="65">
        <f t="array" ref="AH49">SUM(IF(NOT(ISERR(FIND("*",AH5:AH46))),1,0))</f>
        <v>0</v>
      </c>
      <c r="AI49" s="65">
        <f t="array" ref="AI49">SUM(IF(NOT(ISERR(FIND("*",AI5:AI46))),1,0))</f>
        <v>0</v>
      </c>
      <c r="AJ49" s="65">
        <f t="array" ref="AJ49">SUM(IF(NOT(ISERR(FIND("*",AJ5:AJ46))),1,0))</f>
        <v>0</v>
      </c>
      <c r="AK49" s="65">
        <f t="array" ref="AK49">SUM(IF(NOT(ISERR(FIND("*",AK5:AK46))),1,0))</f>
        <v>0</v>
      </c>
      <c r="AL49" s="65">
        <f t="array" ref="AL49">SUM(IF(NOT(ISERR(FIND("*",AL5:AL46))),1,0))</f>
        <v>0</v>
      </c>
      <c r="AM49" s="65">
        <f t="array" ref="AM49">SUM(IF(NOT(ISERR(FIND("*",AM5:AM46))),1,0))</f>
        <v>0</v>
      </c>
      <c r="AN49" s="65">
        <f t="array" ref="AN49">SUM(IF(NOT(ISERR(FIND("*",AN5:AN46))),1,0))</f>
        <v>0</v>
      </c>
      <c r="AO49" s="65">
        <f t="array" ref="AO49">SUM(IF(NOT(ISERR(FIND("*",AO5:AO46))),1,0))</f>
        <v>0</v>
      </c>
      <c r="AP49" s="65">
        <f t="array" ref="AP49">SUM(IF(NOT(ISERR(FIND("*",AP5:AP46))),1,0))</f>
        <v>0</v>
      </c>
      <c r="AQ49" s="65">
        <f t="array" ref="AQ49">SUM(IF(NOT(ISERR(FIND("*",AQ5:AQ46))),1,0))</f>
        <v>0</v>
      </c>
      <c r="AR49" s="65">
        <f t="array" ref="AR49">SUM(IF(NOT(ISERR(FIND("*",AR5:AR46))),1,0))</f>
        <v>0</v>
      </c>
      <c r="AS49" s="65">
        <f t="array" ref="AS49">SUM(IF(NOT(ISERR(FIND("*",AS5:AS46))),1,0))</f>
        <v>0</v>
      </c>
      <c r="AT49" s="65">
        <f t="array" ref="AT49">SUM(IF(NOT(ISERR(FIND("*",AT5:AT46))),1,0))</f>
        <v>0</v>
      </c>
      <c r="AU49" s="65">
        <f t="array" ref="AU49">SUM(IF(NOT(ISERR(FIND("*",AU5:AU46))),1,0))</f>
        <v>0</v>
      </c>
      <c r="AV49" s="65">
        <f t="array" ref="AV49">SUM(IF(NOT(ISERR(FIND("*",AV5:AV46))),1,0))</f>
        <v>0</v>
      </c>
      <c r="AW49" s="65">
        <f t="array" ref="AW49">SUM(IF(NOT(ISERR(FIND("*",AW5:AW46))),1,0))</f>
        <v>0</v>
      </c>
      <c r="AX49" s="65">
        <f t="array" ref="AX49">SUM(IF(NOT(ISERR(FIND("*",AX5:AX46))),1,0))</f>
        <v>0</v>
      </c>
      <c r="AY49" s="65">
        <f t="array" ref="AY49">SUM(IF(NOT(ISERR(FIND("*",AY5:AY46))),1,0))</f>
        <v>0</v>
      </c>
      <c r="AZ49" s="65">
        <f t="array" ref="AZ49">SUM(IF(NOT(ISERR(FIND("*",AZ5:AZ46))),1,0))</f>
        <v>0</v>
      </c>
      <c r="BA49" s="65">
        <f t="array" ref="BA49">SUM(IF(NOT(ISERR(FIND("*",BA5:BA46))),1,0))</f>
        <v>0</v>
      </c>
      <c r="BB49" s="65">
        <f t="array" ref="BB49">SUM(IF(NOT(ISERR(FIND("*",BB5:BB46))),1,0))</f>
        <v>0</v>
      </c>
      <c r="BC49" s="65">
        <f t="array" ref="BC49">SUM(IF(NOT(ISERR(FIND("*",BC5:BC46))),1,0))</f>
        <v>0</v>
      </c>
      <c r="BD49" s="65">
        <f t="array" ref="BD49">SUM(IF(NOT(ISERR(FIND("*",BD5:BD46))),1,0))</f>
        <v>0</v>
      </c>
      <c r="BE49" s="65">
        <f t="array" ref="BE49">SUM(IF(NOT(ISERR(FIND("*",BE5:BE46))),1,0))</f>
        <v>0</v>
      </c>
      <c r="BF49" s="65">
        <f t="array" ref="BF49">SUM(IF(NOT(ISERR(FIND("*",BF5:BF46))),1,0))</f>
        <v>0</v>
      </c>
      <c r="CF49" s="65">
        <f>SUM(D49:BF49)</f>
        <v>17</v>
      </c>
      <c r="CO49" s="88">
        <f>SUM(D49:BF49)</f>
        <v>17</v>
      </c>
      <c r="CP49" s="57"/>
      <c r="CQ49" s="57"/>
      <c r="CR49" s="70">
        <f>SUM(CR48:CW48)</f>
        <v>129</v>
      </c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K49"/>
      <c r="DL49"/>
      <c r="DO49" s="113"/>
      <c r="DP49" s="113"/>
    </row>
    <row r="50" spans="2:129" x14ac:dyDescent="0.15">
      <c r="C50" s="65" t="s">
        <v>13</v>
      </c>
      <c r="D50" s="65">
        <f t="array" ref="D50">SUM(IF(NOT(ISERR(FIND("+",D5:D46))),1,0))</f>
        <v>2</v>
      </c>
      <c r="E50" s="65">
        <f t="array" ref="E50">SUM(IF(NOT(ISERR(FIND("+",E5:E46))),1,0))</f>
        <v>1</v>
      </c>
      <c r="F50" s="65">
        <f t="array" ref="F50">SUM(IF(NOT(ISERR(FIND("+",F5:F46))),1,0))</f>
        <v>1</v>
      </c>
      <c r="G50" s="65">
        <f t="array" ref="G50">SUM(IF(NOT(ISERR(FIND("+",G5:G46))),1,0))</f>
        <v>1</v>
      </c>
      <c r="H50" s="65">
        <f t="array" ref="H50">SUM(IF(NOT(ISERR(FIND("+",H5:H46))),1,0))</f>
        <v>1</v>
      </c>
      <c r="I50" s="65">
        <f t="array" ref="I50">SUM(IF(NOT(ISERR(FIND("+",I5:I46))),1,0))</f>
        <v>1</v>
      </c>
      <c r="J50" s="65">
        <f t="array" ref="J50">SUM(IF(NOT(ISERR(FIND("+",J5:J46))),1,0))</f>
        <v>0</v>
      </c>
      <c r="K50" s="65">
        <f t="array" ref="K50">SUM(IF(NOT(ISERR(FIND("+",K5:K46))),1,0))</f>
        <v>1</v>
      </c>
      <c r="L50" s="65">
        <f t="array" ref="L50">SUM(IF(NOT(ISERR(FIND("+",L5:L46))),1,0))</f>
        <v>1</v>
      </c>
      <c r="M50" s="65">
        <f t="array" ref="M50">SUM(IF(NOT(ISERR(FIND("+",M5:M46))),1,0))</f>
        <v>1</v>
      </c>
      <c r="N50" s="65">
        <f t="array" ref="N50">SUM(IF(NOT(ISERR(FIND("+",N5:N46))),1,0))</f>
        <v>1</v>
      </c>
      <c r="O50" s="65">
        <f t="array" ref="O50">SUM(IF(NOT(ISERR(FIND("+",O5:O46))),1,0))</f>
        <v>1</v>
      </c>
      <c r="P50" s="65">
        <f t="array" ref="P50">SUM(IF(NOT(ISERR(FIND("+",P5:P46))),1,0))</f>
        <v>2</v>
      </c>
      <c r="Q50" s="65">
        <f t="array" ref="Q50">SUM(IF(NOT(ISERR(FIND("+",Q5:Q46))),1,0))</f>
        <v>1</v>
      </c>
      <c r="R50" s="65">
        <f t="array" ref="R50">SUM(IF(NOT(ISERR(FIND("+",R5:R46))),1,0))</f>
        <v>1</v>
      </c>
      <c r="S50" s="65">
        <f t="array" ref="S50">SUM(IF(NOT(ISERR(FIND("+",S5:S46))),1,0))</f>
        <v>1</v>
      </c>
      <c r="T50" s="65">
        <f t="array" ref="T50">SUM(IF(NOT(ISERR(FIND("+",T5:T46))),1,0))</f>
        <v>1</v>
      </c>
      <c r="U50" s="65">
        <f t="array" ref="U50">SUM(IF(NOT(ISERR(FIND("+",U5:U46))),1,0))</f>
        <v>0</v>
      </c>
      <c r="V50" s="65">
        <f t="array" ref="V50">SUM(IF(NOT(ISERR(FIND("+",V5:V46))),1,0))</f>
        <v>0</v>
      </c>
      <c r="W50" s="65">
        <f t="array" ref="W50">SUM(IF(NOT(ISERR(FIND("+",W5:W46))),1,0))</f>
        <v>0</v>
      </c>
      <c r="X50" s="65">
        <f t="array" ref="X50">SUM(IF(NOT(ISERR(FIND("+",X5:X46))),1,0))</f>
        <v>0</v>
      </c>
      <c r="Y50" s="65">
        <f t="array" ref="Y50">SUM(IF(NOT(ISERR(FIND("+",Y5:Y46))),1,0))</f>
        <v>0</v>
      </c>
      <c r="Z50" s="65">
        <f t="array" ref="Z50">SUM(IF(NOT(ISERR(FIND("+",Z5:Z46))),1,0))</f>
        <v>0</v>
      </c>
      <c r="AA50" s="65">
        <f t="array" ref="AA50">SUM(IF(NOT(ISERR(FIND("+",AA5:AA46))),1,0))</f>
        <v>0</v>
      </c>
      <c r="AB50" s="65">
        <f t="array" ref="AB50">SUM(IF(NOT(ISERR(FIND("+",AB5:AB46))),1,0))</f>
        <v>0</v>
      </c>
      <c r="AC50" s="65">
        <f t="array" ref="AC50">SUM(IF(NOT(ISERR(FIND("+",AC5:AC46))),1,0))</f>
        <v>0</v>
      </c>
      <c r="AD50" s="65">
        <f t="array" ref="AD50">SUM(IF(NOT(ISERR(FIND("+",AD5:AD46))),1,0))</f>
        <v>0</v>
      </c>
      <c r="AE50" s="65">
        <f t="array" ref="AE50">SUM(IF(NOT(ISERR(FIND("+",AE5:AE46))),1,0))</f>
        <v>0</v>
      </c>
      <c r="AF50" s="65">
        <f t="array" ref="AF50">SUM(IF(NOT(ISERR(FIND("+",AF5:AF46))),1,0))</f>
        <v>0</v>
      </c>
      <c r="AG50" s="65">
        <f t="array" ref="AG50">SUM(IF(NOT(ISERR(FIND("+",AG5:AG46))),1,0))</f>
        <v>0</v>
      </c>
      <c r="AH50" s="65">
        <f t="array" ref="AH50">SUM(IF(NOT(ISERR(FIND("+",AH5:AH46))),1,0))</f>
        <v>0</v>
      </c>
      <c r="AI50" s="65">
        <f t="array" ref="AI50">SUM(IF(NOT(ISERR(FIND("+",AI5:AI46))),1,0))</f>
        <v>0</v>
      </c>
      <c r="AJ50" s="65">
        <f t="array" ref="AJ50">SUM(IF(NOT(ISERR(FIND("+",AJ5:AJ46))),1,0))</f>
        <v>0</v>
      </c>
      <c r="AK50" s="65">
        <f t="array" ref="AK50">SUM(IF(NOT(ISERR(FIND("+",AK5:AK46))),1,0))</f>
        <v>0</v>
      </c>
      <c r="AL50" s="65">
        <f t="array" ref="AL50">SUM(IF(NOT(ISERR(FIND("+",AL5:AL46))),1,0))</f>
        <v>0</v>
      </c>
      <c r="AM50" s="65">
        <f t="array" ref="AM50">SUM(IF(NOT(ISERR(FIND("+",AM5:AM46))),1,0))</f>
        <v>0</v>
      </c>
      <c r="AN50" s="65">
        <f t="array" ref="AN50">SUM(IF(NOT(ISERR(FIND("+",AN5:AN46))),1,0))</f>
        <v>0</v>
      </c>
      <c r="AO50" s="65">
        <f t="array" ref="AO50">SUM(IF(NOT(ISERR(FIND("+",AO5:AO46))),1,0))</f>
        <v>0</v>
      </c>
      <c r="AP50" s="65">
        <f t="array" ref="AP50">SUM(IF(NOT(ISERR(FIND("+",AP5:AP46))),1,0))</f>
        <v>0</v>
      </c>
      <c r="AQ50" s="65">
        <f t="array" ref="AQ50">SUM(IF(NOT(ISERR(FIND("+",AQ5:AQ46))),1,0))</f>
        <v>0</v>
      </c>
      <c r="AR50" s="65">
        <f t="array" ref="AR50">SUM(IF(NOT(ISERR(FIND("+",AR5:AR46))),1,0))</f>
        <v>0</v>
      </c>
      <c r="AS50" s="65">
        <f t="array" ref="AS50">SUM(IF(NOT(ISERR(FIND("+",AS5:AS46))),1,0))</f>
        <v>0</v>
      </c>
      <c r="AT50" s="65">
        <f t="array" ref="AT50">SUM(IF(NOT(ISERR(FIND("+",AT5:AT46))),1,0))</f>
        <v>0</v>
      </c>
      <c r="AU50" s="65">
        <f t="array" ref="AU50">SUM(IF(NOT(ISERR(FIND("+",AU5:AU46))),1,0))</f>
        <v>0</v>
      </c>
      <c r="AV50" s="65">
        <f t="array" ref="AV50">SUM(IF(NOT(ISERR(FIND("+",AV5:AV46))),1,0))</f>
        <v>0</v>
      </c>
      <c r="AW50" s="65">
        <f t="array" ref="AW50">SUM(IF(NOT(ISERR(FIND("+",AW5:AW46))),1,0))</f>
        <v>0</v>
      </c>
      <c r="AX50" s="65">
        <f t="array" ref="AX50">SUM(IF(NOT(ISERR(FIND("+",AX5:AX46))),1,0))</f>
        <v>0</v>
      </c>
      <c r="AY50" s="65">
        <f t="array" ref="AY50">SUM(IF(NOT(ISERR(FIND("+",AY5:AY46))),1,0))</f>
        <v>0</v>
      </c>
      <c r="AZ50" s="65">
        <f t="array" ref="AZ50">SUM(IF(NOT(ISERR(FIND("+",AZ5:AZ46))),1,0))</f>
        <v>0</v>
      </c>
      <c r="BA50" s="65">
        <f t="array" ref="BA50">SUM(IF(NOT(ISERR(FIND("+",BA5:BA46))),1,0))</f>
        <v>0</v>
      </c>
      <c r="BB50" s="65">
        <f t="array" ref="BB50">SUM(IF(NOT(ISERR(FIND("+",BB5:BB46))),1,0))</f>
        <v>0</v>
      </c>
      <c r="BC50" s="65">
        <f t="array" ref="BC50">SUM(IF(NOT(ISERR(FIND("+",BC5:BC46))),1,0))</f>
        <v>0</v>
      </c>
      <c r="BD50" s="65">
        <f t="array" ref="BD50">SUM(IF(NOT(ISERR(FIND("+",BD5:BD46))),1,0))</f>
        <v>0</v>
      </c>
      <c r="BE50" s="65">
        <f t="array" ref="BE50">SUM(IF(NOT(ISERR(FIND("+",BE5:BE46))),1,0))</f>
        <v>0</v>
      </c>
      <c r="BF50" s="65">
        <f t="array" ref="BF50">SUM(IF(NOT(ISERR(FIND("+",BF5:BF46))),1,0))</f>
        <v>0</v>
      </c>
      <c r="CF50" s="65">
        <f>SUM(D50:BF50)</f>
        <v>18</v>
      </c>
      <c r="CO50" s="88">
        <f>SUM(D50:BF50)</f>
        <v>18</v>
      </c>
      <c r="CP50" s="57"/>
      <c r="CQ50" s="57"/>
      <c r="CR50" s="103">
        <f t="shared" ref="CR50:CW50" si="144">CR48/$CR$49</f>
        <v>0.35658914728682173</v>
      </c>
      <c r="CS50" s="103">
        <f t="shared" si="144"/>
        <v>0.48837209302325579</v>
      </c>
      <c r="CT50" s="103">
        <f t="shared" si="144"/>
        <v>0.10077519379844961</v>
      </c>
      <c r="CU50" s="103">
        <f t="shared" si="144"/>
        <v>1.5503875968992248E-2</v>
      </c>
      <c r="CV50" s="103">
        <f t="shared" si="144"/>
        <v>3.875968992248062E-2</v>
      </c>
      <c r="CW50" s="103">
        <f t="shared" si="144"/>
        <v>0</v>
      </c>
      <c r="CX50" s="103"/>
      <c r="CY50" s="103"/>
      <c r="CZ50" s="57"/>
      <c r="DA50" s="57"/>
      <c r="DB50" s="57"/>
      <c r="DC50" s="57"/>
      <c r="DD50" s="57"/>
      <c r="DE50" s="57"/>
      <c r="DK50"/>
      <c r="DL50"/>
      <c r="DO50" s="113"/>
      <c r="DP50" s="113"/>
    </row>
    <row r="51" spans="2:129" x14ac:dyDescent="0.15">
      <c r="DK51"/>
      <c r="DL51"/>
      <c r="DO51" s="113"/>
      <c r="DP51" s="113"/>
    </row>
    <row r="52" spans="2:129" x14ac:dyDescent="0.15">
      <c r="C52" s="65" t="s">
        <v>111</v>
      </c>
      <c r="D52" s="65">
        <f t="shared" ref="D52:AI52" si="145">BatSplit(D5:D46,RunsScored)</f>
        <v>98</v>
      </c>
      <c r="E52" s="65">
        <f t="shared" si="145"/>
        <v>172</v>
      </c>
      <c r="F52" s="65">
        <f t="shared" si="145"/>
        <v>145</v>
      </c>
      <c r="G52" s="65">
        <f t="shared" si="145"/>
        <v>137</v>
      </c>
      <c r="H52" s="65">
        <f t="shared" si="145"/>
        <v>85</v>
      </c>
      <c r="I52" s="65">
        <f t="shared" si="145"/>
        <v>167</v>
      </c>
      <c r="J52" s="65">
        <f t="shared" si="145"/>
        <v>187</v>
      </c>
      <c r="K52" s="65">
        <f t="shared" si="145"/>
        <v>190</v>
      </c>
      <c r="L52" s="65">
        <f t="shared" si="145"/>
        <v>180</v>
      </c>
      <c r="M52" s="65">
        <f t="shared" si="145"/>
        <v>124</v>
      </c>
      <c r="N52" s="65">
        <f t="shared" si="145"/>
        <v>205</v>
      </c>
      <c r="O52" s="65">
        <f t="shared" si="145"/>
        <v>261</v>
      </c>
      <c r="P52" s="65">
        <f t="shared" si="145"/>
        <v>121</v>
      </c>
      <c r="Q52" s="65">
        <f t="shared" si="145"/>
        <v>144</v>
      </c>
      <c r="R52" s="65">
        <f t="shared" si="145"/>
        <v>187</v>
      </c>
      <c r="S52" s="65">
        <f t="shared" si="145"/>
        <v>195</v>
      </c>
      <c r="T52" s="65">
        <f t="shared" si="145"/>
        <v>149</v>
      </c>
      <c r="U52" s="65">
        <f t="shared" si="145"/>
        <v>0</v>
      </c>
      <c r="V52" s="65">
        <f t="shared" si="145"/>
        <v>0</v>
      </c>
      <c r="W52" s="65">
        <f t="shared" si="145"/>
        <v>0</v>
      </c>
      <c r="X52" s="65">
        <f t="shared" si="145"/>
        <v>0</v>
      </c>
      <c r="Y52" s="65">
        <f t="shared" si="145"/>
        <v>0</v>
      </c>
      <c r="Z52" s="65">
        <f t="shared" si="145"/>
        <v>0</v>
      </c>
      <c r="AA52" s="65">
        <f t="shared" si="145"/>
        <v>0</v>
      </c>
      <c r="AB52" s="65">
        <f t="shared" si="145"/>
        <v>0</v>
      </c>
      <c r="AC52" s="65">
        <f t="shared" si="145"/>
        <v>0</v>
      </c>
      <c r="AD52" s="65">
        <f t="shared" si="145"/>
        <v>0</v>
      </c>
      <c r="AE52" s="65">
        <f t="shared" si="145"/>
        <v>0</v>
      </c>
      <c r="AF52" s="65">
        <f t="shared" si="145"/>
        <v>0</v>
      </c>
      <c r="AG52" s="65">
        <f t="shared" si="145"/>
        <v>0</v>
      </c>
      <c r="AH52" s="65">
        <f t="shared" si="145"/>
        <v>0</v>
      </c>
      <c r="AI52" s="65">
        <f t="shared" si="145"/>
        <v>0</v>
      </c>
      <c r="AJ52" s="65">
        <f t="shared" ref="AJ52:BF52" si="146">BatSplit(AJ5:AJ46,RunsScored)</f>
        <v>0</v>
      </c>
      <c r="AK52" s="65">
        <f t="shared" si="146"/>
        <v>0</v>
      </c>
      <c r="AL52" s="65">
        <f t="shared" si="146"/>
        <v>0</v>
      </c>
      <c r="AM52" s="65">
        <f t="shared" si="146"/>
        <v>0</v>
      </c>
      <c r="AN52" s="65">
        <f t="shared" si="146"/>
        <v>0</v>
      </c>
      <c r="AO52" s="65">
        <f t="shared" si="146"/>
        <v>0</v>
      </c>
      <c r="AP52" s="65">
        <f t="shared" si="146"/>
        <v>0</v>
      </c>
      <c r="AQ52" s="65">
        <f t="shared" si="146"/>
        <v>0</v>
      </c>
      <c r="AR52" s="65">
        <f t="shared" si="146"/>
        <v>0</v>
      </c>
      <c r="AS52" s="65">
        <f t="shared" si="146"/>
        <v>0</v>
      </c>
      <c r="AT52" s="65">
        <f t="shared" si="146"/>
        <v>0</v>
      </c>
      <c r="AU52" s="65">
        <f t="shared" si="146"/>
        <v>0</v>
      </c>
      <c r="AV52" s="65">
        <f t="shared" si="146"/>
        <v>0</v>
      </c>
      <c r="AW52" s="65">
        <f t="shared" si="146"/>
        <v>0</v>
      </c>
      <c r="AX52" s="65">
        <f t="shared" si="146"/>
        <v>0</v>
      </c>
      <c r="AY52" s="65">
        <f t="shared" si="146"/>
        <v>0</v>
      </c>
      <c r="AZ52" s="65">
        <f t="shared" si="146"/>
        <v>0</v>
      </c>
      <c r="BA52" s="65">
        <f t="shared" si="146"/>
        <v>0</v>
      </c>
      <c r="BB52" s="65">
        <f t="shared" si="146"/>
        <v>0</v>
      </c>
      <c r="BC52" s="65">
        <f t="shared" si="146"/>
        <v>0</v>
      </c>
      <c r="BD52" s="65">
        <f t="shared" si="146"/>
        <v>0</v>
      </c>
      <c r="BE52" s="65">
        <f t="shared" si="146"/>
        <v>0</v>
      </c>
      <c r="BF52" s="65">
        <f t="shared" si="146"/>
        <v>0</v>
      </c>
      <c r="CF52" s="65">
        <f>SUM(D52:BD52)</f>
        <v>2747</v>
      </c>
      <c r="CH52" s="65">
        <f>SUM(CH5:CH47)</f>
        <v>156</v>
      </c>
      <c r="CI52" s="65">
        <f>SUM(CI5:CI47)</f>
        <v>27</v>
      </c>
      <c r="CJ52" s="65">
        <f>SUM(CJ5:CJ46)</f>
        <v>325</v>
      </c>
      <c r="CL52" s="65">
        <f>SUM(CL5:CL47)</f>
        <v>2747</v>
      </c>
      <c r="CO52" s="65">
        <f>SUM(D52:BF52)</f>
        <v>2747</v>
      </c>
      <c r="DK52"/>
      <c r="DL52"/>
      <c r="DO52" s="113"/>
      <c r="DP52"/>
    </row>
    <row r="53" spans="2:129" x14ac:dyDescent="0.15">
      <c r="C53" s="65" t="s">
        <v>110</v>
      </c>
      <c r="D53" s="65">
        <f t="array" ref="D53:BF53">TRANSPOSE(Matches!Z5:Z59)</f>
        <v>19</v>
      </c>
      <c r="E53" s="65">
        <v>43</v>
      </c>
      <c r="F53" s="65">
        <v>18</v>
      </c>
      <c r="G53" s="65">
        <v>14</v>
      </c>
      <c r="H53" s="65">
        <v>27</v>
      </c>
      <c r="I53" s="65">
        <v>26</v>
      </c>
      <c r="J53" s="65">
        <v>17</v>
      </c>
      <c r="K53" s="65">
        <v>14</v>
      </c>
      <c r="L53" s="65">
        <v>47</v>
      </c>
      <c r="M53" s="65">
        <v>17</v>
      </c>
      <c r="N53" s="65">
        <v>34</v>
      </c>
      <c r="O53" s="65">
        <v>21</v>
      </c>
      <c r="P53" s="65">
        <v>31</v>
      </c>
      <c r="Q53" s="65">
        <v>17</v>
      </c>
      <c r="R53" s="65">
        <v>38</v>
      </c>
      <c r="S53" s="65">
        <v>27</v>
      </c>
      <c r="T53" s="65">
        <v>18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CF53" s="65">
        <f>SUM(D53:BD53)</f>
        <v>428</v>
      </c>
      <c r="CO53" s="65">
        <f>SUM(D53:BF53)</f>
        <v>428</v>
      </c>
      <c r="DK53" s="113"/>
      <c r="DL53" s="113"/>
      <c r="DM53"/>
      <c r="DN53"/>
      <c r="DQ53" s="113"/>
    </row>
    <row r="54" spans="2:129" s="57" customFormat="1" x14ac:dyDescent="0.15">
      <c r="C54" s="57" t="s">
        <v>112</v>
      </c>
      <c r="D54" s="57">
        <f>D53+D52</f>
        <v>117</v>
      </c>
      <c r="E54" s="57">
        <f t="shared" ref="E54:BF54" si="147">E53+E52</f>
        <v>215</v>
      </c>
      <c r="F54" s="57">
        <f t="shared" si="147"/>
        <v>163</v>
      </c>
      <c r="G54" s="57">
        <f t="shared" si="147"/>
        <v>151</v>
      </c>
      <c r="H54" s="57">
        <f t="shared" si="147"/>
        <v>112</v>
      </c>
      <c r="I54" s="57">
        <f t="shared" si="147"/>
        <v>193</v>
      </c>
      <c r="J54" s="57">
        <f t="shared" si="147"/>
        <v>204</v>
      </c>
      <c r="K54" s="57">
        <f t="shared" si="147"/>
        <v>204</v>
      </c>
      <c r="L54" s="57">
        <f t="shared" si="147"/>
        <v>227</v>
      </c>
      <c r="M54" s="57">
        <f t="shared" si="147"/>
        <v>141</v>
      </c>
      <c r="N54" s="57">
        <f t="shared" si="147"/>
        <v>239</v>
      </c>
      <c r="O54" s="57">
        <f t="shared" si="147"/>
        <v>282</v>
      </c>
      <c r="P54" s="57">
        <f t="shared" si="147"/>
        <v>152</v>
      </c>
      <c r="Q54" s="57">
        <f t="shared" si="147"/>
        <v>161</v>
      </c>
      <c r="R54" s="57">
        <f t="shared" si="147"/>
        <v>225</v>
      </c>
      <c r="S54" s="57">
        <f t="shared" si="147"/>
        <v>222</v>
      </c>
      <c r="T54" s="57">
        <f t="shared" si="147"/>
        <v>167</v>
      </c>
      <c r="U54" s="57">
        <f t="shared" si="147"/>
        <v>0</v>
      </c>
      <c r="V54" s="57">
        <f t="shared" si="147"/>
        <v>0</v>
      </c>
      <c r="W54" s="57">
        <f t="shared" si="147"/>
        <v>0</v>
      </c>
      <c r="X54" s="57">
        <f t="shared" si="147"/>
        <v>0</v>
      </c>
      <c r="Y54" s="57">
        <f t="shared" si="147"/>
        <v>0</v>
      </c>
      <c r="Z54" s="57">
        <f t="shared" si="147"/>
        <v>0</v>
      </c>
      <c r="AA54" s="57">
        <f t="shared" si="147"/>
        <v>0</v>
      </c>
      <c r="AB54" s="57">
        <f t="shared" si="147"/>
        <v>0</v>
      </c>
      <c r="AC54" s="57">
        <f t="shared" si="147"/>
        <v>0</v>
      </c>
      <c r="AD54" s="57">
        <f t="shared" si="147"/>
        <v>0</v>
      </c>
      <c r="AE54" s="57">
        <f t="shared" si="147"/>
        <v>0</v>
      </c>
      <c r="AF54" s="57">
        <f t="shared" si="147"/>
        <v>0</v>
      </c>
      <c r="AG54" s="57">
        <f t="shared" si="147"/>
        <v>0</v>
      </c>
      <c r="AH54" s="57">
        <f t="shared" si="147"/>
        <v>0</v>
      </c>
      <c r="AI54" s="57">
        <f t="shared" si="147"/>
        <v>0</v>
      </c>
      <c r="AJ54" s="57">
        <f t="shared" si="147"/>
        <v>0</v>
      </c>
      <c r="AK54" s="57">
        <f t="shared" si="147"/>
        <v>0</v>
      </c>
      <c r="AL54" s="57">
        <f t="shared" si="147"/>
        <v>0</v>
      </c>
      <c r="AM54" s="57">
        <f t="shared" si="147"/>
        <v>0</v>
      </c>
      <c r="AN54" s="57">
        <f t="shared" si="147"/>
        <v>0</v>
      </c>
      <c r="AO54" s="57">
        <f t="shared" si="147"/>
        <v>0</v>
      </c>
      <c r="AP54" s="57">
        <f t="shared" si="147"/>
        <v>0</v>
      </c>
      <c r="AQ54" s="57">
        <f t="shared" si="147"/>
        <v>0</v>
      </c>
      <c r="AR54" s="57">
        <f t="shared" si="147"/>
        <v>0</v>
      </c>
      <c r="AS54" s="57">
        <f t="shared" si="147"/>
        <v>0</v>
      </c>
      <c r="AT54" s="57">
        <f t="shared" si="147"/>
        <v>0</v>
      </c>
      <c r="AU54" s="57">
        <f>AU53+AU52</f>
        <v>0</v>
      </c>
      <c r="AV54" s="57">
        <f t="shared" si="147"/>
        <v>0</v>
      </c>
      <c r="AW54" s="57">
        <f t="shared" si="147"/>
        <v>0</v>
      </c>
      <c r="AX54" s="57">
        <f t="shared" si="147"/>
        <v>0</v>
      </c>
      <c r="AY54" s="57">
        <f t="shared" si="147"/>
        <v>0</v>
      </c>
      <c r="AZ54" s="57">
        <f t="shared" si="147"/>
        <v>0</v>
      </c>
      <c r="BA54" s="57">
        <f t="shared" si="147"/>
        <v>0</v>
      </c>
      <c r="BB54" s="57">
        <f t="shared" si="147"/>
        <v>0</v>
      </c>
      <c r="BC54" s="57">
        <f t="shared" si="147"/>
        <v>0</v>
      </c>
      <c r="BD54" s="57">
        <f t="shared" si="147"/>
        <v>0</v>
      </c>
      <c r="BE54" s="57">
        <f t="shared" si="147"/>
        <v>0</v>
      </c>
      <c r="BF54" s="57">
        <f t="shared" si="147"/>
        <v>0</v>
      </c>
      <c r="CF54" s="65">
        <f>SUM(D54:BD54)</f>
        <v>3175</v>
      </c>
      <c r="CH54" s="65" t="s">
        <v>32</v>
      </c>
      <c r="CI54" s="65">
        <f>CH52-CI52</f>
        <v>129</v>
      </c>
      <c r="CJ54" s="65"/>
      <c r="CK54" s="65"/>
      <c r="CL54" s="65"/>
      <c r="CO54" s="57">
        <f>SUM(D54:BF54)</f>
        <v>3175</v>
      </c>
      <c r="DK54" s="113"/>
      <c r="DL54" s="113"/>
      <c r="DM54"/>
      <c r="DN54" s="65"/>
      <c r="DO54" s="113"/>
      <c r="DP54" s="118"/>
      <c r="DQ54" s="113"/>
    </row>
    <row r="55" spans="2:129" x14ac:dyDescent="0.15">
      <c r="D55" s="51"/>
      <c r="CH55" s="65" t="s">
        <v>33</v>
      </c>
      <c r="CI55" s="65">
        <f>CF54/CI54</f>
        <v>24.612403100775193</v>
      </c>
      <c r="DM55"/>
      <c r="DN55" s="113"/>
      <c r="DO55" s="113"/>
      <c r="DP55"/>
      <c r="DQ55" s="113"/>
    </row>
    <row r="56" spans="2:129" s="113" customFormat="1" x14ac:dyDescent="0.15">
      <c r="C56" s="113" t="s">
        <v>199</v>
      </c>
      <c r="D56" s="114" t="str">
        <f>INDEX($C$5:$C$46,findcellcontaining("*",D5:D46))</f>
        <v>Springer T</v>
      </c>
      <c r="E56" s="114" t="str">
        <f>INDEX($C$5:$C$46,findcellcontaining("*",E5:E46))</f>
        <v>Springer T</v>
      </c>
      <c r="F56" s="114" t="str">
        <f>INDEX($C$5:$C$46,findcellcontaining("*",F5:F46))</f>
        <v>Springer T</v>
      </c>
      <c r="G56" s="114" t="str">
        <f>INDEX($C$5:$C$46,findcellcontaining("*",G5:G46))</f>
        <v>Springer T</v>
      </c>
      <c r="H56" s="114" t="str">
        <f>INDEX($C$5:$C$46,findcellcontaining("*",H5:H46))</f>
        <v>Greenall D</v>
      </c>
      <c r="I56" s="114" t="str">
        <f>INDEX($C$5:$C$46,findcellcontaining("*",I5:I46))</f>
        <v>Sharpe D</v>
      </c>
      <c r="J56" s="114" t="str">
        <f>INDEX($C$5:$C$46,findcellcontaining("*",J5:J46))</f>
        <v>Springer T</v>
      </c>
      <c r="K56" s="114" t="str">
        <f>INDEX($C$5:$C$46,findcellcontaining("*",K5:K46))</f>
        <v>Springer T</v>
      </c>
      <c r="L56" s="114" t="str">
        <f>INDEX($C$5:$C$46,findcellcontaining("*",L5:L46))</f>
        <v>Springer T</v>
      </c>
      <c r="M56" s="114" t="str">
        <f>INDEX($C$5:$C$46,findcellcontaining("*",M5:M46))</f>
        <v>Springer T</v>
      </c>
      <c r="N56" s="114" t="str">
        <f>INDEX($C$5:$C$46,findcellcontaining("*",N5:N46))</f>
        <v>Springer T</v>
      </c>
      <c r="O56" s="114" t="str">
        <f>INDEX($C$5:$C$46,findcellcontaining("*",O5:O46))</f>
        <v>Springer T</v>
      </c>
      <c r="P56" s="114" t="str">
        <f>INDEX($C$5:$C$46,findcellcontaining("*",P5:P46))</f>
        <v>Springer T</v>
      </c>
      <c r="Q56" s="114" t="str">
        <f>INDEX($C$5:$C$46,findcellcontaining("*",Q5:Q46))</f>
        <v>Springer T</v>
      </c>
      <c r="R56" s="114" t="str">
        <f>INDEX($C$5:$C$46,findcellcontaining("*",R5:R46))</f>
        <v>Springer T</v>
      </c>
      <c r="S56" s="114" t="str">
        <f>INDEX($C$5:$C$46,findcellcontaining("*",S5:S46))</f>
        <v>Springer T</v>
      </c>
      <c r="T56" s="114" t="str">
        <f>INDEX($C$5:$C$46,findcellcontaining("*",T5:T46))</f>
        <v>Springer T</v>
      </c>
      <c r="U56" s="114" t="e">
        <f>INDEX($C$5:$C$46,findcellcontaining("*",U5:U46))</f>
        <v>#N/A</v>
      </c>
      <c r="V56" s="114" t="e">
        <f>INDEX($C$5:$C$46,findcellcontaining("*",V5:V46))</f>
        <v>#N/A</v>
      </c>
      <c r="W56" s="114" t="e">
        <f>INDEX($C$5:$C$46,findcellcontaining("*",W5:W46))</f>
        <v>#N/A</v>
      </c>
      <c r="X56" s="114" t="e">
        <f>INDEX($C$5:$C$46,findcellcontaining("*",X5:X46))</f>
        <v>#N/A</v>
      </c>
      <c r="Y56" s="114" t="e">
        <f>INDEX($C$5:$C$46,findcellcontaining("*",Y5:Y46))</f>
        <v>#N/A</v>
      </c>
      <c r="Z56" s="114" t="e">
        <f>INDEX($C$5:$C$46,findcellcontaining("*",Z5:Z46))</f>
        <v>#N/A</v>
      </c>
      <c r="AA56" s="114" t="e">
        <f>INDEX($C$5:$C$46,findcellcontaining("*",AA5:AA46))</f>
        <v>#N/A</v>
      </c>
      <c r="AB56" s="114" t="e">
        <f>INDEX($C$5:$C$46,findcellcontaining("*",AB5:AB46))</f>
        <v>#N/A</v>
      </c>
      <c r="AC56" s="114" t="e">
        <f>INDEX($C$5:$C$46,findcellcontaining("*",AC5:AC46))</f>
        <v>#N/A</v>
      </c>
      <c r="AD56" s="114" t="e">
        <f>INDEX($C$5:$C$46,findcellcontaining("*",AD5:AD46))</f>
        <v>#N/A</v>
      </c>
      <c r="AE56" s="114" t="e">
        <f>INDEX($C$5:$C$46,findcellcontaining("*",AE5:AE46))</f>
        <v>#N/A</v>
      </c>
      <c r="AF56" s="114"/>
      <c r="AG56" s="114"/>
      <c r="AH56" s="114"/>
      <c r="AI56" s="114"/>
      <c r="AJ56" s="114"/>
      <c r="AK56" s="114"/>
      <c r="AL56" s="114"/>
      <c r="AM56" s="114"/>
      <c r="AN56" s="114"/>
      <c r="AO56" s="114"/>
      <c r="AP56" s="114"/>
      <c r="AQ56" s="114"/>
      <c r="AR56" s="114"/>
      <c r="AS56" s="114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14"/>
      <c r="BV56" s="114"/>
      <c r="BW56" s="114"/>
      <c r="BX56" s="114"/>
      <c r="BY56" s="114"/>
      <c r="BZ56" s="114"/>
      <c r="CA56" s="114"/>
      <c r="CB56" s="114"/>
      <c r="CC56" s="114"/>
      <c r="CD56" s="114"/>
      <c r="CE56" s="114"/>
      <c r="CM56" s="115"/>
      <c r="DM56"/>
    </row>
    <row r="57" spans="2:129" s="113" customFormat="1" x14ac:dyDescent="0.15">
      <c r="C57" s="117"/>
      <c r="CM57" s="115"/>
      <c r="CO57" s="116"/>
      <c r="DM57"/>
      <c r="DQ57"/>
    </row>
    <row r="58" spans="2:129" s="113" customFormat="1" x14ac:dyDescent="0.15">
      <c r="B58" s="113">
        <f>MAX(D58:AE58)</f>
        <v>8</v>
      </c>
      <c r="C58" s="113" t="s">
        <v>22</v>
      </c>
      <c r="D58" s="113">
        <f t="shared" ref="D58:AE58" si="148">BatSplit(D5:D46,Sixes)</f>
        <v>2</v>
      </c>
      <c r="E58" s="113">
        <f t="shared" si="148"/>
        <v>3</v>
      </c>
      <c r="F58" s="113">
        <f t="shared" si="148"/>
        <v>1</v>
      </c>
      <c r="G58" s="113">
        <f t="shared" si="148"/>
        <v>5</v>
      </c>
      <c r="H58" s="113">
        <f t="shared" si="148"/>
        <v>0</v>
      </c>
      <c r="I58" s="113">
        <f t="shared" si="148"/>
        <v>5</v>
      </c>
      <c r="J58" s="113">
        <f t="shared" si="148"/>
        <v>8</v>
      </c>
      <c r="K58" s="113">
        <f t="shared" si="148"/>
        <v>2</v>
      </c>
      <c r="L58" s="113">
        <f t="shared" si="148"/>
        <v>2</v>
      </c>
      <c r="M58" s="113">
        <f t="shared" si="148"/>
        <v>1</v>
      </c>
      <c r="N58" s="113">
        <f t="shared" si="148"/>
        <v>2</v>
      </c>
      <c r="O58" s="113">
        <f t="shared" si="148"/>
        <v>3</v>
      </c>
      <c r="P58" s="113">
        <f t="shared" si="148"/>
        <v>0</v>
      </c>
      <c r="Q58" s="113">
        <f t="shared" si="148"/>
        <v>3</v>
      </c>
      <c r="R58" s="113">
        <f t="shared" si="148"/>
        <v>3</v>
      </c>
      <c r="S58" s="113">
        <f t="shared" si="148"/>
        <v>1</v>
      </c>
      <c r="T58" s="113">
        <f t="shared" si="148"/>
        <v>0</v>
      </c>
      <c r="U58" s="113">
        <f t="shared" si="148"/>
        <v>0</v>
      </c>
      <c r="V58" s="113">
        <f t="shared" si="148"/>
        <v>0</v>
      </c>
      <c r="W58" s="113">
        <f t="shared" si="148"/>
        <v>0</v>
      </c>
      <c r="X58" s="113">
        <f t="shared" si="148"/>
        <v>0</v>
      </c>
      <c r="Y58" s="113">
        <f t="shared" si="148"/>
        <v>0</v>
      </c>
      <c r="Z58" s="113">
        <f t="shared" si="148"/>
        <v>0</v>
      </c>
      <c r="AA58" s="113">
        <f t="shared" si="148"/>
        <v>0</v>
      </c>
      <c r="AB58" s="113">
        <f t="shared" si="148"/>
        <v>0</v>
      </c>
      <c r="AC58" s="113">
        <f t="shared" si="148"/>
        <v>0</v>
      </c>
      <c r="AD58" s="113">
        <f t="shared" si="148"/>
        <v>0</v>
      </c>
      <c r="AE58" s="113">
        <f t="shared" si="148"/>
        <v>0</v>
      </c>
      <c r="CM58" s="115"/>
      <c r="DK58"/>
      <c r="DL58"/>
      <c r="DM58"/>
      <c r="DO58"/>
      <c r="DP58"/>
      <c r="DQ58"/>
      <c r="DR58"/>
      <c r="DS58"/>
      <c r="DT58"/>
      <c r="DU58"/>
      <c r="DV58"/>
      <c r="DW58"/>
      <c r="DX58"/>
      <c r="DY58"/>
    </row>
    <row r="59" spans="2:129" s="113" customFormat="1" x14ac:dyDescent="0.15">
      <c r="B59" s="113">
        <f>MAX(D59:AE59)</f>
        <v>40</v>
      </c>
      <c r="C59" s="113" t="s">
        <v>21</v>
      </c>
      <c r="D59" s="113">
        <f t="shared" ref="D59:AE59" si="149">BatSplit(D5:D46,Fours)</f>
        <v>10</v>
      </c>
      <c r="E59" s="113">
        <f t="shared" si="149"/>
        <v>20</v>
      </c>
      <c r="F59" s="113">
        <f t="shared" si="149"/>
        <v>23</v>
      </c>
      <c r="G59" s="113">
        <f t="shared" si="149"/>
        <v>15</v>
      </c>
      <c r="H59" s="113">
        <f t="shared" si="149"/>
        <v>12</v>
      </c>
      <c r="I59" s="113">
        <f t="shared" si="149"/>
        <v>19</v>
      </c>
      <c r="J59" s="113">
        <f t="shared" si="149"/>
        <v>20</v>
      </c>
      <c r="K59" s="113">
        <f t="shared" si="149"/>
        <v>31</v>
      </c>
      <c r="L59" s="113">
        <f t="shared" si="149"/>
        <v>29</v>
      </c>
      <c r="M59" s="113">
        <f t="shared" si="149"/>
        <v>21</v>
      </c>
      <c r="N59" s="113">
        <f t="shared" si="149"/>
        <v>36</v>
      </c>
      <c r="O59" s="113">
        <f t="shared" si="149"/>
        <v>40</v>
      </c>
      <c r="P59" s="113">
        <f t="shared" si="149"/>
        <v>21</v>
      </c>
      <c r="Q59" s="113">
        <f t="shared" si="149"/>
        <v>22</v>
      </c>
      <c r="R59" s="113">
        <f t="shared" si="149"/>
        <v>24</v>
      </c>
      <c r="S59" s="113">
        <f t="shared" si="149"/>
        <v>30</v>
      </c>
      <c r="T59" s="113">
        <f t="shared" si="149"/>
        <v>22</v>
      </c>
      <c r="U59" s="113">
        <f t="shared" si="149"/>
        <v>0</v>
      </c>
      <c r="V59" s="113">
        <f t="shared" si="149"/>
        <v>0</v>
      </c>
      <c r="W59" s="113">
        <f t="shared" si="149"/>
        <v>0</v>
      </c>
      <c r="X59" s="113">
        <f t="shared" si="149"/>
        <v>0</v>
      </c>
      <c r="Y59" s="113">
        <f t="shared" si="149"/>
        <v>0</v>
      </c>
      <c r="Z59" s="113">
        <f t="shared" si="149"/>
        <v>0</v>
      </c>
      <c r="AA59" s="113">
        <f t="shared" si="149"/>
        <v>0</v>
      </c>
      <c r="AB59" s="113">
        <f t="shared" si="149"/>
        <v>0</v>
      </c>
      <c r="AC59" s="113">
        <f t="shared" si="149"/>
        <v>0</v>
      </c>
      <c r="AD59" s="113">
        <f t="shared" si="149"/>
        <v>0</v>
      </c>
      <c r="AE59" s="113">
        <f t="shared" si="149"/>
        <v>0</v>
      </c>
      <c r="CM59" s="115"/>
      <c r="CY59"/>
      <c r="CZ59"/>
      <c r="DK59"/>
      <c r="DL59"/>
      <c r="DM59"/>
      <c r="DN59"/>
      <c r="DO59" s="57"/>
      <c r="DP59"/>
      <c r="DQ59"/>
      <c r="DR59"/>
      <c r="DS59"/>
      <c r="DV59" s="65"/>
      <c r="DW59" s="65"/>
      <c r="DX59" s="65"/>
      <c r="DY59" s="65"/>
    </row>
    <row r="60" spans="2:129" s="113" customFormat="1" x14ac:dyDescent="0.15">
      <c r="C60" s="129" t="s">
        <v>20</v>
      </c>
      <c r="D60" s="113">
        <f t="shared" ref="D60:Z60" si="150">BatSplit(D5:D46,Catches)</f>
        <v>0</v>
      </c>
      <c r="E60" s="113">
        <f t="shared" si="150"/>
        <v>6</v>
      </c>
      <c r="F60" s="113">
        <f t="shared" si="150"/>
        <v>6</v>
      </c>
      <c r="G60" s="113">
        <f t="shared" si="150"/>
        <v>2</v>
      </c>
      <c r="H60" s="113">
        <f t="shared" si="150"/>
        <v>1</v>
      </c>
      <c r="I60" s="113">
        <f t="shared" si="150"/>
        <v>3</v>
      </c>
      <c r="J60" s="113">
        <f t="shared" si="150"/>
        <v>4</v>
      </c>
      <c r="K60" s="113">
        <f t="shared" si="150"/>
        <v>3</v>
      </c>
      <c r="L60" s="113">
        <f t="shared" si="150"/>
        <v>5</v>
      </c>
      <c r="M60" s="113">
        <f t="shared" si="150"/>
        <v>3</v>
      </c>
      <c r="N60" s="113">
        <f t="shared" si="150"/>
        <v>3</v>
      </c>
      <c r="O60" s="113">
        <f t="shared" si="150"/>
        <v>5</v>
      </c>
      <c r="P60" s="113">
        <f t="shared" si="150"/>
        <v>6</v>
      </c>
      <c r="Q60" s="113">
        <f t="shared" si="150"/>
        <v>7</v>
      </c>
      <c r="R60" s="113">
        <f t="shared" si="150"/>
        <v>2</v>
      </c>
      <c r="S60" s="113">
        <f t="shared" si="150"/>
        <v>4</v>
      </c>
      <c r="T60" s="113">
        <f t="shared" si="150"/>
        <v>3</v>
      </c>
      <c r="U60" s="113">
        <f t="shared" si="150"/>
        <v>0</v>
      </c>
      <c r="V60" s="113">
        <f t="shared" si="150"/>
        <v>0</v>
      </c>
      <c r="W60" s="113">
        <f t="shared" si="150"/>
        <v>0</v>
      </c>
      <c r="X60" s="113">
        <f t="shared" si="150"/>
        <v>0</v>
      </c>
      <c r="Y60" s="113">
        <f t="shared" si="150"/>
        <v>0</v>
      </c>
      <c r="Z60" s="113">
        <f t="shared" si="150"/>
        <v>0</v>
      </c>
      <c r="CM60" s="115"/>
      <c r="DK60"/>
      <c r="DL60"/>
      <c r="DM60" s="65"/>
      <c r="DR60"/>
      <c r="DS60"/>
      <c r="DV60"/>
      <c r="DW60"/>
    </row>
    <row r="61" spans="2:129" s="113" customFormat="1" x14ac:dyDescent="0.15">
      <c r="C61" s="129" t="s">
        <v>221</v>
      </c>
      <c r="D61" s="113">
        <f t="shared" ref="D61:Z61" si="151">BatSplit(D5:D46,HighestScore)</f>
        <v>40</v>
      </c>
      <c r="E61" s="113">
        <f t="shared" si="151"/>
        <v>63</v>
      </c>
      <c r="F61" s="113">
        <f t="shared" si="151"/>
        <v>53</v>
      </c>
      <c r="G61" s="113">
        <f t="shared" si="151"/>
        <v>63</v>
      </c>
      <c r="H61" s="113">
        <f t="shared" si="151"/>
        <v>32</v>
      </c>
      <c r="I61" s="113">
        <f t="shared" si="151"/>
        <v>-60</v>
      </c>
      <c r="J61" s="113">
        <f t="shared" si="151"/>
        <v>77</v>
      </c>
      <c r="K61" s="113">
        <f t="shared" si="151"/>
        <v>45</v>
      </c>
      <c r="L61" s="113">
        <f t="shared" si="151"/>
        <v>51</v>
      </c>
      <c r="M61" s="113">
        <f t="shared" si="151"/>
        <v>37</v>
      </c>
      <c r="N61" s="113">
        <f t="shared" si="151"/>
        <v>68</v>
      </c>
      <c r="O61" s="113">
        <f t="shared" si="151"/>
        <v>99</v>
      </c>
      <c r="P61" s="113">
        <f t="shared" si="151"/>
        <v>30</v>
      </c>
      <c r="Q61" s="113">
        <f t="shared" si="151"/>
        <v>58</v>
      </c>
      <c r="R61" s="113">
        <f t="shared" si="151"/>
        <v>100</v>
      </c>
      <c r="S61" s="113">
        <f t="shared" si="151"/>
        <v>56</v>
      </c>
      <c r="T61" s="113">
        <f t="shared" si="151"/>
        <v>-75</v>
      </c>
      <c r="U61" s="113">
        <f t="shared" si="151"/>
        <v>0</v>
      </c>
      <c r="V61" s="113">
        <f t="shared" si="151"/>
        <v>0</v>
      </c>
      <c r="W61" s="113">
        <f t="shared" si="151"/>
        <v>0</v>
      </c>
      <c r="X61" s="113">
        <f t="shared" si="151"/>
        <v>0</v>
      </c>
      <c r="Y61" s="113">
        <f t="shared" si="151"/>
        <v>0</v>
      </c>
      <c r="Z61" s="113">
        <f t="shared" si="151"/>
        <v>0</v>
      </c>
      <c r="CM61" s="115"/>
      <c r="CY61"/>
      <c r="CZ61"/>
      <c r="DK61" s="65"/>
      <c r="DL61" s="65"/>
      <c r="DR61"/>
      <c r="DS61"/>
      <c r="DV61"/>
      <c r="DW61"/>
    </row>
    <row r="62" spans="2:129" s="113" customFormat="1" x14ac:dyDescent="0.15">
      <c r="C62" s="129"/>
      <c r="CD62"/>
      <c r="CE62"/>
      <c r="CF62"/>
      <c r="CG62"/>
      <c r="CH62"/>
      <c r="CI62"/>
      <c r="CM62" s="115"/>
      <c r="CY62"/>
      <c r="CZ62"/>
    </row>
    <row r="63" spans="2:129" s="113" customFormat="1" x14ac:dyDescent="0.15">
      <c r="C63" s="129" t="s">
        <v>222</v>
      </c>
      <c r="D63" s="113" t="str">
        <f t="shared" ref="D63:Z63" si="152">IF(BatSplit(D5,RunsScored)&gt;=50,BatSplit(D5,RunsScored)&amp;IF(BatSplit(D5,NotOuts)=1,"*","")&amp;"|"&amp;$C5&amp;"|"&amp;D$2&amp;"|"&amp;TEXT(D$1,"dd-mmm"),"x")</f>
        <v>x</v>
      </c>
      <c r="E63" s="113" t="str">
        <f t="shared" si="152"/>
        <v>x</v>
      </c>
      <c r="F63" s="113" t="str">
        <f t="shared" si="152"/>
        <v>x</v>
      </c>
      <c r="G63" s="113" t="str">
        <f t="shared" si="152"/>
        <v>x</v>
      </c>
      <c r="H63" s="113" t="str">
        <f t="shared" si="152"/>
        <v>x</v>
      </c>
      <c r="I63" s="113" t="str">
        <f t="shared" si="152"/>
        <v>x</v>
      </c>
      <c r="J63" s="113" t="str">
        <f t="shared" si="152"/>
        <v>x</v>
      </c>
      <c r="K63" s="113" t="str">
        <f t="shared" si="152"/>
        <v>x</v>
      </c>
      <c r="L63" s="113" t="str">
        <f t="shared" si="152"/>
        <v>x</v>
      </c>
      <c r="M63" s="113" t="str">
        <f t="shared" si="152"/>
        <v>x</v>
      </c>
      <c r="N63" s="113" t="str">
        <f t="shared" si="152"/>
        <v>x</v>
      </c>
      <c r="O63" s="113" t="str">
        <f t="shared" si="152"/>
        <v>x</v>
      </c>
      <c r="P63" s="113" t="str">
        <f t="shared" si="152"/>
        <v>x</v>
      </c>
      <c r="Q63" s="113" t="str">
        <f t="shared" si="152"/>
        <v>x</v>
      </c>
      <c r="R63" s="113" t="str">
        <f t="shared" si="152"/>
        <v>x</v>
      </c>
      <c r="S63" s="113" t="str">
        <f t="shared" si="152"/>
        <v>x</v>
      </c>
      <c r="T63" s="113" t="str">
        <f t="shared" si="152"/>
        <v>x</v>
      </c>
      <c r="U63" s="113" t="str">
        <f t="shared" si="152"/>
        <v>x</v>
      </c>
      <c r="V63" s="113" t="str">
        <f t="shared" si="152"/>
        <v>x</v>
      </c>
      <c r="W63" s="113" t="str">
        <f t="shared" si="152"/>
        <v>x</v>
      </c>
      <c r="X63" s="113" t="str">
        <f t="shared" si="152"/>
        <v>x</v>
      </c>
      <c r="Y63" s="113" t="str">
        <f t="shared" si="152"/>
        <v>x</v>
      </c>
      <c r="Z63" s="113" t="str">
        <f t="shared" si="152"/>
        <v>x</v>
      </c>
      <c r="CD63"/>
      <c r="CE63"/>
      <c r="CF63"/>
      <c r="CG63"/>
      <c r="CH63"/>
      <c r="CI63"/>
      <c r="CM63" s="115"/>
      <c r="CY63"/>
      <c r="CZ63"/>
      <c r="DP63"/>
      <c r="DQ63"/>
    </row>
    <row r="64" spans="2:129" s="113" customFormat="1" x14ac:dyDescent="0.15">
      <c r="D64" s="113" t="str">
        <f t="shared" ref="D64:Z64" si="153">IF(BatSplit(D6,RunsScored)&gt;=50,BatSplit(D6,RunsScored)&amp;IF(BatSplit(D6,NotOuts)=1,"*","")&amp;"|"&amp;$C6&amp;"|"&amp;D$2&amp;"|"&amp;TEXT(D$1,"dd-mmm"),"x")</f>
        <v>x</v>
      </c>
      <c r="E64" s="113" t="str">
        <f t="shared" si="153"/>
        <v>x</v>
      </c>
      <c r="F64" s="113" t="str">
        <f t="shared" si="153"/>
        <v>x</v>
      </c>
      <c r="G64" s="113" t="str">
        <f t="shared" si="153"/>
        <v>x</v>
      </c>
      <c r="H64" s="113" t="str">
        <f t="shared" si="153"/>
        <v>x</v>
      </c>
      <c r="I64" s="113" t="str">
        <f t="shared" si="153"/>
        <v>x</v>
      </c>
      <c r="J64" s="113" t="str">
        <f t="shared" si="153"/>
        <v>x</v>
      </c>
      <c r="K64" s="113" t="str">
        <f t="shared" si="153"/>
        <v>x</v>
      </c>
      <c r="L64" s="113" t="str">
        <f t="shared" si="153"/>
        <v>x</v>
      </c>
      <c r="M64" s="113" t="str">
        <f t="shared" si="153"/>
        <v>x</v>
      </c>
      <c r="N64" s="113" t="str">
        <f t="shared" si="153"/>
        <v>x</v>
      </c>
      <c r="O64" s="113" t="str">
        <f t="shared" si="153"/>
        <v>x</v>
      </c>
      <c r="P64" s="113" t="str">
        <f t="shared" si="153"/>
        <v>x</v>
      </c>
      <c r="Q64" s="113" t="str">
        <f t="shared" si="153"/>
        <v>x</v>
      </c>
      <c r="R64" s="113" t="str">
        <f t="shared" si="153"/>
        <v>x</v>
      </c>
      <c r="S64" s="113" t="str">
        <f t="shared" si="153"/>
        <v>x</v>
      </c>
      <c r="T64" s="113" t="str">
        <f t="shared" si="153"/>
        <v>x</v>
      </c>
      <c r="U64" s="113" t="str">
        <f t="shared" si="153"/>
        <v>x</v>
      </c>
      <c r="V64" s="113" t="str">
        <f t="shared" si="153"/>
        <v>x</v>
      </c>
      <c r="W64" s="113" t="str">
        <f t="shared" si="153"/>
        <v>x</v>
      </c>
      <c r="X64" s="113" t="str">
        <f t="shared" si="153"/>
        <v>x</v>
      </c>
      <c r="Y64" s="113" t="str">
        <f t="shared" si="153"/>
        <v>x</v>
      </c>
      <c r="Z64" s="113" t="str">
        <f t="shared" si="153"/>
        <v>x</v>
      </c>
      <c r="CD64"/>
      <c r="CE64"/>
      <c r="CF64"/>
      <c r="CG64"/>
      <c r="CH64"/>
      <c r="CI64"/>
      <c r="CM64" s="115"/>
      <c r="DP64"/>
      <c r="DQ64"/>
    </row>
    <row r="65" spans="4:125" s="113" customFormat="1" x14ac:dyDescent="0.15">
      <c r="D65" s="113" t="str">
        <f t="shared" ref="D65:Z65" si="154">IF(BatSplit(D7,RunsScored)&gt;=50,BatSplit(D7,RunsScored)&amp;IF(BatSplit(D7,NotOuts)=1,"*","")&amp;"|"&amp;$C7&amp;"|"&amp;D$2&amp;"|"&amp;TEXT(D$1,"dd-mmm"),"x")</f>
        <v>x</v>
      </c>
      <c r="E65" s="113" t="str">
        <f t="shared" si="154"/>
        <v>x</v>
      </c>
      <c r="F65" s="113" t="str">
        <f t="shared" si="154"/>
        <v>x</v>
      </c>
      <c r="G65" s="113" t="str">
        <f t="shared" si="154"/>
        <v>x</v>
      </c>
      <c r="H65" s="113" t="str">
        <f t="shared" si="154"/>
        <v>x</v>
      </c>
      <c r="I65" s="113" t="str">
        <f t="shared" si="154"/>
        <v>x</v>
      </c>
      <c r="J65" s="113" t="str">
        <f t="shared" si="154"/>
        <v>x</v>
      </c>
      <c r="K65" s="113" t="str">
        <f t="shared" si="154"/>
        <v>x</v>
      </c>
      <c r="L65" s="113" t="str">
        <f t="shared" si="154"/>
        <v>x</v>
      </c>
      <c r="M65" s="113" t="str">
        <f t="shared" si="154"/>
        <v>x</v>
      </c>
      <c r="N65" s="113" t="str">
        <f t="shared" si="154"/>
        <v>x</v>
      </c>
      <c r="O65" s="113" t="str">
        <f t="shared" si="154"/>
        <v>x</v>
      </c>
      <c r="P65" s="113" t="str">
        <f t="shared" si="154"/>
        <v>x</v>
      </c>
      <c r="Q65" s="113" t="str">
        <f t="shared" si="154"/>
        <v>x</v>
      </c>
      <c r="R65" s="113" t="str">
        <f t="shared" si="154"/>
        <v>x</v>
      </c>
      <c r="S65" s="113" t="str">
        <f t="shared" si="154"/>
        <v>x</v>
      </c>
      <c r="T65" s="113" t="str">
        <f t="shared" si="154"/>
        <v>x</v>
      </c>
      <c r="U65" s="113" t="str">
        <f t="shared" si="154"/>
        <v>x</v>
      </c>
      <c r="V65" s="113" t="str">
        <f t="shared" si="154"/>
        <v>x</v>
      </c>
      <c r="W65" s="113" t="str">
        <f t="shared" si="154"/>
        <v>x</v>
      </c>
      <c r="X65" s="113" t="str">
        <f t="shared" si="154"/>
        <v>x</v>
      </c>
      <c r="Y65" s="113" t="str">
        <f t="shared" si="154"/>
        <v>x</v>
      </c>
      <c r="Z65" s="113" t="str">
        <f t="shared" si="154"/>
        <v>x</v>
      </c>
      <c r="CD65"/>
      <c r="CE65"/>
      <c r="CH65"/>
      <c r="CI65"/>
      <c r="CM65" s="115"/>
      <c r="DM65"/>
      <c r="DP65"/>
      <c r="DQ65"/>
    </row>
    <row r="66" spans="4:125" s="113" customFormat="1" x14ac:dyDescent="0.15">
      <c r="D66" s="113" t="str">
        <f t="shared" ref="D66:Z66" si="155">IF(BatSplit(D8,RunsScored)&gt;=50,BatSplit(D8,RunsScored)&amp;IF(BatSplit(D8,NotOuts)=1,"*","")&amp;"|"&amp;$C8&amp;"|"&amp;D$2&amp;"|"&amp;TEXT(D$1,"dd-mmm"),"x")</f>
        <v>x</v>
      </c>
      <c r="E66" s="113" t="str">
        <f t="shared" si="155"/>
        <v>x</v>
      </c>
      <c r="F66" s="113" t="str">
        <f t="shared" si="155"/>
        <v>x</v>
      </c>
      <c r="G66" s="113" t="str">
        <f t="shared" si="155"/>
        <v>x</v>
      </c>
      <c r="H66" s="113" t="str">
        <f t="shared" si="155"/>
        <v>x</v>
      </c>
      <c r="I66" s="113" t="str">
        <f t="shared" si="155"/>
        <v>x</v>
      </c>
      <c r="J66" s="113" t="str">
        <f t="shared" si="155"/>
        <v>x</v>
      </c>
      <c r="K66" s="113" t="str">
        <f t="shared" si="155"/>
        <v>x</v>
      </c>
      <c r="L66" s="113" t="str">
        <f t="shared" si="155"/>
        <v>x</v>
      </c>
      <c r="M66" s="113" t="str">
        <f t="shared" si="155"/>
        <v>x</v>
      </c>
      <c r="N66" s="113" t="str">
        <f t="shared" si="155"/>
        <v>x</v>
      </c>
      <c r="O66" s="113" t="str">
        <f t="shared" si="155"/>
        <v>x</v>
      </c>
      <c r="P66" s="113" t="str">
        <f t="shared" si="155"/>
        <v>x</v>
      </c>
      <c r="Q66" s="113" t="str">
        <f t="shared" si="155"/>
        <v>x</v>
      </c>
      <c r="R66" s="113" t="str">
        <f t="shared" si="155"/>
        <v>x</v>
      </c>
      <c r="S66" s="113" t="str">
        <f t="shared" si="155"/>
        <v>x</v>
      </c>
      <c r="T66" s="113" t="str">
        <f t="shared" si="155"/>
        <v>x</v>
      </c>
      <c r="U66" s="113" t="str">
        <f t="shared" si="155"/>
        <v>x</v>
      </c>
      <c r="V66" s="113" t="str">
        <f t="shared" si="155"/>
        <v>x</v>
      </c>
      <c r="W66" s="113" t="str">
        <f t="shared" si="155"/>
        <v>x</v>
      </c>
      <c r="X66" s="113" t="str">
        <f t="shared" si="155"/>
        <v>x</v>
      </c>
      <c r="Y66" s="113" t="str">
        <f t="shared" si="155"/>
        <v>x</v>
      </c>
      <c r="Z66" s="113" t="str">
        <f t="shared" si="155"/>
        <v>x</v>
      </c>
      <c r="CD66"/>
      <c r="CE66"/>
      <c r="CF66"/>
      <c r="CG66"/>
      <c r="CM66" s="115"/>
      <c r="DK66"/>
      <c r="DL66"/>
      <c r="DM66" s="57"/>
      <c r="DP66"/>
      <c r="DQ66"/>
    </row>
    <row r="67" spans="4:125" s="113" customFormat="1" x14ac:dyDescent="0.15">
      <c r="D67" s="113" t="str">
        <f t="shared" ref="D67:Z67" si="156">IF(BatSplit(D9,RunsScored)&gt;=50,BatSplit(D9,RunsScored)&amp;IF(BatSplit(D9,NotOuts)=1,"*","")&amp;"|"&amp;$C9&amp;"|"&amp;D$2&amp;"|"&amp;TEXT(D$1,"dd-mmm"),"x")</f>
        <v>x</v>
      </c>
      <c r="E67" s="113" t="str">
        <f t="shared" si="156"/>
        <v>x</v>
      </c>
      <c r="F67" s="113" t="str">
        <f t="shared" si="156"/>
        <v>x</v>
      </c>
      <c r="G67" s="113" t="str">
        <f t="shared" si="156"/>
        <v>x</v>
      </c>
      <c r="H67" s="113" t="str">
        <f t="shared" si="156"/>
        <v>x</v>
      </c>
      <c r="I67" s="113" t="str">
        <f t="shared" si="156"/>
        <v>x</v>
      </c>
      <c r="J67" s="113" t="str">
        <f t="shared" si="156"/>
        <v>x</v>
      </c>
      <c r="K67" s="113" t="str">
        <f t="shared" si="156"/>
        <v>x</v>
      </c>
      <c r="L67" s="113" t="str">
        <f t="shared" si="156"/>
        <v>x</v>
      </c>
      <c r="M67" s="113" t="str">
        <f t="shared" si="156"/>
        <v>x</v>
      </c>
      <c r="N67" s="113" t="str">
        <f t="shared" si="156"/>
        <v>x</v>
      </c>
      <c r="O67" s="113" t="str">
        <f t="shared" si="156"/>
        <v>x</v>
      </c>
      <c r="P67" s="113" t="str">
        <f t="shared" si="156"/>
        <v>x</v>
      </c>
      <c r="Q67" s="113" t="str">
        <f t="shared" si="156"/>
        <v>x</v>
      </c>
      <c r="R67" s="113" t="str">
        <f t="shared" si="156"/>
        <v>x</v>
      </c>
      <c r="S67" s="113" t="str">
        <f t="shared" si="156"/>
        <v>x</v>
      </c>
      <c r="T67" s="113" t="str">
        <f t="shared" si="156"/>
        <v>x</v>
      </c>
      <c r="U67" s="113" t="str">
        <f t="shared" si="156"/>
        <v>x</v>
      </c>
      <c r="V67" s="113" t="str">
        <f t="shared" si="156"/>
        <v>x</v>
      </c>
      <c r="W67" s="113" t="str">
        <f t="shared" si="156"/>
        <v>x</v>
      </c>
      <c r="X67" s="113" t="str">
        <f t="shared" si="156"/>
        <v>x</v>
      </c>
      <c r="Y67" s="113" t="str">
        <f t="shared" si="156"/>
        <v>x</v>
      </c>
      <c r="Z67" s="113" t="str">
        <f t="shared" si="156"/>
        <v>x</v>
      </c>
      <c r="CF67"/>
      <c r="CG67"/>
      <c r="CM67" s="115"/>
      <c r="DK67" s="65"/>
      <c r="DL67" s="65"/>
      <c r="DP67"/>
      <c r="DQ67"/>
    </row>
    <row r="68" spans="4:125" customFormat="1" x14ac:dyDescent="0.15">
      <c r="D68" s="113" t="str">
        <f t="shared" ref="D68:Z68" si="157">IF(BatSplit(D10,RunsScored)&gt;=50,BatSplit(D10,RunsScored)&amp;IF(BatSplit(D10,NotOuts)=1,"*","")&amp;"|"&amp;$C10&amp;"|"&amp;D$2&amp;"|"&amp;TEXT(D$1,"dd-mmm"),"x")</f>
        <v>x</v>
      </c>
      <c r="E68" s="113" t="str">
        <f t="shared" si="157"/>
        <v>x</v>
      </c>
      <c r="F68" s="113" t="str">
        <f t="shared" si="157"/>
        <v>x</v>
      </c>
      <c r="G68" s="113" t="str">
        <f t="shared" si="157"/>
        <v>x</v>
      </c>
      <c r="H68" s="113" t="str">
        <f t="shared" si="157"/>
        <v>x</v>
      </c>
      <c r="I68" s="113" t="str">
        <f t="shared" si="157"/>
        <v>x</v>
      </c>
      <c r="J68" s="113" t="str">
        <f t="shared" si="157"/>
        <v>x</v>
      </c>
      <c r="K68" s="113" t="str">
        <f t="shared" si="157"/>
        <v>x</v>
      </c>
      <c r="L68" s="113" t="str">
        <f t="shared" si="157"/>
        <v>x</v>
      </c>
      <c r="M68" s="113" t="str">
        <f t="shared" si="157"/>
        <v>x</v>
      </c>
      <c r="N68" s="113" t="str">
        <f t="shared" si="157"/>
        <v>x</v>
      </c>
      <c r="O68" s="113" t="str">
        <f t="shared" si="157"/>
        <v>x</v>
      </c>
      <c r="P68" s="113" t="str">
        <f t="shared" si="157"/>
        <v>x</v>
      </c>
      <c r="Q68" s="113" t="str">
        <f t="shared" si="157"/>
        <v>x</v>
      </c>
      <c r="R68" s="113" t="str">
        <f t="shared" si="157"/>
        <v>x</v>
      </c>
      <c r="S68" s="113" t="str">
        <f t="shared" si="157"/>
        <v>x</v>
      </c>
      <c r="T68" s="113" t="str">
        <f t="shared" si="157"/>
        <v>x</v>
      </c>
      <c r="U68" s="113" t="str">
        <f t="shared" si="157"/>
        <v>x</v>
      </c>
      <c r="V68" s="113" t="str">
        <f t="shared" si="157"/>
        <v>x</v>
      </c>
      <c r="W68" s="113" t="str">
        <f t="shared" si="157"/>
        <v>x</v>
      </c>
      <c r="X68" s="113" t="str">
        <f t="shared" si="157"/>
        <v>x</v>
      </c>
      <c r="Y68" s="113" t="str">
        <f t="shared" si="157"/>
        <v>x</v>
      </c>
      <c r="Z68" s="113" t="str">
        <f t="shared" si="157"/>
        <v>x</v>
      </c>
      <c r="CY68" s="113"/>
      <c r="CZ68" s="113"/>
      <c r="DA68" s="65"/>
      <c r="DK68" s="118"/>
      <c r="DL68" s="118"/>
      <c r="DM68" s="113"/>
      <c r="DN68" s="65"/>
      <c r="DP68" s="113"/>
      <c r="DQ68" s="113"/>
      <c r="DR68" s="65"/>
      <c r="DS68" s="65"/>
      <c r="DT68" s="113"/>
      <c r="DU68" s="113"/>
    </row>
    <row r="69" spans="4:125" customFormat="1" x14ac:dyDescent="0.15">
      <c r="D69" s="113" t="str">
        <f t="shared" ref="D69:Z69" si="158">IF(BatSplit(D11,RunsScored)&gt;=50,BatSplit(D11,RunsScored)&amp;IF(BatSplit(D11,NotOuts)=1,"*","")&amp;"|"&amp;$C11&amp;"|"&amp;D$2&amp;"|"&amp;TEXT(D$1,"dd-mmm"),"x")</f>
        <v>x</v>
      </c>
      <c r="E69" s="113" t="str">
        <f t="shared" si="158"/>
        <v>x</v>
      </c>
      <c r="F69" s="113" t="str">
        <f t="shared" si="158"/>
        <v>x</v>
      </c>
      <c r="G69" s="113" t="str">
        <f t="shared" si="158"/>
        <v>x</v>
      </c>
      <c r="H69" s="113" t="str">
        <f t="shared" si="158"/>
        <v>x</v>
      </c>
      <c r="I69" s="113" t="str">
        <f t="shared" si="158"/>
        <v>x</v>
      </c>
      <c r="J69" s="113" t="str">
        <f t="shared" si="158"/>
        <v>x</v>
      </c>
      <c r="K69" s="113" t="str">
        <f t="shared" si="158"/>
        <v>x</v>
      </c>
      <c r="L69" s="113" t="str">
        <f t="shared" si="158"/>
        <v>x</v>
      </c>
      <c r="M69" s="113" t="str">
        <f t="shared" si="158"/>
        <v>x</v>
      </c>
      <c r="N69" s="113" t="str">
        <f t="shared" si="158"/>
        <v>x</v>
      </c>
      <c r="O69" s="113" t="str">
        <f t="shared" si="158"/>
        <v>x</v>
      </c>
      <c r="P69" s="113" t="str">
        <f t="shared" si="158"/>
        <v>x</v>
      </c>
      <c r="Q69" s="113" t="str">
        <f t="shared" si="158"/>
        <v>x</v>
      </c>
      <c r="R69" s="113" t="str">
        <f t="shared" si="158"/>
        <v>x</v>
      </c>
      <c r="S69" s="113" t="str">
        <f t="shared" si="158"/>
        <v>x</v>
      </c>
      <c r="T69" s="113" t="str">
        <f t="shared" si="158"/>
        <v>x</v>
      </c>
      <c r="U69" s="113" t="str">
        <f t="shared" si="158"/>
        <v>x</v>
      </c>
      <c r="V69" s="113" t="str">
        <f t="shared" si="158"/>
        <v>x</v>
      </c>
      <c r="W69" s="113" t="str">
        <f t="shared" si="158"/>
        <v>x</v>
      </c>
      <c r="X69" s="113" t="str">
        <f t="shared" si="158"/>
        <v>x</v>
      </c>
      <c r="Y69" s="113" t="str">
        <f t="shared" si="158"/>
        <v>x</v>
      </c>
      <c r="Z69" s="113" t="str">
        <f t="shared" si="158"/>
        <v>x</v>
      </c>
      <c r="DA69" s="65"/>
      <c r="DM69" s="113"/>
      <c r="DN69" s="65"/>
      <c r="DR69" s="65"/>
      <c r="DS69" s="65"/>
    </row>
    <row r="70" spans="4:125" customFormat="1" x14ac:dyDescent="0.15">
      <c r="D70" s="113" t="str">
        <f t="shared" ref="D70:Z70" si="159">IF(BatSplit(D12,RunsScored)&gt;=50,BatSplit(D12,RunsScored)&amp;IF(BatSplit(D12,NotOuts)=1,"*","")&amp;"|"&amp;$C12&amp;"|"&amp;D$2&amp;"|"&amp;TEXT(D$1,"dd-mmm"),"x")</f>
        <v>x</v>
      </c>
      <c r="E70" s="113" t="str">
        <f t="shared" si="159"/>
        <v>x</v>
      </c>
      <c r="F70" s="113" t="str">
        <f t="shared" si="159"/>
        <v>x</v>
      </c>
      <c r="G70" s="113" t="str">
        <f t="shared" si="159"/>
        <v>x</v>
      </c>
      <c r="H70" s="113" t="str">
        <f t="shared" si="159"/>
        <v>x</v>
      </c>
      <c r="I70" s="113" t="str">
        <f t="shared" si="159"/>
        <v>x</v>
      </c>
      <c r="J70" s="113" t="str">
        <f t="shared" si="159"/>
        <v>x</v>
      </c>
      <c r="K70" s="113" t="str">
        <f t="shared" si="159"/>
        <v>x</v>
      </c>
      <c r="L70" s="113" t="str">
        <f t="shared" si="159"/>
        <v>x</v>
      </c>
      <c r="M70" s="113" t="str">
        <f t="shared" si="159"/>
        <v>x</v>
      </c>
      <c r="N70" s="113" t="str">
        <f t="shared" si="159"/>
        <v>x</v>
      </c>
      <c r="O70" s="113" t="str">
        <f t="shared" si="159"/>
        <v>x</v>
      </c>
      <c r="P70" s="113" t="str">
        <f t="shared" si="159"/>
        <v>x</v>
      </c>
      <c r="Q70" s="113" t="str">
        <f t="shared" si="159"/>
        <v>x</v>
      </c>
      <c r="R70" s="113" t="str">
        <f t="shared" si="159"/>
        <v>x</v>
      </c>
      <c r="S70" s="113" t="str">
        <f t="shared" si="159"/>
        <v>x</v>
      </c>
      <c r="T70" s="113" t="str">
        <f t="shared" si="159"/>
        <v>x</v>
      </c>
      <c r="U70" s="113" t="str">
        <f t="shared" si="159"/>
        <v>x</v>
      </c>
      <c r="V70" s="113" t="str">
        <f t="shared" si="159"/>
        <v>x</v>
      </c>
      <c r="W70" s="113" t="str">
        <f t="shared" si="159"/>
        <v>x</v>
      </c>
      <c r="X70" s="113" t="str">
        <f t="shared" si="159"/>
        <v>x</v>
      </c>
      <c r="Y70" s="113" t="str">
        <f t="shared" si="159"/>
        <v>x</v>
      </c>
      <c r="Z70" s="113" t="str">
        <f t="shared" si="159"/>
        <v>x</v>
      </c>
      <c r="DA70" s="65"/>
      <c r="DK70" s="113"/>
      <c r="DL70" s="113"/>
      <c r="DM70" s="113"/>
      <c r="DN70" s="65"/>
      <c r="DP70" s="113"/>
      <c r="DQ70" s="113"/>
      <c r="DR70" s="65"/>
      <c r="DS70" s="65"/>
    </row>
    <row r="71" spans="4:125" customFormat="1" x14ac:dyDescent="0.15">
      <c r="D71" s="113" t="str">
        <f t="shared" ref="D71:Z71" si="160">IF(BatSplit(D13,RunsScored)&gt;=50,BatSplit(D13,RunsScored)&amp;IF(BatSplit(D13,NotOuts)=1,"*","")&amp;"|"&amp;$C13&amp;"|"&amp;D$2&amp;"|"&amp;TEXT(D$1,"dd-mmm"),"x")</f>
        <v>x</v>
      </c>
      <c r="E71" s="113" t="str">
        <f t="shared" si="160"/>
        <v>x</v>
      </c>
      <c r="F71" s="113" t="str">
        <f t="shared" si="160"/>
        <v>x</v>
      </c>
      <c r="G71" s="113" t="str">
        <f t="shared" si="160"/>
        <v>x</v>
      </c>
      <c r="H71" s="113" t="str">
        <f t="shared" si="160"/>
        <v>x</v>
      </c>
      <c r="I71" s="113" t="str">
        <f t="shared" si="160"/>
        <v>x</v>
      </c>
      <c r="J71" s="113" t="str">
        <f t="shared" si="160"/>
        <v>x</v>
      </c>
      <c r="K71" s="113" t="str">
        <f t="shared" si="160"/>
        <v>x</v>
      </c>
      <c r="L71" s="113" t="str">
        <f t="shared" si="160"/>
        <v>x</v>
      </c>
      <c r="M71" s="113" t="str">
        <f t="shared" si="160"/>
        <v>x</v>
      </c>
      <c r="N71" s="113" t="str">
        <f t="shared" si="160"/>
        <v>x</v>
      </c>
      <c r="O71" s="113" t="str">
        <f t="shared" si="160"/>
        <v>x</v>
      </c>
      <c r="P71" s="113" t="str">
        <f t="shared" si="160"/>
        <v>x</v>
      </c>
      <c r="Q71" s="113" t="str">
        <f t="shared" si="160"/>
        <v>x</v>
      </c>
      <c r="R71" s="113" t="str">
        <f t="shared" si="160"/>
        <v>x</v>
      </c>
      <c r="S71" s="113" t="str">
        <f t="shared" si="160"/>
        <v>x</v>
      </c>
      <c r="T71" s="113" t="str">
        <f t="shared" si="160"/>
        <v>x</v>
      </c>
      <c r="U71" s="113" t="str">
        <f t="shared" si="160"/>
        <v>x</v>
      </c>
      <c r="V71" s="113" t="str">
        <f t="shared" si="160"/>
        <v>x</v>
      </c>
      <c r="W71" s="113" t="str">
        <f t="shared" si="160"/>
        <v>x</v>
      </c>
      <c r="X71" s="113" t="str">
        <f t="shared" si="160"/>
        <v>x</v>
      </c>
      <c r="Y71" s="113" t="str">
        <f t="shared" si="160"/>
        <v>x</v>
      </c>
      <c r="Z71" s="113" t="str">
        <f t="shared" si="160"/>
        <v>x</v>
      </c>
      <c r="CF71" s="113"/>
      <c r="CG71" s="113"/>
      <c r="DA71" s="65"/>
      <c r="DK71" s="113"/>
      <c r="DL71" s="113"/>
      <c r="DN71" s="65"/>
      <c r="DP71" s="65"/>
      <c r="DQ71" s="65"/>
      <c r="DR71" s="65"/>
      <c r="DS71" s="65"/>
    </row>
    <row r="72" spans="4:125" customFormat="1" x14ac:dyDescent="0.15">
      <c r="D72" s="113" t="str">
        <f t="shared" ref="D72:Z72" si="161">IF(BatSplit(D14,RunsScored)&gt;=50,BatSplit(D14,RunsScored)&amp;IF(BatSplit(D14,NotOuts)=1,"*","")&amp;"|"&amp;$C14&amp;"|"&amp;D$2&amp;"|"&amp;TEXT(D$1,"dd-mmm"),"x")</f>
        <v>x</v>
      </c>
      <c r="E72" s="113" t="str">
        <f t="shared" si="161"/>
        <v>x</v>
      </c>
      <c r="F72" s="113" t="str">
        <f t="shared" si="161"/>
        <v>x</v>
      </c>
      <c r="G72" s="113" t="str">
        <f t="shared" si="161"/>
        <v>x</v>
      </c>
      <c r="H72" s="113" t="str">
        <f t="shared" si="161"/>
        <v>x</v>
      </c>
      <c r="I72" s="113" t="str">
        <f t="shared" si="161"/>
        <v>x</v>
      </c>
      <c r="J72" s="113" t="str">
        <f t="shared" si="161"/>
        <v>x</v>
      </c>
      <c r="K72" s="113" t="str">
        <f t="shared" si="161"/>
        <v>x</v>
      </c>
      <c r="L72" s="113" t="str">
        <f t="shared" si="161"/>
        <v>x</v>
      </c>
      <c r="M72" s="113" t="str">
        <f t="shared" si="161"/>
        <v>x</v>
      </c>
      <c r="N72" s="113" t="str">
        <f t="shared" si="161"/>
        <v>x</v>
      </c>
      <c r="O72" s="113" t="str">
        <f t="shared" si="161"/>
        <v>x</v>
      </c>
      <c r="P72" s="113" t="str">
        <f t="shared" si="161"/>
        <v>x</v>
      </c>
      <c r="Q72" s="113" t="str">
        <f t="shared" si="161"/>
        <v>x</v>
      </c>
      <c r="R72" s="113" t="str">
        <f t="shared" si="161"/>
        <v>x</v>
      </c>
      <c r="S72" s="113" t="str">
        <f t="shared" si="161"/>
        <v>x</v>
      </c>
      <c r="T72" s="113" t="str">
        <f t="shared" si="161"/>
        <v>x</v>
      </c>
      <c r="U72" s="113" t="str">
        <f t="shared" si="161"/>
        <v>x</v>
      </c>
      <c r="V72" s="113" t="str">
        <f t="shared" si="161"/>
        <v>x</v>
      </c>
      <c r="W72" s="113" t="str">
        <f t="shared" si="161"/>
        <v>x</v>
      </c>
      <c r="X72" s="113" t="str">
        <f t="shared" si="161"/>
        <v>x</v>
      </c>
      <c r="Y72" s="113" t="str">
        <f t="shared" si="161"/>
        <v>x</v>
      </c>
      <c r="Z72" s="113" t="str">
        <f t="shared" si="161"/>
        <v>x</v>
      </c>
      <c r="DA72" s="65"/>
      <c r="DN72" s="65"/>
      <c r="DP72" s="65"/>
      <c r="DQ72" s="65"/>
      <c r="DR72" s="65"/>
      <c r="DS72" s="65"/>
    </row>
    <row r="73" spans="4:125" customFormat="1" x14ac:dyDescent="0.15">
      <c r="D73" s="113" t="str">
        <f t="shared" ref="D73:Z73" si="162">IF(BatSplit(D15,RunsScored)&gt;=50,BatSplit(D15,RunsScored)&amp;IF(BatSplit(D15,NotOuts)=1,"*","")&amp;"|"&amp;$C15&amp;"|"&amp;D$2&amp;"|"&amp;TEXT(D$1,"dd-mmm"),"x")</f>
        <v>x</v>
      </c>
      <c r="E73" s="113" t="str">
        <f t="shared" si="162"/>
        <v>x</v>
      </c>
      <c r="F73" s="113" t="str">
        <f t="shared" si="162"/>
        <v>x</v>
      </c>
      <c r="G73" s="113" t="str">
        <f t="shared" si="162"/>
        <v>x</v>
      </c>
      <c r="H73" s="113" t="str">
        <f t="shared" si="162"/>
        <v>x</v>
      </c>
      <c r="I73" s="113" t="str">
        <f t="shared" si="162"/>
        <v>x</v>
      </c>
      <c r="J73" s="113" t="str">
        <f t="shared" si="162"/>
        <v>x</v>
      </c>
      <c r="K73" s="113" t="str">
        <f t="shared" si="162"/>
        <v>x</v>
      </c>
      <c r="L73" s="113" t="str">
        <f t="shared" si="162"/>
        <v>x</v>
      </c>
      <c r="M73" s="113" t="str">
        <f t="shared" si="162"/>
        <v>x</v>
      </c>
      <c r="N73" s="113" t="str">
        <f t="shared" si="162"/>
        <v>x</v>
      </c>
      <c r="O73" s="113" t="str">
        <f t="shared" si="162"/>
        <v>x</v>
      </c>
      <c r="P73" s="113" t="str">
        <f t="shared" si="162"/>
        <v>x</v>
      </c>
      <c r="Q73" s="113" t="str">
        <f t="shared" si="162"/>
        <v>x</v>
      </c>
      <c r="R73" s="113" t="str">
        <f t="shared" si="162"/>
        <v>x</v>
      </c>
      <c r="S73" s="113" t="str">
        <f t="shared" si="162"/>
        <v>x</v>
      </c>
      <c r="T73" s="113" t="str">
        <f t="shared" si="162"/>
        <v>x</v>
      </c>
      <c r="U73" s="113" t="str">
        <f t="shared" si="162"/>
        <v>x</v>
      </c>
      <c r="V73" s="113" t="str">
        <f t="shared" si="162"/>
        <v>x</v>
      </c>
      <c r="W73" s="113" t="str">
        <f t="shared" si="162"/>
        <v>x</v>
      </c>
      <c r="X73" s="113" t="str">
        <f t="shared" si="162"/>
        <v>x</v>
      </c>
      <c r="Y73" s="113" t="str">
        <f t="shared" si="162"/>
        <v>x</v>
      </c>
      <c r="Z73" s="113" t="str">
        <f t="shared" si="162"/>
        <v>x</v>
      </c>
      <c r="CD73" s="113"/>
      <c r="CE73" s="113"/>
      <c r="DA73" s="65"/>
      <c r="DP73" s="65"/>
      <c r="DQ73" s="65"/>
      <c r="DR73" s="113"/>
      <c r="DS73" s="113"/>
    </row>
    <row r="74" spans="4:125" customFormat="1" x14ac:dyDescent="0.15">
      <c r="D74" s="113" t="str">
        <f t="shared" ref="D74:Z74" si="163">IF(BatSplit(D16,RunsScored)&gt;=50,BatSplit(D16,RunsScored)&amp;IF(BatSplit(D16,NotOuts)=1,"*","")&amp;"|"&amp;$C16&amp;"|"&amp;D$2&amp;"|"&amp;TEXT(D$1,"dd-mmm"),"x")</f>
        <v>x</v>
      </c>
      <c r="E74" s="113" t="str">
        <f t="shared" si="163"/>
        <v>x</v>
      </c>
      <c r="F74" s="113" t="str">
        <f t="shared" si="163"/>
        <v>x</v>
      </c>
      <c r="G74" s="113" t="str">
        <f t="shared" si="163"/>
        <v>x</v>
      </c>
      <c r="H74" s="113" t="str">
        <f t="shared" si="163"/>
        <v>x</v>
      </c>
      <c r="I74" s="113" t="str">
        <f t="shared" si="163"/>
        <v>x</v>
      </c>
      <c r="J74" s="113" t="str">
        <f t="shared" si="163"/>
        <v>x</v>
      </c>
      <c r="K74" s="113" t="str">
        <f t="shared" si="163"/>
        <v>x</v>
      </c>
      <c r="L74" s="113" t="str">
        <f t="shared" si="163"/>
        <v>x</v>
      </c>
      <c r="M74" s="113" t="str">
        <f t="shared" si="163"/>
        <v>x</v>
      </c>
      <c r="N74" s="113" t="str">
        <f t="shared" si="163"/>
        <v>x</v>
      </c>
      <c r="O74" s="113" t="str">
        <f t="shared" si="163"/>
        <v>x</v>
      </c>
      <c r="P74" s="113" t="str">
        <f t="shared" si="163"/>
        <v>x</v>
      </c>
      <c r="Q74" s="113" t="str">
        <f t="shared" si="163"/>
        <v>x</v>
      </c>
      <c r="R74" s="113" t="str">
        <f t="shared" si="163"/>
        <v>x</v>
      </c>
      <c r="S74" s="113" t="str">
        <f t="shared" si="163"/>
        <v>x</v>
      </c>
      <c r="T74" s="113" t="str">
        <f t="shared" si="163"/>
        <v>x</v>
      </c>
      <c r="U74" s="113" t="str">
        <f t="shared" si="163"/>
        <v>x</v>
      </c>
      <c r="V74" s="113" t="str">
        <f t="shared" si="163"/>
        <v>x</v>
      </c>
      <c r="W74" s="113" t="str">
        <f t="shared" si="163"/>
        <v>x</v>
      </c>
      <c r="X74" s="113" t="str">
        <f t="shared" si="163"/>
        <v>x</v>
      </c>
      <c r="Y74" s="113" t="str">
        <f t="shared" si="163"/>
        <v>x</v>
      </c>
      <c r="Z74" s="113" t="str">
        <f t="shared" si="163"/>
        <v>x</v>
      </c>
      <c r="CD74" s="65"/>
      <c r="CE74" s="65"/>
      <c r="CF74" s="65"/>
      <c r="CG74" s="65"/>
      <c r="DA74" s="65"/>
      <c r="DK74" s="65"/>
      <c r="DL74" s="65"/>
      <c r="DM74" s="65"/>
      <c r="DP74" s="65"/>
      <c r="DQ74" s="65"/>
    </row>
    <row r="75" spans="4:125" customFormat="1" x14ac:dyDescent="0.15">
      <c r="D75" s="113" t="str">
        <f t="shared" ref="D75:Z75" si="164">IF(BatSplit(D17,RunsScored)&gt;=50,BatSplit(D17,RunsScored)&amp;IF(BatSplit(D17,NotOuts)=1,"*","")&amp;"|"&amp;$C17&amp;"|"&amp;D$2&amp;"|"&amp;TEXT(D$1,"dd-mmm"),"x")</f>
        <v>x</v>
      </c>
      <c r="E75" s="113" t="str">
        <f t="shared" si="164"/>
        <v>x</v>
      </c>
      <c r="F75" s="113" t="str">
        <f t="shared" si="164"/>
        <v>x</v>
      </c>
      <c r="G75" s="113" t="str">
        <f t="shared" si="164"/>
        <v>x</v>
      </c>
      <c r="H75" s="113" t="str">
        <f t="shared" si="164"/>
        <v>x</v>
      </c>
      <c r="I75" s="113" t="str">
        <f t="shared" si="164"/>
        <v>x</v>
      </c>
      <c r="J75" s="113" t="str">
        <f t="shared" si="164"/>
        <v>x</v>
      </c>
      <c r="K75" s="113" t="str">
        <f t="shared" si="164"/>
        <v>x</v>
      </c>
      <c r="L75" s="113" t="str">
        <f t="shared" si="164"/>
        <v>x</v>
      </c>
      <c r="M75" s="113" t="str">
        <f t="shared" si="164"/>
        <v>x</v>
      </c>
      <c r="N75" s="113" t="str">
        <f t="shared" si="164"/>
        <v>x</v>
      </c>
      <c r="O75" s="113" t="str">
        <f t="shared" si="164"/>
        <v>x</v>
      </c>
      <c r="P75" s="113" t="str">
        <f t="shared" si="164"/>
        <v>x</v>
      </c>
      <c r="Q75" s="113" t="str">
        <f t="shared" si="164"/>
        <v>x</v>
      </c>
      <c r="R75" s="113" t="str">
        <f t="shared" si="164"/>
        <v>x</v>
      </c>
      <c r="S75" s="113" t="str">
        <f t="shared" si="164"/>
        <v>x</v>
      </c>
      <c r="T75" s="113" t="str">
        <f t="shared" si="164"/>
        <v>x</v>
      </c>
      <c r="U75" s="113" t="str">
        <f t="shared" si="164"/>
        <v>x</v>
      </c>
      <c r="V75" s="113" t="str">
        <f t="shared" si="164"/>
        <v>x</v>
      </c>
      <c r="W75" s="113" t="str">
        <f t="shared" si="164"/>
        <v>x</v>
      </c>
      <c r="X75" s="113" t="str">
        <f t="shared" si="164"/>
        <v>x</v>
      </c>
      <c r="Y75" s="113" t="str">
        <f t="shared" si="164"/>
        <v>x</v>
      </c>
      <c r="Z75" s="113" t="str">
        <f t="shared" si="164"/>
        <v>x</v>
      </c>
      <c r="CD75" s="65"/>
      <c r="CE75" s="65"/>
      <c r="CF75" s="65"/>
      <c r="CG75" s="65"/>
      <c r="DA75" s="65"/>
      <c r="DM75" s="113"/>
      <c r="DP75" s="65"/>
      <c r="DQ75" s="65"/>
    </row>
    <row r="76" spans="4:125" customFormat="1" x14ac:dyDescent="0.15">
      <c r="D76" s="113" t="str">
        <f t="shared" ref="D76:Z76" si="165">IF(BatSplit(D18,RunsScored)&gt;=50,BatSplit(D18,RunsScored)&amp;IF(BatSplit(D18,NotOuts)=1,"*","")&amp;"|"&amp;$C18&amp;"|"&amp;D$2&amp;"|"&amp;TEXT(D$1,"dd-mmm"),"x")</f>
        <v>x</v>
      </c>
      <c r="E76" s="113" t="str">
        <f t="shared" si="165"/>
        <v>x</v>
      </c>
      <c r="F76" s="113" t="str">
        <f t="shared" si="165"/>
        <v>x</v>
      </c>
      <c r="G76" s="113" t="str">
        <f t="shared" si="165"/>
        <v>x</v>
      </c>
      <c r="H76" s="113" t="str">
        <f t="shared" si="165"/>
        <v>x</v>
      </c>
      <c r="I76" s="113" t="str">
        <f t="shared" si="165"/>
        <v>x</v>
      </c>
      <c r="J76" s="113" t="str">
        <f t="shared" si="165"/>
        <v>x</v>
      </c>
      <c r="K76" s="113" t="str">
        <f t="shared" si="165"/>
        <v>x</v>
      </c>
      <c r="L76" s="113" t="str">
        <f t="shared" si="165"/>
        <v>x</v>
      </c>
      <c r="M76" s="113" t="str">
        <f t="shared" si="165"/>
        <v>x</v>
      </c>
      <c r="N76" s="113" t="str">
        <f t="shared" si="165"/>
        <v>x</v>
      </c>
      <c r="O76" s="113" t="str">
        <f t="shared" si="165"/>
        <v>x</v>
      </c>
      <c r="P76" s="113" t="str">
        <f t="shared" si="165"/>
        <v>x</v>
      </c>
      <c r="Q76" s="113" t="str">
        <f t="shared" si="165"/>
        <v>58|Greenall D|LESSA Wanderers|12-Aug</v>
      </c>
      <c r="R76" s="113" t="str">
        <f t="shared" si="165"/>
        <v>80*|Greenall D|HSBC|02-Sep</v>
      </c>
      <c r="S76" s="113" t="str">
        <f t="shared" si="165"/>
        <v>x</v>
      </c>
      <c r="T76" s="113" t="str">
        <f t="shared" si="165"/>
        <v>x</v>
      </c>
      <c r="U76" s="113" t="str">
        <f t="shared" si="165"/>
        <v>x</v>
      </c>
      <c r="V76" s="113" t="str">
        <f t="shared" si="165"/>
        <v>x</v>
      </c>
      <c r="W76" s="113" t="str">
        <f t="shared" si="165"/>
        <v>x</v>
      </c>
      <c r="X76" s="113" t="str">
        <f t="shared" si="165"/>
        <v>x</v>
      </c>
      <c r="Y76" s="113" t="str">
        <f t="shared" si="165"/>
        <v>x</v>
      </c>
      <c r="Z76" s="113" t="str">
        <f t="shared" si="165"/>
        <v>x</v>
      </c>
      <c r="CD76" s="65"/>
      <c r="CE76" s="65"/>
      <c r="CF76" s="65"/>
      <c r="CG76" s="65"/>
      <c r="DA76" s="65"/>
      <c r="DK76" s="65"/>
      <c r="DL76" s="65"/>
      <c r="DM76" s="113"/>
      <c r="DP76" s="65"/>
      <c r="DQ76" s="65"/>
      <c r="DR76" s="113"/>
      <c r="DS76" s="113"/>
    </row>
    <row r="77" spans="4:125" customFormat="1" x14ac:dyDescent="0.15">
      <c r="D77" s="113" t="str">
        <f t="shared" ref="D77:Z77" si="166">IF(BatSplit(D19,RunsScored)&gt;=50,BatSplit(D19,RunsScored)&amp;IF(BatSplit(D19,NotOuts)=1,"*","")&amp;"|"&amp;$C19&amp;"|"&amp;D$2&amp;"|"&amp;TEXT(D$1,"dd-mmm"),"x")</f>
        <v>x</v>
      </c>
      <c r="E77" s="113" t="str">
        <f t="shared" si="166"/>
        <v>x</v>
      </c>
      <c r="F77" s="113" t="str">
        <f t="shared" si="166"/>
        <v>x</v>
      </c>
      <c r="G77" s="113" t="str">
        <f t="shared" si="166"/>
        <v>x</v>
      </c>
      <c r="H77" s="113" t="str">
        <f t="shared" si="166"/>
        <v>x</v>
      </c>
      <c r="I77" s="113" t="str">
        <f t="shared" si="166"/>
        <v>x</v>
      </c>
      <c r="J77" s="113" t="str">
        <f t="shared" si="166"/>
        <v>x</v>
      </c>
      <c r="K77" s="113" t="str">
        <f t="shared" si="166"/>
        <v>x</v>
      </c>
      <c r="L77" s="113" t="str">
        <f t="shared" si="166"/>
        <v>x</v>
      </c>
      <c r="M77" s="113" t="str">
        <f t="shared" si="166"/>
        <v>x</v>
      </c>
      <c r="N77" s="113" t="str">
        <f t="shared" si="166"/>
        <v>x</v>
      </c>
      <c r="O77" s="113" t="str">
        <f t="shared" si="166"/>
        <v>x</v>
      </c>
      <c r="P77" s="113" t="str">
        <f t="shared" si="166"/>
        <v>x</v>
      </c>
      <c r="Q77" s="113" t="str">
        <f t="shared" si="166"/>
        <v>x</v>
      </c>
      <c r="R77" s="113" t="str">
        <f t="shared" si="166"/>
        <v>x</v>
      </c>
      <c r="S77" s="113" t="str">
        <f t="shared" si="166"/>
        <v>x</v>
      </c>
      <c r="T77" s="113" t="str">
        <f t="shared" si="166"/>
        <v>x</v>
      </c>
      <c r="U77" s="113" t="str">
        <f t="shared" si="166"/>
        <v>x</v>
      </c>
      <c r="V77" s="113" t="str">
        <f t="shared" si="166"/>
        <v>x</v>
      </c>
      <c r="W77" s="113" t="str">
        <f t="shared" si="166"/>
        <v>x</v>
      </c>
      <c r="X77" s="113" t="str">
        <f t="shared" si="166"/>
        <v>x</v>
      </c>
      <c r="Y77" s="113" t="str">
        <f t="shared" si="166"/>
        <v>x</v>
      </c>
      <c r="Z77" s="113" t="str">
        <f t="shared" si="166"/>
        <v>x</v>
      </c>
      <c r="CD77" s="65"/>
      <c r="CE77" s="65"/>
      <c r="CF77" s="65"/>
      <c r="CG77" s="65"/>
      <c r="DA77" s="65"/>
      <c r="DK77" s="113"/>
      <c r="DL77" s="113"/>
      <c r="DM77" s="113"/>
      <c r="DP77" s="65"/>
      <c r="DQ77" s="65"/>
    </row>
    <row r="78" spans="4:125" customFormat="1" x14ac:dyDescent="0.15">
      <c r="D78" s="113" t="str">
        <f t="shared" ref="D78:Z78" si="167">IF(BatSplit(D20,RunsScored)&gt;=50,BatSplit(D20,RunsScored)&amp;IF(BatSplit(D20,NotOuts)=1,"*","")&amp;"|"&amp;$C20&amp;"|"&amp;D$2&amp;"|"&amp;TEXT(D$1,"dd-mmm"),"x")</f>
        <v>x</v>
      </c>
      <c r="E78" s="113" t="str">
        <f t="shared" si="167"/>
        <v>x</v>
      </c>
      <c r="F78" s="113" t="str">
        <f t="shared" si="167"/>
        <v>x</v>
      </c>
      <c r="G78" s="113" t="str">
        <f t="shared" si="167"/>
        <v>x</v>
      </c>
      <c r="H78" s="113" t="str">
        <f t="shared" si="167"/>
        <v>x</v>
      </c>
      <c r="I78" s="113" t="str">
        <f t="shared" si="167"/>
        <v>x</v>
      </c>
      <c r="J78" s="113" t="str">
        <f t="shared" si="167"/>
        <v>x</v>
      </c>
      <c r="K78" s="113" t="str">
        <f t="shared" si="167"/>
        <v>x</v>
      </c>
      <c r="L78" s="113" t="str">
        <f t="shared" si="167"/>
        <v>x</v>
      </c>
      <c r="M78" s="113" t="str">
        <f t="shared" si="167"/>
        <v>x</v>
      </c>
      <c r="N78" s="113" t="str">
        <f t="shared" si="167"/>
        <v>x</v>
      </c>
      <c r="O78" s="113" t="str">
        <f t="shared" si="167"/>
        <v>x</v>
      </c>
      <c r="P78" s="113" t="str">
        <f t="shared" si="167"/>
        <v>x</v>
      </c>
      <c r="Q78" s="113" t="str">
        <f t="shared" si="167"/>
        <v>x</v>
      </c>
      <c r="R78" s="113" t="str">
        <f t="shared" si="167"/>
        <v>x</v>
      </c>
      <c r="S78" s="113" t="str">
        <f t="shared" si="167"/>
        <v>x</v>
      </c>
      <c r="T78" s="113" t="str">
        <f t="shared" si="167"/>
        <v>x</v>
      </c>
      <c r="U78" s="113" t="str">
        <f t="shared" si="167"/>
        <v>x</v>
      </c>
      <c r="V78" s="113" t="str">
        <f t="shared" si="167"/>
        <v>x</v>
      </c>
      <c r="W78" s="113" t="str">
        <f t="shared" si="167"/>
        <v>x</v>
      </c>
      <c r="X78" s="113" t="str">
        <f t="shared" si="167"/>
        <v>x</v>
      </c>
      <c r="Y78" s="113" t="str">
        <f t="shared" si="167"/>
        <v>x</v>
      </c>
      <c r="Z78" s="113" t="str">
        <f t="shared" si="167"/>
        <v>x</v>
      </c>
      <c r="CD78" s="65"/>
      <c r="CE78" s="65"/>
      <c r="CF78" s="65"/>
      <c r="CG78" s="65"/>
      <c r="DA78" s="65"/>
      <c r="DM78" s="113"/>
      <c r="DP78" s="65"/>
      <c r="DQ78" s="65"/>
    </row>
    <row r="79" spans="4:125" customFormat="1" x14ac:dyDescent="0.15">
      <c r="D79" s="113" t="str">
        <f t="shared" ref="D79:Z79" si="168">IF(BatSplit(D21,RunsScored)&gt;=50,BatSplit(D21,RunsScored)&amp;IF(BatSplit(D21,NotOuts)=1,"*","")&amp;"|"&amp;$C21&amp;"|"&amp;D$2&amp;"|"&amp;TEXT(D$1,"dd-mmm"),"x")</f>
        <v>x</v>
      </c>
      <c r="E79" s="113" t="str">
        <f t="shared" si="168"/>
        <v>x</v>
      </c>
      <c r="F79" s="113" t="str">
        <f t="shared" si="168"/>
        <v>x</v>
      </c>
      <c r="G79" s="113" t="str">
        <f t="shared" si="168"/>
        <v>x</v>
      </c>
      <c r="H79" s="113" t="str">
        <f t="shared" si="168"/>
        <v>x</v>
      </c>
      <c r="I79" s="113" t="str">
        <f t="shared" si="168"/>
        <v>x</v>
      </c>
      <c r="J79" s="113" t="str">
        <f t="shared" si="168"/>
        <v>x</v>
      </c>
      <c r="K79" s="113" t="str">
        <f t="shared" si="168"/>
        <v>x</v>
      </c>
      <c r="L79" s="113" t="str">
        <f t="shared" si="168"/>
        <v>x</v>
      </c>
      <c r="M79" s="113" t="str">
        <f t="shared" si="168"/>
        <v>x</v>
      </c>
      <c r="N79" s="113" t="str">
        <f t="shared" si="168"/>
        <v>x</v>
      </c>
      <c r="O79" s="113" t="str">
        <f t="shared" si="168"/>
        <v>x</v>
      </c>
      <c r="P79" s="113" t="str">
        <f t="shared" si="168"/>
        <v>x</v>
      </c>
      <c r="Q79" s="113" t="str">
        <f t="shared" si="168"/>
        <v>x</v>
      </c>
      <c r="R79" s="113" t="str">
        <f t="shared" si="168"/>
        <v>x</v>
      </c>
      <c r="S79" s="113" t="str">
        <f t="shared" si="168"/>
        <v>x</v>
      </c>
      <c r="T79" s="113" t="str">
        <f t="shared" si="168"/>
        <v>x</v>
      </c>
      <c r="U79" s="113" t="str">
        <f t="shared" si="168"/>
        <v>x</v>
      </c>
      <c r="V79" s="113" t="str">
        <f t="shared" si="168"/>
        <v>x</v>
      </c>
      <c r="W79" s="113" t="str">
        <f t="shared" si="168"/>
        <v>x</v>
      </c>
      <c r="X79" s="113" t="str">
        <f t="shared" si="168"/>
        <v>x</v>
      </c>
      <c r="Y79" s="113" t="str">
        <f t="shared" si="168"/>
        <v>x</v>
      </c>
      <c r="Z79" s="113" t="str">
        <f t="shared" si="168"/>
        <v>x</v>
      </c>
      <c r="CD79" s="65"/>
      <c r="CE79" s="65"/>
      <c r="CF79" s="65"/>
      <c r="CG79" s="65"/>
      <c r="CY79" s="113"/>
      <c r="CZ79" s="113"/>
      <c r="DA79" s="65"/>
      <c r="DP79" s="65"/>
      <c r="DQ79" s="65"/>
      <c r="DR79" s="65"/>
      <c r="DS79" s="65"/>
    </row>
    <row r="80" spans="4:125" customFormat="1" x14ac:dyDescent="0.15">
      <c r="D80" s="113" t="str">
        <f t="shared" ref="D80:Z80" si="169">IF(BatSplit(D22,RunsScored)&gt;=50,BatSplit(D22,RunsScored)&amp;IF(BatSplit(D22,NotOuts)=1,"*","")&amp;"|"&amp;$C22&amp;"|"&amp;D$2&amp;"|"&amp;TEXT(D$1,"dd-mmm"),"x")</f>
        <v>x</v>
      </c>
      <c r="E80" s="113" t="str">
        <f t="shared" si="169"/>
        <v>x</v>
      </c>
      <c r="F80" s="113" t="str">
        <f t="shared" si="169"/>
        <v>x</v>
      </c>
      <c r="G80" s="113" t="str">
        <f t="shared" si="169"/>
        <v>x</v>
      </c>
      <c r="H80" s="113" t="str">
        <f t="shared" si="169"/>
        <v>x</v>
      </c>
      <c r="I80" s="113" t="str">
        <f t="shared" si="169"/>
        <v>x</v>
      </c>
      <c r="J80" s="113" t="str">
        <f t="shared" si="169"/>
        <v>x</v>
      </c>
      <c r="K80" s="113" t="str">
        <f t="shared" si="169"/>
        <v>x</v>
      </c>
      <c r="L80" s="113" t="str">
        <f t="shared" si="169"/>
        <v>x</v>
      </c>
      <c r="M80" s="113" t="str">
        <f t="shared" si="169"/>
        <v>x</v>
      </c>
      <c r="N80" s="113" t="str">
        <f t="shared" si="169"/>
        <v>x</v>
      </c>
      <c r="O80" s="113" t="str">
        <f t="shared" si="169"/>
        <v>x</v>
      </c>
      <c r="P80" s="113" t="str">
        <f t="shared" si="169"/>
        <v>x</v>
      </c>
      <c r="Q80" s="113" t="str">
        <f t="shared" si="169"/>
        <v>x</v>
      </c>
      <c r="R80" s="113" t="str">
        <f t="shared" si="169"/>
        <v>x</v>
      </c>
      <c r="S80" s="113" t="str">
        <f t="shared" si="169"/>
        <v>x</v>
      </c>
      <c r="T80" s="113" t="str">
        <f t="shared" si="169"/>
        <v>x</v>
      </c>
      <c r="U80" s="113" t="str">
        <f t="shared" si="169"/>
        <v>x</v>
      </c>
      <c r="V80" s="113" t="str">
        <f t="shared" si="169"/>
        <v>x</v>
      </c>
      <c r="W80" s="113" t="str">
        <f t="shared" si="169"/>
        <v>x</v>
      </c>
      <c r="X80" s="113" t="str">
        <f t="shared" si="169"/>
        <v>x</v>
      </c>
      <c r="Y80" s="113" t="str">
        <f t="shared" si="169"/>
        <v>x</v>
      </c>
      <c r="Z80" s="113" t="str">
        <f t="shared" si="169"/>
        <v>x</v>
      </c>
      <c r="CD80" s="65"/>
      <c r="CE80" s="65"/>
      <c r="CF80" s="65"/>
      <c r="CG80" s="65"/>
      <c r="CY80" s="113"/>
      <c r="CZ80" s="113"/>
      <c r="DA80" s="65"/>
      <c r="DK80" s="65"/>
      <c r="DL80" s="65"/>
      <c r="DP80" s="65"/>
      <c r="DQ80" s="65"/>
      <c r="DR80" s="65"/>
      <c r="DS80" s="65"/>
    </row>
    <row r="81" spans="4:123" customFormat="1" x14ac:dyDescent="0.15">
      <c r="D81" s="113" t="str">
        <f t="shared" ref="D81:Z81" si="170">IF(BatSplit(D23,RunsScored)&gt;=50,BatSplit(D23,RunsScored)&amp;IF(BatSplit(D23,NotOuts)=1,"*","")&amp;"|"&amp;$C23&amp;"|"&amp;D$2&amp;"|"&amp;TEXT(D$1,"dd-mmm"),"x")</f>
        <v>x</v>
      </c>
      <c r="E81" s="113" t="str">
        <f t="shared" si="170"/>
        <v>x</v>
      </c>
      <c r="F81" s="113" t="str">
        <f t="shared" si="170"/>
        <v>x</v>
      </c>
      <c r="G81" s="113" t="str">
        <f t="shared" si="170"/>
        <v>x</v>
      </c>
      <c r="H81" s="113" t="str">
        <f t="shared" si="170"/>
        <v>x</v>
      </c>
      <c r="I81" s="113" t="str">
        <f t="shared" si="170"/>
        <v>x</v>
      </c>
      <c r="J81" s="113" t="str">
        <f t="shared" si="170"/>
        <v>x</v>
      </c>
      <c r="K81" s="113" t="str">
        <f t="shared" si="170"/>
        <v>x</v>
      </c>
      <c r="L81" s="113" t="str">
        <f t="shared" si="170"/>
        <v>x</v>
      </c>
      <c r="M81" s="113" t="str">
        <f t="shared" si="170"/>
        <v>x</v>
      </c>
      <c r="N81" s="113" t="str">
        <f t="shared" si="170"/>
        <v>x</v>
      </c>
      <c r="O81" s="113" t="str">
        <f t="shared" si="170"/>
        <v>x</v>
      </c>
      <c r="P81" s="113" t="str">
        <f t="shared" si="170"/>
        <v>x</v>
      </c>
      <c r="Q81" s="113" t="str">
        <f t="shared" si="170"/>
        <v>x</v>
      </c>
      <c r="R81" s="113" t="str">
        <f t="shared" si="170"/>
        <v>x</v>
      </c>
      <c r="S81" s="113" t="str">
        <f t="shared" si="170"/>
        <v>x</v>
      </c>
      <c r="T81" s="113" t="str">
        <f t="shared" si="170"/>
        <v>x</v>
      </c>
      <c r="U81" s="113" t="str">
        <f t="shared" si="170"/>
        <v>x</v>
      </c>
      <c r="V81" s="113" t="str">
        <f t="shared" si="170"/>
        <v>x</v>
      </c>
      <c r="W81" s="113" t="str">
        <f t="shared" si="170"/>
        <v>x</v>
      </c>
      <c r="X81" s="113" t="str">
        <f t="shared" si="170"/>
        <v>x</v>
      </c>
      <c r="Y81" s="113" t="str">
        <f t="shared" si="170"/>
        <v>x</v>
      </c>
      <c r="Z81" s="113" t="str">
        <f t="shared" si="170"/>
        <v>x</v>
      </c>
      <c r="CD81" s="65"/>
      <c r="CE81" s="65"/>
      <c r="CF81" s="65"/>
      <c r="CG81" s="65"/>
      <c r="CY81" s="113"/>
      <c r="CZ81" s="113"/>
      <c r="DA81" s="65"/>
      <c r="DK81" s="113"/>
      <c r="DL81" s="113"/>
      <c r="DP81" s="65"/>
      <c r="DQ81" s="65"/>
      <c r="DR81" s="65"/>
      <c r="DS81" s="65"/>
    </row>
    <row r="82" spans="4:123" customFormat="1" x14ac:dyDescent="0.15">
      <c r="D82" s="113" t="str">
        <f t="shared" ref="D82:Z82" si="171">IF(BatSplit(D24,RunsScored)&gt;=50,BatSplit(D24,RunsScored)&amp;IF(BatSplit(D24,NotOuts)=1,"*","")&amp;"|"&amp;$C24&amp;"|"&amp;D$2&amp;"|"&amp;TEXT(D$1,"dd-mmm"),"x")</f>
        <v>x</v>
      </c>
      <c r="E82" s="113" t="str">
        <f t="shared" si="171"/>
        <v>x</v>
      </c>
      <c r="F82" s="113" t="str">
        <f t="shared" si="171"/>
        <v>x</v>
      </c>
      <c r="G82" s="113" t="str">
        <f t="shared" si="171"/>
        <v>x</v>
      </c>
      <c r="H82" s="113" t="str">
        <f t="shared" si="171"/>
        <v>x</v>
      </c>
      <c r="I82" s="113" t="str">
        <f t="shared" si="171"/>
        <v>x</v>
      </c>
      <c r="J82" s="113" t="str">
        <f t="shared" si="171"/>
        <v>x</v>
      </c>
      <c r="K82" s="113" t="str">
        <f t="shared" si="171"/>
        <v>x</v>
      </c>
      <c r="L82" s="113" t="str">
        <f t="shared" si="171"/>
        <v>x</v>
      </c>
      <c r="M82" s="113" t="str">
        <f t="shared" si="171"/>
        <v>x</v>
      </c>
      <c r="N82" s="113" t="str">
        <f t="shared" si="171"/>
        <v>x</v>
      </c>
      <c r="O82" s="113" t="str">
        <f t="shared" si="171"/>
        <v>x</v>
      </c>
      <c r="P82" s="113" t="str">
        <f t="shared" si="171"/>
        <v>x</v>
      </c>
      <c r="Q82" s="113" t="str">
        <f t="shared" si="171"/>
        <v>x</v>
      </c>
      <c r="R82" s="113" t="str">
        <f t="shared" si="171"/>
        <v>x</v>
      </c>
      <c r="S82" s="113" t="str">
        <f t="shared" si="171"/>
        <v>x</v>
      </c>
      <c r="T82" s="113" t="str">
        <f t="shared" si="171"/>
        <v>x</v>
      </c>
      <c r="U82" s="113" t="str">
        <f t="shared" si="171"/>
        <v>x</v>
      </c>
      <c r="V82" s="113" t="str">
        <f t="shared" si="171"/>
        <v>x</v>
      </c>
      <c r="W82" s="113" t="str">
        <f t="shared" si="171"/>
        <v>x</v>
      </c>
      <c r="X82" s="113" t="str">
        <f t="shared" si="171"/>
        <v>x</v>
      </c>
      <c r="Y82" s="113" t="str">
        <f t="shared" si="171"/>
        <v>x</v>
      </c>
      <c r="Z82" s="113" t="str">
        <f t="shared" si="171"/>
        <v>x</v>
      </c>
      <c r="CD82" s="65"/>
      <c r="CE82" s="65"/>
      <c r="CF82" s="65"/>
      <c r="DA82" s="65"/>
      <c r="DP82" s="65"/>
      <c r="DQ82" s="65"/>
      <c r="DR82" s="65"/>
      <c r="DS82" s="65"/>
    </row>
    <row r="83" spans="4:123" customFormat="1" x14ac:dyDescent="0.15">
      <c r="D83" s="113" t="str">
        <f t="shared" ref="D83:Z83" si="172">IF(BatSplit(D25,RunsScored)&gt;=50,BatSplit(D25,RunsScored)&amp;IF(BatSplit(D25,NotOuts)=1,"*","")&amp;"|"&amp;$C25&amp;"|"&amp;D$2&amp;"|"&amp;TEXT(D$1,"dd-mmm"),"x")</f>
        <v>x</v>
      </c>
      <c r="E83" s="113" t="str">
        <f t="shared" si="172"/>
        <v>x</v>
      </c>
      <c r="F83" s="113" t="str">
        <f t="shared" si="172"/>
        <v>x</v>
      </c>
      <c r="G83" s="113" t="str">
        <f t="shared" si="172"/>
        <v>x</v>
      </c>
      <c r="H83" s="113" t="str">
        <f t="shared" si="172"/>
        <v>x</v>
      </c>
      <c r="I83" s="113" t="str">
        <f t="shared" si="172"/>
        <v>x</v>
      </c>
      <c r="J83" s="113" t="str">
        <f t="shared" si="172"/>
        <v>x</v>
      </c>
      <c r="K83" s="113" t="str">
        <f t="shared" si="172"/>
        <v>x</v>
      </c>
      <c r="L83" s="113" t="str">
        <f t="shared" si="172"/>
        <v>x</v>
      </c>
      <c r="M83" s="113" t="str">
        <f t="shared" si="172"/>
        <v>x</v>
      </c>
      <c r="N83" s="113" t="str">
        <f t="shared" si="172"/>
        <v>x</v>
      </c>
      <c r="O83" s="113" t="str">
        <f t="shared" si="172"/>
        <v>x</v>
      </c>
      <c r="P83" s="113" t="str">
        <f t="shared" si="172"/>
        <v>x</v>
      </c>
      <c r="Q83" s="113" t="str">
        <f t="shared" si="172"/>
        <v>x</v>
      </c>
      <c r="R83" s="113" t="str">
        <f t="shared" si="172"/>
        <v>x</v>
      </c>
      <c r="S83" s="113" t="str">
        <f t="shared" si="172"/>
        <v>x</v>
      </c>
      <c r="T83" s="113" t="str">
        <f t="shared" si="172"/>
        <v>x</v>
      </c>
      <c r="U83" s="113" t="str">
        <f t="shared" si="172"/>
        <v>x</v>
      </c>
      <c r="V83" s="113" t="str">
        <f t="shared" si="172"/>
        <v>x</v>
      </c>
      <c r="W83" s="113" t="str">
        <f t="shared" si="172"/>
        <v>x</v>
      </c>
      <c r="X83" s="113" t="str">
        <f t="shared" si="172"/>
        <v>x</v>
      </c>
      <c r="Y83" s="113" t="str">
        <f t="shared" si="172"/>
        <v>x</v>
      </c>
      <c r="Z83" s="113" t="str">
        <f t="shared" si="172"/>
        <v>x</v>
      </c>
      <c r="CD83" s="65"/>
      <c r="CE83" s="65"/>
      <c r="CF83" s="65"/>
      <c r="DA83" s="65"/>
      <c r="DP83" s="65"/>
      <c r="DQ83" s="65"/>
      <c r="DR83" s="65"/>
      <c r="DS83" s="65"/>
    </row>
    <row r="84" spans="4:123" customFormat="1" x14ac:dyDescent="0.15">
      <c r="D84" s="113" t="str">
        <f t="shared" ref="D84:Z84" si="173">IF(BatSplit(D26,RunsScored)&gt;=50,BatSplit(D26,RunsScored)&amp;IF(BatSplit(D26,NotOuts)=1,"*","")&amp;"|"&amp;$C26&amp;"|"&amp;D$2&amp;"|"&amp;TEXT(D$1,"dd-mmm"),"x")</f>
        <v>x</v>
      </c>
      <c r="E84" s="113" t="str">
        <f t="shared" si="173"/>
        <v>x</v>
      </c>
      <c r="F84" s="113" t="str">
        <f t="shared" si="173"/>
        <v>x</v>
      </c>
      <c r="G84" s="113" t="str">
        <f t="shared" si="173"/>
        <v>x</v>
      </c>
      <c r="H84" s="113" t="str">
        <f t="shared" si="173"/>
        <v>x</v>
      </c>
      <c r="I84" s="113" t="str">
        <f t="shared" si="173"/>
        <v>x</v>
      </c>
      <c r="J84" s="113" t="str">
        <f t="shared" si="173"/>
        <v>x</v>
      </c>
      <c r="K84" s="113" t="str">
        <f t="shared" si="173"/>
        <v>x</v>
      </c>
      <c r="L84" s="113" t="str">
        <f t="shared" si="173"/>
        <v>x</v>
      </c>
      <c r="M84" s="113" t="str">
        <f t="shared" si="173"/>
        <v>x</v>
      </c>
      <c r="N84" s="113" t="str">
        <f t="shared" si="173"/>
        <v>x</v>
      </c>
      <c r="O84" s="113" t="str">
        <f t="shared" si="173"/>
        <v>x</v>
      </c>
      <c r="P84" s="113" t="str">
        <f t="shared" si="173"/>
        <v>x</v>
      </c>
      <c r="Q84" s="113" t="str">
        <f t="shared" si="173"/>
        <v>x</v>
      </c>
      <c r="R84" s="113" t="str">
        <f t="shared" si="173"/>
        <v>x</v>
      </c>
      <c r="S84" s="113" t="str">
        <f t="shared" si="173"/>
        <v>x</v>
      </c>
      <c r="T84" s="113" t="str">
        <f t="shared" si="173"/>
        <v>x</v>
      </c>
      <c r="U84" s="113" t="str">
        <f t="shared" si="173"/>
        <v>x</v>
      </c>
      <c r="V84" s="113" t="str">
        <f t="shared" si="173"/>
        <v>x</v>
      </c>
      <c r="W84" s="113" t="str">
        <f t="shared" si="173"/>
        <v>x</v>
      </c>
      <c r="X84" s="113" t="str">
        <f t="shared" si="173"/>
        <v>x</v>
      </c>
      <c r="Y84" s="113" t="str">
        <f t="shared" si="173"/>
        <v>x</v>
      </c>
      <c r="Z84" s="113" t="str">
        <f t="shared" si="173"/>
        <v>x</v>
      </c>
      <c r="CD84" s="65"/>
      <c r="CE84" s="65"/>
      <c r="CF84" s="65"/>
      <c r="DA84" s="65"/>
      <c r="DP84" s="65"/>
      <c r="DQ84" s="65"/>
      <c r="DR84" s="65"/>
      <c r="DS84" s="65"/>
    </row>
    <row r="85" spans="4:123" customFormat="1" x14ac:dyDescent="0.15">
      <c r="D85" s="113" t="str">
        <f t="shared" ref="D85:Z85" si="174">IF(BatSplit(D27,RunsScored)&gt;=50,BatSplit(D27,RunsScored)&amp;IF(BatSplit(D27,NotOuts)=1,"*","")&amp;"|"&amp;$C27&amp;"|"&amp;D$2&amp;"|"&amp;TEXT(D$1,"dd-mmm"),"x")</f>
        <v>x</v>
      </c>
      <c r="E85" s="113" t="str">
        <f t="shared" si="174"/>
        <v>x</v>
      </c>
      <c r="F85" s="113" t="str">
        <f t="shared" si="174"/>
        <v>x</v>
      </c>
      <c r="G85" s="113" t="str">
        <f t="shared" si="174"/>
        <v>x</v>
      </c>
      <c r="H85" s="113" t="str">
        <f t="shared" si="174"/>
        <v>x</v>
      </c>
      <c r="I85" s="113" t="str">
        <f t="shared" si="174"/>
        <v>x</v>
      </c>
      <c r="J85" s="113" t="str">
        <f t="shared" si="174"/>
        <v>x</v>
      </c>
      <c r="K85" s="113" t="str">
        <f t="shared" si="174"/>
        <v>x</v>
      </c>
      <c r="L85" s="113" t="str">
        <f t="shared" si="174"/>
        <v>x</v>
      </c>
      <c r="M85" s="113" t="str">
        <f t="shared" si="174"/>
        <v>x</v>
      </c>
      <c r="N85" s="113" t="str">
        <f t="shared" si="174"/>
        <v>x</v>
      </c>
      <c r="O85" s="113" t="str">
        <f t="shared" si="174"/>
        <v>x</v>
      </c>
      <c r="P85" s="113" t="str">
        <f t="shared" si="174"/>
        <v>x</v>
      </c>
      <c r="Q85" s="113" t="str">
        <f t="shared" si="174"/>
        <v>x</v>
      </c>
      <c r="R85" s="113" t="str">
        <f t="shared" si="174"/>
        <v>x</v>
      </c>
      <c r="S85" s="113" t="str">
        <f t="shared" si="174"/>
        <v>x</v>
      </c>
      <c r="T85" s="113" t="str">
        <f t="shared" si="174"/>
        <v>x</v>
      </c>
      <c r="U85" s="113" t="str">
        <f t="shared" si="174"/>
        <v>x</v>
      </c>
      <c r="V85" s="113" t="str">
        <f t="shared" si="174"/>
        <v>x</v>
      </c>
      <c r="W85" s="113" t="str">
        <f t="shared" si="174"/>
        <v>x</v>
      </c>
      <c r="X85" s="113" t="str">
        <f t="shared" si="174"/>
        <v>x</v>
      </c>
      <c r="Y85" s="113" t="str">
        <f t="shared" si="174"/>
        <v>x</v>
      </c>
      <c r="Z85" s="113" t="str">
        <f t="shared" si="174"/>
        <v>x</v>
      </c>
      <c r="CD85" s="65"/>
      <c r="CE85" s="65"/>
      <c r="CF85" s="65"/>
      <c r="DA85" s="65"/>
      <c r="DP85" s="65"/>
      <c r="DQ85" s="65"/>
    </row>
    <row r="86" spans="4:123" customFormat="1" x14ac:dyDescent="0.15">
      <c r="D86" s="113" t="str">
        <f t="shared" ref="D86:Z86" si="175">IF(BatSplit(D28,RunsScored)&gt;=50,BatSplit(D28,RunsScored)&amp;IF(BatSplit(D28,NotOuts)=1,"*","")&amp;"|"&amp;$C28&amp;"|"&amp;D$2&amp;"|"&amp;TEXT(D$1,"dd-mmm"),"x")</f>
        <v>x</v>
      </c>
      <c r="E86" s="113" t="str">
        <f t="shared" si="175"/>
        <v>x</v>
      </c>
      <c r="F86" s="113" t="str">
        <f t="shared" si="175"/>
        <v>x</v>
      </c>
      <c r="G86" s="113" t="str">
        <f t="shared" si="175"/>
        <v>x</v>
      </c>
      <c r="H86" s="113" t="str">
        <f t="shared" si="175"/>
        <v>x</v>
      </c>
      <c r="I86" s="113" t="str">
        <f t="shared" si="175"/>
        <v>x</v>
      </c>
      <c r="J86" s="113" t="str">
        <f t="shared" si="175"/>
        <v>x</v>
      </c>
      <c r="K86" s="113" t="str">
        <f t="shared" si="175"/>
        <v>x</v>
      </c>
      <c r="L86" s="113" t="str">
        <f t="shared" si="175"/>
        <v>x</v>
      </c>
      <c r="M86" s="113" t="str">
        <f t="shared" si="175"/>
        <v>x</v>
      </c>
      <c r="N86" s="113" t="str">
        <f t="shared" si="175"/>
        <v>x</v>
      </c>
      <c r="O86" s="113" t="str">
        <f t="shared" si="175"/>
        <v>x</v>
      </c>
      <c r="P86" s="113" t="str">
        <f t="shared" si="175"/>
        <v>x</v>
      </c>
      <c r="Q86" s="113" t="str">
        <f t="shared" si="175"/>
        <v>x</v>
      </c>
      <c r="R86" s="113" t="str">
        <f t="shared" si="175"/>
        <v>x</v>
      </c>
      <c r="S86" s="113" t="str">
        <f t="shared" si="175"/>
        <v>x</v>
      </c>
      <c r="T86" s="113" t="str">
        <f t="shared" si="175"/>
        <v>x</v>
      </c>
      <c r="U86" s="113" t="str">
        <f t="shared" si="175"/>
        <v>x</v>
      </c>
      <c r="V86" s="113" t="str">
        <f t="shared" si="175"/>
        <v>x</v>
      </c>
      <c r="W86" s="113" t="str">
        <f t="shared" si="175"/>
        <v>x</v>
      </c>
      <c r="X86" s="113" t="str">
        <f t="shared" si="175"/>
        <v>x</v>
      </c>
      <c r="Y86" s="113" t="str">
        <f t="shared" si="175"/>
        <v>x</v>
      </c>
      <c r="Z86" s="113" t="str">
        <f t="shared" si="175"/>
        <v>x</v>
      </c>
      <c r="CD86" s="65"/>
      <c r="CE86" s="65"/>
      <c r="CF86" s="65"/>
      <c r="DA86" s="65"/>
      <c r="DP86" s="65"/>
      <c r="DQ86" s="65"/>
    </row>
    <row r="87" spans="4:123" customFormat="1" x14ac:dyDescent="0.15">
      <c r="D87" s="113" t="str">
        <f t="shared" ref="D87:Z87" si="176">IF(BatSplit(D29,RunsScored)&gt;=50,BatSplit(D29,RunsScored)&amp;IF(BatSplit(D29,NotOuts)=1,"*","")&amp;"|"&amp;$C29&amp;"|"&amp;D$2&amp;"|"&amp;TEXT(D$1,"dd-mmm"),"x")</f>
        <v>x</v>
      </c>
      <c r="E87" s="113" t="str">
        <f t="shared" si="176"/>
        <v>x</v>
      </c>
      <c r="F87" s="113" t="str">
        <f t="shared" si="176"/>
        <v>x</v>
      </c>
      <c r="G87" s="113" t="str">
        <f t="shared" si="176"/>
        <v>x</v>
      </c>
      <c r="H87" s="113" t="str">
        <f t="shared" si="176"/>
        <v>x</v>
      </c>
      <c r="I87" s="113" t="str">
        <f t="shared" si="176"/>
        <v>x</v>
      </c>
      <c r="J87" s="113" t="str">
        <f t="shared" si="176"/>
        <v>x</v>
      </c>
      <c r="K87" s="113" t="str">
        <f t="shared" si="176"/>
        <v>x</v>
      </c>
      <c r="L87" s="113" t="str">
        <f t="shared" si="176"/>
        <v>x</v>
      </c>
      <c r="M87" s="113" t="str">
        <f t="shared" si="176"/>
        <v>x</v>
      </c>
      <c r="N87" s="113" t="str">
        <f t="shared" si="176"/>
        <v>x</v>
      </c>
      <c r="O87" s="113" t="str">
        <f t="shared" si="176"/>
        <v>58*|Middleton J|Morden|15-Jul</v>
      </c>
      <c r="P87" s="113" t="str">
        <f t="shared" si="176"/>
        <v>x</v>
      </c>
      <c r="Q87" s="113" t="str">
        <f t="shared" si="176"/>
        <v>x</v>
      </c>
      <c r="R87" s="113" t="str">
        <f t="shared" si="176"/>
        <v>x</v>
      </c>
      <c r="S87" s="113" t="str">
        <f t="shared" si="176"/>
        <v>x</v>
      </c>
      <c r="T87" s="113" t="str">
        <f t="shared" si="176"/>
        <v>x</v>
      </c>
      <c r="U87" s="113" t="str">
        <f t="shared" si="176"/>
        <v>x</v>
      </c>
      <c r="V87" s="113" t="str">
        <f t="shared" si="176"/>
        <v>x</v>
      </c>
      <c r="W87" s="113" t="str">
        <f t="shared" si="176"/>
        <v>x</v>
      </c>
      <c r="X87" s="113" t="str">
        <f t="shared" si="176"/>
        <v>x</v>
      </c>
      <c r="Y87" s="113" t="str">
        <f t="shared" si="176"/>
        <v>x</v>
      </c>
      <c r="Z87" s="113" t="str">
        <f t="shared" si="176"/>
        <v>x</v>
      </c>
      <c r="CD87" s="65"/>
      <c r="CE87" s="65"/>
      <c r="CF87" s="65"/>
      <c r="DA87" s="65"/>
      <c r="DP87" s="113"/>
      <c r="DQ87" s="113"/>
    </row>
    <row r="88" spans="4:123" customFormat="1" x14ac:dyDescent="0.15">
      <c r="D88" s="113" t="str">
        <f t="shared" ref="D88:Z88" si="177">IF(BatSplit(D30,RunsScored)&gt;=50,BatSplit(D30,RunsScored)&amp;IF(BatSplit(D30,NotOuts)=1,"*","")&amp;"|"&amp;$C30&amp;"|"&amp;D$2&amp;"|"&amp;TEXT(D$1,"dd-mmm"),"x")</f>
        <v>x</v>
      </c>
      <c r="E88" s="113" t="str">
        <f t="shared" si="177"/>
        <v>x</v>
      </c>
      <c r="F88" s="113" t="str">
        <f t="shared" si="177"/>
        <v>x</v>
      </c>
      <c r="G88" s="113" t="str">
        <f t="shared" si="177"/>
        <v>x</v>
      </c>
      <c r="H88" s="113" t="str">
        <f t="shared" si="177"/>
        <v>x</v>
      </c>
      <c r="I88" s="113" t="str">
        <f t="shared" si="177"/>
        <v>x</v>
      </c>
      <c r="J88" s="113" t="str">
        <f t="shared" si="177"/>
        <v>x</v>
      </c>
      <c r="K88" s="113" t="str">
        <f t="shared" si="177"/>
        <v>x</v>
      </c>
      <c r="L88" s="113" t="str">
        <f t="shared" si="177"/>
        <v>x</v>
      </c>
      <c r="M88" s="113" t="str">
        <f t="shared" si="177"/>
        <v>x</v>
      </c>
      <c r="N88" s="113" t="str">
        <f t="shared" si="177"/>
        <v>x</v>
      </c>
      <c r="O88" s="113" t="str">
        <f t="shared" si="177"/>
        <v>x</v>
      </c>
      <c r="P88" s="113" t="str">
        <f t="shared" si="177"/>
        <v>x</v>
      </c>
      <c r="Q88" s="113" t="str">
        <f t="shared" si="177"/>
        <v>x</v>
      </c>
      <c r="R88" s="113" t="str">
        <f t="shared" si="177"/>
        <v>x</v>
      </c>
      <c r="S88" s="113" t="str">
        <f t="shared" si="177"/>
        <v>x</v>
      </c>
      <c r="T88" s="113" t="str">
        <f t="shared" si="177"/>
        <v>x</v>
      </c>
      <c r="U88" s="113" t="str">
        <f t="shared" si="177"/>
        <v>x</v>
      </c>
      <c r="V88" s="113" t="str">
        <f t="shared" si="177"/>
        <v>x</v>
      </c>
      <c r="W88" s="113" t="str">
        <f t="shared" si="177"/>
        <v>x</v>
      </c>
      <c r="X88" s="113" t="str">
        <f t="shared" si="177"/>
        <v>x</v>
      </c>
      <c r="Y88" s="113" t="str">
        <f t="shared" si="177"/>
        <v>x</v>
      </c>
      <c r="Z88" s="113" t="str">
        <f t="shared" si="177"/>
        <v>x</v>
      </c>
      <c r="CD88" s="65"/>
      <c r="CE88" s="65"/>
      <c r="CF88" s="65"/>
      <c r="DA88" s="65"/>
      <c r="DP88" s="113"/>
      <c r="DQ88" s="113"/>
    </row>
    <row r="89" spans="4:123" customFormat="1" x14ac:dyDescent="0.15">
      <c r="D89" s="113" t="str">
        <f t="shared" ref="D89:Z89" si="178">IF(BatSplit(D31,RunsScored)&gt;=50,BatSplit(D31,RunsScored)&amp;IF(BatSplit(D31,NotOuts)=1,"*","")&amp;"|"&amp;$C31&amp;"|"&amp;D$2&amp;"|"&amp;TEXT(D$1,"dd-mmm"),"x")</f>
        <v>x</v>
      </c>
      <c r="E89" s="113" t="str">
        <f t="shared" si="178"/>
        <v>x</v>
      </c>
      <c r="F89" s="113" t="str">
        <f t="shared" si="178"/>
        <v>x</v>
      </c>
      <c r="G89" s="113" t="str">
        <f t="shared" si="178"/>
        <v>x</v>
      </c>
      <c r="H89" s="113" t="str">
        <f t="shared" si="178"/>
        <v>x</v>
      </c>
      <c r="I89" s="113" t="str">
        <f t="shared" si="178"/>
        <v>x</v>
      </c>
      <c r="J89" s="113" t="str">
        <f t="shared" si="178"/>
        <v>x</v>
      </c>
      <c r="K89" s="113" t="str">
        <f t="shared" si="178"/>
        <v>x</v>
      </c>
      <c r="L89" s="113" t="str">
        <f t="shared" si="178"/>
        <v>x</v>
      </c>
      <c r="M89" s="113" t="str">
        <f t="shared" si="178"/>
        <v>x</v>
      </c>
      <c r="N89" s="113" t="str">
        <f t="shared" si="178"/>
        <v>x</v>
      </c>
      <c r="O89" s="113" t="str">
        <f t="shared" si="178"/>
        <v>x</v>
      </c>
      <c r="P89" s="113" t="str">
        <f t="shared" si="178"/>
        <v>x</v>
      </c>
      <c r="Q89" s="113" t="str">
        <f t="shared" si="178"/>
        <v>x</v>
      </c>
      <c r="R89" s="113" t="str">
        <f t="shared" si="178"/>
        <v>x</v>
      </c>
      <c r="S89" s="113" t="str">
        <f t="shared" si="178"/>
        <v>x</v>
      </c>
      <c r="T89" s="113" t="str">
        <f t="shared" si="178"/>
        <v>x</v>
      </c>
      <c r="U89" s="113" t="str">
        <f t="shared" si="178"/>
        <v>x</v>
      </c>
      <c r="V89" s="113" t="str">
        <f t="shared" si="178"/>
        <v>x</v>
      </c>
      <c r="W89" s="113" t="str">
        <f t="shared" si="178"/>
        <v>x</v>
      </c>
      <c r="X89" s="113" t="str">
        <f t="shared" si="178"/>
        <v>x</v>
      </c>
      <c r="Y89" s="113" t="str">
        <f t="shared" si="178"/>
        <v>x</v>
      </c>
      <c r="Z89" s="113" t="str">
        <f t="shared" si="178"/>
        <v>x</v>
      </c>
      <c r="CD89" s="65"/>
      <c r="CE89" s="65"/>
      <c r="CF89" s="65"/>
      <c r="DA89" s="65"/>
    </row>
    <row r="90" spans="4:123" customFormat="1" x14ac:dyDescent="0.15">
      <c r="D90" s="113" t="str">
        <f t="shared" ref="D90:Z90" si="179">IF(BatSplit(D32,RunsScored)&gt;=50,BatSplit(D32,RunsScored)&amp;IF(BatSplit(D32,NotOuts)=1,"*","")&amp;"|"&amp;$C32&amp;"|"&amp;D$2&amp;"|"&amp;TEXT(D$1,"dd-mmm"),"x")</f>
        <v>x</v>
      </c>
      <c r="E90" s="113" t="str">
        <f t="shared" si="179"/>
        <v>x</v>
      </c>
      <c r="F90" s="113" t="str">
        <f t="shared" si="179"/>
        <v>x</v>
      </c>
      <c r="G90" s="113" t="str">
        <f t="shared" si="179"/>
        <v>x</v>
      </c>
      <c r="H90" s="113" t="str">
        <f t="shared" si="179"/>
        <v>x</v>
      </c>
      <c r="I90" s="113" t="str">
        <f t="shared" si="179"/>
        <v>x</v>
      </c>
      <c r="J90" s="113" t="str">
        <f t="shared" si="179"/>
        <v>x</v>
      </c>
      <c r="K90" s="113" t="str">
        <f t="shared" si="179"/>
        <v>x</v>
      </c>
      <c r="L90" s="113" t="str">
        <f t="shared" si="179"/>
        <v>x</v>
      </c>
      <c r="M90" s="113" t="str">
        <f t="shared" si="179"/>
        <v>x</v>
      </c>
      <c r="N90" s="113" t="str">
        <f t="shared" si="179"/>
        <v>x</v>
      </c>
      <c r="O90" s="113" t="str">
        <f t="shared" si="179"/>
        <v>x</v>
      </c>
      <c r="P90" s="113" t="str">
        <f t="shared" si="179"/>
        <v>x</v>
      </c>
      <c r="Q90" s="113" t="str">
        <f t="shared" si="179"/>
        <v>x</v>
      </c>
      <c r="R90" s="113" t="str">
        <f t="shared" si="179"/>
        <v>x</v>
      </c>
      <c r="S90" s="113" t="str">
        <f t="shared" si="179"/>
        <v>x</v>
      </c>
      <c r="T90" s="113" t="str">
        <f t="shared" si="179"/>
        <v>75*|Niran S|Catford Cyphers|16-Sep</v>
      </c>
      <c r="U90" s="113" t="str">
        <f t="shared" si="179"/>
        <v>x</v>
      </c>
      <c r="V90" s="113" t="str">
        <f t="shared" si="179"/>
        <v>x</v>
      </c>
      <c r="W90" s="113" t="str">
        <f t="shared" si="179"/>
        <v>x</v>
      </c>
      <c r="X90" s="113" t="str">
        <f t="shared" si="179"/>
        <v>x</v>
      </c>
      <c r="Y90" s="113" t="str">
        <f t="shared" si="179"/>
        <v>x</v>
      </c>
      <c r="Z90" s="113" t="str">
        <f t="shared" si="179"/>
        <v>x</v>
      </c>
      <c r="CD90" s="65"/>
      <c r="CE90" s="65"/>
      <c r="CF90" s="65"/>
      <c r="DA90" s="65"/>
    </row>
    <row r="91" spans="4:123" customFormat="1" x14ac:dyDescent="0.15">
      <c r="D91" s="113" t="str">
        <f t="shared" ref="D91:Z91" si="180">IF(BatSplit(D33,RunsScored)&gt;=50,BatSplit(D33,RunsScored)&amp;IF(BatSplit(D33,NotOuts)=1,"*","")&amp;"|"&amp;$C33&amp;"|"&amp;D$2&amp;"|"&amp;TEXT(D$1,"dd-mmm"),"x")</f>
        <v>x</v>
      </c>
      <c r="E91" s="113" t="str">
        <f t="shared" si="180"/>
        <v>x</v>
      </c>
      <c r="F91" s="113" t="str">
        <f t="shared" si="180"/>
        <v>x</v>
      </c>
      <c r="G91" s="113" t="str">
        <f t="shared" si="180"/>
        <v>x</v>
      </c>
      <c r="H91" s="113" t="str">
        <f t="shared" si="180"/>
        <v>x</v>
      </c>
      <c r="I91" s="113" t="str">
        <f t="shared" si="180"/>
        <v>x</v>
      </c>
      <c r="J91" s="113" t="str">
        <f t="shared" si="180"/>
        <v>x</v>
      </c>
      <c r="K91" s="113" t="str">
        <f t="shared" si="180"/>
        <v>x</v>
      </c>
      <c r="L91" s="113" t="str">
        <f t="shared" si="180"/>
        <v>x</v>
      </c>
      <c r="M91" s="113" t="str">
        <f t="shared" si="180"/>
        <v>x</v>
      </c>
      <c r="N91" s="113" t="str">
        <f t="shared" si="180"/>
        <v>x</v>
      </c>
      <c r="O91" s="113" t="str">
        <f t="shared" si="180"/>
        <v>x</v>
      </c>
      <c r="P91" s="113" t="str">
        <f t="shared" si="180"/>
        <v>x</v>
      </c>
      <c r="Q91" s="113" t="str">
        <f t="shared" si="180"/>
        <v>x</v>
      </c>
      <c r="R91" s="113" t="str">
        <f t="shared" si="180"/>
        <v>x</v>
      </c>
      <c r="S91" s="113" t="str">
        <f t="shared" si="180"/>
        <v>53|O'Rourke|Richmond Legbreakers|09-Sep</v>
      </c>
      <c r="T91" s="113" t="str">
        <f t="shared" si="180"/>
        <v>x</v>
      </c>
      <c r="U91" s="113" t="str">
        <f t="shared" si="180"/>
        <v>x</v>
      </c>
      <c r="V91" s="113" t="str">
        <f t="shared" si="180"/>
        <v>x</v>
      </c>
      <c r="W91" s="113" t="str">
        <f t="shared" si="180"/>
        <v>x</v>
      </c>
      <c r="X91" s="113" t="str">
        <f t="shared" si="180"/>
        <v>x</v>
      </c>
      <c r="Y91" s="113" t="str">
        <f t="shared" si="180"/>
        <v>x</v>
      </c>
      <c r="Z91" s="113" t="str">
        <f t="shared" si="180"/>
        <v>x</v>
      </c>
      <c r="CD91" s="65"/>
      <c r="CE91" s="65"/>
      <c r="CF91" s="65"/>
      <c r="DA91" s="65"/>
    </row>
    <row r="92" spans="4:123" customFormat="1" x14ac:dyDescent="0.15">
      <c r="D92" s="113" t="str">
        <f t="shared" ref="D92:Z92" si="181">IF(BatSplit(D34,RunsScored)&gt;=50,BatSplit(D34,RunsScored)&amp;IF(BatSplit(D34,NotOuts)=1,"*","")&amp;"|"&amp;$C34&amp;"|"&amp;D$2&amp;"|"&amp;TEXT(D$1,"dd-mmm"),"x")</f>
        <v>x</v>
      </c>
      <c r="E92" s="113" t="str">
        <f t="shared" si="181"/>
        <v>x</v>
      </c>
      <c r="F92" s="113" t="str">
        <f t="shared" si="181"/>
        <v>x</v>
      </c>
      <c r="G92" s="113" t="str">
        <f t="shared" si="181"/>
        <v>x</v>
      </c>
      <c r="H92" s="113" t="str">
        <f t="shared" si="181"/>
        <v>x</v>
      </c>
      <c r="I92" s="113" t="str">
        <f t="shared" si="181"/>
        <v>x</v>
      </c>
      <c r="J92" s="113" t="str">
        <f t="shared" si="181"/>
        <v>x</v>
      </c>
      <c r="K92" s="113" t="str">
        <f t="shared" si="181"/>
        <v>x</v>
      </c>
      <c r="L92" s="113" t="str">
        <f t="shared" si="181"/>
        <v>x</v>
      </c>
      <c r="M92" s="113" t="str">
        <f t="shared" si="181"/>
        <v>x</v>
      </c>
      <c r="N92" s="113" t="str">
        <f t="shared" si="181"/>
        <v>x</v>
      </c>
      <c r="O92" s="113" t="str">
        <f t="shared" si="181"/>
        <v>x</v>
      </c>
      <c r="P92" s="113" t="str">
        <f t="shared" si="181"/>
        <v>x</v>
      </c>
      <c r="Q92" s="113" t="str">
        <f t="shared" si="181"/>
        <v>x</v>
      </c>
      <c r="R92" s="113" t="str">
        <f t="shared" si="181"/>
        <v>x</v>
      </c>
      <c r="S92" s="113" t="str">
        <f t="shared" si="181"/>
        <v>x</v>
      </c>
      <c r="T92" s="113" t="str">
        <f t="shared" si="181"/>
        <v>x</v>
      </c>
      <c r="U92" s="113" t="str">
        <f t="shared" si="181"/>
        <v>x</v>
      </c>
      <c r="V92" s="113" t="str">
        <f t="shared" si="181"/>
        <v>x</v>
      </c>
      <c r="W92" s="113" t="str">
        <f t="shared" si="181"/>
        <v>x</v>
      </c>
      <c r="X92" s="113" t="str">
        <f t="shared" si="181"/>
        <v>x</v>
      </c>
      <c r="Y92" s="113" t="str">
        <f t="shared" si="181"/>
        <v>x</v>
      </c>
      <c r="Z92" s="113" t="str">
        <f t="shared" si="181"/>
        <v>x</v>
      </c>
      <c r="CD92" s="65"/>
      <c r="CE92" s="65"/>
      <c r="CF92" s="65"/>
      <c r="DA92" s="65"/>
    </row>
    <row r="93" spans="4:123" customFormat="1" x14ac:dyDescent="0.15">
      <c r="D93" s="113" t="str">
        <f t="shared" ref="D93:Z93" si="182">IF(BatSplit(D35,RunsScored)&gt;=50,BatSplit(D35,RunsScored)&amp;IF(BatSplit(D35,NotOuts)=1,"*","")&amp;"|"&amp;$C35&amp;"|"&amp;D$2&amp;"|"&amp;TEXT(D$1,"dd-mmm"),"x")</f>
        <v>x</v>
      </c>
      <c r="E93" s="113" t="str">
        <f t="shared" si="182"/>
        <v>x</v>
      </c>
      <c r="F93" s="113" t="str">
        <f t="shared" si="182"/>
        <v>x</v>
      </c>
      <c r="G93" s="113" t="str">
        <f t="shared" si="182"/>
        <v>x</v>
      </c>
      <c r="H93" s="113" t="str">
        <f t="shared" si="182"/>
        <v>x</v>
      </c>
      <c r="I93" s="113" t="str">
        <f t="shared" si="182"/>
        <v>x</v>
      </c>
      <c r="J93" s="113" t="str">
        <f t="shared" si="182"/>
        <v>x</v>
      </c>
      <c r="K93" s="113" t="str">
        <f t="shared" si="182"/>
        <v>x</v>
      </c>
      <c r="L93" s="113" t="str">
        <f t="shared" si="182"/>
        <v>x</v>
      </c>
      <c r="M93" s="113" t="str">
        <f t="shared" si="182"/>
        <v>x</v>
      </c>
      <c r="N93" s="113" t="str">
        <f t="shared" si="182"/>
        <v>x</v>
      </c>
      <c r="O93" s="113" t="str">
        <f t="shared" si="182"/>
        <v>x</v>
      </c>
      <c r="P93" s="113" t="str">
        <f t="shared" si="182"/>
        <v>x</v>
      </c>
      <c r="Q93" s="113" t="str">
        <f t="shared" si="182"/>
        <v>x</v>
      </c>
      <c r="R93" s="113" t="str">
        <f t="shared" si="182"/>
        <v>x</v>
      </c>
      <c r="S93" s="113" t="str">
        <f t="shared" si="182"/>
        <v>x</v>
      </c>
      <c r="T93" s="113" t="str">
        <f t="shared" si="182"/>
        <v>x</v>
      </c>
      <c r="U93" s="113" t="str">
        <f t="shared" si="182"/>
        <v>x</v>
      </c>
      <c r="V93" s="113" t="str">
        <f t="shared" si="182"/>
        <v>x</v>
      </c>
      <c r="W93" s="113" t="str">
        <f t="shared" si="182"/>
        <v>x</v>
      </c>
      <c r="X93" s="113" t="str">
        <f t="shared" si="182"/>
        <v>x</v>
      </c>
      <c r="Y93" s="113" t="str">
        <f t="shared" si="182"/>
        <v>x</v>
      </c>
      <c r="Z93" s="113" t="str">
        <f t="shared" si="182"/>
        <v>x</v>
      </c>
      <c r="CD93" s="65"/>
      <c r="CE93" s="65"/>
      <c r="CF93" s="65"/>
      <c r="DA93" s="65"/>
    </row>
    <row r="94" spans="4:123" customFormat="1" x14ac:dyDescent="0.15">
      <c r="D94" s="113" t="str">
        <f t="shared" ref="D94:Z94" si="183">IF(BatSplit(D36,RunsScored)&gt;=50,BatSplit(D36,RunsScored)&amp;IF(BatSplit(D36,NotOuts)=1,"*","")&amp;"|"&amp;$C36&amp;"|"&amp;D$2&amp;"|"&amp;TEXT(D$1,"dd-mmm"),"x")</f>
        <v>x</v>
      </c>
      <c r="E94" s="113" t="str">
        <f t="shared" si="183"/>
        <v>x</v>
      </c>
      <c r="F94" s="113" t="str">
        <f t="shared" si="183"/>
        <v>x</v>
      </c>
      <c r="G94" s="113" t="str">
        <f t="shared" si="183"/>
        <v>x</v>
      </c>
      <c r="H94" s="113" t="str">
        <f t="shared" si="183"/>
        <v>x</v>
      </c>
      <c r="I94" s="113" t="str">
        <f t="shared" si="183"/>
        <v>x</v>
      </c>
      <c r="J94" s="113" t="str">
        <f t="shared" si="183"/>
        <v>x</v>
      </c>
      <c r="K94" s="113" t="str">
        <f t="shared" si="183"/>
        <v>x</v>
      </c>
      <c r="L94" s="113" t="str">
        <f t="shared" si="183"/>
        <v>x</v>
      </c>
      <c r="M94" s="113" t="str">
        <f t="shared" si="183"/>
        <v>x</v>
      </c>
      <c r="N94" s="113" t="str">
        <f t="shared" si="183"/>
        <v>x</v>
      </c>
      <c r="O94" s="113" t="str">
        <f t="shared" si="183"/>
        <v>x</v>
      </c>
      <c r="P94" s="113" t="str">
        <f t="shared" si="183"/>
        <v>x</v>
      </c>
      <c r="Q94" s="113" t="str">
        <f t="shared" si="183"/>
        <v>x</v>
      </c>
      <c r="R94" s="113" t="str">
        <f t="shared" si="183"/>
        <v>x</v>
      </c>
      <c r="S94" s="113" t="str">
        <f t="shared" si="183"/>
        <v>x</v>
      </c>
      <c r="T94" s="113" t="str">
        <f t="shared" si="183"/>
        <v>x</v>
      </c>
      <c r="U94" s="113" t="str">
        <f t="shared" si="183"/>
        <v>x</v>
      </c>
      <c r="V94" s="113" t="str">
        <f t="shared" si="183"/>
        <v>x</v>
      </c>
      <c r="W94" s="113" t="str">
        <f t="shared" si="183"/>
        <v>x</v>
      </c>
      <c r="X94" s="113" t="str">
        <f t="shared" si="183"/>
        <v>x</v>
      </c>
      <c r="Y94" s="113" t="str">
        <f t="shared" si="183"/>
        <v>x</v>
      </c>
      <c r="Z94" s="113" t="str">
        <f t="shared" si="183"/>
        <v>x</v>
      </c>
      <c r="CD94" s="65"/>
      <c r="CE94" s="65"/>
      <c r="CF94" s="65"/>
    </row>
    <row r="95" spans="4:123" customFormat="1" x14ac:dyDescent="0.15">
      <c r="D95" s="113" t="str">
        <f t="shared" ref="D95:Z95" si="184">IF(BatSplit(D37,RunsScored)&gt;=50,BatSplit(D37,RunsScored)&amp;IF(BatSplit(D37,NotOuts)=1,"*","")&amp;"|"&amp;$C37&amp;"|"&amp;D$2&amp;"|"&amp;TEXT(D$1,"dd-mmm"),"x")</f>
        <v>x</v>
      </c>
      <c r="E95" s="113" t="str">
        <f t="shared" si="184"/>
        <v>x</v>
      </c>
      <c r="F95" s="113" t="str">
        <f t="shared" si="184"/>
        <v>x</v>
      </c>
      <c r="G95" s="113" t="str">
        <f t="shared" si="184"/>
        <v>x</v>
      </c>
      <c r="H95" s="113" t="str">
        <f t="shared" si="184"/>
        <v>x</v>
      </c>
      <c r="I95" s="113" t="str">
        <f t="shared" si="184"/>
        <v>x</v>
      </c>
      <c r="J95" s="113" t="str">
        <f t="shared" si="184"/>
        <v>x</v>
      </c>
      <c r="K95" s="113" t="str">
        <f t="shared" si="184"/>
        <v>x</v>
      </c>
      <c r="L95" s="113" t="str">
        <f t="shared" si="184"/>
        <v>x</v>
      </c>
      <c r="M95" s="113" t="str">
        <f t="shared" si="184"/>
        <v>x</v>
      </c>
      <c r="N95" s="113" t="str">
        <f t="shared" si="184"/>
        <v>x</v>
      </c>
      <c r="O95" s="113" t="str">
        <f t="shared" si="184"/>
        <v>64|Seymour C|Morden|15-Jul</v>
      </c>
      <c r="P95" s="113" t="str">
        <f t="shared" si="184"/>
        <v>x</v>
      </c>
      <c r="Q95" s="113" t="str">
        <f t="shared" si="184"/>
        <v>x</v>
      </c>
      <c r="R95" s="113" t="str">
        <f t="shared" si="184"/>
        <v>x</v>
      </c>
      <c r="S95" s="113" t="str">
        <f t="shared" si="184"/>
        <v>x</v>
      </c>
      <c r="T95" s="113" t="str">
        <f t="shared" si="184"/>
        <v>x</v>
      </c>
      <c r="U95" s="113" t="str">
        <f t="shared" si="184"/>
        <v>x</v>
      </c>
      <c r="V95" s="113" t="str">
        <f t="shared" si="184"/>
        <v>x</v>
      </c>
      <c r="W95" s="113" t="str">
        <f t="shared" si="184"/>
        <v>x</v>
      </c>
      <c r="X95" s="113" t="str">
        <f t="shared" si="184"/>
        <v>x</v>
      </c>
      <c r="Y95" s="113" t="str">
        <f t="shared" si="184"/>
        <v>x</v>
      </c>
      <c r="Z95" s="113" t="str">
        <f t="shared" si="184"/>
        <v>x</v>
      </c>
      <c r="CD95" s="65"/>
      <c r="CE95" s="65"/>
      <c r="CF95" s="65"/>
    </row>
    <row r="96" spans="4:123" customFormat="1" x14ac:dyDescent="0.15">
      <c r="D96" s="113" t="str">
        <f t="shared" ref="D96:Z96" si="185">IF(BatSplit(D38,RunsScored)&gt;=50,BatSplit(D38,RunsScored)&amp;IF(BatSplit(D38,NotOuts)=1,"*","")&amp;"|"&amp;$C38&amp;"|"&amp;D$2&amp;"|"&amp;TEXT(D$1,"dd-mmm"),"x")</f>
        <v>x</v>
      </c>
      <c r="E96" s="113" t="str">
        <f t="shared" si="185"/>
        <v>63|Sharpe D|SW United|13-May</v>
      </c>
      <c r="F96" s="113" t="str">
        <f t="shared" si="185"/>
        <v>x</v>
      </c>
      <c r="G96" s="113" t="str">
        <f t="shared" si="185"/>
        <v>63|Sharpe D|Font Hill Park|26-May</v>
      </c>
      <c r="H96" s="113" t="str">
        <f t="shared" si="185"/>
        <v>x</v>
      </c>
      <c r="I96" s="113" t="str">
        <f t="shared" si="185"/>
        <v>60*|Sharpe D|Steeple Langford|28-May</v>
      </c>
      <c r="J96" s="113" t="str">
        <f t="shared" si="185"/>
        <v>x</v>
      </c>
      <c r="K96" s="113" t="str">
        <f t="shared" si="185"/>
        <v>x</v>
      </c>
      <c r="L96" s="113" t="str">
        <f t="shared" si="185"/>
        <v>51|Sharpe D|Woldingham Village|24-Jun</v>
      </c>
      <c r="M96" s="113" t="str">
        <f t="shared" si="185"/>
        <v>x</v>
      </c>
      <c r="N96" s="113" t="str">
        <f t="shared" si="185"/>
        <v>68|Sharpe D|Beddington|07-Jul</v>
      </c>
      <c r="O96" s="113" t="str">
        <f t="shared" si="185"/>
        <v>x</v>
      </c>
      <c r="P96" s="113" t="str">
        <f t="shared" si="185"/>
        <v>x</v>
      </c>
      <c r="Q96" s="113" t="str">
        <f t="shared" si="185"/>
        <v>54*|Sharpe D|LESSA Wanderers|12-Aug</v>
      </c>
      <c r="R96" s="113" t="str">
        <f t="shared" si="185"/>
        <v>100|Sharpe D|HSBC|02-Sep</v>
      </c>
      <c r="S96" s="113" t="str">
        <f t="shared" si="185"/>
        <v>x</v>
      </c>
      <c r="T96" s="113" t="str">
        <f t="shared" si="185"/>
        <v>x</v>
      </c>
      <c r="U96" s="113" t="str">
        <f t="shared" si="185"/>
        <v>x</v>
      </c>
      <c r="V96" s="113" t="str">
        <f t="shared" si="185"/>
        <v>x</v>
      </c>
      <c r="W96" s="113" t="str">
        <f t="shared" si="185"/>
        <v>x</v>
      </c>
      <c r="X96" s="113" t="str">
        <f t="shared" si="185"/>
        <v>x</v>
      </c>
      <c r="Y96" s="113" t="str">
        <f t="shared" si="185"/>
        <v>x</v>
      </c>
      <c r="Z96" s="113" t="str">
        <f t="shared" si="185"/>
        <v>x</v>
      </c>
      <c r="CF96" s="65"/>
    </row>
    <row r="97" spans="4:26" customFormat="1" x14ac:dyDescent="0.15">
      <c r="D97" s="113" t="str">
        <f t="shared" ref="D97:Z97" si="186">IF(BatSplit(D39,RunsScored)&gt;=50,BatSplit(D39,RunsScored)&amp;IF(BatSplit(D39,NotOuts)=1,"*","")&amp;"|"&amp;$C39&amp;"|"&amp;D$2&amp;"|"&amp;TEXT(D$1,"dd-mmm"),"x")</f>
        <v>x</v>
      </c>
      <c r="E97" s="113" t="str">
        <f t="shared" si="186"/>
        <v>x</v>
      </c>
      <c r="F97" s="113" t="str">
        <f t="shared" si="186"/>
        <v>x</v>
      </c>
      <c r="G97" s="113" t="str">
        <f t="shared" si="186"/>
        <v>x</v>
      </c>
      <c r="H97" s="113" t="str">
        <f t="shared" si="186"/>
        <v>x</v>
      </c>
      <c r="I97" s="113" t="str">
        <f t="shared" si="186"/>
        <v>x</v>
      </c>
      <c r="J97" s="113" t="str">
        <f t="shared" si="186"/>
        <v>77|Shome G|Norwood Exiles|10-Jun</v>
      </c>
      <c r="K97" s="113" t="str">
        <f t="shared" si="186"/>
        <v>x</v>
      </c>
      <c r="L97" s="113" t="str">
        <f t="shared" si="186"/>
        <v>x</v>
      </c>
      <c r="M97" s="113" t="str">
        <f t="shared" si="186"/>
        <v>x</v>
      </c>
      <c r="N97" s="113" t="str">
        <f t="shared" si="186"/>
        <v>x</v>
      </c>
      <c r="O97" s="113" t="str">
        <f t="shared" si="186"/>
        <v>x</v>
      </c>
      <c r="P97" s="113" t="str">
        <f t="shared" si="186"/>
        <v>x</v>
      </c>
      <c r="Q97" s="113" t="str">
        <f t="shared" si="186"/>
        <v>x</v>
      </c>
      <c r="R97" s="113" t="str">
        <f t="shared" si="186"/>
        <v>x</v>
      </c>
      <c r="S97" s="113" t="str">
        <f t="shared" si="186"/>
        <v>x</v>
      </c>
      <c r="T97" s="113" t="str">
        <f t="shared" si="186"/>
        <v>x</v>
      </c>
      <c r="U97" s="113" t="str">
        <f t="shared" si="186"/>
        <v>x</v>
      </c>
      <c r="V97" s="113" t="str">
        <f t="shared" si="186"/>
        <v>x</v>
      </c>
      <c r="W97" s="113" t="str">
        <f t="shared" si="186"/>
        <v>x</v>
      </c>
      <c r="X97" s="113" t="str">
        <f t="shared" si="186"/>
        <v>x</v>
      </c>
      <c r="Y97" s="113" t="str">
        <f t="shared" si="186"/>
        <v>x</v>
      </c>
      <c r="Z97" s="113" t="str">
        <f t="shared" si="186"/>
        <v>x</v>
      </c>
    </row>
    <row r="98" spans="4:26" customFormat="1" x14ac:dyDescent="0.15">
      <c r="D98" s="113" t="str">
        <f t="shared" ref="D98:Z98" si="187">IF(BatSplit(D40,RunsScored)&gt;=50,BatSplit(D40,RunsScored)&amp;IF(BatSplit(D40,NotOuts)=1,"*","")&amp;"|"&amp;$C40&amp;"|"&amp;D$2&amp;"|"&amp;TEXT(D$1,"dd-mmm"),"x")</f>
        <v>x</v>
      </c>
      <c r="E98" s="113" t="str">
        <f t="shared" si="187"/>
        <v>x</v>
      </c>
      <c r="F98" s="113" t="str">
        <f t="shared" si="187"/>
        <v>x</v>
      </c>
      <c r="G98" s="113" t="str">
        <f t="shared" si="187"/>
        <v>x</v>
      </c>
      <c r="H98" s="113" t="str">
        <f t="shared" si="187"/>
        <v>x</v>
      </c>
      <c r="I98" s="113" t="str">
        <f t="shared" si="187"/>
        <v>x</v>
      </c>
      <c r="J98" s="113" t="str">
        <f t="shared" si="187"/>
        <v>x</v>
      </c>
      <c r="K98" s="113" t="str">
        <f t="shared" si="187"/>
        <v>x</v>
      </c>
      <c r="L98" s="113" t="str">
        <f t="shared" si="187"/>
        <v>x</v>
      </c>
      <c r="M98" s="113" t="str">
        <f t="shared" si="187"/>
        <v>x</v>
      </c>
      <c r="N98" s="113" t="str">
        <f t="shared" si="187"/>
        <v>x</v>
      </c>
      <c r="O98" s="113" t="str">
        <f t="shared" si="187"/>
        <v>x</v>
      </c>
      <c r="P98" s="113" t="str">
        <f t="shared" si="187"/>
        <v>x</v>
      </c>
      <c r="Q98" s="113" t="str">
        <f t="shared" si="187"/>
        <v>x</v>
      </c>
      <c r="R98" s="113" t="str">
        <f t="shared" si="187"/>
        <v>x</v>
      </c>
      <c r="S98" s="113" t="str">
        <f t="shared" si="187"/>
        <v>x</v>
      </c>
      <c r="T98" s="113" t="str">
        <f t="shared" si="187"/>
        <v>x</v>
      </c>
      <c r="U98" s="113" t="str">
        <f t="shared" si="187"/>
        <v>x</v>
      </c>
      <c r="V98" s="113" t="str">
        <f t="shared" si="187"/>
        <v>x</v>
      </c>
      <c r="W98" s="113" t="str">
        <f t="shared" si="187"/>
        <v>x</v>
      </c>
      <c r="X98" s="113" t="str">
        <f t="shared" si="187"/>
        <v>x</v>
      </c>
      <c r="Y98" s="113" t="str">
        <f t="shared" si="187"/>
        <v>x</v>
      </c>
      <c r="Z98" s="113" t="str">
        <f t="shared" si="187"/>
        <v>x</v>
      </c>
    </row>
    <row r="99" spans="4:26" customFormat="1" x14ac:dyDescent="0.15">
      <c r="D99" s="113" t="str">
        <f t="shared" ref="D99:Z99" si="188">IF(BatSplit(D41,RunsScored)&gt;=50,BatSplit(D41,RunsScored)&amp;IF(BatSplit(D41,NotOuts)=1,"*","")&amp;"|"&amp;$C41&amp;"|"&amp;D$2&amp;"|"&amp;TEXT(D$1,"dd-mmm"),"x")</f>
        <v>x</v>
      </c>
      <c r="E99" s="113" t="str">
        <f t="shared" si="188"/>
        <v>x</v>
      </c>
      <c r="F99" s="113" t="str">
        <f t="shared" si="188"/>
        <v>53|Springer T|South Bank|20-May</v>
      </c>
      <c r="G99" s="113" t="str">
        <f t="shared" si="188"/>
        <v>x</v>
      </c>
      <c r="H99" s="113" t="str">
        <f t="shared" si="188"/>
        <v>x</v>
      </c>
      <c r="I99" s="113" t="str">
        <f t="shared" si="188"/>
        <v>x</v>
      </c>
      <c r="J99" s="113" t="str">
        <f t="shared" si="188"/>
        <v>x</v>
      </c>
      <c r="K99" s="113" t="str">
        <f t="shared" si="188"/>
        <v>x</v>
      </c>
      <c r="L99" s="113" t="str">
        <f t="shared" si="188"/>
        <v>x</v>
      </c>
      <c r="M99" s="113" t="str">
        <f t="shared" si="188"/>
        <v>x</v>
      </c>
      <c r="N99" s="113" t="str">
        <f t="shared" si="188"/>
        <v>x</v>
      </c>
      <c r="O99" s="113" t="str">
        <f t="shared" si="188"/>
        <v>99|Springer T|Morden|15-Jul</v>
      </c>
      <c r="P99" s="113" t="str">
        <f t="shared" si="188"/>
        <v>x</v>
      </c>
      <c r="Q99" s="113" t="str">
        <f t="shared" si="188"/>
        <v>x</v>
      </c>
      <c r="R99" s="113" t="str">
        <f t="shared" si="188"/>
        <v>x</v>
      </c>
      <c r="S99" s="113" t="str">
        <f t="shared" si="188"/>
        <v>56|Springer T|Richmond Legbreakers|09-Sep</v>
      </c>
      <c r="T99" s="113" t="str">
        <f t="shared" si="188"/>
        <v>x</v>
      </c>
      <c r="U99" s="113" t="str">
        <f t="shared" si="188"/>
        <v>x</v>
      </c>
      <c r="V99" s="113" t="str">
        <f t="shared" si="188"/>
        <v>x</v>
      </c>
      <c r="W99" s="113" t="str">
        <f t="shared" si="188"/>
        <v>x</v>
      </c>
      <c r="X99" s="113" t="str">
        <f t="shared" si="188"/>
        <v>x</v>
      </c>
      <c r="Y99" s="113" t="str">
        <f t="shared" si="188"/>
        <v>x</v>
      </c>
      <c r="Z99" s="113" t="str">
        <f t="shared" si="188"/>
        <v>x</v>
      </c>
    </row>
    <row r="100" spans="4:26" customFormat="1" x14ac:dyDescent="0.15">
      <c r="D100" s="113" t="str">
        <f t="shared" ref="D100:Z100" si="189">IF(BatSplit(D42,RunsScored)&gt;=50,BatSplit(D42,RunsScored)&amp;IF(BatSplit(D42,NotOuts)=1,"*","")&amp;"|"&amp;$C42&amp;"|"&amp;D$2&amp;"|"&amp;TEXT(D$1,"dd-mmm"),"x")</f>
        <v>x</v>
      </c>
      <c r="E100" s="113" t="str">
        <f t="shared" si="189"/>
        <v>x</v>
      </c>
      <c r="F100" s="113" t="str">
        <f t="shared" si="189"/>
        <v>x</v>
      </c>
      <c r="G100" s="113" t="str">
        <f t="shared" si="189"/>
        <v>x</v>
      </c>
      <c r="H100" s="113" t="str">
        <f t="shared" si="189"/>
        <v>x</v>
      </c>
      <c r="I100" s="113" t="str">
        <f t="shared" si="189"/>
        <v>x</v>
      </c>
      <c r="J100" s="113" t="str">
        <f t="shared" si="189"/>
        <v>x</v>
      </c>
      <c r="K100" s="113" t="str">
        <f t="shared" si="189"/>
        <v>x</v>
      </c>
      <c r="L100" s="113" t="str">
        <f t="shared" si="189"/>
        <v>x</v>
      </c>
      <c r="M100" s="113" t="str">
        <f t="shared" si="189"/>
        <v>x</v>
      </c>
      <c r="N100" s="113" t="str">
        <f t="shared" si="189"/>
        <v>x</v>
      </c>
      <c r="O100" s="113" t="str">
        <f t="shared" si="189"/>
        <v>x</v>
      </c>
      <c r="P100" s="113" t="str">
        <f t="shared" si="189"/>
        <v>x</v>
      </c>
      <c r="Q100" s="113" t="str">
        <f t="shared" si="189"/>
        <v>x</v>
      </c>
      <c r="R100" s="113" t="str">
        <f t="shared" si="189"/>
        <v>x</v>
      </c>
      <c r="S100" s="113" t="str">
        <f t="shared" si="189"/>
        <v>x</v>
      </c>
      <c r="T100" s="113" t="str">
        <f t="shared" si="189"/>
        <v>x</v>
      </c>
      <c r="U100" s="113" t="str">
        <f t="shared" si="189"/>
        <v>x</v>
      </c>
      <c r="V100" s="113" t="str">
        <f t="shared" si="189"/>
        <v>x</v>
      </c>
      <c r="W100" s="113" t="str">
        <f t="shared" si="189"/>
        <v>x</v>
      </c>
      <c r="X100" s="113" t="str">
        <f t="shared" si="189"/>
        <v>x</v>
      </c>
      <c r="Y100" s="113" t="str">
        <f t="shared" si="189"/>
        <v>x</v>
      </c>
      <c r="Z100" s="113" t="str">
        <f t="shared" si="189"/>
        <v>x</v>
      </c>
    </row>
    <row r="101" spans="4:26" customFormat="1" x14ac:dyDescent="0.15">
      <c r="D101" s="113" t="str">
        <f t="shared" ref="D101:Z101" si="190">IF(BatSplit(D43,RunsScored)&gt;=50,BatSplit(D43,RunsScored)&amp;IF(BatSplit(D43,NotOuts)=1,"*","")&amp;"|"&amp;$C43&amp;"|"&amp;D$2&amp;"|"&amp;TEXT(D$1,"dd-mmm"),"x")</f>
        <v>x</v>
      </c>
      <c r="E101" s="113" t="str">
        <f t="shared" si="190"/>
        <v>x</v>
      </c>
      <c r="F101" s="113" t="str">
        <f t="shared" si="190"/>
        <v>x</v>
      </c>
      <c r="G101" s="113" t="str">
        <f t="shared" si="190"/>
        <v>x</v>
      </c>
      <c r="H101" s="113" t="str">
        <f t="shared" si="190"/>
        <v>x</v>
      </c>
      <c r="I101" s="113" t="str">
        <f t="shared" si="190"/>
        <v>x</v>
      </c>
      <c r="J101" s="113" t="str">
        <f t="shared" si="190"/>
        <v>x</v>
      </c>
      <c r="K101" s="113" t="str">
        <f t="shared" si="190"/>
        <v>x</v>
      </c>
      <c r="L101" s="113" t="str">
        <f t="shared" si="190"/>
        <v>x</v>
      </c>
      <c r="M101" s="113" t="str">
        <f t="shared" si="190"/>
        <v>x</v>
      </c>
      <c r="N101" s="113" t="str">
        <f t="shared" si="190"/>
        <v>x</v>
      </c>
      <c r="O101" s="113" t="str">
        <f t="shared" si="190"/>
        <v>x</v>
      </c>
      <c r="P101" s="113" t="str">
        <f t="shared" si="190"/>
        <v>x</v>
      </c>
      <c r="Q101" s="113" t="str">
        <f t="shared" si="190"/>
        <v>x</v>
      </c>
      <c r="R101" s="113" t="str">
        <f t="shared" si="190"/>
        <v>x</v>
      </c>
      <c r="S101" s="113" t="str">
        <f t="shared" si="190"/>
        <v>x</v>
      </c>
      <c r="T101" s="113" t="str">
        <f t="shared" si="190"/>
        <v>x</v>
      </c>
      <c r="U101" s="113" t="str">
        <f t="shared" si="190"/>
        <v>x</v>
      </c>
      <c r="V101" s="113" t="str">
        <f t="shared" si="190"/>
        <v>x</v>
      </c>
      <c r="W101" s="113" t="str">
        <f t="shared" si="190"/>
        <v>x</v>
      </c>
      <c r="X101" s="113" t="str">
        <f t="shared" si="190"/>
        <v>x</v>
      </c>
      <c r="Y101" s="113" t="str">
        <f t="shared" si="190"/>
        <v>x</v>
      </c>
      <c r="Z101" s="113" t="str">
        <f t="shared" si="190"/>
        <v>x</v>
      </c>
    </row>
    <row r="102" spans="4:26" customFormat="1" x14ac:dyDescent="0.15">
      <c r="D102" s="113" t="str">
        <f t="shared" ref="D102:Z102" si="191">IF(BatSplit(D44,RunsScored)&gt;=50,BatSplit(D44,RunsScored)&amp;IF(BatSplit(D44,NotOuts)=1,"*","")&amp;"|"&amp;$C44&amp;"|"&amp;D$2&amp;"|"&amp;TEXT(D$1,"dd-mmm"),"x")</f>
        <v>x</v>
      </c>
      <c r="E102" s="113" t="str">
        <f t="shared" si="191"/>
        <v>x</v>
      </c>
      <c r="F102" s="113" t="str">
        <f t="shared" si="191"/>
        <v>x</v>
      </c>
      <c r="G102" s="113" t="str">
        <f t="shared" si="191"/>
        <v>x</v>
      </c>
      <c r="H102" s="113" t="str">
        <f t="shared" si="191"/>
        <v>x</v>
      </c>
      <c r="I102" s="113" t="str">
        <f t="shared" si="191"/>
        <v>x</v>
      </c>
      <c r="J102" s="113" t="str">
        <f t="shared" si="191"/>
        <v>x</v>
      </c>
      <c r="K102" s="113" t="str">
        <f t="shared" si="191"/>
        <v>x</v>
      </c>
      <c r="L102" s="113" t="str">
        <f t="shared" si="191"/>
        <v>x</v>
      </c>
      <c r="M102" s="113" t="str">
        <f t="shared" si="191"/>
        <v>x</v>
      </c>
      <c r="N102" s="113" t="str">
        <f t="shared" si="191"/>
        <v>x</v>
      </c>
      <c r="O102" s="113" t="str">
        <f t="shared" si="191"/>
        <v>x</v>
      </c>
      <c r="P102" s="113" t="str">
        <f t="shared" si="191"/>
        <v>x</v>
      </c>
      <c r="Q102" s="113" t="str">
        <f t="shared" si="191"/>
        <v>x</v>
      </c>
      <c r="R102" s="113" t="str">
        <f t="shared" si="191"/>
        <v>x</v>
      </c>
      <c r="S102" s="113" t="str">
        <f t="shared" si="191"/>
        <v>x</v>
      </c>
      <c r="T102" s="113" t="str">
        <f t="shared" si="191"/>
        <v>x</v>
      </c>
      <c r="U102" s="113" t="str">
        <f t="shared" si="191"/>
        <v>x</v>
      </c>
      <c r="V102" s="113" t="str">
        <f t="shared" si="191"/>
        <v>x</v>
      </c>
      <c r="W102" s="113" t="str">
        <f t="shared" si="191"/>
        <v>x</v>
      </c>
      <c r="X102" s="113" t="str">
        <f t="shared" si="191"/>
        <v>x</v>
      </c>
      <c r="Y102" s="113" t="str">
        <f t="shared" si="191"/>
        <v>x</v>
      </c>
      <c r="Z102" s="113" t="str">
        <f t="shared" si="191"/>
        <v>x</v>
      </c>
    </row>
    <row r="103" spans="4:26" customFormat="1" x14ac:dyDescent="0.15">
      <c r="D103" s="113" t="str">
        <f t="shared" ref="D103:Z104" si="192">IF(BatSplit(D45,RunsScored)&gt;=50,BatSplit(D45,RunsScored)&amp;IF(BatSplit(D45,NotOuts)=1,"*","")&amp;"|"&amp;$C45&amp;"|"&amp;D$2&amp;"|"&amp;TEXT(D$1,"dd-mmm"),"x")</f>
        <v>x</v>
      </c>
      <c r="E103" s="113" t="str">
        <f t="shared" si="192"/>
        <v>x</v>
      </c>
      <c r="F103" s="113" t="str">
        <f t="shared" si="192"/>
        <v>x</v>
      </c>
      <c r="G103" s="113" t="str">
        <f t="shared" si="192"/>
        <v>x</v>
      </c>
      <c r="H103" s="113" t="str">
        <f t="shared" si="192"/>
        <v>x</v>
      </c>
      <c r="I103" s="113" t="str">
        <f t="shared" si="192"/>
        <v>x</v>
      </c>
      <c r="J103" s="113" t="str">
        <f t="shared" si="192"/>
        <v>x</v>
      </c>
      <c r="K103" s="113" t="str">
        <f t="shared" si="192"/>
        <v>x</v>
      </c>
      <c r="L103" s="113" t="str">
        <f t="shared" si="192"/>
        <v>x</v>
      </c>
      <c r="M103" s="113" t="str">
        <f t="shared" si="192"/>
        <v>x</v>
      </c>
      <c r="N103" s="113" t="str">
        <f t="shared" si="192"/>
        <v>x</v>
      </c>
      <c r="O103" s="113" t="str">
        <f t="shared" si="192"/>
        <v>x</v>
      </c>
      <c r="P103" s="113" t="str">
        <f t="shared" si="192"/>
        <v>x</v>
      </c>
      <c r="Q103" s="113" t="str">
        <f t="shared" si="192"/>
        <v>x</v>
      </c>
      <c r="R103" s="113" t="str">
        <f t="shared" si="192"/>
        <v>x</v>
      </c>
      <c r="S103" s="113" t="str">
        <f t="shared" si="192"/>
        <v>x</v>
      </c>
      <c r="T103" s="113" t="str">
        <f t="shared" si="192"/>
        <v>x</v>
      </c>
      <c r="U103" s="113" t="str">
        <f t="shared" si="192"/>
        <v>x</v>
      </c>
      <c r="V103" s="113" t="str">
        <f t="shared" si="192"/>
        <v>x</v>
      </c>
      <c r="W103" s="113" t="str">
        <f t="shared" si="192"/>
        <v>x</v>
      </c>
      <c r="X103" s="113" t="str">
        <f t="shared" si="192"/>
        <v>x</v>
      </c>
      <c r="Y103" s="113" t="str">
        <f t="shared" si="192"/>
        <v>x</v>
      </c>
      <c r="Z103" s="113" t="str">
        <f t="shared" si="192"/>
        <v>x</v>
      </c>
    </row>
    <row r="104" spans="4:26" customFormat="1" x14ac:dyDescent="0.15">
      <c r="D104" s="113" t="str">
        <f t="shared" si="192"/>
        <v>x</v>
      </c>
      <c r="E104" s="113" t="str">
        <f t="shared" si="192"/>
        <v>x</v>
      </c>
      <c r="F104" s="113" t="str">
        <f t="shared" si="192"/>
        <v>x</v>
      </c>
      <c r="G104" s="113" t="str">
        <f t="shared" si="192"/>
        <v>x</v>
      </c>
      <c r="H104" s="113" t="str">
        <f t="shared" si="192"/>
        <v>x</v>
      </c>
      <c r="I104" s="113" t="str">
        <f t="shared" si="192"/>
        <v>x</v>
      </c>
      <c r="J104" s="113" t="str">
        <f t="shared" si="192"/>
        <v>x</v>
      </c>
      <c r="K104" s="113" t="str">
        <f t="shared" si="192"/>
        <v>x</v>
      </c>
      <c r="L104" s="113" t="str">
        <f t="shared" si="192"/>
        <v>x</v>
      </c>
      <c r="M104" s="113" t="str">
        <f t="shared" si="192"/>
        <v>x</v>
      </c>
      <c r="N104" s="113" t="str">
        <f t="shared" si="192"/>
        <v>x</v>
      </c>
      <c r="O104" s="113" t="str">
        <f t="shared" si="192"/>
        <v>x</v>
      </c>
      <c r="P104" s="113" t="str">
        <f t="shared" si="192"/>
        <v>x</v>
      </c>
      <c r="Q104" s="113" t="str">
        <f t="shared" si="192"/>
        <v>x</v>
      </c>
      <c r="R104" s="113" t="str">
        <f t="shared" si="192"/>
        <v>x</v>
      </c>
      <c r="S104" s="113" t="str">
        <f t="shared" si="192"/>
        <v>x</v>
      </c>
      <c r="T104" s="113" t="str">
        <f t="shared" si="192"/>
        <v>x</v>
      </c>
      <c r="U104" s="113" t="str">
        <f t="shared" si="192"/>
        <v>x</v>
      </c>
      <c r="V104" s="113" t="str">
        <f t="shared" si="192"/>
        <v>x</v>
      </c>
      <c r="W104" s="113" t="str">
        <f t="shared" si="192"/>
        <v>x</v>
      </c>
      <c r="X104" s="113" t="str">
        <f t="shared" si="192"/>
        <v>x</v>
      </c>
      <c r="Y104" s="113" t="str">
        <f t="shared" si="192"/>
        <v>x</v>
      </c>
      <c r="Z104" s="113" t="str">
        <f t="shared" si="192"/>
        <v>x</v>
      </c>
    </row>
    <row r="105" spans="4:26" customFormat="1" x14ac:dyDescent="0.15"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</row>
    <row r="106" spans="4:26" customFormat="1" x14ac:dyDescent="0.15"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</row>
    <row r="107" spans="4:26" customFormat="1" x14ac:dyDescent="0.15"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</row>
    <row r="108" spans="4:26" customFormat="1" x14ac:dyDescent="0.15"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</row>
    <row r="109" spans="4:26" customFormat="1" x14ac:dyDescent="0.15"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</row>
    <row r="110" spans="4:26" customFormat="1" x14ac:dyDescent="0.15"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</row>
    <row r="111" spans="4:26" customFormat="1" x14ac:dyDescent="0.15"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</row>
    <row r="112" spans="4:26" customFormat="1" x14ac:dyDescent="0.15"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</row>
    <row r="113" spans="4:26" customFormat="1" x14ac:dyDescent="0.15"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</row>
    <row r="114" spans="4:26" customFormat="1" x14ac:dyDescent="0.15"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</row>
    <row r="115" spans="4:26" customFormat="1" x14ac:dyDescent="0.15"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</row>
    <row r="116" spans="4:26" customFormat="1" x14ac:dyDescent="0.15"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</row>
    <row r="117" spans="4:26" customFormat="1" x14ac:dyDescent="0.15"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  <c r="T117" s="113"/>
      <c r="U117" s="113"/>
      <c r="V117" s="113"/>
      <c r="W117" s="113"/>
      <c r="X117" s="113"/>
      <c r="Y117" s="113"/>
      <c r="Z117" s="113"/>
    </row>
    <row r="118" spans="4:26" customFormat="1" x14ac:dyDescent="0.15"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3"/>
      <c r="V118" s="113"/>
      <c r="W118" s="113"/>
      <c r="X118" s="113"/>
      <c r="Y118" s="113"/>
      <c r="Z118" s="113"/>
    </row>
    <row r="119" spans="4:26" customFormat="1" x14ac:dyDescent="0.15"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  <c r="T119" s="113"/>
      <c r="U119" s="113"/>
      <c r="V119" s="113"/>
      <c r="W119" s="113"/>
      <c r="X119" s="113"/>
      <c r="Y119" s="113"/>
      <c r="Z119" s="113"/>
    </row>
    <row r="120" spans="4:26" customFormat="1" x14ac:dyDescent="0.15"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</row>
    <row r="121" spans="4:26" customFormat="1" x14ac:dyDescent="0.15"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  <c r="T121" s="113"/>
      <c r="U121" s="113"/>
      <c r="V121" s="113"/>
      <c r="W121" s="113"/>
      <c r="X121" s="113"/>
      <c r="Y121" s="113"/>
      <c r="Z121" s="113"/>
    </row>
    <row r="122" spans="4:26" customFormat="1" x14ac:dyDescent="0.15"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  <c r="T122" s="113"/>
      <c r="U122" s="113"/>
      <c r="V122" s="113"/>
      <c r="W122" s="113"/>
      <c r="X122" s="113"/>
      <c r="Y122" s="113"/>
      <c r="Z122" s="113"/>
    </row>
    <row r="123" spans="4:26" customFormat="1" x14ac:dyDescent="0.15"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</row>
    <row r="124" spans="4:26" customFormat="1" x14ac:dyDescent="0.15"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</row>
    <row r="125" spans="4:26" customFormat="1" x14ac:dyDescent="0.15"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</row>
    <row r="126" spans="4:26" customFormat="1" x14ac:dyDescent="0.15"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</row>
    <row r="127" spans="4:26" customFormat="1" x14ac:dyDescent="0.15"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</row>
    <row r="128" spans="4:26" customFormat="1" x14ac:dyDescent="0.15"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</row>
    <row r="129" spans="4:26" customFormat="1" x14ac:dyDescent="0.15"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</row>
    <row r="130" spans="4:26" customFormat="1" x14ac:dyDescent="0.15"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</row>
    <row r="131" spans="4:26" customFormat="1" x14ac:dyDescent="0.15"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</row>
    <row r="132" spans="4:26" customFormat="1" x14ac:dyDescent="0.15"/>
    <row r="133" spans="4:26" customFormat="1" x14ac:dyDescent="0.15"/>
    <row r="134" spans="4:26" customFormat="1" x14ac:dyDescent="0.15"/>
    <row r="135" spans="4:26" customFormat="1" x14ac:dyDescent="0.15"/>
    <row r="136" spans="4:26" customFormat="1" x14ac:dyDescent="0.15"/>
    <row r="137" spans="4:26" customFormat="1" x14ac:dyDescent="0.15"/>
    <row r="138" spans="4:26" customFormat="1" x14ac:dyDescent="0.15"/>
    <row r="139" spans="4:26" customFormat="1" x14ac:dyDescent="0.15"/>
    <row r="140" spans="4:26" customFormat="1" x14ac:dyDescent="0.15"/>
    <row r="141" spans="4:26" customFormat="1" x14ac:dyDescent="0.15"/>
    <row r="142" spans="4:26" customFormat="1" x14ac:dyDescent="0.15"/>
    <row r="143" spans="4:26" customFormat="1" x14ac:dyDescent="0.15"/>
    <row r="144" spans="4:26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</sheetData>
  <sortState ref="CY52:CZ86">
    <sortCondition descending="1" ref="CY52:CY86"/>
    <sortCondition ref="CZ52:CZ86"/>
  </sortState>
  <phoneticPr fontId="0" type="noConversion"/>
  <conditionalFormatting sqref="CF58:CF61 CD62:CD67">
    <cfRule type="cellIs" dxfId="4" priority="2" stopIfTrue="1" operator="greaterThanOrEqual">
      <formula>75</formula>
    </cfRule>
  </conditionalFormatting>
  <conditionalFormatting sqref="A6:XFD46">
    <cfRule type="expression" dxfId="3" priority="1">
      <formula>MOD(ROW(),2)=0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B79"/>
  <sheetViews>
    <sheetView topLeftCell="O3" workbookViewId="0">
      <selection activeCell="X42" sqref="X42:X50"/>
    </sheetView>
  </sheetViews>
  <sheetFormatPr defaultRowHeight="10.5" x14ac:dyDescent="0.15"/>
  <cols>
    <col min="10" max="10" width="4.28515625" customWidth="1"/>
    <col min="11" max="11" width="16.42578125" customWidth="1"/>
    <col min="12" max="12" width="4.28515625" customWidth="1"/>
    <col min="13" max="13" width="16.42578125" customWidth="1"/>
    <col min="14" max="14" width="4.28515625" customWidth="1"/>
    <col min="15" max="15" width="16.42578125" customWidth="1"/>
  </cols>
  <sheetData>
    <row r="3" spans="1:2" x14ac:dyDescent="0.15">
      <c r="A3" t="s">
        <v>198</v>
      </c>
      <c r="B3" t="s">
        <v>198</v>
      </c>
    </row>
    <row r="4" spans="1:2" x14ac:dyDescent="0.15">
      <c r="A4" t="s">
        <v>198</v>
      </c>
      <c r="B4" t="s">
        <v>198</v>
      </c>
    </row>
    <row r="5" spans="1:2" x14ac:dyDescent="0.15">
      <c r="A5" t="s">
        <v>198</v>
      </c>
      <c r="B5" t="s">
        <v>198</v>
      </c>
    </row>
    <row r="6" spans="1:2" x14ac:dyDescent="0.15">
      <c r="A6" t="s">
        <v>198</v>
      </c>
      <c r="B6" t="s">
        <v>198</v>
      </c>
    </row>
    <row r="7" spans="1:2" x14ac:dyDescent="0.15">
      <c r="A7" t="s">
        <v>198</v>
      </c>
      <c r="B7" t="s">
        <v>198</v>
      </c>
    </row>
    <row r="8" spans="1:2" x14ac:dyDescent="0.15">
      <c r="A8" t="s">
        <v>198</v>
      </c>
      <c r="B8" t="s">
        <v>198</v>
      </c>
    </row>
    <row r="9" spans="1:2" x14ac:dyDescent="0.15">
      <c r="A9" t="s">
        <v>198</v>
      </c>
      <c r="B9" t="s">
        <v>198</v>
      </c>
    </row>
    <row r="10" spans="1:2" x14ac:dyDescent="0.15">
      <c r="A10" t="s">
        <v>198</v>
      </c>
      <c r="B10" t="s">
        <v>198</v>
      </c>
    </row>
    <row r="11" spans="1:2" x14ac:dyDescent="0.15">
      <c r="A11" t="s">
        <v>198</v>
      </c>
      <c r="B11" t="s">
        <v>198</v>
      </c>
    </row>
    <row r="12" spans="1:2" x14ac:dyDescent="0.15">
      <c r="A12" t="s">
        <v>198</v>
      </c>
      <c r="B12" t="s">
        <v>198</v>
      </c>
    </row>
    <row r="13" spans="1:2" x14ac:dyDescent="0.15">
      <c r="A13" t="s">
        <v>198</v>
      </c>
      <c r="B13" t="s">
        <v>198</v>
      </c>
    </row>
    <row r="14" spans="1:2" x14ac:dyDescent="0.15">
      <c r="A14" t="s">
        <v>198</v>
      </c>
      <c r="B14" t="s">
        <v>198</v>
      </c>
    </row>
    <row r="15" spans="1:2" x14ac:dyDescent="0.15">
      <c r="A15" t="s">
        <v>198</v>
      </c>
      <c r="B15" t="s">
        <v>198</v>
      </c>
    </row>
    <row r="16" spans="1:2" x14ac:dyDescent="0.15">
      <c r="A16" t="s">
        <v>198</v>
      </c>
      <c r="B16" t="s">
        <v>198</v>
      </c>
    </row>
    <row r="17" spans="1:28" x14ac:dyDescent="0.15">
      <c r="A17" t="s">
        <v>198</v>
      </c>
      <c r="B17" t="s">
        <v>198</v>
      </c>
    </row>
    <row r="18" spans="1:28" x14ac:dyDescent="0.15">
      <c r="A18" t="s">
        <v>198</v>
      </c>
      <c r="B18" t="s">
        <v>198</v>
      </c>
    </row>
    <row r="19" spans="1:28" x14ac:dyDescent="0.15">
      <c r="A19" t="s">
        <v>198</v>
      </c>
      <c r="B19" t="s">
        <v>198</v>
      </c>
    </row>
    <row r="20" spans="1:28" x14ac:dyDescent="0.15">
      <c r="A20" t="s">
        <v>198</v>
      </c>
      <c r="B20" t="s">
        <v>198</v>
      </c>
    </row>
    <row r="21" spans="1:28" x14ac:dyDescent="0.15">
      <c r="A21" t="s">
        <v>198</v>
      </c>
      <c r="B21" t="s">
        <v>198</v>
      </c>
      <c r="U21">
        <v>9</v>
      </c>
      <c r="V21" t="s">
        <v>138</v>
      </c>
      <c r="W21">
        <v>3</v>
      </c>
      <c r="X21" t="s">
        <v>207</v>
      </c>
      <c r="Y21">
        <v>3</v>
      </c>
      <c r="Z21" t="s">
        <v>273</v>
      </c>
      <c r="AA21">
        <v>1</v>
      </c>
      <c r="AB21" t="s">
        <v>374</v>
      </c>
    </row>
    <row r="22" spans="1:28" ht="12.75" x14ac:dyDescent="0.15">
      <c r="A22" t="s">
        <v>642</v>
      </c>
      <c r="B22" t="s">
        <v>232</v>
      </c>
      <c r="C22" t="s">
        <v>638</v>
      </c>
      <c r="D22" t="s">
        <v>234</v>
      </c>
      <c r="E22" t="s">
        <v>640</v>
      </c>
      <c r="F22" t="s">
        <v>294</v>
      </c>
      <c r="J22" s="99">
        <v>89</v>
      </c>
      <c r="K22" s="99" t="s">
        <v>232</v>
      </c>
      <c r="L22" s="99">
        <v>7</v>
      </c>
      <c r="M22" s="99" t="s">
        <v>245</v>
      </c>
      <c r="N22" s="99">
        <v>3</v>
      </c>
      <c r="O22" s="99" t="s">
        <v>193</v>
      </c>
      <c r="U22">
        <v>9</v>
      </c>
      <c r="V22" t="s">
        <v>232</v>
      </c>
      <c r="W22">
        <v>3</v>
      </c>
      <c r="X22" t="s">
        <v>276</v>
      </c>
      <c r="Y22">
        <v>2</v>
      </c>
      <c r="Z22" t="s">
        <v>294</v>
      </c>
      <c r="AA22">
        <v>1</v>
      </c>
      <c r="AB22" t="s">
        <v>576</v>
      </c>
    </row>
    <row r="23" spans="1:28" ht="12.75" x14ac:dyDescent="0.15">
      <c r="A23" t="s">
        <v>636</v>
      </c>
      <c r="B23" t="s">
        <v>249</v>
      </c>
      <c r="C23" t="s">
        <v>638</v>
      </c>
      <c r="D23" t="s">
        <v>374</v>
      </c>
      <c r="E23" t="s">
        <v>637</v>
      </c>
      <c r="F23" t="s">
        <v>306</v>
      </c>
      <c r="J23" s="99">
        <v>84</v>
      </c>
      <c r="K23" s="99" t="s">
        <v>138</v>
      </c>
      <c r="L23" s="99">
        <v>7</v>
      </c>
      <c r="M23" s="99" t="s">
        <v>576</v>
      </c>
      <c r="N23" s="99">
        <v>2</v>
      </c>
      <c r="O23" s="99" t="s">
        <v>524</v>
      </c>
      <c r="U23">
        <v>3</v>
      </c>
      <c r="V23" t="s">
        <v>249</v>
      </c>
      <c r="W23">
        <v>3</v>
      </c>
      <c r="X23" t="s">
        <v>200</v>
      </c>
      <c r="Y23">
        <v>2</v>
      </c>
      <c r="Z23" t="s">
        <v>252</v>
      </c>
    </row>
    <row r="24" spans="1:28" ht="12.75" x14ac:dyDescent="0.15">
      <c r="A24" t="s">
        <v>636</v>
      </c>
      <c r="B24" t="s">
        <v>246</v>
      </c>
      <c r="C24" t="s">
        <v>638</v>
      </c>
      <c r="D24" t="s">
        <v>377</v>
      </c>
      <c r="E24" t="s">
        <v>637</v>
      </c>
      <c r="F24" t="s">
        <v>524</v>
      </c>
      <c r="J24" s="99">
        <v>40</v>
      </c>
      <c r="K24" s="99" t="s">
        <v>200</v>
      </c>
      <c r="L24" s="99">
        <v>6</v>
      </c>
      <c r="M24" s="99" t="s">
        <v>237</v>
      </c>
      <c r="N24" s="99">
        <v>2</v>
      </c>
      <c r="O24" s="99" t="s">
        <v>212</v>
      </c>
    </row>
    <row r="25" spans="1:28" ht="12.75" x14ac:dyDescent="0.15">
      <c r="A25" t="s">
        <v>639</v>
      </c>
      <c r="B25" t="s">
        <v>210</v>
      </c>
      <c r="C25" t="s">
        <v>638</v>
      </c>
      <c r="D25" t="s">
        <v>273</v>
      </c>
      <c r="E25" t="s">
        <v>637</v>
      </c>
      <c r="F25" t="s">
        <v>312</v>
      </c>
      <c r="J25" s="99">
        <v>30</v>
      </c>
      <c r="K25" s="99" t="s">
        <v>276</v>
      </c>
      <c r="L25" s="99">
        <v>5</v>
      </c>
      <c r="M25" s="99" t="s">
        <v>281</v>
      </c>
      <c r="N25" s="99">
        <v>2</v>
      </c>
      <c r="O25" s="99" t="s">
        <v>309</v>
      </c>
    </row>
    <row r="26" spans="1:28" ht="12.75" x14ac:dyDescent="0.15">
      <c r="A26" t="s">
        <v>639</v>
      </c>
      <c r="B26" t="s">
        <v>207</v>
      </c>
      <c r="C26" t="s">
        <v>637</v>
      </c>
      <c r="D26" t="s">
        <v>137</v>
      </c>
      <c r="E26" t="s">
        <v>637</v>
      </c>
      <c r="F26" t="s">
        <v>138</v>
      </c>
      <c r="J26" s="99">
        <v>26</v>
      </c>
      <c r="K26" s="99" t="s">
        <v>207</v>
      </c>
      <c r="L26" s="99">
        <v>5</v>
      </c>
      <c r="M26" s="99" t="s">
        <v>235</v>
      </c>
      <c r="N26" s="99">
        <v>1</v>
      </c>
      <c r="O26" s="99" t="s">
        <v>423</v>
      </c>
    </row>
    <row r="27" spans="1:28" ht="12.75" x14ac:dyDescent="0.15">
      <c r="A27" t="s">
        <v>641</v>
      </c>
      <c r="B27" t="s">
        <v>276</v>
      </c>
      <c r="C27" t="s">
        <v>637</v>
      </c>
      <c r="D27" t="s">
        <v>281</v>
      </c>
      <c r="E27" t="s">
        <v>637</v>
      </c>
      <c r="F27" t="s">
        <v>193</v>
      </c>
      <c r="J27" s="99">
        <v>23</v>
      </c>
      <c r="K27" s="99" t="s">
        <v>249</v>
      </c>
      <c r="L27" s="99">
        <v>4</v>
      </c>
      <c r="M27" s="99" t="s">
        <v>210</v>
      </c>
      <c r="N27" s="99">
        <v>1</v>
      </c>
      <c r="O27" s="99" t="s">
        <v>165</v>
      </c>
    </row>
    <row r="28" spans="1:28" ht="12.75" x14ac:dyDescent="0.15">
      <c r="A28" t="s">
        <v>639</v>
      </c>
      <c r="B28" t="s">
        <v>200</v>
      </c>
      <c r="C28" t="s">
        <v>637</v>
      </c>
      <c r="D28" t="s">
        <v>235</v>
      </c>
      <c r="E28" t="s">
        <v>637</v>
      </c>
      <c r="F28" t="s">
        <v>252</v>
      </c>
      <c r="J28" s="99">
        <v>18</v>
      </c>
      <c r="K28" s="99" t="s">
        <v>294</v>
      </c>
      <c r="L28" s="99">
        <v>4</v>
      </c>
      <c r="M28" s="99" t="s">
        <v>374</v>
      </c>
      <c r="N28" s="99">
        <v>1</v>
      </c>
      <c r="O28" s="99" t="s">
        <v>377</v>
      </c>
    </row>
    <row r="29" spans="1:28" ht="12.75" x14ac:dyDescent="0.15">
      <c r="J29" s="99">
        <v>16</v>
      </c>
      <c r="K29" s="99" t="s">
        <v>273</v>
      </c>
      <c r="L29" s="99">
        <v>4</v>
      </c>
      <c r="M29" s="99" t="s">
        <v>224</v>
      </c>
      <c r="N29" s="99">
        <v>1</v>
      </c>
      <c r="O29" s="99" t="s">
        <v>312</v>
      </c>
    </row>
    <row r="30" spans="1:28" ht="12.75" x14ac:dyDescent="0.15">
      <c r="J30" s="99">
        <v>14</v>
      </c>
      <c r="K30" s="99" t="s">
        <v>252</v>
      </c>
      <c r="L30" s="99"/>
      <c r="M30" s="99"/>
      <c r="N30" s="99"/>
      <c r="O30" s="99"/>
    </row>
    <row r="32" spans="1:28" x14ac:dyDescent="0.15">
      <c r="V32" t="s">
        <v>198</v>
      </c>
    </row>
    <row r="33" spans="3:24" x14ac:dyDescent="0.15">
      <c r="V33" t="s">
        <v>198</v>
      </c>
    </row>
    <row r="34" spans="3:24" x14ac:dyDescent="0.15">
      <c r="V34" t="s">
        <v>198</v>
      </c>
    </row>
    <row r="35" spans="3:24" x14ac:dyDescent="0.15">
      <c r="V35" t="s">
        <v>198</v>
      </c>
    </row>
    <row r="36" spans="3:24" x14ac:dyDescent="0.15">
      <c r="V36" t="s">
        <v>198</v>
      </c>
    </row>
    <row r="37" spans="3:24" x14ac:dyDescent="0.15">
      <c r="V37" t="s">
        <v>198</v>
      </c>
    </row>
    <row r="38" spans="3:24" x14ac:dyDescent="0.15">
      <c r="V38" t="s">
        <v>198</v>
      </c>
      <c r="W38" t="s">
        <v>246</v>
      </c>
      <c r="X38">
        <v>4</v>
      </c>
    </row>
    <row r="39" spans="3:24" x14ac:dyDescent="0.15">
      <c r="V39" t="s">
        <v>198</v>
      </c>
      <c r="W39" t="s">
        <v>306</v>
      </c>
      <c r="X39">
        <v>2</v>
      </c>
    </row>
    <row r="40" spans="3:24" x14ac:dyDescent="0.15">
      <c r="C40">
        <v>17</v>
      </c>
      <c r="D40" t="s">
        <v>200</v>
      </c>
      <c r="E40">
        <v>6</v>
      </c>
      <c r="F40" t="s">
        <v>309</v>
      </c>
      <c r="G40">
        <v>2</v>
      </c>
      <c r="H40" t="s">
        <v>312</v>
      </c>
      <c r="V40" t="s">
        <v>198</v>
      </c>
      <c r="W40" t="s">
        <v>273</v>
      </c>
      <c r="X40">
        <v>2</v>
      </c>
    </row>
    <row r="41" spans="3:24" x14ac:dyDescent="0.15">
      <c r="C41">
        <v>17</v>
      </c>
      <c r="D41" t="s">
        <v>232</v>
      </c>
      <c r="E41">
        <v>5</v>
      </c>
      <c r="F41" t="s">
        <v>137</v>
      </c>
      <c r="G41">
        <v>1</v>
      </c>
      <c r="H41" t="s">
        <v>508</v>
      </c>
      <c r="V41" t="s">
        <v>198</v>
      </c>
      <c r="W41" t="s">
        <v>193</v>
      </c>
      <c r="X41">
        <v>2</v>
      </c>
    </row>
    <row r="42" spans="3:24" x14ac:dyDescent="0.15">
      <c r="C42">
        <v>15</v>
      </c>
      <c r="D42" t="s">
        <v>207</v>
      </c>
      <c r="E42">
        <v>4</v>
      </c>
      <c r="F42" t="s">
        <v>235</v>
      </c>
      <c r="G42">
        <v>1</v>
      </c>
      <c r="H42" t="s">
        <v>526</v>
      </c>
      <c r="V42" t="s">
        <v>198</v>
      </c>
      <c r="W42" t="s">
        <v>137</v>
      </c>
      <c r="X42">
        <v>1</v>
      </c>
    </row>
    <row r="43" spans="3:24" x14ac:dyDescent="0.15">
      <c r="C43">
        <v>14</v>
      </c>
      <c r="D43" t="s">
        <v>249</v>
      </c>
      <c r="E43">
        <v>4</v>
      </c>
      <c r="F43" t="s">
        <v>294</v>
      </c>
      <c r="G43">
        <v>1</v>
      </c>
      <c r="H43" t="s">
        <v>234</v>
      </c>
      <c r="V43" t="s">
        <v>198</v>
      </c>
      <c r="W43" t="s">
        <v>234</v>
      </c>
      <c r="X43">
        <v>1</v>
      </c>
    </row>
    <row r="44" spans="3:24" x14ac:dyDescent="0.15">
      <c r="C44">
        <v>12</v>
      </c>
      <c r="D44" t="s">
        <v>246</v>
      </c>
      <c r="E44">
        <v>3</v>
      </c>
      <c r="F44" t="s">
        <v>237</v>
      </c>
      <c r="G44">
        <v>1</v>
      </c>
      <c r="H44" t="s">
        <v>548</v>
      </c>
      <c r="V44" t="s">
        <v>198</v>
      </c>
      <c r="W44" t="s">
        <v>210</v>
      </c>
      <c r="X44">
        <v>1</v>
      </c>
    </row>
    <row r="45" spans="3:24" x14ac:dyDescent="0.15">
      <c r="C45">
        <v>10</v>
      </c>
      <c r="D45" t="s">
        <v>138</v>
      </c>
      <c r="E45">
        <v>3</v>
      </c>
      <c r="F45" t="s">
        <v>212</v>
      </c>
      <c r="G45">
        <v>1</v>
      </c>
      <c r="H45" t="s">
        <v>435</v>
      </c>
      <c r="V45" t="s">
        <v>198</v>
      </c>
      <c r="W45" t="s">
        <v>165</v>
      </c>
      <c r="X45">
        <v>1</v>
      </c>
    </row>
    <row r="46" spans="3:24" x14ac:dyDescent="0.15">
      <c r="C46">
        <v>9</v>
      </c>
      <c r="D46" t="s">
        <v>210</v>
      </c>
      <c r="E46">
        <v>2</v>
      </c>
      <c r="F46" t="s">
        <v>281</v>
      </c>
      <c r="G46">
        <v>1</v>
      </c>
      <c r="H46" t="s">
        <v>358</v>
      </c>
      <c r="V46" t="s">
        <v>198</v>
      </c>
      <c r="W46" t="s">
        <v>207</v>
      </c>
      <c r="X46">
        <v>1</v>
      </c>
    </row>
    <row r="47" spans="3:24" x14ac:dyDescent="0.15">
      <c r="C47">
        <v>9</v>
      </c>
      <c r="D47" t="s">
        <v>276</v>
      </c>
      <c r="E47">
        <v>2</v>
      </c>
      <c r="F47" t="s">
        <v>374</v>
      </c>
      <c r="G47">
        <v>1</v>
      </c>
      <c r="H47" t="s">
        <v>282</v>
      </c>
      <c r="V47" t="s">
        <v>198</v>
      </c>
      <c r="W47" t="s">
        <v>377</v>
      </c>
      <c r="X47">
        <v>1</v>
      </c>
    </row>
    <row r="48" spans="3:24" x14ac:dyDescent="0.15">
      <c r="C48">
        <v>8</v>
      </c>
      <c r="D48" t="s">
        <v>193</v>
      </c>
      <c r="E48">
        <v>2</v>
      </c>
      <c r="F48" t="s">
        <v>306</v>
      </c>
      <c r="G48">
        <v>1</v>
      </c>
      <c r="H48" t="s">
        <v>369</v>
      </c>
      <c r="P48" t="s">
        <v>205</v>
      </c>
      <c r="Q48" t="s">
        <v>294</v>
      </c>
      <c r="V48" t="s">
        <v>198</v>
      </c>
      <c r="W48" t="s">
        <v>312</v>
      </c>
      <c r="X48">
        <v>1</v>
      </c>
    </row>
    <row r="49" spans="3:24" x14ac:dyDescent="0.15">
      <c r="C49">
        <v>7</v>
      </c>
      <c r="D49" t="s">
        <v>252</v>
      </c>
      <c r="E49">
        <v>2</v>
      </c>
      <c r="F49" t="s">
        <v>165</v>
      </c>
      <c r="G49">
        <v>1</v>
      </c>
      <c r="H49" t="s">
        <v>576</v>
      </c>
      <c r="P49" t="s">
        <v>206</v>
      </c>
      <c r="Q49" t="s">
        <v>138</v>
      </c>
      <c r="V49" t="s">
        <v>198</v>
      </c>
      <c r="W49" t="s">
        <v>200</v>
      </c>
      <c r="X49">
        <v>1</v>
      </c>
    </row>
    <row r="50" spans="3:24" x14ac:dyDescent="0.15">
      <c r="C50">
        <v>6</v>
      </c>
      <c r="D50" t="s">
        <v>245</v>
      </c>
      <c r="E50">
        <v>2</v>
      </c>
      <c r="F50" t="s">
        <v>524</v>
      </c>
      <c r="G50">
        <v>1</v>
      </c>
      <c r="H50" t="s">
        <v>247</v>
      </c>
      <c r="P50" t="s">
        <v>205</v>
      </c>
      <c r="Q50" t="s">
        <v>232</v>
      </c>
      <c r="V50" t="s">
        <v>198</v>
      </c>
      <c r="W50" t="s">
        <v>309</v>
      </c>
      <c r="X50">
        <v>1</v>
      </c>
    </row>
    <row r="51" spans="3:24" x14ac:dyDescent="0.15">
      <c r="C51">
        <v>6</v>
      </c>
      <c r="D51" t="s">
        <v>224</v>
      </c>
      <c r="E51">
        <v>2</v>
      </c>
      <c r="F51" t="s">
        <v>377</v>
      </c>
      <c r="G51">
        <v>1</v>
      </c>
      <c r="H51" t="s">
        <v>423</v>
      </c>
      <c r="P51" t="s">
        <v>205</v>
      </c>
      <c r="Q51" t="s">
        <v>232</v>
      </c>
      <c r="V51" t="s">
        <v>198</v>
      </c>
      <c r="W51" t="s">
        <v>508</v>
      </c>
      <c r="X51">
        <v>0</v>
      </c>
    </row>
    <row r="52" spans="3:24" x14ac:dyDescent="0.15">
      <c r="C52">
        <v>6</v>
      </c>
      <c r="D52" t="s">
        <v>273</v>
      </c>
      <c r="P52" t="s">
        <v>205</v>
      </c>
      <c r="Q52" t="s">
        <v>232</v>
      </c>
      <c r="V52" t="s">
        <v>198</v>
      </c>
      <c r="W52" t="s">
        <v>526</v>
      </c>
      <c r="X52">
        <v>0</v>
      </c>
    </row>
    <row r="53" spans="3:24" x14ac:dyDescent="0.15">
      <c r="P53" t="s">
        <v>205</v>
      </c>
      <c r="Q53" t="s">
        <v>232</v>
      </c>
      <c r="V53" t="s">
        <v>198</v>
      </c>
      <c r="W53" t="s">
        <v>249</v>
      </c>
      <c r="X53">
        <v>0</v>
      </c>
    </row>
    <row r="54" spans="3:24" x14ac:dyDescent="0.15">
      <c r="P54" t="s">
        <v>205</v>
      </c>
      <c r="Q54" t="s">
        <v>232</v>
      </c>
      <c r="V54" t="s">
        <v>198</v>
      </c>
      <c r="W54" t="s">
        <v>260</v>
      </c>
      <c r="X54">
        <v>0</v>
      </c>
    </row>
    <row r="55" spans="3:24" x14ac:dyDescent="0.15">
      <c r="P55" t="s">
        <v>205</v>
      </c>
      <c r="Q55" t="s">
        <v>232</v>
      </c>
      <c r="V55" t="s">
        <v>198</v>
      </c>
      <c r="W55" t="s">
        <v>237</v>
      </c>
      <c r="X55">
        <v>0</v>
      </c>
    </row>
    <row r="56" spans="3:24" x14ac:dyDescent="0.15">
      <c r="P56" t="s">
        <v>462</v>
      </c>
      <c r="Q56" t="s">
        <v>232</v>
      </c>
      <c r="V56" t="s">
        <v>198</v>
      </c>
      <c r="W56" t="s">
        <v>281</v>
      </c>
      <c r="X56">
        <v>0</v>
      </c>
    </row>
    <row r="57" spans="3:24" x14ac:dyDescent="0.15">
      <c r="P57" t="s">
        <v>206</v>
      </c>
      <c r="Q57" t="s">
        <v>232</v>
      </c>
      <c r="V57" t="s">
        <v>198</v>
      </c>
      <c r="W57" t="s">
        <v>548</v>
      </c>
      <c r="X57">
        <v>0</v>
      </c>
    </row>
    <row r="58" spans="3:24" x14ac:dyDescent="0.15">
      <c r="P58" t="s">
        <v>206</v>
      </c>
      <c r="Q58" t="s">
        <v>232</v>
      </c>
      <c r="V58" t="s">
        <v>198</v>
      </c>
      <c r="W58" t="s">
        <v>235</v>
      </c>
      <c r="X58">
        <v>0</v>
      </c>
    </row>
    <row r="59" spans="3:24" x14ac:dyDescent="0.15">
      <c r="P59" t="s">
        <v>206</v>
      </c>
      <c r="Q59" t="s">
        <v>232</v>
      </c>
      <c r="V59" t="s">
        <v>198</v>
      </c>
      <c r="W59" t="s">
        <v>164</v>
      </c>
      <c r="X59">
        <v>0</v>
      </c>
    </row>
    <row r="60" spans="3:24" x14ac:dyDescent="0.15">
      <c r="P60" t="s">
        <v>206</v>
      </c>
      <c r="Q60" t="s">
        <v>232</v>
      </c>
      <c r="W60" t="s">
        <v>374</v>
      </c>
      <c r="X60">
        <v>0</v>
      </c>
    </row>
    <row r="61" spans="3:24" x14ac:dyDescent="0.15">
      <c r="P61" t="s">
        <v>206</v>
      </c>
      <c r="Q61" t="s">
        <v>232</v>
      </c>
      <c r="W61" t="s">
        <v>245</v>
      </c>
      <c r="X61">
        <v>0</v>
      </c>
    </row>
    <row r="62" spans="3:24" x14ac:dyDescent="0.15">
      <c r="P62" t="s">
        <v>206</v>
      </c>
      <c r="Q62" t="s">
        <v>232</v>
      </c>
      <c r="W62" t="s">
        <v>294</v>
      </c>
      <c r="X62">
        <v>0</v>
      </c>
    </row>
    <row r="63" spans="3:24" x14ac:dyDescent="0.15">
      <c r="P63" t="s">
        <v>206</v>
      </c>
      <c r="Q63" t="s">
        <v>232</v>
      </c>
      <c r="W63" t="s">
        <v>435</v>
      </c>
      <c r="X63">
        <v>0</v>
      </c>
    </row>
    <row r="64" spans="3:24" x14ac:dyDescent="0.15">
      <c r="P64" t="s">
        <v>206</v>
      </c>
      <c r="Q64" t="s">
        <v>232</v>
      </c>
      <c r="W64" t="s">
        <v>358</v>
      </c>
      <c r="X64">
        <v>0</v>
      </c>
    </row>
    <row r="65" spans="23:24" x14ac:dyDescent="0.15">
      <c r="W65" t="s">
        <v>191</v>
      </c>
      <c r="X65">
        <v>0</v>
      </c>
    </row>
    <row r="66" spans="23:24" x14ac:dyDescent="0.15">
      <c r="W66" t="s">
        <v>282</v>
      </c>
      <c r="X66">
        <v>0</v>
      </c>
    </row>
    <row r="67" spans="23:24" x14ac:dyDescent="0.15">
      <c r="W67" t="s">
        <v>369</v>
      </c>
      <c r="X67">
        <v>0</v>
      </c>
    </row>
    <row r="68" spans="23:24" x14ac:dyDescent="0.15">
      <c r="W68" t="s">
        <v>524</v>
      </c>
      <c r="X68">
        <v>0</v>
      </c>
    </row>
    <row r="69" spans="23:24" x14ac:dyDescent="0.15">
      <c r="W69" t="s">
        <v>224</v>
      </c>
      <c r="X69">
        <v>0</v>
      </c>
    </row>
    <row r="70" spans="23:24" x14ac:dyDescent="0.15">
      <c r="W70" t="s">
        <v>212</v>
      </c>
      <c r="X70">
        <v>0</v>
      </c>
    </row>
    <row r="71" spans="23:24" x14ac:dyDescent="0.15">
      <c r="W71" t="s">
        <v>276</v>
      </c>
      <c r="X71">
        <v>0</v>
      </c>
    </row>
    <row r="72" spans="23:24" x14ac:dyDescent="0.15">
      <c r="W72" t="s">
        <v>576</v>
      </c>
      <c r="X72">
        <v>0</v>
      </c>
    </row>
    <row r="73" spans="23:24" x14ac:dyDescent="0.15">
      <c r="W73" t="s">
        <v>247</v>
      </c>
      <c r="X73">
        <v>0</v>
      </c>
    </row>
    <row r="74" spans="23:24" x14ac:dyDescent="0.15">
      <c r="W74" t="s">
        <v>243</v>
      </c>
      <c r="X74">
        <v>0</v>
      </c>
    </row>
    <row r="75" spans="23:24" x14ac:dyDescent="0.15">
      <c r="W75" t="s">
        <v>423</v>
      </c>
      <c r="X75">
        <v>0</v>
      </c>
    </row>
    <row r="76" spans="23:24" x14ac:dyDescent="0.15">
      <c r="W76" t="s">
        <v>138</v>
      </c>
      <c r="X76">
        <v>0</v>
      </c>
    </row>
    <row r="77" spans="23:24" x14ac:dyDescent="0.15">
      <c r="W77" t="s">
        <v>232</v>
      </c>
      <c r="X77">
        <v>0</v>
      </c>
    </row>
    <row r="78" spans="23:24" x14ac:dyDescent="0.15">
      <c r="W78" t="s">
        <v>291</v>
      </c>
      <c r="X78">
        <v>0</v>
      </c>
    </row>
    <row r="79" spans="23:24" x14ac:dyDescent="0.15">
      <c r="W79" t="s">
        <v>252</v>
      </c>
      <c r="X79">
        <v>0</v>
      </c>
    </row>
  </sheetData>
  <sortState ref="W38:X79">
    <sortCondition descending="1" ref="X38:X79"/>
    <sortCondition ref="W38:W79"/>
  </sortState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A84"/>
  <sheetViews>
    <sheetView workbookViewId="0">
      <pane xSplit="2" ySplit="4" topLeftCell="Z5" activePane="bottomRight" state="frozen"/>
      <selection pane="topRight" activeCell="C1" sqref="C1"/>
      <selection pane="bottomLeft" activeCell="A5" sqref="A5"/>
      <selection pane="bottomRight" activeCell="CQ21" sqref="CQ21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2.42578125" style="2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customWidth="1"/>
    <col min="26" max="26" width="12.7109375" style="2" customWidth="1"/>
    <col min="27" max="27" width="11.7109375" style="2" customWidth="1"/>
    <col min="28" max="28" width="13.42578125" style="2" customWidth="1"/>
    <col min="29" max="29" width="11.7109375" style="2" customWidth="1"/>
    <col min="30" max="30" width="12.7109375" style="2" hidden="1" customWidth="1"/>
    <col min="31" max="45" width="2.140625" style="2" hidden="1" customWidth="1"/>
    <col min="46" max="57" width="2.85546875" style="2" hidden="1" customWidth="1"/>
    <col min="58" max="80" width="2.42578125" style="2" hidden="1" customWidth="1"/>
    <col min="81" max="81" width="2.42578125" style="2" customWidth="1"/>
    <col min="82" max="82" width="9.140625" style="2"/>
    <col min="83" max="83" width="5.5703125" style="51" bestFit="1" customWidth="1"/>
    <col min="84" max="84" width="5" style="51" bestFit="1" customWidth="1"/>
    <col min="85" max="85" width="5.85546875" style="188" bestFit="1" customWidth="1"/>
    <col min="86" max="86" width="7" style="188" bestFit="1" customWidth="1"/>
    <col min="87" max="88" width="5" style="188" bestFit="1" customWidth="1"/>
    <col min="89" max="89" width="7.28515625" style="52" bestFit="1" customWidth="1"/>
    <col min="90" max="90" width="7" style="51" customWidth="1"/>
    <col min="91" max="91" width="5.5703125" style="51" bestFit="1" customWidth="1"/>
    <col min="92" max="92" width="4.7109375" style="46" bestFit="1" customWidth="1"/>
    <col min="93" max="93" width="8.5703125" style="2" bestFit="1" customWidth="1"/>
    <col min="94" max="94" width="5.140625" style="2" bestFit="1" customWidth="1"/>
    <col min="95" max="16384" width="9.140625" style="2"/>
  </cols>
  <sheetData>
    <row r="1" spans="2:96" s="3" customFormat="1" ht="50.25" customHeight="1" x14ac:dyDescent="0.15">
      <c r="B1" s="3" t="str">
        <f t="array" ref="B1:CC4">TRANSPOSE(Matches!B4:E82)</f>
        <v>Date</v>
      </c>
      <c r="C1" s="4">
        <v>43226</v>
      </c>
      <c r="D1" s="4">
        <v>43233</v>
      </c>
      <c r="E1" s="4">
        <v>43240</v>
      </c>
      <c r="F1" s="4">
        <v>43246</v>
      </c>
      <c r="G1" s="4">
        <v>43247</v>
      </c>
      <c r="H1" s="4">
        <v>43248</v>
      </c>
      <c r="I1" s="4">
        <v>43261</v>
      </c>
      <c r="J1" s="4">
        <v>43268</v>
      </c>
      <c r="K1" s="4">
        <v>43275</v>
      </c>
      <c r="L1" s="4">
        <v>43282</v>
      </c>
      <c r="M1" s="4">
        <v>43288</v>
      </c>
      <c r="N1" s="4">
        <v>43296</v>
      </c>
      <c r="O1" s="4">
        <v>43303</v>
      </c>
      <c r="P1" s="4">
        <v>43324</v>
      </c>
      <c r="Q1" s="4">
        <v>43345</v>
      </c>
      <c r="R1" s="4">
        <v>43352</v>
      </c>
      <c r="S1" s="4">
        <v>43359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48"/>
      <c r="CF1" s="48"/>
      <c r="CG1" s="187"/>
      <c r="CH1" s="187"/>
      <c r="CI1" s="187"/>
      <c r="CJ1" s="187"/>
      <c r="CK1" s="49"/>
      <c r="CL1" s="50"/>
      <c r="CM1" s="50"/>
      <c r="CN1" s="45"/>
    </row>
    <row r="2" spans="2:96" ht="87.75" customHeight="1" x14ac:dyDescent="0.15">
      <c r="B2" s="2" t="str">
        <v>Opp</v>
      </c>
      <c r="C2" s="1" t="str">
        <v>Woodgreen</v>
      </c>
      <c r="D2" s="1" t="str">
        <v>SW United</v>
      </c>
      <c r="E2" s="1" t="str">
        <v>South Bank</v>
      </c>
      <c r="F2" s="1" t="str">
        <v>Font Hill Park</v>
      </c>
      <c r="G2" s="1" t="str">
        <v>Woodgreen</v>
      </c>
      <c r="H2" s="1" t="str">
        <v>Steeple Langford</v>
      </c>
      <c r="I2" s="1" t="str">
        <v>Norwood Exiles</v>
      </c>
      <c r="J2" s="1" t="str">
        <v>Spencer</v>
      </c>
      <c r="K2" s="1" t="str">
        <v>Woldingham Village</v>
      </c>
      <c r="L2" s="1" t="str">
        <v>Monty</v>
      </c>
      <c r="M2" s="1" t="str">
        <v>Beddington</v>
      </c>
      <c r="N2" s="1" t="str">
        <v>Morden</v>
      </c>
      <c r="O2" s="1" t="str">
        <v>LESSA Wanderers</v>
      </c>
      <c r="P2" s="1" t="str">
        <v>LESSA Wanderers</v>
      </c>
      <c r="Q2" s="1" t="str">
        <v>HSBC</v>
      </c>
      <c r="R2" s="1" t="str">
        <v>Richmond Legbreakers</v>
      </c>
      <c r="S2" s="1" t="str">
        <v>Catford Cyphers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2:96" ht="11.25" customHeight="1" x14ac:dyDescent="0.15">
      <c r="B3" s="2" t="str">
        <v>Venue</v>
      </c>
      <c r="C3" s="1" t="str">
        <v>H</v>
      </c>
      <c r="D3" s="1" t="str">
        <v>H</v>
      </c>
      <c r="E3" s="1" t="str">
        <v>H</v>
      </c>
      <c r="F3" s="1" t="str">
        <v>A</v>
      </c>
      <c r="G3" s="1" t="str">
        <v>A</v>
      </c>
      <c r="H3" s="1" t="str">
        <v>A</v>
      </c>
      <c r="I3" s="1" t="str">
        <v>A</v>
      </c>
      <c r="J3" s="1" t="str">
        <v>A</v>
      </c>
      <c r="K3" s="1" t="str">
        <v>H</v>
      </c>
      <c r="L3" s="1" t="str">
        <v>A</v>
      </c>
      <c r="M3" s="1" t="str">
        <v>H</v>
      </c>
      <c r="N3" s="1" t="str">
        <v>A</v>
      </c>
      <c r="O3" s="1" t="str">
        <v>H</v>
      </c>
      <c r="P3" s="1" t="str">
        <v>A</v>
      </c>
      <c r="Q3" s="1" t="str">
        <v>A</v>
      </c>
      <c r="R3" s="1" t="str">
        <v>H</v>
      </c>
      <c r="S3" s="1" t="str">
        <v>A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</row>
    <row r="4" spans="2:96" ht="11.25" customHeight="1" x14ac:dyDescent="0.15">
      <c r="B4" s="2" t="str">
        <v>Result</v>
      </c>
      <c r="C4" s="1" t="str">
        <v>L</v>
      </c>
      <c r="D4" s="1" t="str">
        <v>W</v>
      </c>
      <c r="E4" s="1" t="str">
        <v>L</v>
      </c>
      <c r="F4" s="1" t="str">
        <v>L</v>
      </c>
      <c r="G4" s="1" t="str">
        <v>L</v>
      </c>
      <c r="H4" s="1" t="str">
        <v>W</v>
      </c>
      <c r="I4" s="1" t="str">
        <v>W</v>
      </c>
      <c r="J4" s="1" t="str">
        <v>L</v>
      </c>
      <c r="K4" s="1" t="str">
        <v>W</v>
      </c>
      <c r="L4" s="1" t="str">
        <v>L</v>
      </c>
      <c r="M4" s="1" t="str">
        <v>W</v>
      </c>
      <c r="N4" s="1" t="str">
        <v>W</v>
      </c>
      <c r="O4" s="1" t="str">
        <v>W</v>
      </c>
      <c r="P4" s="1" t="str">
        <v>W</v>
      </c>
      <c r="Q4" s="1" t="str">
        <v>L</v>
      </c>
      <c r="R4" s="1" t="str">
        <v>T</v>
      </c>
      <c r="S4" s="1" t="str">
        <v>W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7" t="s">
        <v>7</v>
      </c>
      <c r="CF4" s="47" t="s">
        <v>29</v>
      </c>
      <c r="CG4" s="189" t="s">
        <v>30</v>
      </c>
      <c r="CH4" s="189" t="s">
        <v>31</v>
      </c>
      <c r="CI4" s="189" t="s">
        <v>9</v>
      </c>
      <c r="CJ4" s="189" t="s">
        <v>32</v>
      </c>
      <c r="CK4" s="44" t="s">
        <v>33</v>
      </c>
      <c r="CL4" s="47" t="s">
        <v>34</v>
      </c>
      <c r="CM4" s="47" t="s">
        <v>35</v>
      </c>
      <c r="CN4" s="46" t="s">
        <v>90</v>
      </c>
      <c r="CO4" s="71" t="s">
        <v>134</v>
      </c>
      <c r="CP4" s="2" t="s">
        <v>129</v>
      </c>
      <c r="CQ4" s="2" t="s">
        <v>189</v>
      </c>
      <c r="CR4" s="2" t="s">
        <v>230</v>
      </c>
    </row>
    <row r="5" spans="2:96" ht="11.25" customHeight="1" x14ac:dyDescent="0.15">
      <c r="B5" s="2" t="s">
        <v>528</v>
      </c>
      <c r="N5" s="2" t="s">
        <v>529</v>
      </c>
      <c r="CE5" s="51">
        <f t="shared" ref="CE5" si="0">BowlSplit(C5:BC5,InnsBowledIn)</f>
        <v>1</v>
      </c>
      <c r="CF5" s="51">
        <f t="shared" ref="CF5" si="1">BowlSplit(C5:CC5,BallsBowled)</f>
        <v>36</v>
      </c>
      <c r="CG5" s="190">
        <f t="shared" ref="CG5" si="2">BowlSplit(C5:CC5,OversBowled)</f>
        <v>6</v>
      </c>
      <c r="CH5" s="188">
        <f t="shared" ref="CH5" si="3">BowlSplit(C5:CC5,Maidens)</f>
        <v>1</v>
      </c>
      <c r="CI5" s="188">
        <f t="shared" ref="CI5" si="4">BowlSplit(C5:CC5,RunsConceded)</f>
        <v>28</v>
      </c>
      <c r="CJ5" s="188">
        <f t="shared" ref="CJ5" si="5">BowlSplit(C5:CC5,WicketsTaken)</f>
        <v>1</v>
      </c>
      <c r="CK5" s="53">
        <f t="shared" ref="CK5" si="6">IF(CJ5&gt;0,ROUND(CI5/CJ5,2),"")</f>
        <v>28</v>
      </c>
      <c r="CL5" s="54">
        <f t="shared" ref="CL5" si="7">IF(CJ5&gt;0,CF5/CJ5,"")</f>
        <v>36</v>
      </c>
      <c r="CM5" s="54">
        <f t="shared" ref="CM5" si="8">IF(CF5&gt;0,6*CI5/CF5,"")</f>
        <v>4.666666666666667</v>
      </c>
      <c r="CN5" s="46" t="str">
        <f t="shared" ref="CN5" si="9">BowlSplit(C5:CC5,BestBowling)</f>
        <v>1-28</v>
      </c>
      <c r="CO5" s="55">
        <f t="shared" ref="CO5:CO37" si="10">IF(CJ5&gt;0,CK5,IF(CF5&gt;0,CF5+1000,99999))+ROW(CG5)/10000</f>
        <v>28.000499999999999</v>
      </c>
      <c r="CP5" s="2">
        <f t="shared" ref="CP5:CP37" si="11">RANK(CO5,$CO$5:$CO$37,1)</f>
        <v>12</v>
      </c>
      <c r="CQ5" s="102" t="str">
        <f t="shared" ref="CQ5:CQ37" si="12">IF(CF5&gt;=120,CH5/CF5*6,"")</f>
        <v/>
      </c>
      <c r="CR5" s="2">
        <f t="shared" ref="CR5:CR37" si="13">BowlSplit(C5:CC5,FiveFors)</f>
        <v>0</v>
      </c>
    </row>
    <row r="6" spans="2:96" ht="11.25" customHeight="1" x14ac:dyDescent="0.15">
      <c r="B6" s="2" t="s">
        <v>249</v>
      </c>
      <c r="D6" s="2" t="s">
        <v>344</v>
      </c>
      <c r="G6" s="2" t="s">
        <v>398</v>
      </c>
      <c r="H6" s="2" t="s">
        <v>413</v>
      </c>
      <c r="I6" s="2" t="s">
        <v>438</v>
      </c>
      <c r="J6" s="2" t="s">
        <v>453</v>
      </c>
      <c r="K6" s="2" t="s">
        <v>475</v>
      </c>
      <c r="L6" s="2" t="s">
        <v>493</v>
      </c>
      <c r="M6" s="2" t="s">
        <v>510</v>
      </c>
      <c r="N6" s="2" t="s">
        <v>533</v>
      </c>
      <c r="O6" s="2" t="s">
        <v>567</v>
      </c>
      <c r="P6" s="2" t="s">
        <v>552</v>
      </c>
      <c r="Q6" s="2" t="s">
        <v>564</v>
      </c>
      <c r="R6" s="2" t="s">
        <v>582</v>
      </c>
      <c r="S6" s="2" t="s">
        <v>599</v>
      </c>
      <c r="CE6" s="51">
        <f t="shared" ref="CE6:CE37" si="14">BowlSplit(C6:BC6,InnsBowledIn)</f>
        <v>14</v>
      </c>
      <c r="CF6" s="51">
        <f t="shared" ref="CF6:CF37" si="15">BowlSplit(C6:CC6,BallsBowled)</f>
        <v>564</v>
      </c>
      <c r="CG6" s="190">
        <f t="shared" ref="CG6:CG37" si="16">BowlSplit(C6:CC6,OversBowled)</f>
        <v>94</v>
      </c>
      <c r="CH6" s="188">
        <f t="shared" ref="CH6:CH37" si="17">BowlSplit(C6:CC6,Maidens)</f>
        <v>15</v>
      </c>
      <c r="CI6" s="188">
        <f t="shared" ref="CI6:CI37" si="18">BowlSplit(C6:CC6,RunsConceded)</f>
        <v>304</v>
      </c>
      <c r="CJ6" s="188">
        <f t="shared" ref="CJ6:CJ37" si="19">BowlSplit(C6:CC6,WicketsTaken)</f>
        <v>23</v>
      </c>
      <c r="CK6" s="53">
        <f t="shared" ref="CK6:CK37" si="20">IF(CJ6&gt;0,ROUND(CI6/CJ6,2),"")</f>
        <v>13.22</v>
      </c>
      <c r="CL6" s="54">
        <f t="shared" ref="CL6:CL37" si="21">IF(CJ6&gt;0,CF6/CJ6,"")</f>
        <v>24.521739130434781</v>
      </c>
      <c r="CM6" s="54">
        <f t="shared" ref="CM6:CM37" si="22">IF(CF6&gt;0,6*CI6/CF6,"")</f>
        <v>3.2340425531914891</v>
      </c>
      <c r="CN6" s="46" t="str">
        <f t="shared" ref="CN6:CN37" si="23">BowlSplit(C6:CC6,BestBowling)</f>
        <v>5-29</v>
      </c>
      <c r="CO6" s="55">
        <f t="shared" si="10"/>
        <v>13.220600000000001</v>
      </c>
      <c r="CP6" s="2">
        <f t="shared" si="11"/>
        <v>3</v>
      </c>
      <c r="CQ6" s="102">
        <f t="shared" si="12"/>
        <v>0.15957446808510639</v>
      </c>
      <c r="CR6" s="2">
        <f t="shared" si="13"/>
        <v>1</v>
      </c>
    </row>
    <row r="7" spans="2:96" ht="11.25" customHeight="1" x14ac:dyDescent="0.15">
      <c r="B7" s="2" t="s">
        <v>137</v>
      </c>
      <c r="H7" s="2" t="s">
        <v>417</v>
      </c>
      <c r="Q7" s="2" t="s">
        <v>565</v>
      </c>
      <c r="R7" s="2" t="s">
        <v>587</v>
      </c>
      <c r="CE7" s="51">
        <f t="shared" si="14"/>
        <v>3</v>
      </c>
      <c r="CF7" s="51">
        <f t="shared" si="15"/>
        <v>58</v>
      </c>
      <c r="CG7" s="190">
        <f t="shared" si="16"/>
        <v>9.4</v>
      </c>
      <c r="CH7" s="188">
        <f t="shared" si="17"/>
        <v>0</v>
      </c>
      <c r="CI7" s="188">
        <f t="shared" si="18"/>
        <v>68</v>
      </c>
      <c r="CJ7" s="188">
        <f t="shared" si="19"/>
        <v>1</v>
      </c>
      <c r="CK7" s="53">
        <f t="shared" si="20"/>
        <v>68</v>
      </c>
      <c r="CL7" s="54">
        <f t="shared" si="21"/>
        <v>58</v>
      </c>
      <c r="CM7" s="54">
        <f t="shared" si="22"/>
        <v>7.0344827586206895</v>
      </c>
      <c r="CN7" s="46" t="str">
        <f t="shared" si="23"/>
        <v>1-15</v>
      </c>
      <c r="CO7" s="55">
        <f t="shared" si="10"/>
        <v>68.000699999999995</v>
      </c>
      <c r="CP7" s="2">
        <f t="shared" si="11"/>
        <v>18</v>
      </c>
      <c r="CQ7" s="102" t="str">
        <f t="shared" si="12"/>
        <v/>
      </c>
      <c r="CR7" s="2">
        <f t="shared" si="13"/>
        <v>0</v>
      </c>
    </row>
    <row r="8" spans="2:96" ht="11.25" hidden="1" customHeight="1" x14ac:dyDescent="0.15">
      <c r="B8" s="2" t="s">
        <v>234</v>
      </c>
      <c r="CE8" s="51">
        <f t="shared" si="14"/>
        <v>0</v>
      </c>
      <c r="CF8" s="51">
        <f t="shared" si="15"/>
        <v>0</v>
      </c>
      <c r="CG8" s="190">
        <f t="shared" si="16"/>
        <v>0</v>
      </c>
      <c r="CH8" s="188">
        <f t="shared" si="17"/>
        <v>0</v>
      </c>
      <c r="CI8" s="188">
        <f t="shared" si="18"/>
        <v>0</v>
      </c>
      <c r="CJ8" s="188">
        <f t="shared" si="19"/>
        <v>0</v>
      </c>
      <c r="CK8" s="53" t="str">
        <f t="shared" si="20"/>
        <v/>
      </c>
      <c r="CL8" s="54" t="str">
        <f t="shared" si="21"/>
        <v/>
      </c>
      <c r="CM8" s="54" t="str">
        <f t="shared" si="22"/>
        <v/>
      </c>
      <c r="CN8" s="46" t="str">
        <f t="shared" si="23"/>
        <v/>
      </c>
      <c r="CO8" s="55">
        <f t="shared" si="10"/>
        <v>99999.000799999994</v>
      </c>
      <c r="CP8" s="2">
        <f t="shared" si="11"/>
        <v>26</v>
      </c>
      <c r="CQ8" s="102" t="str">
        <f t="shared" si="12"/>
        <v/>
      </c>
      <c r="CR8" s="2">
        <f t="shared" si="13"/>
        <v>0</v>
      </c>
    </row>
    <row r="9" spans="2:96" ht="11.25" customHeight="1" x14ac:dyDescent="0.15">
      <c r="B9" s="2" t="s">
        <v>281</v>
      </c>
      <c r="G9" s="2" t="s">
        <v>397</v>
      </c>
      <c r="J9" s="2" t="s">
        <v>455</v>
      </c>
      <c r="CE9" s="51">
        <f t="shared" si="14"/>
        <v>2</v>
      </c>
      <c r="CF9" s="51">
        <f t="shared" si="15"/>
        <v>40</v>
      </c>
      <c r="CG9" s="190">
        <f t="shared" si="16"/>
        <v>6.4</v>
      </c>
      <c r="CH9" s="188">
        <f t="shared" si="17"/>
        <v>0</v>
      </c>
      <c r="CI9" s="188">
        <f t="shared" si="18"/>
        <v>53</v>
      </c>
      <c r="CJ9" s="188">
        <f t="shared" si="19"/>
        <v>0</v>
      </c>
      <c r="CK9" s="53" t="str">
        <f t="shared" si="20"/>
        <v/>
      </c>
      <c r="CL9" s="54" t="str">
        <f t="shared" si="21"/>
        <v/>
      </c>
      <c r="CM9" s="54">
        <f t="shared" si="22"/>
        <v>7.95</v>
      </c>
      <c r="CN9" s="46" t="str">
        <f t="shared" si="23"/>
        <v>0-21</v>
      </c>
      <c r="CO9" s="55">
        <f t="shared" si="10"/>
        <v>1040.0009</v>
      </c>
      <c r="CP9" s="2">
        <f t="shared" si="11"/>
        <v>24</v>
      </c>
      <c r="CQ9" s="102" t="str">
        <f t="shared" si="12"/>
        <v/>
      </c>
      <c r="CR9" s="2">
        <f t="shared" si="13"/>
        <v>0</v>
      </c>
    </row>
    <row r="10" spans="2:96" ht="11.25" customHeight="1" x14ac:dyDescent="0.15">
      <c r="B10" s="2" t="s">
        <v>210</v>
      </c>
      <c r="C10" s="2" t="s">
        <v>324</v>
      </c>
      <c r="D10" s="119" t="s">
        <v>342</v>
      </c>
      <c r="I10" s="2" t="s">
        <v>437</v>
      </c>
      <c r="L10" s="2" t="s">
        <v>492</v>
      </c>
      <c r="M10" s="55" t="s">
        <v>511</v>
      </c>
      <c r="O10" s="2" t="s">
        <v>570</v>
      </c>
      <c r="P10" s="2" t="s">
        <v>554</v>
      </c>
      <c r="R10" s="2" t="s">
        <v>583</v>
      </c>
      <c r="S10" s="2" t="s">
        <v>601</v>
      </c>
      <c r="CE10" s="51">
        <f t="shared" si="14"/>
        <v>9</v>
      </c>
      <c r="CF10" s="51">
        <f t="shared" si="15"/>
        <v>284</v>
      </c>
      <c r="CG10" s="190">
        <f t="shared" si="16"/>
        <v>47.2</v>
      </c>
      <c r="CH10" s="188">
        <f t="shared" si="17"/>
        <v>3</v>
      </c>
      <c r="CI10" s="188">
        <f t="shared" si="18"/>
        <v>213</v>
      </c>
      <c r="CJ10" s="188">
        <f t="shared" si="19"/>
        <v>18</v>
      </c>
      <c r="CK10" s="53">
        <f t="shared" si="20"/>
        <v>11.83</v>
      </c>
      <c r="CL10" s="54">
        <f t="shared" si="21"/>
        <v>15.777777777777779</v>
      </c>
      <c r="CM10" s="54">
        <f t="shared" si="22"/>
        <v>4.5</v>
      </c>
      <c r="CN10" s="46" t="str">
        <f t="shared" si="23"/>
        <v>4-29</v>
      </c>
      <c r="CO10" s="55">
        <f t="shared" si="10"/>
        <v>11.831</v>
      </c>
      <c r="CP10" s="2">
        <f t="shared" si="11"/>
        <v>2</v>
      </c>
      <c r="CQ10" s="102">
        <f t="shared" si="12"/>
        <v>6.3380281690140844E-2</v>
      </c>
      <c r="CR10" s="2">
        <f t="shared" si="13"/>
        <v>0</v>
      </c>
    </row>
    <row r="11" spans="2:96" ht="11.25" customHeight="1" x14ac:dyDescent="0.15">
      <c r="B11" s="2" t="s">
        <v>235</v>
      </c>
      <c r="J11" s="2" t="s">
        <v>452</v>
      </c>
      <c r="K11" s="2" t="s">
        <v>480</v>
      </c>
      <c r="M11" s="55" t="s">
        <v>280</v>
      </c>
      <c r="P11" s="2" t="s">
        <v>549</v>
      </c>
      <c r="CE11" s="51">
        <f t="shared" si="14"/>
        <v>4</v>
      </c>
      <c r="CF11" s="51">
        <f t="shared" si="15"/>
        <v>177</v>
      </c>
      <c r="CG11" s="190">
        <f t="shared" si="16"/>
        <v>29.3</v>
      </c>
      <c r="CH11" s="188">
        <f t="shared" si="17"/>
        <v>6</v>
      </c>
      <c r="CI11" s="188">
        <f t="shared" si="18"/>
        <v>101</v>
      </c>
      <c r="CJ11" s="188">
        <f t="shared" si="19"/>
        <v>5</v>
      </c>
      <c r="CK11" s="53">
        <f t="shared" si="20"/>
        <v>20.2</v>
      </c>
      <c r="CL11" s="54">
        <f t="shared" si="21"/>
        <v>35.4</v>
      </c>
      <c r="CM11" s="54">
        <f t="shared" si="22"/>
        <v>3.4237288135593222</v>
      </c>
      <c r="CN11" s="46" t="str">
        <f t="shared" si="23"/>
        <v>3-30</v>
      </c>
      <c r="CO11" s="55">
        <f t="shared" si="10"/>
        <v>20.2011</v>
      </c>
      <c r="CP11" s="2">
        <f t="shared" si="11"/>
        <v>6</v>
      </c>
      <c r="CQ11" s="102">
        <f t="shared" si="12"/>
        <v>0.20338983050847459</v>
      </c>
      <c r="CR11" s="2">
        <f t="shared" si="13"/>
        <v>0</v>
      </c>
    </row>
    <row r="12" spans="2:96" ht="11.25" hidden="1" customHeight="1" x14ac:dyDescent="0.15">
      <c r="B12" s="2" t="s">
        <v>164</v>
      </c>
      <c r="M12" s="55"/>
      <c r="CE12" s="51">
        <f t="shared" si="14"/>
        <v>0</v>
      </c>
      <c r="CF12" s="51">
        <f t="shared" si="15"/>
        <v>0</v>
      </c>
      <c r="CG12" s="190">
        <f t="shared" si="16"/>
        <v>0</v>
      </c>
      <c r="CH12" s="188">
        <f t="shared" si="17"/>
        <v>0</v>
      </c>
      <c r="CI12" s="188">
        <f t="shared" si="18"/>
        <v>0</v>
      </c>
      <c r="CJ12" s="188">
        <f t="shared" si="19"/>
        <v>0</v>
      </c>
      <c r="CK12" s="53" t="str">
        <f t="shared" si="20"/>
        <v/>
      </c>
      <c r="CL12" s="54" t="str">
        <f t="shared" si="21"/>
        <v/>
      </c>
      <c r="CM12" s="54" t="str">
        <f t="shared" si="22"/>
        <v/>
      </c>
      <c r="CN12" s="46" t="str">
        <f t="shared" si="23"/>
        <v/>
      </c>
      <c r="CO12" s="55">
        <f t="shared" si="10"/>
        <v>99999.001199999999</v>
      </c>
      <c r="CP12" s="2">
        <f t="shared" si="11"/>
        <v>27</v>
      </c>
      <c r="CQ12" s="102" t="str">
        <f t="shared" si="12"/>
        <v/>
      </c>
      <c r="CR12" s="2">
        <f t="shared" si="13"/>
        <v>0</v>
      </c>
    </row>
    <row r="13" spans="2:96" ht="11.25" customHeight="1" x14ac:dyDescent="0.15">
      <c r="B13" s="2" t="s">
        <v>374</v>
      </c>
      <c r="F13" s="2" t="s">
        <v>388</v>
      </c>
      <c r="M13" s="55"/>
      <c r="CE13" s="51">
        <f t="shared" si="14"/>
        <v>1</v>
      </c>
      <c r="CF13" s="51">
        <f t="shared" si="15"/>
        <v>18</v>
      </c>
      <c r="CG13" s="190">
        <f t="shared" si="16"/>
        <v>3</v>
      </c>
      <c r="CH13" s="188">
        <f t="shared" si="17"/>
        <v>0</v>
      </c>
      <c r="CI13" s="188">
        <f t="shared" si="18"/>
        <v>18</v>
      </c>
      <c r="CJ13" s="188">
        <f t="shared" si="19"/>
        <v>0</v>
      </c>
      <c r="CK13" s="53" t="str">
        <f t="shared" si="20"/>
        <v/>
      </c>
      <c r="CL13" s="54" t="str">
        <f t="shared" si="21"/>
        <v/>
      </c>
      <c r="CM13" s="54">
        <f t="shared" si="22"/>
        <v>6</v>
      </c>
      <c r="CN13" s="46" t="str">
        <f t="shared" si="23"/>
        <v>0-18</v>
      </c>
      <c r="CO13" s="55">
        <f t="shared" si="10"/>
        <v>1018.0013</v>
      </c>
      <c r="CP13" s="2">
        <f t="shared" si="11"/>
        <v>20</v>
      </c>
      <c r="CQ13" s="102" t="str">
        <f t="shared" si="12"/>
        <v/>
      </c>
      <c r="CR13" s="2">
        <f t="shared" si="13"/>
        <v>0</v>
      </c>
    </row>
    <row r="14" spans="2:96" ht="11.25" customHeight="1" x14ac:dyDescent="0.15">
      <c r="B14" s="2" t="s">
        <v>245</v>
      </c>
      <c r="C14" s="2" t="s">
        <v>323</v>
      </c>
      <c r="D14" s="2" t="s">
        <v>346</v>
      </c>
      <c r="M14" s="55"/>
      <c r="N14" s="2" t="s">
        <v>531</v>
      </c>
      <c r="CE14" s="51">
        <f t="shared" si="14"/>
        <v>3</v>
      </c>
      <c r="CF14" s="51">
        <f t="shared" si="15"/>
        <v>84</v>
      </c>
      <c r="CG14" s="190">
        <f t="shared" si="16"/>
        <v>14</v>
      </c>
      <c r="CH14" s="188">
        <f t="shared" si="17"/>
        <v>1</v>
      </c>
      <c r="CI14" s="188">
        <f t="shared" si="18"/>
        <v>68</v>
      </c>
      <c r="CJ14" s="188">
        <f t="shared" si="19"/>
        <v>3</v>
      </c>
      <c r="CK14" s="53">
        <f t="shared" si="20"/>
        <v>22.67</v>
      </c>
      <c r="CL14" s="54">
        <f t="shared" si="21"/>
        <v>28</v>
      </c>
      <c r="CM14" s="54">
        <f t="shared" si="22"/>
        <v>4.8571428571428568</v>
      </c>
      <c r="CN14" s="46" t="str">
        <f t="shared" si="23"/>
        <v>2-26</v>
      </c>
      <c r="CO14" s="55">
        <f t="shared" si="10"/>
        <v>22.671400000000002</v>
      </c>
      <c r="CP14" s="2">
        <f t="shared" si="11"/>
        <v>9</v>
      </c>
      <c r="CQ14" s="102" t="str">
        <f t="shared" si="12"/>
        <v/>
      </c>
      <c r="CR14" s="2">
        <f t="shared" si="13"/>
        <v>0</v>
      </c>
    </row>
    <row r="15" spans="2:96" ht="11.25" customHeight="1" x14ac:dyDescent="0.15">
      <c r="B15" s="2" t="s">
        <v>435</v>
      </c>
      <c r="I15" s="2" t="s">
        <v>250</v>
      </c>
      <c r="M15" s="55"/>
      <c r="CE15" s="51">
        <f t="shared" ref="CE15" si="24">BowlSplit(C15:BC15,InnsBowledIn)</f>
        <v>1</v>
      </c>
      <c r="CF15" s="51">
        <f t="shared" ref="CF15" si="25">BowlSplit(C15:CC15,BallsBowled)</f>
        <v>24</v>
      </c>
      <c r="CG15" s="190">
        <f t="shared" ref="CG15" si="26">BowlSplit(C15:CC15,OversBowled)</f>
        <v>4</v>
      </c>
      <c r="CH15" s="188">
        <f t="shared" ref="CH15" si="27">BowlSplit(C15:CC15,Maidens)</f>
        <v>0</v>
      </c>
      <c r="CI15" s="188">
        <f t="shared" ref="CI15" si="28">BowlSplit(C15:CC15,RunsConceded)</f>
        <v>21</v>
      </c>
      <c r="CJ15" s="188">
        <f t="shared" ref="CJ15" si="29">BowlSplit(C15:CC15,WicketsTaken)</f>
        <v>1</v>
      </c>
      <c r="CK15" s="53">
        <f t="shared" ref="CK15" si="30">IF(CJ15&gt;0,ROUND(CI15/CJ15,2),"")</f>
        <v>21</v>
      </c>
      <c r="CL15" s="54">
        <f t="shared" ref="CL15" si="31">IF(CJ15&gt;0,CF15/CJ15,"")</f>
        <v>24</v>
      </c>
      <c r="CM15" s="54">
        <f t="shared" ref="CM15" si="32">IF(CF15&gt;0,6*CI15/CF15,"")</f>
        <v>5.25</v>
      </c>
      <c r="CN15" s="46" t="str">
        <f t="shared" ref="CN15" si="33">BowlSplit(C15:CC15,BestBowling)</f>
        <v>1-21</v>
      </c>
      <c r="CO15" s="55">
        <f t="shared" si="10"/>
        <v>21.0015</v>
      </c>
      <c r="CP15" s="2">
        <f t="shared" si="11"/>
        <v>7</v>
      </c>
      <c r="CQ15" s="102" t="str">
        <f t="shared" si="12"/>
        <v/>
      </c>
      <c r="CR15" s="2">
        <f t="shared" si="13"/>
        <v>0</v>
      </c>
    </row>
    <row r="16" spans="2:96" ht="11.25" customHeight="1" x14ac:dyDescent="0.15">
      <c r="B16" s="2" t="s">
        <v>524</v>
      </c>
      <c r="L16" s="2" t="s">
        <v>289</v>
      </c>
      <c r="M16" s="55"/>
      <c r="N16" s="2" t="s">
        <v>530</v>
      </c>
      <c r="CE16" s="51">
        <f t="shared" si="14"/>
        <v>2</v>
      </c>
      <c r="CF16" s="51">
        <f t="shared" si="15"/>
        <v>72</v>
      </c>
      <c r="CG16" s="190">
        <f t="shared" si="16"/>
        <v>12</v>
      </c>
      <c r="CH16" s="188">
        <f t="shared" si="17"/>
        <v>2</v>
      </c>
      <c r="CI16" s="188">
        <f t="shared" si="18"/>
        <v>67</v>
      </c>
      <c r="CJ16" s="188">
        <f t="shared" si="19"/>
        <v>1</v>
      </c>
      <c r="CK16" s="53">
        <f t="shared" si="20"/>
        <v>67</v>
      </c>
      <c r="CL16" s="54">
        <f t="shared" si="21"/>
        <v>72</v>
      </c>
      <c r="CM16" s="54">
        <f t="shared" si="22"/>
        <v>5.583333333333333</v>
      </c>
      <c r="CN16" s="46" t="str">
        <f t="shared" si="23"/>
        <v>1-29</v>
      </c>
      <c r="CO16" s="55">
        <f t="shared" si="10"/>
        <v>67.001599999999996</v>
      </c>
      <c r="CP16" s="2">
        <f t="shared" si="11"/>
        <v>17</v>
      </c>
      <c r="CQ16" s="102" t="str">
        <f t="shared" si="12"/>
        <v/>
      </c>
      <c r="CR16" s="2">
        <f t="shared" si="13"/>
        <v>0</v>
      </c>
    </row>
    <row r="17" spans="2:96" ht="11.25" customHeight="1" x14ac:dyDescent="0.15">
      <c r="B17" s="2" t="s">
        <v>358</v>
      </c>
      <c r="E17" s="2" t="s">
        <v>360</v>
      </c>
      <c r="M17" s="55"/>
      <c r="CE17" s="51">
        <f t="shared" si="14"/>
        <v>1</v>
      </c>
      <c r="CF17" s="51">
        <f t="shared" si="15"/>
        <v>48</v>
      </c>
      <c r="CG17" s="190">
        <f t="shared" si="16"/>
        <v>8</v>
      </c>
      <c r="CH17" s="188">
        <f t="shared" si="17"/>
        <v>0</v>
      </c>
      <c r="CI17" s="188">
        <f t="shared" si="18"/>
        <v>41</v>
      </c>
      <c r="CJ17" s="188">
        <f t="shared" si="19"/>
        <v>1</v>
      </c>
      <c r="CK17" s="53">
        <f t="shared" si="20"/>
        <v>41</v>
      </c>
      <c r="CL17" s="54">
        <f t="shared" si="21"/>
        <v>48</v>
      </c>
      <c r="CM17" s="54">
        <f t="shared" si="22"/>
        <v>5.125</v>
      </c>
      <c r="CN17" s="46" t="str">
        <f t="shared" si="23"/>
        <v>1-41</v>
      </c>
      <c r="CO17" s="55">
        <f t="shared" si="10"/>
        <v>41.0017</v>
      </c>
      <c r="CP17" s="2">
        <f t="shared" si="11"/>
        <v>14</v>
      </c>
      <c r="CQ17" s="102" t="str">
        <f t="shared" si="12"/>
        <v/>
      </c>
      <c r="CR17" s="2">
        <f t="shared" si="13"/>
        <v>0</v>
      </c>
    </row>
    <row r="18" spans="2:96" ht="11.25" customHeight="1" x14ac:dyDescent="0.15">
      <c r="B18" s="2" t="s">
        <v>165</v>
      </c>
      <c r="C18" s="2" t="s">
        <v>325</v>
      </c>
      <c r="K18" s="2" t="s">
        <v>479</v>
      </c>
      <c r="M18" s="55"/>
      <c r="CE18" s="51">
        <f t="shared" si="14"/>
        <v>2</v>
      </c>
      <c r="CF18" s="51">
        <f t="shared" si="15"/>
        <v>42</v>
      </c>
      <c r="CG18" s="190">
        <f t="shared" si="16"/>
        <v>7</v>
      </c>
      <c r="CH18" s="188">
        <f t="shared" si="17"/>
        <v>1</v>
      </c>
      <c r="CI18" s="188">
        <f t="shared" si="18"/>
        <v>49</v>
      </c>
      <c r="CJ18" s="188">
        <f t="shared" si="19"/>
        <v>3</v>
      </c>
      <c r="CK18" s="53">
        <f t="shared" si="20"/>
        <v>16.329999999999998</v>
      </c>
      <c r="CL18" s="54">
        <f t="shared" si="21"/>
        <v>14</v>
      </c>
      <c r="CM18" s="54">
        <f t="shared" si="22"/>
        <v>7</v>
      </c>
      <c r="CN18" s="46" t="str">
        <f t="shared" si="23"/>
        <v>3-27</v>
      </c>
      <c r="CO18" s="55">
        <f t="shared" si="10"/>
        <v>16.331799999999998</v>
      </c>
      <c r="CP18" s="2">
        <f t="shared" si="11"/>
        <v>4</v>
      </c>
      <c r="CQ18" s="102" t="str">
        <f t="shared" si="12"/>
        <v/>
      </c>
      <c r="CR18" s="2">
        <f t="shared" si="13"/>
        <v>0</v>
      </c>
    </row>
    <row r="19" spans="2:96" ht="11.25" hidden="1" customHeight="1" x14ac:dyDescent="0.15">
      <c r="B19" s="2" t="s">
        <v>282</v>
      </c>
      <c r="M19" s="55"/>
      <c r="CE19" s="51">
        <f t="shared" si="14"/>
        <v>0</v>
      </c>
      <c r="CF19" s="51">
        <f t="shared" si="15"/>
        <v>0</v>
      </c>
      <c r="CG19" s="190">
        <f t="shared" si="16"/>
        <v>0</v>
      </c>
      <c r="CH19" s="188">
        <f t="shared" si="17"/>
        <v>0</v>
      </c>
      <c r="CI19" s="188">
        <f t="shared" si="18"/>
        <v>0</v>
      </c>
      <c r="CJ19" s="188">
        <f t="shared" si="19"/>
        <v>0</v>
      </c>
      <c r="CK19" s="53" t="str">
        <f t="shared" si="20"/>
        <v/>
      </c>
      <c r="CL19" s="54" t="str">
        <f t="shared" si="21"/>
        <v/>
      </c>
      <c r="CM19" s="54" t="str">
        <f t="shared" si="22"/>
        <v/>
      </c>
      <c r="CN19" s="46" t="str">
        <f t="shared" si="23"/>
        <v/>
      </c>
      <c r="CO19" s="55">
        <f t="shared" si="10"/>
        <v>99999.001900000003</v>
      </c>
      <c r="CP19" s="2">
        <f t="shared" si="11"/>
        <v>28</v>
      </c>
      <c r="CQ19" s="102" t="str">
        <f t="shared" si="12"/>
        <v/>
      </c>
      <c r="CR19" s="2">
        <f t="shared" si="13"/>
        <v>0</v>
      </c>
    </row>
    <row r="20" spans="2:96" ht="11.25" customHeight="1" x14ac:dyDescent="0.15">
      <c r="B20" s="2" t="s">
        <v>224</v>
      </c>
      <c r="F20" s="2" t="s">
        <v>383</v>
      </c>
      <c r="G20" s="2" t="s">
        <v>396</v>
      </c>
      <c r="H20" s="2" t="s">
        <v>415</v>
      </c>
      <c r="N20" s="2" t="s">
        <v>527</v>
      </c>
      <c r="O20" s="2" t="s">
        <v>275</v>
      </c>
      <c r="S20" s="2" t="s">
        <v>598</v>
      </c>
      <c r="CE20" s="51">
        <f t="shared" si="14"/>
        <v>6</v>
      </c>
      <c r="CF20" s="51">
        <f t="shared" si="15"/>
        <v>264</v>
      </c>
      <c r="CG20" s="190">
        <f t="shared" si="16"/>
        <v>44</v>
      </c>
      <c r="CH20" s="188">
        <f t="shared" si="17"/>
        <v>9</v>
      </c>
      <c r="CI20" s="188">
        <f t="shared" si="18"/>
        <v>112</v>
      </c>
      <c r="CJ20" s="188">
        <f t="shared" si="19"/>
        <v>14</v>
      </c>
      <c r="CK20" s="53">
        <f t="shared" si="20"/>
        <v>8</v>
      </c>
      <c r="CL20" s="54">
        <f t="shared" si="21"/>
        <v>18.857142857142858</v>
      </c>
      <c r="CM20" s="54">
        <f t="shared" si="22"/>
        <v>2.5454545454545454</v>
      </c>
      <c r="CN20" s="46" t="str">
        <f t="shared" si="23"/>
        <v>4-13</v>
      </c>
      <c r="CO20" s="55">
        <f t="shared" si="10"/>
        <v>8.0020000000000007</v>
      </c>
      <c r="CP20" s="2">
        <f t="shared" si="11"/>
        <v>1</v>
      </c>
      <c r="CQ20" s="102">
        <f t="shared" si="12"/>
        <v>0.20454545454545453</v>
      </c>
      <c r="CR20" s="2">
        <f t="shared" si="13"/>
        <v>0</v>
      </c>
    </row>
    <row r="21" spans="2:96" ht="11.25" customHeight="1" x14ac:dyDescent="0.15">
      <c r="B21" s="2" t="s">
        <v>207</v>
      </c>
      <c r="C21" s="2" t="s">
        <v>327</v>
      </c>
      <c r="D21" s="2" t="s">
        <v>347</v>
      </c>
      <c r="E21" s="2" t="s">
        <v>364</v>
      </c>
      <c r="F21" s="2" t="s">
        <v>387</v>
      </c>
      <c r="G21" s="2" t="s">
        <v>402</v>
      </c>
      <c r="H21" s="2" t="s">
        <v>416</v>
      </c>
      <c r="I21" s="2" t="s">
        <v>302</v>
      </c>
      <c r="J21" s="2" t="s">
        <v>456</v>
      </c>
      <c r="K21" s="2" t="s">
        <v>477</v>
      </c>
      <c r="L21" s="2" t="s">
        <v>320</v>
      </c>
      <c r="M21" s="55"/>
      <c r="O21" s="2" t="s">
        <v>569</v>
      </c>
      <c r="Q21" s="2" t="s">
        <v>566</v>
      </c>
      <c r="R21" s="2" t="s">
        <v>588</v>
      </c>
      <c r="CE21" s="51">
        <f t="shared" si="14"/>
        <v>13</v>
      </c>
      <c r="CF21" s="51">
        <f t="shared" si="15"/>
        <v>433</v>
      </c>
      <c r="CG21" s="190">
        <f t="shared" si="16"/>
        <v>72.099999999999994</v>
      </c>
      <c r="CH21" s="188">
        <f t="shared" si="17"/>
        <v>5</v>
      </c>
      <c r="CI21" s="188">
        <f t="shared" si="18"/>
        <v>301</v>
      </c>
      <c r="CJ21" s="188">
        <f t="shared" si="19"/>
        <v>17</v>
      </c>
      <c r="CK21" s="53">
        <f t="shared" si="20"/>
        <v>17.71</v>
      </c>
      <c r="CL21" s="54">
        <f t="shared" si="21"/>
        <v>25.470588235294116</v>
      </c>
      <c r="CM21" s="54">
        <f t="shared" si="22"/>
        <v>4.1709006928406467</v>
      </c>
      <c r="CN21" s="46" t="str">
        <f t="shared" si="23"/>
        <v>5-24</v>
      </c>
      <c r="CO21" s="55">
        <f t="shared" si="10"/>
        <v>17.7121</v>
      </c>
      <c r="CP21" s="2">
        <f t="shared" si="11"/>
        <v>5</v>
      </c>
      <c r="CQ21" s="102">
        <f t="shared" si="12"/>
        <v>6.9284064665127015E-2</v>
      </c>
      <c r="CR21" s="2">
        <f t="shared" si="13"/>
        <v>1</v>
      </c>
    </row>
    <row r="22" spans="2:96" ht="11.25" customHeight="1" x14ac:dyDescent="0.15">
      <c r="B22" s="2" t="s">
        <v>212</v>
      </c>
      <c r="E22" s="2" t="s">
        <v>363</v>
      </c>
      <c r="F22" s="2" t="s">
        <v>385</v>
      </c>
      <c r="M22" s="55"/>
      <c r="Q22" s="2" t="s">
        <v>563</v>
      </c>
      <c r="CE22" s="51">
        <f t="shared" si="14"/>
        <v>3</v>
      </c>
      <c r="CF22" s="51">
        <f t="shared" si="15"/>
        <v>120</v>
      </c>
      <c r="CG22" s="190">
        <f t="shared" si="16"/>
        <v>20</v>
      </c>
      <c r="CH22" s="188">
        <f t="shared" si="17"/>
        <v>3</v>
      </c>
      <c r="CI22" s="188">
        <f t="shared" si="18"/>
        <v>88</v>
      </c>
      <c r="CJ22" s="188">
        <f t="shared" si="19"/>
        <v>4</v>
      </c>
      <c r="CK22" s="53">
        <f t="shared" si="20"/>
        <v>22</v>
      </c>
      <c r="CL22" s="54">
        <f t="shared" si="21"/>
        <v>30</v>
      </c>
      <c r="CM22" s="54">
        <f t="shared" si="22"/>
        <v>4.4000000000000004</v>
      </c>
      <c r="CN22" s="46" t="str">
        <f t="shared" si="23"/>
        <v>2-19</v>
      </c>
      <c r="CO22" s="55">
        <f t="shared" si="10"/>
        <v>22.002199999999998</v>
      </c>
      <c r="CP22" s="2">
        <f t="shared" si="11"/>
        <v>8</v>
      </c>
      <c r="CQ22" s="102">
        <f t="shared" si="12"/>
        <v>0.15000000000000002</v>
      </c>
      <c r="CR22" s="2">
        <f t="shared" si="13"/>
        <v>0</v>
      </c>
    </row>
    <row r="23" spans="2:96" ht="11.25" customHeight="1" x14ac:dyDescent="0.15">
      <c r="B23" s="2" t="s">
        <v>377</v>
      </c>
      <c r="F23" s="2" t="s">
        <v>384</v>
      </c>
      <c r="H23" s="2" t="s">
        <v>418</v>
      </c>
      <c r="M23" s="55"/>
      <c r="CE23" s="51">
        <f t="shared" si="14"/>
        <v>2</v>
      </c>
      <c r="CF23" s="51">
        <f t="shared" si="15"/>
        <v>54</v>
      </c>
      <c r="CG23" s="190">
        <f t="shared" si="16"/>
        <v>9</v>
      </c>
      <c r="CH23" s="188">
        <f t="shared" si="17"/>
        <v>2</v>
      </c>
      <c r="CI23" s="188">
        <f t="shared" si="18"/>
        <v>42</v>
      </c>
      <c r="CJ23" s="188">
        <f t="shared" si="19"/>
        <v>1</v>
      </c>
      <c r="CK23" s="53">
        <f t="shared" si="20"/>
        <v>42</v>
      </c>
      <c r="CL23" s="54">
        <f t="shared" si="21"/>
        <v>54</v>
      </c>
      <c r="CM23" s="54">
        <f t="shared" si="22"/>
        <v>4.666666666666667</v>
      </c>
      <c r="CN23" s="46" t="str">
        <f t="shared" si="23"/>
        <v>1-19</v>
      </c>
      <c r="CO23" s="55">
        <f t="shared" si="10"/>
        <v>42.002299999999998</v>
      </c>
      <c r="CP23" s="2">
        <f t="shared" si="11"/>
        <v>15</v>
      </c>
      <c r="CQ23" s="102" t="str">
        <f t="shared" si="12"/>
        <v/>
      </c>
      <c r="CR23" s="2">
        <f t="shared" si="13"/>
        <v>0</v>
      </c>
    </row>
    <row r="24" spans="2:96" ht="11.25" hidden="1" customHeight="1" x14ac:dyDescent="0.15">
      <c r="B24" s="2" t="s">
        <v>276</v>
      </c>
      <c r="M24" s="55"/>
      <c r="CE24" s="51">
        <f t="shared" si="14"/>
        <v>0</v>
      </c>
      <c r="CF24" s="51">
        <f t="shared" si="15"/>
        <v>0</v>
      </c>
      <c r="CG24" s="190">
        <f t="shared" si="16"/>
        <v>0</v>
      </c>
      <c r="CH24" s="188">
        <f t="shared" si="17"/>
        <v>0</v>
      </c>
      <c r="CI24" s="188">
        <f t="shared" si="18"/>
        <v>0</v>
      </c>
      <c r="CJ24" s="188">
        <f t="shared" si="19"/>
        <v>0</v>
      </c>
      <c r="CK24" s="53" t="str">
        <f t="shared" si="20"/>
        <v/>
      </c>
      <c r="CL24" s="54" t="str">
        <f t="shared" si="21"/>
        <v/>
      </c>
      <c r="CM24" s="54" t="str">
        <f t="shared" si="22"/>
        <v/>
      </c>
      <c r="CN24" s="46" t="str">
        <f t="shared" si="23"/>
        <v/>
      </c>
      <c r="CO24" s="55">
        <f t="shared" si="10"/>
        <v>99999.002399999998</v>
      </c>
      <c r="CP24" s="2">
        <f t="shared" si="11"/>
        <v>29</v>
      </c>
      <c r="CQ24" s="102" t="str">
        <f t="shared" si="12"/>
        <v/>
      </c>
      <c r="CR24" s="2">
        <f t="shared" si="13"/>
        <v>0</v>
      </c>
    </row>
    <row r="25" spans="2:96" ht="11.25" customHeight="1" x14ac:dyDescent="0.15">
      <c r="B25" s="2" t="s">
        <v>586</v>
      </c>
      <c r="M25" s="55"/>
      <c r="R25" s="2" t="s">
        <v>322</v>
      </c>
      <c r="CE25" s="51">
        <f t="shared" ref="CE25" si="34">BowlSplit(C25:BC25,InnsBowledIn)</f>
        <v>1</v>
      </c>
      <c r="CF25" s="51">
        <f t="shared" ref="CF25" si="35">BowlSplit(C25:CC25,BallsBowled)</f>
        <v>18</v>
      </c>
      <c r="CG25" s="190">
        <f t="shared" ref="CG25" si="36">BowlSplit(C25:CC25,OversBowled)</f>
        <v>3</v>
      </c>
      <c r="CH25" s="188">
        <f t="shared" ref="CH25" si="37">BowlSplit(C25:CC25,Maidens)</f>
        <v>0</v>
      </c>
      <c r="CI25" s="188">
        <f t="shared" ref="CI25" si="38">BowlSplit(C25:CC25,RunsConceded)</f>
        <v>14</v>
      </c>
      <c r="CJ25" s="188">
        <f t="shared" ref="CJ25" si="39">BowlSplit(C25:CC25,WicketsTaken)</f>
        <v>0</v>
      </c>
      <c r="CK25" s="53" t="str">
        <f t="shared" ref="CK25" si="40">IF(CJ25&gt;0,ROUND(CI25/CJ25,2),"")</f>
        <v/>
      </c>
      <c r="CL25" s="54" t="str">
        <f t="shared" ref="CL25" si="41">IF(CJ25&gt;0,CF25/CJ25,"")</f>
        <v/>
      </c>
      <c r="CM25" s="54">
        <f t="shared" ref="CM25" si="42">IF(CF25&gt;0,6*CI25/CF25,"")</f>
        <v>4.666666666666667</v>
      </c>
      <c r="CN25" s="46" t="str">
        <f t="shared" ref="CN25" si="43">BowlSplit(C25:CC25,BestBowling)</f>
        <v>0-14</v>
      </c>
      <c r="CO25" s="55">
        <f t="shared" si="10"/>
        <v>1018.0025000000001</v>
      </c>
      <c r="CP25" s="2">
        <f t="shared" si="11"/>
        <v>21</v>
      </c>
      <c r="CQ25" s="102" t="str">
        <f t="shared" si="12"/>
        <v/>
      </c>
      <c r="CR25" s="2">
        <f t="shared" si="13"/>
        <v>0</v>
      </c>
    </row>
    <row r="26" spans="2:96" ht="11.25" customHeight="1" x14ac:dyDescent="0.15">
      <c r="B26" s="2" t="s">
        <v>247</v>
      </c>
      <c r="G26" s="2" t="s">
        <v>400</v>
      </c>
      <c r="M26" s="55"/>
      <c r="CE26" s="51">
        <f t="shared" si="14"/>
        <v>1</v>
      </c>
      <c r="CF26" s="51">
        <f t="shared" si="15"/>
        <v>42</v>
      </c>
      <c r="CG26" s="190">
        <f t="shared" si="16"/>
        <v>7</v>
      </c>
      <c r="CH26" s="188">
        <f t="shared" si="17"/>
        <v>0</v>
      </c>
      <c r="CI26" s="188">
        <f t="shared" si="18"/>
        <v>30</v>
      </c>
      <c r="CJ26" s="188">
        <f t="shared" si="19"/>
        <v>0</v>
      </c>
      <c r="CK26" s="53" t="str">
        <f t="shared" si="20"/>
        <v/>
      </c>
      <c r="CL26" s="54" t="str">
        <f t="shared" si="21"/>
        <v/>
      </c>
      <c r="CM26" s="54">
        <f t="shared" si="22"/>
        <v>4.2857142857142856</v>
      </c>
      <c r="CN26" s="46" t="str">
        <f t="shared" si="23"/>
        <v>0-30</v>
      </c>
      <c r="CO26" s="55">
        <f t="shared" si="10"/>
        <v>1042.0026</v>
      </c>
      <c r="CP26" s="2">
        <f t="shared" si="11"/>
        <v>25</v>
      </c>
      <c r="CQ26" s="102" t="str">
        <f t="shared" si="12"/>
        <v/>
      </c>
      <c r="CR26" s="2">
        <f t="shared" si="13"/>
        <v>0</v>
      </c>
    </row>
    <row r="27" spans="2:96" ht="11.25" customHeight="1" x14ac:dyDescent="0.15">
      <c r="B27" s="2" t="s">
        <v>312</v>
      </c>
      <c r="C27" s="2" t="s">
        <v>322</v>
      </c>
      <c r="M27" s="55"/>
      <c r="CE27" s="51">
        <f t="shared" si="14"/>
        <v>1</v>
      </c>
      <c r="CF27" s="51">
        <f t="shared" si="15"/>
        <v>18</v>
      </c>
      <c r="CG27" s="190">
        <f t="shared" si="16"/>
        <v>3</v>
      </c>
      <c r="CH27" s="188">
        <f t="shared" si="17"/>
        <v>0</v>
      </c>
      <c r="CI27" s="188">
        <f t="shared" si="18"/>
        <v>14</v>
      </c>
      <c r="CJ27" s="188">
        <f t="shared" si="19"/>
        <v>0</v>
      </c>
      <c r="CK27" s="53" t="str">
        <f t="shared" si="20"/>
        <v/>
      </c>
      <c r="CL27" s="54" t="str">
        <f t="shared" si="21"/>
        <v/>
      </c>
      <c r="CM27" s="54">
        <f t="shared" si="22"/>
        <v>4.666666666666667</v>
      </c>
      <c r="CN27" s="46" t="str">
        <f t="shared" si="23"/>
        <v>0-14</v>
      </c>
      <c r="CO27" s="55">
        <f t="shared" si="10"/>
        <v>1018.0027</v>
      </c>
      <c r="CP27" s="2">
        <f t="shared" si="11"/>
        <v>22</v>
      </c>
      <c r="CQ27" s="102" t="str">
        <f t="shared" si="12"/>
        <v/>
      </c>
      <c r="CR27" s="2">
        <f t="shared" si="13"/>
        <v>0</v>
      </c>
    </row>
    <row r="28" spans="2:96" ht="11.25" customHeight="1" x14ac:dyDescent="0.15">
      <c r="B28" s="2" t="s">
        <v>200</v>
      </c>
      <c r="C28" s="2" t="s">
        <v>321</v>
      </c>
      <c r="D28" s="2" t="s">
        <v>345</v>
      </c>
      <c r="E28" s="2" t="s">
        <v>362</v>
      </c>
      <c r="F28" s="2" t="s">
        <v>346</v>
      </c>
      <c r="G28" s="2" t="s">
        <v>401</v>
      </c>
      <c r="H28" s="2" t="s">
        <v>414</v>
      </c>
      <c r="I28" s="2" t="s">
        <v>299</v>
      </c>
      <c r="J28" s="2" t="s">
        <v>454</v>
      </c>
      <c r="K28" s="2" t="s">
        <v>476</v>
      </c>
      <c r="L28" s="2" t="s">
        <v>494</v>
      </c>
      <c r="M28" s="55" t="s">
        <v>509</v>
      </c>
      <c r="N28" s="2" t="s">
        <v>532</v>
      </c>
      <c r="O28" s="2" t="s">
        <v>568</v>
      </c>
      <c r="P28" s="2" t="s">
        <v>550</v>
      </c>
      <c r="Q28" s="2" t="s">
        <v>562</v>
      </c>
      <c r="R28" s="2" t="s">
        <v>584</v>
      </c>
      <c r="S28" s="2" t="s">
        <v>600</v>
      </c>
      <c r="CE28" s="51">
        <f t="shared" si="14"/>
        <v>17</v>
      </c>
      <c r="CF28" s="51">
        <f t="shared" si="15"/>
        <v>598</v>
      </c>
      <c r="CG28" s="190">
        <f t="shared" si="16"/>
        <v>99.4</v>
      </c>
      <c r="CH28" s="188">
        <f t="shared" si="17"/>
        <v>5</v>
      </c>
      <c r="CI28" s="188">
        <f t="shared" si="18"/>
        <v>466</v>
      </c>
      <c r="CJ28" s="188">
        <f t="shared" si="19"/>
        <v>19</v>
      </c>
      <c r="CK28" s="53">
        <f t="shared" si="20"/>
        <v>24.53</v>
      </c>
      <c r="CL28" s="54">
        <f t="shared" si="21"/>
        <v>31.473684210526315</v>
      </c>
      <c r="CM28" s="54">
        <f t="shared" si="22"/>
        <v>4.6755852842809364</v>
      </c>
      <c r="CN28" s="46" t="str">
        <f t="shared" si="23"/>
        <v>4-19</v>
      </c>
      <c r="CO28" s="55">
        <f t="shared" si="10"/>
        <v>24.532800000000002</v>
      </c>
      <c r="CP28" s="2">
        <f t="shared" si="11"/>
        <v>10</v>
      </c>
      <c r="CQ28" s="102">
        <f t="shared" si="12"/>
        <v>5.0167224080267553E-2</v>
      </c>
      <c r="CR28" s="2">
        <f t="shared" si="13"/>
        <v>0</v>
      </c>
    </row>
    <row r="29" spans="2:96" ht="11.25" hidden="1" customHeight="1" x14ac:dyDescent="0.15">
      <c r="B29" s="2" t="s">
        <v>297</v>
      </c>
      <c r="M29" s="55"/>
      <c r="CE29" s="51">
        <f t="shared" si="14"/>
        <v>0</v>
      </c>
      <c r="CF29" s="51">
        <f t="shared" si="15"/>
        <v>0</v>
      </c>
      <c r="CG29" s="190">
        <f t="shared" si="16"/>
        <v>0</v>
      </c>
      <c r="CH29" s="188">
        <f t="shared" si="17"/>
        <v>0</v>
      </c>
      <c r="CI29" s="188">
        <f t="shared" si="18"/>
        <v>0</v>
      </c>
      <c r="CJ29" s="188">
        <f t="shared" si="19"/>
        <v>0</v>
      </c>
      <c r="CK29" s="53" t="str">
        <f t="shared" si="20"/>
        <v/>
      </c>
      <c r="CL29" s="54" t="str">
        <f t="shared" si="21"/>
        <v/>
      </c>
      <c r="CM29" s="54" t="str">
        <f t="shared" si="22"/>
        <v/>
      </c>
      <c r="CN29" s="46" t="str">
        <f t="shared" si="23"/>
        <v/>
      </c>
      <c r="CO29" s="55">
        <f t="shared" si="10"/>
        <v>99999.002900000007</v>
      </c>
      <c r="CP29" s="2">
        <f t="shared" si="11"/>
        <v>30</v>
      </c>
      <c r="CQ29" s="102" t="str">
        <f t="shared" si="12"/>
        <v/>
      </c>
      <c r="CR29" s="2">
        <f t="shared" si="13"/>
        <v>0</v>
      </c>
    </row>
    <row r="30" spans="2:96" ht="11.25" customHeight="1" x14ac:dyDescent="0.15">
      <c r="B30" s="2" t="s">
        <v>138</v>
      </c>
      <c r="C30" s="55" t="s">
        <v>320</v>
      </c>
      <c r="D30" s="2" t="s">
        <v>343</v>
      </c>
      <c r="F30" s="2" t="s">
        <v>301</v>
      </c>
      <c r="L30" s="2" t="s">
        <v>496</v>
      </c>
      <c r="M30" s="55"/>
      <c r="P30" s="2" t="s">
        <v>551</v>
      </c>
      <c r="CE30" s="51">
        <f t="shared" si="14"/>
        <v>5</v>
      </c>
      <c r="CF30" s="51">
        <f t="shared" si="15"/>
        <v>156</v>
      </c>
      <c r="CG30" s="190">
        <f t="shared" si="16"/>
        <v>26</v>
      </c>
      <c r="CH30" s="188">
        <f t="shared" si="17"/>
        <v>2</v>
      </c>
      <c r="CI30" s="188">
        <f t="shared" si="18"/>
        <v>161</v>
      </c>
      <c r="CJ30" s="188">
        <f t="shared" si="19"/>
        <v>3</v>
      </c>
      <c r="CK30" s="53">
        <f t="shared" si="20"/>
        <v>53.67</v>
      </c>
      <c r="CL30" s="54">
        <f t="shared" si="21"/>
        <v>52</v>
      </c>
      <c r="CM30" s="54">
        <f t="shared" si="22"/>
        <v>6.1923076923076925</v>
      </c>
      <c r="CN30" s="46" t="str">
        <f t="shared" si="23"/>
        <v>3-22</v>
      </c>
      <c r="CO30" s="55">
        <f t="shared" si="10"/>
        <v>53.673000000000002</v>
      </c>
      <c r="CP30" s="2">
        <f t="shared" si="11"/>
        <v>16</v>
      </c>
      <c r="CQ30" s="102">
        <f t="shared" si="12"/>
        <v>7.6923076923076927E-2</v>
      </c>
      <c r="CR30" s="2">
        <f t="shared" si="13"/>
        <v>0</v>
      </c>
    </row>
    <row r="31" spans="2:96" ht="11.25" hidden="1" customHeight="1" x14ac:dyDescent="0.15">
      <c r="B31" s="2" t="s">
        <v>273</v>
      </c>
      <c r="C31" s="55"/>
      <c r="M31" s="55"/>
      <c r="CE31" s="51">
        <f t="shared" si="14"/>
        <v>0</v>
      </c>
      <c r="CF31" s="51">
        <f t="shared" si="15"/>
        <v>0</v>
      </c>
      <c r="CG31" s="190">
        <f t="shared" si="16"/>
        <v>0</v>
      </c>
      <c r="CH31" s="188">
        <f t="shared" si="17"/>
        <v>0</v>
      </c>
      <c r="CI31" s="188">
        <f t="shared" si="18"/>
        <v>0</v>
      </c>
      <c r="CJ31" s="188">
        <f t="shared" si="19"/>
        <v>0</v>
      </c>
      <c r="CK31" s="53" t="str">
        <f t="shared" si="20"/>
        <v/>
      </c>
      <c r="CL31" s="54" t="str">
        <f t="shared" si="21"/>
        <v/>
      </c>
      <c r="CM31" s="54" t="str">
        <f t="shared" si="22"/>
        <v/>
      </c>
      <c r="CN31" s="46" t="str">
        <f t="shared" si="23"/>
        <v/>
      </c>
      <c r="CO31" s="55">
        <f t="shared" si="10"/>
        <v>99999.003100000002</v>
      </c>
      <c r="CP31" s="2">
        <f t="shared" si="11"/>
        <v>31</v>
      </c>
      <c r="CQ31" s="102" t="str">
        <f t="shared" si="12"/>
        <v/>
      </c>
      <c r="CR31" s="2">
        <f t="shared" si="13"/>
        <v>0</v>
      </c>
    </row>
    <row r="32" spans="2:96" ht="11.25" customHeight="1" x14ac:dyDescent="0.15">
      <c r="B32" s="2" t="s">
        <v>193</v>
      </c>
      <c r="K32" s="2" t="s">
        <v>478</v>
      </c>
      <c r="M32" s="55"/>
      <c r="R32" s="2" t="s">
        <v>589</v>
      </c>
      <c r="CE32" s="51">
        <f t="shared" si="14"/>
        <v>2</v>
      </c>
      <c r="CF32" s="51">
        <f t="shared" si="15"/>
        <v>20</v>
      </c>
      <c r="CG32" s="190">
        <f t="shared" si="16"/>
        <v>3.2</v>
      </c>
      <c r="CH32" s="188">
        <f t="shared" si="17"/>
        <v>0</v>
      </c>
      <c r="CI32" s="188">
        <f t="shared" si="18"/>
        <v>30</v>
      </c>
      <c r="CJ32" s="188">
        <f t="shared" si="19"/>
        <v>0</v>
      </c>
      <c r="CK32" s="53" t="str">
        <f t="shared" si="20"/>
        <v/>
      </c>
      <c r="CL32" s="54" t="str">
        <f t="shared" si="21"/>
        <v/>
      </c>
      <c r="CM32" s="54">
        <f t="shared" si="22"/>
        <v>9</v>
      </c>
      <c r="CN32" s="46" t="str">
        <f t="shared" si="23"/>
        <v>0-4</v>
      </c>
      <c r="CO32" s="55">
        <f t="shared" si="10"/>
        <v>1020.0032</v>
      </c>
      <c r="CP32" s="2">
        <f t="shared" si="11"/>
        <v>23</v>
      </c>
      <c r="CQ32" s="102" t="str">
        <f t="shared" si="12"/>
        <v/>
      </c>
      <c r="CR32" s="2">
        <f t="shared" si="13"/>
        <v>0</v>
      </c>
    </row>
    <row r="33" spans="1:16381" ht="11.25" customHeight="1" x14ac:dyDescent="0.15">
      <c r="B33" s="2" t="s">
        <v>232</v>
      </c>
      <c r="C33" s="2" t="s">
        <v>326</v>
      </c>
      <c r="D33" s="2" t="s">
        <v>341</v>
      </c>
      <c r="E33" s="2" t="s">
        <v>361</v>
      </c>
      <c r="F33" s="2" t="s">
        <v>386</v>
      </c>
      <c r="G33" s="2" t="s">
        <v>399</v>
      </c>
      <c r="H33" s="2" t="s">
        <v>419</v>
      </c>
      <c r="I33" s="2" t="s">
        <v>436</v>
      </c>
      <c r="J33" s="2" t="s">
        <v>457</v>
      </c>
      <c r="K33" s="2" t="s">
        <v>284</v>
      </c>
      <c r="L33" s="2" t="s">
        <v>497</v>
      </c>
      <c r="M33" s="55" t="s">
        <v>513</v>
      </c>
      <c r="O33" s="2" t="s">
        <v>300</v>
      </c>
      <c r="P33" s="2" t="s">
        <v>553</v>
      </c>
      <c r="Q33" s="2" t="s">
        <v>561</v>
      </c>
      <c r="R33" s="2" t="s">
        <v>585</v>
      </c>
      <c r="S33" s="2" t="s">
        <v>603</v>
      </c>
      <c r="CE33" s="51">
        <f t="shared" si="14"/>
        <v>16</v>
      </c>
      <c r="CF33" s="51">
        <f t="shared" si="15"/>
        <v>483</v>
      </c>
      <c r="CG33" s="190">
        <f t="shared" si="16"/>
        <v>80.3</v>
      </c>
      <c r="CH33" s="188">
        <f t="shared" si="17"/>
        <v>7</v>
      </c>
      <c r="CI33" s="188">
        <f t="shared" si="18"/>
        <v>420</v>
      </c>
      <c r="CJ33" s="188">
        <f t="shared" si="19"/>
        <v>12</v>
      </c>
      <c r="CK33" s="53">
        <f t="shared" si="20"/>
        <v>35</v>
      </c>
      <c r="CL33" s="54">
        <f t="shared" si="21"/>
        <v>40.25</v>
      </c>
      <c r="CM33" s="54">
        <f t="shared" si="22"/>
        <v>5.2173913043478262</v>
      </c>
      <c r="CN33" s="46" t="str">
        <f t="shared" si="23"/>
        <v>2-10</v>
      </c>
      <c r="CO33" s="55">
        <f t="shared" si="10"/>
        <v>35.003300000000003</v>
      </c>
      <c r="CP33" s="2">
        <f t="shared" si="11"/>
        <v>13</v>
      </c>
      <c r="CQ33" s="102">
        <f t="shared" si="12"/>
        <v>8.6956521739130432E-2</v>
      </c>
      <c r="CR33" s="2">
        <f t="shared" si="13"/>
        <v>0</v>
      </c>
    </row>
    <row r="34" spans="1:16381" ht="11.25" hidden="1" customHeight="1" x14ac:dyDescent="0.15">
      <c r="B34" s="2" t="s">
        <v>291</v>
      </c>
      <c r="M34" s="55"/>
      <c r="CE34" s="51">
        <f t="shared" si="14"/>
        <v>0</v>
      </c>
      <c r="CF34" s="51">
        <f t="shared" si="15"/>
        <v>0</v>
      </c>
      <c r="CG34" s="190">
        <f t="shared" si="16"/>
        <v>0</v>
      </c>
      <c r="CH34" s="188">
        <f t="shared" si="17"/>
        <v>0</v>
      </c>
      <c r="CI34" s="188">
        <f t="shared" si="18"/>
        <v>0</v>
      </c>
      <c r="CJ34" s="188">
        <f t="shared" si="19"/>
        <v>0</v>
      </c>
      <c r="CK34" s="53" t="str">
        <f t="shared" si="20"/>
        <v/>
      </c>
      <c r="CL34" s="54" t="str">
        <f t="shared" si="21"/>
        <v/>
      </c>
      <c r="CM34" s="54" t="str">
        <f t="shared" si="22"/>
        <v/>
      </c>
      <c r="CN34" s="46" t="str">
        <f t="shared" si="23"/>
        <v/>
      </c>
      <c r="CO34" s="55">
        <f t="shared" si="10"/>
        <v>99999.003400000001</v>
      </c>
      <c r="CP34" s="2">
        <f t="shared" si="11"/>
        <v>32</v>
      </c>
      <c r="CQ34" s="102" t="str">
        <f t="shared" si="12"/>
        <v/>
      </c>
      <c r="CR34" s="2">
        <f t="shared" si="13"/>
        <v>0</v>
      </c>
    </row>
    <row r="35" spans="1:16381" ht="11.25" customHeight="1" x14ac:dyDescent="0.15">
      <c r="B35" s="179" t="s">
        <v>508</v>
      </c>
      <c r="M35" s="55" t="s">
        <v>512</v>
      </c>
      <c r="CE35" s="51">
        <f t="shared" si="14"/>
        <v>1</v>
      </c>
      <c r="CF35" s="51">
        <f t="shared" si="15"/>
        <v>18</v>
      </c>
      <c r="CG35" s="190">
        <f t="shared" si="16"/>
        <v>3</v>
      </c>
      <c r="CH35" s="188">
        <f t="shared" si="17"/>
        <v>0</v>
      </c>
      <c r="CI35" s="188">
        <f t="shared" si="18"/>
        <v>27</v>
      </c>
      <c r="CJ35" s="188">
        <f t="shared" si="19"/>
        <v>1</v>
      </c>
      <c r="CK35" s="53">
        <f t="shared" si="20"/>
        <v>27</v>
      </c>
      <c r="CL35" s="54">
        <f t="shared" si="21"/>
        <v>18</v>
      </c>
      <c r="CM35" s="54">
        <f t="shared" si="22"/>
        <v>9</v>
      </c>
      <c r="CN35" s="46" t="str">
        <f t="shared" si="23"/>
        <v>1-27</v>
      </c>
      <c r="CO35" s="55">
        <f t="shared" si="10"/>
        <v>27.003499999999999</v>
      </c>
      <c r="CP35" s="2">
        <f t="shared" si="11"/>
        <v>11</v>
      </c>
      <c r="CQ35" s="102" t="str">
        <f t="shared" si="12"/>
        <v/>
      </c>
      <c r="CR35" s="2">
        <f t="shared" si="13"/>
        <v>0</v>
      </c>
    </row>
    <row r="36" spans="1:16381" ht="11.25" customHeight="1" x14ac:dyDescent="0.15">
      <c r="A36" s="118"/>
      <c r="B36" s="118" t="s">
        <v>252</v>
      </c>
      <c r="C36" s="118"/>
      <c r="D36" s="118"/>
      <c r="E36" s="118"/>
      <c r="F36" s="118"/>
      <c r="G36" s="118"/>
      <c r="H36" s="118"/>
      <c r="I36" s="118"/>
      <c r="J36" s="118"/>
      <c r="K36" s="118"/>
      <c r="L36" s="118" t="s">
        <v>495</v>
      </c>
      <c r="M36" s="118" t="s">
        <v>401</v>
      </c>
      <c r="N36" s="118"/>
      <c r="O36" s="118"/>
      <c r="P36" s="118"/>
      <c r="Q36" s="118"/>
      <c r="R36" s="118"/>
      <c r="S36" s="118" t="s">
        <v>602</v>
      </c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118"/>
      <c r="BS36" s="118"/>
      <c r="BT36" s="118"/>
      <c r="BU36" s="118"/>
      <c r="BV36" s="118"/>
      <c r="BW36" s="118"/>
      <c r="BX36" s="118"/>
      <c r="BY36" s="118"/>
      <c r="BZ36" s="118"/>
      <c r="CA36" s="118"/>
      <c r="CB36" s="118"/>
      <c r="CC36" s="118"/>
      <c r="CD36" s="118"/>
      <c r="CE36" s="51">
        <f t="shared" si="14"/>
        <v>3</v>
      </c>
      <c r="CF36" s="51">
        <f t="shared" si="15"/>
        <v>78</v>
      </c>
      <c r="CG36" s="190">
        <f t="shared" si="16"/>
        <v>13</v>
      </c>
      <c r="CH36" s="188">
        <f t="shared" si="17"/>
        <v>0</v>
      </c>
      <c r="CI36" s="188">
        <f t="shared" si="18"/>
        <v>90</v>
      </c>
      <c r="CJ36" s="188">
        <f t="shared" si="19"/>
        <v>1</v>
      </c>
      <c r="CK36" s="53">
        <f t="shared" si="20"/>
        <v>90</v>
      </c>
      <c r="CL36" s="54">
        <f t="shared" si="21"/>
        <v>78</v>
      </c>
      <c r="CM36" s="54">
        <f t="shared" si="22"/>
        <v>6.9230769230769234</v>
      </c>
      <c r="CN36" s="46" t="str">
        <f t="shared" si="23"/>
        <v>1-37</v>
      </c>
      <c r="CO36" s="55">
        <f t="shared" si="10"/>
        <v>90.003600000000006</v>
      </c>
      <c r="CP36" s="2">
        <f t="shared" si="11"/>
        <v>19</v>
      </c>
      <c r="CQ36" s="102" t="str">
        <f t="shared" si="12"/>
        <v/>
      </c>
      <c r="CR36" s="2">
        <f t="shared" si="13"/>
        <v>0</v>
      </c>
      <c r="CS36" s="118"/>
      <c r="CT36" s="118"/>
      <c r="CU36" s="118"/>
      <c r="CV36" s="118"/>
      <c r="CW36" s="118"/>
      <c r="CX36" s="118"/>
      <c r="CY36" s="118"/>
      <c r="CZ36" s="118"/>
      <c r="DA36" s="118"/>
      <c r="DB36" s="118"/>
      <c r="DC36" s="118"/>
      <c r="DD36" s="118"/>
      <c r="DE36" s="118"/>
      <c r="DF36" s="118"/>
      <c r="DG36" s="118"/>
      <c r="DH36" s="118"/>
      <c r="DI36" s="118"/>
      <c r="DJ36" s="118"/>
      <c r="DK36" s="118"/>
      <c r="DL36" s="118"/>
      <c r="DM36" s="118"/>
      <c r="DN36" s="118"/>
      <c r="DO36" s="118"/>
      <c r="DP36" s="118"/>
      <c r="DQ36" s="118"/>
      <c r="DR36" s="118"/>
      <c r="DS36" s="118"/>
      <c r="DT36" s="118"/>
      <c r="DU36" s="118"/>
      <c r="DV36" s="118"/>
      <c r="DW36" s="118"/>
      <c r="DX36" s="118"/>
      <c r="DY36" s="118"/>
      <c r="DZ36" s="118"/>
      <c r="EA36" s="118"/>
      <c r="EB36" s="118"/>
      <c r="EC36" s="118"/>
      <c r="ED36" s="118"/>
      <c r="EE36" s="118"/>
      <c r="EF36" s="118"/>
      <c r="EG36" s="118"/>
      <c r="EH36" s="118"/>
      <c r="EI36" s="118"/>
      <c r="EJ36" s="118"/>
      <c r="EK36" s="118"/>
      <c r="EL36" s="118"/>
      <c r="EM36" s="118"/>
      <c r="EN36" s="118"/>
      <c r="EO36" s="118"/>
      <c r="EP36" s="118"/>
      <c r="EQ36" s="118"/>
      <c r="ER36" s="118"/>
      <c r="ES36" s="118"/>
      <c r="ET36" s="118"/>
      <c r="EU36" s="118"/>
      <c r="EV36" s="118"/>
      <c r="EW36" s="118"/>
      <c r="EX36" s="118"/>
      <c r="EY36" s="118"/>
      <c r="EZ36" s="118"/>
      <c r="FA36" s="118"/>
      <c r="FB36" s="118"/>
      <c r="FC36" s="118"/>
      <c r="FD36" s="118"/>
      <c r="FE36" s="118"/>
      <c r="FF36" s="118"/>
      <c r="FG36" s="118"/>
      <c r="FH36" s="118"/>
      <c r="FI36" s="118"/>
      <c r="FJ36" s="118"/>
      <c r="FK36" s="118"/>
      <c r="FL36" s="118"/>
      <c r="FM36" s="118"/>
      <c r="FN36" s="118"/>
      <c r="FO36" s="118"/>
      <c r="FP36" s="118"/>
      <c r="FQ36" s="118"/>
      <c r="FR36" s="118"/>
      <c r="FS36" s="118"/>
      <c r="FT36" s="118"/>
      <c r="FU36" s="118"/>
      <c r="FV36" s="118"/>
      <c r="FW36" s="118"/>
      <c r="FX36" s="118"/>
      <c r="FY36" s="118"/>
      <c r="FZ36" s="118"/>
      <c r="GA36" s="118"/>
      <c r="GB36" s="118"/>
      <c r="GC36" s="118"/>
      <c r="GD36" s="118"/>
      <c r="GE36" s="118"/>
      <c r="GF36" s="118"/>
      <c r="GG36" s="118"/>
      <c r="GH36" s="118"/>
      <c r="GI36" s="118"/>
      <c r="GJ36" s="118"/>
      <c r="GK36" s="118"/>
      <c r="GL36" s="118"/>
      <c r="GM36" s="118"/>
      <c r="GN36" s="118"/>
      <c r="GO36" s="118"/>
      <c r="GP36" s="118"/>
      <c r="GQ36" s="118"/>
      <c r="GR36" s="118"/>
      <c r="GS36" s="118"/>
      <c r="GT36" s="118"/>
      <c r="GU36" s="118"/>
      <c r="GV36" s="118"/>
      <c r="GW36" s="118"/>
      <c r="GX36" s="118"/>
      <c r="GY36" s="118"/>
      <c r="GZ36" s="118"/>
      <c r="HA36" s="118"/>
      <c r="HB36" s="118"/>
      <c r="HC36" s="118"/>
      <c r="HD36" s="118"/>
      <c r="HE36" s="118"/>
      <c r="HF36" s="118"/>
      <c r="HG36" s="118"/>
      <c r="HH36" s="118"/>
      <c r="HI36" s="118"/>
      <c r="HJ36" s="118"/>
      <c r="HK36" s="118"/>
      <c r="HL36" s="118"/>
      <c r="HM36" s="118"/>
      <c r="HN36" s="118"/>
      <c r="HO36" s="118"/>
      <c r="HP36" s="118"/>
      <c r="HQ36" s="118"/>
      <c r="HR36" s="118"/>
      <c r="HS36" s="118"/>
      <c r="HT36" s="118"/>
      <c r="HU36" s="118"/>
      <c r="HV36" s="118"/>
      <c r="HW36" s="118"/>
      <c r="HX36" s="118"/>
      <c r="HY36" s="118"/>
      <c r="HZ36" s="118"/>
      <c r="IA36" s="118"/>
      <c r="IB36" s="118"/>
      <c r="IC36" s="118"/>
      <c r="ID36" s="118"/>
      <c r="IE36" s="118"/>
      <c r="IF36" s="118"/>
      <c r="IG36" s="118"/>
      <c r="IH36" s="118"/>
      <c r="II36" s="118"/>
      <c r="IJ36" s="118"/>
      <c r="IK36" s="118"/>
      <c r="IL36" s="118"/>
      <c r="IM36" s="118"/>
      <c r="IN36" s="118"/>
      <c r="IO36" s="118"/>
      <c r="IP36" s="118"/>
      <c r="IQ36" s="118"/>
      <c r="IR36" s="118"/>
      <c r="IS36" s="118"/>
      <c r="IT36" s="118"/>
      <c r="IU36" s="118"/>
      <c r="IV36" s="118"/>
      <c r="IW36" s="118"/>
      <c r="IX36" s="118"/>
      <c r="IY36" s="118"/>
      <c r="IZ36" s="118"/>
      <c r="JA36" s="118"/>
      <c r="JB36" s="118"/>
      <c r="JC36" s="118"/>
      <c r="JD36" s="118"/>
      <c r="JE36" s="118"/>
      <c r="JF36" s="118"/>
      <c r="JG36" s="118"/>
      <c r="JH36" s="118"/>
      <c r="JI36" s="118"/>
      <c r="JJ36" s="118"/>
      <c r="JK36" s="118"/>
      <c r="JL36" s="118"/>
      <c r="JM36" s="118"/>
      <c r="JN36" s="118"/>
      <c r="JO36" s="118"/>
      <c r="JP36" s="118"/>
      <c r="JQ36" s="118"/>
      <c r="JR36" s="118"/>
      <c r="JS36" s="118"/>
      <c r="JT36" s="118"/>
      <c r="JU36" s="118"/>
      <c r="JV36" s="118"/>
      <c r="JW36" s="118"/>
      <c r="JX36" s="118"/>
      <c r="JY36" s="118"/>
      <c r="JZ36" s="118"/>
      <c r="KA36" s="118"/>
      <c r="KB36" s="118"/>
      <c r="KC36" s="118"/>
      <c r="KD36" s="118"/>
      <c r="KE36" s="118"/>
      <c r="KF36" s="118"/>
      <c r="KG36" s="118"/>
      <c r="KH36" s="118"/>
      <c r="KI36" s="118"/>
      <c r="KJ36" s="118"/>
      <c r="KK36" s="118"/>
      <c r="KL36" s="118"/>
      <c r="KM36" s="118"/>
      <c r="KN36" s="118"/>
      <c r="KO36" s="118"/>
      <c r="KP36" s="118"/>
      <c r="KQ36" s="118"/>
      <c r="KR36" s="118"/>
      <c r="KS36" s="118"/>
      <c r="KT36" s="118"/>
      <c r="KU36" s="118"/>
      <c r="KV36" s="118"/>
      <c r="KW36" s="118"/>
      <c r="KX36" s="118"/>
      <c r="KY36" s="118"/>
      <c r="KZ36" s="118"/>
      <c r="LA36" s="118"/>
      <c r="LB36" s="118"/>
      <c r="LC36" s="118"/>
      <c r="LD36" s="118"/>
      <c r="LE36" s="118"/>
      <c r="LF36" s="118"/>
      <c r="LG36" s="118"/>
      <c r="LH36" s="118"/>
      <c r="LI36" s="118"/>
      <c r="LJ36" s="118"/>
      <c r="LK36" s="118"/>
      <c r="LL36" s="118"/>
      <c r="LM36" s="118"/>
      <c r="LN36" s="118"/>
      <c r="LO36" s="118"/>
      <c r="LP36" s="118"/>
      <c r="LQ36" s="118"/>
      <c r="LR36" s="118"/>
      <c r="LS36" s="118"/>
      <c r="LT36" s="118"/>
      <c r="LU36" s="118"/>
      <c r="LV36" s="118"/>
      <c r="LW36" s="118"/>
      <c r="LX36" s="118"/>
      <c r="LY36" s="118"/>
      <c r="LZ36" s="118"/>
      <c r="MA36" s="118"/>
      <c r="MB36" s="118"/>
      <c r="MC36" s="118"/>
      <c r="MD36" s="118"/>
      <c r="ME36" s="118"/>
      <c r="MF36" s="118"/>
      <c r="MG36" s="118"/>
      <c r="MH36" s="118"/>
      <c r="MI36" s="118"/>
      <c r="MJ36" s="118"/>
      <c r="MK36" s="118"/>
      <c r="ML36" s="118"/>
      <c r="MM36" s="118"/>
      <c r="MN36" s="118"/>
      <c r="MO36" s="118"/>
      <c r="MP36" s="118"/>
      <c r="MQ36" s="118"/>
      <c r="MR36" s="118"/>
      <c r="MS36" s="118"/>
      <c r="MT36" s="118"/>
      <c r="MU36" s="118"/>
      <c r="MV36" s="118"/>
      <c r="MW36" s="118"/>
      <c r="MX36" s="118"/>
      <c r="MY36" s="118"/>
      <c r="MZ36" s="118"/>
      <c r="NA36" s="118"/>
      <c r="NB36" s="118"/>
      <c r="NC36" s="118"/>
      <c r="ND36" s="118"/>
      <c r="NE36" s="118"/>
      <c r="NF36" s="118"/>
      <c r="NG36" s="118"/>
      <c r="NH36" s="118"/>
      <c r="NI36" s="118"/>
      <c r="NJ36" s="118"/>
      <c r="NK36" s="118"/>
      <c r="NL36" s="118"/>
      <c r="NM36" s="118"/>
      <c r="NN36" s="118"/>
      <c r="NO36" s="118"/>
      <c r="NP36" s="118"/>
      <c r="NQ36" s="118"/>
      <c r="NR36" s="118"/>
      <c r="NS36" s="118"/>
      <c r="NT36" s="118"/>
      <c r="NU36" s="118"/>
      <c r="NV36" s="118"/>
      <c r="NW36" s="118"/>
      <c r="NX36" s="118"/>
      <c r="NY36" s="118"/>
      <c r="NZ36" s="118"/>
      <c r="OA36" s="118"/>
      <c r="OB36" s="118"/>
      <c r="OC36" s="118"/>
      <c r="OD36" s="118"/>
      <c r="OE36" s="118"/>
      <c r="OF36" s="118"/>
      <c r="OG36" s="118"/>
      <c r="OH36" s="118"/>
      <c r="OI36" s="118"/>
      <c r="OJ36" s="118"/>
      <c r="OK36" s="118"/>
      <c r="OL36" s="118"/>
      <c r="OM36" s="118"/>
      <c r="ON36" s="118"/>
      <c r="OO36" s="118"/>
      <c r="OP36" s="118"/>
      <c r="OQ36" s="118"/>
      <c r="OR36" s="118"/>
      <c r="OS36" s="118"/>
      <c r="OT36" s="118"/>
      <c r="OU36" s="118"/>
      <c r="OV36" s="118"/>
      <c r="OW36" s="118"/>
      <c r="OX36" s="118"/>
      <c r="OY36" s="118"/>
      <c r="OZ36" s="118"/>
      <c r="PA36" s="118"/>
      <c r="PB36" s="118"/>
      <c r="PC36" s="118"/>
      <c r="PD36" s="118"/>
      <c r="PE36" s="118"/>
      <c r="PF36" s="118"/>
      <c r="PG36" s="118"/>
      <c r="PH36" s="118"/>
      <c r="PI36" s="118"/>
      <c r="PJ36" s="118"/>
      <c r="PK36" s="118"/>
      <c r="PL36" s="118"/>
      <c r="PM36" s="118"/>
      <c r="PN36" s="118"/>
      <c r="PO36" s="118"/>
      <c r="PP36" s="118"/>
      <c r="PQ36" s="118"/>
      <c r="PR36" s="118"/>
      <c r="PS36" s="118"/>
      <c r="PT36" s="118"/>
      <c r="PU36" s="118"/>
      <c r="PV36" s="118"/>
      <c r="PW36" s="118"/>
      <c r="PX36" s="118"/>
      <c r="PY36" s="118"/>
      <c r="PZ36" s="118"/>
      <c r="QA36" s="118"/>
      <c r="QB36" s="118"/>
      <c r="QC36" s="118"/>
      <c r="QD36" s="118"/>
      <c r="QE36" s="118"/>
      <c r="QF36" s="118"/>
      <c r="QG36" s="118"/>
      <c r="QH36" s="118"/>
      <c r="QI36" s="118"/>
      <c r="QJ36" s="118"/>
      <c r="QK36" s="118"/>
      <c r="QL36" s="118"/>
      <c r="QM36" s="118"/>
      <c r="QN36" s="118"/>
      <c r="QO36" s="118"/>
      <c r="QP36" s="118"/>
      <c r="QQ36" s="118"/>
      <c r="QR36" s="118"/>
      <c r="QS36" s="118"/>
      <c r="QT36" s="118"/>
      <c r="QU36" s="118"/>
      <c r="QV36" s="118"/>
      <c r="QW36" s="118"/>
      <c r="QX36" s="118"/>
      <c r="QY36" s="118"/>
      <c r="QZ36" s="118"/>
      <c r="RA36" s="118"/>
      <c r="RB36" s="118"/>
      <c r="RC36" s="118"/>
      <c r="RD36" s="118"/>
      <c r="RE36" s="118"/>
      <c r="RF36" s="118"/>
      <c r="RG36" s="118"/>
      <c r="RH36" s="118"/>
      <c r="RI36" s="118"/>
      <c r="RJ36" s="118"/>
      <c r="RK36" s="118"/>
      <c r="RL36" s="118"/>
      <c r="RM36" s="118"/>
      <c r="RN36" s="118"/>
      <c r="RO36" s="118"/>
      <c r="RP36" s="118"/>
      <c r="RQ36" s="118"/>
      <c r="RR36" s="118"/>
      <c r="RS36" s="118"/>
      <c r="RT36" s="118"/>
      <c r="RU36" s="118"/>
      <c r="RV36" s="118"/>
      <c r="RW36" s="118"/>
      <c r="RX36" s="118"/>
      <c r="RY36" s="118"/>
      <c r="RZ36" s="118"/>
      <c r="SA36" s="118"/>
      <c r="SB36" s="118"/>
      <c r="SC36" s="118"/>
      <c r="SD36" s="118"/>
      <c r="SE36" s="118"/>
      <c r="SF36" s="118"/>
      <c r="SG36" s="118"/>
      <c r="SH36" s="118"/>
      <c r="SI36" s="118"/>
      <c r="SJ36" s="118"/>
      <c r="SK36" s="118"/>
      <c r="SL36" s="118"/>
      <c r="SM36" s="118"/>
      <c r="SN36" s="118"/>
      <c r="SO36" s="118"/>
      <c r="SP36" s="118"/>
      <c r="SQ36" s="118"/>
      <c r="SR36" s="118"/>
      <c r="SS36" s="118"/>
      <c r="ST36" s="118"/>
      <c r="SU36" s="118"/>
      <c r="SV36" s="118"/>
      <c r="SW36" s="118"/>
      <c r="SX36" s="118"/>
      <c r="SY36" s="118"/>
      <c r="SZ36" s="118"/>
      <c r="TA36" s="118"/>
      <c r="TB36" s="118"/>
      <c r="TC36" s="118"/>
      <c r="TD36" s="118"/>
      <c r="TE36" s="118"/>
      <c r="TF36" s="118"/>
      <c r="TG36" s="118"/>
      <c r="TH36" s="118"/>
      <c r="TI36" s="118"/>
      <c r="TJ36" s="118"/>
      <c r="TK36" s="118"/>
      <c r="TL36" s="118"/>
      <c r="TM36" s="118"/>
      <c r="TN36" s="118"/>
      <c r="TO36" s="118"/>
      <c r="TP36" s="118"/>
      <c r="TQ36" s="118"/>
      <c r="TR36" s="118"/>
      <c r="TS36" s="118"/>
      <c r="TT36" s="118"/>
      <c r="TU36" s="118"/>
      <c r="TV36" s="118"/>
      <c r="TW36" s="118"/>
      <c r="TX36" s="118"/>
      <c r="TY36" s="118"/>
      <c r="TZ36" s="118"/>
      <c r="UA36" s="118"/>
      <c r="UB36" s="118"/>
      <c r="UC36" s="118"/>
      <c r="UD36" s="118"/>
      <c r="UE36" s="118"/>
      <c r="UF36" s="118"/>
      <c r="UG36" s="118"/>
      <c r="UH36" s="118"/>
      <c r="UI36" s="118"/>
      <c r="UJ36" s="118"/>
      <c r="UK36" s="118"/>
      <c r="UL36" s="118"/>
      <c r="UM36" s="118"/>
      <c r="UN36" s="118"/>
      <c r="UO36" s="118"/>
      <c r="UP36" s="118"/>
      <c r="UQ36" s="118"/>
      <c r="UR36" s="118"/>
      <c r="US36" s="118"/>
      <c r="UT36" s="118"/>
      <c r="UU36" s="118"/>
      <c r="UV36" s="118"/>
      <c r="UW36" s="118"/>
      <c r="UX36" s="118"/>
      <c r="UY36" s="118"/>
      <c r="UZ36" s="118"/>
      <c r="VA36" s="118"/>
      <c r="VB36" s="118"/>
      <c r="VC36" s="118"/>
      <c r="VD36" s="118"/>
      <c r="VE36" s="118"/>
      <c r="VF36" s="118"/>
      <c r="VG36" s="118"/>
      <c r="VH36" s="118"/>
      <c r="VI36" s="118"/>
      <c r="VJ36" s="118"/>
      <c r="VK36" s="118"/>
      <c r="VL36" s="118"/>
      <c r="VM36" s="118"/>
      <c r="VN36" s="118"/>
      <c r="VO36" s="118"/>
      <c r="VP36" s="118"/>
      <c r="VQ36" s="118"/>
      <c r="VR36" s="118"/>
      <c r="VS36" s="118"/>
      <c r="VT36" s="118"/>
      <c r="VU36" s="118"/>
      <c r="VV36" s="118"/>
      <c r="VW36" s="118"/>
      <c r="VX36" s="118"/>
      <c r="VY36" s="118"/>
      <c r="VZ36" s="118"/>
      <c r="WA36" s="118"/>
      <c r="WB36" s="118"/>
      <c r="WC36" s="118"/>
      <c r="WD36" s="118"/>
      <c r="WE36" s="118"/>
      <c r="WF36" s="118"/>
      <c r="WG36" s="118"/>
      <c r="WH36" s="118"/>
      <c r="WI36" s="118"/>
      <c r="WJ36" s="118"/>
      <c r="WK36" s="118"/>
      <c r="WL36" s="118"/>
      <c r="WM36" s="118"/>
      <c r="WN36" s="118"/>
      <c r="WO36" s="118"/>
      <c r="WP36" s="118"/>
      <c r="WQ36" s="118"/>
      <c r="WR36" s="118"/>
      <c r="WS36" s="118"/>
      <c r="WT36" s="118"/>
      <c r="WU36" s="118"/>
      <c r="WV36" s="118"/>
      <c r="WW36" s="118"/>
      <c r="WX36" s="118"/>
      <c r="WY36" s="118"/>
      <c r="WZ36" s="118"/>
      <c r="XA36" s="118"/>
      <c r="XB36" s="118"/>
      <c r="XC36" s="118"/>
      <c r="XD36" s="118"/>
      <c r="XE36" s="118"/>
      <c r="XF36" s="118"/>
      <c r="XG36" s="118"/>
      <c r="XH36" s="118"/>
      <c r="XI36" s="118"/>
      <c r="XJ36" s="118"/>
      <c r="XK36" s="118"/>
      <c r="XL36" s="118"/>
      <c r="XM36" s="118"/>
      <c r="XN36" s="118"/>
      <c r="XO36" s="118"/>
      <c r="XP36" s="118"/>
      <c r="XQ36" s="118"/>
      <c r="XR36" s="118"/>
      <c r="XS36" s="118"/>
      <c r="XT36" s="118"/>
      <c r="XU36" s="118"/>
      <c r="XV36" s="118"/>
      <c r="XW36" s="118"/>
      <c r="XX36" s="118"/>
      <c r="XY36" s="118"/>
      <c r="XZ36" s="118"/>
      <c r="YA36" s="118"/>
      <c r="YB36" s="118"/>
      <c r="YC36" s="118"/>
      <c r="YD36" s="118"/>
      <c r="YE36" s="118"/>
      <c r="YF36" s="118"/>
      <c r="YG36" s="118"/>
      <c r="YH36" s="118"/>
      <c r="YI36" s="118"/>
      <c r="YJ36" s="118"/>
      <c r="YK36" s="118"/>
      <c r="YL36" s="118"/>
      <c r="YM36" s="118"/>
      <c r="YN36" s="118"/>
      <c r="YO36" s="118"/>
      <c r="YP36" s="118"/>
      <c r="YQ36" s="118"/>
      <c r="YR36" s="118"/>
      <c r="YS36" s="118"/>
      <c r="YT36" s="118"/>
      <c r="YU36" s="118"/>
      <c r="YV36" s="118"/>
      <c r="YW36" s="118"/>
      <c r="YX36" s="118"/>
      <c r="YY36" s="118"/>
      <c r="YZ36" s="118"/>
      <c r="ZA36" s="118"/>
      <c r="ZB36" s="118"/>
      <c r="ZC36" s="118"/>
      <c r="ZD36" s="118"/>
      <c r="ZE36" s="118"/>
      <c r="ZF36" s="118"/>
      <c r="ZG36" s="118"/>
      <c r="ZH36" s="118"/>
      <c r="ZI36" s="118"/>
      <c r="ZJ36" s="118"/>
      <c r="ZK36" s="118"/>
      <c r="ZL36" s="118"/>
      <c r="ZM36" s="118"/>
      <c r="ZN36" s="118"/>
      <c r="ZO36" s="118"/>
      <c r="ZP36" s="118"/>
      <c r="ZQ36" s="118"/>
      <c r="ZR36" s="118"/>
      <c r="ZS36" s="118"/>
      <c r="ZT36" s="118"/>
      <c r="ZU36" s="118"/>
      <c r="ZV36" s="118"/>
      <c r="ZW36" s="118"/>
      <c r="ZX36" s="118"/>
      <c r="ZY36" s="118"/>
      <c r="ZZ36" s="118"/>
      <c r="AAA36" s="118"/>
      <c r="AAB36" s="118"/>
      <c r="AAC36" s="118"/>
      <c r="AAD36" s="118"/>
      <c r="AAE36" s="118"/>
      <c r="AAF36" s="118"/>
      <c r="AAG36" s="118"/>
      <c r="AAH36" s="118"/>
      <c r="AAI36" s="118"/>
      <c r="AAJ36" s="118"/>
      <c r="AAK36" s="118"/>
      <c r="AAL36" s="118"/>
      <c r="AAM36" s="118"/>
      <c r="AAN36" s="118"/>
      <c r="AAO36" s="118"/>
      <c r="AAP36" s="118"/>
      <c r="AAQ36" s="118"/>
      <c r="AAR36" s="118"/>
      <c r="AAS36" s="118"/>
      <c r="AAT36" s="118"/>
      <c r="AAU36" s="118"/>
      <c r="AAV36" s="118"/>
      <c r="AAW36" s="118"/>
      <c r="AAX36" s="118"/>
      <c r="AAY36" s="118"/>
      <c r="AAZ36" s="118"/>
      <c r="ABA36" s="118"/>
      <c r="ABB36" s="118"/>
      <c r="ABC36" s="118"/>
      <c r="ABD36" s="118"/>
      <c r="ABE36" s="118"/>
      <c r="ABF36" s="118"/>
      <c r="ABG36" s="118"/>
      <c r="ABH36" s="118"/>
      <c r="ABI36" s="118"/>
      <c r="ABJ36" s="118"/>
      <c r="ABK36" s="118"/>
      <c r="ABL36" s="118"/>
      <c r="ABM36" s="118"/>
      <c r="ABN36" s="118"/>
      <c r="ABO36" s="118"/>
      <c r="ABP36" s="118"/>
      <c r="ABQ36" s="118"/>
      <c r="ABR36" s="118"/>
      <c r="ABS36" s="118"/>
      <c r="ABT36" s="118"/>
      <c r="ABU36" s="118"/>
      <c r="ABV36" s="118"/>
      <c r="ABW36" s="118"/>
      <c r="ABX36" s="118"/>
      <c r="ABY36" s="118"/>
      <c r="ABZ36" s="118"/>
      <c r="ACA36" s="118"/>
      <c r="ACB36" s="118"/>
      <c r="ACC36" s="118"/>
      <c r="ACD36" s="118"/>
      <c r="ACE36" s="118"/>
      <c r="ACF36" s="118"/>
      <c r="ACG36" s="118"/>
      <c r="ACH36" s="118"/>
      <c r="ACI36" s="118"/>
      <c r="ACJ36" s="118"/>
      <c r="ACK36" s="118"/>
      <c r="ACL36" s="118"/>
      <c r="ACM36" s="118"/>
      <c r="ACN36" s="118"/>
      <c r="ACO36" s="118"/>
      <c r="ACP36" s="118"/>
      <c r="ACQ36" s="118"/>
      <c r="ACR36" s="118"/>
      <c r="ACS36" s="118"/>
      <c r="ACT36" s="118"/>
      <c r="ACU36" s="118"/>
      <c r="ACV36" s="118"/>
      <c r="ACW36" s="118"/>
      <c r="ACX36" s="118"/>
      <c r="ACY36" s="118"/>
      <c r="ACZ36" s="118"/>
      <c r="ADA36" s="118"/>
      <c r="ADB36" s="118"/>
      <c r="ADC36" s="118"/>
      <c r="ADD36" s="118"/>
      <c r="ADE36" s="118"/>
      <c r="ADF36" s="118"/>
      <c r="ADG36" s="118"/>
      <c r="ADH36" s="118"/>
      <c r="ADI36" s="118"/>
      <c r="ADJ36" s="118"/>
      <c r="ADK36" s="118"/>
      <c r="ADL36" s="118"/>
      <c r="ADM36" s="118"/>
      <c r="ADN36" s="118"/>
      <c r="ADO36" s="118"/>
      <c r="ADP36" s="118"/>
      <c r="ADQ36" s="118"/>
      <c r="ADR36" s="118"/>
      <c r="ADS36" s="118"/>
      <c r="ADT36" s="118"/>
      <c r="ADU36" s="118"/>
      <c r="ADV36" s="118"/>
      <c r="ADW36" s="118"/>
      <c r="ADX36" s="118"/>
      <c r="ADY36" s="118"/>
      <c r="ADZ36" s="118"/>
      <c r="AEA36" s="118"/>
      <c r="AEB36" s="118"/>
      <c r="AEC36" s="118"/>
      <c r="AED36" s="118"/>
      <c r="AEE36" s="118"/>
      <c r="AEF36" s="118"/>
      <c r="AEG36" s="118"/>
      <c r="AEH36" s="118"/>
      <c r="AEI36" s="118"/>
      <c r="AEJ36" s="118"/>
      <c r="AEK36" s="118"/>
      <c r="AEL36" s="118"/>
      <c r="AEM36" s="118"/>
      <c r="AEN36" s="118"/>
      <c r="AEO36" s="118"/>
      <c r="AEP36" s="118"/>
      <c r="AEQ36" s="118"/>
      <c r="AER36" s="118"/>
      <c r="AES36" s="118"/>
      <c r="AET36" s="118"/>
      <c r="AEU36" s="118"/>
      <c r="AEV36" s="118"/>
      <c r="AEW36" s="118"/>
      <c r="AEX36" s="118"/>
      <c r="AEY36" s="118"/>
      <c r="AEZ36" s="118"/>
      <c r="AFA36" s="118"/>
      <c r="AFB36" s="118"/>
      <c r="AFC36" s="118"/>
      <c r="AFD36" s="118"/>
      <c r="AFE36" s="118"/>
      <c r="AFF36" s="118"/>
      <c r="AFG36" s="118"/>
      <c r="AFH36" s="118"/>
      <c r="AFI36" s="118"/>
      <c r="AFJ36" s="118"/>
      <c r="AFK36" s="118"/>
      <c r="AFL36" s="118"/>
      <c r="AFM36" s="118"/>
      <c r="AFN36" s="118"/>
      <c r="AFO36" s="118"/>
      <c r="AFP36" s="118"/>
      <c r="AFQ36" s="118"/>
      <c r="AFR36" s="118"/>
      <c r="AFS36" s="118"/>
      <c r="AFT36" s="118"/>
      <c r="AFU36" s="118"/>
      <c r="AFV36" s="118"/>
      <c r="AFW36" s="118"/>
      <c r="AFX36" s="118"/>
      <c r="AFY36" s="118"/>
      <c r="AFZ36" s="118"/>
      <c r="AGA36" s="118"/>
      <c r="AGB36" s="118"/>
      <c r="AGC36" s="118"/>
      <c r="AGD36" s="118"/>
      <c r="AGE36" s="118"/>
      <c r="AGF36" s="118"/>
      <c r="AGG36" s="118"/>
      <c r="AGH36" s="118"/>
      <c r="AGI36" s="118"/>
      <c r="AGJ36" s="118"/>
      <c r="AGK36" s="118"/>
      <c r="AGL36" s="118"/>
      <c r="AGM36" s="118"/>
      <c r="AGN36" s="118"/>
      <c r="AGO36" s="118"/>
      <c r="AGP36" s="118"/>
      <c r="AGQ36" s="118"/>
      <c r="AGR36" s="118"/>
      <c r="AGS36" s="118"/>
      <c r="AGT36" s="118"/>
      <c r="AGU36" s="118"/>
      <c r="AGV36" s="118"/>
      <c r="AGW36" s="118"/>
      <c r="AGX36" s="118"/>
      <c r="AGY36" s="118"/>
      <c r="AGZ36" s="118"/>
      <c r="AHA36" s="118"/>
      <c r="AHB36" s="118"/>
      <c r="AHC36" s="118"/>
      <c r="AHD36" s="118"/>
      <c r="AHE36" s="118"/>
      <c r="AHF36" s="118"/>
      <c r="AHG36" s="118"/>
      <c r="AHH36" s="118"/>
      <c r="AHI36" s="118"/>
      <c r="AHJ36" s="118"/>
      <c r="AHK36" s="118"/>
      <c r="AHL36" s="118"/>
      <c r="AHM36" s="118"/>
      <c r="AHN36" s="118"/>
      <c r="AHO36" s="118"/>
      <c r="AHP36" s="118"/>
      <c r="AHQ36" s="118"/>
      <c r="AHR36" s="118"/>
      <c r="AHS36" s="118"/>
      <c r="AHT36" s="118"/>
      <c r="AHU36" s="118"/>
      <c r="AHV36" s="118"/>
      <c r="AHW36" s="118"/>
      <c r="AHX36" s="118"/>
      <c r="AHY36" s="118"/>
      <c r="AHZ36" s="118"/>
      <c r="AIA36" s="118"/>
      <c r="AIB36" s="118"/>
      <c r="AIC36" s="118"/>
      <c r="AID36" s="118"/>
      <c r="AIE36" s="118"/>
      <c r="AIF36" s="118"/>
      <c r="AIG36" s="118"/>
      <c r="AIH36" s="118"/>
      <c r="AII36" s="118"/>
      <c r="AIJ36" s="118"/>
      <c r="AIK36" s="118"/>
      <c r="AIL36" s="118"/>
      <c r="AIM36" s="118"/>
      <c r="AIN36" s="118"/>
      <c r="AIO36" s="118"/>
      <c r="AIP36" s="118"/>
      <c r="AIQ36" s="118"/>
      <c r="AIR36" s="118"/>
      <c r="AIS36" s="118"/>
      <c r="AIT36" s="118"/>
      <c r="AIU36" s="118"/>
      <c r="AIV36" s="118"/>
      <c r="AIW36" s="118"/>
      <c r="AIX36" s="118"/>
      <c r="AIY36" s="118"/>
      <c r="AIZ36" s="118"/>
      <c r="AJA36" s="118"/>
      <c r="AJB36" s="118"/>
      <c r="AJC36" s="118"/>
      <c r="AJD36" s="118"/>
      <c r="AJE36" s="118"/>
      <c r="AJF36" s="118"/>
      <c r="AJG36" s="118"/>
      <c r="AJH36" s="118"/>
      <c r="AJI36" s="118"/>
      <c r="AJJ36" s="118"/>
      <c r="AJK36" s="118"/>
      <c r="AJL36" s="118"/>
      <c r="AJM36" s="118"/>
      <c r="AJN36" s="118"/>
      <c r="AJO36" s="118"/>
      <c r="AJP36" s="118"/>
      <c r="AJQ36" s="118"/>
      <c r="AJR36" s="118"/>
      <c r="AJS36" s="118"/>
      <c r="AJT36" s="118"/>
      <c r="AJU36" s="118"/>
      <c r="AJV36" s="118"/>
      <c r="AJW36" s="118"/>
      <c r="AJX36" s="118"/>
      <c r="AJY36" s="118"/>
      <c r="AJZ36" s="118"/>
      <c r="AKA36" s="118"/>
      <c r="AKB36" s="118"/>
      <c r="AKC36" s="118"/>
      <c r="AKD36" s="118"/>
      <c r="AKE36" s="118"/>
      <c r="AKF36" s="118"/>
      <c r="AKG36" s="118"/>
      <c r="AKH36" s="118"/>
      <c r="AKI36" s="118"/>
      <c r="AKJ36" s="118"/>
      <c r="AKK36" s="118"/>
      <c r="AKL36" s="118"/>
      <c r="AKM36" s="118"/>
      <c r="AKN36" s="118"/>
      <c r="AKO36" s="118"/>
      <c r="AKP36" s="118"/>
      <c r="AKQ36" s="118"/>
      <c r="AKR36" s="118"/>
      <c r="AKS36" s="118"/>
      <c r="AKT36" s="118"/>
      <c r="AKU36" s="118"/>
      <c r="AKV36" s="118"/>
      <c r="AKW36" s="118"/>
      <c r="AKX36" s="118"/>
      <c r="AKY36" s="118"/>
      <c r="AKZ36" s="118"/>
      <c r="ALA36" s="118"/>
      <c r="ALB36" s="118"/>
      <c r="ALC36" s="118"/>
      <c r="ALD36" s="118"/>
      <c r="ALE36" s="118"/>
      <c r="ALF36" s="118"/>
      <c r="ALG36" s="118"/>
      <c r="ALH36" s="118"/>
      <c r="ALI36" s="118"/>
      <c r="ALJ36" s="118"/>
      <c r="ALK36" s="118"/>
      <c r="ALL36" s="118"/>
      <c r="ALM36" s="118"/>
      <c r="ALN36" s="118"/>
      <c r="ALO36" s="118"/>
      <c r="ALP36" s="118"/>
      <c r="ALQ36" s="118"/>
      <c r="ALR36" s="118"/>
      <c r="ALS36" s="118"/>
      <c r="ALT36" s="118"/>
      <c r="ALU36" s="118"/>
      <c r="ALV36" s="118"/>
      <c r="ALW36" s="118"/>
      <c r="ALX36" s="118"/>
      <c r="ALY36" s="118"/>
      <c r="ALZ36" s="118"/>
      <c r="AMA36" s="118"/>
      <c r="AMB36" s="118"/>
      <c r="AMC36" s="118"/>
      <c r="AMD36" s="118"/>
      <c r="AME36" s="118"/>
      <c r="AMF36" s="118"/>
      <c r="AMG36" s="118"/>
      <c r="AMH36" s="118"/>
      <c r="AMI36" s="118"/>
      <c r="AMJ36" s="118"/>
      <c r="AMK36" s="118"/>
      <c r="AML36" s="118"/>
      <c r="AMM36" s="118"/>
      <c r="AMN36" s="118"/>
      <c r="AMO36" s="118"/>
      <c r="AMP36" s="118"/>
      <c r="AMQ36" s="118"/>
      <c r="AMR36" s="118"/>
      <c r="AMS36" s="118"/>
      <c r="AMT36" s="118"/>
      <c r="AMU36" s="118"/>
      <c r="AMV36" s="118"/>
      <c r="AMW36" s="118"/>
      <c r="AMX36" s="118"/>
      <c r="AMY36" s="118"/>
      <c r="AMZ36" s="118"/>
      <c r="ANA36" s="118"/>
      <c r="ANB36" s="118"/>
      <c r="ANC36" s="118"/>
      <c r="AND36" s="118"/>
      <c r="ANE36" s="118"/>
      <c r="ANF36" s="118"/>
      <c r="ANG36" s="118"/>
      <c r="ANH36" s="118"/>
      <c r="ANI36" s="118"/>
      <c r="ANJ36" s="118"/>
      <c r="ANK36" s="118"/>
      <c r="ANL36" s="118"/>
      <c r="ANM36" s="118"/>
      <c r="ANN36" s="118"/>
      <c r="ANO36" s="118"/>
      <c r="ANP36" s="118"/>
      <c r="ANQ36" s="118"/>
      <c r="ANR36" s="118"/>
      <c r="ANS36" s="118"/>
      <c r="ANT36" s="118"/>
      <c r="ANU36" s="118"/>
      <c r="ANV36" s="118"/>
      <c r="ANW36" s="118"/>
      <c r="ANX36" s="118"/>
      <c r="ANY36" s="118"/>
      <c r="ANZ36" s="118"/>
      <c r="AOA36" s="118"/>
      <c r="AOB36" s="118"/>
      <c r="AOC36" s="118"/>
      <c r="AOD36" s="118"/>
      <c r="AOE36" s="118"/>
      <c r="AOF36" s="118"/>
      <c r="AOG36" s="118"/>
      <c r="AOH36" s="118"/>
      <c r="AOI36" s="118"/>
      <c r="AOJ36" s="118"/>
      <c r="AOK36" s="118"/>
      <c r="AOL36" s="118"/>
      <c r="AOM36" s="118"/>
      <c r="AON36" s="118"/>
      <c r="AOO36" s="118"/>
      <c r="AOP36" s="118"/>
      <c r="AOQ36" s="118"/>
      <c r="AOR36" s="118"/>
      <c r="AOS36" s="118"/>
      <c r="AOT36" s="118"/>
      <c r="AOU36" s="118"/>
      <c r="AOV36" s="118"/>
      <c r="AOW36" s="118"/>
      <c r="AOX36" s="118"/>
      <c r="AOY36" s="118"/>
      <c r="AOZ36" s="118"/>
      <c r="APA36" s="118"/>
      <c r="APB36" s="118"/>
      <c r="APC36" s="118"/>
      <c r="APD36" s="118"/>
      <c r="APE36" s="118"/>
      <c r="APF36" s="118"/>
      <c r="APG36" s="118"/>
      <c r="APH36" s="118"/>
      <c r="API36" s="118"/>
      <c r="APJ36" s="118"/>
      <c r="APK36" s="118"/>
      <c r="APL36" s="118"/>
      <c r="APM36" s="118"/>
      <c r="APN36" s="118"/>
      <c r="APO36" s="118"/>
      <c r="APP36" s="118"/>
      <c r="APQ36" s="118"/>
      <c r="APR36" s="118"/>
      <c r="APS36" s="118"/>
      <c r="APT36" s="118"/>
      <c r="APU36" s="118"/>
      <c r="APV36" s="118"/>
      <c r="APW36" s="118"/>
      <c r="APX36" s="118"/>
      <c r="APY36" s="118"/>
      <c r="APZ36" s="118"/>
      <c r="AQA36" s="118"/>
      <c r="AQB36" s="118"/>
      <c r="AQC36" s="118"/>
      <c r="AQD36" s="118"/>
      <c r="AQE36" s="118"/>
      <c r="AQF36" s="118"/>
      <c r="AQG36" s="118"/>
      <c r="AQH36" s="118"/>
      <c r="AQI36" s="118"/>
      <c r="AQJ36" s="118"/>
      <c r="AQK36" s="118"/>
      <c r="AQL36" s="118"/>
      <c r="AQM36" s="118"/>
      <c r="AQN36" s="118"/>
      <c r="AQO36" s="118"/>
      <c r="AQP36" s="118"/>
      <c r="AQQ36" s="118"/>
      <c r="AQR36" s="118"/>
      <c r="AQS36" s="118"/>
      <c r="AQT36" s="118"/>
      <c r="AQU36" s="118"/>
      <c r="AQV36" s="118"/>
      <c r="AQW36" s="118"/>
      <c r="AQX36" s="118"/>
      <c r="AQY36" s="118"/>
      <c r="AQZ36" s="118"/>
      <c r="ARA36" s="118"/>
      <c r="ARB36" s="118"/>
      <c r="ARC36" s="118"/>
      <c r="ARD36" s="118"/>
      <c r="ARE36" s="118"/>
      <c r="ARF36" s="118"/>
      <c r="ARG36" s="118"/>
      <c r="ARH36" s="118"/>
      <c r="ARI36" s="118"/>
      <c r="ARJ36" s="118"/>
      <c r="ARK36" s="118"/>
      <c r="ARL36" s="118"/>
      <c r="ARM36" s="118"/>
      <c r="ARN36" s="118"/>
      <c r="ARO36" s="118"/>
      <c r="ARP36" s="118"/>
      <c r="ARQ36" s="118"/>
      <c r="ARR36" s="118"/>
      <c r="ARS36" s="118"/>
      <c r="ART36" s="118"/>
      <c r="ARU36" s="118"/>
      <c r="ARV36" s="118"/>
      <c r="ARW36" s="118"/>
      <c r="ARX36" s="118"/>
      <c r="ARY36" s="118"/>
      <c r="ARZ36" s="118"/>
      <c r="ASA36" s="118"/>
      <c r="ASB36" s="118"/>
      <c r="ASC36" s="118"/>
      <c r="ASD36" s="118"/>
      <c r="ASE36" s="118"/>
      <c r="ASF36" s="118"/>
      <c r="ASG36" s="118"/>
      <c r="ASH36" s="118"/>
      <c r="ASI36" s="118"/>
      <c r="ASJ36" s="118"/>
      <c r="ASK36" s="118"/>
      <c r="ASL36" s="118"/>
      <c r="ASM36" s="118"/>
      <c r="ASN36" s="118"/>
      <c r="ASO36" s="118"/>
      <c r="ASP36" s="118"/>
      <c r="ASQ36" s="118"/>
      <c r="ASR36" s="118"/>
      <c r="ASS36" s="118"/>
      <c r="AST36" s="118"/>
      <c r="ASU36" s="118"/>
      <c r="ASV36" s="118"/>
      <c r="ASW36" s="118"/>
      <c r="ASX36" s="118"/>
      <c r="ASY36" s="118"/>
      <c r="ASZ36" s="118"/>
      <c r="ATA36" s="118"/>
      <c r="ATB36" s="118"/>
      <c r="ATC36" s="118"/>
      <c r="ATD36" s="118"/>
      <c r="ATE36" s="118"/>
      <c r="ATF36" s="118"/>
      <c r="ATG36" s="118"/>
      <c r="ATH36" s="118"/>
      <c r="ATI36" s="118"/>
      <c r="ATJ36" s="118"/>
      <c r="ATK36" s="118"/>
      <c r="ATL36" s="118"/>
      <c r="ATM36" s="118"/>
      <c r="ATN36" s="118"/>
      <c r="ATO36" s="118"/>
      <c r="ATP36" s="118"/>
      <c r="ATQ36" s="118"/>
      <c r="ATR36" s="118"/>
      <c r="ATS36" s="118"/>
      <c r="ATT36" s="118"/>
      <c r="ATU36" s="118"/>
      <c r="ATV36" s="118"/>
      <c r="ATW36" s="118"/>
      <c r="ATX36" s="118"/>
      <c r="ATY36" s="118"/>
      <c r="ATZ36" s="118"/>
      <c r="AUA36" s="118"/>
      <c r="AUB36" s="118"/>
      <c r="AUC36" s="118"/>
      <c r="AUD36" s="118"/>
      <c r="AUE36" s="118"/>
      <c r="AUF36" s="118"/>
      <c r="AUG36" s="118"/>
      <c r="AUH36" s="118"/>
      <c r="AUI36" s="118"/>
      <c r="AUJ36" s="118"/>
      <c r="AUK36" s="118"/>
      <c r="AUL36" s="118"/>
      <c r="AUM36" s="118"/>
      <c r="AUN36" s="118"/>
      <c r="AUO36" s="118"/>
      <c r="AUP36" s="118"/>
      <c r="AUQ36" s="118"/>
      <c r="AUR36" s="118"/>
      <c r="AUS36" s="118"/>
      <c r="AUT36" s="118"/>
      <c r="AUU36" s="118"/>
      <c r="AUV36" s="118"/>
      <c r="AUW36" s="118"/>
      <c r="AUX36" s="118"/>
      <c r="AUY36" s="118"/>
      <c r="AUZ36" s="118"/>
      <c r="AVA36" s="118"/>
      <c r="AVB36" s="118"/>
      <c r="AVC36" s="118"/>
      <c r="AVD36" s="118"/>
      <c r="AVE36" s="118"/>
      <c r="AVF36" s="118"/>
      <c r="AVG36" s="118"/>
      <c r="AVH36" s="118"/>
      <c r="AVI36" s="118"/>
      <c r="AVJ36" s="118"/>
      <c r="AVK36" s="118"/>
      <c r="AVL36" s="118"/>
      <c r="AVM36" s="118"/>
      <c r="AVN36" s="118"/>
      <c r="AVO36" s="118"/>
      <c r="AVP36" s="118"/>
      <c r="AVQ36" s="118"/>
      <c r="AVR36" s="118"/>
      <c r="AVS36" s="118"/>
      <c r="AVT36" s="118"/>
      <c r="AVU36" s="118"/>
      <c r="AVV36" s="118"/>
      <c r="AVW36" s="118"/>
      <c r="AVX36" s="118"/>
      <c r="AVY36" s="118"/>
      <c r="AVZ36" s="118"/>
      <c r="AWA36" s="118"/>
      <c r="AWB36" s="118"/>
      <c r="AWC36" s="118"/>
      <c r="AWD36" s="118"/>
      <c r="AWE36" s="118"/>
      <c r="AWF36" s="118"/>
      <c r="AWG36" s="118"/>
      <c r="AWH36" s="118"/>
      <c r="AWI36" s="118"/>
      <c r="AWJ36" s="118"/>
      <c r="AWK36" s="118"/>
      <c r="AWL36" s="118"/>
      <c r="AWM36" s="118"/>
      <c r="AWN36" s="118"/>
      <c r="AWO36" s="118"/>
      <c r="AWP36" s="118"/>
      <c r="AWQ36" s="118"/>
      <c r="AWR36" s="118"/>
      <c r="AWS36" s="118"/>
      <c r="AWT36" s="118"/>
      <c r="AWU36" s="118"/>
      <c r="AWV36" s="118"/>
      <c r="AWW36" s="118"/>
      <c r="AWX36" s="118"/>
      <c r="AWY36" s="118"/>
      <c r="AWZ36" s="118"/>
      <c r="AXA36" s="118"/>
      <c r="AXB36" s="118"/>
      <c r="AXC36" s="118"/>
      <c r="AXD36" s="118"/>
      <c r="AXE36" s="118"/>
      <c r="AXF36" s="118"/>
      <c r="AXG36" s="118"/>
      <c r="AXH36" s="118"/>
      <c r="AXI36" s="118"/>
      <c r="AXJ36" s="118"/>
      <c r="AXK36" s="118"/>
      <c r="AXL36" s="118"/>
      <c r="AXM36" s="118"/>
      <c r="AXN36" s="118"/>
      <c r="AXO36" s="118"/>
      <c r="AXP36" s="118"/>
      <c r="AXQ36" s="118"/>
      <c r="AXR36" s="118"/>
      <c r="AXS36" s="118"/>
      <c r="AXT36" s="118"/>
      <c r="AXU36" s="118"/>
      <c r="AXV36" s="118"/>
      <c r="AXW36" s="118"/>
      <c r="AXX36" s="118"/>
      <c r="AXY36" s="118"/>
      <c r="AXZ36" s="118"/>
      <c r="AYA36" s="118"/>
      <c r="AYB36" s="118"/>
      <c r="AYC36" s="118"/>
      <c r="AYD36" s="118"/>
      <c r="AYE36" s="118"/>
      <c r="AYF36" s="118"/>
      <c r="AYG36" s="118"/>
      <c r="AYH36" s="118"/>
      <c r="AYI36" s="118"/>
      <c r="AYJ36" s="118"/>
      <c r="AYK36" s="118"/>
      <c r="AYL36" s="118"/>
      <c r="AYM36" s="118"/>
      <c r="AYN36" s="118"/>
      <c r="AYO36" s="118"/>
      <c r="AYP36" s="118"/>
      <c r="AYQ36" s="118"/>
      <c r="AYR36" s="118"/>
      <c r="AYS36" s="118"/>
      <c r="AYT36" s="118"/>
      <c r="AYU36" s="118"/>
      <c r="AYV36" s="118"/>
      <c r="AYW36" s="118"/>
      <c r="AYX36" s="118"/>
      <c r="AYY36" s="118"/>
      <c r="AYZ36" s="118"/>
      <c r="AZA36" s="118"/>
      <c r="AZB36" s="118"/>
      <c r="AZC36" s="118"/>
      <c r="AZD36" s="118"/>
      <c r="AZE36" s="118"/>
      <c r="AZF36" s="118"/>
      <c r="AZG36" s="118"/>
      <c r="AZH36" s="118"/>
      <c r="AZI36" s="118"/>
      <c r="AZJ36" s="118"/>
      <c r="AZK36" s="118"/>
      <c r="AZL36" s="118"/>
      <c r="AZM36" s="118"/>
      <c r="AZN36" s="118"/>
      <c r="AZO36" s="118"/>
      <c r="AZP36" s="118"/>
      <c r="AZQ36" s="118"/>
      <c r="AZR36" s="118"/>
      <c r="AZS36" s="118"/>
      <c r="AZT36" s="118"/>
      <c r="AZU36" s="118"/>
      <c r="AZV36" s="118"/>
      <c r="AZW36" s="118"/>
      <c r="AZX36" s="118"/>
      <c r="AZY36" s="118"/>
      <c r="AZZ36" s="118"/>
      <c r="BAA36" s="118"/>
      <c r="BAB36" s="118"/>
      <c r="BAC36" s="118"/>
      <c r="BAD36" s="118"/>
      <c r="BAE36" s="118"/>
      <c r="BAF36" s="118"/>
      <c r="BAG36" s="118"/>
      <c r="BAH36" s="118"/>
      <c r="BAI36" s="118"/>
      <c r="BAJ36" s="118"/>
      <c r="BAK36" s="118"/>
      <c r="BAL36" s="118"/>
      <c r="BAM36" s="118"/>
      <c r="BAN36" s="118"/>
      <c r="BAO36" s="118"/>
      <c r="BAP36" s="118"/>
      <c r="BAQ36" s="118"/>
      <c r="BAR36" s="118"/>
      <c r="BAS36" s="118"/>
      <c r="BAT36" s="118"/>
      <c r="BAU36" s="118"/>
      <c r="BAV36" s="118"/>
      <c r="BAW36" s="118"/>
      <c r="BAX36" s="118"/>
      <c r="BAY36" s="118"/>
      <c r="BAZ36" s="118"/>
      <c r="BBA36" s="118"/>
      <c r="BBB36" s="118"/>
      <c r="BBC36" s="118"/>
      <c r="BBD36" s="118"/>
      <c r="BBE36" s="118"/>
      <c r="BBF36" s="118"/>
      <c r="BBG36" s="118"/>
      <c r="BBH36" s="118"/>
      <c r="BBI36" s="118"/>
      <c r="BBJ36" s="118"/>
      <c r="BBK36" s="118"/>
      <c r="BBL36" s="118"/>
      <c r="BBM36" s="118"/>
      <c r="BBN36" s="118"/>
      <c r="BBO36" s="118"/>
      <c r="BBP36" s="118"/>
      <c r="BBQ36" s="118"/>
      <c r="BBR36" s="118"/>
      <c r="BBS36" s="118"/>
      <c r="BBT36" s="118"/>
      <c r="BBU36" s="118"/>
      <c r="BBV36" s="118"/>
      <c r="BBW36" s="118"/>
      <c r="BBX36" s="118"/>
      <c r="BBY36" s="118"/>
      <c r="BBZ36" s="118"/>
      <c r="BCA36" s="118"/>
      <c r="BCB36" s="118"/>
      <c r="BCC36" s="118"/>
      <c r="BCD36" s="118"/>
      <c r="BCE36" s="118"/>
      <c r="BCF36" s="118"/>
      <c r="BCG36" s="118"/>
      <c r="BCH36" s="118"/>
      <c r="BCI36" s="118"/>
      <c r="BCJ36" s="118"/>
      <c r="BCK36" s="118"/>
      <c r="BCL36" s="118"/>
      <c r="BCM36" s="118"/>
      <c r="BCN36" s="118"/>
      <c r="BCO36" s="118"/>
      <c r="BCP36" s="118"/>
      <c r="BCQ36" s="118"/>
      <c r="BCR36" s="118"/>
      <c r="BCS36" s="118"/>
      <c r="BCT36" s="118"/>
      <c r="BCU36" s="118"/>
      <c r="BCV36" s="118"/>
      <c r="BCW36" s="118"/>
      <c r="BCX36" s="118"/>
      <c r="BCY36" s="118"/>
      <c r="BCZ36" s="118"/>
      <c r="BDA36" s="118"/>
      <c r="BDB36" s="118"/>
      <c r="BDC36" s="118"/>
      <c r="BDD36" s="118"/>
      <c r="BDE36" s="118"/>
      <c r="BDF36" s="118"/>
      <c r="BDG36" s="118"/>
      <c r="BDH36" s="118"/>
      <c r="BDI36" s="118"/>
      <c r="BDJ36" s="118"/>
      <c r="BDK36" s="118"/>
      <c r="BDL36" s="118"/>
      <c r="BDM36" s="118"/>
      <c r="BDN36" s="118"/>
      <c r="BDO36" s="118"/>
      <c r="BDP36" s="118"/>
      <c r="BDQ36" s="118"/>
      <c r="BDR36" s="118"/>
      <c r="BDS36" s="118"/>
      <c r="BDT36" s="118"/>
      <c r="BDU36" s="118"/>
      <c r="BDV36" s="118"/>
      <c r="BDW36" s="118"/>
      <c r="BDX36" s="118"/>
      <c r="BDY36" s="118"/>
      <c r="BDZ36" s="118"/>
      <c r="BEA36" s="118"/>
      <c r="BEB36" s="118"/>
      <c r="BEC36" s="118"/>
      <c r="BED36" s="118"/>
      <c r="BEE36" s="118"/>
      <c r="BEF36" s="118"/>
      <c r="BEG36" s="118"/>
      <c r="BEH36" s="118"/>
      <c r="BEI36" s="118"/>
      <c r="BEJ36" s="118"/>
      <c r="BEK36" s="118"/>
      <c r="BEL36" s="118"/>
      <c r="BEM36" s="118"/>
      <c r="BEN36" s="118"/>
      <c r="BEO36" s="118"/>
      <c r="BEP36" s="118"/>
      <c r="BEQ36" s="118"/>
      <c r="BER36" s="118"/>
      <c r="BES36" s="118"/>
      <c r="BET36" s="118"/>
      <c r="BEU36" s="118"/>
      <c r="BEV36" s="118"/>
      <c r="BEW36" s="118"/>
      <c r="BEX36" s="118"/>
      <c r="BEY36" s="118"/>
      <c r="BEZ36" s="118"/>
      <c r="BFA36" s="118"/>
      <c r="BFB36" s="118"/>
      <c r="BFC36" s="118"/>
      <c r="BFD36" s="118"/>
      <c r="BFE36" s="118"/>
      <c r="BFF36" s="118"/>
      <c r="BFG36" s="118"/>
      <c r="BFH36" s="118"/>
      <c r="BFI36" s="118"/>
      <c r="BFJ36" s="118"/>
      <c r="BFK36" s="118"/>
      <c r="BFL36" s="118"/>
      <c r="BFM36" s="118"/>
      <c r="BFN36" s="118"/>
      <c r="BFO36" s="118"/>
      <c r="BFP36" s="118"/>
      <c r="BFQ36" s="118"/>
      <c r="BFR36" s="118"/>
      <c r="BFS36" s="118"/>
      <c r="BFT36" s="118"/>
      <c r="BFU36" s="118"/>
      <c r="BFV36" s="118"/>
      <c r="BFW36" s="118"/>
      <c r="BFX36" s="118"/>
      <c r="BFY36" s="118"/>
      <c r="BFZ36" s="118"/>
      <c r="BGA36" s="118"/>
      <c r="BGB36" s="118"/>
      <c r="BGC36" s="118"/>
      <c r="BGD36" s="118"/>
      <c r="BGE36" s="118"/>
      <c r="BGF36" s="118"/>
      <c r="BGG36" s="118"/>
      <c r="BGH36" s="118"/>
      <c r="BGI36" s="118"/>
      <c r="BGJ36" s="118"/>
      <c r="BGK36" s="118"/>
      <c r="BGL36" s="118"/>
      <c r="BGM36" s="118"/>
      <c r="BGN36" s="118"/>
      <c r="BGO36" s="118"/>
      <c r="BGP36" s="118"/>
      <c r="BGQ36" s="118"/>
      <c r="BGR36" s="118"/>
      <c r="BGS36" s="118"/>
      <c r="BGT36" s="118"/>
      <c r="BGU36" s="118"/>
      <c r="BGV36" s="118"/>
      <c r="BGW36" s="118"/>
      <c r="BGX36" s="118"/>
      <c r="BGY36" s="118"/>
      <c r="BGZ36" s="118"/>
      <c r="BHA36" s="118"/>
      <c r="BHB36" s="118"/>
      <c r="BHC36" s="118"/>
      <c r="BHD36" s="118"/>
      <c r="BHE36" s="118"/>
      <c r="BHF36" s="118"/>
      <c r="BHG36" s="118"/>
      <c r="BHH36" s="118"/>
      <c r="BHI36" s="118"/>
      <c r="BHJ36" s="118"/>
      <c r="BHK36" s="118"/>
      <c r="BHL36" s="118"/>
      <c r="BHM36" s="118"/>
      <c r="BHN36" s="118"/>
      <c r="BHO36" s="118"/>
      <c r="BHP36" s="118"/>
      <c r="BHQ36" s="118"/>
      <c r="BHR36" s="118"/>
      <c r="BHS36" s="118"/>
      <c r="BHT36" s="118"/>
      <c r="BHU36" s="118"/>
      <c r="BHV36" s="118"/>
      <c r="BHW36" s="118"/>
      <c r="BHX36" s="118"/>
      <c r="BHY36" s="118"/>
      <c r="BHZ36" s="118"/>
      <c r="BIA36" s="118"/>
      <c r="BIB36" s="118"/>
      <c r="BIC36" s="118"/>
      <c r="BID36" s="118"/>
      <c r="BIE36" s="118"/>
      <c r="BIF36" s="118"/>
      <c r="BIG36" s="118"/>
      <c r="BIH36" s="118"/>
      <c r="BII36" s="118"/>
      <c r="BIJ36" s="118"/>
      <c r="BIK36" s="118"/>
      <c r="BIL36" s="118"/>
      <c r="BIM36" s="118"/>
      <c r="BIN36" s="118"/>
      <c r="BIO36" s="118"/>
      <c r="BIP36" s="118"/>
      <c r="BIQ36" s="118"/>
      <c r="BIR36" s="118"/>
      <c r="BIS36" s="118"/>
      <c r="BIT36" s="118"/>
      <c r="BIU36" s="118"/>
      <c r="BIV36" s="118"/>
      <c r="BIW36" s="118"/>
      <c r="BIX36" s="118"/>
      <c r="BIY36" s="118"/>
      <c r="BIZ36" s="118"/>
      <c r="BJA36" s="118"/>
      <c r="BJB36" s="118"/>
      <c r="BJC36" s="118"/>
      <c r="BJD36" s="118"/>
      <c r="BJE36" s="118"/>
      <c r="BJF36" s="118"/>
      <c r="BJG36" s="118"/>
      <c r="BJH36" s="118"/>
      <c r="BJI36" s="118"/>
      <c r="BJJ36" s="118"/>
      <c r="BJK36" s="118"/>
      <c r="BJL36" s="118"/>
      <c r="BJM36" s="118"/>
      <c r="BJN36" s="118"/>
      <c r="BJO36" s="118"/>
      <c r="BJP36" s="118"/>
      <c r="BJQ36" s="118"/>
      <c r="BJR36" s="118"/>
      <c r="BJS36" s="118"/>
      <c r="BJT36" s="118"/>
      <c r="BJU36" s="118"/>
      <c r="BJV36" s="118"/>
      <c r="BJW36" s="118"/>
      <c r="BJX36" s="118"/>
      <c r="BJY36" s="118"/>
      <c r="BJZ36" s="118"/>
      <c r="BKA36" s="118"/>
      <c r="BKB36" s="118"/>
      <c r="BKC36" s="118"/>
      <c r="BKD36" s="118"/>
      <c r="BKE36" s="118"/>
      <c r="BKF36" s="118"/>
      <c r="BKG36" s="118"/>
      <c r="BKH36" s="118"/>
      <c r="BKI36" s="118"/>
      <c r="BKJ36" s="118"/>
      <c r="BKK36" s="118"/>
      <c r="BKL36" s="118"/>
      <c r="BKM36" s="118"/>
      <c r="BKN36" s="118"/>
      <c r="BKO36" s="118"/>
      <c r="BKP36" s="118"/>
      <c r="BKQ36" s="118"/>
      <c r="BKR36" s="118"/>
      <c r="BKS36" s="118"/>
      <c r="BKT36" s="118"/>
      <c r="BKU36" s="118"/>
      <c r="BKV36" s="118"/>
      <c r="BKW36" s="118"/>
      <c r="BKX36" s="118"/>
      <c r="BKY36" s="118"/>
      <c r="BKZ36" s="118"/>
      <c r="BLA36" s="118"/>
      <c r="BLB36" s="118"/>
      <c r="BLC36" s="118"/>
      <c r="BLD36" s="118"/>
      <c r="BLE36" s="118"/>
      <c r="BLF36" s="118"/>
      <c r="BLG36" s="118"/>
      <c r="BLH36" s="118"/>
      <c r="BLI36" s="118"/>
      <c r="BLJ36" s="118"/>
      <c r="BLK36" s="118"/>
      <c r="BLL36" s="118"/>
      <c r="BLM36" s="118"/>
      <c r="BLN36" s="118"/>
      <c r="BLO36" s="118"/>
      <c r="BLP36" s="118"/>
      <c r="BLQ36" s="118"/>
      <c r="BLR36" s="118"/>
      <c r="BLS36" s="118"/>
      <c r="BLT36" s="118"/>
      <c r="BLU36" s="118"/>
      <c r="BLV36" s="118"/>
      <c r="BLW36" s="118"/>
      <c r="BLX36" s="118"/>
      <c r="BLY36" s="118"/>
      <c r="BLZ36" s="118"/>
      <c r="BMA36" s="118"/>
      <c r="BMB36" s="118"/>
      <c r="BMC36" s="118"/>
      <c r="BMD36" s="118"/>
      <c r="BME36" s="118"/>
      <c r="BMF36" s="118"/>
      <c r="BMG36" s="118"/>
      <c r="BMH36" s="118"/>
      <c r="BMI36" s="118"/>
      <c r="BMJ36" s="118"/>
      <c r="BMK36" s="118"/>
      <c r="BML36" s="118"/>
      <c r="BMM36" s="118"/>
      <c r="BMN36" s="118"/>
      <c r="BMO36" s="118"/>
      <c r="BMP36" s="118"/>
      <c r="BMQ36" s="118"/>
      <c r="BMR36" s="118"/>
      <c r="BMS36" s="118"/>
      <c r="BMT36" s="118"/>
      <c r="BMU36" s="118"/>
      <c r="BMV36" s="118"/>
      <c r="BMW36" s="118"/>
      <c r="BMX36" s="118"/>
      <c r="BMY36" s="118"/>
      <c r="BMZ36" s="118"/>
      <c r="BNA36" s="118"/>
      <c r="BNB36" s="118"/>
      <c r="BNC36" s="118"/>
      <c r="BND36" s="118"/>
      <c r="BNE36" s="118"/>
      <c r="BNF36" s="118"/>
      <c r="BNG36" s="118"/>
      <c r="BNH36" s="118"/>
      <c r="BNI36" s="118"/>
      <c r="BNJ36" s="118"/>
      <c r="BNK36" s="118"/>
      <c r="BNL36" s="118"/>
      <c r="BNM36" s="118"/>
      <c r="BNN36" s="118"/>
      <c r="BNO36" s="118"/>
      <c r="BNP36" s="118"/>
      <c r="BNQ36" s="118"/>
      <c r="BNR36" s="118"/>
      <c r="BNS36" s="118"/>
      <c r="BNT36" s="118"/>
      <c r="BNU36" s="118"/>
      <c r="BNV36" s="118"/>
      <c r="BNW36" s="118"/>
      <c r="BNX36" s="118"/>
      <c r="BNY36" s="118"/>
      <c r="BNZ36" s="118"/>
      <c r="BOA36" s="118"/>
      <c r="BOB36" s="118"/>
      <c r="BOC36" s="118"/>
      <c r="BOD36" s="118"/>
      <c r="BOE36" s="118"/>
      <c r="BOF36" s="118"/>
      <c r="BOG36" s="118"/>
      <c r="BOH36" s="118"/>
      <c r="BOI36" s="118"/>
      <c r="BOJ36" s="118"/>
      <c r="BOK36" s="118"/>
      <c r="BOL36" s="118"/>
      <c r="BOM36" s="118"/>
      <c r="BON36" s="118"/>
      <c r="BOO36" s="118"/>
      <c r="BOP36" s="118"/>
      <c r="BOQ36" s="118"/>
      <c r="BOR36" s="118"/>
      <c r="BOS36" s="118"/>
      <c r="BOT36" s="118"/>
      <c r="BOU36" s="118"/>
      <c r="BOV36" s="118"/>
      <c r="BOW36" s="118"/>
      <c r="BOX36" s="118"/>
      <c r="BOY36" s="118"/>
      <c r="BOZ36" s="118"/>
      <c r="BPA36" s="118"/>
      <c r="BPB36" s="118"/>
      <c r="BPC36" s="118"/>
      <c r="BPD36" s="118"/>
      <c r="BPE36" s="118"/>
      <c r="BPF36" s="118"/>
      <c r="BPG36" s="118"/>
      <c r="BPH36" s="118"/>
      <c r="BPI36" s="118"/>
      <c r="BPJ36" s="118"/>
      <c r="BPK36" s="118"/>
      <c r="BPL36" s="118"/>
      <c r="BPM36" s="118"/>
      <c r="BPN36" s="118"/>
      <c r="BPO36" s="118"/>
      <c r="BPP36" s="118"/>
      <c r="BPQ36" s="118"/>
      <c r="BPR36" s="118"/>
      <c r="BPS36" s="118"/>
      <c r="BPT36" s="118"/>
      <c r="BPU36" s="118"/>
      <c r="BPV36" s="118"/>
      <c r="BPW36" s="118"/>
      <c r="BPX36" s="118"/>
      <c r="BPY36" s="118"/>
      <c r="BPZ36" s="118"/>
      <c r="BQA36" s="118"/>
      <c r="BQB36" s="118"/>
      <c r="BQC36" s="118"/>
      <c r="BQD36" s="118"/>
      <c r="BQE36" s="118"/>
      <c r="BQF36" s="118"/>
      <c r="BQG36" s="118"/>
      <c r="BQH36" s="118"/>
      <c r="BQI36" s="118"/>
      <c r="BQJ36" s="118"/>
      <c r="BQK36" s="118"/>
      <c r="BQL36" s="118"/>
      <c r="BQM36" s="118"/>
      <c r="BQN36" s="118"/>
      <c r="BQO36" s="118"/>
      <c r="BQP36" s="118"/>
      <c r="BQQ36" s="118"/>
      <c r="BQR36" s="118"/>
      <c r="BQS36" s="118"/>
      <c r="BQT36" s="118"/>
      <c r="BQU36" s="118"/>
      <c r="BQV36" s="118"/>
      <c r="BQW36" s="118"/>
      <c r="BQX36" s="118"/>
      <c r="BQY36" s="118"/>
      <c r="BQZ36" s="118"/>
      <c r="BRA36" s="118"/>
      <c r="BRB36" s="118"/>
      <c r="BRC36" s="118"/>
      <c r="BRD36" s="118"/>
      <c r="BRE36" s="118"/>
      <c r="BRF36" s="118"/>
      <c r="BRG36" s="118"/>
      <c r="BRH36" s="118"/>
      <c r="BRI36" s="118"/>
      <c r="BRJ36" s="118"/>
      <c r="BRK36" s="118"/>
      <c r="BRL36" s="118"/>
      <c r="BRM36" s="118"/>
      <c r="BRN36" s="118"/>
      <c r="BRO36" s="118"/>
      <c r="BRP36" s="118"/>
      <c r="BRQ36" s="118"/>
      <c r="BRR36" s="118"/>
      <c r="BRS36" s="118"/>
      <c r="BRT36" s="118"/>
      <c r="BRU36" s="118"/>
      <c r="BRV36" s="118"/>
      <c r="BRW36" s="118"/>
      <c r="BRX36" s="118"/>
      <c r="BRY36" s="118"/>
      <c r="BRZ36" s="118"/>
      <c r="BSA36" s="118"/>
      <c r="BSB36" s="118"/>
      <c r="BSC36" s="118"/>
      <c r="BSD36" s="118"/>
      <c r="BSE36" s="118"/>
      <c r="BSF36" s="118"/>
      <c r="BSG36" s="118"/>
      <c r="BSH36" s="118"/>
      <c r="BSI36" s="118"/>
      <c r="BSJ36" s="118"/>
      <c r="BSK36" s="118"/>
      <c r="BSL36" s="118"/>
      <c r="BSM36" s="118"/>
      <c r="BSN36" s="118"/>
      <c r="BSO36" s="118"/>
      <c r="BSP36" s="118"/>
      <c r="BSQ36" s="118"/>
      <c r="BSR36" s="118"/>
      <c r="BSS36" s="118"/>
      <c r="BST36" s="118"/>
      <c r="BSU36" s="118"/>
      <c r="BSV36" s="118"/>
      <c r="BSW36" s="118"/>
      <c r="BSX36" s="118"/>
      <c r="BSY36" s="118"/>
      <c r="BSZ36" s="118"/>
      <c r="BTA36" s="118"/>
      <c r="BTB36" s="118"/>
      <c r="BTC36" s="118"/>
      <c r="BTD36" s="118"/>
      <c r="BTE36" s="118"/>
      <c r="BTF36" s="118"/>
      <c r="BTG36" s="118"/>
      <c r="BTH36" s="118"/>
      <c r="BTI36" s="118"/>
      <c r="BTJ36" s="118"/>
      <c r="BTK36" s="118"/>
      <c r="BTL36" s="118"/>
      <c r="BTM36" s="118"/>
      <c r="BTN36" s="118"/>
      <c r="BTO36" s="118"/>
      <c r="BTP36" s="118"/>
      <c r="BTQ36" s="118"/>
      <c r="BTR36" s="118"/>
      <c r="BTS36" s="118"/>
      <c r="BTT36" s="118"/>
      <c r="BTU36" s="118"/>
      <c r="BTV36" s="118"/>
      <c r="BTW36" s="118"/>
      <c r="BTX36" s="118"/>
      <c r="BTY36" s="118"/>
      <c r="BTZ36" s="118"/>
      <c r="BUA36" s="118"/>
      <c r="BUB36" s="118"/>
      <c r="BUC36" s="118"/>
      <c r="BUD36" s="118"/>
      <c r="BUE36" s="118"/>
      <c r="BUF36" s="118"/>
      <c r="BUG36" s="118"/>
      <c r="BUH36" s="118"/>
      <c r="BUI36" s="118"/>
      <c r="BUJ36" s="118"/>
      <c r="BUK36" s="118"/>
      <c r="BUL36" s="118"/>
      <c r="BUM36" s="118"/>
      <c r="BUN36" s="118"/>
      <c r="BUO36" s="118"/>
      <c r="BUP36" s="118"/>
      <c r="BUQ36" s="118"/>
      <c r="BUR36" s="118"/>
      <c r="BUS36" s="118"/>
      <c r="BUT36" s="118"/>
      <c r="BUU36" s="118"/>
      <c r="BUV36" s="118"/>
      <c r="BUW36" s="118"/>
      <c r="BUX36" s="118"/>
      <c r="BUY36" s="118"/>
      <c r="BUZ36" s="118"/>
      <c r="BVA36" s="118"/>
      <c r="BVB36" s="118"/>
      <c r="BVC36" s="118"/>
      <c r="BVD36" s="118"/>
      <c r="BVE36" s="118"/>
      <c r="BVF36" s="118"/>
      <c r="BVG36" s="118"/>
      <c r="BVH36" s="118"/>
      <c r="BVI36" s="118"/>
      <c r="BVJ36" s="118"/>
      <c r="BVK36" s="118"/>
      <c r="BVL36" s="118"/>
      <c r="BVM36" s="118"/>
      <c r="BVN36" s="118"/>
      <c r="BVO36" s="118"/>
      <c r="BVP36" s="118"/>
      <c r="BVQ36" s="118"/>
      <c r="BVR36" s="118"/>
      <c r="BVS36" s="118"/>
      <c r="BVT36" s="118"/>
      <c r="BVU36" s="118"/>
      <c r="BVV36" s="118"/>
      <c r="BVW36" s="118"/>
      <c r="BVX36" s="118"/>
      <c r="BVY36" s="118"/>
      <c r="BVZ36" s="118"/>
      <c r="BWA36" s="118"/>
      <c r="BWB36" s="118"/>
      <c r="BWC36" s="118"/>
      <c r="BWD36" s="118"/>
      <c r="BWE36" s="118"/>
      <c r="BWF36" s="118"/>
      <c r="BWG36" s="118"/>
      <c r="BWH36" s="118"/>
      <c r="BWI36" s="118"/>
      <c r="BWJ36" s="118"/>
      <c r="BWK36" s="118"/>
      <c r="BWL36" s="118"/>
      <c r="BWM36" s="118"/>
      <c r="BWN36" s="118"/>
      <c r="BWO36" s="118"/>
      <c r="BWP36" s="118"/>
      <c r="BWQ36" s="118"/>
      <c r="BWR36" s="118"/>
      <c r="BWS36" s="118"/>
      <c r="BWT36" s="118"/>
      <c r="BWU36" s="118"/>
      <c r="BWV36" s="118"/>
      <c r="BWW36" s="118"/>
      <c r="BWX36" s="118"/>
      <c r="BWY36" s="118"/>
      <c r="BWZ36" s="118"/>
      <c r="BXA36" s="118"/>
      <c r="BXB36" s="118"/>
      <c r="BXC36" s="118"/>
      <c r="BXD36" s="118"/>
      <c r="BXE36" s="118"/>
      <c r="BXF36" s="118"/>
      <c r="BXG36" s="118"/>
      <c r="BXH36" s="118"/>
      <c r="BXI36" s="118"/>
      <c r="BXJ36" s="118"/>
      <c r="BXK36" s="118"/>
      <c r="BXL36" s="118"/>
      <c r="BXM36" s="118"/>
      <c r="BXN36" s="118"/>
      <c r="BXO36" s="118"/>
      <c r="BXP36" s="118"/>
      <c r="BXQ36" s="118"/>
      <c r="BXR36" s="118"/>
      <c r="BXS36" s="118"/>
      <c r="BXT36" s="118"/>
      <c r="BXU36" s="118"/>
      <c r="BXV36" s="118"/>
      <c r="BXW36" s="118"/>
      <c r="BXX36" s="118"/>
      <c r="BXY36" s="118"/>
      <c r="BXZ36" s="118"/>
      <c r="BYA36" s="118"/>
      <c r="BYB36" s="118"/>
      <c r="BYC36" s="118"/>
      <c r="BYD36" s="118"/>
      <c r="BYE36" s="118"/>
      <c r="BYF36" s="118"/>
      <c r="BYG36" s="118"/>
      <c r="BYH36" s="118"/>
      <c r="BYI36" s="118"/>
      <c r="BYJ36" s="118"/>
      <c r="BYK36" s="118"/>
      <c r="BYL36" s="118"/>
      <c r="BYM36" s="118"/>
      <c r="BYN36" s="118"/>
      <c r="BYO36" s="118"/>
      <c r="BYP36" s="118"/>
      <c r="BYQ36" s="118"/>
      <c r="BYR36" s="118"/>
      <c r="BYS36" s="118"/>
      <c r="BYT36" s="118"/>
      <c r="BYU36" s="118"/>
      <c r="BYV36" s="118"/>
      <c r="BYW36" s="118"/>
      <c r="BYX36" s="118"/>
      <c r="BYY36" s="118"/>
      <c r="BYZ36" s="118"/>
      <c r="BZA36" s="118"/>
      <c r="BZB36" s="118"/>
      <c r="BZC36" s="118"/>
      <c r="BZD36" s="118"/>
      <c r="BZE36" s="118"/>
      <c r="BZF36" s="118"/>
      <c r="BZG36" s="118"/>
      <c r="BZH36" s="118"/>
      <c r="BZI36" s="118"/>
      <c r="BZJ36" s="118"/>
      <c r="BZK36" s="118"/>
      <c r="BZL36" s="118"/>
      <c r="BZM36" s="118"/>
      <c r="BZN36" s="118"/>
      <c r="BZO36" s="118"/>
      <c r="BZP36" s="118"/>
      <c r="BZQ36" s="118"/>
      <c r="BZR36" s="118"/>
      <c r="BZS36" s="118"/>
      <c r="BZT36" s="118"/>
      <c r="BZU36" s="118"/>
      <c r="BZV36" s="118"/>
      <c r="BZW36" s="118"/>
      <c r="BZX36" s="118"/>
      <c r="BZY36" s="118"/>
      <c r="BZZ36" s="118"/>
      <c r="CAA36" s="118"/>
      <c r="CAB36" s="118"/>
      <c r="CAC36" s="118"/>
      <c r="CAD36" s="118"/>
      <c r="CAE36" s="118"/>
      <c r="CAF36" s="118"/>
      <c r="CAG36" s="118"/>
      <c r="CAH36" s="118"/>
      <c r="CAI36" s="118"/>
      <c r="CAJ36" s="118"/>
      <c r="CAK36" s="118"/>
      <c r="CAL36" s="118"/>
      <c r="CAM36" s="118"/>
      <c r="CAN36" s="118"/>
      <c r="CAO36" s="118"/>
      <c r="CAP36" s="118"/>
      <c r="CAQ36" s="118"/>
      <c r="CAR36" s="118"/>
      <c r="CAS36" s="118"/>
      <c r="CAT36" s="118"/>
      <c r="CAU36" s="118"/>
      <c r="CAV36" s="118"/>
      <c r="CAW36" s="118"/>
      <c r="CAX36" s="118"/>
      <c r="CAY36" s="118"/>
      <c r="CAZ36" s="118"/>
      <c r="CBA36" s="118"/>
      <c r="CBB36" s="118"/>
      <c r="CBC36" s="118"/>
      <c r="CBD36" s="118"/>
      <c r="CBE36" s="118"/>
      <c r="CBF36" s="118"/>
      <c r="CBG36" s="118"/>
      <c r="CBH36" s="118"/>
      <c r="CBI36" s="118"/>
      <c r="CBJ36" s="118"/>
      <c r="CBK36" s="118"/>
      <c r="CBL36" s="118"/>
      <c r="CBM36" s="118"/>
      <c r="CBN36" s="118"/>
      <c r="CBO36" s="118"/>
      <c r="CBP36" s="118"/>
      <c r="CBQ36" s="118"/>
      <c r="CBR36" s="118"/>
      <c r="CBS36" s="118"/>
      <c r="CBT36" s="118"/>
      <c r="CBU36" s="118"/>
      <c r="CBV36" s="118"/>
      <c r="CBW36" s="118"/>
      <c r="CBX36" s="118"/>
      <c r="CBY36" s="118"/>
      <c r="CBZ36" s="118"/>
      <c r="CCA36" s="118"/>
      <c r="CCB36" s="118"/>
      <c r="CCC36" s="118"/>
      <c r="CCD36" s="118"/>
      <c r="CCE36" s="118"/>
      <c r="CCF36" s="118"/>
      <c r="CCG36" s="118"/>
      <c r="CCH36" s="118"/>
      <c r="CCI36" s="118"/>
      <c r="CCJ36" s="118"/>
      <c r="CCK36" s="118"/>
      <c r="CCL36" s="118"/>
      <c r="CCM36" s="118"/>
      <c r="CCN36" s="118"/>
      <c r="CCO36" s="118"/>
      <c r="CCP36" s="118"/>
      <c r="CCQ36" s="118"/>
      <c r="CCR36" s="118"/>
      <c r="CCS36" s="118"/>
      <c r="CCT36" s="118"/>
      <c r="CCU36" s="118"/>
      <c r="CCV36" s="118"/>
      <c r="CCW36" s="118"/>
      <c r="CCX36" s="118"/>
      <c r="CCY36" s="118"/>
      <c r="CCZ36" s="118"/>
      <c r="CDA36" s="118"/>
      <c r="CDB36" s="118"/>
      <c r="CDC36" s="118"/>
      <c r="CDD36" s="118"/>
      <c r="CDE36" s="118"/>
      <c r="CDF36" s="118"/>
      <c r="CDG36" s="118"/>
      <c r="CDH36" s="118"/>
      <c r="CDI36" s="118"/>
      <c r="CDJ36" s="118"/>
      <c r="CDK36" s="118"/>
      <c r="CDL36" s="118"/>
      <c r="CDM36" s="118"/>
      <c r="CDN36" s="118"/>
      <c r="CDO36" s="118"/>
      <c r="CDP36" s="118"/>
      <c r="CDQ36" s="118"/>
      <c r="CDR36" s="118"/>
      <c r="CDS36" s="118"/>
      <c r="CDT36" s="118"/>
      <c r="CDU36" s="118"/>
      <c r="CDV36" s="118"/>
      <c r="CDW36" s="118"/>
      <c r="CDX36" s="118"/>
      <c r="CDY36" s="118"/>
      <c r="CDZ36" s="118"/>
      <c r="CEA36" s="118"/>
      <c r="CEB36" s="118"/>
      <c r="CEC36" s="118"/>
      <c r="CED36" s="118"/>
      <c r="CEE36" s="118"/>
      <c r="CEF36" s="118"/>
      <c r="CEG36" s="118"/>
      <c r="CEH36" s="118"/>
      <c r="CEI36" s="118"/>
      <c r="CEJ36" s="118"/>
      <c r="CEK36" s="118"/>
      <c r="CEL36" s="118"/>
      <c r="CEM36" s="118"/>
      <c r="CEN36" s="118"/>
      <c r="CEO36" s="118"/>
      <c r="CEP36" s="118"/>
      <c r="CEQ36" s="118"/>
      <c r="CER36" s="118"/>
      <c r="CES36" s="118"/>
      <c r="CET36" s="118"/>
      <c r="CEU36" s="118"/>
      <c r="CEV36" s="118"/>
      <c r="CEW36" s="118"/>
      <c r="CEX36" s="118"/>
      <c r="CEY36" s="118"/>
      <c r="CEZ36" s="118"/>
      <c r="CFA36" s="118"/>
      <c r="CFB36" s="118"/>
      <c r="CFC36" s="118"/>
      <c r="CFD36" s="118"/>
      <c r="CFE36" s="118"/>
      <c r="CFF36" s="118"/>
      <c r="CFG36" s="118"/>
      <c r="CFH36" s="118"/>
      <c r="CFI36" s="118"/>
      <c r="CFJ36" s="118"/>
      <c r="CFK36" s="118"/>
      <c r="CFL36" s="118"/>
      <c r="CFM36" s="118"/>
      <c r="CFN36" s="118"/>
      <c r="CFO36" s="118"/>
      <c r="CFP36" s="118"/>
      <c r="CFQ36" s="118"/>
      <c r="CFR36" s="118"/>
      <c r="CFS36" s="118"/>
      <c r="CFT36" s="118"/>
      <c r="CFU36" s="118"/>
      <c r="CFV36" s="118"/>
      <c r="CFW36" s="118"/>
      <c r="CFX36" s="118"/>
      <c r="CFY36" s="118"/>
      <c r="CFZ36" s="118"/>
      <c r="CGA36" s="118"/>
      <c r="CGB36" s="118"/>
      <c r="CGC36" s="118"/>
      <c r="CGD36" s="118"/>
      <c r="CGE36" s="118"/>
      <c r="CGF36" s="118"/>
      <c r="CGG36" s="118"/>
      <c r="CGH36" s="118"/>
      <c r="CGI36" s="118"/>
      <c r="CGJ36" s="118"/>
      <c r="CGK36" s="118"/>
      <c r="CGL36" s="118"/>
      <c r="CGM36" s="118"/>
      <c r="CGN36" s="118"/>
      <c r="CGO36" s="118"/>
      <c r="CGP36" s="118"/>
      <c r="CGQ36" s="118"/>
      <c r="CGR36" s="118"/>
      <c r="CGS36" s="118"/>
      <c r="CGT36" s="118"/>
      <c r="CGU36" s="118"/>
      <c r="CGV36" s="118"/>
      <c r="CGW36" s="118"/>
      <c r="CGX36" s="118"/>
      <c r="CGY36" s="118"/>
      <c r="CGZ36" s="118"/>
      <c r="CHA36" s="118"/>
      <c r="CHB36" s="118"/>
      <c r="CHC36" s="118"/>
      <c r="CHD36" s="118"/>
      <c r="CHE36" s="118"/>
      <c r="CHF36" s="118"/>
      <c r="CHG36" s="118"/>
      <c r="CHH36" s="118"/>
      <c r="CHI36" s="118"/>
      <c r="CHJ36" s="118"/>
      <c r="CHK36" s="118"/>
      <c r="CHL36" s="118"/>
      <c r="CHM36" s="118"/>
      <c r="CHN36" s="118"/>
      <c r="CHO36" s="118"/>
      <c r="CHP36" s="118"/>
      <c r="CHQ36" s="118"/>
      <c r="CHR36" s="118"/>
      <c r="CHS36" s="118"/>
      <c r="CHT36" s="118"/>
      <c r="CHU36" s="118"/>
      <c r="CHV36" s="118"/>
      <c r="CHW36" s="118"/>
      <c r="CHX36" s="118"/>
      <c r="CHY36" s="118"/>
      <c r="CHZ36" s="118"/>
      <c r="CIA36" s="118"/>
      <c r="CIB36" s="118"/>
      <c r="CIC36" s="118"/>
      <c r="CID36" s="118"/>
      <c r="CIE36" s="118"/>
      <c r="CIF36" s="118"/>
      <c r="CIG36" s="118"/>
      <c r="CIH36" s="118"/>
      <c r="CII36" s="118"/>
      <c r="CIJ36" s="118"/>
      <c r="CIK36" s="118"/>
      <c r="CIL36" s="118"/>
      <c r="CIM36" s="118"/>
      <c r="CIN36" s="118"/>
      <c r="CIO36" s="118"/>
      <c r="CIP36" s="118"/>
      <c r="CIQ36" s="118"/>
      <c r="CIR36" s="118"/>
      <c r="CIS36" s="118"/>
      <c r="CIT36" s="118"/>
      <c r="CIU36" s="118"/>
      <c r="CIV36" s="118"/>
      <c r="CIW36" s="118"/>
      <c r="CIX36" s="118"/>
      <c r="CIY36" s="118"/>
      <c r="CIZ36" s="118"/>
      <c r="CJA36" s="118"/>
      <c r="CJB36" s="118"/>
      <c r="CJC36" s="118"/>
      <c r="CJD36" s="118"/>
      <c r="CJE36" s="118"/>
      <c r="CJF36" s="118"/>
      <c r="CJG36" s="118"/>
      <c r="CJH36" s="118"/>
      <c r="CJI36" s="118"/>
      <c r="CJJ36" s="118"/>
      <c r="CJK36" s="118"/>
      <c r="CJL36" s="118"/>
      <c r="CJM36" s="118"/>
      <c r="CJN36" s="118"/>
      <c r="CJO36" s="118"/>
      <c r="CJP36" s="118"/>
      <c r="CJQ36" s="118"/>
      <c r="CJR36" s="118"/>
      <c r="CJS36" s="118"/>
      <c r="CJT36" s="118"/>
      <c r="CJU36" s="118"/>
      <c r="CJV36" s="118"/>
      <c r="CJW36" s="118"/>
      <c r="CJX36" s="118"/>
      <c r="CJY36" s="118"/>
      <c r="CJZ36" s="118"/>
      <c r="CKA36" s="118"/>
      <c r="CKB36" s="118"/>
      <c r="CKC36" s="118"/>
      <c r="CKD36" s="118"/>
      <c r="CKE36" s="118"/>
      <c r="CKF36" s="118"/>
      <c r="CKG36" s="118"/>
      <c r="CKH36" s="118"/>
      <c r="CKI36" s="118"/>
      <c r="CKJ36" s="118"/>
      <c r="CKK36" s="118"/>
      <c r="CKL36" s="118"/>
      <c r="CKM36" s="118"/>
      <c r="CKN36" s="118"/>
      <c r="CKO36" s="118"/>
      <c r="CKP36" s="118"/>
      <c r="CKQ36" s="118"/>
      <c r="CKR36" s="118"/>
      <c r="CKS36" s="118"/>
      <c r="CKT36" s="118"/>
      <c r="CKU36" s="118"/>
      <c r="CKV36" s="118"/>
      <c r="CKW36" s="118"/>
      <c r="CKX36" s="118"/>
      <c r="CKY36" s="118"/>
      <c r="CKZ36" s="118"/>
      <c r="CLA36" s="118"/>
      <c r="CLB36" s="118"/>
      <c r="CLC36" s="118"/>
      <c r="CLD36" s="118"/>
      <c r="CLE36" s="118"/>
      <c r="CLF36" s="118"/>
      <c r="CLG36" s="118"/>
      <c r="CLH36" s="118"/>
      <c r="CLI36" s="118"/>
      <c r="CLJ36" s="118"/>
      <c r="CLK36" s="118"/>
      <c r="CLL36" s="118"/>
      <c r="CLM36" s="118"/>
      <c r="CLN36" s="118"/>
      <c r="CLO36" s="118"/>
      <c r="CLP36" s="118"/>
      <c r="CLQ36" s="118"/>
      <c r="CLR36" s="118"/>
      <c r="CLS36" s="118"/>
      <c r="CLT36" s="118"/>
      <c r="CLU36" s="118"/>
      <c r="CLV36" s="118"/>
      <c r="CLW36" s="118"/>
      <c r="CLX36" s="118"/>
      <c r="CLY36" s="118"/>
      <c r="CLZ36" s="118"/>
      <c r="CMA36" s="118"/>
      <c r="CMB36" s="118"/>
      <c r="CMC36" s="118"/>
      <c r="CMD36" s="118"/>
      <c r="CME36" s="118"/>
      <c r="CMF36" s="118"/>
      <c r="CMG36" s="118"/>
      <c r="CMH36" s="118"/>
      <c r="CMI36" s="118"/>
      <c r="CMJ36" s="118"/>
      <c r="CMK36" s="118"/>
      <c r="CML36" s="118"/>
      <c r="CMM36" s="118"/>
      <c r="CMN36" s="118"/>
      <c r="CMO36" s="118"/>
      <c r="CMP36" s="118"/>
      <c r="CMQ36" s="118"/>
      <c r="CMR36" s="118"/>
      <c r="CMS36" s="118"/>
      <c r="CMT36" s="118"/>
      <c r="CMU36" s="118"/>
      <c r="CMV36" s="118"/>
      <c r="CMW36" s="118"/>
      <c r="CMX36" s="118"/>
      <c r="CMY36" s="118"/>
      <c r="CMZ36" s="118"/>
      <c r="CNA36" s="118"/>
      <c r="CNB36" s="118"/>
      <c r="CNC36" s="118"/>
      <c r="CND36" s="118"/>
      <c r="CNE36" s="118"/>
      <c r="CNF36" s="118"/>
      <c r="CNG36" s="118"/>
      <c r="CNH36" s="118"/>
      <c r="CNI36" s="118"/>
      <c r="CNJ36" s="118"/>
      <c r="CNK36" s="118"/>
      <c r="CNL36" s="118"/>
      <c r="CNM36" s="118"/>
      <c r="CNN36" s="118"/>
      <c r="CNO36" s="118"/>
      <c r="CNP36" s="118"/>
      <c r="CNQ36" s="118"/>
      <c r="CNR36" s="118"/>
      <c r="CNS36" s="118"/>
      <c r="CNT36" s="118"/>
      <c r="CNU36" s="118"/>
      <c r="CNV36" s="118"/>
      <c r="CNW36" s="118"/>
      <c r="CNX36" s="118"/>
      <c r="CNY36" s="118"/>
      <c r="CNZ36" s="118"/>
      <c r="COA36" s="118"/>
      <c r="COB36" s="118"/>
      <c r="COC36" s="118"/>
      <c r="COD36" s="118"/>
      <c r="COE36" s="118"/>
      <c r="COF36" s="118"/>
      <c r="COG36" s="118"/>
      <c r="COH36" s="118"/>
      <c r="COI36" s="118"/>
      <c r="COJ36" s="118"/>
      <c r="COK36" s="118"/>
      <c r="COL36" s="118"/>
      <c r="COM36" s="118"/>
      <c r="CON36" s="118"/>
      <c r="COO36" s="118"/>
      <c r="COP36" s="118"/>
      <c r="COQ36" s="118"/>
      <c r="COR36" s="118"/>
      <c r="COS36" s="118"/>
      <c r="COT36" s="118"/>
      <c r="COU36" s="118"/>
      <c r="COV36" s="118"/>
      <c r="COW36" s="118"/>
      <c r="COX36" s="118"/>
      <c r="COY36" s="118"/>
      <c r="COZ36" s="118"/>
      <c r="CPA36" s="118"/>
      <c r="CPB36" s="118"/>
      <c r="CPC36" s="118"/>
      <c r="CPD36" s="118"/>
      <c r="CPE36" s="118"/>
      <c r="CPF36" s="118"/>
      <c r="CPG36" s="118"/>
      <c r="CPH36" s="118"/>
      <c r="CPI36" s="118"/>
      <c r="CPJ36" s="118"/>
      <c r="CPK36" s="118"/>
      <c r="CPL36" s="118"/>
      <c r="CPM36" s="118"/>
      <c r="CPN36" s="118"/>
      <c r="CPO36" s="118"/>
      <c r="CPP36" s="118"/>
      <c r="CPQ36" s="118"/>
      <c r="CPR36" s="118"/>
      <c r="CPS36" s="118"/>
      <c r="CPT36" s="118"/>
      <c r="CPU36" s="118"/>
      <c r="CPV36" s="118"/>
      <c r="CPW36" s="118"/>
      <c r="CPX36" s="118"/>
      <c r="CPY36" s="118"/>
      <c r="CPZ36" s="118"/>
      <c r="CQA36" s="118"/>
      <c r="CQB36" s="118"/>
      <c r="CQC36" s="118"/>
      <c r="CQD36" s="118"/>
      <c r="CQE36" s="118"/>
      <c r="CQF36" s="118"/>
      <c r="CQG36" s="118"/>
      <c r="CQH36" s="118"/>
      <c r="CQI36" s="118"/>
      <c r="CQJ36" s="118"/>
      <c r="CQK36" s="118"/>
      <c r="CQL36" s="118"/>
      <c r="CQM36" s="118"/>
      <c r="CQN36" s="118"/>
      <c r="CQO36" s="118"/>
      <c r="CQP36" s="118"/>
      <c r="CQQ36" s="118"/>
      <c r="CQR36" s="118"/>
      <c r="CQS36" s="118"/>
      <c r="CQT36" s="118"/>
      <c r="CQU36" s="118"/>
      <c r="CQV36" s="118"/>
      <c r="CQW36" s="118"/>
      <c r="CQX36" s="118"/>
      <c r="CQY36" s="118"/>
      <c r="CQZ36" s="118"/>
      <c r="CRA36" s="118"/>
      <c r="CRB36" s="118"/>
      <c r="CRC36" s="118"/>
      <c r="CRD36" s="118"/>
      <c r="CRE36" s="118"/>
      <c r="CRF36" s="118"/>
      <c r="CRG36" s="118"/>
      <c r="CRH36" s="118"/>
      <c r="CRI36" s="118"/>
      <c r="CRJ36" s="118"/>
      <c r="CRK36" s="118"/>
      <c r="CRL36" s="118"/>
      <c r="CRM36" s="118"/>
      <c r="CRN36" s="118"/>
      <c r="CRO36" s="118"/>
      <c r="CRP36" s="118"/>
      <c r="CRQ36" s="118"/>
      <c r="CRR36" s="118"/>
      <c r="CRS36" s="118"/>
      <c r="CRT36" s="118"/>
      <c r="CRU36" s="118"/>
      <c r="CRV36" s="118"/>
      <c r="CRW36" s="118"/>
      <c r="CRX36" s="118"/>
      <c r="CRY36" s="118"/>
      <c r="CRZ36" s="118"/>
      <c r="CSA36" s="118"/>
      <c r="CSB36" s="118"/>
      <c r="CSC36" s="118"/>
      <c r="CSD36" s="118"/>
      <c r="CSE36" s="118"/>
      <c r="CSF36" s="118"/>
      <c r="CSG36" s="118"/>
      <c r="CSH36" s="118"/>
      <c r="CSI36" s="118"/>
      <c r="CSJ36" s="118"/>
      <c r="CSK36" s="118"/>
      <c r="CSL36" s="118"/>
      <c r="CSM36" s="118"/>
      <c r="CSN36" s="118"/>
      <c r="CSO36" s="118"/>
      <c r="CSP36" s="118"/>
      <c r="CSQ36" s="118"/>
      <c r="CSR36" s="118"/>
      <c r="CSS36" s="118"/>
      <c r="CST36" s="118"/>
      <c r="CSU36" s="118"/>
      <c r="CSV36" s="118"/>
      <c r="CSW36" s="118"/>
      <c r="CSX36" s="118"/>
      <c r="CSY36" s="118"/>
      <c r="CSZ36" s="118"/>
      <c r="CTA36" s="118"/>
      <c r="CTB36" s="118"/>
      <c r="CTC36" s="118"/>
      <c r="CTD36" s="118"/>
      <c r="CTE36" s="118"/>
      <c r="CTF36" s="118"/>
      <c r="CTG36" s="118"/>
      <c r="CTH36" s="118"/>
      <c r="CTI36" s="118"/>
      <c r="CTJ36" s="118"/>
      <c r="CTK36" s="118"/>
      <c r="CTL36" s="118"/>
      <c r="CTM36" s="118"/>
      <c r="CTN36" s="118"/>
      <c r="CTO36" s="118"/>
      <c r="CTP36" s="118"/>
      <c r="CTQ36" s="118"/>
      <c r="CTR36" s="118"/>
      <c r="CTS36" s="118"/>
      <c r="CTT36" s="118"/>
      <c r="CTU36" s="118"/>
      <c r="CTV36" s="118"/>
      <c r="CTW36" s="118"/>
      <c r="CTX36" s="118"/>
      <c r="CTY36" s="118"/>
      <c r="CTZ36" s="118"/>
      <c r="CUA36" s="118"/>
      <c r="CUB36" s="118"/>
      <c r="CUC36" s="118"/>
      <c r="CUD36" s="118"/>
      <c r="CUE36" s="118"/>
      <c r="CUF36" s="118"/>
      <c r="CUG36" s="118"/>
      <c r="CUH36" s="118"/>
      <c r="CUI36" s="118"/>
      <c r="CUJ36" s="118"/>
      <c r="CUK36" s="118"/>
      <c r="CUL36" s="118"/>
      <c r="CUM36" s="118"/>
      <c r="CUN36" s="118"/>
      <c r="CUO36" s="118"/>
      <c r="CUP36" s="118"/>
      <c r="CUQ36" s="118"/>
      <c r="CUR36" s="118"/>
      <c r="CUS36" s="118"/>
      <c r="CUT36" s="118"/>
      <c r="CUU36" s="118"/>
      <c r="CUV36" s="118"/>
      <c r="CUW36" s="118"/>
      <c r="CUX36" s="118"/>
      <c r="CUY36" s="118"/>
      <c r="CUZ36" s="118"/>
      <c r="CVA36" s="118"/>
      <c r="CVB36" s="118"/>
      <c r="CVC36" s="118"/>
      <c r="CVD36" s="118"/>
      <c r="CVE36" s="118"/>
      <c r="CVF36" s="118"/>
      <c r="CVG36" s="118"/>
      <c r="CVH36" s="118"/>
      <c r="CVI36" s="118"/>
      <c r="CVJ36" s="118"/>
      <c r="CVK36" s="118"/>
      <c r="CVL36" s="118"/>
      <c r="CVM36" s="118"/>
      <c r="CVN36" s="118"/>
      <c r="CVO36" s="118"/>
      <c r="CVP36" s="118"/>
      <c r="CVQ36" s="118"/>
      <c r="CVR36" s="118"/>
      <c r="CVS36" s="118"/>
      <c r="CVT36" s="118"/>
      <c r="CVU36" s="118"/>
      <c r="CVV36" s="118"/>
      <c r="CVW36" s="118"/>
      <c r="CVX36" s="118"/>
      <c r="CVY36" s="118"/>
      <c r="CVZ36" s="118"/>
      <c r="CWA36" s="118"/>
      <c r="CWB36" s="118"/>
      <c r="CWC36" s="118"/>
      <c r="CWD36" s="118"/>
      <c r="CWE36" s="118"/>
      <c r="CWF36" s="118"/>
      <c r="CWG36" s="118"/>
      <c r="CWH36" s="118"/>
      <c r="CWI36" s="118"/>
      <c r="CWJ36" s="118"/>
      <c r="CWK36" s="118"/>
      <c r="CWL36" s="118"/>
      <c r="CWM36" s="118"/>
      <c r="CWN36" s="118"/>
      <c r="CWO36" s="118"/>
      <c r="CWP36" s="118"/>
      <c r="CWQ36" s="118"/>
      <c r="CWR36" s="118"/>
      <c r="CWS36" s="118"/>
      <c r="CWT36" s="118"/>
      <c r="CWU36" s="118"/>
      <c r="CWV36" s="118"/>
      <c r="CWW36" s="118"/>
      <c r="CWX36" s="118"/>
      <c r="CWY36" s="118"/>
      <c r="CWZ36" s="118"/>
      <c r="CXA36" s="118"/>
      <c r="CXB36" s="118"/>
      <c r="CXC36" s="118"/>
      <c r="CXD36" s="118"/>
      <c r="CXE36" s="118"/>
      <c r="CXF36" s="118"/>
      <c r="CXG36" s="118"/>
      <c r="CXH36" s="118"/>
      <c r="CXI36" s="118"/>
      <c r="CXJ36" s="118"/>
      <c r="CXK36" s="118"/>
      <c r="CXL36" s="118"/>
      <c r="CXM36" s="118"/>
      <c r="CXN36" s="118"/>
      <c r="CXO36" s="118"/>
      <c r="CXP36" s="118"/>
      <c r="CXQ36" s="118"/>
      <c r="CXR36" s="118"/>
      <c r="CXS36" s="118"/>
      <c r="CXT36" s="118"/>
      <c r="CXU36" s="118"/>
      <c r="CXV36" s="118"/>
      <c r="CXW36" s="118"/>
      <c r="CXX36" s="118"/>
      <c r="CXY36" s="118"/>
      <c r="CXZ36" s="118"/>
      <c r="CYA36" s="118"/>
      <c r="CYB36" s="118"/>
      <c r="CYC36" s="118"/>
      <c r="CYD36" s="118"/>
      <c r="CYE36" s="118"/>
      <c r="CYF36" s="118"/>
      <c r="CYG36" s="118"/>
      <c r="CYH36" s="118"/>
      <c r="CYI36" s="118"/>
      <c r="CYJ36" s="118"/>
      <c r="CYK36" s="118"/>
      <c r="CYL36" s="118"/>
      <c r="CYM36" s="118"/>
      <c r="CYN36" s="118"/>
      <c r="CYO36" s="118"/>
      <c r="CYP36" s="118"/>
      <c r="CYQ36" s="118"/>
      <c r="CYR36" s="118"/>
      <c r="CYS36" s="118"/>
      <c r="CYT36" s="118"/>
      <c r="CYU36" s="118"/>
      <c r="CYV36" s="118"/>
      <c r="CYW36" s="118"/>
      <c r="CYX36" s="118"/>
      <c r="CYY36" s="118"/>
      <c r="CYZ36" s="118"/>
      <c r="CZA36" s="118"/>
      <c r="CZB36" s="118"/>
      <c r="CZC36" s="118"/>
      <c r="CZD36" s="118"/>
      <c r="CZE36" s="118"/>
      <c r="CZF36" s="118"/>
      <c r="CZG36" s="118"/>
      <c r="CZH36" s="118"/>
      <c r="CZI36" s="118"/>
      <c r="CZJ36" s="118"/>
      <c r="CZK36" s="118"/>
      <c r="CZL36" s="118"/>
      <c r="CZM36" s="118"/>
      <c r="CZN36" s="118"/>
      <c r="CZO36" s="118"/>
      <c r="CZP36" s="118"/>
      <c r="CZQ36" s="118"/>
      <c r="CZR36" s="118"/>
      <c r="CZS36" s="118"/>
      <c r="CZT36" s="118"/>
      <c r="CZU36" s="118"/>
      <c r="CZV36" s="118"/>
      <c r="CZW36" s="118"/>
      <c r="CZX36" s="118"/>
      <c r="CZY36" s="118"/>
      <c r="CZZ36" s="118"/>
      <c r="DAA36" s="118"/>
      <c r="DAB36" s="118"/>
      <c r="DAC36" s="118"/>
      <c r="DAD36" s="118"/>
      <c r="DAE36" s="118"/>
      <c r="DAF36" s="118"/>
      <c r="DAG36" s="118"/>
      <c r="DAH36" s="118"/>
      <c r="DAI36" s="118"/>
      <c r="DAJ36" s="118"/>
      <c r="DAK36" s="118"/>
      <c r="DAL36" s="118"/>
      <c r="DAM36" s="118"/>
      <c r="DAN36" s="118"/>
      <c r="DAO36" s="118"/>
      <c r="DAP36" s="118"/>
      <c r="DAQ36" s="118"/>
      <c r="DAR36" s="118"/>
      <c r="DAS36" s="118"/>
      <c r="DAT36" s="118"/>
      <c r="DAU36" s="118"/>
      <c r="DAV36" s="118"/>
      <c r="DAW36" s="118"/>
      <c r="DAX36" s="118"/>
      <c r="DAY36" s="118"/>
      <c r="DAZ36" s="118"/>
      <c r="DBA36" s="118"/>
      <c r="DBB36" s="118"/>
      <c r="DBC36" s="118"/>
      <c r="DBD36" s="118"/>
      <c r="DBE36" s="118"/>
      <c r="DBF36" s="118"/>
      <c r="DBG36" s="118"/>
      <c r="DBH36" s="118"/>
      <c r="DBI36" s="118"/>
      <c r="DBJ36" s="118"/>
      <c r="DBK36" s="118"/>
      <c r="DBL36" s="118"/>
      <c r="DBM36" s="118"/>
      <c r="DBN36" s="118"/>
      <c r="DBO36" s="118"/>
      <c r="DBP36" s="118"/>
      <c r="DBQ36" s="118"/>
      <c r="DBR36" s="118"/>
      <c r="DBS36" s="118"/>
      <c r="DBT36" s="118"/>
      <c r="DBU36" s="118"/>
      <c r="DBV36" s="118"/>
      <c r="DBW36" s="118"/>
      <c r="DBX36" s="118"/>
      <c r="DBY36" s="118"/>
      <c r="DBZ36" s="118"/>
      <c r="DCA36" s="118"/>
      <c r="DCB36" s="118"/>
      <c r="DCC36" s="118"/>
      <c r="DCD36" s="118"/>
      <c r="DCE36" s="118"/>
      <c r="DCF36" s="118"/>
      <c r="DCG36" s="118"/>
      <c r="DCH36" s="118"/>
      <c r="DCI36" s="118"/>
      <c r="DCJ36" s="118"/>
      <c r="DCK36" s="118"/>
      <c r="DCL36" s="118"/>
      <c r="DCM36" s="118"/>
      <c r="DCN36" s="118"/>
      <c r="DCO36" s="118"/>
      <c r="DCP36" s="118"/>
      <c r="DCQ36" s="118"/>
      <c r="DCR36" s="118"/>
      <c r="DCS36" s="118"/>
      <c r="DCT36" s="118"/>
      <c r="DCU36" s="118"/>
      <c r="DCV36" s="118"/>
      <c r="DCW36" s="118"/>
      <c r="DCX36" s="118"/>
      <c r="DCY36" s="118"/>
      <c r="DCZ36" s="118"/>
      <c r="DDA36" s="118"/>
      <c r="DDB36" s="118"/>
      <c r="DDC36" s="118"/>
      <c r="DDD36" s="118"/>
      <c r="DDE36" s="118"/>
      <c r="DDF36" s="118"/>
      <c r="DDG36" s="118"/>
      <c r="DDH36" s="118"/>
      <c r="DDI36" s="118"/>
      <c r="DDJ36" s="118"/>
      <c r="DDK36" s="118"/>
      <c r="DDL36" s="118"/>
      <c r="DDM36" s="118"/>
      <c r="DDN36" s="118"/>
      <c r="DDO36" s="118"/>
      <c r="DDP36" s="118"/>
      <c r="DDQ36" s="118"/>
      <c r="DDR36" s="118"/>
      <c r="DDS36" s="118"/>
      <c r="DDT36" s="118"/>
      <c r="DDU36" s="118"/>
      <c r="DDV36" s="118"/>
      <c r="DDW36" s="118"/>
      <c r="DDX36" s="118"/>
      <c r="DDY36" s="118"/>
      <c r="DDZ36" s="118"/>
      <c r="DEA36" s="118"/>
      <c r="DEB36" s="118"/>
      <c r="DEC36" s="118"/>
      <c r="DED36" s="118"/>
      <c r="DEE36" s="118"/>
      <c r="DEF36" s="118"/>
      <c r="DEG36" s="118"/>
      <c r="DEH36" s="118"/>
      <c r="DEI36" s="118"/>
      <c r="DEJ36" s="118"/>
      <c r="DEK36" s="118"/>
      <c r="DEL36" s="118"/>
      <c r="DEM36" s="118"/>
      <c r="DEN36" s="118"/>
      <c r="DEO36" s="118"/>
      <c r="DEP36" s="118"/>
      <c r="DEQ36" s="118"/>
      <c r="DER36" s="118"/>
      <c r="DES36" s="118"/>
      <c r="DET36" s="118"/>
      <c r="DEU36" s="118"/>
      <c r="DEV36" s="118"/>
      <c r="DEW36" s="118"/>
      <c r="DEX36" s="118"/>
      <c r="DEY36" s="118"/>
      <c r="DEZ36" s="118"/>
      <c r="DFA36" s="118"/>
      <c r="DFB36" s="118"/>
      <c r="DFC36" s="118"/>
      <c r="DFD36" s="118"/>
      <c r="DFE36" s="118"/>
      <c r="DFF36" s="118"/>
      <c r="DFG36" s="118"/>
      <c r="DFH36" s="118"/>
      <c r="DFI36" s="118"/>
      <c r="DFJ36" s="118"/>
      <c r="DFK36" s="118"/>
      <c r="DFL36" s="118"/>
      <c r="DFM36" s="118"/>
      <c r="DFN36" s="118"/>
      <c r="DFO36" s="118"/>
      <c r="DFP36" s="118"/>
      <c r="DFQ36" s="118"/>
      <c r="DFR36" s="118"/>
      <c r="DFS36" s="118"/>
      <c r="DFT36" s="118"/>
      <c r="DFU36" s="118"/>
      <c r="DFV36" s="118"/>
      <c r="DFW36" s="118"/>
      <c r="DFX36" s="118"/>
      <c r="DFY36" s="118"/>
      <c r="DFZ36" s="118"/>
      <c r="DGA36" s="118"/>
      <c r="DGB36" s="118"/>
      <c r="DGC36" s="118"/>
      <c r="DGD36" s="118"/>
      <c r="DGE36" s="118"/>
      <c r="DGF36" s="118"/>
      <c r="DGG36" s="118"/>
      <c r="DGH36" s="118"/>
      <c r="DGI36" s="118"/>
      <c r="DGJ36" s="118"/>
      <c r="DGK36" s="118"/>
      <c r="DGL36" s="118"/>
      <c r="DGM36" s="118"/>
      <c r="DGN36" s="118"/>
      <c r="DGO36" s="118"/>
      <c r="DGP36" s="118"/>
      <c r="DGQ36" s="118"/>
      <c r="DGR36" s="118"/>
      <c r="DGS36" s="118"/>
      <c r="DGT36" s="118"/>
      <c r="DGU36" s="118"/>
      <c r="DGV36" s="118"/>
      <c r="DGW36" s="118"/>
      <c r="DGX36" s="118"/>
      <c r="DGY36" s="118"/>
      <c r="DGZ36" s="118"/>
      <c r="DHA36" s="118"/>
      <c r="DHB36" s="118"/>
      <c r="DHC36" s="118"/>
      <c r="DHD36" s="118"/>
      <c r="DHE36" s="118"/>
      <c r="DHF36" s="118"/>
      <c r="DHG36" s="118"/>
      <c r="DHH36" s="118"/>
      <c r="DHI36" s="118"/>
      <c r="DHJ36" s="118"/>
      <c r="DHK36" s="118"/>
      <c r="DHL36" s="118"/>
      <c r="DHM36" s="118"/>
      <c r="DHN36" s="118"/>
      <c r="DHO36" s="118"/>
      <c r="DHP36" s="118"/>
      <c r="DHQ36" s="118"/>
      <c r="DHR36" s="118"/>
      <c r="DHS36" s="118"/>
      <c r="DHT36" s="118"/>
      <c r="DHU36" s="118"/>
      <c r="DHV36" s="118"/>
      <c r="DHW36" s="118"/>
      <c r="DHX36" s="118"/>
      <c r="DHY36" s="118"/>
      <c r="DHZ36" s="118"/>
      <c r="DIA36" s="118"/>
      <c r="DIB36" s="118"/>
      <c r="DIC36" s="118"/>
      <c r="DID36" s="118"/>
      <c r="DIE36" s="118"/>
      <c r="DIF36" s="118"/>
      <c r="DIG36" s="118"/>
      <c r="DIH36" s="118"/>
      <c r="DII36" s="118"/>
      <c r="DIJ36" s="118"/>
      <c r="DIK36" s="118"/>
      <c r="DIL36" s="118"/>
      <c r="DIM36" s="118"/>
      <c r="DIN36" s="118"/>
      <c r="DIO36" s="118"/>
      <c r="DIP36" s="118"/>
      <c r="DIQ36" s="118"/>
      <c r="DIR36" s="118"/>
      <c r="DIS36" s="118"/>
      <c r="DIT36" s="118"/>
      <c r="DIU36" s="118"/>
      <c r="DIV36" s="118"/>
      <c r="DIW36" s="118"/>
      <c r="DIX36" s="118"/>
      <c r="DIY36" s="118"/>
      <c r="DIZ36" s="118"/>
      <c r="DJA36" s="118"/>
      <c r="DJB36" s="118"/>
      <c r="DJC36" s="118"/>
      <c r="DJD36" s="118"/>
      <c r="DJE36" s="118"/>
      <c r="DJF36" s="118"/>
      <c r="DJG36" s="118"/>
      <c r="DJH36" s="118"/>
      <c r="DJI36" s="118"/>
      <c r="DJJ36" s="118"/>
      <c r="DJK36" s="118"/>
      <c r="DJL36" s="118"/>
      <c r="DJM36" s="118"/>
      <c r="DJN36" s="118"/>
      <c r="DJO36" s="118"/>
      <c r="DJP36" s="118"/>
      <c r="DJQ36" s="118"/>
      <c r="DJR36" s="118"/>
      <c r="DJS36" s="118"/>
      <c r="DJT36" s="118"/>
      <c r="DJU36" s="118"/>
      <c r="DJV36" s="118"/>
      <c r="DJW36" s="118"/>
      <c r="DJX36" s="118"/>
      <c r="DJY36" s="118"/>
      <c r="DJZ36" s="118"/>
      <c r="DKA36" s="118"/>
      <c r="DKB36" s="118"/>
      <c r="DKC36" s="118"/>
      <c r="DKD36" s="118"/>
      <c r="DKE36" s="118"/>
      <c r="DKF36" s="118"/>
      <c r="DKG36" s="118"/>
      <c r="DKH36" s="118"/>
      <c r="DKI36" s="118"/>
      <c r="DKJ36" s="118"/>
      <c r="DKK36" s="118"/>
      <c r="DKL36" s="118"/>
      <c r="DKM36" s="118"/>
      <c r="DKN36" s="118"/>
      <c r="DKO36" s="118"/>
      <c r="DKP36" s="118"/>
      <c r="DKQ36" s="118"/>
      <c r="DKR36" s="118"/>
      <c r="DKS36" s="118"/>
      <c r="DKT36" s="118"/>
      <c r="DKU36" s="118"/>
      <c r="DKV36" s="118"/>
      <c r="DKW36" s="118"/>
      <c r="DKX36" s="118"/>
      <c r="DKY36" s="118"/>
      <c r="DKZ36" s="118"/>
      <c r="DLA36" s="118"/>
      <c r="DLB36" s="118"/>
      <c r="DLC36" s="118"/>
      <c r="DLD36" s="118"/>
      <c r="DLE36" s="118"/>
      <c r="DLF36" s="118"/>
      <c r="DLG36" s="118"/>
      <c r="DLH36" s="118"/>
      <c r="DLI36" s="118"/>
      <c r="DLJ36" s="118"/>
      <c r="DLK36" s="118"/>
      <c r="DLL36" s="118"/>
      <c r="DLM36" s="118"/>
      <c r="DLN36" s="118"/>
      <c r="DLO36" s="118"/>
      <c r="DLP36" s="118"/>
      <c r="DLQ36" s="118"/>
      <c r="DLR36" s="118"/>
      <c r="DLS36" s="118"/>
      <c r="DLT36" s="118"/>
      <c r="DLU36" s="118"/>
      <c r="DLV36" s="118"/>
      <c r="DLW36" s="118"/>
      <c r="DLX36" s="118"/>
      <c r="DLY36" s="118"/>
      <c r="DLZ36" s="118"/>
      <c r="DMA36" s="118"/>
      <c r="DMB36" s="118"/>
      <c r="DMC36" s="118"/>
      <c r="DMD36" s="118"/>
      <c r="DME36" s="118"/>
      <c r="DMF36" s="118"/>
      <c r="DMG36" s="118"/>
      <c r="DMH36" s="118"/>
      <c r="DMI36" s="118"/>
      <c r="DMJ36" s="118"/>
      <c r="DMK36" s="118"/>
      <c r="DML36" s="118"/>
      <c r="DMM36" s="118"/>
      <c r="DMN36" s="118"/>
      <c r="DMO36" s="118"/>
      <c r="DMP36" s="118"/>
      <c r="DMQ36" s="118"/>
      <c r="DMR36" s="118"/>
      <c r="DMS36" s="118"/>
      <c r="DMT36" s="118"/>
      <c r="DMU36" s="118"/>
      <c r="DMV36" s="118"/>
      <c r="DMW36" s="118"/>
      <c r="DMX36" s="118"/>
      <c r="DMY36" s="118"/>
      <c r="DMZ36" s="118"/>
      <c r="DNA36" s="118"/>
      <c r="DNB36" s="118"/>
      <c r="DNC36" s="118"/>
      <c r="DND36" s="118"/>
      <c r="DNE36" s="118"/>
      <c r="DNF36" s="118"/>
      <c r="DNG36" s="118"/>
      <c r="DNH36" s="118"/>
      <c r="DNI36" s="118"/>
      <c r="DNJ36" s="118"/>
      <c r="DNK36" s="118"/>
      <c r="DNL36" s="118"/>
      <c r="DNM36" s="118"/>
      <c r="DNN36" s="118"/>
      <c r="DNO36" s="118"/>
      <c r="DNP36" s="118"/>
      <c r="DNQ36" s="118"/>
      <c r="DNR36" s="118"/>
      <c r="DNS36" s="118"/>
      <c r="DNT36" s="118"/>
      <c r="DNU36" s="118"/>
      <c r="DNV36" s="118"/>
      <c r="DNW36" s="118"/>
      <c r="DNX36" s="118"/>
      <c r="DNY36" s="118"/>
      <c r="DNZ36" s="118"/>
      <c r="DOA36" s="118"/>
      <c r="DOB36" s="118"/>
      <c r="DOC36" s="118"/>
      <c r="DOD36" s="118"/>
      <c r="DOE36" s="118"/>
      <c r="DOF36" s="118"/>
      <c r="DOG36" s="118"/>
      <c r="DOH36" s="118"/>
      <c r="DOI36" s="118"/>
      <c r="DOJ36" s="118"/>
      <c r="DOK36" s="118"/>
      <c r="DOL36" s="118"/>
      <c r="DOM36" s="118"/>
      <c r="DON36" s="118"/>
      <c r="DOO36" s="118"/>
      <c r="DOP36" s="118"/>
      <c r="DOQ36" s="118"/>
      <c r="DOR36" s="118"/>
      <c r="DOS36" s="118"/>
      <c r="DOT36" s="118"/>
      <c r="DOU36" s="118"/>
      <c r="DOV36" s="118"/>
      <c r="DOW36" s="118"/>
      <c r="DOX36" s="118"/>
      <c r="DOY36" s="118"/>
      <c r="DOZ36" s="118"/>
      <c r="DPA36" s="118"/>
      <c r="DPB36" s="118"/>
      <c r="DPC36" s="118"/>
      <c r="DPD36" s="118"/>
      <c r="DPE36" s="118"/>
      <c r="DPF36" s="118"/>
      <c r="DPG36" s="118"/>
      <c r="DPH36" s="118"/>
      <c r="DPI36" s="118"/>
      <c r="DPJ36" s="118"/>
      <c r="DPK36" s="118"/>
      <c r="DPL36" s="118"/>
      <c r="DPM36" s="118"/>
      <c r="DPN36" s="118"/>
      <c r="DPO36" s="118"/>
      <c r="DPP36" s="118"/>
      <c r="DPQ36" s="118"/>
      <c r="DPR36" s="118"/>
      <c r="DPS36" s="118"/>
      <c r="DPT36" s="118"/>
      <c r="DPU36" s="118"/>
      <c r="DPV36" s="118"/>
      <c r="DPW36" s="118"/>
      <c r="DPX36" s="118"/>
      <c r="DPY36" s="118"/>
      <c r="DPZ36" s="118"/>
      <c r="DQA36" s="118"/>
      <c r="DQB36" s="118"/>
      <c r="DQC36" s="118"/>
      <c r="DQD36" s="118"/>
      <c r="DQE36" s="118"/>
      <c r="DQF36" s="118"/>
      <c r="DQG36" s="118"/>
      <c r="DQH36" s="118"/>
      <c r="DQI36" s="118"/>
      <c r="DQJ36" s="118"/>
      <c r="DQK36" s="118"/>
      <c r="DQL36" s="118"/>
      <c r="DQM36" s="118"/>
      <c r="DQN36" s="118"/>
      <c r="DQO36" s="118"/>
      <c r="DQP36" s="118"/>
      <c r="DQQ36" s="118"/>
      <c r="DQR36" s="118"/>
      <c r="DQS36" s="118"/>
      <c r="DQT36" s="118"/>
      <c r="DQU36" s="118"/>
      <c r="DQV36" s="118"/>
      <c r="DQW36" s="118"/>
      <c r="DQX36" s="118"/>
      <c r="DQY36" s="118"/>
      <c r="DQZ36" s="118"/>
      <c r="DRA36" s="118"/>
      <c r="DRB36" s="118"/>
      <c r="DRC36" s="118"/>
      <c r="DRD36" s="118"/>
      <c r="DRE36" s="118"/>
      <c r="DRF36" s="118"/>
      <c r="DRG36" s="118"/>
      <c r="DRH36" s="118"/>
      <c r="DRI36" s="118"/>
      <c r="DRJ36" s="118"/>
      <c r="DRK36" s="118"/>
      <c r="DRL36" s="118"/>
      <c r="DRM36" s="118"/>
      <c r="DRN36" s="118"/>
      <c r="DRO36" s="118"/>
      <c r="DRP36" s="118"/>
      <c r="DRQ36" s="118"/>
      <c r="DRR36" s="118"/>
      <c r="DRS36" s="118"/>
      <c r="DRT36" s="118"/>
      <c r="DRU36" s="118"/>
      <c r="DRV36" s="118"/>
      <c r="DRW36" s="118"/>
      <c r="DRX36" s="118"/>
      <c r="DRY36" s="118"/>
      <c r="DRZ36" s="118"/>
      <c r="DSA36" s="118"/>
      <c r="DSB36" s="118"/>
      <c r="DSC36" s="118"/>
      <c r="DSD36" s="118"/>
      <c r="DSE36" s="118"/>
      <c r="DSF36" s="118"/>
      <c r="DSG36" s="118"/>
      <c r="DSH36" s="118"/>
      <c r="DSI36" s="118"/>
      <c r="DSJ36" s="118"/>
      <c r="DSK36" s="118"/>
      <c r="DSL36" s="118"/>
      <c r="DSM36" s="118"/>
      <c r="DSN36" s="118"/>
      <c r="DSO36" s="118"/>
      <c r="DSP36" s="118"/>
      <c r="DSQ36" s="118"/>
      <c r="DSR36" s="118"/>
      <c r="DSS36" s="118"/>
      <c r="DST36" s="118"/>
      <c r="DSU36" s="118"/>
      <c r="DSV36" s="118"/>
      <c r="DSW36" s="118"/>
      <c r="DSX36" s="118"/>
      <c r="DSY36" s="118"/>
      <c r="DSZ36" s="118"/>
      <c r="DTA36" s="118"/>
      <c r="DTB36" s="118"/>
      <c r="DTC36" s="118"/>
      <c r="DTD36" s="118"/>
      <c r="DTE36" s="118"/>
      <c r="DTF36" s="118"/>
      <c r="DTG36" s="118"/>
      <c r="DTH36" s="118"/>
      <c r="DTI36" s="118"/>
      <c r="DTJ36" s="118"/>
      <c r="DTK36" s="118"/>
      <c r="DTL36" s="118"/>
      <c r="DTM36" s="118"/>
      <c r="DTN36" s="118"/>
      <c r="DTO36" s="118"/>
      <c r="DTP36" s="118"/>
      <c r="DTQ36" s="118"/>
      <c r="DTR36" s="118"/>
      <c r="DTS36" s="118"/>
      <c r="DTT36" s="118"/>
      <c r="DTU36" s="118"/>
      <c r="DTV36" s="118"/>
      <c r="DTW36" s="118"/>
      <c r="DTX36" s="118"/>
      <c r="DTY36" s="118"/>
      <c r="DTZ36" s="118"/>
      <c r="DUA36" s="118"/>
      <c r="DUB36" s="118"/>
      <c r="DUC36" s="118"/>
      <c r="DUD36" s="118"/>
      <c r="DUE36" s="118"/>
      <c r="DUF36" s="118"/>
      <c r="DUG36" s="118"/>
      <c r="DUH36" s="118"/>
      <c r="DUI36" s="118"/>
      <c r="DUJ36" s="118"/>
      <c r="DUK36" s="118"/>
      <c r="DUL36" s="118"/>
      <c r="DUM36" s="118"/>
      <c r="DUN36" s="118"/>
      <c r="DUO36" s="118"/>
      <c r="DUP36" s="118"/>
      <c r="DUQ36" s="118"/>
      <c r="DUR36" s="118"/>
      <c r="DUS36" s="118"/>
      <c r="DUT36" s="118"/>
      <c r="DUU36" s="118"/>
      <c r="DUV36" s="118"/>
      <c r="DUW36" s="118"/>
      <c r="DUX36" s="118"/>
      <c r="DUY36" s="118"/>
      <c r="DUZ36" s="118"/>
      <c r="DVA36" s="118"/>
      <c r="DVB36" s="118"/>
      <c r="DVC36" s="118"/>
      <c r="DVD36" s="118"/>
      <c r="DVE36" s="118"/>
      <c r="DVF36" s="118"/>
      <c r="DVG36" s="118"/>
      <c r="DVH36" s="118"/>
      <c r="DVI36" s="118"/>
      <c r="DVJ36" s="118"/>
      <c r="DVK36" s="118"/>
      <c r="DVL36" s="118"/>
      <c r="DVM36" s="118"/>
      <c r="DVN36" s="118"/>
      <c r="DVO36" s="118"/>
      <c r="DVP36" s="118"/>
      <c r="DVQ36" s="118"/>
      <c r="DVR36" s="118"/>
      <c r="DVS36" s="118"/>
      <c r="DVT36" s="118"/>
      <c r="DVU36" s="118"/>
      <c r="DVV36" s="118"/>
      <c r="DVW36" s="118"/>
      <c r="DVX36" s="118"/>
      <c r="DVY36" s="118"/>
      <c r="DVZ36" s="118"/>
      <c r="DWA36" s="118"/>
      <c r="DWB36" s="118"/>
      <c r="DWC36" s="118"/>
      <c r="DWD36" s="118"/>
      <c r="DWE36" s="118"/>
      <c r="DWF36" s="118"/>
      <c r="DWG36" s="118"/>
      <c r="DWH36" s="118"/>
      <c r="DWI36" s="118"/>
      <c r="DWJ36" s="118"/>
      <c r="DWK36" s="118"/>
      <c r="DWL36" s="118"/>
      <c r="DWM36" s="118"/>
      <c r="DWN36" s="118"/>
      <c r="DWO36" s="118"/>
      <c r="DWP36" s="118"/>
      <c r="DWQ36" s="118"/>
      <c r="DWR36" s="118"/>
      <c r="DWS36" s="118"/>
      <c r="DWT36" s="118"/>
      <c r="DWU36" s="118"/>
      <c r="DWV36" s="118"/>
      <c r="DWW36" s="118"/>
      <c r="DWX36" s="118"/>
      <c r="DWY36" s="118"/>
      <c r="DWZ36" s="118"/>
      <c r="DXA36" s="118"/>
      <c r="DXB36" s="118"/>
      <c r="DXC36" s="118"/>
      <c r="DXD36" s="118"/>
      <c r="DXE36" s="118"/>
      <c r="DXF36" s="118"/>
      <c r="DXG36" s="118"/>
      <c r="DXH36" s="118"/>
      <c r="DXI36" s="118"/>
      <c r="DXJ36" s="118"/>
      <c r="DXK36" s="118"/>
      <c r="DXL36" s="118"/>
      <c r="DXM36" s="118"/>
      <c r="DXN36" s="118"/>
      <c r="DXO36" s="118"/>
      <c r="DXP36" s="118"/>
      <c r="DXQ36" s="118"/>
      <c r="DXR36" s="118"/>
      <c r="DXS36" s="118"/>
      <c r="DXT36" s="118"/>
      <c r="DXU36" s="118"/>
      <c r="DXV36" s="118"/>
      <c r="DXW36" s="118"/>
      <c r="DXX36" s="118"/>
      <c r="DXY36" s="118"/>
      <c r="DXZ36" s="118"/>
      <c r="DYA36" s="118"/>
      <c r="DYB36" s="118"/>
      <c r="DYC36" s="118"/>
      <c r="DYD36" s="118"/>
      <c r="DYE36" s="118"/>
      <c r="DYF36" s="118"/>
      <c r="DYG36" s="118"/>
      <c r="DYH36" s="118"/>
      <c r="DYI36" s="118"/>
      <c r="DYJ36" s="118"/>
      <c r="DYK36" s="118"/>
      <c r="DYL36" s="118"/>
      <c r="DYM36" s="118"/>
      <c r="DYN36" s="118"/>
      <c r="DYO36" s="118"/>
      <c r="DYP36" s="118"/>
      <c r="DYQ36" s="118"/>
      <c r="DYR36" s="118"/>
      <c r="DYS36" s="118"/>
      <c r="DYT36" s="118"/>
      <c r="DYU36" s="118"/>
      <c r="DYV36" s="118"/>
      <c r="DYW36" s="118"/>
      <c r="DYX36" s="118"/>
      <c r="DYY36" s="118"/>
      <c r="DYZ36" s="118"/>
      <c r="DZA36" s="118"/>
      <c r="DZB36" s="118"/>
      <c r="DZC36" s="118"/>
      <c r="DZD36" s="118"/>
      <c r="DZE36" s="118"/>
      <c r="DZF36" s="118"/>
      <c r="DZG36" s="118"/>
      <c r="DZH36" s="118"/>
      <c r="DZI36" s="118"/>
      <c r="DZJ36" s="118"/>
      <c r="DZK36" s="118"/>
      <c r="DZL36" s="118"/>
      <c r="DZM36" s="118"/>
      <c r="DZN36" s="118"/>
      <c r="DZO36" s="118"/>
      <c r="DZP36" s="118"/>
      <c r="DZQ36" s="118"/>
      <c r="DZR36" s="118"/>
      <c r="DZS36" s="118"/>
      <c r="DZT36" s="118"/>
      <c r="DZU36" s="118"/>
      <c r="DZV36" s="118"/>
      <c r="DZW36" s="118"/>
      <c r="DZX36" s="118"/>
      <c r="DZY36" s="118"/>
      <c r="DZZ36" s="118"/>
      <c r="EAA36" s="118"/>
      <c r="EAB36" s="118"/>
      <c r="EAC36" s="118"/>
      <c r="EAD36" s="118"/>
      <c r="EAE36" s="118"/>
      <c r="EAF36" s="118"/>
      <c r="EAG36" s="118"/>
      <c r="EAH36" s="118"/>
      <c r="EAI36" s="118"/>
      <c r="EAJ36" s="118"/>
      <c r="EAK36" s="118"/>
      <c r="EAL36" s="118"/>
      <c r="EAM36" s="118"/>
      <c r="EAN36" s="118"/>
      <c r="EAO36" s="118"/>
      <c r="EAP36" s="118"/>
      <c r="EAQ36" s="118"/>
      <c r="EAR36" s="118"/>
      <c r="EAS36" s="118"/>
      <c r="EAT36" s="118"/>
      <c r="EAU36" s="118"/>
      <c r="EAV36" s="118"/>
      <c r="EAW36" s="118"/>
      <c r="EAX36" s="118"/>
      <c r="EAY36" s="118"/>
      <c r="EAZ36" s="118"/>
      <c r="EBA36" s="118"/>
      <c r="EBB36" s="118"/>
      <c r="EBC36" s="118"/>
      <c r="EBD36" s="118"/>
      <c r="EBE36" s="118"/>
      <c r="EBF36" s="118"/>
      <c r="EBG36" s="118"/>
      <c r="EBH36" s="118"/>
      <c r="EBI36" s="118"/>
      <c r="EBJ36" s="118"/>
      <c r="EBK36" s="118"/>
      <c r="EBL36" s="118"/>
      <c r="EBM36" s="118"/>
      <c r="EBN36" s="118"/>
      <c r="EBO36" s="118"/>
      <c r="EBP36" s="118"/>
      <c r="EBQ36" s="118"/>
      <c r="EBR36" s="118"/>
      <c r="EBS36" s="118"/>
      <c r="EBT36" s="118"/>
      <c r="EBU36" s="118"/>
      <c r="EBV36" s="118"/>
      <c r="EBW36" s="118"/>
      <c r="EBX36" s="118"/>
      <c r="EBY36" s="118"/>
      <c r="EBZ36" s="118"/>
      <c r="ECA36" s="118"/>
      <c r="ECB36" s="118"/>
      <c r="ECC36" s="118"/>
      <c r="ECD36" s="118"/>
      <c r="ECE36" s="118"/>
      <c r="ECF36" s="118"/>
      <c r="ECG36" s="118"/>
      <c r="ECH36" s="118"/>
      <c r="ECI36" s="118"/>
      <c r="ECJ36" s="118"/>
      <c r="ECK36" s="118"/>
      <c r="ECL36" s="118"/>
      <c r="ECM36" s="118"/>
      <c r="ECN36" s="118"/>
      <c r="ECO36" s="118"/>
      <c r="ECP36" s="118"/>
      <c r="ECQ36" s="118"/>
      <c r="ECR36" s="118"/>
      <c r="ECS36" s="118"/>
      <c r="ECT36" s="118"/>
      <c r="ECU36" s="118"/>
      <c r="ECV36" s="118"/>
      <c r="ECW36" s="118"/>
      <c r="ECX36" s="118"/>
      <c r="ECY36" s="118"/>
      <c r="ECZ36" s="118"/>
      <c r="EDA36" s="118"/>
      <c r="EDB36" s="118"/>
      <c r="EDC36" s="118"/>
      <c r="EDD36" s="118"/>
      <c r="EDE36" s="118"/>
      <c r="EDF36" s="118"/>
      <c r="EDG36" s="118"/>
      <c r="EDH36" s="118"/>
      <c r="EDI36" s="118"/>
      <c r="EDJ36" s="118"/>
      <c r="EDK36" s="118"/>
      <c r="EDL36" s="118"/>
      <c r="EDM36" s="118"/>
      <c r="EDN36" s="118"/>
      <c r="EDO36" s="118"/>
      <c r="EDP36" s="118"/>
      <c r="EDQ36" s="118"/>
      <c r="EDR36" s="118"/>
      <c r="EDS36" s="118"/>
      <c r="EDT36" s="118"/>
      <c r="EDU36" s="118"/>
      <c r="EDV36" s="118"/>
      <c r="EDW36" s="118"/>
      <c r="EDX36" s="118"/>
      <c r="EDY36" s="118"/>
      <c r="EDZ36" s="118"/>
      <c r="EEA36" s="118"/>
      <c r="EEB36" s="118"/>
      <c r="EEC36" s="118"/>
      <c r="EED36" s="118"/>
      <c r="EEE36" s="118"/>
      <c r="EEF36" s="118"/>
      <c r="EEG36" s="118"/>
      <c r="EEH36" s="118"/>
      <c r="EEI36" s="118"/>
      <c r="EEJ36" s="118"/>
      <c r="EEK36" s="118"/>
      <c r="EEL36" s="118"/>
      <c r="EEM36" s="118"/>
      <c r="EEN36" s="118"/>
      <c r="EEO36" s="118"/>
      <c r="EEP36" s="118"/>
      <c r="EEQ36" s="118"/>
      <c r="EER36" s="118"/>
      <c r="EES36" s="118"/>
      <c r="EET36" s="118"/>
      <c r="EEU36" s="118"/>
      <c r="EEV36" s="118"/>
      <c r="EEW36" s="118"/>
      <c r="EEX36" s="118"/>
      <c r="EEY36" s="118"/>
      <c r="EEZ36" s="118"/>
      <c r="EFA36" s="118"/>
      <c r="EFB36" s="118"/>
      <c r="EFC36" s="118"/>
      <c r="EFD36" s="118"/>
      <c r="EFE36" s="118"/>
      <c r="EFF36" s="118"/>
      <c r="EFG36" s="118"/>
      <c r="EFH36" s="118"/>
      <c r="EFI36" s="118"/>
      <c r="EFJ36" s="118"/>
      <c r="EFK36" s="118"/>
      <c r="EFL36" s="118"/>
      <c r="EFM36" s="118"/>
      <c r="EFN36" s="118"/>
      <c r="EFO36" s="118"/>
      <c r="EFP36" s="118"/>
      <c r="EFQ36" s="118"/>
      <c r="EFR36" s="118"/>
      <c r="EFS36" s="118"/>
      <c r="EFT36" s="118"/>
      <c r="EFU36" s="118"/>
      <c r="EFV36" s="118"/>
      <c r="EFW36" s="118"/>
      <c r="EFX36" s="118"/>
      <c r="EFY36" s="118"/>
      <c r="EFZ36" s="118"/>
      <c r="EGA36" s="118"/>
      <c r="EGB36" s="118"/>
      <c r="EGC36" s="118"/>
      <c r="EGD36" s="118"/>
      <c r="EGE36" s="118"/>
      <c r="EGF36" s="118"/>
      <c r="EGG36" s="118"/>
      <c r="EGH36" s="118"/>
      <c r="EGI36" s="118"/>
      <c r="EGJ36" s="118"/>
      <c r="EGK36" s="118"/>
      <c r="EGL36" s="118"/>
      <c r="EGM36" s="118"/>
      <c r="EGN36" s="118"/>
      <c r="EGO36" s="118"/>
      <c r="EGP36" s="118"/>
      <c r="EGQ36" s="118"/>
      <c r="EGR36" s="118"/>
      <c r="EGS36" s="118"/>
      <c r="EGT36" s="118"/>
      <c r="EGU36" s="118"/>
      <c r="EGV36" s="118"/>
      <c r="EGW36" s="118"/>
      <c r="EGX36" s="118"/>
      <c r="EGY36" s="118"/>
      <c r="EGZ36" s="118"/>
      <c r="EHA36" s="118"/>
      <c r="EHB36" s="118"/>
      <c r="EHC36" s="118"/>
      <c r="EHD36" s="118"/>
      <c r="EHE36" s="118"/>
      <c r="EHF36" s="118"/>
      <c r="EHG36" s="118"/>
      <c r="EHH36" s="118"/>
      <c r="EHI36" s="118"/>
      <c r="EHJ36" s="118"/>
      <c r="EHK36" s="118"/>
      <c r="EHL36" s="118"/>
      <c r="EHM36" s="118"/>
      <c r="EHN36" s="118"/>
      <c r="EHO36" s="118"/>
      <c r="EHP36" s="118"/>
      <c r="EHQ36" s="118"/>
      <c r="EHR36" s="118"/>
      <c r="EHS36" s="118"/>
      <c r="EHT36" s="118"/>
      <c r="EHU36" s="118"/>
      <c r="EHV36" s="118"/>
      <c r="EHW36" s="118"/>
      <c r="EHX36" s="118"/>
      <c r="EHY36" s="118"/>
      <c r="EHZ36" s="118"/>
      <c r="EIA36" s="118"/>
      <c r="EIB36" s="118"/>
      <c r="EIC36" s="118"/>
      <c r="EID36" s="118"/>
      <c r="EIE36" s="118"/>
      <c r="EIF36" s="118"/>
      <c r="EIG36" s="118"/>
      <c r="EIH36" s="118"/>
      <c r="EII36" s="118"/>
      <c r="EIJ36" s="118"/>
      <c r="EIK36" s="118"/>
      <c r="EIL36" s="118"/>
      <c r="EIM36" s="118"/>
      <c r="EIN36" s="118"/>
      <c r="EIO36" s="118"/>
      <c r="EIP36" s="118"/>
      <c r="EIQ36" s="118"/>
      <c r="EIR36" s="118"/>
      <c r="EIS36" s="118"/>
      <c r="EIT36" s="118"/>
      <c r="EIU36" s="118"/>
      <c r="EIV36" s="118"/>
      <c r="EIW36" s="118"/>
      <c r="EIX36" s="118"/>
      <c r="EIY36" s="118"/>
      <c r="EIZ36" s="118"/>
      <c r="EJA36" s="118"/>
      <c r="EJB36" s="118"/>
      <c r="EJC36" s="118"/>
      <c r="EJD36" s="118"/>
      <c r="EJE36" s="118"/>
      <c r="EJF36" s="118"/>
      <c r="EJG36" s="118"/>
      <c r="EJH36" s="118"/>
      <c r="EJI36" s="118"/>
      <c r="EJJ36" s="118"/>
      <c r="EJK36" s="118"/>
      <c r="EJL36" s="118"/>
      <c r="EJM36" s="118"/>
      <c r="EJN36" s="118"/>
      <c r="EJO36" s="118"/>
      <c r="EJP36" s="118"/>
      <c r="EJQ36" s="118"/>
      <c r="EJR36" s="118"/>
      <c r="EJS36" s="118"/>
      <c r="EJT36" s="118"/>
      <c r="EJU36" s="118"/>
      <c r="EJV36" s="118"/>
      <c r="EJW36" s="118"/>
      <c r="EJX36" s="118"/>
      <c r="EJY36" s="118"/>
      <c r="EJZ36" s="118"/>
      <c r="EKA36" s="118"/>
      <c r="EKB36" s="118"/>
      <c r="EKC36" s="118"/>
      <c r="EKD36" s="118"/>
      <c r="EKE36" s="118"/>
      <c r="EKF36" s="118"/>
      <c r="EKG36" s="118"/>
      <c r="EKH36" s="118"/>
      <c r="EKI36" s="118"/>
      <c r="EKJ36" s="118"/>
      <c r="EKK36" s="118"/>
      <c r="EKL36" s="118"/>
      <c r="EKM36" s="118"/>
      <c r="EKN36" s="118"/>
      <c r="EKO36" s="118"/>
      <c r="EKP36" s="118"/>
      <c r="EKQ36" s="118"/>
      <c r="EKR36" s="118"/>
      <c r="EKS36" s="118"/>
      <c r="EKT36" s="118"/>
      <c r="EKU36" s="118"/>
      <c r="EKV36" s="118"/>
      <c r="EKW36" s="118"/>
      <c r="EKX36" s="118"/>
      <c r="EKY36" s="118"/>
      <c r="EKZ36" s="118"/>
      <c r="ELA36" s="118"/>
      <c r="ELB36" s="118"/>
      <c r="ELC36" s="118"/>
      <c r="ELD36" s="118"/>
      <c r="ELE36" s="118"/>
      <c r="ELF36" s="118"/>
      <c r="ELG36" s="118"/>
      <c r="ELH36" s="118"/>
      <c r="ELI36" s="118"/>
      <c r="ELJ36" s="118"/>
      <c r="ELK36" s="118"/>
      <c r="ELL36" s="118"/>
      <c r="ELM36" s="118"/>
      <c r="ELN36" s="118"/>
      <c r="ELO36" s="118"/>
      <c r="ELP36" s="118"/>
      <c r="ELQ36" s="118"/>
      <c r="ELR36" s="118"/>
      <c r="ELS36" s="118"/>
      <c r="ELT36" s="118"/>
      <c r="ELU36" s="118"/>
      <c r="ELV36" s="118"/>
      <c r="ELW36" s="118"/>
      <c r="ELX36" s="118"/>
      <c r="ELY36" s="118"/>
      <c r="ELZ36" s="118"/>
      <c r="EMA36" s="118"/>
      <c r="EMB36" s="118"/>
      <c r="EMC36" s="118"/>
      <c r="EMD36" s="118"/>
      <c r="EME36" s="118"/>
      <c r="EMF36" s="118"/>
      <c r="EMG36" s="118"/>
      <c r="EMH36" s="118"/>
      <c r="EMI36" s="118"/>
      <c r="EMJ36" s="118"/>
      <c r="EMK36" s="118"/>
      <c r="EML36" s="118"/>
      <c r="EMM36" s="118"/>
      <c r="EMN36" s="118"/>
      <c r="EMO36" s="118"/>
      <c r="EMP36" s="118"/>
      <c r="EMQ36" s="118"/>
      <c r="EMR36" s="118"/>
      <c r="EMS36" s="118"/>
      <c r="EMT36" s="118"/>
      <c r="EMU36" s="118"/>
      <c r="EMV36" s="118"/>
      <c r="EMW36" s="118"/>
      <c r="EMX36" s="118"/>
      <c r="EMY36" s="118"/>
      <c r="EMZ36" s="118"/>
      <c r="ENA36" s="118"/>
      <c r="ENB36" s="118"/>
      <c r="ENC36" s="118"/>
      <c r="END36" s="118"/>
      <c r="ENE36" s="118"/>
      <c r="ENF36" s="118"/>
      <c r="ENG36" s="118"/>
      <c r="ENH36" s="118"/>
      <c r="ENI36" s="118"/>
      <c r="ENJ36" s="118"/>
      <c r="ENK36" s="118"/>
      <c r="ENL36" s="118"/>
      <c r="ENM36" s="118"/>
      <c r="ENN36" s="118"/>
      <c r="ENO36" s="118"/>
      <c r="ENP36" s="118"/>
      <c r="ENQ36" s="118"/>
      <c r="ENR36" s="118"/>
      <c r="ENS36" s="118"/>
      <c r="ENT36" s="118"/>
      <c r="ENU36" s="118"/>
      <c r="ENV36" s="118"/>
      <c r="ENW36" s="118"/>
      <c r="ENX36" s="118"/>
      <c r="ENY36" s="118"/>
      <c r="ENZ36" s="118"/>
      <c r="EOA36" s="118"/>
      <c r="EOB36" s="118"/>
      <c r="EOC36" s="118"/>
      <c r="EOD36" s="118"/>
      <c r="EOE36" s="118"/>
      <c r="EOF36" s="118"/>
      <c r="EOG36" s="118"/>
      <c r="EOH36" s="118"/>
      <c r="EOI36" s="118"/>
      <c r="EOJ36" s="118"/>
      <c r="EOK36" s="118"/>
      <c r="EOL36" s="118"/>
      <c r="EOM36" s="118"/>
      <c r="EON36" s="118"/>
      <c r="EOO36" s="118"/>
      <c r="EOP36" s="118"/>
      <c r="EOQ36" s="118"/>
      <c r="EOR36" s="118"/>
      <c r="EOS36" s="118"/>
      <c r="EOT36" s="118"/>
      <c r="EOU36" s="118"/>
      <c r="EOV36" s="118"/>
      <c r="EOW36" s="118"/>
      <c r="EOX36" s="118"/>
      <c r="EOY36" s="118"/>
      <c r="EOZ36" s="118"/>
      <c r="EPA36" s="118"/>
      <c r="EPB36" s="118"/>
      <c r="EPC36" s="118"/>
      <c r="EPD36" s="118"/>
      <c r="EPE36" s="118"/>
      <c r="EPF36" s="118"/>
      <c r="EPG36" s="118"/>
      <c r="EPH36" s="118"/>
      <c r="EPI36" s="118"/>
      <c r="EPJ36" s="118"/>
      <c r="EPK36" s="118"/>
      <c r="EPL36" s="118"/>
      <c r="EPM36" s="118"/>
      <c r="EPN36" s="118"/>
      <c r="EPO36" s="118"/>
      <c r="EPP36" s="118"/>
      <c r="EPQ36" s="118"/>
      <c r="EPR36" s="118"/>
      <c r="EPS36" s="118"/>
      <c r="EPT36" s="118"/>
      <c r="EPU36" s="118"/>
      <c r="EPV36" s="118"/>
      <c r="EPW36" s="118"/>
      <c r="EPX36" s="118"/>
      <c r="EPY36" s="118"/>
      <c r="EPZ36" s="118"/>
      <c r="EQA36" s="118"/>
      <c r="EQB36" s="118"/>
      <c r="EQC36" s="118"/>
      <c r="EQD36" s="118"/>
      <c r="EQE36" s="118"/>
      <c r="EQF36" s="118"/>
      <c r="EQG36" s="118"/>
      <c r="EQH36" s="118"/>
      <c r="EQI36" s="118"/>
      <c r="EQJ36" s="118"/>
      <c r="EQK36" s="118"/>
      <c r="EQL36" s="118"/>
      <c r="EQM36" s="118"/>
      <c r="EQN36" s="118"/>
      <c r="EQO36" s="118"/>
      <c r="EQP36" s="118"/>
      <c r="EQQ36" s="118"/>
      <c r="EQR36" s="118"/>
      <c r="EQS36" s="118"/>
      <c r="EQT36" s="118"/>
      <c r="EQU36" s="118"/>
      <c r="EQV36" s="118"/>
      <c r="EQW36" s="118"/>
      <c r="EQX36" s="118"/>
      <c r="EQY36" s="118"/>
      <c r="EQZ36" s="118"/>
      <c r="ERA36" s="118"/>
      <c r="ERB36" s="118"/>
      <c r="ERC36" s="118"/>
      <c r="ERD36" s="118"/>
      <c r="ERE36" s="118"/>
      <c r="ERF36" s="118"/>
      <c r="ERG36" s="118"/>
      <c r="ERH36" s="118"/>
      <c r="ERI36" s="118"/>
      <c r="ERJ36" s="118"/>
      <c r="ERK36" s="118"/>
      <c r="ERL36" s="118"/>
      <c r="ERM36" s="118"/>
      <c r="ERN36" s="118"/>
      <c r="ERO36" s="118"/>
      <c r="ERP36" s="118"/>
      <c r="ERQ36" s="118"/>
      <c r="ERR36" s="118"/>
      <c r="ERS36" s="118"/>
      <c r="ERT36" s="118"/>
      <c r="ERU36" s="118"/>
      <c r="ERV36" s="118"/>
      <c r="ERW36" s="118"/>
      <c r="ERX36" s="118"/>
      <c r="ERY36" s="118"/>
      <c r="ERZ36" s="118"/>
      <c r="ESA36" s="118"/>
      <c r="ESB36" s="118"/>
      <c r="ESC36" s="118"/>
      <c r="ESD36" s="118"/>
      <c r="ESE36" s="118"/>
      <c r="ESF36" s="118"/>
      <c r="ESG36" s="118"/>
      <c r="ESH36" s="118"/>
      <c r="ESI36" s="118"/>
      <c r="ESJ36" s="118"/>
      <c r="ESK36" s="118"/>
      <c r="ESL36" s="118"/>
      <c r="ESM36" s="118"/>
      <c r="ESN36" s="118"/>
      <c r="ESO36" s="118"/>
      <c r="ESP36" s="118"/>
      <c r="ESQ36" s="118"/>
      <c r="ESR36" s="118"/>
      <c r="ESS36" s="118"/>
      <c r="EST36" s="118"/>
      <c r="ESU36" s="118"/>
      <c r="ESV36" s="118"/>
      <c r="ESW36" s="118"/>
      <c r="ESX36" s="118"/>
      <c r="ESY36" s="118"/>
      <c r="ESZ36" s="118"/>
      <c r="ETA36" s="118"/>
      <c r="ETB36" s="118"/>
      <c r="ETC36" s="118"/>
      <c r="ETD36" s="118"/>
      <c r="ETE36" s="118"/>
      <c r="ETF36" s="118"/>
      <c r="ETG36" s="118"/>
      <c r="ETH36" s="118"/>
      <c r="ETI36" s="118"/>
      <c r="ETJ36" s="118"/>
      <c r="ETK36" s="118"/>
      <c r="ETL36" s="118"/>
      <c r="ETM36" s="118"/>
      <c r="ETN36" s="118"/>
      <c r="ETO36" s="118"/>
      <c r="ETP36" s="118"/>
      <c r="ETQ36" s="118"/>
      <c r="ETR36" s="118"/>
      <c r="ETS36" s="118"/>
      <c r="ETT36" s="118"/>
      <c r="ETU36" s="118"/>
      <c r="ETV36" s="118"/>
      <c r="ETW36" s="118"/>
      <c r="ETX36" s="118"/>
      <c r="ETY36" s="118"/>
      <c r="ETZ36" s="118"/>
      <c r="EUA36" s="118"/>
      <c r="EUB36" s="118"/>
      <c r="EUC36" s="118"/>
      <c r="EUD36" s="118"/>
      <c r="EUE36" s="118"/>
      <c r="EUF36" s="118"/>
      <c r="EUG36" s="118"/>
      <c r="EUH36" s="118"/>
      <c r="EUI36" s="118"/>
      <c r="EUJ36" s="118"/>
      <c r="EUK36" s="118"/>
      <c r="EUL36" s="118"/>
      <c r="EUM36" s="118"/>
      <c r="EUN36" s="118"/>
      <c r="EUO36" s="118"/>
      <c r="EUP36" s="118"/>
      <c r="EUQ36" s="118"/>
      <c r="EUR36" s="118"/>
      <c r="EUS36" s="118"/>
      <c r="EUT36" s="118"/>
      <c r="EUU36" s="118"/>
      <c r="EUV36" s="118"/>
      <c r="EUW36" s="118"/>
      <c r="EUX36" s="118"/>
      <c r="EUY36" s="118"/>
      <c r="EUZ36" s="118"/>
      <c r="EVA36" s="118"/>
      <c r="EVB36" s="118"/>
      <c r="EVC36" s="118"/>
      <c r="EVD36" s="118"/>
      <c r="EVE36" s="118"/>
      <c r="EVF36" s="118"/>
      <c r="EVG36" s="118"/>
      <c r="EVH36" s="118"/>
      <c r="EVI36" s="118"/>
      <c r="EVJ36" s="118"/>
      <c r="EVK36" s="118"/>
      <c r="EVL36" s="118"/>
      <c r="EVM36" s="118"/>
      <c r="EVN36" s="118"/>
      <c r="EVO36" s="118"/>
      <c r="EVP36" s="118"/>
      <c r="EVQ36" s="118"/>
      <c r="EVR36" s="118"/>
      <c r="EVS36" s="118"/>
      <c r="EVT36" s="118"/>
      <c r="EVU36" s="118"/>
      <c r="EVV36" s="118"/>
      <c r="EVW36" s="118"/>
      <c r="EVX36" s="118"/>
      <c r="EVY36" s="118"/>
      <c r="EVZ36" s="118"/>
      <c r="EWA36" s="118"/>
      <c r="EWB36" s="118"/>
      <c r="EWC36" s="118"/>
      <c r="EWD36" s="118"/>
      <c r="EWE36" s="118"/>
      <c r="EWF36" s="118"/>
      <c r="EWG36" s="118"/>
      <c r="EWH36" s="118"/>
      <c r="EWI36" s="118"/>
      <c r="EWJ36" s="118"/>
      <c r="EWK36" s="118"/>
      <c r="EWL36" s="118"/>
      <c r="EWM36" s="118"/>
      <c r="EWN36" s="118"/>
      <c r="EWO36" s="118"/>
      <c r="EWP36" s="118"/>
      <c r="EWQ36" s="118"/>
      <c r="EWR36" s="118"/>
      <c r="EWS36" s="118"/>
      <c r="EWT36" s="118"/>
      <c r="EWU36" s="118"/>
      <c r="EWV36" s="118"/>
      <c r="EWW36" s="118"/>
      <c r="EWX36" s="118"/>
      <c r="EWY36" s="118"/>
      <c r="EWZ36" s="118"/>
      <c r="EXA36" s="118"/>
      <c r="EXB36" s="118"/>
      <c r="EXC36" s="118"/>
      <c r="EXD36" s="118"/>
      <c r="EXE36" s="118"/>
      <c r="EXF36" s="118"/>
      <c r="EXG36" s="118"/>
      <c r="EXH36" s="118"/>
      <c r="EXI36" s="118"/>
      <c r="EXJ36" s="118"/>
      <c r="EXK36" s="118"/>
      <c r="EXL36" s="118"/>
      <c r="EXM36" s="118"/>
      <c r="EXN36" s="118"/>
      <c r="EXO36" s="118"/>
      <c r="EXP36" s="118"/>
      <c r="EXQ36" s="118"/>
      <c r="EXR36" s="118"/>
      <c r="EXS36" s="118"/>
      <c r="EXT36" s="118"/>
      <c r="EXU36" s="118"/>
      <c r="EXV36" s="118"/>
      <c r="EXW36" s="118"/>
      <c r="EXX36" s="118"/>
      <c r="EXY36" s="118"/>
      <c r="EXZ36" s="118"/>
      <c r="EYA36" s="118"/>
      <c r="EYB36" s="118"/>
      <c r="EYC36" s="118"/>
      <c r="EYD36" s="118"/>
      <c r="EYE36" s="118"/>
      <c r="EYF36" s="118"/>
      <c r="EYG36" s="118"/>
      <c r="EYH36" s="118"/>
      <c r="EYI36" s="118"/>
      <c r="EYJ36" s="118"/>
      <c r="EYK36" s="118"/>
      <c r="EYL36" s="118"/>
      <c r="EYM36" s="118"/>
      <c r="EYN36" s="118"/>
      <c r="EYO36" s="118"/>
      <c r="EYP36" s="118"/>
      <c r="EYQ36" s="118"/>
      <c r="EYR36" s="118"/>
      <c r="EYS36" s="118"/>
      <c r="EYT36" s="118"/>
      <c r="EYU36" s="118"/>
      <c r="EYV36" s="118"/>
      <c r="EYW36" s="118"/>
      <c r="EYX36" s="118"/>
      <c r="EYY36" s="118"/>
      <c r="EYZ36" s="118"/>
      <c r="EZA36" s="118"/>
      <c r="EZB36" s="118"/>
      <c r="EZC36" s="118"/>
      <c r="EZD36" s="118"/>
      <c r="EZE36" s="118"/>
      <c r="EZF36" s="118"/>
      <c r="EZG36" s="118"/>
      <c r="EZH36" s="118"/>
      <c r="EZI36" s="118"/>
      <c r="EZJ36" s="118"/>
      <c r="EZK36" s="118"/>
      <c r="EZL36" s="118"/>
      <c r="EZM36" s="118"/>
      <c r="EZN36" s="118"/>
      <c r="EZO36" s="118"/>
      <c r="EZP36" s="118"/>
      <c r="EZQ36" s="118"/>
      <c r="EZR36" s="118"/>
      <c r="EZS36" s="118"/>
      <c r="EZT36" s="118"/>
      <c r="EZU36" s="118"/>
      <c r="EZV36" s="118"/>
      <c r="EZW36" s="118"/>
      <c r="EZX36" s="118"/>
      <c r="EZY36" s="118"/>
      <c r="EZZ36" s="118"/>
      <c r="FAA36" s="118"/>
      <c r="FAB36" s="118"/>
      <c r="FAC36" s="118"/>
      <c r="FAD36" s="118"/>
      <c r="FAE36" s="118"/>
      <c r="FAF36" s="118"/>
      <c r="FAG36" s="118"/>
      <c r="FAH36" s="118"/>
      <c r="FAI36" s="118"/>
      <c r="FAJ36" s="118"/>
      <c r="FAK36" s="118"/>
      <c r="FAL36" s="118"/>
      <c r="FAM36" s="118"/>
      <c r="FAN36" s="118"/>
      <c r="FAO36" s="118"/>
      <c r="FAP36" s="118"/>
      <c r="FAQ36" s="118"/>
      <c r="FAR36" s="118"/>
      <c r="FAS36" s="118"/>
      <c r="FAT36" s="118"/>
      <c r="FAU36" s="118"/>
      <c r="FAV36" s="118"/>
      <c r="FAW36" s="118"/>
      <c r="FAX36" s="118"/>
      <c r="FAY36" s="118"/>
      <c r="FAZ36" s="118"/>
      <c r="FBA36" s="118"/>
      <c r="FBB36" s="118"/>
      <c r="FBC36" s="118"/>
      <c r="FBD36" s="118"/>
      <c r="FBE36" s="118"/>
      <c r="FBF36" s="118"/>
      <c r="FBG36" s="118"/>
      <c r="FBH36" s="118"/>
      <c r="FBI36" s="118"/>
      <c r="FBJ36" s="118"/>
      <c r="FBK36" s="118"/>
      <c r="FBL36" s="118"/>
      <c r="FBM36" s="118"/>
      <c r="FBN36" s="118"/>
      <c r="FBO36" s="118"/>
      <c r="FBP36" s="118"/>
      <c r="FBQ36" s="118"/>
      <c r="FBR36" s="118"/>
      <c r="FBS36" s="118"/>
      <c r="FBT36" s="118"/>
      <c r="FBU36" s="118"/>
      <c r="FBV36" s="118"/>
      <c r="FBW36" s="118"/>
      <c r="FBX36" s="118"/>
      <c r="FBY36" s="118"/>
      <c r="FBZ36" s="118"/>
      <c r="FCA36" s="118"/>
      <c r="FCB36" s="118"/>
      <c r="FCC36" s="118"/>
      <c r="FCD36" s="118"/>
      <c r="FCE36" s="118"/>
      <c r="FCF36" s="118"/>
      <c r="FCG36" s="118"/>
      <c r="FCH36" s="118"/>
      <c r="FCI36" s="118"/>
      <c r="FCJ36" s="118"/>
      <c r="FCK36" s="118"/>
      <c r="FCL36" s="118"/>
      <c r="FCM36" s="118"/>
      <c r="FCN36" s="118"/>
      <c r="FCO36" s="118"/>
      <c r="FCP36" s="118"/>
      <c r="FCQ36" s="118"/>
      <c r="FCR36" s="118"/>
      <c r="FCS36" s="118"/>
      <c r="FCT36" s="118"/>
      <c r="FCU36" s="118"/>
      <c r="FCV36" s="118"/>
      <c r="FCW36" s="118"/>
      <c r="FCX36" s="118"/>
      <c r="FCY36" s="118"/>
      <c r="FCZ36" s="118"/>
      <c r="FDA36" s="118"/>
      <c r="FDB36" s="118"/>
      <c r="FDC36" s="118"/>
      <c r="FDD36" s="118"/>
      <c r="FDE36" s="118"/>
      <c r="FDF36" s="118"/>
      <c r="FDG36" s="118"/>
      <c r="FDH36" s="118"/>
      <c r="FDI36" s="118"/>
      <c r="FDJ36" s="118"/>
      <c r="FDK36" s="118"/>
      <c r="FDL36" s="118"/>
      <c r="FDM36" s="118"/>
      <c r="FDN36" s="118"/>
      <c r="FDO36" s="118"/>
      <c r="FDP36" s="118"/>
      <c r="FDQ36" s="118"/>
      <c r="FDR36" s="118"/>
      <c r="FDS36" s="118"/>
      <c r="FDT36" s="118"/>
      <c r="FDU36" s="118"/>
      <c r="FDV36" s="118"/>
      <c r="FDW36" s="118"/>
      <c r="FDX36" s="118"/>
      <c r="FDY36" s="118"/>
      <c r="FDZ36" s="118"/>
      <c r="FEA36" s="118"/>
      <c r="FEB36" s="118"/>
      <c r="FEC36" s="118"/>
      <c r="FED36" s="118"/>
      <c r="FEE36" s="118"/>
      <c r="FEF36" s="118"/>
      <c r="FEG36" s="118"/>
      <c r="FEH36" s="118"/>
      <c r="FEI36" s="118"/>
      <c r="FEJ36" s="118"/>
      <c r="FEK36" s="118"/>
      <c r="FEL36" s="118"/>
      <c r="FEM36" s="118"/>
      <c r="FEN36" s="118"/>
      <c r="FEO36" s="118"/>
      <c r="FEP36" s="118"/>
      <c r="FEQ36" s="118"/>
      <c r="FER36" s="118"/>
      <c r="FES36" s="118"/>
      <c r="FET36" s="118"/>
      <c r="FEU36" s="118"/>
      <c r="FEV36" s="118"/>
      <c r="FEW36" s="118"/>
      <c r="FEX36" s="118"/>
      <c r="FEY36" s="118"/>
      <c r="FEZ36" s="118"/>
      <c r="FFA36" s="118"/>
      <c r="FFB36" s="118"/>
      <c r="FFC36" s="118"/>
      <c r="FFD36" s="118"/>
      <c r="FFE36" s="118"/>
      <c r="FFF36" s="118"/>
      <c r="FFG36" s="118"/>
      <c r="FFH36" s="118"/>
      <c r="FFI36" s="118"/>
      <c r="FFJ36" s="118"/>
      <c r="FFK36" s="118"/>
      <c r="FFL36" s="118"/>
      <c r="FFM36" s="118"/>
      <c r="FFN36" s="118"/>
      <c r="FFO36" s="118"/>
      <c r="FFP36" s="118"/>
      <c r="FFQ36" s="118"/>
      <c r="FFR36" s="118"/>
      <c r="FFS36" s="118"/>
      <c r="FFT36" s="118"/>
      <c r="FFU36" s="118"/>
      <c r="FFV36" s="118"/>
      <c r="FFW36" s="118"/>
      <c r="FFX36" s="118"/>
      <c r="FFY36" s="118"/>
      <c r="FFZ36" s="118"/>
      <c r="FGA36" s="118"/>
      <c r="FGB36" s="118"/>
      <c r="FGC36" s="118"/>
      <c r="FGD36" s="118"/>
      <c r="FGE36" s="118"/>
      <c r="FGF36" s="118"/>
      <c r="FGG36" s="118"/>
      <c r="FGH36" s="118"/>
      <c r="FGI36" s="118"/>
      <c r="FGJ36" s="118"/>
      <c r="FGK36" s="118"/>
      <c r="FGL36" s="118"/>
      <c r="FGM36" s="118"/>
      <c r="FGN36" s="118"/>
      <c r="FGO36" s="118"/>
      <c r="FGP36" s="118"/>
      <c r="FGQ36" s="118"/>
      <c r="FGR36" s="118"/>
      <c r="FGS36" s="118"/>
      <c r="FGT36" s="118"/>
      <c r="FGU36" s="118"/>
      <c r="FGV36" s="118"/>
      <c r="FGW36" s="118"/>
      <c r="FGX36" s="118"/>
      <c r="FGY36" s="118"/>
      <c r="FGZ36" s="118"/>
      <c r="FHA36" s="118"/>
      <c r="FHB36" s="118"/>
      <c r="FHC36" s="118"/>
      <c r="FHD36" s="118"/>
      <c r="FHE36" s="118"/>
      <c r="FHF36" s="118"/>
      <c r="FHG36" s="118"/>
      <c r="FHH36" s="118"/>
      <c r="FHI36" s="118"/>
      <c r="FHJ36" s="118"/>
      <c r="FHK36" s="118"/>
      <c r="FHL36" s="118"/>
      <c r="FHM36" s="118"/>
      <c r="FHN36" s="118"/>
      <c r="FHO36" s="118"/>
      <c r="FHP36" s="118"/>
      <c r="FHQ36" s="118"/>
      <c r="FHR36" s="118"/>
      <c r="FHS36" s="118"/>
      <c r="FHT36" s="118"/>
      <c r="FHU36" s="118"/>
      <c r="FHV36" s="118"/>
      <c r="FHW36" s="118"/>
      <c r="FHX36" s="118"/>
      <c r="FHY36" s="118"/>
      <c r="FHZ36" s="118"/>
      <c r="FIA36" s="118"/>
      <c r="FIB36" s="118"/>
      <c r="FIC36" s="118"/>
      <c r="FID36" s="118"/>
      <c r="FIE36" s="118"/>
      <c r="FIF36" s="118"/>
      <c r="FIG36" s="118"/>
      <c r="FIH36" s="118"/>
      <c r="FII36" s="118"/>
      <c r="FIJ36" s="118"/>
      <c r="FIK36" s="118"/>
      <c r="FIL36" s="118"/>
      <c r="FIM36" s="118"/>
      <c r="FIN36" s="118"/>
      <c r="FIO36" s="118"/>
      <c r="FIP36" s="118"/>
      <c r="FIQ36" s="118"/>
      <c r="FIR36" s="118"/>
      <c r="FIS36" s="118"/>
      <c r="FIT36" s="118"/>
      <c r="FIU36" s="118"/>
      <c r="FIV36" s="118"/>
      <c r="FIW36" s="118"/>
      <c r="FIX36" s="118"/>
      <c r="FIY36" s="118"/>
      <c r="FIZ36" s="118"/>
      <c r="FJA36" s="118"/>
      <c r="FJB36" s="118"/>
      <c r="FJC36" s="118"/>
      <c r="FJD36" s="118"/>
      <c r="FJE36" s="118"/>
      <c r="FJF36" s="118"/>
      <c r="FJG36" s="118"/>
      <c r="FJH36" s="118"/>
      <c r="FJI36" s="118"/>
      <c r="FJJ36" s="118"/>
      <c r="FJK36" s="118"/>
      <c r="FJL36" s="118"/>
      <c r="FJM36" s="118"/>
      <c r="FJN36" s="118"/>
      <c r="FJO36" s="118"/>
      <c r="FJP36" s="118"/>
      <c r="FJQ36" s="118"/>
      <c r="FJR36" s="118"/>
      <c r="FJS36" s="118"/>
      <c r="FJT36" s="118"/>
      <c r="FJU36" s="118"/>
      <c r="FJV36" s="118"/>
      <c r="FJW36" s="118"/>
      <c r="FJX36" s="118"/>
      <c r="FJY36" s="118"/>
      <c r="FJZ36" s="118"/>
      <c r="FKA36" s="118"/>
      <c r="FKB36" s="118"/>
      <c r="FKC36" s="118"/>
      <c r="FKD36" s="118"/>
      <c r="FKE36" s="118"/>
      <c r="FKF36" s="118"/>
      <c r="FKG36" s="118"/>
      <c r="FKH36" s="118"/>
      <c r="FKI36" s="118"/>
      <c r="FKJ36" s="118"/>
      <c r="FKK36" s="118"/>
      <c r="FKL36" s="118"/>
      <c r="FKM36" s="118"/>
      <c r="FKN36" s="118"/>
      <c r="FKO36" s="118"/>
      <c r="FKP36" s="118"/>
      <c r="FKQ36" s="118"/>
      <c r="FKR36" s="118"/>
      <c r="FKS36" s="118"/>
      <c r="FKT36" s="118"/>
      <c r="FKU36" s="118"/>
      <c r="FKV36" s="118"/>
      <c r="FKW36" s="118"/>
      <c r="FKX36" s="118"/>
      <c r="FKY36" s="118"/>
      <c r="FKZ36" s="118"/>
      <c r="FLA36" s="118"/>
      <c r="FLB36" s="118"/>
      <c r="FLC36" s="118"/>
      <c r="FLD36" s="118"/>
      <c r="FLE36" s="118"/>
      <c r="FLF36" s="118"/>
      <c r="FLG36" s="118"/>
      <c r="FLH36" s="118"/>
      <c r="FLI36" s="118"/>
      <c r="FLJ36" s="118"/>
      <c r="FLK36" s="118"/>
      <c r="FLL36" s="118"/>
      <c r="FLM36" s="118"/>
      <c r="FLN36" s="118"/>
      <c r="FLO36" s="118"/>
      <c r="FLP36" s="118"/>
      <c r="FLQ36" s="118"/>
      <c r="FLR36" s="118"/>
      <c r="FLS36" s="118"/>
      <c r="FLT36" s="118"/>
      <c r="FLU36" s="118"/>
      <c r="FLV36" s="118"/>
      <c r="FLW36" s="118"/>
      <c r="FLX36" s="118"/>
      <c r="FLY36" s="118"/>
      <c r="FLZ36" s="118"/>
      <c r="FMA36" s="118"/>
      <c r="FMB36" s="118"/>
      <c r="FMC36" s="118"/>
      <c r="FMD36" s="118"/>
      <c r="FME36" s="118"/>
      <c r="FMF36" s="118"/>
      <c r="FMG36" s="118"/>
      <c r="FMH36" s="118"/>
      <c r="FMI36" s="118"/>
      <c r="FMJ36" s="118"/>
      <c r="FMK36" s="118"/>
      <c r="FML36" s="118"/>
      <c r="FMM36" s="118"/>
      <c r="FMN36" s="118"/>
      <c r="FMO36" s="118"/>
      <c r="FMP36" s="118"/>
      <c r="FMQ36" s="118"/>
      <c r="FMR36" s="118"/>
      <c r="FMS36" s="118"/>
      <c r="FMT36" s="118"/>
      <c r="FMU36" s="118"/>
      <c r="FMV36" s="118"/>
      <c r="FMW36" s="118"/>
      <c r="FMX36" s="118"/>
      <c r="FMY36" s="118"/>
      <c r="FMZ36" s="118"/>
      <c r="FNA36" s="118"/>
      <c r="FNB36" s="118"/>
      <c r="FNC36" s="118"/>
      <c r="FND36" s="118"/>
      <c r="FNE36" s="118"/>
      <c r="FNF36" s="118"/>
      <c r="FNG36" s="118"/>
      <c r="FNH36" s="118"/>
      <c r="FNI36" s="118"/>
      <c r="FNJ36" s="118"/>
      <c r="FNK36" s="118"/>
      <c r="FNL36" s="118"/>
      <c r="FNM36" s="118"/>
      <c r="FNN36" s="118"/>
      <c r="FNO36" s="118"/>
      <c r="FNP36" s="118"/>
      <c r="FNQ36" s="118"/>
      <c r="FNR36" s="118"/>
      <c r="FNS36" s="118"/>
      <c r="FNT36" s="118"/>
      <c r="FNU36" s="118"/>
      <c r="FNV36" s="118"/>
      <c r="FNW36" s="118"/>
      <c r="FNX36" s="118"/>
      <c r="FNY36" s="118"/>
      <c r="FNZ36" s="118"/>
      <c r="FOA36" s="118"/>
      <c r="FOB36" s="118"/>
      <c r="FOC36" s="118"/>
      <c r="FOD36" s="118"/>
      <c r="FOE36" s="118"/>
      <c r="FOF36" s="118"/>
      <c r="FOG36" s="118"/>
      <c r="FOH36" s="118"/>
      <c r="FOI36" s="118"/>
      <c r="FOJ36" s="118"/>
      <c r="FOK36" s="118"/>
      <c r="FOL36" s="118"/>
      <c r="FOM36" s="118"/>
      <c r="FON36" s="118"/>
      <c r="FOO36" s="118"/>
      <c r="FOP36" s="118"/>
      <c r="FOQ36" s="118"/>
      <c r="FOR36" s="118"/>
      <c r="FOS36" s="118"/>
      <c r="FOT36" s="118"/>
      <c r="FOU36" s="118"/>
      <c r="FOV36" s="118"/>
      <c r="FOW36" s="118"/>
      <c r="FOX36" s="118"/>
      <c r="FOY36" s="118"/>
      <c r="FOZ36" s="118"/>
      <c r="FPA36" s="118"/>
      <c r="FPB36" s="118"/>
      <c r="FPC36" s="118"/>
      <c r="FPD36" s="118"/>
      <c r="FPE36" s="118"/>
      <c r="FPF36" s="118"/>
      <c r="FPG36" s="118"/>
      <c r="FPH36" s="118"/>
      <c r="FPI36" s="118"/>
      <c r="FPJ36" s="118"/>
      <c r="FPK36" s="118"/>
      <c r="FPL36" s="118"/>
      <c r="FPM36" s="118"/>
      <c r="FPN36" s="118"/>
      <c r="FPO36" s="118"/>
      <c r="FPP36" s="118"/>
      <c r="FPQ36" s="118"/>
      <c r="FPR36" s="118"/>
      <c r="FPS36" s="118"/>
      <c r="FPT36" s="118"/>
      <c r="FPU36" s="118"/>
      <c r="FPV36" s="118"/>
      <c r="FPW36" s="118"/>
      <c r="FPX36" s="118"/>
      <c r="FPY36" s="118"/>
      <c r="FPZ36" s="118"/>
      <c r="FQA36" s="118"/>
      <c r="FQB36" s="118"/>
      <c r="FQC36" s="118"/>
      <c r="FQD36" s="118"/>
      <c r="FQE36" s="118"/>
      <c r="FQF36" s="118"/>
      <c r="FQG36" s="118"/>
      <c r="FQH36" s="118"/>
      <c r="FQI36" s="118"/>
      <c r="FQJ36" s="118"/>
      <c r="FQK36" s="118"/>
      <c r="FQL36" s="118"/>
      <c r="FQM36" s="118"/>
      <c r="FQN36" s="118"/>
      <c r="FQO36" s="118"/>
      <c r="FQP36" s="118"/>
      <c r="FQQ36" s="118"/>
      <c r="FQR36" s="118"/>
      <c r="FQS36" s="118"/>
      <c r="FQT36" s="118"/>
      <c r="FQU36" s="118"/>
      <c r="FQV36" s="118"/>
      <c r="FQW36" s="118"/>
      <c r="FQX36" s="118"/>
      <c r="FQY36" s="118"/>
      <c r="FQZ36" s="118"/>
      <c r="FRA36" s="118"/>
      <c r="FRB36" s="118"/>
      <c r="FRC36" s="118"/>
      <c r="FRD36" s="118"/>
      <c r="FRE36" s="118"/>
      <c r="FRF36" s="118"/>
      <c r="FRG36" s="118"/>
      <c r="FRH36" s="118"/>
      <c r="FRI36" s="118"/>
      <c r="FRJ36" s="118"/>
      <c r="FRK36" s="118"/>
      <c r="FRL36" s="118"/>
      <c r="FRM36" s="118"/>
      <c r="FRN36" s="118"/>
      <c r="FRO36" s="118"/>
      <c r="FRP36" s="118"/>
      <c r="FRQ36" s="118"/>
      <c r="FRR36" s="118"/>
      <c r="FRS36" s="118"/>
      <c r="FRT36" s="118"/>
      <c r="FRU36" s="118"/>
      <c r="FRV36" s="118"/>
      <c r="FRW36" s="118"/>
      <c r="FRX36" s="118"/>
      <c r="FRY36" s="118"/>
      <c r="FRZ36" s="118"/>
      <c r="FSA36" s="118"/>
      <c r="FSB36" s="118"/>
      <c r="FSC36" s="118"/>
      <c r="FSD36" s="118"/>
      <c r="FSE36" s="118"/>
      <c r="FSF36" s="118"/>
      <c r="FSG36" s="118"/>
      <c r="FSH36" s="118"/>
      <c r="FSI36" s="118"/>
      <c r="FSJ36" s="118"/>
      <c r="FSK36" s="118"/>
      <c r="FSL36" s="118"/>
      <c r="FSM36" s="118"/>
      <c r="FSN36" s="118"/>
      <c r="FSO36" s="118"/>
      <c r="FSP36" s="118"/>
      <c r="FSQ36" s="118"/>
      <c r="FSR36" s="118"/>
      <c r="FSS36" s="118"/>
      <c r="FST36" s="118"/>
      <c r="FSU36" s="118"/>
      <c r="FSV36" s="118"/>
      <c r="FSW36" s="118"/>
      <c r="FSX36" s="118"/>
      <c r="FSY36" s="118"/>
      <c r="FSZ36" s="118"/>
      <c r="FTA36" s="118"/>
      <c r="FTB36" s="118"/>
      <c r="FTC36" s="118"/>
      <c r="FTD36" s="118"/>
      <c r="FTE36" s="118"/>
      <c r="FTF36" s="118"/>
      <c r="FTG36" s="118"/>
      <c r="FTH36" s="118"/>
      <c r="FTI36" s="118"/>
      <c r="FTJ36" s="118"/>
      <c r="FTK36" s="118"/>
      <c r="FTL36" s="118"/>
      <c r="FTM36" s="118"/>
      <c r="FTN36" s="118"/>
      <c r="FTO36" s="118"/>
      <c r="FTP36" s="118"/>
      <c r="FTQ36" s="118"/>
      <c r="FTR36" s="118"/>
      <c r="FTS36" s="118"/>
      <c r="FTT36" s="118"/>
      <c r="FTU36" s="118"/>
      <c r="FTV36" s="118"/>
      <c r="FTW36" s="118"/>
      <c r="FTX36" s="118"/>
      <c r="FTY36" s="118"/>
      <c r="FTZ36" s="118"/>
      <c r="FUA36" s="118"/>
      <c r="FUB36" s="118"/>
      <c r="FUC36" s="118"/>
      <c r="FUD36" s="118"/>
      <c r="FUE36" s="118"/>
      <c r="FUF36" s="118"/>
      <c r="FUG36" s="118"/>
      <c r="FUH36" s="118"/>
      <c r="FUI36" s="118"/>
      <c r="FUJ36" s="118"/>
      <c r="FUK36" s="118"/>
      <c r="FUL36" s="118"/>
      <c r="FUM36" s="118"/>
      <c r="FUN36" s="118"/>
      <c r="FUO36" s="118"/>
      <c r="FUP36" s="118"/>
      <c r="FUQ36" s="118"/>
      <c r="FUR36" s="118"/>
      <c r="FUS36" s="118"/>
      <c r="FUT36" s="118"/>
      <c r="FUU36" s="118"/>
      <c r="FUV36" s="118"/>
      <c r="FUW36" s="118"/>
      <c r="FUX36" s="118"/>
      <c r="FUY36" s="118"/>
      <c r="FUZ36" s="118"/>
      <c r="FVA36" s="118"/>
      <c r="FVB36" s="118"/>
      <c r="FVC36" s="118"/>
      <c r="FVD36" s="118"/>
      <c r="FVE36" s="118"/>
      <c r="FVF36" s="118"/>
      <c r="FVG36" s="118"/>
      <c r="FVH36" s="118"/>
      <c r="FVI36" s="118"/>
      <c r="FVJ36" s="118"/>
      <c r="FVK36" s="118"/>
      <c r="FVL36" s="118"/>
      <c r="FVM36" s="118"/>
      <c r="FVN36" s="118"/>
      <c r="FVO36" s="118"/>
      <c r="FVP36" s="118"/>
      <c r="FVQ36" s="118"/>
      <c r="FVR36" s="118"/>
      <c r="FVS36" s="118"/>
      <c r="FVT36" s="118"/>
      <c r="FVU36" s="118"/>
      <c r="FVV36" s="118"/>
      <c r="FVW36" s="118"/>
      <c r="FVX36" s="118"/>
      <c r="FVY36" s="118"/>
      <c r="FVZ36" s="118"/>
      <c r="FWA36" s="118"/>
      <c r="FWB36" s="118"/>
      <c r="FWC36" s="118"/>
      <c r="FWD36" s="118"/>
      <c r="FWE36" s="118"/>
      <c r="FWF36" s="118"/>
      <c r="FWG36" s="118"/>
      <c r="FWH36" s="118"/>
      <c r="FWI36" s="118"/>
      <c r="FWJ36" s="118"/>
      <c r="FWK36" s="118"/>
      <c r="FWL36" s="118"/>
      <c r="FWM36" s="118"/>
      <c r="FWN36" s="118"/>
      <c r="FWO36" s="118"/>
      <c r="FWP36" s="118"/>
      <c r="FWQ36" s="118"/>
      <c r="FWR36" s="118"/>
      <c r="FWS36" s="118"/>
      <c r="FWT36" s="118"/>
      <c r="FWU36" s="118"/>
      <c r="FWV36" s="118"/>
      <c r="FWW36" s="118"/>
      <c r="FWX36" s="118"/>
      <c r="FWY36" s="118"/>
      <c r="FWZ36" s="118"/>
      <c r="FXA36" s="118"/>
      <c r="FXB36" s="118"/>
      <c r="FXC36" s="118"/>
      <c r="FXD36" s="118"/>
      <c r="FXE36" s="118"/>
      <c r="FXF36" s="118"/>
      <c r="FXG36" s="118"/>
      <c r="FXH36" s="118"/>
      <c r="FXI36" s="118"/>
      <c r="FXJ36" s="118"/>
      <c r="FXK36" s="118"/>
      <c r="FXL36" s="118"/>
      <c r="FXM36" s="118"/>
      <c r="FXN36" s="118"/>
      <c r="FXO36" s="118"/>
      <c r="FXP36" s="118"/>
      <c r="FXQ36" s="118"/>
      <c r="FXR36" s="118"/>
      <c r="FXS36" s="118"/>
      <c r="FXT36" s="118"/>
      <c r="FXU36" s="118"/>
      <c r="FXV36" s="118"/>
      <c r="FXW36" s="118"/>
      <c r="FXX36" s="118"/>
      <c r="FXY36" s="118"/>
      <c r="FXZ36" s="118"/>
      <c r="FYA36" s="118"/>
      <c r="FYB36" s="118"/>
      <c r="FYC36" s="118"/>
      <c r="FYD36" s="118"/>
      <c r="FYE36" s="118"/>
      <c r="FYF36" s="118"/>
      <c r="FYG36" s="118"/>
      <c r="FYH36" s="118"/>
      <c r="FYI36" s="118"/>
      <c r="FYJ36" s="118"/>
      <c r="FYK36" s="118"/>
      <c r="FYL36" s="118"/>
      <c r="FYM36" s="118"/>
      <c r="FYN36" s="118"/>
      <c r="FYO36" s="118"/>
      <c r="FYP36" s="118"/>
      <c r="FYQ36" s="118"/>
      <c r="FYR36" s="118"/>
      <c r="FYS36" s="118"/>
      <c r="FYT36" s="118"/>
      <c r="FYU36" s="118"/>
      <c r="FYV36" s="118"/>
      <c r="FYW36" s="118"/>
      <c r="FYX36" s="118"/>
      <c r="FYY36" s="118"/>
      <c r="FYZ36" s="118"/>
      <c r="FZA36" s="118"/>
      <c r="FZB36" s="118"/>
      <c r="FZC36" s="118"/>
      <c r="FZD36" s="118"/>
      <c r="FZE36" s="118"/>
      <c r="FZF36" s="118"/>
      <c r="FZG36" s="118"/>
      <c r="FZH36" s="118"/>
      <c r="FZI36" s="118"/>
      <c r="FZJ36" s="118"/>
      <c r="FZK36" s="118"/>
      <c r="FZL36" s="118"/>
      <c r="FZM36" s="118"/>
      <c r="FZN36" s="118"/>
      <c r="FZO36" s="118"/>
      <c r="FZP36" s="118"/>
      <c r="FZQ36" s="118"/>
      <c r="FZR36" s="118"/>
      <c r="FZS36" s="118"/>
      <c r="FZT36" s="118"/>
      <c r="FZU36" s="118"/>
      <c r="FZV36" s="118"/>
      <c r="FZW36" s="118"/>
      <c r="FZX36" s="118"/>
      <c r="FZY36" s="118"/>
      <c r="FZZ36" s="118"/>
      <c r="GAA36" s="118"/>
      <c r="GAB36" s="118"/>
      <c r="GAC36" s="118"/>
      <c r="GAD36" s="118"/>
      <c r="GAE36" s="118"/>
      <c r="GAF36" s="118"/>
      <c r="GAG36" s="118"/>
      <c r="GAH36" s="118"/>
      <c r="GAI36" s="118"/>
      <c r="GAJ36" s="118"/>
      <c r="GAK36" s="118"/>
      <c r="GAL36" s="118"/>
      <c r="GAM36" s="118"/>
      <c r="GAN36" s="118"/>
      <c r="GAO36" s="118"/>
      <c r="GAP36" s="118"/>
      <c r="GAQ36" s="118"/>
      <c r="GAR36" s="118"/>
      <c r="GAS36" s="118"/>
      <c r="GAT36" s="118"/>
      <c r="GAU36" s="118"/>
      <c r="GAV36" s="118"/>
      <c r="GAW36" s="118"/>
      <c r="GAX36" s="118"/>
      <c r="GAY36" s="118"/>
      <c r="GAZ36" s="118"/>
      <c r="GBA36" s="118"/>
      <c r="GBB36" s="118"/>
      <c r="GBC36" s="118"/>
      <c r="GBD36" s="118"/>
      <c r="GBE36" s="118"/>
      <c r="GBF36" s="118"/>
      <c r="GBG36" s="118"/>
      <c r="GBH36" s="118"/>
      <c r="GBI36" s="118"/>
      <c r="GBJ36" s="118"/>
      <c r="GBK36" s="118"/>
      <c r="GBL36" s="118"/>
      <c r="GBM36" s="118"/>
      <c r="GBN36" s="118"/>
      <c r="GBO36" s="118"/>
      <c r="GBP36" s="118"/>
      <c r="GBQ36" s="118"/>
      <c r="GBR36" s="118"/>
      <c r="GBS36" s="118"/>
      <c r="GBT36" s="118"/>
      <c r="GBU36" s="118"/>
      <c r="GBV36" s="118"/>
      <c r="GBW36" s="118"/>
      <c r="GBX36" s="118"/>
      <c r="GBY36" s="118"/>
      <c r="GBZ36" s="118"/>
      <c r="GCA36" s="118"/>
      <c r="GCB36" s="118"/>
      <c r="GCC36" s="118"/>
      <c r="GCD36" s="118"/>
      <c r="GCE36" s="118"/>
      <c r="GCF36" s="118"/>
      <c r="GCG36" s="118"/>
      <c r="GCH36" s="118"/>
      <c r="GCI36" s="118"/>
      <c r="GCJ36" s="118"/>
      <c r="GCK36" s="118"/>
      <c r="GCL36" s="118"/>
      <c r="GCM36" s="118"/>
      <c r="GCN36" s="118"/>
      <c r="GCO36" s="118"/>
      <c r="GCP36" s="118"/>
      <c r="GCQ36" s="118"/>
      <c r="GCR36" s="118"/>
      <c r="GCS36" s="118"/>
      <c r="GCT36" s="118"/>
      <c r="GCU36" s="118"/>
      <c r="GCV36" s="118"/>
      <c r="GCW36" s="118"/>
      <c r="GCX36" s="118"/>
      <c r="GCY36" s="118"/>
      <c r="GCZ36" s="118"/>
      <c r="GDA36" s="118"/>
      <c r="GDB36" s="118"/>
      <c r="GDC36" s="118"/>
      <c r="GDD36" s="118"/>
      <c r="GDE36" s="118"/>
      <c r="GDF36" s="118"/>
      <c r="GDG36" s="118"/>
      <c r="GDH36" s="118"/>
      <c r="GDI36" s="118"/>
      <c r="GDJ36" s="118"/>
      <c r="GDK36" s="118"/>
      <c r="GDL36" s="118"/>
      <c r="GDM36" s="118"/>
      <c r="GDN36" s="118"/>
      <c r="GDO36" s="118"/>
      <c r="GDP36" s="118"/>
      <c r="GDQ36" s="118"/>
      <c r="GDR36" s="118"/>
      <c r="GDS36" s="118"/>
      <c r="GDT36" s="118"/>
      <c r="GDU36" s="118"/>
      <c r="GDV36" s="118"/>
      <c r="GDW36" s="118"/>
      <c r="GDX36" s="118"/>
      <c r="GDY36" s="118"/>
      <c r="GDZ36" s="118"/>
      <c r="GEA36" s="118"/>
      <c r="GEB36" s="118"/>
      <c r="GEC36" s="118"/>
      <c r="GED36" s="118"/>
      <c r="GEE36" s="118"/>
      <c r="GEF36" s="118"/>
      <c r="GEG36" s="118"/>
      <c r="GEH36" s="118"/>
      <c r="GEI36" s="118"/>
      <c r="GEJ36" s="118"/>
      <c r="GEK36" s="118"/>
      <c r="GEL36" s="118"/>
      <c r="GEM36" s="118"/>
      <c r="GEN36" s="118"/>
      <c r="GEO36" s="118"/>
      <c r="GEP36" s="118"/>
      <c r="GEQ36" s="118"/>
      <c r="GER36" s="118"/>
      <c r="GES36" s="118"/>
      <c r="GET36" s="118"/>
      <c r="GEU36" s="118"/>
      <c r="GEV36" s="118"/>
      <c r="GEW36" s="118"/>
      <c r="GEX36" s="118"/>
      <c r="GEY36" s="118"/>
      <c r="GEZ36" s="118"/>
      <c r="GFA36" s="118"/>
      <c r="GFB36" s="118"/>
      <c r="GFC36" s="118"/>
      <c r="GFD36" s="118"/>
      <c r="GFE36" s="118"/>
      <c r="GFF36" s="118"/>
      <c r="GFG36" s="118"/>
      <c r="GFH36" s="118"/>
      <c r="GFI36" s="118"/>
      <c r="GFJ36" s="118"/>
      <c r="GFK36" s="118"/>
      <c r="GFL36" s="118"/>
      <c r="GFM36" s="118"/>
      <c r="GFN36" s="118"/>
      <c r="GFO36" s="118"/>
      <c r="GFP36" s="118"/>
      <c r="GFQ36" s="118"/>
      <c r="GFR36" s="118"/>
      <c r="GFS36" s="118"/>
      <c r="GFT36" s="118"/>
      <c r="GFU36" s="118"/>
      <c r="GFV36" s="118"/>
      <c r="GFW36" s="118"/>
      <c r="GFX36" s="118"/>
      <c r="GFY36" s="118"/>
      <c r="GFZ36" s="118"/>
      <c r="GGA36" s="118"/>
      <c r="GGB36" s="118"/>
      <c r="GGC36" s="118"/>
      <c r="GGD36" s="118"/>
      <c r="GGE36" s="118"/>
      <c r="GGF36" s="118"/>
      <c r="GGG36" s="118"/>
      <c r="GGH36" s="118"/>
      <c r="GGI36" s="118"/>
      <c r="GGJ36" s="118"/>
      <c r="GGK36" s="118"/>
      <c r="GGL36" s="118"/>
      <c r="GGM36" s="118"/>
      <c r="GGN36" s="118"/>
      <c r="GGO36" s="118"/>
      <c r="GGP36" s="118"/>
      <c r="GGQ36" s="118"/>
      <c r="GGR36" s="118"/>
      <c r="GGS36" s="118"/>
      <c r="GGT36" s="118"/>
      <c r="GGU36" s="118"/>
      <c r="GGV36" s="118"/>
      <c r="GGW36" s="118"/>
      <c r="GGX36" s="118"/>
      <c r="GGY36" s="118"/>
      <c r="GGZ36" s="118"/>
      <c r="GHA36" s="118"/>
      <c r="GHB36" s="118"/>
      <c r="GHC36" s="118"/>
      <c r="GHD36" s="118"/>
      <c r="GHE36" s="118"/>
      <c r="GHF36" s="118"/>
      <c r="GHG36" s="118"/>
      <c r="GHH36" s="118"/>
      <c r="GHI36" s="118"/>
      <c r="GHJ36" s="118"/>
      <c r="GHK36" s="118"/>
      <c r="GHL36" s="118"/>
      <c r="GHM36" s="118"/>
      <c r="GHN36" s="118"/>
      <c r="GHO36" s="118"/>
      <c r="GHP36" s="118"/>
      <c r="GHQ36" s="118"/>
      <c r="GHR36" s="118"/>
      <c r="GHS36" s="118"/>
      <c r="GHT36" s="118"/>
      <c r="GHU36" s="118"/>
      <c r="GHV36" s="118"/>
      <c r="GHW36" s="118"/>
      <c r="GHX36" s="118"/>
      <c r="GHY36" s="118"/>
      <c r="GHZ36" s="118"/>
      <c r="GIA36" s="118"/>
      <c r="GIB36" s="118"/>
      <c r="GIC36" s="118"/>
      <c r="GID36" s="118"/>
      <c r="GIE36" s="118"/>
      <c r="GIF36" s="118"/>
      <c r="GIG36" s="118"/>
      <c r="GIH36" s="118"/>
      <c r="GII36" s="118"/>
      <c r="GIJ36" s="118"/>
      <c r="GIK36" s="118"/>
      <c r="GIL36" s="118"/>
      <c r="GIM36" s="118"/>
      <c r="GIN36" s="118"/>
      <c r="GIO36" s="118"/>
      <c r="GIP36" s="118"/>
      <c r="GIQ36" s="118"/>
      <c r="GIR36" s="118"/>
      <c r="GIS36" s="118"/>
      <c r="GIT36" s="118"/>
      <c r="GIU36" s="118"/>
      <c r="GIV36" s="118"/>
      <c r="GIW36" s="118"/>
      <c r="GIX36" s="118"/>
      <c r="GIY36" s="118"/>
      <c r="GIZ36" s="118"/>
      <c r="GJA36" s="118"/>
      <c r="GJB36" s="118"/>
      <c r="GJC36" s="118"/>
      <c r="GJD36" s="118"/>
      <c r="GJE36" s="118"/>
      <c r="GJF36" s="118"/>
      <c r="GJG36" s="118"/>
      <c r="GJH36" s="118"/>
      <c r="GJI36" s="118"/>
      <c r="GJJ36" s="118"/>
      <c r="GJK36" s="118"/>
      <c r="GJL36" s="118"/>
      <c r="GJM36" s="118"/>
      <c r="GJN36" s="118"/>
      <c r="GJO36" s="118"/>
      <c r="GJP36" s="118"/>
      <c r="GJQ36" s="118"/>
      <c r="GJR36" s="118"/>
      <c r="GJS36" s="118"/>
      <c r="GJT36" s="118"/>
      <c r="GJU36" s="118"/>
      <c r="GJV36" s="118"/>
      <c r="GJW36" s="118"/>
      <c r="GJX36" s="118"/>
      <c r="GJY36" s="118"/>
      <c r="GJZ36" s="118"/>
      <c r="GKA36" s="118"/>
      <c r="GKB36" s="118"/>
      <c r="GKC36" s="118"/>
      <c r="GKD36" s="118"/>
      <c r="GKE36" s="118"/>
      <c r="GKF36" s="118"/>
      <c r="GKG36" s="118"/>
      <c r="GKH36" s="118"/>
      <c r="GKI36" s="118"/>
      <c r="GKJ36" s="118"/>
      <c r="GKK36" s="118"/>
      <c r="GKL36" s="118"/>
      <c r="GKM36" s="118"/>
      <c r="GKN36" s="118"/>
      <c r="GKO36" s="118"/>
      <c r="GKP36" s="118"/>
      <c r="GKQ36" s="118"/>
      <c r="GKR36" s="118"/>
      <c r="GKS36" s="118"/>
      <c r="GKT36" s="118"/>
      <c r="GKU36" s="118"/>
      <c r="GKV36" s="118"/>
      <c r="GKW36" s="118"/>
      <c r="GKX36" s="118"/>
      <c r="GKY36" s="118"/>
      <c r="GKZ36" s="118"/>
      <c r="GLA36" s="118"/>
      <c r="GLB36" s="118"/>
      <c r="GLC36" s="118"/>
      <c r="GLD36" s="118"/>
      <c r="GLE36" s="118"/>
      <c r="GLF36" s="118"/>
      <c r="GLG36" s="118"/>
      <c r="GLH36" s="118"/>
      <c r="GLI36" s="118"/>
      <c r="GLJ36" s="118"/>
      <c r="GLK36" s="118"/>
      <c r="GLL36" s="118"/>
      <c r="GLM36" s="118"/>
      <c r="GLN36" s="118"/>
      <c r="GLO36" s="118"/>
      <c r="GLP36" s="118"/>
      <c r="GLQ36" s="118"/>
      <c r="GLR36" s="118"/>
      <c r="GLS36" s="118"/>
      <c r="GLT36" s="118"/>
      <c r="GLU36" s="118"/>
      <c r="GLV36" s="118"/>
      <c r="GLW36" s="118"/>
      <c r="GLX36" s="118"/>
      <c r="GLY36" s="118"/>
      <c r="GLZ36" s="118"/>
      <c r="GMA36" s="118"/>
      <c r="GMB36" s="118"/>
      <c r="GMC36" s="118"/>
      <c r="GMD36" s="118"/>
      <c r="GME36" s="118"/>
      <c r="GMF36" s="118"/>
      <c r="GMG36" s="118"/>
      <c r="GMH36" s="118"/>
      <c r="GMI36" s="118"/>
      <c r="GMJ36" s="118"/>
      <c r="GMK36" s="118"/>
      <c r="GML36" s="118"/>
      <c r="GMM36" s="118"/>
      <c r="GMN36" s="118"/>
      <c r="GMO36" s="118"/>
      <c r="GMP36" s="118"/>
      <c r="GMQ36" s="118"/>
      <c r="GMR36" s="118"/>
      <c r="GMS36" s="118"/>
      <c r="GMT36" s="118"/>
      <c r="GMU36" s="118"/>
      <c r="GMV36" s="118"/>
      <c r="GMW36" s="118"/>
      <c r="GMX36" s="118"/>
      <c r="GMY36" s="118"/>
      <c r="GMZ36" s="118"/>
      <c r="GNA36" s="118"/>
      <c r="GNB36" s="118"/>
      <c r="GNC36" s="118"/>
      <c r="GND36" s="118"/>
      <c r="GNE36" s="118"/>
      <c r="GNF36" s="118"/>
      <c r="GNG36" s="118"/>
      <c r="GNH36" s="118"/>
      <c r="GNI36" s="118"/>
      <c r="GNJ36" s="118"/>
      <c r="GNK36" s="118"/>
      <c r="GNL36" s="118"/>
      <c r="GNM36" s="118"/>
      <c r="GNN36" s="118"/>
      <c r="GNO36" s="118"/>
      <c r="GNP36" s="118"/>
      <c r="GNQ36" s="118"/>
      <c r="GNR36" s="118"/>
      <c r="GNS36" s="118"/>
      <c r="GNT36" s="118"/>
      <c r="GNU36" s="118"/>
      <c r="GNV36" s="118"/>
      <c r="GNW36" s="118"/>
      <c r="GNX36" s="118"/>
      <c r="GNY36" s="118"/>
      <c r="GNZ36" s="118"/>
      <c r="GOA36" s="118"/>
      <c r="GOB36" s="118"/>
      <c r="GOC36" s="118"/>
      <c r="GOD36" s="118"/>
      <c r="GOE36" s="118"/>
      <c r="GOF36" s="118"/>
      <c r="GOG36" s="118"/>
      <c r="GOH36" s="118"/>
      <c r="GOI36" s="118"/>
      <c r="GOJ36" s="118"/>
      <c r="GOK36" s="118"/>
      <c r="GOL36" s="118"/>
      <c r="GOM36" s="118"/>
      <c r="GON36" s="118"/>
      <c r="GOO36" s="118"/>
      <c r="GOP36" s="118"/>
      <c r="GOQ36" s="118"/>
      <c r="GOR36" s="118"/>
      <c r="GOS36" s="118"/>
      <c r="GOT36" s="118"/>
      <c r="GOU36" s="118"/>
      <c r="GOV36" s="118"/>
      <c r="GOW36" s="118"/>
      <c r="GOX36" s="118"/>
      <c r="GOY36" s="118"/>
      <c r="GOZ36" s="118"/>
      <c r="GPA36" s="118"/>
      <c r="GPB36" s="118"/>
      <c r="GPC36" s="118"/>
      <c r="GPD36" s="118"/>
      <c r="GPE36" s="118"/>
      <c r="GPF36" s="118"/>
      <c r="GPG36" s="118"/>
      <c r="GPH36" s="118"/>
      <c r="GPI36" s="118"/>
      <c r="GPJ36" s="118"/>
      <c r="GPK36" s="118"/>
      <c r="GPL36" s="118"/>
      <c r="GPM36" s="118"/>
      <c r="GPN36" s="118"/>
      <c r="GPO36" s="118"/>
      <c r="GPP36" s="118"/>
      <c r="GPQ36" s="118"/>
      <c r="GPR36" s="118"/>
      <c r="GPS36" s="118"/>
      <c r="GPT36" s="118"/>
      <c r="GPU36" s="118"/>
      <c r="GPV36" s="118"/>
      <c r="GPW36" s="118"/>
      <c r="GPX36" s="118"/>
      <c r="GPY36" s="118"/>
      <c r="GPZ36" s="118"/>
      <c r="GQA36" s="118"/>
      <c r="GQB36" s="118"/>
      <c r="GQC36" s="118"/>
      <c r="GQD36" s="118"/>
      <c r="GQE36" s="118"/>
      <c r="GQF36" s="118"/>
      <c r="GQG36" s="118"/>
      <c r="GQH36" s="118"/>
      <c r="GQI36" s="118"/>
      <c r="GQJ36" s="118"/>
      <c r="GQK36" s="118"/>
      <c r="GQL36" s="118"/>
      <c r="GQM36" s="118"/>
      <c r="GQN36" s="118"/>
      <c r="GQO36" s="118"/>
      <c r="GQP36" s="118"/>
      <c r="GQQ36" s="118"/>
      <c r="GQR36" s="118"/>
      <c r="GQS36" s="118"/>
      <c r="GQT36" s="118"/>
      <c r="GQU36" s="118"/>
      <c r="GQV36" s="118"/>
      <c r="GQW36" s="118"/>
      <c r="GQX36" s="118"/>
      <c r="GQY36" s="118"/>
      <c r="GQZ36" s="118"/>
      <c r="GRA36" s="118"/>
      <c r="GRB36" s="118"/>
      <c r="GRC36" s="118"/>
      <c r="GRD36" s="118"/>
      <c r="GRE36" s="118"/>
      <c r="GRF36" s="118"/>
      <c r="GRG36" s="118"/>
      <c r="GRH36" s="118"/>
      <c r="GRI36" s="118"/>
      <c r="GRJ36" s="118"/>
      <c r="GRK36" s="118"/>
      <c r="GRL36" s="118"/>
      <c r="GRM36" s="118"/>
      <c r="GRN36" s="118"/>
      <c r="GRO36" s="118"/>
      <c r="GRP36" s="118"/>
      <c r="GRQ36" s="118"/>
      <c r="GRR36" s="118"/>
      <c r="GRS36" s="118"/>
      <c r="GRT36" s="118"/>
      <c r="GRU36" s="118"/>
      <c r="GRV36" s="118"/>
      <c r="GRW36" s="118"/>
      <c r="GRX36" s="118"/>
      <c r="GRY36" s="118"/>
      <c r="GRZ36" s="118"/>
      <c r="GSA36" s="118"/>
      <c r="GSB36" s="118"/>
      <c r="GSC36" s="118"/>
      <c r="GSD36" s="118"/>
      <c r="GSE36" s="118"/>
      <c r="GSF36" s="118"/>
      <c r="GSG36" s="118"/>
      <c r="GSH36" s="118"/>
      <c r="GSI36" s="118"/>
      <c r="GSJ36" s="118"/>
      <c r="GSK36" s="118"/>
      <c r="GSL36" s="118"/>
      <c r="GSM36" s="118"/>
      <c r="GSN36" s="118"/>
      <c r="GSO36" s="118"/>
      <c r="GSP36" s="118"/>
      <c r="GSQ36" s="118"/>
      <c r="GSR36" s="118"/>
      <c r="GSS36" s="118"/>
      <c r="GST36" s="118"/>
      <c r="GSU36" s="118"/>
      <c r="GSV36" s="118"/>
      <c r="GSW36" s="118"/>
      <c r="GSX36" s="118"/>
      <c r="GSY36" s="118"/>
      <c r="GSZ36" s="118"/>
      <c r="GTA36" s="118"/>
      <c r="GTB36" s="118"/>
      <c r="GTC36" s="118"/>
      <c r="GTD36" s="118"/>
      <c r="GTE36" s="118"/>
      <c r="GTF36" s="118"/>
      <c r="GTG36" s="118"/>
      <c r="GTH36" s="118"/>
      <c r="GTI36" s="118"/>
      <c r="GTJ36" s="118"/>
      <c r="GTK36" s="118"/>
      <c r="GTL36" s="118"/>
      <c r="GTM36" s="118"/>
      <c r="GTN36" s="118"/>
      <c r="GTO36" s="118"/>
      <c r="GTP36" s="118"/>
      <c r="GTQ36" s="118"/>
      <c r="GTR36" s="118"/>
      <c r="GTS36" s="118"/>
      <c r="GTT36" s="118"/>
      <c r="GTU36" s="118"/>
      <c r="GTV36" s="118"/>
      <c r="GTW36" s="118"/>
      <c r="GTX36" s="118"/>
      <c r="GTY36" s="118"/>
      <c r="GTZ36" s="118"/>
      <c r="GUA36" s="118"/>
      <c r="GUB36" s="118"/>
      <c r="GUC36" s="118"/>
      <c r="GUD36" s="118"/>
      <c r="GUE36" s="118"/>
      <c r="GUF36" s="118"/>
      <c r="GUG36" s="118"/>
      <c r="GUH36" s="118"/>
      <c r="GUI36" s="118"/>
      <c r="GUJ36" s="118"/>
      <c r="GUK36" s="118"/>
      <c r="GUL36" s="118"/>
      <c r="GUM36" s="118"/>
      <c r="GUN36" s="118"/>
      <c r="GUO36" s="118"/>
      <c r="GUP36" s="118"/>
      <c r="GUQ36" s="118"/>
      <c r="GUR36" s="118"/>
      <c r="GUS36" s="118"/>
      <c r="GUT36" s="118"/>
      <c r="GUU36" s="118"/>
      <c r="GUV36" s="118"/>
      <c r="GUW36" s="118"/>
      <c r="GUX36" s="118"/>
      <c r="GUY36" s="118"/>
      <c r="GUZ36" s="118"/>
      <c r="GVA36" s="118"/>
      <c r="GVB36" s="118"/>
      <c r="GVC36" s="118"/>
      <c r="GVD36" s="118"/>
      <c r="GVE36" s="118"/>
      <c r="GVF36" s="118"/>
      <c r="GVG36" s="118"/>
      <c r="GVH36" s="118"/>
      <c r="GVI36" s="118"/>
      <c r="GVJ36" s="118"/>
      <c r="GVK36" s="118"/>
      <c r="GVL36" s="118"/>
      <c r="GVM36" s="118"/>
      <c r="GVN36" s="118"/>
      <c r="GVO36" s="118"/>
      <c r="GVP36" s="118"/>
      <c r="GVQ36" s="118"/>
      <c r="GVR36" s="118"/>
      <c r="GVS36" s="118"/>
      <c r="GVT36" s="118"/>
      <c r="GVU36" s="118"/>
      <c r="GVV36" s="118"/>
      <c r="GVW36" s="118"/>
      <c r="GVX36" s="118"/>
      <c r="GVY36" s="118"/>
      <c r="GVZ36" s="118"/>
      <c r="GWA36" s="118"/>
      <c r="GWB36" s="118"/>
      <c r="GWC36" s="118"/>
      <c r="GWD36" s="118"/>
      <c r="GWE36" s="118"/>
      <c r="GWF36" s="118"/>
      <c r="GWG36" s="118"/>
      <c r="GWH36" s="118"/>
      <c r="GWI36" s="118"/>
      <c r="GWJ36" s="118"/>
      <c r="GWK36" s="118"/>
      <c r="GWL36" s="118"/>
      <c r="GWM36" s="118"/>
      <c r="GWN36" s="118"/>
      <c r="GWO36" s="118"/>
      <c r="GWP36" s="118"/>
      <c r="GWQ36" s="118"/>
      <c r="GWR36" s="118"/>
      <c r="GWS36" s="118"/>
      <c r="GWT36" s="118"/>
      <c r="GWU36" s="118"/>
      <c r="GWV36" s="118"/>
      <c r="GWW36" s="118"/>
      <c r="GWX36" s="118"/>
      <c r="GWY36" s="118"/>
      <c r="GWZ36" s="118"/>
      <c r="GXA36" s="118"/>
      <c r="GXB36" s="118"/>
      <c r="GXC36" s="118"/>
      <c r="GXD36" s="118"/>
      <c r="GXE36" s="118"/>
      <c r="GXF36" s="118"/>
      <c r="GXG36" s="118"/>
      <c r="GXH36" s="118"/>
      <c r="GXI36" s="118"/>
      <c r="GXJ36" s="118"/>
      <c r="GXK36" s="118"/>
      <c r="GXL36" s="118"/>
      <c r="GXM36" s="118"/>
      <c r="GXN36" s="118"/>
      <c r="GXO36" s="118"/>
      <c r="GXP36" s="118"/>
      <c r="GXQ36" s="118"/>
      <c r="GXR36" s="118"/>
      <c r="GXS36" s="118"/>
      <c r="GXT36" s="118"/>
      <c r="GXU36" s="118"/>
      <c r="GXV36" s="118"/>
      <c r="GXW36" s="118"/>
      <c r="GXX36" s="118"/>
      <c r="GXY36" s="118"/>
      <c r="GXZ36" s="118"/>
      <c r="GYA36" s="118"/>
      <c r="GYB36" s="118"/>
      <c r="GYC36" s="118"/>
      <c r="GYD36" s="118"/>
      <c r="GYE36" s="118"/>
      <c r="GYF36" s="118"/>
      <c r="GYG36" s="118"/>
      <c r="GYH36" s="118"/>
      <c r="GYI36" s="118"/>
      <c r="GYJ36" s="118"/>
      <c r="GYK36" s="118"/>
      <c r="GYL36" s="118"/>
      <c r="GYM36" s="118"/>
      <c r="GYN36" s="118"/>
      <c r="GYO36" s="118"/>
      <c r="GYP36" s="118"/>
      <c r="GYQ36" s="118"/>
      <c r="GYR36" s="118"/>
      <c r="GYS36" s="118"/>
      <c r="GYT36" s="118"/>
      <c r="GYU36" s="118"/>
      <c r="GYV36" s="118"/>
      <c r="GYW36" s="118"/>
      <c r="GYX36" s="118"/>
      <c r="GYY36" s="118"/>
      <c r="GYZ36" s="118"/>
      <c r="GZA36" s="118"/>
      <c r="GZB36" s="118"/>
      <c r="GZC36" s="118"/>
      <c r="GZD36" s="118"/>
      <c r="GZE36" s="118"/>
      <c r="GZF36" s="118"/>
      <c r="GZG36" s="118"/>
      <c r="GZH36" s="118"/>
      <c r="GZI36" s="118"/>
      <c r="GZJ36" s="118"/>
      <c r="GZK36" s="118"/>
      <c r="GZL36" s="118"/>
      <c r="GZM36" s="118"/>
      <c r="GZN36" s="118"/>
      <c r="GZO36" s="118"/>
      <c r="GZP36" s="118"/>
      <c r="GZQ36" s="118"/>
      <c r="GZR36" s="118"/>
      <c r="GZS36" s="118"/>
      <c r="GZT36" s="118"/>
      <c r="GZU36" s="118"/>
      <c r="GZV36" s="118"/>
      <c r="GZW36" s="118"/>
      <c r="GZX36" s="118"/>
      <c r="GZY36" s="118"/>
      <c r="GZZ36" s="118"/>
      <c r="HAA36" s="118"/>
      <c r="HAB36" s="118"/>
      <c r="HAC36" s="118"/>
      <c r="HAD36" s="118"/>
      <c r="HAE36" s="118"/>
      <c r="HAF36" s="118"/>
      <c r="HAG36" s="118"/>
      <c r="HAH36" s="118"/>
      <c r="HAI36" s="118"/>
      <c r="HAJ36" s="118"/>
      <c r="HAK36" s="118"/>
      <c r="HAL36" s="118"/>
      <c r="HAM36" s="118"/>
      <c r="HAN36" s="118"/>
      <c r="HAO36" s="118"/>
      <c r="HAP36" s="118"/>
      <c r="HAQ36" s="118"/>
      <c r="HAR36" s="118"/>
      <c r="HAS36" s="118"/>
      <c r="HAT36" s="118"/>
      <c r="HAU36" s="118"/>
      <c r="HAV36" s="118"/>
      <c r="HAW36" s="118"/>
      <c r="HAX36" s="118"/>
      <c r="HAY36" s="118"/>
      <c r="HAZ36" s="118"/>
      <c r="HBA36" s="118"/>
      <c r="HBB36" s="118"/>
      <c r="HBC36" s="118"/>
      <c r="HBD36" s="118"/>
      <c r="HBE36" s="118"/>
      <c r="HBF36" s="118"/>
      <c r="HBG36" s="118"/>
      <c r="HBH36" s="118"/>
      <c r="HBI36" s="118"/>
      <c r="HBJ36" s="118"/>
      <c r="HBK36" s="118"/>
      <c r="HBL36" s="118"/>
      <c r="HBM36" s="118"/>
      <c r="HBN36" s="118"/>
      <c r="HBO36" s="118"/>
      <c r="HBP36" s="118"/>
      <c r="HBQ36" s="118"/>
      <c r="HBR36" s="118"/>
      <c r="HBS36" s="118"/>
      <c r="HBT36" s="118"/>
      <c r="HBU36" s="118"/>
      <c r="HBV36" s="118"/>
      <c r="HBW36" s="118"/>
      <c r="HBX36" s="118"/>
      <c r="HBY36" s="118"/>
      <c r="HBZ36" s="118"/>
      <c r="HCA36" s="118"/>
      <c r="HCB36" s="118"/>
      <c r="HCC36" s="118"/>
      <c r="HCD36" s="118"/>
      <c r="HCE36" s="118"/>
      <c r="HCF36" s="118"/>
      <c r="HCG36" s="118"/>
      <c r="HCH36" s="118"/>
      <c r="HCI36" s="118"/>
      <c r="HCJ36" s="118"/>
      <c r="HCK36" s="118"/>
      <c r="HCL36" s="118"/>
      <c r="HCM36" s="118"/>
      <c r="HCN36" s="118"/>
      <c r="HCO36" s="118"/>
      <c r="HCP36" s="118"/>
      <c r="HCQ36" s="118"/>
      <c r="HCR36" s="118"/>
      <c r="HCS36" s="118"/>
      <c r="HCT36" s="118"/>
      <c r="HCU36" s="118"/>
      <c r="HCV36" s="118"/>
      <c r="HCW36" s="118"/>
      <c r="HCX36" s="118"/>
      <c r="HCY36" s="118"/>
      <c r="HCZ36" s="118"/>
      <c r="HDA36" s="118"/>
      <c r="HDB36" s="118"/>
      <c r="HDC36" s="118"/>
      <c r="HDD36" s="118"/>
      <c r="HDE36" s="118"/>
      <c r="HDF36" s="118"/>
      <c r="HDG36" s="118"/>
      <c r="HDH36" s="118"/>
      <c r="HDI36" s="118"/>
      <c r="HDJ36" s="118"/>
      <c r="HDK36" s="118"/>
      <c r="HDL36" s="118"/>
      <c r="HDM36" s="118"/>
      <c r="HDN36" s="118"/>
      <c r="HDO36" s="118"/>
      <c r="HDP36" s="118"/>
      <c r="HDQ36" s="118"/>
      <c r="HDR36" s="118"/>
      <c r="HDS36" s="118"/>
      <c r="HDT36" s="118"/>
      <c r="HDU36" s="118"/>
      <c r="HDV36" s="118"/>
      <c r="HDW36" s="118"/>
      <c r="HDX36" s="118"/>
      <c r="HDY36" s="118"/>
      <c r="HDZ36" s="118"/>
      <c r="HEA36" s="118"/>
      <c r="HEB36" s="118"/>
      <c r="HEC36" s="118"/>
      <c r="HED36" s="118"/>
      <c r="HEE36" s="118"/>
      <c r="HEF36" s="118"/>
      <c r="HEG36" s="118"/>
      <c r="HEH36" s="118"/>
      <c r="HEI36" s="118"/>
      <c r="HEJ36" s="118"/>
      <c r="HEK36" s="118"/>
      <c r="HEL36" s="118"/>
      <c r="HEM36" s="118"/>
      <c r="HEN36" s="118"/>
      <c r="HEO36" s="118"/>
      <c r="HEP36" s="118"/>
      <c r="HEQ36" s="118"/>
      <c r="HER36" s="118"/>
      <c r="HES36" s="118"/>
      <c r="HET36" s="118"/>
      <c r="HEU36" s="118"/>
      <c r="HEV36" s="118"/>
      <c r="HEW36" s="118"/>
      <c r="HEX36" s="118"/>
      <c r="HEY36" s="118"/>
      <c r="HEZ36" s="118"/>
      <c r="HFA36" s="118"/>
      <c r="HFB36" s="118"/>
      <c r="HFC36" s="118"/>
      <c r="HFD36" s="118"/>
      <c r="HFE36" s="118"/>
      <c r="HFF36" s="118"/>
      <c r="HFG36" s="118"/>
      <c r="HFH36" s="118"/>
      <c r="HFI36" s="118"/>
      <c r="HFJ36" s="118"/>
      <c r="HFK36" s="118"/>
      <c r="HFL36" s="118"/>
      <c r="HFM36" s="118"/>
      <c r="HFN36" s="118"/>
      <c r="HFO36" s="118"/>
      <c r="HFP36" s="118"/>
      <c r="HFQ36" s="118"/>
      <c r="HFR36" s="118"/>
      <c r="HFS36" s="118"/>
      <c r="HFT36" s="118"/>
      <c r="HFU36" s="118"/>
      <c r="HFV36" s="118"/>
      <c r="HFW36" s="118"/>
      <c r="HFX36" s="118"/>
      <c r="HFY36" s="118"/>
      <c r="HFZ36" s="118"/>
      <c r="HGA36" s="118"/>
      <c r="HGB36" s="118"/>
      <c r="HGC36" s="118"/>
      <c r="HGD36" s="118"/>
      <c r="HGE36" s="118"/>
      <c r="HGF36" s="118"/>
      <c r="HGG36" s="118"/>
      <c r="HGH36" s="118"/>
      <c r="HGI36" s="118"/>
      <c r="HGJ36" s="118"/>
      <c r="HGK36" s="118"/>
      <c r="HGL36" s="118"/>
      <c r="HGM36" s="118"/>
      <c r="HGN36" s="118"/>
      <c r="HGO36" s="118"/>
      <c r="HGP36" s="118"/>
      <c r="HGQ36" s="118"/>
      <c r="HGR36" s="118"/>
      <c r="HGS36" s="118"/>
      <c r="HGT36" s="118"/>
      <c r="HGU36" s="118"/>
      <c r="HGV36" s="118"/>
      <c r="HGW36" s="118"/>
      <c r="HGX36" s="118"/>
      <c r="HGY36" s="118"/>
      <c r="HGZ36" s="118"/>
      <c r="HHA36" s="118"/>
      <c r="HHB36" s="118"/>
      <c r="HHC36" s="118"/>
      <c r="HHD36" s="118"/>
      <c r="HHE36" s="118"/>
      <c r="HHF36" s="118"/>
      <c r="HHG36" s="118"/>
      <c r="HHH36" s="118"/>
      <c r="HHI36" s="118"/>
      <c r="HHJ36" s="118"/>
      <c r="HHK36" s="118"/>
      <c r="HHL36" s="118"/>
      <c r="HHM36" s="118"/>
      <c r="HHN36" s="118"/>
      <c r="HHO36" s="118"/>
      <c r="HHP36" s="118"/>
      <c r="HHQ36" s="118"/>
      <c r="HHR36" s="118"/>
      <c r="HHS36" s="118"/>
      <c r="HHT36" s="118"/>
      <c r="HHU36" s="118"/>
      <c r="HHV36" s="118"/>
      <c r="HHW36" s="118"/>
      <c r="HHX36" s="118"/>
      <c r="HHY36" s="118"/>
      <c r="HHZ36" s="118"/>
      <c r="HIA36" s="118"/>
      <c r="HIB36" s="118"/>
      <c r="HIC36" s="118"/>
      <c r="HID36" s="118"/>
      <c r="HIE36" s="118"/>
      <c r="HIF36" s="118"/>
      <c r="HIG36" s="118"/>
      <c r="HIH36" s="118"/>
      <c r="HII36" s="118"/>
      <c r="HIJ36" s="118"/>
      <c r="HIK36" s="118"/>
      <c r="HIL36" s="118"/>
      <c r="HIM36" s="118"/>
      <c r="HIN36" s="118"/>
      <c r="HIO36" s="118"/>
      <c r="HIP36" s="118"/>
      <c r="HIQ36" s="118"/>
      <c r="HIR36" s="118"/>
      <c r="HIS36" s="118"/>
      <c r="HIT36" s="118"/>
      <c r="HIU36" s="118"/>
      <c r="HIV36" s="118"/>
      <c r="HIW36" s="118"/>
      <c r="HIX36" s="118"/>
      <c r="HIY36" s="118"/>
      <c r="HIZ36" s="118"/>
      <c r="HJA36" s="118"/>
      <c r="HJB36" s="118"/>
      <c r="HJC36" s="118"/>
      <c r="HJD36" s="118"/>
      <c r="HJE36" s="118"/>
      <c r="HJF36" s="118"/>
      <c r="HJG36" s="118"/>
      <c r="HJH36" s="118"/>
      <c r="HJI36" s="118"/>
      <c r="HJJ36" s="118"/>
      <c r="HJK36" s="118"/>
      <c r="HJL36" s="118"/>
      <c r="HJM36" s="118"/>
      <c r="HJN36" s="118"/>
      <c r="HJO36" s="118"/>
      <c r="HJP36" s="118"/>
      <c r="HJQ36" s="118"/>
      <c r="HJR36" s="118"/>
      <c r="HJS36" s="118"/>
      <c r="HJT36" s="118"/>
      <c r="HJU36" s="118"/>
      <c r="HJV36" s="118"/>
      <c r="HJW36" s="118"/>
      <c r="HJX36" s="118"/>
      <c r="HJY36" s="118"/>
      <c r="HJZ36" s="118"/>
      <c r="HKA36" s="118"/>
      <c r="HKB36" s="118"/>
      <c r="HKC36" s="118"/>
      <c r="HKD36" s="118"/>
      <c r="HKE36" s="118"/>
      <c r="HKF36" s="118"/>
      <c r="HKG36" s="118"/>
      <c r="HKH36" s="118"/>
      <c r="HKI36" s="118"/>
      <c r="HKJ36" s="118"/>
      <c r="HKK36" s="118"/>
      <c r="HKL36" s="118"/>
      <c r="HKM36" s="118"/>
      <c r="HKN36" s="118"/>
      <c r="HKO36" s="118"/>
      <c r="HKP36" s="118"/>
      <c r="HKQ36" s="118"/>
      <c r="HKR36" s="118"/>
      <c r="HKS36" s="118"/>
      <c r="HKT36" s="118"/>
      <c r="HKU36" s="118"/>
      <c r="HKV36" s="118"/>
      <c r="HKW36" s="118"/>
      <c r="HKX36" s="118"/>
      <c r="HKY36" s="118"/>
      <c r="HKZ36" s="118"/>
      <c r="HLA36" s="118"/>
      <c r="HLB36" s="118"/>
      <c r="HLC36" s="118"/>
      <c r="HLD36" s="118"/>
      <c r="HLE36" s="118"/>
      <c r="HLF36" s="118"/>
      <c r="HLG36" s="118"/>
      <c r="HLH36" s="118"/>
      <c r="HLI36" s="118"/>
      <c r="HLJ36" s="118"/>
      <c r="HLK36" s="118"/>
      <c r="HLL36" s="118"/>
      <c r="HLM36" s="118"/>
      <c r="HLN36" s="118"/>
      <c r="HLO36" s="118"/>
      <c r="HLP36" s="118"/>
      <c r="HLQ36" s="118"/>
      <c r="HLR36" s="118"/>
      <c r="HLS36" s="118"/>
      <c r="HLT36" s="118"/>
      <c r="HLU36" s="118"/>
      <c r="HLV36" s="118"/>
      <c r="HLW36" s="118"/>
      <c r="HLX36" s="118"/>
      <c r="HLY36" s="118"/>
      <c r="HLZ36" s="118"/>
      <c r="HMA36" s="118"/>
      <c r="HMB36" s="118"/>
      <c r="HMC36" s="118"/>
      <c r="HMD36" s="118"/>
      <c r="HME36" s="118"/>
      <c r="HMF36" s="118"/>
      <c r="HMG36" s="118"/>
      <c r="HMH36" s="118"/>
      <c r="HMI36" s="118"/>
      <c r="HMJ36" s="118"/>
      <c r="HMK36" s="118"/>
      <c r="HML36" s="118"/>
      <c r="HMM36" s="118"/>
      <c r="HMN36" s="118"/>
      <c r="HMO36" s="118"/>
      <c r="HMP36" s="118"/>
      <c r="HMQ36" s="118"/>
      <c r="HMR36" s="118"/>
      <c r="HMS36" s="118"/>
      <c r="HMT36" s="118"/>
      <c r="HMU36" s="118"/>
      <c r="HMV36" s="118"/>
      <c r="HMW36" s="118"/>
      <c r="HMX36" s="118"/>
      <c r="HMY36" s="118"/>
      <c r="HMZ36" s="118"/>
      <c r="HNA36" s="118"/>
      <c r="HNB36" s="118"/>
      <c r="HNC36" s="118"/>
      <c r="HND36" s="118"/>
      <c r="HNE36" s="118"/>
      <c r="HNF36" s="118"/>
      <c r="HNG36" s="118"/>
      <c r="HNH36" s="118"/>
      <c r="HNI36" s="118"/>
      <c r="HNJ36" s="118"/>
      <c r="HNK36" s="118"/>
      <c r="HNL36" s="118"/>
      <c r="HNM36" s="118"/>
      <c r="HNN36" s="118"/>
      <c r="HNO36" s="118"/>
      <c r="HNP36" s="118"/>
      <c r="HNQ36" s="118"/>
      <c r="HNR36" s="118"/>
      <c r="HNS36" s="118"/>
      <c r="HNT36" s="118"/>
      <c r="HNU36" s="118"/>
      <c r="HNV36" s="118"/>
      <c r="HNW36" s="118"/>
      <c r="HNX36" s="118"/>
      <c r="HNY36" s="118"/>
      <c r="HNZ36" s="118"/>
      <c r="HOA36" s="118"/>
      <c r="HOB36" s="118"/>
      <c r="HOC36" s="118"/>
      <c r="HOD36" s="118"/>
      <c r="HOE36" s="118"/>
      <c r="HOF36" s="118"/>
      <c r="HOG36" s="118"/>
      <c r="HOH36" s="118"/>
      <c r="HOI36" s="118"/>
      <c r="HOJ36" s="118"/>
      <c r="HOK36" s="118"/>
      <c r="HOL36" s="118"/>
      <c r="HOM36" s="118"/>
      <c r="HON36" s="118"/>
      <c r="HOO36" s="118"/>
      <c r="HOP36" s="118"/>
      <c r="HOQ36" s="118"/>
      <c r="HOR36" s="118"/>
      <c r="HOS36" s="118"/>
      <c r="HOT36" s="118"/>
      <c r="HOU36" s="118"/>
      <c r="HOV36" s="118"/>
      <c r="HOW36" s="118"/>
      <c r="HOX36" s="118"/>
      <c r="HOY36" s="118"/>
      <c r="HOZ36" s="118"/>
      <c r="HPA36" s="118"/>
      <c r="HPB36" s="118"/>
      <c r="HPC36" s="118"/>
      <c r="HPD36" s="118"/>
      <c r="HPE36" s="118"/>
      <c r="HPF36" s="118"/>
      <c r="HPG36" s="118"/>
      <c r="HPH36" s="118"/>
      <c r="HPI36" s="118"/>
      <c r="HPJ36" s="118"/>
      <c r="HPK36" s="118"/>
      <c r="HPL36" s="118"/>
      <c r="HPM36" s="118"/>
      <c r="HPN36" s="118"/>
      <c r="HPO36" s="118"/>
      <c r="HPP36" s="118"/>
      <c r="HPQ36" s="118"/>
      <c r="HPR36" s="118"/>
      <c r="HPS36" s="118"/>
      <c r="HPT36" s="118"/>
      <c r="HPU36" s="118"/>
      <c r="HPV36" s="118"/>
      <c r="HPW36" s="118"/>
      <c r="HPX36" s="118"/>
      <c r="HPY36" s="118"/>
      <c r="HPZ36" s="118"/>
      <c r="HQA36" s="118"/>
      <c r="HQB36" s="118"/>
      <c r="HQC36" s="118"/>
      <c r="HQD36" s="118"/>
      <c r="HQE36" s="118"/>
      <c r="HQF36" s="118"/>
      <c r="HQG36" s="118"/>
      <c r="HQH36" s="118"/>
      <c r="HQI36" s="118"/>
      <c r="HQJ36" s="118"/>
      <c r="HQK36" s="118"/>
      <c r="HQL36" s="118"/>
      <c r="HQM36" s="118"/>
      <c r="HQN36" s="118"/>
      <c r="HQO36" s="118"/>
      <c r="HQP36" s="118"/>
      <c r="HQQ36" s="118"/>
      <c r="HQR36" s="118"/>
      <c r="HQS36" s="118"/>
      <c r="HQT36" s="118"/>
      <c r="HQU36" s="118"/>
      <c r="HQV36" s="118"/>
      <c r="HQW36" s="118"/>
      <c r="HQX36" s="118"/>
      <c r="HQY36" s="118"/>
      <c r="HQZ36" s="118"/>
      <c r="HRA36" s="118"/>
      <c r="HRB36" s="118"/>
      <c r="HRC36" s="118"/>
      <c r="HRD36" s="118"/>
      <c r="HRE36" s="118"/>
      <c r="HRF36" s="118"/>
      <c r="HRG36" s="118"/>
      <c r="HRH36" s="118"/>
      <c r="HRI36" s="118"/>
      <c r="HRJ36" s="118"/>
      <c r="HRK36" s="118"/>
      <c r="HRL36" s="118"/>
      <c r="HRM36" s="118"/>
      <c r="HRN36" s="118"/>
      <c r="HRO36" s="118"/>
      <c r="HRP36" s="118"/>
      <c r="HRQ36" s="118"/>
      <c r="HRR36" s="118"/>
      <c r="HRS36" s="118"/>
      <c r="HRT36" s="118"/>
      <c r="HRU36" s="118"/>
      <c r="HRV36" s="118"/>
      <c r="HRW36" s="118"/>
      <c r="HRX36" s="118"/>
      <c r="HRY36" s="118"/>
      <c r="HRZ36" s="118"/>
      <c r="HSA36" s="118"/>
      <c r="HSB36" s="118"/>
      <c r="HSC36" s="118"/>
      <c r="HSD36" s="118"/>
      <c r="HSE36" s="118"/>
      <c r="HSF36" s="118"/>
      <c r="HSG36" s="118"/>
      <c r="HSH36" s="118"/>
      <c r="HSI36" s="118"/>
      <c r="HSJ36" s="118"/>
      <c r="HSK36" s="118"/>
      <c r="HSL36" s="118"/>
      <c r="HSM36" s="118"/>
      <c r="HSN36" s="118"/>
      <c r="HSO36" s="118"/>
      <c r="HSP36" s="118"/>
      <c r="HSQ36" s="118"/>
      <c r="HSR36" s="118"/>
      <c r="HSS36" s="118"/>
      <c r="HST36" s="118"/>
      <c r="HSU36" s="118"/>
      <c r="HSV36" s="118"/>
      <c r="HSW36" s="118"/>
      <c r="HSX36" s="118"/>
      <c r="HSY36" s="118"/>
      <c r="HSZ36" s="118"/>
      <c r="HTA36" s="118"/>
      <c r="HTB36" s="118"/>
      <c r="HTC36" s="118"/>
      <c r="HTD36" s="118"/>
      <c r="HTE36" s="118"/>
      <c r="HTF36" s="118"/>
      <c r="HTG36" s="118"/>
      <c r="HTH36" s="118"/>
      <c r="HTI36" s="118"/>
      <c r="HTJ36" s="118"/>
      <c r="HTK36" s="118"/>
      <c r="HTL36" s="118"/>
      <c r="HTM36" s="118"/>
      <c r="HTN36" s="118"/>
      <c r="HTO36" s="118"/>
      <c r="HTP36" s="118"/>
      <c r="HTQ36" s="118"/>
      <c r="HTR36" s="118"/>
      <c r="HTS36" s="118"/>
      <c r="HTT36" s="118"/>
      <c r="HTU36" s="118"/>
      <c r="HTV36" s="118"/>
      <c r="HTW36" s="118"/>
      <c r="HTX36" s="118"/>
      <c r="HTY36" s="118"/>
      <c r="HTZ36" s="118"/>
      <c r="HUA36" s="118"/>
      <c r="HUB36" s="118"/>
      <c r="HUC36" s="118"/>
      <c r="HUD36" s="118"/>
      <c r="HUE36" s="118"/>
      <c r="HUF36" s="118"/>
      <c r="HUG36" s="118"/>
      <c r="HUH36" s="118"/>
      <c r="HUI36" s="118"/>
      <c r="HUJ36" s="118"/>
      <c r="HUK36" s="118"/>
      <c r="HUL36" s="118"/>
      <c r="HUM36" s="118"/>
      <c r="HUN36" s="118"/>
      <c r="HUO36" s="118"/>
      <c r="HUP36" s="118"/>
      <c r="HUQ36" s="118"/>
      <c r="HUR36" s="118"/>
      <c r="HUS36" s="118"/>
      <c r="HUT36" s="118"/>
      <c r="HUU36" s="118"/>
      <c r="HUV36" s="118"/>
      <c r="HUW36" s="118"/>
      <c r="HUX36" s="118"/>
      <c r="HUY36" s="118"/>
      <c r="HUZ36" s="118"/>
      <c r="HVA36" s="118"/>
      <c r="HVB36" s="118"/>
      <c r="HVC36" s="118"/>
      <c r="HVD36" s="118"/>
      <c r="HVE36" s="118"/>
      <c r="HVF36" s="118"/>
      <c r="HVG36" s="118"/>
      <c r="HVH36" s="118"/>
      <c r="HVI36" s="118"/>
      <c r="HVJ36" s="118"/>
      <c r="HVK36" s="118"/>
      <c r="HVL36" s="118"/>
      <c r="HVM36" s="118"/>
      <c r="HVN36" s="118"/>
      <c r="HVO36" s="118"/>
      <c r="HVP36" s="118"/>
      <c r="HVQ36" s="118"/>
      <c r="HVR36" s="118"/>
      <c r="HVS36" s="118"/>
      <c r="HVT36" s="118"/>
      <c r="HVU36" s="118"/>
      <c r="HVV36" s="118"/>
      <c r="HVW36" s="118"/>
      <c r="HVX36" s="118"/>
      <c r="HVY36" s="118"/>
      <c r="HVZ36" s="118"/>
      <c r="HWA36" s="118"/>
      <c r="HWB36" s="118"/>
      <c r="HWC36" s="118"/>
      <c r="HWD36" s="118"/>
      <c r="HWE36" s="118"/>
      <c r="HWF36" s="118"/>
      <c r="HWG36" s="118"/>
      <c r="HWH36" s="118"/>
      <c r="HWI36" s="118"/>
      <c r="HWJ36" s="118"/>
      <c r="HWK36" s="118"/>
      <c r="HWL36" s="118"/>
      <c r="HWM36" s="118"/>
      <c r="HWN36" s="118"/>
      <c r="HWO36" s="118"/>
      <c r="HWP36" s="118"/>
      <c r="HWQ36" s="118"/>
      <c r="HWR36" s="118"/>
      <c r="HWS36" s="118"/>
      <c r="HWT36" s="118"/>
      <c r="HWU36" s="118"/>
      <c r="HWV36" s="118"/>
      <c r="HWW36" s="118"/>
      <c r="HWX36" s="118"/>
      <c r="HWY36" s="118"/>
      <c r="HWZ36" s="118"/>
      <c r="HXA36" s="118"/>
      <c r="HXB36" s="118"/>
      <c r="HXC36" s="118"/>
      <c r="HXD36" s="118"/>
      <c r="HXE36" s="118"/>
      <c r="HXF36" s="118"/>
      <c r="HXG36" s="118"/>
      <c r="HXH36" s="118"/>
      <c r="HXI36" s="118"/>
      <c r="HXJ36" s="118"/>
      <c r="HXK36" s="118"/>
      <c r="HXL36" s="118"/>
      <c r="HXM36" s="118"/>
      <c r="HXN36" s="118"/>
      <c r="HXO36" s="118"/>
      <c r="HXP36" s="118"/>
      <c r="HXQ36" s="118"/>
      <c r="HXR36" s="118"/>
      <c r="HXS36" s="118"/>
      <c r="HXT36" s="118"/>
      <c r="HXU36" s="118"/>
      <c r="HXV36" s="118"/>
      <c r="HXW36" s="118"/>
      <c r="HXX36" s="118"/>
      <c r="HXY36" s="118"/>
      <c r="HXZ36" s="118"/>
      <c r="HYA36" s="118"/>
      <c r="HYB36" s="118"/>
      <c r="HYC36" s="118"/>
      <c r="HYD36" s="118"/>
      <c r="HYE36" s="118"/>
      <c r="HYF36" s="118"/>
      <c r="HYG36" s="118"/>
      <c r="HYH36" s="118"/>
      <c r="HYI36" s="118"/>
      <c r="HYJ36" s="118"/>
      <c r="HYK36" s="118"/>
      <c r="HYL36" s="118"/>
      <c r="HYM36" s="118"/>
      <c r="HYN36" s="118"/>
      <c r="HYO36" s="118"/>
      <c r="HYP36" s="118"/>
      <c r="HYQ36" s="118"/>
      <c r="HYR36" s="118"/>
      <c r="HYS36" s="118"/>
      <c r="HYT36" s="118"/>
      <c r="HYU36" s="118"/>
      <c r="HYV36" s="118"/>
      <c r="HYW36" s="118"/>
      <c r="HYX36" s="118"/>
      <c r="HYY36" s="118"/>
      <c r="HYZ36" s="118"/>
      <c r="HZA36" s="118"/>
      <c r="HZB36" s="118"/>
      <c r="HZC36" s="118"/>
      <c r="HZD36" s="118"/>
      <c r="HZE36" s="118"/>
      <c r="HZF36" s="118"/>
      <c r="HZG36" s="118"/>
      <c r="HZH36" s="118"/>
      <c r="HZI36" s="118"/>
      <c r="HZJ36" s="118"/>
      <c r="HZK36" s="118"/>
      <c r="HZL36" s="118"/>
      <c r="HZM36" s="118"/>
      <c r="HZN36" s="118"/>
      <c r="HZO36" s="118"/>
      <c r="HZP36" s="118"/>
      <c r="HZQ36" s="118"/>
      <c r="HZR36" s="118"/>
      <c r="HZS36" s="118"/>
      <c r="HZT36" s="118"/>
      <c r="HZU36" s="118"/>
      <c r="HZV36" s="118"/>
      <c r="HZW36" s="118"/>
      <c r="HZX36" s="118"/>
      <c r="HZY36" s="118"/>
      <c r="HZZ36" s="118"/>
      <c r="IAA36" s="118"/>
      <c r="IAB36" s="118"/>
      <c r="IAC36" s="118"/>
      <c r="IAD36" s="118"/>
      <c r="IAE36" s="118"/>
      <c r="IAF36" s="118"/>
      <c r="IAG36" s="118"/>
      <c r="IAH36" s="118"/>
      <c r="IAI36" s="118"/>
      <c r="IAJ36" s="118"/>
      <c r="IAK36" s="118"/>
      <c r="IAL36" s="118"/>
      <c r="IAM36" s="118"/>
      <c r="IAN36" s="118"/>
      <c r="IAO36" s="118"/>
      <c r="IAP36" s="118"/>
      <c r="IAQ36" s="118"/>
      <c r="IAR36" s="118"/>
      <c r="IAS36" s="118"/>
      <c r="IAT36" s="118"/>
      <c r="IAU36" s="118"/>
      <c r="IAV36" s="118"/>
      <c r="IAW36" s="118"/>
      <c r="IAX36" s="118"/>
      <c r="IAY36" s="118"/>
      <c r="IAZ36" s="118"/>
      <c r="IBA36" s="118"/>
      <c r="IBB36" s="118"/>
      <c r="IBC36" s="118"/>
      <c r="IBD36" s="118"/>
      <c r="IBE36" s="118"/>
      <c r="IBF36" s="118"/>
      <c r="IBG36" s="118"/>
      <c r="IBH36" s="118"/>
      <c r="IBI36" s="118"/>
      <c r="IBJ36" s="118"/>
      <c r="IBK36" s="118"/>
      <c r="IBL36" s="118"/>
      <c r="IBM36" s="118"/>
      <c r="IBN36" s="118"/>
      <c r="IBO36" s="118"/>
      <c r="IBP36" s="118"/>
      <c r="IBQ36" s="118"/>
      <c r="IBR36" s="118"/>
      <c r="IBS36" s="118"/>
      <c r="IBT36" s="118"/>
      <c r="IBU36" s="118"/>
      <c r="IBV36" s="118"/>
      <c r="IBW36" s="118"/>
      <c r="IBX36" s="118"/>
      <c r="IBY36" s="118"/>
      <c r="IBZ36" s="118"/>
      <c r="ICA36" s="118"/>
      <c r="ICB36" s="118"/>
      <c r="ICC36" s="118"/>
      <c r="ICD36" s="118"/>
      <c r="ICE36" s="118"/>
      <c r="ICF36" s="118"/>
      <c r="ICG36" s="118"/>
      <c r="ICH36" s="118"/>
      <c r="ICI36" s="118"/>
      <c r="ICJ36" s="118"/>
      <c r="ICK36" s="118"/>
      <c r="ICL36" s="118"/>
      <c r="ICM36" s="118"/>
      <c r="ICN36" s="118"/>
      <c r="ICO36" s="118"/>
      <c r="ICP36" s="118"/>
      <c r="ICQ36" s="118"/>
      <c r="ICR36" s="118"/>
      <c r="ICS36" s="118"/>
      <c r="ICT36" s="118"/>
      <c r="ICU36" s="118"/>
      <c r="ICV36" s="118"/>
      <c r="ICW36" s="118"/>
      <c r="ICX36" s="118"/>
      <c r="ICY36" s="118"/>
      <c r="ICZ36" s="118"/>
      <c r="IDA36" s="118"/>
      <c r="IDB36" s="118"/>
      <c r="IDC36" s="118"/>
      <c r="IDD36" s="118"/>
      <c r="IDE36" s="118"/>
      <c r="IDF36" s="118"/>
      <c r="IDG36" s="118"/>
      <c r="IDH36" s="118"/>
      <c r="IDI36" s="118"/>
      <c r="IDJ36" s="118"/>
      <c r="IDK36" s="118"/>
      <c r="IDL36" s="118"/>
      <c r="IDM36" s="118"/>
      <c r="IDN36" s="118"/>
      <c r="IDO36" s="118"/>
      <c r="IDP36" s="118"/>
      <c r="IDQ36" s="118"/>
      <c r="IDR36" s="118"/>
      <c r="IDS36" s="118"/>
      <c r="IDT36" s="118"/>
      <c r="IDU36" s="118"/>
      <c r="IDV36" s="118"/>
      <c r="IDW36" s="118"/>
      <c r="IDX36" s="118"/>
      <c r="IDY36" s="118"/>
      <c r="IDZ36" s="118"/>
      <c r="IEA36" s="118"/>
      <c r="IEB36" s="118"/>
      <c r="IEC36" s="118"/>
      <c r="IED36" s="118"/>
      <c r="IEE36" s="118"/>
      <c r="IEF36" s="118"/>
      <c r="IEG36" s="118"/>
      <c r="IEH36" s="118"/>
      <c r="IEI36" s="118"/>
      <c r="IEJ36" s="118"/>
      <c r="IEK36" s="118"/>
      <c r="IEL36" s="118"/>
      <c r="IEM36" s="118"/>
      <c r="IEN36" s="118"/>
      <c r="IEO36" s="118"/>
      <c r="IEP36" s="118"/>
      <c r="IEQ36" s="118"/>
      <c r="IER36" s="118"/>
      <c r="IES36" s="118"/>
      <c r="IET36" s="118"/>
      <c r="IEU36" s="118"/>
      <c r="IEV36" s="118"/>
      <c r="IEW36" s="118"/>
      <c r="IEX36" s="118"/>
      <c r="IEY36" s="118"/>
      <c r="IEZ36" s="118"/>
      <c r="IFA36" s="118"/>
      <c r="IFB36" s="118"/>
      <c r="IFC36" s="118"/>
      <c r="IFD36" s="118"/>
      <c r="IFE36" s="118"/>
      <c r="IFF36" s="118"/>
      <c r="IFG36" s="118"/>
      <c r="IFH36" s="118"/>
      <c r="IFI36" s="118"/>
      <c r="IFJ36" s="118"/>
      <c r="IFK36" s="118"/>
      <c r="IFL36" s="118"/>
      <c r="IFM36" s="118"/>
      <c r="IFN36" s="118"/>
      <c r="IFO36" s="118"/>
      <c r="IFP36" s="118"/>
      <c r="IFQ36" s="118"/>
      <c r="IFR36" s="118"/>
      <c r="IFS36" s="118"/>
      <c r="IFT36" s="118"/>
      <c r="IFU36" s="118"/>
      <c r="IFV36" s="118"/>
      <c r="IFW36" s="118"/>
      <c r="IFX36" s="118"/>
      <c r="IFY36" s="118"/>
      <c r="IFZ36" s="118"/>
      <c r="IGA36" s="118"/>
      <c r="IGB36" s="118"/>
      <c r="IGC36" s="118"/>
      <c r="IGD36" s="118"/>
      <c r="IGE36" s="118"/>
      <c r="IGF36" s="118"/>
      <c r="IGG36" s="118"/>
      <c r="IGH36" s="118"/>
      <c r="IGI36" s="118"/>
      <c r="IGJ36" s="118"/>
      <c r="IGK36" s="118"/>
      <c r="IGL36" s="118"/>
      <c r="IGM36" s="118"/>
      <c r="IGN36" s="118"/>
      <c r="IGO36" s="118"/>
      <c r="IGP36" s="118"/>
      <c r="IGQ36" s="118"/>
      <c r="IGR36" s="118"/>
      <c r="IGS36" s="118"/>
      <c r="IGT36" s="118"/>
      <c r="IGU36" s="118"/>
      <c r="IGV36" s="118"/>
      <c r="IGW36" s="118"/>
      <c r="IGX36" s="118"/>
      <c r="IGY36" s="118"/>
      <c r="IGZ36" s="118"/>
      <c r="IHA36" s="118"/>
      <c r="IHB36" s="118"/>
      <c r="IHC36" s="118"/>
      <c r="IHD36" s="118"/>
      <c r="IHE36" s="118"/>
      <c r="IHF36" s="118"/>
      <c r="IHG36" s="118"/>
      <c r="IHH36" s="118"/>
      <c r="IHI36" s="118"/>
      <c r="IHJ36" s="118"/>
      <c r="IHK36" s="118"/>
      <c r="IHL36" s="118"/>
      <c r="IHM36" s="118"/>
      <c r="IHN36" s="118"/>
      <c r="IHO36" s="118"/>
      <c r="IHP36" s="118"/>
      <c r="IHQ36" s="118"/>
      <c r="IHR36" s="118"/>
      <c r="IHS36" s="118"/>
      <c r="IHT36" s="118"/>
      <c r="IHU36" s="118"/>
      <c r="IHV36" s="118"/>
      <c r="IHW36" s="118"/>
      <c r="IHX36" s="118"/>
      <c r="IHY36" s="118"/>
      <c r="IHZ36" s="118"/>
      <c r="IIA36" s="118"/>
      <c r="IIB36" s="118"/>
      <c r="IIC36" s="118"/>
      <c r="IID36" s="118"/>
      <c r="IIE36" s="118"/>
      <c r="IIF36" s="118"/>
      <c r="IIG36" s="118"/>
      <c r="IIH36" s="118"/>
      <c r="III36" s="118"/>
      <c r="IIJ36" s="118"/>
      <c r="IIK36" s="118"/>
      <c r="IIL36" s="118"/>
      <c r="IIM36" s="118"/>
      <c r="IIN36" s="118"/>
      <c r="IIO36" s="118"/>
      <c r="IIP36" s="118"/>
      <c r="IIQ36" s="118"/>
      <c r="IIR36" s="118"/>
      <c r="IIS36" s="118"/>
      <c r="IIT36" s="118"/>
      <c r="IIU36" s="118"/>
      <c r="IIV36" s="118"/>
      <c r="IIW36" s="118"/>
      <c r="IIX36" s="118"/>
      <c r="IIY36" s="118"/>
      <c r="IIZ36" s="118"/>
      <c r="IJA36" s="118"/>
      <c r="IJB36" s="118"/>
      <c r="IJC36" s="118"/>
      <c r="IJD36" s="118"/>
      <c r="IJE36" s="118"/>
      <c r="IJF36" s="118"/>
      <c r="IJG36" s="118"/>
      <c r="IJH36" s="118"/>
      <c r="IJI36" s="118"/>
      <c r="IJJ36" s="118"/>
      <c r="IJK36" s="118"/>
      <c r="IJL36" s="118"/>
      <c r="IJM36" s="118"/>
      <c r="IJN36" s="118"/>
      <c r="IJO36" s="118"/>
      <c r="IJP36" s="118"/>
      <c r="IJQ36" s="118"/>
      <c r="IJR36" s="118"/>
      <c r="IJS36" s="118"/>
      <c r="IJT36" s="118"/>
      <c r="IJU36" s="118"/>
      <c r="IJV36" s="118"/>
      <c r="IJW36" s="118"/>
      <c r="IJX36" s="118"/>
      <c r="IJY36" s="118"/>
      <c r="IJZ36" s="118"/>
      <c r="IKA36" s="118"/>
      <c r="IKB36" s="118"/>
      <c r="IKC36" s="118"/>
      <c r="IKD36" s="118"/>
      <c r="IKE36" s="118"/>
      <c r="IKF36" s="118"/>
      <c r="IKG36" s="118"/>
      <c r="IKH36" s="118"/>
      <c r="IKI36" s="118"/>
      <c r="IKJ36" s="118"/>
      <c r="IKK36" s="118"/>
      <c r="IKL36" s="118"/>
      <c r="IKM36" s="118"/>
      <c r="IKN36" s="118"/>
      <c r="IKO36" s="118"/>
      <c r="IKP36" s="118"/>
      <c r="IKQ36" s="118"/>
      <c r="IKR36" s="118"/>
      <c r="IKS36" s="118"/>
      <c r="IKT36" s="118"/>
      <c r="IKU36" s="118"/>
      <c r="IKV36" s="118"/>
      <c r="IKW36" s="118"/>
      <c r="IKX36" s="118"/>
      <c r="IKY36" s="118"/>
      <c r="IKZ36" s="118"/>
      <c r="ILA36" s="118"/>
      <c r="ILB36" s="118"/>
      <c r="ILC36" s="118"/>
      <c r="ILD36" s="118"/>
      <c r="ILE36" s="118"/>
      <c r="ILF36" s="118"/>
      <c r="ILG36" s="118"/>
      <c r="ILH36" s="118"/>
      <c r="ILI36" s="118"/>
      <c r="ILJ36" s="118"/>
      <c r="ILK36" s="118"/>
      <c r="ILL36" s="118"/>
      <c r="ILM36" s="118"/>
      <c r="ILN36" s="118"/>
      <c r="ILO36" s="118"/>
      <c r="ILP36" s="118"/>
      <c r="ILQ36" s="118"/>
      <c r="ILR36" s="118"/>
      <c r="ILS36" s="118"/>
      <c r="ILT36" s="118"/>
      <c r="ILU36" s="118"/>
      <c r="ILV36" s="118"/>
      <c r="ILW36" s="118"/>
      <c r="ILX36" s="118"/>
      <c r="ILY36" s="118"/>
      <c r="ILZ36" s="118"/>
      <c r="IMA36" s="118"/>
      <c r="IMB36" s="118"/>
      <c r="IMC36" s="118"/>
      <c r="IMD36" s="118"/>
      <c r="IME36" s="118"/>
      <c r="IMF36" s="118"/>
      <c r="IMG36" s="118"/>
      <c r="IMH36" s="118"/>
      <c r="IMI36" s="118"/>
      <c r="IMJ36" s="118"/>
      <c r="IMK36" s="118"/>
      <c r="IML36" s="118"/>
      <c r="IMM36" s="118"/>
      <c r="IMN36" s="118"/>
      <c r="IMO36" s="118"/>
      <c r="IMP36" s="118"/>
      <c r="IMQ36" s="118"/>
      <c r="IMR36" s="118"/>
      <c r="IMS36" s="118"/>
      <c r="IMT36" s="118"/>
      <c r="IMU36" s="118"/>
      <c r="IMV36" s="118"/>
      <c r="IMW36" s="118"/>
      <c r="IMX36" s="118"/>
      <c r="IMY36" s="118"/>
      <c r="IMZ36" s="118"/>
      <c r="INA36" s="118"/>
      <c r="INB36" s="118"/>
      <c r="INC36" s="118"/>
      <c r="IND36" s="118"/>
      <c r="INE36" s="118"/>
      <c r="INF36" s="118"/>
      <c r="ING36" s="118"/>
      <c r="INH36" s="118"/>
      <c r="INI36" s="118"/>
      <c r="INJ36" s="118"/>
      <c r="INK36" s="118"/>
      <c r="INL36" s="118"/>
      <c r="INM36" s="118"/>
      <c r="INN36" s="118"/>
      <c r="INO36" s="118"/>
      <c r="INP36" s="118"/>
      <c r="INQ36" s="118"/>
      <c r="INR36" s="118"/>
      <c r="INS36" s="118"/>
      <c r="INT36" s="118"/>
      <c r="INU36" s="118"/>
      <c r="INV36" s="118"/>
      <c r="INW36" s="118"/>
      <c r="INX36" s="118"/>
      <c r="INY36" s="118"/>
      <c r="INZ36" s="118"/>
      <c r="IOA36" s="118"/>
      <c r="IOB36" s="118"/>
      <c r="IOC36" s="118"/>
      <c r="IOD36" s="118"/>
      <c r="IOE36" s="118"/>
      <c r="IOF36" s="118"/>
      <c r="IOG36" s="118"/>
      <c r="IOH36" s="118"/>
      <c r="IOI36" s="118"/>
      <c r="IOJ36" s="118"/>
      <c r="IOK36" s="118"/>
      <c r="IOL36" s="118"/>
      <c r="IOM36" s="118"/>
      <c r="ION36" s="118"/>
      <c r="IOO36" s="118"/>
      <c r="IOP36" s="118"/>
      <c r="IOQ36" s="118"/>
      <c r="IOR36" s="118"/>
      <c r="IOS36" s="118"/>
      <c r="IOT36" s="118"/>
      <c r="IOU36" s="118"/>
      <c r="IOV36" s="118"/>
      <c r="IOW36" s="118"/>
      <c r="IOX36" s="118"/>
      <c r="IOY36" s="118"/>
      <c r="IOZ36" s="118"/>
      <c r="IPA36" s="118"/>
      <c r="IPB36" s="118"/>
      <c r="IPC36" s="118"/>
      <c r="IPD36" s="118"/>
      <c r="IPE36" s="118"/>
      <c r="IPF36" s="118"/>
      <c r="IPG36" s="118"/>
      <c r="IPH36" s="118"/>
      <c r="IPI36" s="118"/>
      <c r="IPJ36" s="118"/>
      <c r="IPK36" s="118"/>
      <c r="IPL36" s="118"/>
      <c r="IPM36" s="118"/>
      <c r="IPN36" s="118"/>
      <c r="IPO36" s="118"/>
      <c r="IPP36" s="118"/>
      <c r="IPQ36" s="118"/>
      <c r="IPR36" s="118"/>
      <c r="IPS36" s="118"/>
      <c r="IPT36" s="118"/>
      <c r="IPU36" s="118"/>
      <c r="IPV36" s="118"/>
      <c r="IPW36" s="118"/>
      <c r="IPX36" s="118"/>
      <c r="IPY36" s="118"/>
      <c r="IPZ36" s="118"/>
      <c r="IQA36" s="118"/>
      <c r="IQB36" s="118"/>
      <c r="IQC36" s="118"/>
      <c r="IQD36" s="118"/>
      <c r="IQE36" s="118"/>
      <c r="IQF36" s="118"/>
      <c r="IQG36" s="118"/>
      <c r="IQH36" s="118"/>
      <c r="IQI36" s="118"/>
      <c r="IQJ36" s="118"/>
      <c r="IQK36" s="118"/>
      <c r="IQL36" s="118"/>
      <c r="IQM36" s="118"/>
      <c r="IQN36" s="118"/>
      <c r="IQO36" s="118"/>
      <c r="IQP36" s="118"/>
      <c r="IQQ36" s="118"/>
      <c r="IQR36" s="118"/>
      <c r="IQS36" s="118"/>
      <c r="IQT36" s="118"/>
      <c r="IQU36" s="118"/>
      <c r="IQV36" s="118"/>
      <c r="IQW36" s="118"/>
      <c r="IQX36" s="118"/>
      <c r="IQY36" s="118"/>
      <c r="IQZ36" s="118"/>
      <c r="IRA36" s="118"/>
      <c r="IRB36" s="118"/>
      <c r="IRC36" s="118"/>
      <c r="IRD36" s="118"/>
      <c r="IRE36" s="118"/>
      <c r="IRF36" s="118"/>
      <c r="IRG36" s="118"/>
      <c r="IRH36" s="118"/>
      <c r="IRI36" s="118"/>
      <c r="IRJ36" s="118"/>
      <c r="IRK36" s="118"/>
      <c r="IRL36" s="118"/>
      <c r="IRM36" s="118"/>
      <c r="IRN36" s="118"/>
      <c r="IRO36" s="118"/>
      <c r="IRP36" s="118"/>
      <c r="IRQ36" s="118"/>
      <c r="IRR36" s="118"/>
      <c r="IRS36" s="118"/>
      <c r="IRT36" s="118"/>
      <c r="IRU36" s="118"/>
      <c r="IRV36" s="118"/>
      <c r="IRW36" s="118"/>
      <c r="IRX36" s="118"/>
      <c r="IRY36" s="118"/>
      <c r="IRZ36" s="118"/>
      <c r="ISA36" s="118"/>
      <c r="ISB36" s="118"/>
      <c r="ISC36" s="118"/>
      <c r="ISD36" s="118"/>
      <c r="ISE36" s="118"/>
      <c r="ISF36" s="118"/>
      <c r="ISG36" s="118"/>
      <c r="ISH36" s="118"/>
      <c r="ISI36" s="118"/>
      <c r="ISJ36" s="118"/>
      <c r="ISK36" s="118"/>
      <c r="ISL36" s="118"/>
      <c r="ISM36" s="118"/>
      <c r="ISN36" s="118"/>
      <c r="ISO36" s="118"/>
      <c r="ISP36" s="118"/>
      <c r="ISQ36" s="118"/>
      <c r="ISR36" s="118"/>
      <c r="ISS36" s="118"/>
      <c r="IST36" s="118"/>
      <c r="ISU36" s="118"/>
      <c r="ISV36" s="118"/>
      <c r="ISW36" s="118"/>
      <c r="ISX36" s="118"/>
      <c r="ISY36" s="118"/>
      <c r="ISZ36" s="118"/>
      <c r="ITA36" s="118"/>
      <c r="ITB36" s="118"/>
      <c r="ITC36" s="118"/>
      <c r="ITD36" s="118"/>
      <c r="ITE36" s="118"/>
      <c r="ITF36" s="118"/>
      <c r="ITG36" s="118"/>
      <c r="ITH36" s="118"/>
      <c r="ITI36" s="118"/>
      <c r="ITJ36" s="118"/>
      <c r="ITK36" s="118"/>
      <c r="ITL36" s="118"/>
      <c r="ITM36" s="118"/>
      <c r="ITN36" s="118"/>
      <c r="ITO36" s="118"/>
      <c r="ITP36" s="118"/>
      <c r="ITQ36" s="118"/>
      <c r="ITR36" s="118"/>
      <c r="ITS36" s="118"/>
      <c r="ITT36" s="118"/>
      <c r="ITU36" s="118"/>
      <c r="ITV36" s="118"/>
      <c r="ITW36" s="118"/>
      <c r="ITX36" s="118"/>
      <c r="ITY36" s="118"/>
      <c r="ITZ36" s="118"/>
      <c r="IUA36" s="118"/>
      <c r="IUB36" s="118"/>
      <c r="IUC36" s="118"/>
      <c r="IUD36" s="118"/>
      <c r="IUE36" s="118"/>
      <c r="IUF36" s="118"/>
      <c r="IUG36" s="118"/>
      <c r="IUH36" s="118"/>
      <c r="IUI36" s="118"/>
      <c r="IUJ36" s="118"/>
      <c r="IUK36" s="118"/>
      <c r="IUL36" s="118"/>
      <c r="IUM36" s="118"/>
      <c r="IUN36" s="118"/>
      <c r="IUO36" s="118"/>
      <c r="IUP36" s="118"/>
      <c r="IUQ36" s="118"/>
      <c r="IUR36" s="118"/>
      <c r="IUS36" s="118"/>
      <c r="IUT36" s="118"/>
      <c r="IUU36" s="118"/>
      <c r="IUV36" s="118"/>
      <c r="IUW36" s="118"/>
      <c r="IUX36" s="118"/>
      <c r="IUY36" s="118"/>
      <c r="IUZ36" s="118"/>
      <c r="IVA36" s="118"/>
      <c r="IVB36" s="118"/>
      <c r="IVC36" s="118"/>
      <c r="IVD36" s="118"/>
      <c r="IVE36" s="118"/>
      <c r="IVF36" s="118"/>
      <c r="IVG36" s="118"/>
      <c r="IVH36" s="118"/>
      <c r="IVI36" s="118"/>
      <c r="IVJ36" s="118"/>
      <c r="IVK36" s="118"/>
      <c r="IVL36" s="118"/>
      <c r="IVM36" s="118"/>
      <c r="IVN36" s="118"/>
      <c r="IVO36" s="118"/>
      <c r="IVP36" s="118"/>
      <c r="IVQ36" s="118"/>
      <c r="IVR36" s="118"/>
      <c r="IVS36" s="118"/>
      <c r="IVT36" s="118"/>
      <c r="IVU36" s="118"/>
      <c r="IVV36" s="118"/>
      <c r="IVW36" s="118"/>
      <c r="IVX36" s="118"/>
      <c r="IVY36" s="118"/>
      <c r="IVZ36" s="118"/>
      <c r="IWA36" s="118"/>
      <c r="IWB36" s="118"/>
      <c r="IWC36" s="118"/>
      <c r="IWD36" s="118"/>
      <c r="IWE36" s="118"/>
      <c r="IWF36" s="118"/>
      <c r="IWG36" s="118"/>
      <c r="IWH36" s="118"/>
      <c r="IWI36" s="118"/>
      <c r="IWJ36" s="118"/>
      <c r="IWK36" s="118"/>
      <c r="IWL36" s="118"/>
      <c r="IWM36" s="118"/>
      <c r="IWN36" s="118"/>
      <c r="IWO36" s="118"/>
      <c r="IWP36" s="118"/>
      <c r="IWQ36" s="118"/>
      <c r="IWR36" s="118"/>
      <c r="IWS36" s="118"/>
      <c r="IWT36" s="118"/>
      <c r="IWU36" s="118"/>
      <c r="IWV36" s="118"/>
      <c r="IWW36" s="118"/>
      <c r="IWX36" s="118"/>
      <c r="IWY36" s="118"/>
      <c r="IWZ36" s="118"/>
      <c r="IXA36" s="118"/>
      <c r="IXB36" s="118"/>
      <c r="IXC36" s="118"/>
      <c r="IXD36" s="118"/>
      <c r="IXE36" s="118"/>
      <c r="IXF36" s="118"/>
      <c r="IXG36" s="118"/>
      <c r="IXH36" s="118"/>
      <c r="IXI36" s="118"/>
      <c r="IXJ36" s="118"/>
      <c r="IXK36" s="118"/>
      <c r="IXL36" s="118"/>
      <c r="IXM36" s="118"/>
      <c r="IXN36" s="118"/>
      <c r="IXO36" s="118"/>
      <c r="IXP36" s="118"/>
      <c r="IXQ36" s="118"/>
      <c r="IXR36" s="118"/>
      <c r="IXS36" s="118"/>
      <c r="IXT36" s="118"/>
      <c r="IXU36" s="118"/>
      <c r="IXV36" s="118"/>
      <c r="IXW36" s="118"/>
      <c r="IXX36" s="118"/>
      <c r="IXY36" s="118"/>
      <c r="IXZ36" s="118"/>
      <c r="IYA36" s="118"/>
      <c r="IYB36" s="118"/>
      <c r="IYC36" s="118"/>
      <c r="IYD36" s="118"/>
      <c r="IYE36" s="118"/>
      <c r="IYF36" s="118"/>
      <c r="IYG36" s="118"/>
      <c r="IYH36" s="118"/>
      <c r="IYI36" s="118"/>
      <c r="IYJ36" s="118"/>
      <c r="IYK36" s="118"/>
      <c r="IYL36" s="118"/>
      <c r="IYM36" s="118"/>
      <c r="IYN36" s="118"/>
      <c r="IYO36" s="118"/>
      <c r="IYP36" s="118"/>
      <c r="IYQ36" s="118"/>
      <c r="IYR36" s="118"/>
      <c r="IYS36" s="118"/>
      <c r="IYT36" s="118"/>
      <c r="IYU36" s="118"/>
      <c r="IYV36" s="118"/>
      <c r="IYW36" s="118"/>
      <c r="IYX36" s="118"/>
      <c r="IYY36" s="118"/>
      <c r="IYZ36" s="118"/>
      <c r="IZA36" s="118"/>
      <c r="IZB36" s="118"/>
      <c r="IZC36" s="118"/>
      <c r="IZD36" s="118"/>
      <c r="IZE36" s="118"/>
      <c r="IZF36" s="118"/>
      <c r="IZG36" s="118"/>
      <c r="IZH36" s="118"/>
      <c r="IZI36" s="118"/>
      <c r="IZJ36" s="118"/>
      <c r="IZK36" s="118"/>
      <c r="IZL36" s="118"/>
      <c r="IZM36" s="118"/>
      <c r="IZN36" s="118"/>
      <c r="IZO36" s="118"/>
      <c r="IZP36" s="118"/>
      <c r="IZQ36" s="118"/>
      <c r="IZR36" s="118"/>
      <c r="IZS36" s="118"/>
      <c r="IZT36" s="118"/>
      <c r="IZU36" s="118"/>
      <c r="IZV36" s="118"/>
      <c r="IZW36" s="118"/>
      <c r="IZX36" s="118"/>
      <c r="IZY36" s="118"/>
      <c r="IZZ36" s="118"/>
      <c r="JAA36" s="118"/>
      <c r="JAB36" s="118"/>
      <c r="JAC36" s="118"/>
      <c r="JAD36" s="118"/>
      <c r="JAE36" s="118"/>
      <c r="JAF36" s="118"/>
      <c r="JAG36" s="118"/>
      <c r="JAH36" s="118"/>
      <c r="JAI36" s="118"/>
      <c r="JAJ36" s="118"/>
      <c r="JAK36" s="118"/>
      <c r="JAL36" s="118"/>
      <c r="JAM36" s="118"/>
      <c r="JAN36" s="118"/>
      <c r="JAO36" s="118"/>
      <c r="JAP36" s="118"/>
      <c r="JAQ36" s="118"/>
      <c r="JAR36" s="118"/>
      <c r="JAS36" s="118"/>
      <c r="JAT36" s="118"/>
      <c r="JAU36" s="118"/>
      <c r="JAV36" s="118"/>
      <c r="JAW36" s="118"/>
      <c r="JAX36" s="118"/>
      <c r="JAY36" s="118"/>
      <c r="JAZ36" s="118"/>
      <c r="JBA36" s="118"/>
      <c r="JBB36" s="118"/>
      <c r="JBC36" s="118"/>
      <c r="JBD36" s="118"/>
      <c r="JBE36" s="118"/>
      <c r="JBF36" s="118"/>
      <c r="JBG36" s="118"/>
      <c r="JBH36" s="118"/>
      <c r="JBI36" s="118"/>
      <c r="JBJ36" s="118"/>
      <c r="JBK36" s="118"/>
      <c r="JBL36" s="118"/>
      <c r="JBM36" s="118"/>
      <c r="JBN36" s="118"/>
      <c r="JBO36" s="118"/>
      <c r="JBP36" s="118"/>
      <c r="JBQ36" s="118"/>
      <c r="JBR36" s="118"/>
      <c r="JBS36" s="118"/>
      <c r="JBT36" s="118"/>
      <c r="JBU36" s="118"/>
      <c r="JBV36" s="118"/>
      <c r="JBW36" s="118"/>
      <c r="JBX36" s="118"/>
      <c r="JBY36" s="118"/>
      <c r="JBZ36" s="118"/>
      <c r="JCA36" s="118"/>
      <c r="JCB36" s="118"/>
      <c r="JCC36" s="118"/>
      <c r="JCD36" s="118"/>
      <c r="JCE36" s="118"/>
      <c r="JCF36" s="118"/>
      <c r="JCG36" s="118"/>
      <c r="JCH36" s="118"/>
      <c r="JCI36" s="118"/>
      <c r="JCJ36" s="118"/>
      <c r="JCK36" s="118"/>
      <c r="JCL36" s="118"/>
      <c r="JCM36" s="118"/>
      <c r="JCN36" s="118"/>
      <c r="JCO36" s="118"/>
      <c r="JCP36" s="118"/>
      <c r="JCQ36" s="118"/>
      <c r="JCR36" s="118"/>
      <c r="JCS36" s="118"/>
      <c r="JCT36" s="118"/>
      <c r="JCU36" s="118"/>
      <c r="JCV36" s="118"/>
      <c r="JCW36" s="118"/>
      <c r="JCX36" s="118"/>
      <c r="JCY36" s="118"/>
      <c r="JCZ36" s="118"/>
      <c r="JDA36" s="118"/>
      <c r="JDB36" s="118"/>
      <c r="JDC36" s="118"/>
      <c r="JDD36" s="118"/>
      <c r="JDE36" s="118"/>
      <c r="JDF36" s="118"/>
      <c r="JDG36" s="118"/>
      <c r="JDH36" s="118"/>
      <c r="JDI36" s="118"/>
      <c r="JDJ36" s="118"/>
      <c r="JDK36" s="118"/>
      <c r="JDL36" s="118"/>
      <c r="JDM36" s="118"/>
      <c r="JDN36" s="118"/>
      <c r="JDO36" s="118"/>
      <c r="JDP36" s="118"/>
      <c r="JDQ36" s="118"/>
      <c r="JDR36" s="118"/>
      <c r="JDS36" s="118"/>
      <c r="JDT36" s="118"/>
      <c r="JDU36" s="118"/>
      <c r="JDV36" s="118"/>
      <c r="JDW36" s="118"/>
      <c r="JDX36" s="118"/>
      <c r="JDY36" s="118"/>
      <c r="JDZ36" s="118"/>
      <c r="JEA36" s="118"/>
      <c r="JEB36" s="118"/>
      <c r="JEC36" s="118"/>
      <c r="JED36" s="118"/>
      <c r="JEE36" s="118"/>
      <c r="JEF36" s="118"/>
      <c r="JEG36" s="118"/>
      <c r="JEH36" s="118"/>
      <c r="JEI36" s="118"/>
      <c r="JEJ36" s="118"/>
      <c r="JEK36" s="118"/>
      <c r="JEL36" s="118"/>
      <c r="JEM36" s="118"/>
      <c r="JEN36" s="118"/>
      <c r="JEO36" s="118"/>
      <c r="JEP36" s="118"/>
      <c r="JEQ36" s="118"/>
      <c r="JER36" s="118"/>
      <c r="JES36" s="118"/>
      <c r="JET36" s="118"/>
      <c r="JEU36" s="118"/>
      <c r="JEV36" s="118"/>
      <c r="JEW36" s="118"/>
      <c r="JEX36" s="118"/>
      <c r="JEY36" s="118"/>
      <c r="JEZ36" s="118"/>
      <c r="JFA36" s="118"/>
      <c r="JFB36" s="118"/>
      <c r="JFC36" s="118"/>
      <c r="JFD36" s="118"/>
      <c r="JFE36" s="118"/>
      <c r="JFF36" s="118"/>
      <c r="JFG36" s="118"/>
      <c r="JFH36" s="118"/>
      <c r="JFI36" s="118"/>
      <c r="JFJ36" s="118"/>
      <c r="JFK36" s="118"/>
      <c r="JFL36" s="118"/>
      <c r="JFM36" s="118"/>
      <c r="JFN36" s="118"/>
      <c r="JFO36" s="118"/>
      <c r="JFP36" s="118"/>
      <c r="JFQ36" s="118"/>
      <c r="JFR36" s="118"/>
      <c r="JFS36" s="118"/>
      <c r="JFT36" s="118"/>
      <c r="JFU36" s="118"/>
      <c r="JFV36" s="118"/>
      <c r="JFW36" s="118"/>
      <c r="JFX36" s="118"/>
      <c r="JFY36" s="118"/>
      <c r="JFZ36" s="118"/>
      <c r="JGA36" s="118"/>
      <c r="JGB36" s="118"/>
      <c r="JGC36" s="118"/>
      <c r="JGD36" s="118"/>
      <c r="JGE36" s="118"/>
      <c r="JGF36" s="118"/>
      <c r="JGG36" s="118"/>
      <c r="JGH36" s="118"/>
      <c r="JGI36" s="118"/>
      <c r="JGJ36" s="118"/>
      <c r="JGK36" s="118"/>
      <c r="JGL36" s="118"/>
      <c r="JGM36" s="118"/>
      <c r="JGN36" s="118"/>
      <c r="JGO36" s="118"/>
      <c r="JGP36" s="118"/>
      <c r="JGQ36" s="118"/>
      <c r="JGR36" s="118"/>
      <c r="JGS36" s="118"/>
      <c r="JGT36" s="118"/>
      <c r="JGU36" s="118"/>
      <c r="JGV36" s="118"/>
      <c r="JGW36" s="118"/>
      <c r="JGX36" s="118"/>
      <c r="JGY36" s="118"/>
      <c r="JGZ36" s="118"/>
      <c r="JHA36" s="118"/>
      <c r="JHB36" s="118"/>
      <c r="JHC36" s="118"/>
      <c r="JHD36" s="118"/>
      <c r="JHE36" s="118"/>
      <c r="JHF36" s="118"/>
      <c r="JHG36" s="118"/>
      <c r="JHH36" s="118"/>
      <c r="JHI36" s="118"/>
      <c r="JHJ36" s="118"/>
      <c r="JHK36" s="118"/>
      <c r="JHL36" s="118"/>
      <c r="JHM36" s="118"/>
      <c r="JHN36" s="118"/>
      <c r="JHO36" s="118"/>
      <c r="JHP36" s="118"/>
      <c r="JHQ36" s="118"/>
      <c r="JHR36" s="118"/>
      <c r="JHS36" s="118"/>
      <c r="JHT36" s="118"/>
      <c r="JHU36" s="118"/>
      <c r="JHV36" s="118"/>
      <c r="JHW36" s="118"/>
      <c r="JHX36" s="118"/>
      <c r="JHY36" s="118"/>
      <c r="JHZ36" s="118"/>
      <c r="JIA36" s="118"/>
      <c r="JIB36" s="118"/>
      <c r="JIC36" s="118"/>
      <c r="JID36" s="118"/>
      <c r="JIE36" s="118"/>
      <c r="JIF36" s="118"/>
      <c r="JIG36" s="118"/>
      <c r="JIH36" s="118"/>
      <c r="JII36" s="118"/>
      <c r="JIJ36" s="118"/>
      <c r="JIK36" s="118"/>
      <c r="JIL36" s="118"/>
      <c r="JIM36" s="118"/>
      <c r="JIN36" s="118"/>
      <c r="JIO36" s="118"/>
      <c r="JIP36" s="118"/>
      <c r="JIQ36" s="118"/>
      <c r="JIR36" s="118"/>
      <c r="JIS36" s="118"/>
      <c r="JIT36" s="118"/>
      <c r="JIU36" s="118"/>
      <c r="JIV36" s="118"/>
      <c r="JIW36" s="118"/>
      <c r="JIX36" s="118"/>
      <c r="JIY36" s="118"/>
      <c r="JIZ36" s="118"/>
      <c r="JJA36" s="118"/>
      <c r="JJB36" s="118"/>
      <c r="JJC36" s="118"/>
      <c r="JJD36" s="118"/>
      <c r="JJE36" s="118"/>
      <c r="JJF36" s="118"/>
      <c r="JJG36" s="118"/>
      <c r="JJH36" s="118"/>
      <c r="JJI36" s="118"/>
      <c r="JJJ36" s="118"/>
      <c r="JJK36" s="118"/>
      <c r="JJL36" s="118"/>
      <c r="JJM36" s="118"/>
      <c r="JJN36" s="118"/>
      <c r="JJO36" s="118"/>
      <c r="JJP36" s="118"/>
      <c r="JJQ36" s="118"/>
      <c r="JJR36" s="118"/>
      <c r="JJS36" s="118"/>
      <c r="JJT36" s="118"/>
      <c r="JJU36" s="118"/>
      <c r="JJV36" s="118"/>
      <c r="JJW36" s="118"/>
      <c r="JJX36" s="118"/>
      <c r="JJY36" s="118"/>
      <c r="JJZ36" s="118"/>
      <c r="JKA36" s="118"/>
      <c r="JKB36" s="118"/>
      <c r="JKC36" s="118"/>
      <c r="JKD36" s="118"/>
      <c r="JKE36" s="118"/>
      <c r="JKF36" s="118"/>
      <c r="JKG36" s="118"/>
      <c r="JKH36" s="118"/>
      <c r="JKI36" s="118"/>
      <c r="JKJ36" s="118"/>
      <c r="JKK36" s="118"/>
      <c r="JKL36" s="118"/>
      <c r="JKM36" s="118"/>
      <c r="JKN36" s="118"/>
      <c r="JKO36" s="118"/>
      <c r="JKP36" s="118"/>
      <c r="JKQ36" s="118"/>
      <c r="JKR36" s="118"/>
      <c r="JKS36" s="118"/>
      <c r="JKT36" s="118"/>
      <c r="JKU36" s="118"/>
      <c r="JKV36" s="118"/>
      <c r="JKW36" s="118"/>
      <c r="JKX36" s="118"/>
      <c r="JKY36" s="118"/>
      <c r="JKZ36" s="118"/>
      <c r="JLA36" s="118"/>
      <c r="JLB36" s="118"/>
      <c r="JLC36" s="118"/>
      <c r="JLD36" s="118"/>
      <c r="JLE36" s="118"/>
      <c r="JLF36" s="118"/>
      <c r="JLG36" s="118"/>
      <c r="JLH36" s="118"/>
      <c r="JLI36" s="118"/>
      <c r="JLJ36" s="118"/>
      <c r="JLK36" s="118"/>
      <c r="JLL36" s="118"/>
      <c r="JLM36" s="118"/>
      <c r="JLN36" s="118"/>
      <c r="JLO36" s="118"/>
      <c r="JLP36" s="118"/>
      <c r="JLQ36" s="118"/>
      <c r="JLR36" s="118"/>
      <c r="JLS36" s="118"/>
      <c r="JLT36" s="118"/>
      <c r="JLU36" s="118"/>
      <c r="JLV36" s="118"/>
      <c r="JLW36" s="118"/>
      <c r="JLX36" s="118"/>
      <c r="JLY36" s="118"/>
      <c r="JLZ36" s="118"/>
      <c r="JMA36" s="118"/>
      <c r="JMB36" s="118"/>
      <c r="JMC36" s="118"/>
      <c r="JMD36" s="118"/>
      <c r="JME36" s="118"/>
      <c r="JMF36" s="118"/>
      <c r="JMG36" s="118"/>
      <c r="JMH36" s="118"/>
      <c r="JMI36" s="118"/>
      <c r="JMJ36" s="118"/>
      <c r="JMK36" s="118"/>
      <c r="JML36" s="118"/>
      <c r="JMM36" s="118"/>
      <c r="JMN36" s="118"/>
      <c r="JMO36" s="118"/>
      <c r="JMP36" s="118"/>
      <c r="JMQ36" s="118"/>
      <c r="JMR36" s="118"/>
      <c r="JMS36" s="118"/>
      <c r="JMT36" s="118"/>
      <c r="JMU36" s="118"/>
      <c r="JMV36" s="118"/>
      <c r="JMW36" s="118"/>
      <c r="JMX36" s="118"/>
      <c r="JMY36" s="118"/>
      <c r="JMZ36" s="118"/>
      <c r="JNA36" s="118"/>
      <c r="JNB36" s="118"/>
      <c r="JNC36" s="118"/>
      <c r="JND36" s="118"/>
      <c r="JNE36" s="118"/>
      <c r="JNF36" s="118"/>
      <c r="JNG36" s="118"/>
      <c r="JNH36" s="118"/>
      <c r="JNI36" s="118"/>
      <c r="JNJ36" s="118"/>
      <c r="JNK36" s="118"/>
      <c r="JNL36" s="118"/>
      <c r="JNM36" s="118"/>
      <c r="JNN36" s="118"/>
      <c r="JNO36" s="118"/>
      <c r="JNP36" s="118"/>
      <c r="JNQ36" s="118"/>
      <c r="JNR36" s="118"/>
      <c r="JNS36" s="118"/>
      <c r="JNT36" s="118"/>
      <c r="JNU36" s="118"/>
      <c r="JNV36" s="118"/>
      <c r="JNW36" s="118"/>
      <c r="JNX36" s="118"/>
      <c r="JNY36" s="118"/>
      <c r="JNZ36" s="118"/>
      <c r="JOA36" s="118"/>
      <c r="JOB36" s="118"/>
      <c r="JOC36" s="118"/>
      <c r="JOD36" s="118"/>
      <c r="JOE36" s="118"/>
      <c r="JOF36" s="118"/>
      <c r="JOG36" s="118"/>
      <c r="JOH36" s="118"/>
      <c r="JOI36" s="118"/>
      <c r="JOJ36" s="118"/>
      <c r="JOK36" s="118"/>
      <c r="JOL36" s="118"/>
      <c r="JOM36" s="118"/>
      <c r="JON36" s="118"/>
      <c r="JOO36" s="118"/>
      <c r="JOP36" s="118"/>
      <c r="JOQ36" s="118"/>
      <c r="JOR36" s="118"/>
      <c r="JOS36" s="118"/>
      <c r="JOT36" s="118"/>
      <c r="JOU36" s="118"/>
      <c r="JOV36" s="118"/>
      <c r="JOW36" s="118"/>
      <c r="JOX36" s="118"/>
      <c r="JOY36" s="118"/>
      <c r="JOZ36" s="118"/>
      <c r="JPA36" s="118"/>
      <c r="JPB36" s="118"/>
      <c r="JPC36" s="118"/>
      <c r="JPD36" s="118"/>
      <c r="JPE36" s="118"/>
      <c r="JPF36" s="118"/>
      <c r="JPG36" s="118"/>
      <c r="JPH36" s="118"/>
      <c r="JPI36" s="118"/>
      <c r="JPJ36" s="118"/>
      <c r="JPK36" s="118"/>
      <c r="JPL36" s="118"/>
      <c r="JPM36" s="118"/>
      <c r="JPN36" s="118"/>
      <c r="JPO36" s="118"/>
      <c r="JPP36" s="118"/>
      <c r="JPQ36" s="118"/>
      <c r="JPR36" s="118"/>
      <c r="JPS36" s="118"/>
      <c r="JPT36" s="118"/>
      <c r="JPU36" s="118"/>
      <c r="JPV36" s="118"/>
      <c r="JPW36" s="118"/>
      <c r="JPX36" s="118"/>
      <c r="JPY36" s="118"/>
      <c r="JPZ36" s="118"/>
      <c r="JQA36" s="118"/>
      <c r="JQB36" s="118"/>
      <c r="JQC36" s="118"/>
      <c r="JQD36" s="118"/>
      <c r="JQE36" s="118"/>
      <c r="JQF36" s="118"/>
      <c r="JQG36" s="118"/>
      <c r="JQH36" s="118"/>
      <c r="JQI36" s="118"/>
      <c r="JQJ36" s="118"/>
      <c r="JQK36" s="118"/>
      <c r="JQL36" s="118"/>
      <c r="JQM36" s="118"/>
      <c r="JQN36" s="118"/>
      <c r="JQO36" s="118"/>
      <c r="JQP36" s="118"/>
      <c r="JQQ36" s="118"/>
      <c r="JQR36" s="118"/>
      <c r="JQS36" s="118"/>
      <c r="JQT36" s="118"/>
      <c r="JQU36" s="118"/>
      <c r="JQV36" s="118"/>
      <c r="JQW36" s="118"/>
      <c r="JQX36" s="118"/>
      <c r="JQY36" s="118"/>
      <c r="JQZ36" s="118"/>
      <c r="JRA36" s="118"/>
      <c r="JRB36" s="118"/>
      <c r="JRC36" s="118"/>
      <c r="JRD36" s="118"/>
      <c r="JRE36" s="118"/>
      <c r="JRF36" s="118"/>
      <c r="JRG36" s="118"/>
      <c r="JRH36" s="118"/>
      <c r="JRI36" s="118"/>
      <c r="JRJ36" s="118"/>
      <c r="JRK36" s="118"/>
      <c r="JRL36" s="118"/>
      <c r="JRM36" s="118"/>
      <c r="JRN36" s="118"/>
      <c r="JRO36" s="118"/>
      <c r="JRP36" s="118"/>
      <c r="JRQ36" s="118"/>
      <c r="JRR36" s="118"/>
      <c r="JRS36" s="118"/>
      <c r="JRT36" s="118"/>
      <c r="JRU36" s="118"/>
      <c r="JRV36" s="118"/>
      <c r="JRW36" s="118"/>
      <c r="JRX36" s="118"/>
      <c r="JRY36" s="118"/>
      <c r="JRZ36" s="118"/>
      <c r="JSA36" s="118"/>
      <c r="JSB36" s="118"/>
      <c r="JSC36" s="118"/>
      <c r="JSD36" s="118"/>
      <c r="JSE36" s="118"/>
      <c r="JSF36" s="118"/>
      <c r="JSG36" s="118"/>
      <c r="JSH36" s="118"/>
      <c r="JSI36" s="118"/>
      <c r="JSJ36" s="118"/>
      <c r="JSK36" s="118"/>
      <c r="JSL36" s="118"/>
      <c r="JSM36" s="118"/>
      <c r="JSN36" s="118"/>
      <c r="JSO36" s="118"/>
      <c r="JSP36" s="118"/>
      <c r="JSQ36" s="118"/>
      <c r="JSR36" s="118"/>
      <c r="JSS36" s="118"/>
      <c r="JST36" s="118"/>
      <c r="JSU36" s="118"/>
      <c r="JSV36" s="118"/>
      <c r="JSW36" s="118"/>
      <c r="JSX36" s="118"/>
      <c r="JSY36" s="118"/>
      <c r="JSZ36" s="118"/>
      <c r="JTA36" s="118"/>
      <c r="JTB36" s="118"/>
      <c r="JTC36" s="118"/>
      <c r="JTD36" s="118"/>
      <c r="JTE36" s="118"/>
      <c r="JTF36" s="118"/>
      <c r="JTG36" s="118"/>
      <c r="JTH36" s="118"/>
      <c r="JTI36" s="118"/>
      <c r="JTJ36" s="118"/>
      <c r="JTK36" s="118"/>
      <c r="JTL36" s="118"/>
      <c r="JTM36" s="118"/>
      <c r="JTN36" s="118"/>
      <c r="JTO36" s="118"/>
      <c r="JTP36" s="118"/>
      <c r="JTQ36" s="118"/>
      <c r="JTR36" s="118"/>
      <c r="JTS36" s="118"/>
      <c r="JTT36" s="118"/>
      <c r="JTU36" s="118"/>
      <c r="JTV36" s="118"/>
      <c r="JTW36" s="118"/>
      <c r="JTX36" s="118"/>
      <c r="JTY36" s="118"/>
      <c r="JTZ36" s="118"/>
      <c r="JUA36" s="118"/>
      <c r="JUB36" s="118"/>
      <c r="JUC36" s="118"/>
      <c r="JUD36" s="118"/>
      <c r="JUE36" s="118"/>
      <c r="JUF36" s="118"/>
      <c r="JUG36" s="118"/>
      <c r="JUH36" s="118"/>
      <c r="JUI36" s="118"/>
      <c r="JUJ36" s="118"/>
      <c r="JUK36" s="118"/>
      <c r="JUL36" s="118"/>
      <c r="JUM36" s="118"/>
      <c r="JUN36" s="118"/>
      <c r="JUO36" s="118"/>
      <c r="JUP36" s="118"/>
      <c r="JUQ36" s="118"/>
      <c r="JUR36" s="118"/>
      <c r="JUS36" s="118"/>
      <c r="JUT36" s="118"/>
      <c r="JUU36" s="118"/>
      <c r="JUV36" s="118"/>
      <c r="JUW36" s="118"/>
      <c r="JUX36" s="118"/>
      <c r="JUY36" s="118"/>
      <c r="JUZ36" s="118"/>
      <c r="JVA36" s="118"/>
      <c r="JVB36" s="118"/>
      <c r="JVC36" s="118"/>
      <c r="JVD36" s="118"/>
      <c r="JVE36" s="118"/>
      <c r="JVF36" s="118"/>
      <c r="JVG36" s="118"/>
      <c r="JVH36" s="118"/>
      <c r="JVI36" s="118"/>
      <c r="JVJ36" s="118"/>
      <c r="JVK36" s="118"/>
      <c r="JVL36" s="118"/>
      <c r="JVM36" s="118"/>
      <c r="JVN36" s="118"/>
      <c r="JVO36" s="118"/>
      <c r="JVP36" s="118"/>
      <c r="JVQ36" s="118"/>
      <c r="JVR36" s="118"/>
      <c r="JVS36" s="118"/>
      <c r="JVT36" s="118"/>
      <c r="JVU36" s="118"/>
      <c r="JVV36" s="118"/>
      <c r="JVW36" s="118"/>
      <c r="JVX36" s="118"/>
      <c r="JVY36" s="118"/>
      <c r="JVZ36" s="118"/>
      <c r="JWA36" s="118"/>
      <c r="JWB36" s="118"/>
      <c r="JWC36" s="118"/>
      <c r="JWD36" s="118"/>
      <c r="JWE36" s="118"/>
      <c r="JWF36" s="118"/>
      <c r="JWG36" s="118"/>
      <c r="JWH36" s="118"/>
      <c r="JWI36" s="118"/>
      <c r="JWJ36" s="118"/>
      <c r="JWK36" s="118"/>
      <c r="JWL36" s="118"/>
      <c r="JWM36" s="118"/>
      <c r="JWN36" s="118"/>
      <c r="JWO36" s="118"/>
      <c r="JWP36" s="118"/>
      <c r="JWQ36" s="118"/>
      <c r="JWR36" s="118"/>
      <c r="JWS36" s="118"/>
      <c r="JWT36" s="118"/>
      <c r="JWU36" s="118"/>
      <c r="JWV36" s="118"/>
      <c r="JWW36" s="118"/>
      <c r="JWX36" s="118"/>
      <c r="JWY36" s="118"/>
      <c r="JWZ36" s="118"/>
      <c r="JXA36" s="118"/>
      <c r="JXB36" s="118"/>
      <c r="JXC36" s="118"/>
      <c r="JXD36" s="118"/>
      <c r="JXE36" s="118"/>
      <c r="JXF36" s="118"/>
      <c r="JXG36" s="118"/>
      <c r="JXH36" s="118"/>
      <c r="JXI36" s="118"/>
      <c r="JXJ36" s="118"/>
      <c r="JXK36" s="118"/>
      <c r="JXL36" s="118"/>
      <c r="JXM36" s="118"/>
      <c r="JXN36" s="118"/>
      <c r="JXO36" s="118"/>
      <c r="JXP36" s="118"/>
      <c r="JXQ36" s="118"/>
      <c r="JXR36" s="118"/>
      <c r="JXS36" s="118"/>
      <c r="JXT36" s="118"/>
      <c r="JXU36" s="118"/>
      <c r="JXV36" s="118"/>
      <c r="JXW36" s="118"/>
      <c r="JXX36" s="118"/>
      <c r="JXY36" s="118"/>
      <c r="JXZ36" s="118"/>
      <c r="JYA36" s="118"/>
      <c r="JYB36" s="118"/>
      <c r="JYC36" s="118"/>
      <c r="JYD36" s="118"/>
      <c r="JYE36" s="118"/>
      <c r="JYF36" s="118"/>
      <c r="JYG36" s="118"/>
      <c r="JYH36" s="118"/>
      <c r="JYI36" s="118"/>
      <c r="JYJ36" s="118"/>
      <c r="JYK36" s="118"/>
      <c r="JYL36" s="118"/>
      <c r="JYM36" s="118"/>
      <c r="JYN36" s="118"/>
      <c r="JYO36" s="118"/>
      <c r="JYP36" s="118"/>
      <c r="JYQ36" s="118"/>
      <c r="JYR36" s="118"/>
      <c r="JYS36" s="118"/>
      <c r="JYT36" s="118"/>
      <c r="JYU36" s="118"/>
      <c r="JYV36" s="118"/>
      <c r="JYW36" s="118"/>
      <c r="JYX36" s="118"/>
      <c r="JYY36" s="118"/>
      <c r="JYZ36" s="118"/>
      <c r="JZA36" s="118"/>
      <c r="JZB36" s="118"/>
      <c r="JZC36" s="118"/>
      <c r="JZD36" s="118"/>
      <c r="JZE36" s="118"/>
      <c r="JZF36" s="118"/>
      <c r="JZG36" s="118"/>
      <c r="JZH36" s="118"/>
      <c r="JZI36" s="118"/>
      <c r="JZJ36" s="118"/>
      <c r="JZK36" s="118"/>
      <c r="JZL36" s="118"/>
      <c r="JZM36" s="118"/>
      <c r="JZN36" s="118"/>
      <c r="JZO36" s="118"/>
      <c r="JZP36" s="118"/>
      <c r="JZQ36" s="118"/>
      <c r="JZR36" s="118"/>
      <c r="JZS36" s="118"/>
      <c r="JZT36" s="118"/>
      <c r="JZU36" s="118"/>
      <c r="JZV36" s="118"/>
      <c r="JZW36" s="118"/>
      <c r="JZX36" s="118"/>
      <c r="JZY36" s="118"/>
      <c r="JZZ36" s="118"/>
      <c r="KAA36" s="118"/>
      <c r="KAB36" s="118"/>
      <c r="KAC36" s="118"/>
      <c r="KAD36" s="118"/>
      <c r="KAE36" s="118"/>
      <c r="KAF36" s="118"/>
      <c r="KAG36" s="118"/>
      <c r="KAH36" s="118"/>
      <c r="KAI36" s="118"/>
      <c r="KAJ36" s="118"/>
      <c r="KAK36" s="118"/>
      <c r="KAL36" s="118"/>
      <c r="KAM36" s="118"/>
      <c r="KAN36" s="118"/>
      <c r="KAO36" s="118"/>
      <c r="KAP36" s="118"/>
      <c r="KAQ36" s="118"/>
      <c r="KAR36" s="118"/>
      <c r="KAS36" s="118"/>
      <c r="KAT36" s="118"/>
      <c r="KAU36" s="118"/>
      <c r="KAV36" s="118"/>
      <c r="KAW36" s="118"/>
      <c r="KAX36" s="118"/>
      <c r="KAY36" s="118"/>
      <c r="KAZ36" s="118"/>
      <c r="KBA36" s="118"/>
      <c r="KBB36" s="118"/>
      <c r="KBC36" s="118"/>
      <c r="KBD36" s="118"/>
      <c r="KBE36" s="118"/>
      <c r="KBF36" s="118"/>
      <c r="KBG36" s="118"/>
      <c r="KBH36" s="118"/>
      <c r="KBI36" s="118"/>
      <c r="KBJ36" s="118"/>
      <c r="KBK36" s="118"/>
      <c r="KBL36" s="118"/>
      <c r="KBM36" s="118"/>
      <c r="KBN36" s="118"/>
      <c r="KBO36" s="118"/>
      <c r="KBP36" s="118"/>
      <c r="KBQ36" s="118"/>
      <c r="KBR36" s="118"/>
      <c r="KBS36" s="118"/>
      <c r="KBT36" s="118"/>
      <c r="KBU36" s="118"/>
      <c r="KBV36" s="118"/>
      <c r="KBW36" s="118"/>
      <c r="KBX36" s="118"/>
      <c r="KBY36" s="118"/>
      <c r="KBZ36" s="118"/>
      <c r="KCA36" s="118"/>
      <c r="KCB36" s="118"/>
      <c r="KCC36" s="118"/>
      <c r="KCD36" s="118"/>
      <c r="KCE36" s="118"/>
      <c r="KCF36" s="118"/>
      <c r="KCG36" s="118"/>
      <c r="KCH36" s="118"/>
      <c r="KCI36" s="118"/>
      <c r="KCJ36" s="118"/>
      <c r="KCK36" s="118"/>
      <c r="KCL36" s="118"/>
      <c r="KCM36" s="118"/>
      <c r="KCN36" s="118"/>
      <c r="KCO36" s="118"/>
      <c r="KCP36" s="118"/>
      <c r="KCQ36" s="118"/>
      <c r="KCR36" s="118"/>
      <c r="KCS36" s="118"/>
      <c r="KCT36" s="118"/>
      <c r="KCU36" s="118"/>
      <c r="KCV36" s="118"/>
      <c r="KCW36" s="118"/>
      <c r="KCX36" s="118"/>
      <c r="KCY36" s="118"/>
      <c r="KCZ36" s="118"/>
      <c r="KDA36" s="118"/>
      <c r="KDB36" s="118"/>
      <c r="KDC36" s="118"/>
      <c r="KDD36" s="118"/>
      <c r="KDE36" s="118"/>
      <c r="KDF36" s="118"/>
      <c r="KDG36" s="118"/>
      <c r="KDH36" s="118"/>
      <c r="KDI36" s="118"/>
      <c r="KDJ36" s="118"/>
      <c r="KDK36" s="118"/>
      <c r="KDL36" s="118"/>
      <c r="KDM36" s="118"/>
      <c r="KDN36" s="118"/>
      <c r="KDO36" s="118"/>
      <c r="KDP36" s="118"/>
      <c r="KDQ36" s="118"/>
      <c r="KDR36" s="118"/>
      <c r="KDS36" s="118"/>
      <c r="KDT36" s="118"/>
      <c r="KDU36" s="118"/>
      <c r="KDV36" s="118"/>
      <c r="KDW36" s="118"/>
      <c r="KDX36" s="118"/>
      <c r="KDY36" s="118"/>
      <c r="KDZ36" s="118"/>
      <c r="KEA36" s="118"/>
      <c r="KEB36" s="118"/>
      <c r="KEC36" s="118"/>
      <c r="KED36" s="118"/>
      <c r="KEE36" s="118"/>
      <c r="KEF36" s="118"/>
      <c r="KEG36" s="118"/>
      <c r="KEH36" s="118"/>
      <c r="KEI36" s="118"/>
      <c r="KEJ36" s="118"/>
      <c r="KEK36" s="118"/>
      <c r="KEL36" s="118"/>
      <c r="KEM36" s="118"/>
      <c r="KEN36" s="118"/>
      <c r="KEO36" s="118"/>
      <c r="KEP36" s="118"/>
      <c r="KEQ36" s="118"/>
      <c r="KER36" s="118"/>
      <c r="KES36" s="118"/>
      <c r="KET36" s="118"/>
      <c r="KEU36" s="118"/>
      <c r="KEV36" s="118"/>
      <c r="KEW36" s="118"/>
      <c r="KEX36" s="118"/>
      <c r="KEY36" s="118"/>
      <c r="KEZ36" s="118"/>
      <c r="KFA36" s="118"/>
      <c r="KFB36" s="118"/>
      <c r="KFC36" s="118"/>
      <c r="KFD36" s="118"/>
      <c r="KFE36" s="118"/>
      <c r="KFF36" s="118"/>
      <c r="KFG36" s="118"/>
      <c r="KFH36" s="118"/>
      <c r="KFI36" s="118"/>
      <c r="KFJ36" s="118"/>
      <c r="KFK36" s="118"/>
      <c r="KFL36" s="118"/>
      <c r="KFM36" s="118"/>
      <c r="KFN36" s="118"/>
      <c r="KFO36" s="118"/>
      <c r="KFP36" s="118"/>
      <c r="KFQ36" s="118"/>
      <c r="KFR36" s="118"/>
      <c r="KFS36" s="118"/>
      <c r="KFT36" s="118"/>
      <c r="KFU36" s="118"/>
      <c r="KFV36" s="118"/>
      <c r="KFW36" s="118"/>
      <c r="KFX36" s="118"/>
      <c r="KFY36" s="118"/>
      <c r="KFZ36" s="118"/>
      <c r="KGA36" s="118"/>
      <c r="KGB36" s="118"/>
      <c r="KGC36" s="118"/>
      <c r="KGD36" s="118"/>
      <c r="KGE36" s="118"/>
      <c r="KGF36" s="118"/>
      <c r="KGG36" s="118"/>
      <c r="KGH36" s="118"/>
      <c r="KGI36" s="118"/>
      <c r="KGJ36" s="118"/>
      <c r="KGK36" s="118"/>
      <c r="KGL36" s="118"/>
      <c r="KGM36" s="118"/>
      <c r="KGN36" s="118"/>
      <c r="KGO36" s="118"/>
      <c r="KGP36" s="118"/>
      <c r="KGQ36" s="118"/>
      <c r="KGR36" s="118"/>
      <c r="KGS36" s="118"/>
      <c r="KGT36" s="118"/>
      <c r="KGU36" s="118"/>
      <c r="KGV36" s="118"/>
      <c r="KGW36" s="118"/>
      <c r="KGX36" s="118"/>
      <c r="KGY36" s="118"/>
      <c r="KGZ36" s="118"/>
      <c r="KHA36" s="118"/>
      <c r="KHB36" s="118"/>
      <c r="KHC36" s="118"/>
      <c r="KHD36" s="118"/>
      <c r="KHE36" s="118"/>
      <c r="KHF36" s="118"/>
      <c r="KHG36" s="118"/>
      <c r="KHH36" s="118"/>
      <c r="KHI36" s="118"/>
      <c r="KHJ36" s="118"/>
      <c r="KHK36" s="118"/>
      <c r="KHL36" s="118"/>
      <c r="KHM36" s="118"/>
      <c r="KHN36" s="118"/>
      <c r="KHO36" s="118"/>
      <c r="KHP36" s="118"/>
      <c r="KHQ36" s="118"/>
      <c r="KHR36" s="118"/>
      <c r="KHS36" s="118"/>
      <c r="KHT36" s="118"/>
      <c r="KHU36" s="118"/>
      <c r="KHV36" s="118"/>
      <c r="KHW36" s="118"/>
      <c r="KHX36" s="118"/>
      <c r="KHY36" s="118"/>
      <c r="KHZ36" s="118"/>
      <c r="KIA36" s="118"/>
      <c r="KIB36" s="118"/>
      <c r="KIC36" s="118"/>
      <c r="KID36" s="118"/>
      <c r="KIE36" s="118"/>
      <c r="KIF36" s="118"/>
      <c r="KIG36" s="118"/>
      <c r="KIH36" s="118"/>
      <c r="KII36" s="118"/>
      <c r="KIJ36" s="118"/>
      <c r="KIK36" s="118"/>
      <c r="KIL36" s="118"/>
      <c r="KIM36" s="118"/>
      <c r="KIN36" s="118"/>
      <c r="KIO36" s="118"/>
      <c r="KIP36" s="118"/>
      <c r="KIQ36" s="118"/>
      <c r="KIR36" s="118"/>
      <c r="KIS36" s="118"/>
      <c r="KIT36" s="118"/>
      <c r="KIU36" s="118"/>
      <c r="KIV36" s="118"/>
      <c r="KIW36" s="118"/>
      <c r="KIX36" s="118"/>
      <c r="KIY36" s="118"/>
      <c r="KIZ36" s="118"/>
      <c r="KJA36" s="118"/>
      <c r="KJB36" s="118"/>
      <c r="KJC36" s="118"/>
      <c r="KJD36" s="118"/>
      <c r="KJE36" s="118"/>
      <c r="KJF36" s="118"/>
      <c r="KJG36" s="118"/>
      <c r="KJH36" s="118"/>
      <c r="KJI36" s="118"/>
      <c r="KJJ36" s="118"/>
      <c r="KJK36" s="118"/>
      <c r="KJL36" s="118"/>
      <c r="KJM36" s="118"/>
      <c r="KJN36" s="118"/>
      <c r="KJO36" s="118"/>
      <c r="KJP36" s="118"/>
      <c r="KJQ36" s="118"/>
      <c r="KJR36" s="118"/>
      <c r="KJS36" s="118"/>
      <c r="KJT36" s="118"/>
      <c r="KJU36" s="118"/>
      <c r="KJV36" s="118"/>
      <c r="KJW36" s="118"/>
      <c r="KJX36" s="118"/>
      <c r="KJY36" s="118"/>
      <c r="KJZ36" s="118"/>
      <c r="KKA36" s="118"/>
      <c r="KKB36" s="118"/>
      <c r="KKC36" s="118"/>
      <c r="KKD36" s="118"/>
      <c r="KKE36" s="118"/>
      <c r="KKF36" s="118"/>
      <c r="KKG36" s="118"/>
      <c r="KKH36" s="118"/>
      <c r="KKI36" s="118"/>
      <c r="KKJ36" s="118"/>
      <c r="KKK36" s="118"/>
      <c r="KKL36" s="118"/>
      <c r="KKM36" s="118"/>
      <c r="KKN36" s="118"/>
      <c r="KKO36" s="118"/>
      <c r="KKP36" s="118"/>
      <c r="KKQ36" s="118"/>
      <c r="KKR36" s="118"/>
      <c r="KKS36" s="118"/>
      <c r="KKT36" s="118"/>
      <c r="KKU36" s="118"/>
      <c r="KKV36" s="118"/>
      <c r="KKW36" s="118"/>
      <c r="KKX36" s="118"/>
      <c r="KKY36" s="118"/>
      <c r="KKZ36" s="118"/>
      <c r="KLA36" s="118"/>
      <c r="KLB36" s="118"/>
      <c r="KLC36" s="118"/>
      <c r="KLD36" s="118"/>
      <c r="KLE36" s="118"/>
      <c r="KLF36" s="118"/>
      <c r="KLG36" s="118"/>
      <c r="KLH36" s="118"/>
      <c r="KLI36" s="118"/>
      <c r="KLJ36" s="118"/>
      <c r="KLK36" s="118"/>
      <c r="KLL36" s="118"/>
      <c r="KLM36" s="118"/>
      <c r="KLN36" s="118"/>
      <c r="KLO36" s="118"/>
      <c r="KLP36" s="118"/>
      <c r="KLQ36" s="118"/>
      <c r="KLR36" s="118"/>
      <c r="KLS36" s="118"/>
      <c r="KLT36" s="118"/>
      <c r="KLU36" s="118"/>
      <c r="KLV36" s="118"/>
      <c r="KLW36" s="118"/>
      <c r="KLX36" s="118"/>
      <c r="KLY36" s="118"/>
      <c r="KLZ36" s="118"/>
      <c r="KMA36" s="118"/>
      <c r="KMB36" s="118"/>
      <c r="KMC36" s="118"/>
      <c r="KMD36" s="118"/>
      <c r="KME36" s="118"/>
      <c r="KMF36" s="118"/>
      <c r="KMG36" s="118"/>
      <c r="KMH36" s="118"/>
      <c r="KMI36" s="118"/>
      <c r="KMJ36" s="118"/>
      <c r="KMK36" s="118"/>
      <c r="KML36" s="118"/>
      <c r="KMM36" s="118"/>
      <c r="KMN36" s="118"/>
      <c r="KMO36" s="118"/>
      <c r="KMP36" s="118"/>
      <c r="KMQ36" s="118"/>
      <c r="KMR36" s="118"/>
      <c r="KMS36" s="118"/>
      <c r="KMT36" s="118"/>
      <c r="KMU36" s="118"/>
      <c r="KMV36" s="118"/>
      <c r="KMW36" s="118"/>
      <c r="KMX36" s="118"/>
      <c r="KMY36" s="118"/>
      <c r="KMZ36" s="118"/>
      <c r="KNA36" s="118"/>
      <c r="KNB36" s="118"/>
      <c r="KNC36" s="118"/>
      <c r="KND36" s="118"/>
      <c r="KNE36" s="118"/>
      <c r="KNF36" s="118"/>
      <c r="KNG36" s="118"/>
      <c r="KNH36" s="118"/>
      <c r="KNI36" s="118"/>
      <c r="KNJ36" s="118"/>
      <c r="KNK36" s="118"/>
      <c r="KNL36" s="118"/>
      <c r="KNM36" s="118"/>
      <c r="KNN36" s="118"/>
      <c r="KNO36" s="118"/>
      <c r="KNP36" s="118"/>
      <c r="KNQ36" s="118"/>
      <c r="KNR36" s="118"/>
      <c r="KNS36" s="118"/>
      <c r="KNT36" s="118"/>
      <c r="KNU36" s="118"/>
      <c r="KNV36" s="118"/>
      <c r="KNW36" s="118"/>
      <c r="KNX36" s="118"/>
      <c r="KNY36" s="118"/>
      <c r="KNZ36" s="118"/>
      <c r="KOA36" s="118"/>
      <c r="KOB36" s="118"/>
      <c r="KOC36" s="118"/>
      <c r="KOD36" s="118"/>
      <c r="KOE36" s="118"/>
      <c r="KOF36" s="118"/>
      <c r="KOG36" s="118"/>
      <c r="KOH36" s="118"/>
      <c r="KOI36" s="118"/>
      <c r="KOJ36" s="118"/>
      <c r="KOK36" s="118"/>
      <c r="KOL36" s="118"/>
      <c r="KOM36" s="118"/>
      <c r="KON36" s="118"/>
      <c r="KOO36" s="118"/>
      <c r="KOP36" s="118"/>
      <c r="KOQ36" s="118"/>
      <c r="KOR36" s="118"/>
      <c r="KOS36" s="118"/>
      <c r="KOT36" s="118"/>
      <c r="KOU36" s="118"/>
      <c r="KOV36" s="118"/>
      <c r="KOW36" s="118"/>
      <c r="KOX36" s="118"/>
      <c r="KOY36" s="118"/>
      <c r="KOZ36" s="118"/>
      <c r="KPA36" s="118"/>
      <c r="KPB36" s="118"/>
      <c r="KPC36" s="118"/>
      <c r="KPD36" s="118"/>
      <c r="KPE36" s="118"/>
      <c r="KPF36" s="118"/>
      <c r="KPG36" s="118"/>
      <c r="KPH36" s="118"/>
      <c r="KPI36" s="118"/>
      <c r="KPJ36" s="118"/>
      <c r="KPK36" s="118"/>
      <c r="KPL36" s="118"/>
      <c r="KPM36" s="118"/>
      <c r="KPN36" s="118"/>
      <c r="KPO36" s="118"/>
      <c r="KPP36" s="118"/>
      <c r="KPQ36" s="118"/>
      <c r="KPR36" s="118"/>
      <c r="KPS36" s="118"/>
      <c r="KPT36" s="118"/>
      <c r="KPU36" s="118"/>
      <c r="KPV36" s="118"/>
      <c r="KPW36" s="118"/>
      <c r="KPX36" s="118"/>
      <c r="KPY36" s="118"/>
      <c r="KPZ36" s="118"/>
      <c r="KQA36" s="118"/>
      <c r="KQB36" s="118"/>
      <c r="KQC36" s="118"/>
      <c r="KQD36" s="118"/>
      <c r="KQE36" s="118"/>
      <c r="KQF36" s="118"/>
      <c r="KQG36" s="118"/>
      <c r="KQH36" s="118"/>
      <c r="KQI36" s="118"/>
      <c r="KQJ36" s="118"/>
      <c r="KQK36" s="118"/>
      <c r="KQL36" s="118"/>
      <c r="KQM36" s="118"/>
      <c r="KQN36" s="118"/>
      <c r="KQO36" s="118"/>
      <c r="KQP36" s="118"/>
      <c r="KQQ36" s="118"/>
      <c r="KQR36" s="118"/>
      <c r="KQS36" s="118"/>
      <c r="KQT36" s="118"/>
      <c r="KQU36" s="118"/>
      <c r="KQV36" s="118"/>
      <c r="KQW36" s="118"/>
      <c r="KQX36" s="118"/>
      <c r="KQY36" s="118"/>
      <c r="KQZ36" s="118"/>
      <c r="KRA36" s="118"/>
      <c r="KRB36" s="118"/>
      <c r="KRC36" s="118"/>
      <c r="KRD36" s="118"/>
      <c r="KRE36" s="118"/>
      <c r="KRF36" s="118"/>
      <c r="KRG36" s="118"/>
      <c r="KRH36" s="118"/>
      <c r="KRI36" s="118"/>
      <c r="KRJ36" s="118"/>
      <c r="KRK36" s="118"/>
      <c r="KRL36" s="118"/>
      <c r="KRM36" s="118"/>
      <c r="KRN36" s="118"/>
      <c r="KRO36" s="118"/>
      <c r="KRP36" s="118"/>
      <c r="KRQ36" s="118"/>
      <c r="KRR36" s="118"/>
      <c r="KRS36" s="118"/>
      <c r="KRT36" s="118"/>
      <c r="KRU36" s="118"/>
      <c r="KRV36" s="118"/>
      <c r="KRW36" s="118"/>
      <c r="KRX36" s="118"/>
      <c r="KRY36" s="118"/>
      <c r="KRZ36" s="118"/>
      <c r="KSA36" s="118"/>
      <c r="KSB36" s="118"/>
      <c r="KSC36" s="118"/>
      <c r="KSD36" s="118"/>
      <c r="KSE36" s="118"/>
      <c r="KSF36" s="118"/>
      <c r="KSG36" s="118"/>
      <c r="KSH36" s="118"/>
      <c r="KSI36" s="118"/>
      <c r="KSJ36" s="118"/>
      <c r="KSK36" s="118"/>
      <c r="KSL36" s="118"/>
      <c r="KSM36" s="118"/>
      <c r="KSN36" s="118"/>
      <c r="KSO36" s="118"/>
      <c r="KSP36" s="118"/>
      <c r="KSQ36" s="118"/>
      <c r="KSR36" s="118"/>
      <c r="KSS36" s="118"/>
      <c r="KST36" s="118"/>
      <c r="KSU36" s="118"/>
      <c r="KSV36" s="118"/>
      <c r="KSW36" s="118"/>
      <c r="KSX36" s="118"/>
      <c r="KSY36" s="118"/>
      <c r="KSZ36" s="118"/>
      <c r="KTA36" s="118"/>
      <c r="KTB36" s="118"/>
      <c r="KTC36" s="118"/>
      <c r="KTD36" s="118"/>
      <c r="KTE36" s="118"/>
      <c r="KTF36" s="118"/>
      <c r="KTG36" s="118"/>
      <c r="KTH36" s="118"/>
      <c r="KTI36" s="118"/>
      <c r="KTJ36" s="118"/>
      <c r="KTK36" s="118"/>
      <c r="KTL36" s="118"/>
      <c r="KTM36" s="118"/>
      <c r="KTN36" s="118"/>
      <c r="KTO36" s="118"/>
      <c r="KTP36" s="118"/>
      <c r="KTQ36" s="118"/>
      <c r="KTR36" s="118"/>
      <c r="KTS36" s="118"/>
      <c r="KTT36" s="118"/>
      <c r="KTU36" s="118"/>
      <c r="KTV36" s="118"/>
      <c r="KTW36" s="118"/>
      <c r="KTX36" s="118"/>
      <c r="KTY36" s="118"/>
      <c r="KTZ36" s="118"/>
      <c r="KUA36" s="118"/>
      <c r="KUB36" s="118"/>
      <c r="KUC36" s="118"/>
      <c r="KUD36" s="118"/>
      <c r="KUE36" s="118"/>
      <c r="KUF36" s="118"/>
      <c r="KUG36" s="118"/>
      <c r="KUH36" s="118"/>
      <c r="KUI36" s="118"/>
      <c r="KUJ36" s="118"/>
      <c r="KUK36" s="118"/>
      <c r="KUL36" s="118"/>
      <c r="KUM36" s="118"/>
      <c r="KUN36" s="118"/>
      <c r="KUO36" s="118"/>
      <c r="KUP36" s="118"/>
      <c r="KUQ36" s="118"/>
      <c r="KUR36" s="118"/>
      <c r="KUS36" s="118"/>
      <c r="KUT36" s="118"/>
      <c r="KUU36" s="118"/>
      <c r="KUV36" s="118"/>
      <c r="KUW36" s="118"/>
      <c r="KUX36" s="118"/>
      <c r="KUY36" s="118"/>
      <c r="KUZ36" s="118"/>
      <c r="KVA36" s="118"/>
      <c r="KVB36" s="118"/>
      <c r="KVC36" s="118"/>
      <c r="KVD36" s="118"/>
      <c r="KVE36" s="118"/>
      <c r="KVF36" s="118"/>
      <c r="KVG36" s="118"/>
      <c r="KVH36" s="118"/>
      <c r="KVI36" s="118"/>
      <c r="KVJ36" s="118"/>
      <c r="KVK36" s="118"/>
      <c r="KVL36" s="118"/>
      <c r="KVM36" s="118"/>
      <c r="KVN36" s="118"/>
      <c r="KVO36" s="118"/>
      <c r="KVP36" s="118"/>
      <c r="KVQ36" s="118"/>
      <c r="KVR36" s="118"/>
      <c r="KVS36" s="118"/>
      <c r="KVT36" s="118"/>
      <c r="KVU36" s="118"/>
      <c r="KVV36" s="118"/>
      <c r="KVW36" s="118"/>
      <c r="KVX36" s="118"/>
      <c r="KVY36" s="118"/>
      <c r="KVZ36" s="118"/>
      <c r="KWA36" s="118"/>
      <c r="KWB36" s="118"/>
      <c r="KWC36" s="118"/>
      <c r="KWD36" s="118"/>
      <c r="KWE36" s="118"/>
      <c r="KWF36" s="118"/>
      <c r="KWG36" s="118"/>
      <c r="KWH36" s="118"/>
      <c r="KWI36" s="118"/>
      <c r="KWJ36" s="118"/>
      <c r="KWK36" s="118"/>
      <c r="KWL36" s="118"/>
      <c r="KWM36" s="118"/>
      <c r="KWN36" s="118"/>
      <c r="KWO36" s="118"/>
      <c r="KWP36" s="118"/>
      <c r="KWQ36" s="118"/>
      <c r="KWR36" s="118"/>
      <c r="KWS36" s="118"/>
      <c r="KWT36" s="118"/>
      <c r="KWU36" s="118"/>
      <c r="KWV36" s="118"/>
      <c r="KWW36" s="118"/>
      <c r="KWX36" s="118"/>
      <c r="KWY36" s="118"/>
      <c r="KWZ36" s="118"/>
      <c r="KXA36" s="118"/>
      <c r="KXB36" s="118"/>
      <c r="KXC36" s="118"/>
      <c r="KXD36" s="118"/>
      <c r="KXE36" s="118"/>
      <c r="KXF36" s="118"/>
      <c r="KXG36" s="118"/>
      <c r="KXH36" s="118"/>
      <c r="KXI36" s="118"/>
      <c r="KXJ36" s="118"/>
      <c r="KXK36" s="118"/>
      <c r="KXL36" s="118"/>
      <c r="KXM36" s="118"/>
      <c r="KXN36" s="118"/>
      <c r="KXO36" s="118"/>
      <c r="KXP36" s="118"/>
      <c r="KXQ36" s="118"/>
      <c r="KXR36" s="118"/>
      <c r="KXS36" s="118"/>
      <c r="KXT36" s="118"/>
      <c r="KXU36" s="118"/>
      <c r="KXV36" s="118"/>
      <c r="KXW36" s="118"/>
      <c r="KXX36" s="118"/>
      <c r="KXY36" s="118"/>
      <c r="KXZ36" s="118"/>
      <c r="KYA36" s="118"/>
      <c r="KYB36" s="118"/>
      <c r="KYC36" s="118"/>
      <c r="KYD36" s="118"/>
      <c r="KYE36" s="118"/>
      <c r="KYF36" s="118"/>
      <c r="KYG36" s="118"/>
      <c r="KYH36" s="118"/>
      <c r="KYI36" s="118"/>
      <c r="KYJ36" s="118"/>
      <c r="KYK36" s="118"/>
      <c r="KYL36" s="118"/>
      <c r="KYM36" s="118"/>
      <c r="KYN36" s="118"/>
      <c r="KYO36" s="118"/>
      <c r="KYP36" s="118"/>
      <c r="KYQ36" s="118"/>
      <c r="KYR36" s="118"/>
      <c r="KYS36" s="118"/>
      <c r="KYT36" s="118"/>
      <c r="KYU36" s="118"/>
      <c r="KYV36" s="118"/>
      <c r="KYW36" s="118"/>
      <c r="KYX36" s="118"/>
      <c r="KYY36" s="118"/>
      <c r="KYZ36" s="118"/>
      <c r="KZA36" s="118"/>
      <c r="KZB36" s="118"/>
      <c r="KZC36" s="118"/>
      <c r="KZD36" s="118"/>
      <c r="KZE36" s="118"/>
      <c r="KZF36" s="118"/>
      <c r="KZG36" s="118"/>
      <c r="KZH36" s="118"/>
      <c r="KZI36" s="118"/>
      <c r="KZJ36" s="118"/>
      <c r="KZK36" s="118"/>
      <c r="KZL36" s="118"/>
      <c r="KZM36" s="118"/>
      <c r="KZN36" s="118"/>
      <c r="KZO36" s="118"/>
      <c r="KZP36" s="118"/>
      <c r="KZQ36" s="118"/>
      <c r="KZR36" s="118"/>
      <c r="KZS36" s="118"/>
      <c r="KZT36" s="118"/>
      <c r="KZU36" s="118"/>
      <c r="KZV36" s="118"/>
      <c r="KZW36" s="118"/>
      <c r="KZX36" s="118"/>
      <c r="KZY36" s="118"/>
      <c r="KZZ36" s="118"/>
      <c r="LAA36" s="118"/>
      <c r="LAB36" s="118"/>
      <c r="LAC36" s="118"/>
      <c r="LAD36" s="118"/>
      <c r="LAE36" s="118"/>
      <c r="LAF36" s="118"/>
      <c r="LAG36" s="118"/>
      <c r="LAH36" s="118"/>
      <c r="LAI36" s="118"/>
      <c r="LAJ36" s="118"/>
      <c r="LAK36" s="118"/>
      <c r="LAL36" s="118"/>
      <c r="LAM36" s="118"/>
      <c r="LAN36" s="118"/>
      <c r="LAO36" s="118"/>
      <c r="LAP36" s="118"/>
      <c r="LAQ36" s="118"/>
      <c r="LAR36" s="118"/>
      <c r="LAS36" s="118"/>
      <c r="LAT36" s="118"/>
      <c r="LAU36" s="118"/>
      <c r="LAV36" s="118"/>
      <c r="LAW36" s="118"/>
      <c r="LAX36" s="118"/>
      <c r="LAY36" s="118"/>
      <c r="LAZ36" s="118"/>
      <c r="LBA36" s="118"/>
      <c r="LBB36" s="118"/>
      <c r="LBC36" s="118"/>
      <c r="LBD36" s="118"/>
      <c r="LBE36" s="118"/>
      <c r="LBF36" s="118"/>
      <c r="LBG36" s="118"/>
      <c r="LBH36" s="118"/>
      <c r="LBI36" s="118"/>
      <c r="LBJ36" s="118"/>
      <c r="LBK36" s="118"/>
      <c r="LBL36" s="118"/>
      <c r="LBM36" s="118"/>
      <c r="LBN36" s="118"/>
      <c r="LBO36" s="118"/>
      <c r="LBP36" s="118"/>
      <c r="LBQ36" s="118"/>
      <c r="LBR36" s="118"/>
      <c r="LBS36" s="118"/>
      <c r="LBT36" s="118"/>
      <c r="LBU36" s="118"/>
      <c r="LBV36" s="118"/>
      <c r="LBW36" s="118"/>
      <c r="LBX36" s="118"/>
      <c r="LBY36" s="118"/>
      <c r="LBZ36" s="118"/>
      <c r="LCA36" s="118"/>
      <c r="LCB36" s="118"/>
      <c r="LCC36" s="118"/>
      <c r="LCD36" s="118"/>
      <c r="LCE36" s="118"/>
      <c r="LCF36" s="118"/>
      <c r="LCG36" s="118"/>
      <c r="LCH36" s="118"/>
      <c r="LCI36" s="118"/>
      <c r="LCJ36" s="118"/>
      <c r="LCK36" s="118"/>
      <c r="LCL36" s="118"/>
      <c r="LCM36" s="118"/>
      <c r="LCN36" s="118"/>
      <c r="LCO36" s="118"/>
      <c r="LCP36" s="118"/>
      <c r="LCQ36" s="118"/>
      <c r="LCR36" s="118"/>
      <c r="LCS36" s="118"/>
      <c r="LCT36" s="118"/>
      <c r="LCU36" s="118"/>
      <c r="LCV36" s="118"/>
      <c r="LCW36" s="118"/>
      <c r="LCX36" s="118"/>
      <c r="LCY36" s="118"/>
      <c r="LCZ36" s="118"/>
      <c r="LDA36" s="118"/>
      <c r="LDB36" s="118"/>
      <c r="LDC36" s="118"/>
      <c r="LDD36" s="118"/>
      <c r="LDE36" s="118"/>
      <c r="LDF36" s="118"/>
      <c r="LDG36" s="118"/>
      <c r="LDH36" s="118"/>
      <c r="LDI36" s="118"/>
      <c r="LDJ36" s="118"/>
      <c r="LDK36" s="118"/>
      <c r="LDL36" s="118"/>
      <c r="LDM36" s="118"/>
      <c r="LDN36" s="118"/>
      <c r="LDO36" s="118"/>
      <c r="LDP36" s="118"/>
      <c r="LDQ36" s="118"/>
      <c r="LDR36" s="118"/>
      <c r="LDS36" s="118"/>
      <c r="LDT36" s="118"/>
      <c r="LDU36" s="118"/>
      <c r="LDV36" s="118"/>
      <c r="LDW36" s="118"/>
      <c r="LDX36" s="118"/>
      <c r="LDY36" s="118"/>
      <c r="LDZ36" s="118"/>
      <c r="LEA36" s="118"/>
      <c r="LEB36" s="118"/>
      <c r="LEC36" s="118"/>
      <c r="LED36" s="118"/>
      <c r="LEE36" s="118"/>
      <c r="LEF36" s="118"/>
      <c r="LEG36" s="118"/>
      <c r="LEH36" s="118"/>
      <c r="LEI36" s="118"/>
      <c r="LEJ36" s="118"/>
      <c r="LEK36" s="118"/>
      <c r="LEL36" s="118"/>
      <c r="LEM36" s="118"/>
      <c r="LEN36" s="118"/>
      <c r="LEO36" s="118"/>
      <c r="LEP36" s="118"/>
      <c r="LEQ36" s="118"/>
      <c r="LER36" s="118"/>
      <c r="LES36" s="118"/>
      <c r="LET36" s="118"/>
      <c r="LEU36" s="118"/>
      <c r="LEV36" s="118"/>
      <c r="LEW36" s="118"/>
      <c r="LEX36" s="118"/>
      <c r="LEY36" s="118"/>
      <c r="LEZ36" s="118"/>
      <c r="LFA36" s="118"/>
      <c r="LFB36" s="118"/>
      <c r="LFC36" s="118"/>
      <c r="LFD36" s="118"/>
      <c r="LFE36" s="118"/>
      <c r="LFF36" s="118"/>
      <c r="LFG36" s="118"/>
      <c r="LFH36" s="118"/>
      <c r="LFI36" s="118"/>
      <c r="LFJ36" s="118"/>
      <c r="LFK36" s="118"/>
      <c r="LFL36" s="118"/>
      <c r="LFM36" s="118"/>
      <c r="LFN36" s="118"/>
      <c r="LFO36" s="118"/>
      <c r="LFP36" s="118"/>
      <c r="LFQ36" s="118"/>
      <c r="LFR36" s="118"/>
      <c r="LFS36" s="118"/>
      <c r="LFT36" s="118"/>
      <c r="LFU36" s="118"/>
      <c r="LFV36" s="118"/>
      <c r="LFW36" s="118"/>
      <c r="LFX36" s="118"/>
      <c r="LFY36" s="118"/>
      <c r="LFZ36" s="118"/>
      <c r="LGA36" s="118"/>
      <c r="LGB36" s="118"/>
      <c r="LGC36" s="118"/>
      <c r="LGD36" s="118"/>
      <c r="LGE36" s="118"/>
      <c r="LGF36" s="118"/>
      <c r="LGG36" s="118"/>
      <c r="LGH36" s="118"/>
      <c r="LGI36" s="118"/>
      <c r="LGJ36" s="118"/>
      <c r="LGK36" s="118"/>
      <c r="LGL36" s="118"/>
      <c r="LGM36" s="118"/>
      <c r="LGN36" s="118"/>
      <c r="LGO36" s="118"/>
      <c r="LGP36" s="118"/>
      <c r="LGQ36" s="118"/>
      <c r="LGR36" s="118"/>
      <c r="LGS36" s="118"/>
      <c r="LGT36" s="118"/>
      <c r="LGU36" s="118"/>
      <c r="LGV36" s="118"/>
      <c r="LGW36" s="118"/>
      <c r="LGX36" s="118"/>
      <c r="LGY36" s="118"/>
      <c r="LGZ36" s="118"/>
      <c r="LHA36" s="118"/>
      <c r="LHB36" s="118"/>
      <c r="LHC36" s="118"/>
      <c r="LHD36" s="118"/>
      <c r="LHE36" s="118"/>
      <c r="LHF36" s="118"/>
      <c r="LHG36" s="118"/>
      <c r="LHH36" s="118"/>
      <c r="LHI36" s="118"/>
      <c r="LHJ36" s="118"/>
      <c r="LHK36" s="118"/>
      <c r="LHL36" s="118"/>
      <c r="LHM36" s="118"/>
      <c r="LHN36" s="118"/>
      <c r="LHO36" s="118"/>
      <c r="LHP36" s="118"/>
      <c r="LHQ36" s="118"/>
      <c r="LHR36" s="118"/>
      <c r="LHS36" s="118"/>
      <c r="LHT36" s="118"/>
      <c r="LHU36" s="118"/>
      <c r="LHV36" s="118"/>
      <c r="LHW36" s="118"/>
      <c r="LHX36" s="118"/>
      <c r="LHY36" s="118"/>
      <c r="LHZ36" s="118"/>
      <c r="LIA36" s="118"/>
      <c r="LIB36" s="118"/>
      <c r="LIC36" s="118"/>
      <c r="LID36" s="118"/>
      <c r="LIE36" s="118"/>
      <c r="LIF36" s="118"/>
      <c r="LIG36" s="118"/>
      <c r="LIH36" s="118"/>
      <c r="LII36" s="118"/>
      <c r="LIJ36" s="118"/>
      <c r="LIK36" s="118"/>
      <c r="LIL36" s="118"/>
      <c r="LIM36" s="118"/>
      <c r="LIN36" s="118"/>
      <c r="LIO36" s="118"/>
      <c r="LIP36" s="118"/>
      <c r="LIQ36" s="118"/>
      <c r="LIR36" s="118"/>
      <c r="LIS36" s="118"/>
      <c r="LIT36" s="118"/>
      <c r="LIU36" s="118"/>
      <c r="LIV36" s="118"/>
      <c r="LIW36" s="118"/>
      <c r="LIX36" s="118"/>
      <c r="LIY36" s="118"/>
      <c r="LIZ36" s="118"/>
      <c r="LJA36" s="118"/>
      <c r="LJB36" s="118"/>
      <c r="LJC36" s="118"/>
      <c r="LJD36" s="118"/>
      <c r="LJE36" s="118"/>
      <c r="LJF36" s="118"/>
      <c r="LJG36" s="118"/>
      <c r="LJH36" s="118"/>
      <c r="LJI36" s="118"/>
      <c r="LJJ36" s="118"/>
      <c r="LJK36" s="118"/>
      <c r="LJL36" s="118"/>
      <c r="LJM36" s="118"/>
      <c r="LJN36" s="118"/>
      <c r="LJO36" s="118"/>
      <c r="LJP36" s="118"/>
      <c r="LJQ36" s="118"/>
      <c r="LJR36" s="118"/>
      <c r="LJS36" s="118"/>
      <c r="LJT36" s="118"/>
      <c r="LJU36" s="118"/>
      <c r="LJV36" s="118"/>
      <c r="LJW36" s="118"/>
      <c r="LJX36" s="118"/>
      <c r="LJY36" s="118"/>
      <c r="LJZ36" s="118"/>
      <c r="LKA36" s="118"/>
      <c r="LKB36" s="118"/>
      <c r="LKC36" s="118"/>
      <c r="LKD36" s="118"/>
      <c r="LKE36" s="118"/>
      <c r="LKF36" s="118"/>
      <c r="LKG36" s="118"/>
      <c r="LKH36" s="118"/>
      <c r="LKI36" s="118"/>
      <c r="LKJ36" s="118"/>
      <c r="LKK36" s="118"/>
      <c r="LKL36" s="118"/>
      <c r="LKM36" s="118"/>
      <c r="LKN36" s="118"/>
      <c r="LKO36" s="118"/>
      <c r="LKP36" s="118"/>
      <c r="LKQ36" s="118"/>
      <c r="LKR36" s="118"/>
      <c r="LKS36" s="118"/>
      <c r="LKT36" s="118"/>
      <c r="LKU36" s="118"/>
      <c r="LKV36" s="118"/>
      <c r="LKW36" s="118"/>
      <c r="LKX36" s="118"/>
      <c r="LKY36" s="118"/>
      <c r="LKZ36" s="118"/>
      <c r="LLA36" s="118"/>
      <c r="LLB36" s="118"/>
      <c r="LLC36" s="118"/>
      <c r="LLD36" s="118"/>
      <c r="LLE36" s="118"/>
      <c r="LLF36" s="118"/>
      <c r="LLG36" s="118"/>
      <c r="LLH36" s="118"/>
      <c r="LLI36" s="118"/>
      <c r="LLJ36" s="118"/>
      <c r="LLK36" s="118"/>
      <c r="LLL36" s="118"/>
      <c r="LLM36" s="118"/>
      <c r="LLN36" s="118"/>
      <c r="LLO36" s="118"/>
      <c r="LLP36" s="118"/>
      <c r="LLQ36" s="118"/>
      <c r="LLR36" s="118"/>
      <c r="LLS36" s="118"/>
      <c r="LLT36" s="118"/>
      <c r="LLU36" s="118"/>
      <c r="LLV36" s="118"/>
      <c r="LLW36" s="118"/>
      <c r="LLX36" s="118"/>
      <c r="LLY36" s="118"/>
      <c r="LLZ36" s="118"/>
      <c r="LMA36" s="118"/>
      <c r="LMB36" s="118"/>
      <c r="LMC36" s="118"/>
      <c r="LMD36" s="118"/>
      <c r="LME36" s="118"/>
      <c r="LMF36" s="118"/>
      <c r="LMG36" s="118"/>
      <c r="LMH36" s="118"/>
      <c r="LMI36" s="118"/>
      <c r="LMJ36" s="118"/>
      <c r="LMK36" s="118"/>
      <c r="LML36" s="118"/>
      <c r="LMM36" s="118"/>
      <c r="LMN36" s="118"/>
      <c r="LMO36" s="118"/>
      <c r="LMP36" s="118"/>
      <c r="LMQ36" s="118"/>
      <c r="LMR36" s="118"/>
      <c r="LMS36" s="118"/>
      <c r="LMT36" s="118"/>
      <c r="LMU36" s="118"/>
      <c r="LMV36" s="118"/>
      <c r="LMW36" s="118"/>
      <c r="LMX36" s="118"/>
      <c r="LMY36" s="118"/>
      <c r="LMZ36" s="118"/>
      <c r="LNA36" s="118"/>
      <c r="LNB36" s="118"/>
      <c r="LNC36" s="118"/>
      <c r="LND36" s="118"/>
      <c r="LNE36" s="118"/>
      <c r="LNF36" s="118"/>
      <c r="LNG36" s="118"/>
      <c r="LNH36" s="118"/>
      <c r="LNI36" s="118"/>
      <c r="LNJ36" s="118"/>
      <c r="LNK36" s="118"/>
      <c r="LNL36" s="118"/>
      <c r="LNM36" s="118"/>
      <c r="LNN36" s="118"/>
      <c r="LNO36" s="118"/>
      <c r="LNP36" s="118"/>
      <c r="LNQ36" s="118"/>
      <c r="LNR36" s="118"/>
      <c r="LNS36" s="118"/>
      <c r="LNT36" s="118"/>
      <c r="LNU36" s="118"/>
      <c r="LNV36" s="118"/>
      <c r="LNW36" s="118"/>
      <c r="LNX36" s="118"/>
      <c r="LNY36" s="118"/>
      <c r="LNZ36" s="118"/>
      <c r="LOA36" s="118"/>
      <c r="LOB36" s="118"/>
      <c r="LOC36" s="118"/>
      <c r="LOD36" s="118"/>
      <c r="LOE36" s="118"/>
      <c r="LOF36" s="118"/>
      <c r="LOG36" s="118"/>
      <c r="LOH36" s="118"/>
      <c r="LOI36" s="118"/>
      <c r="LOJ36" s="118"/>
      <c r="LOK36" s="118"/>
      <c r="LOL36" s="118"/>
      <c r="LOM36" s="118"/>
      <c r="LON36" s="118"/>
      <c r="LOO36" s="118"/>
      <c r="LOP36" s="118"/>
      <c r="LOQ36" s="118"/>
      <c r="LOR36" s="118"/>
      <c r="LOS36" s="118"/>
      <c r="LOT36" s="118"/>
      <c r="LOU36" s="118"/>
      <c r="LOV36" s="118"/>
      <c r="LOW36" s="118"/>
      <c r="LOX36" s="118"/>
      <c r="LOY36" s="118"/>
      <c r="LOZ36" s="118"/>
      <c r="LPA36" s="118"/>
      <c r="LPB36" s="118"/>
      <c r="LPC36" s="118"/>
      <c r="LPD36" s="118"/>
      <c r="LPE36" s="118"/>
      <c r="LPF36" s="118"/>
      <c r="LPG36" s="118"/>
      <c r="LPH36" s="118"/>
      <c r="LPI36" s="118"/>
      <c r="LPJ36" s="118"/>
      <c r="LPK36" s="118"/>
      <c r="LPL36" s="118"/>
      <c r="LPM36" s="118"/>
      <c r="LPN36" s="118"/>
      <c r="LPO36" s="118"/>
      <c r="LPP36" s="118"/>
      <c r="LPQ36" s="118"/>
      <c r="LPR36" s="118"/>
      <c r="LPS36" s="118"/>
      <c r="LPT36" s="118"/>
      <c r="LPU36" s="118"/>
      <c r="LPV36" s="118"/>
      <c r="LPW36" s="118"/>
      <c r="LPX36" s="118"/>
      <c r="LPY36" s="118"/>
      <c r="LPZ36" s="118"/>
      <c r="LQA36" s="118"/>
      <c r="LQB36" s="118"/>
      <c r="LQC36" s="118"/>
      <c r="LQD36" s="118"/>
      <c r="LQE36" s="118"/>
      <c r="LQF36" s="118"/>
      <c r="LQG36" s="118"/>
      <c r="LQH36" s="118"/>
      <c r="LQI36" s="118"/>
      <c r="LQJ36" s="118"/>
      <c r="LQK36" s="118"/>
      <c r="LQL36" s="118"/>
      <c r="LQM36" s="118"/>
      <c r="LQN36" s="118"/>
      <c r="LQO36" s="118"/>
      <c r="LQP36" s="118"/>
      <c r="LQQ36" s="118"/>
      <c r="LQR36" s="118"/>
      <c r="LQS36" s="118"/>
      <c r="LQT36" s="118"/>
      <c r="LQU36" s="118"/>
      <c r="LQV36" s="118"/>
      <c r="LQW36" s="118"/>
      <c r="LQX36" s="118"/>
      <c r="LQY36" s="118"/>
      <c r="LQZ36" s="118"/>
      <c r="LRA36" s="118"/>
      <c r="LRB36" s="118"/>
      <c r="LRC36" s="118"/>
      <c r="LRD36" s="118"/>
      <c r="LRE36" s="118"/>
      <c r="LRF36" s="118"/>
      <c r="LRG36" s="118"/>
      <c r="LRH36" s="118"/>
      <c r="LRI36" s="118"/>
      <c r="LRJ36" s="118"/>
      <c r="LRK36" s="118"/>
      <c r="LRL36" s="118"/>
      <c r="LRM36" s="118"/>
      <c r="LRN36" s="118"/>
      <c r="LRO36" s="118"/>
      <c r="LRP36" s="118"/>
      <c r="LRQ36" s="118"/>
      <c r="LRR36" s="118"/>
      <c r="LRS36" s="118"/>
      <c r="LRT36" s="118"/>
      <c r="LRU36" s="118"/>
      <c r="LRV36" s="118"/>
      <c r="LRW36" s="118"/>
      <c r="LRX36" s="118"/>
      <c r="LRY36" s="118"/>
      <c r="LRZ36" s="118"/>
      <c r="LSA36" s="118"/>
      <c r="LSB36" s="118"/>
      <c r="LSC36" s="118"/>
      <c r="LSD36" s="118"/>
      <c r="LSE36" s="118"/>
      <c r="LSF36" s="118"/>
      <c r="LSG36" s="118"/>
      <c r="LSH36" s="118"/>
      <c r="LSI36" s="118"/>
      <c r="LSJ36" s="118"/>
      <c r="LSK36" s="118"/>
      <c r="LSL36" s="118"/>
      <c r="LSM36" s="118"/>
      <c r="LSN36" s="118"/>
      <c r="LSO36" s="118"/>
      <c r="LSP36" s="118"/>
      <c r="LSQ36" s="118"/>
      <c r="LSR36" s="118"/>
      <c r="LSS36" s="118"/>
      <c r="LST36" s="118"/>
      <c r="LSU36" s="118"/>
      <c r="LSV36" s="118"/>
      <c r="LSW36" s="118"/>
      <c r="LSX36" s="118"/>
      <c r="LSY36" s="118"/>
      <c r="LSZ36" s="118"/>
      <c r="LTA36" s="118"/>
      <c r="LTB36" s="118"/>
      <c r="LTC36" s="118"/>
      <c r="LTD36" s="118"/>
      <c r="LTE36" s="118"/>
      <c r="LTF36" s="118"/>
      <c r="LTG36" s="118"/>
      <c r="LTH36" s="118"/>
      <c r="LTI36" s="118"/>
      <c r="LTJ36" s="118"/>
      <c r="LTK36" s="118"/>
      <c r="LTL36" s="118"/>
      <c r="LTM36" s="118"/>
      <c r="LTN36" s="118"/>
      <c r="LTO36" s="118"/>
      <c r="LTP36" s="118"/>
      <c r="LTQ36" s="118"/>
      <c r="LTR36" s="118"/>
      <c r="LTS36" s="118"/>
      <c r="LTT36" s="118"/>
      <c r="LTU36" s="118"/>
      <c r="LTV36" s="118"/>
      <c r="LTW36" s="118"/>
      <c r="LTX36" s="118"/>
      <c r="LTY36" s="118"/>
      <c r="LTZ36" s="118"/>
      <c r="LUA36" s="118"/>
      <c r="LUB36" s="118"/>
      <c r="LUC36" s="118"/>
      <c r="LUD36" s="118"/>
      <c r="LUE36" s="118"/>
      <c r="LUF36" s="118"/>
      <c r="LUG36" s="118"/>
      <c r="LUH36" s="118"/>
      <c r="LUI36" s="118"/>
      <c r="LUJ36" s="118"/>
      <c r="LUK36" s="118"/>
      <c r="LUL36" s="118"/>
      <c r="LUM36" s="118"/>
      <c r="LUN36" s="118"/>
      <c r="LUO36" s="118"/>
      <c r="LUP36" s="118"/>
      <c r="LUQ36" s="118"/>
      <c r="LUR36" s="118"/>
      <c r="LUS36" s="118"/>
      <c r="LUT36" s="118"/>
      <c r="LUU36" s="118"/>
      <c r="LUV36" s="118"/>
      <c r="LUW36" s="118"/>
      <c r="LUX36" s="118"/>
      <c r="LUY36" s="118"/>
      <c r="LUZ36" s="118"/>
      <c r="LVA36" s="118"/>
      <c r="LVB36" s="118"/>
      <c r="LVC36" s="118"/>
      <c r="LVD36" s="118"/>
      <c r="LVE36" s="118"/>
      <c r="LVF36" s="118"/>
      <c r="LVG36" s="118"/>
      <c r="LVH36" s="118"/>
      <c r="LVI36" s="118"/>
      <c r="LVJ36" s="118"/>
      <c r="LVK36" s="118"/>
      <c r="LVL36" s="118"/>
      <c r="LVM36" s="118"/>
      <c r="LVN36" s="118"/>
      <c r="LVO36" s="118"/>
      <c r="LVP36" s="118"/>
      <c r="LVQ36" s="118"/>
      <c r="LVR36" s="118"/>
      <c r="LVS36" s="118"/>
      <c r="LVT36" s="118"/>
      <c r="LVU36" s="118"/>
      <c r="LVV36" s="118"/>
      <c r="LVW36" s="118"/>
      <c r="LVX36" s="118"/>
      <c r="LVY36" s="118"/>
      <c r="LVZ36" s="118"/>
      <c r="LWA36" s="118"/>
      <c r="LWB36" s="118"/>
      <c r="LWC36" s="118"/>
      <c r="LWD36" s="118"/>
      <c r="LWE36" s="118"/>
      <c r="LWF36" s="118"/>
      <c r="LWG36" s="118"/>
      <c r="LWH36" s="118"/>
      <c r="LWI36" s="118"/>
      <c r="LWJ36" s="118"/>
      <c r="LWK36" s="118"/>
      <c r="LWL36" s="118"/>
      <c r="LWM36" s="118"/>
      <c r="LWN36" s="118"/>
      <c r="LWO36" s="118"/>
      <c r="LWP36" s="118"/>
      <c r="LWQ36" s="118"/>
      <c r="LWR36" s="118"/>
      <c r="LWS36" s="118"/>
      <c r="LWT36" s="118"/>
      <c r="LWU36" s="118"/>
      <c r="LWV36" s="118"/>
      <c r="LWW36" s="118"/>
      <c r="LWX36" s="118"/>
      <c r="LWY36" s="118"/>
      <c r="LWZ36" s="118"/>
      <c r="LXA36" s="118"/>
      <c r="LXB36" s="118"/>
      <c r="LXC36" s="118"/>
      <c r="LXD36" s="118"/>
      <c r="LXE36" s="118"/>
      <c r="LXF36" s="118"/>
      <c r="LXG36" s="118"/>
      <c r="LXH36" s="118"/>
      <c r="LXI36" s="118"/>
      <c r="LXJ36" s="118"/>
      <c r="LXK36" s="118"/>
      <c r="LXL36" s="118"/>
      <c r="LXM36" s="118"/>
      <c r="LXN36" s="118"/>
      <c r="LXO36" s="118"/>
      <c r="LXP36" s="118"/>
      <c r="LXQ36" s="118"/>
      <c r="LXR36" s="118"/>
      <c r="LXS36" s="118"/>
      <c r="LXT36" s="118"/>
      <c r="LXU36" s="118"/>
      <c r="LXV36" s="118"/>
      <c r="LXW36" s="118"/>
      <c r="LXX36" s="118"/>
      <c r="LXY36" s="118"/>
      <c r="LXZ36" s="118"/>
      <c r="LYA36" s="118"/>
      <c r="LYB36" s="118"/>
      <c r="LYC36" s="118"/>
      <c r="LYD36" s="118"/>
      <c r="LYE36" s="118"/>
      <c r="LYF36" s="118"/>
      <c r="LYG36" s="118"/>
      <c r="LYH36" s="118"/>
      <c r="LYI36" s="118"/>
      <c r="LYJ36" s="118"/>
      <c r="LYK36" s="118"/>
      <c r="LYL36" s="118"/>
      <c r="LYM36" s="118"/>
      <c r="LYN36" s="118"/>
      <c r="LYO36" s="118"/>
      <c r="LYP36" s="118"/>
      <c r="LYQ36" s="118"/>
      <c r="LYR36" s="118"/>
      <c r="LYS36" s="118"/>
      <c r="LYT36" s="118"/>
      <c r="LYU36" s="118"/>
      <c r="LYV36" s="118"/>
      <c r="LYW36" s="118"/>
      <c r="LYX36" s="118"/>
      <c r="LYY36" s="118"/>
      <c r="LYZ36" s="118"/>
      <c r="LZA36" s="118"/>
      <c r="LZB36" s="118"/>
      <c r="LZC36" s="118"/>
      <c r="LZD36" s="118"/>
      <c r="LZE36" s="118"/>
      <c r="LZF36" s="118"/>
      <c r="LZG36" s="118"/>
      <c r="LZH36" s="118"/>
      <c r="LZI36" s="118"/>
      <c r="LZJ36" s="118"/>
      <c r="LZK36" s="118"/>
      <c r="LZL36" s="118"/>
      <c r="LZM36" s="118"/>
      <c r="LZN36" s="118"/>
      <c r="LZO36" s="118"/>
      <c r="LZP36" s="118"/>
      <c r="LZQ36" s="118"/>
      <c r="LZR36" s="118"/>
      <c r="LZS36" s="118"/>
      <c r="LZT36" s="118"/>
      <c r="LZU36" s="118"/>
      <c r="LZV36" s="118"/>
      <c r="LZW36" s="118"/>
      <c r="LZX36" s="118"/>
      <c r="LZY36" s="118"/>
      <c r="LZZ36" s="118"/>
      <c r="MAA36" s="118"/>
      <c r="MAB36" s="118"/>
      <c r="MAC36" s="118"/>
      <c r="MAD36" s="118"/>
      <c r="MAE36" s="118"/>
      <c r="MAF36" s="118"/>
      <c r="MAG36" s="118"/>
      <c r="MAH36" s="118"/>
      <c r="MAI36" s="118"/>
      <c r="MAJ36" s="118"/>
      <c r="MAK36" s="118"/>
      <c r="MAL36" s="118"/>
      <c r="MAM36" s="118"/>
      <c r="MAN36" s="118"/>
      <c r="MAO36" s="118"/>
      <c r="MAP36" s="118"/>
      <c r="MAQ36" s="118"/>
      <c r="MAR36" s="118"/>
      <c r="MAS36" s="118"/>
      <c r="MAT36" s="118"/>
      <c r="MAU36" s="118"/>
      <c r="MAV36" s="118"/>
      <c r="MAW36" s="118"/>
      <c r="MAX36" s="118"/>
      <c r="MAY36" s="118"/>
      <c r="MAZ36" s="118"/>
      <c r="MBA36" s="118"/>
      <c r="MBB36" s="118"/>
      <c r="MBC36" s="118"/>
      <c r="MBD36" s="118"/>
      <c r="MBE36" s="118"/>
      <c r="MBF36" s="118"/>
      <c r="MBG36" s="118"/>
      <c r="MBH36" s="118"/>
      <c r="MBI36" s="118"/>
      <c r="MBJ36" s="118"/>
      <c r="MBK36" s="118"/>
      <c r="MBL36" s="118"/>
      <c r="MBM36" s="118"/>
      <c r="MBN36" s="118"/>
      <c r="MBO36" s="118"/>
      <c r="MBP36" s="118"/>
      <c r="MBQ36" s="118"/>
      <c r="MBR36" s="118"/>
      <c r="MBS36" s="118"/>
      <c r="MBT36" s="118"/>
      <c r="MBU36" s="118"/>
      <c r="MBV36" s="118"/>
      <c r="MBW36" s="118"/>
      <c r="MBX36" s="118"/>
      <c r="MBY36" s="118"/>
      <c r="MBZ36" s="118"/>
      <c r="MCA36" s="118"/>
      <c r="MCB36" s="118"/>
      <c r="MCC36" s="118"/>
      <c r="MCD36" s="118"/>
      <c r="MCE36" s="118"/>
      <c r="MCF36" s="118"/>
      <c r="MCG36" s="118"/>
      <c r="MCH36" s="118"/>
      <c r="MCI36" s="118"/>
      <c r="MCJ36" s="118"/>
      <c r="MCK36" s="118"/>
      <c r="MCL36" s="118"/>
      <c r="MCM36" s="118"/>
      <c r="MCN36" s="118"/>
      <c r="MCO36" s="118"/>
      <c r="MCP36" s="118"/>
      <c r="MCQ36" s="118"/>
      <c r="MCR36" s="118"/>
      <c r="MCS36" s="118"/>
      <c r="MCT36" s="118"/>
      <c r="MCU36" s="118"/>
      <c r="MCV36" s="118"/>
      <c r="MCW36" s="118"/>
      <c r="MCX36" s="118"/>
      <c r="MCY36" s="118"/>
      <c r="MCZ36" s="118"/>
      <c r="MDA36" s="118"/>
      <c r="MDB36" s="118"/>
      <c r="MDC36" s="118"/>
      <c r="MDD36" s="118"/>
      <c r="MDE36" s="118"/>
      <c r="MDF36" s="118"/>
      <c r="MDG36" s="118"/>
      <c r="MDH36" s="118"/>
      <c r="MDI36" s="118"/>
      <c r="MDJ36" s="118"/>
      <c r="MDK36" s="118"/>
      <c r="MDL36" s="118"/>
      <c r="MDM36" s="118"/>
      <c r="MDN36" s="118"/>
      <c r="MDO36" s="118"/>
      <c r="MDP36" s="118"/>
      <c r="MDQ36" s="118"/>
      <c r="MDR36" s="118"/>
      <c r="MDS36" s="118"/>
      <c r="MDT36" s="118"/>
      <c r="MDU36" s="118"/>
      <c r="MDV36" s="118"/>
      <c r="MDW36" s="118"/>
      <c r="MDX36" s="118"/>
      <c r="MDY36" s="118"/>
      <c r="MDZ36" s="118"/>
      <c r="MEA36" s="118"/>
      <c r="MEB36" s="118"/>
      <c r="MEC36" s="118"/>
      <c r="MED36" s="118"/>
      <c r="MEE36" s="118"/>
      <c r="MEF36" s="118"/>
      <c r="MEG36" s="118"/>
      <c r="MEH36" s="118"/>
      <c r="MEI36" s="118"/>
      <c r="MEJ36" s="118"/>
      <c r="MEK36" s="118"/>
      <c r="MEL36" s="118"/>
      <c r="MEM36" s="118"/>
      <c r="MEN36" s="118"/>
      <c r="MEO36" s="118"/>
      <c r="MEP36" s="118"/>
      <c r="MEQ36" s="118"/>
      <c r="MER36" s="118"/>
      <c r="MES36" s="118"/>
      <c r="MET36" s="118"/>
      <c r="MEU36" s="118"/>
      <c r="MEV36" s="118"/>
      <c r="MEW36" s="118"/>
      <c r="MEX36" s="118"/>
      <c r="MEY36" s="118"/>
      <c r="MEZ36" s="118"/>
      <c r="MFA36" s="118"/>
      <c r="MFB36" s="118"/>
      <c r="MFC36" s="118"/>
      <c r="MFD36" s="118"/>
      <c r="MFE36" s="118"/>
      <c r="MFF36" s="118"/>
      <c r="MFG36" s="118"/>
      <c r="MFH36" s="118"/>
      <c r="MFI36" s="118"/>
      <c r="MFJ36" s="118"/>
      <c r="MFK36" s="118"/>
      <c r="MFL36" s="118"/>
      <c r="MFM36" s="118"/>
      <c r="MFN36" s="118"/>
      <c r="MFO36" s="118"/>
      <c r="MFP36" s="118"/>
      <c r="MFQ36" s="118"/>
      <c r="MFR36" s="118"/>
      <c r="MFS36" s="118"/>
      <c r="MFT36" s="118"/>
      <c r="MFU36" s="118"/>
      <c r="MFV36" s="118"/>
      <c r="MFW36" s="118"/>
      <c r="MFX36" s="118"/>
      <c r="MFY36" s="118"/>
      <c r="MFZ36" s="118"/>
      <c r="MGA36" s="118"/>
      <c r="MGB36" s="118"/>
      <c r="MGC36" s="118"/>
      <c r="MGD36" s="118"/>
      <c r="MGE36" s="118"/>
      <c r="MGF36" s="118"/>
      <c r="MGG36" s="118"/>
      <c r="MGH36" s="118"/>
      <c r="MGI36" s="118"/>
      <c r="MGJ36" s="118"/>
      <c r="MGK36" s="118"/>
      <c r="MGL36" s="118"/>
      <c r="MGM36" s="118"/>
      <c r="MGN36" s="118"/>
      <c r="MGO36" s="118"/>
      <c r="MGP36" s="118"/>
      <c r="MGQ36" s="118"/>
      <c r="MGR36" s="118"/>
      <c r="MGS36" s="118"/>
      <c r="MGT36" s="118"/>
      <c r="MGU36" s="118"/>
      <c r="MGV36" s="118"/>
      <c r="MGW36" s="118"/>
      <c r="MGX36" s="118"/>
      <c r="MGY36" s="118"/>
      <c r="MGZ36" s="118"/>
      <c r="MHA36" s="118"/>
      <c r="MHB36" s="118"/>
      <c r="MHC36" s="118"/>
      <c r="MHD36" s="118"/>
      <c r="MHE36" s="118"/>
      <c r="MHF36" s="118"/>
      <c r="MHG36" s="118"/>
      <c r="MHH36" s="118"/>
      <c r="MHI36" s="118"/>
      <c r="MHJ36" s="118"/>
      <c r="MHK36" s="118"/>
      <c r="MHL36" s="118"/>
      <c r="MHM36" s="118"/>
      <c r="MHN36" s="118"/>
      <c r="MHO36" s="118"/>
      <c r="MHP36" s="118"/>
      <c r="MHQ36" s="118"/>
      <c r="MHR36" s="118"/>
      <c r="MHS36" s="118"/>
      <c r="MHT36" s="118"/>
      <c r="MHU36" s="118"/>
      <c r="MHV36" s="118"/>
      <c r="MHW36" s="118"/>
      <c r="MHX36" s="118"/>
      <c r="MHY36" s="118"/>
      <c r="MHZ36" s="118"/>
      <c r="MIA36" s="118"/>
      <c r="MIB36" s="118"/>
      <c r="MIC36" s="118"/>
      <c r="MID36" s="118"/>
      <c r="MIE36" s="118"/>
      <c r="MIF36" s="118"/>
      <c r="MIG36" s="118"/>
      <c r="MIH36" s="118"/>
      <c r="MII36" s="118"/>
      <c r="MIJ36" s="118"/>
      <c r="MIK36" s="118"/>
      <c r="MIL36" s="118"/>
      <c r="MIM36" s="118"/>
      <c r="MIN36" s="118"/>
      <c r="MIO36" s="118"/>
      <c r="MIP36" s="118"/>
      <c r="MIQ36" s="118"/>
      <c r="MIR36" s="118"/>
      <c r="MIS36" s="118"/>
      <c r="MIT36" s="118"/>
      <c r="MIU36" s="118"/>
      <c r="MIV36" s="118"/>
      <c r="MIW36" s="118"/>
      <c r="MIX36" s="118"/>
      <c r="MIY36" s="118"/>
      <c r="MIZ36" s="118"/>
      <c r="MJA36" s="118"/>
      <c r="MJB36" s="118"/>
      <c r="MJC36" s="118"/>
      <c r="MJD36" s="118"/>
      <c r="MJE36" s="118"/>
      <c r="MJF36" s="118"/>
      <c r="MJG36" s="118"/>
      <c r="MJH36" s="118"/>
      <c r="MJI36" s="118"/>
      <c r="MJJ36" s="118"/>
      <c r="MJK36" s="118"/>
      <c r="MJL36" s="118"/>
      <c r="MJM36" s="118"/>
      <c r="MJN36" s="118"/>
      <c r="MJO36" s="118"/>
      <c r="MJP36" s="118"/>
      <c r="MJQ36" s="118"/>
      <c r="MJR36" s="118"/>
      <c r="MJS36" s="118"/>
      <c r="MJT36" s="118"/>
      <c r="MJU36" s="118"/>
      <c r="MJV36" s="118"/>
      <c r="MJW36" s="118"/>
      <c r="MJX36" s="118"/>
      <c r="MJY36" s="118"/>
      <c r="MJZ36" s="118"/>
      <c r="MKA36" s="118"/>
      <c r="MKB36" s="118"/>
      <c r="MKC36" s="118"/>
      <c r="MKD36" s="118"/>
      <c r="MKE36" s="118"/>
      <c r="MKF36" s="118"/>
      <c r="MKG36" s="118"/>
      <c r="MKH36" s="118"/>
      <c r="MKI36" s="118"/>
      <c r="MKJ36" s="118"/>
      <c r="MKK36" s="118"/>
      <c r="MKL36" s="118"/>
      <c r="MKM36" s="118"/>
      <c r="MKN36" s="118"/>
      <c r="MKO36" s="118"/>
      <c r="MKP36" s="118"/>
      <c r="MKQ36" s="118"/>
      <c r="MKR36" s="118"/>
      <c r="MKS36" s="118"/>
      <c r="MKT36" s="118"/>
      <c r="MKU36" s="118"/>
      <c r="MKV36" s="118"/>
      <c r="MKW36" s="118"/>
      <c r="MKX36" s="118"/>
      <c r="MKY36" s="118"/>
      <c r="MKZ36" s="118"/>
      <c r="MLA36" s="118"/>
      <c r="MLB36" s="118"/>
      <c r="MLC36" s="118"/>
      <c r="MLD36" s="118"/>
      <c r="MLE36" s="118"/>
      <c r="MLF36" s="118"/>
      <c r="MLG36" s="118"/>
      <c r="MLH36" s="118"/>
      <c r="MLI36" s="118"/>
      <c r="MLJ36" s="118"/>
      <c r="MLK36" s="118"/>
      <c r="MLL36" s="118"/>
      <c r="MLM36" s="118"/>
      <c r="MLN36" s="118"/>
      <c r="MLO36" s="118"/>
      <c r="MLP36" s="118"/>
      <c r="MLQ36" s="118"/>
      <c r="MLR36" s="118"/>
      <c r="MLS36" s="118"/>
      <c r="MLT36" s="118"/>
      <c r="MLU36" s="118"/>
      <c r="MLV36" s="118"/>
      <c r="MLW36" s="118"/>
      <c r="MLX36" s="118"/>
      <c r="MLY36" s="118"/>
      <c r="MLZ36" s="118"/>
      <c r="MMA36" s="118"/>
      <c r="MMB36" s="118"/>
      <c r="MMC36" s="118"/>
      <c r="MMD36" s="118"/>
      <c r="MME36" s="118"/>
      <c r="MMF36" s="118"/>
      <c r="MMG36" s="118"/>
      <c r="MMH36" s="118"/>
      <c r="MMI36" s="118"/>
      <c r="MMJ36" s="118"/>
      <c r="MMK36" s="118"/>
      <c r="MML36" s="118"/>
      <c r="MMM36" s="118"/>
      <c r="MMN36" s="118"/>
      <c r="MMO36" s="118"/>
      <c r="MMP36" s="118"/>
      <c r="MMQ36" s="118"/>
      <c r="MMR36" s="118"/>
      <c r="MMS36" s="118"/>
      <c r="MMT36" s="118"/>
      <c r="MMU36" s="118"/>
      <c r="MMV36" s="118"/>
      <c r="MMW36" s="118"/>
      <c r="MMX36" s="118"/>
      <c r="MMY36" s="118"/>
      <c r="MMZ36" s="118"/>
      <c r="MNA36" s="118"/>
      <c r="MNB36" s="118"/>
      <c r="MNC36" s="118"/>
      <c r="MND36" s="118"/>
      <c r="MNE36" s="118"/>
      <c r="MNF36" s="118"/>
      <c r="MNG36" s="118"/>
      <c r="MNH36" s="118"/>
      <c r="MNI36" s="118"/>
      <c r="MNJ36" s="118"/>
      <c r="MNK36" s="118"/>
      <c r="MNL36" s="118"/>
      <c r="MNM36" s="118"/>
      <c r="MNN36" s="118"/>
      <c r="MNO36" s="118"/>
      <c r="MNP36" s="118"/>
      <c r="MNQ36" s="118"/>
      <c r="MNR36" s="118"/>
      <c r="MNS36" s="118"/>
      <c r="MNT36" s="118"/>
      <c r="MNU36" s="118"/>
      <c r="MNV36" s="118"/>
      <c r="MNW36" s="118"/>
      <c r="MNX36" s="118"/>
      <c r="MNY36" s="118"/>
      <c r="MNZ36" s="118"/>
      <c r="MOA36" s="118"/>
      <c r="MOB36" s="118"/>
      <c r="MOC36" s="118"/>
      <c r="MOD36" s="118"/>
      <c r="MOE36" s="118"/>
      <c r="MOF36" s="118"/>
      <c r="MOG36" s="118"/>
      <c r="MOH36" s="118"/>
      <c r="MOI36" s="118"/>
      <c r="MOJ36" s="118"/>
      <c r="MOK36" s="118"/>
      <c r="MOL36" s="118"/>
      <c r="MOM36" s="118"/>
      <c r="MON36" s="118"/>
      <c r="MOO36" s="118"/>
      <c r="MOP36" s="118"/>
      <c r="MOQ36" s="118"/>
      <c r="MOR36" s="118"/>
      <c r="MOS36" s="118"/>
      <c r="MOT36" s="118"/>
      <c r="MOU36" s="118"/>
      <c r="MOV36" s="118"/>
      <c r="MOW36" s="118"/>
      <c r="MOX36" s="118"/>
      <c r="MOY36" s="118"/>
      <c r="MOZ36" s="118"/>
      <c r="MPA36" s="118"/>
      <c r="MPB36" s="118"/>
      <c r="MPC36" s="118"/>
      <c r="MPD36" s="118"/>
      <c r="MPE36" s="118"/>
      <c r="MPF36" s="118"/>
      <c r="MPG36" s="118"/>
      <c r="MPH36" s="118"/>
      <c r="MPI36" s="118"/>
      <c r="MPJ36" s="118"/>
      <c r="MPK36" s="118"/>
      <c r="MPL36" s="118"/>
      <c r="MPM36" s="118"/>
      <c r="MPN36" s="118"/>
      <c r="MPO36" s="118"/>
      <c r="MPP36" s="118"/>
      <c r="MPQ36" s="118"/>
      <c r="MPR36" s="118"/>
      <c r="MPS36" s="118"/>
      <c r="MPT36" s="118"/>
      <c r="MPU36" s="118"/>
      <c r="MPV36" s="118"/>
      <c r="MPW36" s="118"/>
      <c r="MPX36" s="118"/>
      <c r="MPY36" s="118"/>
      <c r="MPZ36" s="118"/>
      <c r="MQA36" s="118"/>
      <c r="MQB36" s="118"/>
      <c r="MQC36" s="118"/>
      <c r="MQD36" s="118"/>
      <c r="MQE36" s="118"/>
      <c r="MQF36" s="118"/>
      <c r="MQG36" s="118"/>
      <c r="MQH36" s="118"/>
      <c r="MQI36" s="118"/>
      <c r="MQJ36" s="118"/>
      <c r="MQK36" s="118"/>
      <c r="MQL36" s="118"/>
      <c r="MQM36" s="118"/>
      <c r="MQN36" s="118"/>
      <c r="MQO36" s="118"/>
      <c r="MQP36" s="118"/>
      <c r="MQQ36" s="118"/>
      <c r="MQR36" s="118"/>
      <c r="MQS36" s="118"/>
      <c r="MQT36" s="118"/>
      <c r="MQU36" s="118"/>
      <c r="MQV36" s="118"/>
      <c r="MQW36" s="118"/>
      <c r="MQX36" s="118"/>
      <c r="MQY36" s="118"/>
      <c r="MQZ36" s="118"/>
      <c r="MRA36" s="118"/>
      <c r="MRB36" s="118"/>
      <c r="MRC36" s="118"/>
      <c r="MRD36" s="118"/>
      <c r="MRE36" s="118"/>
      <c r="MRF36" s="118"/>
      <c r="MRG36" s="118"/>
      <c r="MRH36" s="118"/>
      <c r="MRI36" s="118"/>
      <c r="MRJ36" s="118"/>
      <c r="MRK36" s="118"/>
      <c r="MRL36" s="118"/>
      <c r="MRM36" s="118"/>
      <c r="MRN36" s="118"/>
      <c r="MRO36" s="118"/>
      <c r="MRP36" s="118"/>
      <c r="MRQ36" s="118"/>
      <c r="MRR36" s="118"/>
      <c r="MRS36" s="118"/>
      <c r="MRT36" s="118"/>
      <c r="MRU36" s="118"/>
      <c r="MRV36" s="118"/>
      <c r="MRW36" s="118"/>
      <c r="MRX36" s="118"/>
      <c r="MRY36" s="118"/>
      <c r="MRZ36" s="118"/>
      <c r="MSA36" s="118"/>
      <c r="MSB36" s="118"/>
      <c r="MSC36" s="118"/>
      <c r="MSD36" s="118"/>
      <c r="MSE36" s="118"/>
      <c r="MSF36" s="118"/>
      <c r="MSG36" s="118"/>
      <c r="MSH36" s="118"/>
      <c r="MSI36" s="118"/>
      <c r="MSJ36" s="118"/>
      <c r="MSK36" s="118"/>
      <c r="MSL36" s="118"/>
      <c r="MSM36" s="118"/>
      <c r="MSN36" s="118"/>
      <c r="MSO36" s="118"/>
      <c r="MSP36" s="118"/>
      <c r="MSQ36" s="118"/>
      <c r="MSR36" s="118"/>
      <c r="MSS36" s="118"/>
      <c r="MST36" s="118"/>
      <c r="MSU36" s="118"/>
      <c r="MSV36" s="118"/>
      <c r="MSW36" s="118"/>
      <c r="MSX36" s="118"/>
      <c r="MSY36" s="118"/>
      <c r="MSZ36" s="118"/>
      <c r="MTA36" s="118"/>
      <c r="MTB36" s="118"/>
      <c r="MTC36" s="118"/>
      <c r="MTD36" s="118"/>
      <c r="MTE36" s="118"/>
      <c r="MTF36" s="118"/>
      <c r="MTG36" s="118"/>
      <c r="MTH36" s="118"/>
      <c r="MTI36" s="118"/>
      <c r="MTJ36" s="118"/>
      <c r="MTK36" s="118"/>
      <c r="MTL36" s="118"/>
      <c r="MTM36" s="118"/>
      <c r="MTN36" s="118"/>
      <c r="MTO36" s="118"/>
      <c r="MTP36" s="118"/>
      <c r="MTQ36" s="118"/>
      <c r="MTR36" s="118"/>
      <c r="MTS36" s="118"/>
      <c r="MTT36" s="118"/>
      <c r="MTU36" s="118"/>
      <c r="MTV36" s="118"/>
      <c r="MTW36" s="118"/>
      <c r="MTX36" s="118"/>
      <c r="MTY36" s="118"/>
      <c r="MTZ36" s="118"/>
      <c r="MUA36" s="118"/>
      <c r="MUB36" s="118"/>
      <c r="MUC36" s="118"/>
      <c r="MUD36" s="118"/>
      <c r="MUE36" s="118"/>
      <c r="MUF36" s="118"/>
      <c r="MUG36" s="118"/>
      <c r="MUH36" s="118"/>
      <c r="MUI36" s="118"/>
      <c r="MUJ36" s="118"/>
      <c r="MUK36" s="118"/>
      <c r="MUL36" s="118"/>
      <c r="MUM36" s="118"/>
      <c r="MUN36" s="118"/>
      <c r="MUO36" s="118"/>
      <c r="MUP36" s="118"/>
      <c r="MUQ36" s="118"/>
      <c r="MUR36" s="118"/>
      <c r="MUS36" s="118"/>
      <c r="MUT36" s="118"/>
      <c r="MUU36" s="118"/>
      <c r="MUV36" s="118"/>
      <c r="MUW36" s="118"/>
      <c r="MUX36" s="118"/>
      <c r="MUY36" s="118"/>
      <c r="MUZ36" s="118"/>
      <c r="MVA36" s="118"/>
      <c r="MVB36" s="118"/>
      <c r="MVC36" s="118"/>
      <c r="MVD36" s="118"/>
      <c r="MVE36" s="118"/>
      <c r="MVF36" s="118"/>
      <c r="MVG36" s="118"/>
      <c r="MVH36" s="118"/>
      <c r="MVI36" s="118"/>
      <c r="MVJ36" s="118"/>
      <c r="MVK36" s="118"/>
      <c r="MVL36" s="118"/>
      <c r="MVM36" s="118"/>
      <c r="MVN36" s="118"/>
      <c r="MVO36" s="118"/>
      <c r="MVP36" s="118"/>
      <c r="MVQ36" s="118"/>
      <c r="MVR36" s="118"/>
      <c r="MVS36" s="118"/>
      <c r="MVT36" s="118"/>
      <c r="MVU36" s="118"/>
      <c r="MVV36" s="118"/>
      <c r="MVW36" s="118"/>
      <c r="MVX36" s="118"/>
      <c r="MVY36" s="118"/>
      <c r="MVZ36" s="118"/>
      <c r="MWA36" s="118"/>
      <c r="MWB36" s="118"/>
      <c r="MWC36" s="118"/>
      <c r="MWD36" s="118"/>
      <c r="MWE36" s="118"/>
      <c r="MWF36" s="118"/>
      <c r="MWG36" s="118"/>
      <c r="MWH36" s="118"/>
      <c r="MWI36" s="118"/>
      <c r="MWJ36" s="118"/>
      <c r="MWK36" s="118"/>
      <c r="MWL36" s="118"/>
      <c r="MWM36" s="118"/>
      <c r="MWN36" s="118"/>
      <c r="MWO36" s="118"/>
      <c r="MWP36" s="118"/>
      <c r="MWQ36" s="118"/>
      <c r="MWR36" s="118"/>
      <c r="MWS36" s="118"/>
      <c r="MWT36" s="118"/>
      <c r="MWU36" s="118"/>
      <c r="MWV36" s="118"/>
      <c r="MWW36" s="118"/>
      <c r="MWX36" s="118"/>
      <c r="MWY36" s="118"/>
      <c r="MWZ36" s="118"/>
      <c r="MXA36" s="118"/>
      <c r="MXB36" s="118"/>
      <c r="MXC36" s="118"/>
      <c r="MXD36" s="118"/>
      <c r="MXE36" s="118"/>
      <c r="MXF36" s="118"/>
      <c r="MXG36" s="118"/>
      <c r="MXH36" s="118"/>
      <c r="MXI36" s="118"/>
      <c r="MXJ36" s="118"/>
      <c r="MXK36" s="118"/>
      <c r="MXL36" s="118"/>
      <c r="MXM36" s="118"/>
      <c r="MXN36" s="118"/>
      <c r="MXO36" s="118"/>
      <c r="MXP36" s="118"/>
      <c r="MXQ36" s="118"/>
      <c r="MXR36" s="118"/>
      <c r="MXS36" s="118"/>
      <c r="MXT36" s="118"/>
      <c r="MXU36" s="118"/>
      <c r="MXV36" s="118"/>
      <c r="MXW36" s="118"/>
      <c r="MXX36" s="118"/>
      <c r="MXY36" s="118"/>
      <c r="MXZ36" s="118"/>
      <c r="MYA36" s="118"/>
      <c r="MYB36" s="118"/>
      <c r="MYC36" s="118"/>
      <c r="MYD36" s="118"/>
      <c r="MYE36" s="118"/>
      <c r="MYF36" s="118"/>
      <c r="MYG36" s="118"/>
      <c r="MYH36" s="118"/>
      <c r="MYI36" s="118"/>
      <c r="MYJ36" s="118"/>
      <c r="MYK36" s="118"/>
      <c r="MYL36" s="118"/>
      <c r="MYM36" s="118"/>
      <c r="MYN36" s="118"/>
      <c r="MYO36" s="118"/>
      <c r="MYP36" s="118"/>
      <c r="MYQ36" s="118"/>
      <c r="MYR36" s="118"/>
      <c r="MYS36" s="118"/>
      <c r="MYT36" s="118"/>
      <c r="MYU36" s="118"/>
      <c r="MYV36" s="118"/>
      <c r="MYW36" s="118"/>
      <c r="MYX36" s="118"/>
      <c r="MYY36" s="118"/>
      <c r="MYZ36" s="118"/>
      <c r="MZA36" s="118"/>
      <c r="MZB36" s="118"/>
      <c r="MZC36" s="118"/>
      <c r="MZD36" s="118"/>
      <c r="MZE36" s="118"/>
      <c r="MZF36" s="118"/>
      <c r="MZG36" s="118"/>
      <c r="MZH36" s="118"/>
      <c r="MZI36" s="118"/>
      <c r="MZJ36" s="118"/>
      <c r="MZK36" s="118"/>
      <c r="MZL36" s="118"/>
      <c r="MZM36" s="118"/>
      <c r="MZN36" s="118"/>
      <c r="MZO36" s="118"/>
      <c r="MZP36" s="118"/>
      <c r="MZQ36" s="118"/>
      <c r="MZR36" s="118"/>
      <c r="MZS36" s="118"/>
      <c r="MZT36" s="118"/>
      <c r="MZU36" s="118"/>
      <c r="MZV36" s="118"/>
      <c r="MZW36" s="118"/>
      <c r="MZX36" s="118"/>
      <c r="MZY36" s="118"/>
      <c r="MZZ36" s="118"/>
      <c r="NAA36" s="118"/>
      <c r="NAB36" s="118"/>
      <c r="NAC36" s="118"/>
      <c r="NAD36" s="118"/>
      <c r="NAE36" s="118"/>
      <c r="NAF36" s="118"/>
      <c r="NAG36" s="118"/>
      <c r="NAH36" s="118"/>
      <c r="NAI36" s="118"/>
      <c r="NAJ36" s="118"/>
      <c r="NAK36" s="118"/>
      <c r="NAL36" s="118"/>
      <c r="NAM36" s="118"/>
      <c r="NAN36" s="118"/>
      <c r="NAO36" s="118"/>
      <c r="NAP36" s="118"/>
      <c r="NAQ36" s="118"/>
      <c r="NAR36" s="118"/>
      <c r="NAS36" s="118"/>
      <c r="NAT36" s="118"/>
      <c r="NAU36" s="118"/>
      <c r="NAV36" s="118"/>
      <c r="NAW36" s="118"/>
      <c r="NAX36" s="118"/>
      <c r="NAY36" s="118"/>
      <c r="NAZ36" s="118"/>
      <c r="NBA36" s="118"/>
      <c r="NBB36" s="118"/>
      <c r="NBC36" s="118"/>
      <c r="NBD36" s="118"/>
      <c r="NBE36" s="118"/>
      <c r="NBF36" s="118"/>
      <c r="NBG36" s="118"/>
      <c r="NBH36" s="118"/>
      <c r="NBI36" s="118"/>
      <c r="NBJ36" s="118"/>
      <c r="NBK36" s="118"/>
      <c r="NBL36" s="118"/>
      <c r="NBM36" s="118"/>
      <c r="NBN36" s="118"/>
      <c r="NBO36" s="118"/>
      <c r="NBP36" s="118"/>
      <c r="NBQ36" s="118"/>
      <c r="NBR36" s="118"/>
      <c r="NBS36" s="118"/>
      <c r="NBT36" s="118"/>
      <c r="NBU36" s="118"/>
      <c r="NBV36" s="118"/>
      <c r="NBW36" s="118"/>
      <c r="NBX36" s="118"/>
      <c r="NBY36" s="118"/>
      <c r="NBZ36" s="118"/>
      <c r="NCA36" s="118"/>
      <c r="NCB36" s="118"/>
      <c r="NCC36" s="118"/>
      <c r="NCD36" s="118"/>
      <c r="NCE36" s="118"/>
      <c r="NCF36" s="118"/>
      <c r="NCG36" s="118"/>
      <c r="NCH36" s="118"/>
      <c r="NCI36" s="118"/>
      <c r="NCJ36" s="118"/>
      <c r="NCK36" s="118"/>
      <c r="NCL36" s="118"/>
      <c r="NCM36" s="118"/>
      <c r="NCN36" s="118"/>
      <c r="NCO36" s="118"/>
      <c r="NCP36" s="118"/>
      <c r="NCQ36" s="118"/>
      <c r="NCR36" s="118"/>
      <c r="NCS36" s="118"/>
      <c r="NCT36" s="118"/>
      <c r="NCU36" s="118"/>
      <c r="NCV36" s="118"/>
      <c r="NCW36" s="118"/>
      <c r="NCX36" s="118"/>
      <c r="NCY36" s="118"/>
      <c r="NCZ36" s="118"/>
      <c r="NDA36" s="118"/>
      <c r="NDB36" s="118"/>
      <c r="NDC36" s="118"/>
      <c r="NDD36" s="118"/>
      <c r="NDE36" s="118"/>
      <c r="NDF36" s="118"/>
      <c r="NDG36" s="118"/>
      <c r="NDH36" s="118"/>
      <c r="NDI36" s="118"/>
      <c r="NDJ36" s="118"/>
      <c r="NDK36" s="118"/>
      <c r="NDL36" s="118"/>
      <c r="NDM36" s="118"/>
      <c r="NDN36" s="118"/>
      <c r="NDO36" s="118"/>
      <c r="NDP36" s="118"/>
      <c r="NDQ36" s="118"/>
      <c r="NDR36" s="118"/>
      <c r="NDS36" s="118"/>
      <c r="NDT36" s="118"/>
      <c r="NDU36" s="118"/>
      <c r="NDV36" s="118"/>
      <c r="NDW36" s="118"/>
      <c r="NDX36" s="118"/>
      <c r="NDY36" s="118"/>
      <c r="NDZ36" s="118"/>
      <c r="NEA36" s="118"/>
      <c r="NEB36" s="118"/>
      <c r="NEC36" s="118"/>
      <c r="NED36" s="118"/>
      <c r="NEE36" s="118"/>
      <c r="NEF36" s="118"/>
      <c r="NEG36" s="118"/>
      <c r="NEH36" s="118"/>
      <c r="NEI36" s="118"/>
      <c r="NEJ36" s="118"/>
      <c r="NEK36" s="118"/>
      <c r="NEL36" s="118"/>
      <c r="NEM36" s="118"/>
      <c r="NEN36" s="118"/>
      <c r="NEO36" s="118"/>
      <c r="NEP36" s="118"/>
      <c r="NEQ36" s="118"/>
      <c r="NER36" s="118"/>
      <c r="NES36" s="118"/>
      <c r="NET36" s="118"/>
      <c r="NEU36" s="118"/>
      <c r="NEV36" s="118"/>
      <c r="NEW36" s="118"/>
      <c r="NEX36" s="118"/>
      <c r="NEY36" s="118"/>
      <c r="NEZ36" s="118"/>
      <c r="NFA36" s="118"/>
      <c r="NFB36" s="118"/>
      <c r="NFC36" s="118"/>
      <c r="NFD36" s="118"/>
      <c r="NFE36" s="118"/>
      <c r="NFF36" s="118"/>
      <c r="NFG36" s="118"/>
      <c r="NFH36" s="118"/>
      <c r="NFI36" s="118"/>
      <c r="NFJ36" s="118"/>
      <c r="NFK36" s="118"/>
      <c r="NFL36" s="118"/>
      <c r="NFM36" s="118"/>
      <c r="NFN36" s="118"/>
      <c r="NFO36" s="118"/>
      <c r="NFP36" s="118"/>
      <c r="NFQ36" s="118"/>
      <c r="NFR36" s="118"/>
      <c r="NFS36" s="118"/>
      <c r="NFT36" s="118"/>
      <c r="NFU36" s="118"/>
      <c r="NFV36" s="118"/>
      <c r="NFW36" s="118"/>
      <c r="NFX36" s="118"/>
      <c r="NFY36" s="118"/>
      <c r="NFZ36" s="118"/>
      <c r="NGA36" s="118"/>
      <c r="NGB36" s="118"/>
      <c r="NGC36" s="118"/>
      <c r="NGD36" s="118"/>
      <c r="NGE36" s="118"/>
      <c r="NGF36" s="118"/>
      <c r="NGG36" s="118"/>
      <c r="NGH36" s="118"/>
      <c r="NGI36" s="118"/>
      <c r="NGJ36" s="118"/>
      <c r="NGK36" s="118"/>
      <c r="NGL36" s="118"/>
      <c r="NGM36" s="118"/>
      <c r="NGN36" s="118"/>
      <c r="NGO36" s="118"/>
      <c r="NGP36" s="118"/>
      <c r="NGQ36" s="118"/>
      <c r="NGR36" s="118"/>
      <c r="NGS36" s="118"/>
      <c r="NGT36" s="118"/>
      <c r="NGU36" s="118"/>
      <c r="NGV36" s="118"/>
      <c r="NGW36" s="118"/>
      <c r="NGX36" s="118"/>
      <c r="NGY36" s="118"/>
      <c r="NGZ36" s="118"/>
      <c r="NHA36" s="118"/>
      <c r="NHB36" s="118"/>
      <c r="NHC36" s="118"/>
      <c r="NHD36" s="118"/>
      <c r="NHE36" s="118"/>
      <c r="NHF36" s="118"/>
      <c r="NHG36" s="118"/>
      <c r="NHH36" s="118"/>
      <c r="NHI36" s="118"/>
      <c r="NHJ36" s="118"/>
      <c r="NHK36" s="118"/>
      <c r="NHL36" s="118"/>
      <c r="NHM36" s="118"/>
      <c r="NHN36" s="118"/>
      <c r="NHO36" s="118"/>
      <c r="NHP36" s="118"/>
      <c r="NHQ36" s="118"/>
      <c r="NHR36" s="118"/>
      <c r="NHS36" s="118"/>
      <c r="NHT36" s="118"/>
      <c r="NHU36" s="118"/>
      <c r="NHV36" s="118"/>
      <c r="NHW36" s="118"/>
      <c r="NHX36" s="118"/>
      <c r="NHY36" s="118"/>
      <c r="NHZ36" s="118"/>
      <c r="NIA36" s="118"/>
      <c r="NIB36" s="118"/>
      <c r="NIC36" s="118"/>
      <c r="NID36" s="118"/>
      <c r="NIE36" s="118"/>
      <c r="NIF36" s="118"/>
      <c r="NIG36" s="118"/>
      <c r="NIH36" s="118"/>
      <c r="NII36" s="118"/>
      <c r="NIJ36" s="118"/>
      <c r="NIK36" s="118"/>
      <c r="NIL36" s="118"/>
      <c r="NIM36" s="118"/>
      <c r="NIN36" s="118"/>
      <c r="NIO36" s="118"/>
      <c r="NIP36" s="118"/>
      <c r="NIQ36" s="118"/>
      <c r="NIR36" s="118"/>
      <c r="NIS36" s="118"/>
      <c r="NIT36" s="118"/>
      <c r="NIU36" s="118"/>
      <c r="NIV36" s="118"/>
      <c r="NIW36" s="118"/>
      <c r="NIX36" s="118"/>
      <c r="NIY36" s="118"/>
      <c r="NIZ36" s="118"/>
      <c r="NJA36" s="118"/>
      <c r="NJB36" s="118"/>
      <c r="NJC36" s="118"/>
      <c r="NJD36" s="118"/>
      <c r="NJE36" s="118"/>
      <c r="NJF36" s="118"/>
      <c r="NJG36" s="118"/>
      <c r="NJH36" s="118"/>
      <c r="NJI36" s="118"/>
      <c r="NJJ36" s="118"/>
      <c r="NJK36" s="118"/>
      <c r="NJL36" s="118"/>
      <c r="NJM36" s="118"/>
      <c r="NJN36" s="118"/>
      <c r="NJO36" s="118"/>
      <c r="NJP36" s="118"/>
      <c r="NJQ36" s="118"/>
      <c r="NJR36" s="118"/>
      <c r="NJS36" s="118"/>
      <c r="NJT36" s="118"/>
      <c r="NJU36" s="118"/>
      <c r="NJV36" s="118"/>
      <c r="NJW36" s="118"/>
      <c r="NJX36" s="118"/>
      <c r="NJY36" s="118"/>
      <c r="NJZ36" s="118"/>
      <c r="NKA36" s="118"/>
      <c r="NKB36" s="118"/>
      <c r="NKC36" s="118"/>
      <c r="NKD36" s="118"/>
      <c r="NKE36" s="118"/>
      <c r="NKF36" s="118"/>
      <c r="NKG36" s="118"/>
      <c r="NKH36" s="118"/>
      <c r="NKI36" s="118"/>
      <c r="NKJ36" s="118"/>
      <c r="NKK36" s="118"/>
      <c r="NKL36" s="118"/>
      <c r="NKM36" s="118"/>
      <c r="NKN36" s="118"/>
      <c r="NKO36" s="118"/>
      <c r="NKP36" s="118"/>
      <c r="NKQ36" s="118"/>
      <c r="NKR36" s="118"/>
      <c r="NKS36" s="118"/>
      <c r="NKT36" s="118"/>
      <c r="NKU36" s="118"/>
      <c r="NKV36" s="118"/>
      <c r="NKW36" s="118"/>
      <c r="NKX36" s="118"/>
      <c r="NKY36" s="118"/>
      <c r="NKZ36" s="118"/>
      <c r="NLA36" s="118"/>
      <c r="NLB36" s="118"/>
      <c r="NLC36" s="118"/>
      <c r="NLD36" s="118"/>
      <c r="NLE36" s="118"/>
      <c r="NLF36" s="118"/>
      <c r="NLG36" s="118"/>
      <c r="NLH36" s="118"/>
      <c r="NLI36" s="118"/>
      <c r="NLJ36" s="118"/>
      <c r="NLK36" s="118"/>
      <c r="NLL36" s="118"/>
      <c r="NLM36" s="118"/>
      <c r="NLN36" s="118"/>
      <c r="NLO36" s="118"/>
      <c r="NLP36" s="118"/>
      <c r="NLQ36" s="118"/>
      <c r="NLR36" s="118"/>
      <c r="NLS36" s="118"/>
      <c r="NLT36" s="118"/>
      <c r="NLU36" s="118"/>
      <c r="NLV36" s="118"/>
      <c r="NLW36" s="118"/>
      <c r="NLX36" s="118"/>
      <c r="NLY36" s="118"/>
      <c r="NLZ36" s="118"/>
      <c r="NMA36" s="118"/>
      <c r="NMB36" s="118"/>
      <c r="NMC36" s="118"/>
      <c r="NMD36" s="118"/>
      <c r="NME36" s="118"/>
      <c r="NMF36" s="118"/>
      <c r="NMG36" s="118"/>
      <c r="NMH36" s="118"/>
      <c r="NMI36" s="118"/>
      <c r="NMJ36" s="118"/>
      <c r="NMK36" s="118"/>
      <c r="NML36" s="118"/>
      <c r="NMM36" s="118"/>
      <c r="NMN36" s="118"/>
      <c r="NMO36" s="118"/>
      <c r="NMP36" s="118"/>
      <c r="NMQ36" s="118"/>
      <c r="NMR36" s="118"/>
      <c r="NMS36" s="118"/>
      <c r="NMT36" s="118"/>
      <c r="NMU36" s="118"/>
      <c r="NMV36" s="118"/>
      <c r="NMW36" s="118"/>
      <c r="NMX36" s="118"/>
      <c r="NMY36" s="118"/>
      <c r="NMZ36" s="118"/>
      <c r="NNA36" s="118"/>
      <c r="NNB36" s="118"/>
      <c r="NNC36" s="118"/>
      <c r="NND36" s="118"/>
      <c r="NNE36" s="118"/>
      <c r="NNF36" s="118"/>
      <c r="NNG36" s="118"/>
      <c r="NNH36" s="118"/>
      <c r="NNI36" s="118"/>
      <c r="NNJ36" s="118"/>
      <c r="NNK36" s="118"/>
      <c r="NNL36" s="118"/>
      <c r="NNM36" s="118"/>
      <c r="NNN36" s="118"/>
      <c r="NNO36" s="118"/>
      <c r="NNP36" s="118"/>
      <c r="NNQ36" s="118"/>
      <c r="NNR36" s="118"/>
      <c r="NNS36" s="118"/>
      <c r="NNT36" s="118"/>
      <c r="NNU36" s="118"/>
      <c r="NNV36" s="118"/>
      <c r="NNW36" s="118"/>
      <c r="NNX36" s="118"/>
      <c r="NNY36" s="118"/>
      <c r="NNZ36" s="118"/>
      <c r="NOA36" s="118"/>
      <c r="NOB36" s="118"/>
      <c r="NOC36" s="118"/>
      <c r="NOD36" s="118"/>
      <c r="NOE36" s="118"/>
      <c r="NOF36" s="118"/>
      <c r="NOG36" s="118"/>
      <c r="NOH36" s="118"/>
      <c r="NOI36" s="118"/>
      <c r="NOJ36" s="118"/>
      <c r="NOK36" s="118"/>
      <c r="NOL36" s="118"/>
      <c r="NOM36" s="118"/>
      <c r="NON36" s="118"/>
      <c r="NOO36" s="118"/>
      <c r="NOP36" s="118"/>
      <c r="NOQ36" s="118"/>
      <c r="NOR36" s="118"/>
      <c r="NOS36" s="118"/>
      <c r="NOT36" s="118"/>
      <c r="NOU36" s="118"/>
      <c r="NOV36" s="118"/>
      <c r="NOW36" s="118"/>
      <c r="NOX36" s="118"/>
      <c r="NOY36" s="118"/>
      <c r="NOZ36" s="118"/>
      <c r="NPA36" s="118"/>
      <c r="NPB36" s="118"/>
      <c r="NPC36" s="118"/>
      <c r="NPD36" s="118"/>
      <c r="NPE36" s="118"/>
      <c r="NPF36" s="118"/>
      <c r="NPG36" s="118"/>
      <c r="NPH36" s="118"/>
      <c r="NPI36" s="118"/>
      <c r="NPJ36" s="118"/>
      <c r="NPK36" s="118"/>
      <c r="NPL36" s="118"/>
      <c r="NPM36" s="118"/>
      <c r="NPN36" s="118"/>
      <c r="NPO36" s="118"/>
      <c r="NPP36" s="118"/>
      <c r="NPQ36" s="118"/>
      <c r="NPR36" s="118"/>
      <c r="NPS36" s="118"/>
      <c r="NPT36" s="118"/>
      <c r="NPU36" s="118"/>
      <c r="NPV36" s="118"/>
      <c r="NPW36" s="118"/>
      <c r="NPX36" s="118"/>
      <c r="NPY36" s="118"/>
      <c r="NPZ36" s="118"/>
      <c r="NQA36" s="118"/>
      <c r="NQB36" s="118"/>
      <c r="NQC36" s="118"/>
      <c r="NQD36" s="118"/>
      <c r="NQE36" s="118"/>
      <c r="NQF36" s="118"/>
      <c r="NQG36" s="118"/>
      <c r="NQH36" s="118"/>
      <c r="NQI36" s="118"/>
      <c r="NQJ36" s="118"/>
      <c r="NQK36" s="118"/>
      <c r="NQL36" s="118"/>
      <c r="NQM36" s="118"/>
      <c r="NQN36" s="118"/>
      <c r="NQO36" s="118"/>
      <c r="NQP36" s="118"/>
      <c r="NQQ36" s="118"/>
      <c r="NQR36" s="118"/>
      <c r="NQS36" s="118"/>
      <c r="NQT36" s="118"/>
      <c r="NQU36" s="118"/>
      <c r="NQV36" s="118"/>
      <c r="NQW36" s="118"/>
      <c r="NQX36" s="118"/>
      <c r="NQY36" s="118"/>
      <c r="NQZ36" s="118"/>
      <c r="NRA36" s="118"/>
      <c r="NRB36" s="118"/>
      <c r="NRC36" s="118"/>
      <c r="NRD36" s="118"/>
      <c r="NRE36" s="118"/>
      <c r="NRF36" s="118"/>
      <c r="NRG36" s="118"/>
      <c r="NRH36" s="118"/>
      <c r="NRI36" s="118"/>
      <c r="NRJ36" s="118"/>
      <c r="NRK36" s="118"/>
      <c r="NRL36" s="118"/>
      <c r="NRM36" s="118"/>
      <c r="NRN36" s="118"/>
      <c r="NRO36" s="118"/>
      <c r="NRP36" s="118"/>
      <c r="NRQ36" s="118"/>
      <c r="NRR36" s="118"/>
      <c r="NRS36" s="118"/>
      <c r="NRT36" s="118"/>
      <c r="NRU36" s="118"/>
      <c r="NRV36" s="118"/>
      <c r="NRW36" s="118"/>
      <c r="NRX36" s="118"/>
      <c r="NRY36" s="118"/>
      <c r="NRZ36" s="118"/>
      <c r="NSA36" s="118"/>
      <c r="NSB36" s="118"/>
      <c r="NSC36" s="118"/>
      <c r="NSD36" s="118"/>
      <c r="NSE36" s="118"/>
      <c r="NSF36" s="118"/>
      <c r="NSG36" s="118"/>
      <c r="NSH36" s="118"/>
      <c r="NSI36" s="118"/>
      <c r="NSJ36" s="118"/>
      <c r="NSK36" s="118"/>
      <c r="NSL36" s="118"/>
      <c r="NSM36" s="118"/>
      <c r="NSN36" s="118"/>
      <c r="NSO36" s="118"/>
      <c r="NSP36" s="118"/>
      <c r="NSQ36" s="118"/>
      <c r="NSR36" s="118"/>
      <c r="NSS36" s="118"/>
      <c r="NST36" s="118"/>
      <c r="NSU36" s="118"/>
      <c r="NSV36" s="118"/>
      <c r="NSW36" s="118"/>
      <c r="NSX36" s="118"/>
      <c r="NSY36" s="118"/>
      <c r="NSZ36" s="118"/>
      <c r="NTA36" s="118"/>
      <c r="NTB36" s="118"/>
      <c r="NTC36" s="118"/>
      <c r="NTD36" s="118"/>
      <c r="NTE36" s="118"/>
      <c r="NTF36" s="118"/>
      <c r="NTG36" s="118"/>
      <c r="NTH36" s="118"/>
      <c r="NTI36" s="118"/>
      <c r="NTJ36" s="118"/>
      <c r="NTK36" s="118"/>
      <c r="NTL36" s="118"/>
      <c r="NTM36" s="118"/>
      <c r="NTN36" s="118"/>
      <c r="NTO36" s="118"/>
      <c r="NTP36" s="118"/>
      <c r="NTQ36" s="118"/>
      <c r="NTR36" s="118"/>
      <c r="NTS36" s="118"/>
      <c r="NTT36" s="118"/>
      <c r="NTU36" s="118"/>
      <c r="NTV36" s="118"/>
      <c r="NTW36" s="118"/>
      <c r="NTX36" s="118"/>
      <c r="NTY36" s="118"/>
      <c r="NTZ36" s="118"/>
      <c r="NUA36" s="118"/>
      <c r="NUB36" s="118"/>
      <c r="NUC36" s="118"/>
      <c r="NUD36" s="118"/>
      <c r="NUE36" s="118"/>
      <c r="NUF36" s="118"/>
      <c r="NUG36" s="118"/>
      <c r="NUH36" s="118"/>
      <c r="NUI36" s="118"/>
      <c r="NUJ36" s="118"/>
      <c r="NUK36" s="118"/>
      <c r="NUL36" s="118"/>
      <c r="NUM36" s="118"/>
      <c r="NUN36" s="118"/>
      <c r="NUO36" s="118"/>
      <c r="NUP36" s="118"/>
      <c r="NUQ36" s="118"/>
      <c r="NUR36" s="118"/>
      <c r="NUS36" s="118"/>
      <c r="NUT36" s="118"/>
      <c r="NUU36" s="118"/>
      <c r="NUV36" s="118"/>
      <c r="NUW36" s="118"/>
      <c r="NUX36" s="118"/>
      <c r="NUY36" s="118"/>
      <c r="NUZ36" s="118"/>
      <c r="NVA36" s="118"/>
      <c r="NVB36" s="118"/>
      <c r="NVC36" s="118"/>
      <c r="NVD36" s="118"/>
      <c r="NVE36" s="118"/>
      <c r="NVF36" s="118"/>
      <c r="NVG36" s="118"/>
      <c r="NVH36" s="118"/>
      <c r="NVI36" s="118"/>
      <c r="NVJ36" s="118"/>
      <c r="NVK36" s="118"/>
      <c r="NVL36" s="118"/>
      <c r="NVM36" s="118"/>
      <c r="NVN36" s="118"/>
      <c r="NVO36" s="118"/>
      <c r="NVP36" s="118"/>
      <c r="NVQ36" s="118"/>
      <c r="NVR36" s="118"/>
      <c r="NVS36" s="118"/>
      <c r="NVT36" s="118"/>
      <c r="NVU36" s="118"/>
      <c r="NVV36" s="118"/>
      <c r="NVW36" s="118"/>
      <c r="NVX36" s="118"/>
      <c r="NVY36" s="118"/>
      <c r="NVZ36" s="118"/>
      <c r="NWA36" s="118"/>
      <c r="NWB36" s="118"/>
      <c r="NWC36" s="118"/>
      <c r="NWD36" s="118"/>
      <c r="NWE36" s="118"/>
      <c r="NWF36" s="118"/>
      <c r="NWG36" s="118"/>
      <c r="NWH36" s="118"/>
      <c r="NWI36" s="118"/>
      <c r="NWJ36" s="118"/>
      <c r="NWK36" s="118"/>
      <c r="NWL36" s="118"/>
      <c r="NWM36" s="118"/>
      <c r="NWN36" s="118"/>
      <c r="NWO36" s="118"/>
      <c r="NWP36" s="118"/>
      <c r="NWQ36" s="118"/>
      <c r="NWR36" s="118"/>
      <c r="NWS36" s="118"/>
      <c r="NWT36" s="118"/>
      <c r="NWU36" s="118"/>
      <c r="NWV36" s="118"/>
      <c r="NWW36" s="118"/>
      <c r="NWX36" s="118"/>
      <c r="NWY36" s="118"/>
      <c r="NWZ36" s="118"/>
      <c r="NXA36" s="118"/>
      <c r="NXB36" s="118"/>
      <c r="NXC36" s="118"/>
      <c r="NXD36" s="118"/>
      <c r="NXE36" s="118"/>
      <c r="NXF36" s="118"/>
      <c r="NXG36" s="118"/>
      <c r="NXH36" s="118"/>
      <c r="NXI36" s="118"/>
      <c r="NXJ36" s="118"/>
      <c r="NXK36" s="118"/>
      <c r="NXL36" s="118"/>
      <c r="NXM36" s="118"/>
      <c r="NXN36" s="118"/>
      <c r="NXO36" s="118"/>
      <c r="NXP36" s="118"/>
      <c r="NXQ36" s="118"/>
      <c r="NXR36" s="118"/>
      <c r="NXS36" s="118"/>
      <c r="NXT36" s="118"/>
      <c r="NXU36" s="118"/>
      <c r="NXV36" s="118"/>
      <c r="NXW36" s="118"/>
      <c r="NXX36" s="118"/>
      <c r="NXY36" s="118"/>
      <c r="NXZ36" s="118"/>
      <c r="NYA36" s="118"/>
      <c r="NYB36" s="118"/>
      <c r="NYC36" s="118"/>
      <c r="NYD36" s="118"/>
      <c r="NYE36" s="118"/>
      <c r="NYF36" s="118"/>
      <c r="NYG36" s="118"/>
      <c r="NYH36" s="118"/>
      <c r="NYI36" s="118"/>
      <c r="NYJ36" s="118"/>
      <c r="NYK36" s="118"/>
      <c r="NYL36" s="118"/>
      <c r="NYM36" s="118"/>
      <c r="NYN36" s="118"/>
      <c r="NYO36" s="118"/>
      <c r="NYP36" s="118"/>
      <c r="NYQ36" s="118"/>
      <c r="NYR36" s="118"/>
      <c r="NYS36" s="118"/>
      <c r="NYT36" s="118"/>
      <c r="NYU36" s="118"/>
      <c r="NYV36" s="118"/>
      <c r="NYW36" s="118"/>
      <c r="NYX36" s="118"/>
      <c r="NYY36" s="118"/>
      <c r="NYZ36" s="118"/>
      <c r="NZA36" s="118"/>
      <c r="NZB36" s="118"/>
      <c r="NZC36" s="118"/>
      <c r="NZD36" s="118"/>
      <c r="NZE36" s="118"/>
      <c r="NZF36" s="118"/>
      <c r="NZG36" s="118"/>
      <c r="NZH36" s="118"/>
      <c r="NZI36" s="118"/>
      <c r="NZJ36" s="118"/>
      <c r="NZK36" s="118"/>
      <c r="NZL36" s="118"/>
      <c r="NZM36" s="118"/>
      <c r="NZN36" s="118"/>
      <c r="NZO36" s="118"/>
      <c r="NZP36" s="118"/>
      <c r="NZQ36" s="118"/>
      <c r="NZR36" s="118"/>
      <c r="NZS36" s="118"/>
      <c r="NZT36" s="118"/>
      <c r="NZU36" s="118"/>
      <c r="NZV36" s="118"/>
      <c r="NZW36" s="118"/>
      <c r="NZX36" s="118"/>
      <c r="NZY36" s="118"/>
      <c r="NZZ36" s="118"/>
      <c r="OAA36" s="118"/>
      <c r="OAB36" s="118"/>
      <c r="OAC36" s="118"/>
      <c r="OAD36" s="118"/>
      <c r="OAE36" s="118"/>
      <c r="OAF36" s="118"/>
      <c r="OAG36" s="118"/>
      <c r="OAH36" s="118"/>
      <c r="OAI36" s="118"/>
      <c r="OAJ36" s="118"/>
      <c r="OAK36" s="118"/>
      <c r="OAL36" s="118"/>
      <c r="OAM36" s="118"/>
      <c r="OAN36" s="118"/>
      <c r="OAO36" s="118"/>
      <c r="OAP36" s="118"/>
      <c r="OAQ36" s="118"/>
      <c r="OAR36" s="118"/>
      <c r="OAS36" s="118"/>
      <c r="OAT36" s="118"/>
      <c r="OAU36" s="118"/>
      <c r="OAV36" s="118"/>
      <c r="OAW36" s="118"/>
      <c r="OAX36" s="118"/>
      <c r="OAY36" s="118"/>
      <c r="OAZ36" s="118"/>
      <c r="OBA36" s="118"/>
      <c r="OBB36" s="118"/>
      <c r="OBC36" s="118"/>
      <c r="OBD36" s="118"/>
      <c r="OBE36" s="118"/>
      <c r="OBF36" s="118"/>
      <c r="OBG36" s="118"/>
      <c r="OBH36" s="118"/>
      <c r="OBI36" s="118"/>
      <c r="OBJ36" s="118"/>
      <c r="OBK36" s="118"/>
      <c r="OBL36" s="118"/>
      <c r="OBM36" s="118"/>
      <c r="OBN36" s="118"/>
      <c r="OBO36" s="118"/>
      <c r="OBP36" s="118"/>
      <c r="OBQ36" s="118"/>
      <c r="OBR36" s="118"/>
      <c r="OBS36" s="118"/>
      <c r="OBT36" s="118"/>
      <c r="OBU36" s="118"/>
      <c r="OBV36" s="118"/>
      <c r="OBW36" s="118"/>
      <c r="OBX36" s="118"/>
      <c r="OBY36" s="118"/>
      <c r="OBZ36" s="118"/>
      <c r="OCA36" s="118"/>
      <c r="OCB36" s="118"/>
      <c r="OCC36" s="118"/>
      <c r="OCD36" s="118"/>
      <c r="OCE36" s="118"/>
      <c r="OCF36" s="118"/>
      <c r="OCG36" s="118"/>
      <c r="OCH36" s="118"/>
      <c r="OCI36" s="118"/>
      <c r="OCJ36" s="118"/>
      <c r="OCK36" s="118"/>
      <c r="OCL36" s="118"/>
      <c r="OCM36" s="118"/>
      <c r="OCN36" s="118"/>
      <c r="OCO36" s="118"/>
      <c r="OCP36" s="118"/>
      <c r="OCQ36" s="118"/>
      <c r="OCR36" s="118"/>
      <c r="OCS36" s="118"/>
      <c r="OCT36" s="118"/>
      <c r="OCU36" s="118"/>
      <c r="OCV36" s="118"/>
      <c r="OCW36" s="118"/>
      <c r="OCX36" s="118"/>
      <c r="OCY36" s="118"/>
      <c r="OCZ36" s="118"/>
      <c r="ODA36" s="118"/>
      <c r="ODB36" s="118"/>
      <c r="ODC36" s="118"/>
      <c r="ODD36" s="118"/>
      <c r="ODE36" s="118"/>
      <c r="ODF36" s="118"/>
      <c r="ODG36" s="118"/>
      <c r="ODH36" s="118"/>
      <c r="ODI36" s="118"/>
      <c r="ODJ36" s="118"/>
      <c r="ODK36" s="118"/>
      <c r="ODL36" s="118"/>
      <c r="ODM36" s="118"/>
      <c r="ODN36" s="118"/>
      <c r="ODO36" s="118"/>
      <c r="ODP36" s="118"/>
      <c r="ODQ36" s="118"/>
      <c r="ODR36" s="118"/>
      <c r="ODS36" s="118"/>
      <c r="ODT36" s="118"/>
      <c r="ODU36" s="118"/>
      <c r="ODV36" s="118"/>
      <c r="ODW36" s="118"/>
      <c r="ODX36" s="118"/>
      <c r="ODY36" s="118"/>
      <c r="ODZ36" s="118"/>
      <c r="OEA36" s="118"/>
      <c r="OEB36" s="118"/>
      <c r="OEC36" s="118"/>
      <c r="OED36" s="118"/>
      <c r="OEE36" s="118"/>
      <c r="OEF36" s="118"/>
      <c r="OEG36" s="118"/>
      <c r="OEH36" s="118"/>
      <c r="OEI36" s="118"/>
      <c r="OEJ36" s="118"/>
      <c r="OEK36" s="118"/>
      <c r="OEL36" s="118"/>
      <c r="OEM36" s="118"/>
      <c r="OEN36" s="118"/>
      <c r="OEO36" s="118"/>
      <c r="OEP36" s="118"/>
      <c r="OEQ36" s="118"/>
      <c r="OER36" s="118"/>
      <c r="OES36" s="118"/>
      <c r="OET36" s="118"/>
      <c r="OEU36" s="118"/>
      <c r="OEV36" s="118"/>
      <c r="OEW36" s="118"/>
      <c r="OEX36" s="118"/>
      <c r="OEY36" s="118"/>
      <c r="OEZ36" s="118"/>
      <c r="OFA36" s="118"/>
      <c r="OFB36" s="118"/>
      <c r="OFC36" s="118"/>
      <c r="OFD36" s="118"/>
      <c r="OFE36" s="118"/>
      <c r="OFF36" s="118"/>
      <c r="OFG36" s="118"/>
      <c r="OFH36" s="118"/>
      <c r="OFI36" s="118"/>
      <c r="OFJ36" s="118"/>
      <c r="OFK36" s="118"/>
      <c r="OFL36" s="118"/>
      <c r="OFM36" s="118"/>
      <c r="OFN36" s="118"/>
      <c r="OFO36" s="118"/>
      <c r="OFP36" s="118"/>
      <c r="OFQ36" s="118"/>
      <c r="OFR36" s="118"/>
      <c r="OFS36" s="118"/>
      <c r="OFT36" s="118"/>
      <c r="OFU36" s="118"/>
      <c r="OFV36" s="118"/>
      <c r="OFW36" s="118"/>
      <c r="OFX36" s="118"/>
      <c r="OFY36" s="118"/>
      <c r="OFZ36" s="118"/>
      <c r="OGA36" s="118"/>
      <c r="OGB36" s="118"/>
      <c r="OGC36" s="118"/>
      <c r="OGD36" s="118"/>
      <c r="OGE36" s="118"/>
      <c r="OGF36" s="118"/>
      <c r="OGG36" s="118"/>
      <c r="OGH36" s="118"/>
      <c r="OGI36" s="118"/>
      <c r="OGJ36" s="118"/>
      <c r="OGK36" s="118"/>
      <c r="OGL36" s="118"/>
      <c r="OGM36" s="118"/>
      <c r="OGN36" s="118"/>
      <c r="OGO36" s="118"/>
      <c r="OGP36" s="118"/>
      <c r="OGQ36" s="118"/>
      <c r="OGR36" s="118"/>
      <c r="OGS36" s="118"/>
      <c r="OGT36" s="118"/>
      <c r="OGU36" s="118"/>
      <c r="OGV36" s="118"/>
      <c r="OGW36" s="118"/>
      <c r="OGX36" s="118"/>
      <c r="OGY36" s="118"/>
      <c r="OGZ36" s="118"/>
      <c r="OHA36" s="118"/>
      <c r="OHB36" s="118"/>
      <c r="OHC36" s="118"/>
      <c r="OHD36" s="118"/>
      <c r="OHE36" s="118"/>
      <c r="OHF36" s="118"/>
      <c r="OHG36" s="118"/>
      <c r="OHH36" s="118"/>
      <c r="OHI36" s="118"/>
      <c r="OHJ36" s="118"/>
      <c r="OHK36" s="118"/>
      <c r="OHL36" s="118"/>
      <c r="OHM36" s="118"/>
      <c r="OHN36" s="118"/>
      <c r="OHO36" s="118"/>
      <c r="OHP36" s="118"/>
      <c r="OHQ36" s="118"/>
      <c r="OHR36" s="118"/>
      <c r="OHS36" s="118"/>
      <c r="OHT36" s="118"/>
      <c r="OHU36" s="118"/>
      <c r="OHV36" s="118"/>
      <c r="OHW36" s="118"/>
      <c r="OHX36" s="118"/>
      <c r="OHY36" s="118"/>
      <c r="OHZ36" s="118"/>
      <c r="OIA36" s="118"/>
      <c r="OIB36" s="118"/>
      <c r="OIC36" s="118"/>
      <c r="OID36" s="118"/>
      <c r="OIE36" s="118"/>
      <c r="OIF36" s="118"/>
      <c r="OIG36" s="118"/>
      <c r="OIH36" s="118"/>
      <c r="OII36" s="118"/>
      <c r="OIJ36" s="118"/>
      <c r="OIK36" s="118"/>
      <c r="OIL36" s="118"/>
      <c r="OIM36" s="118"/>
      <c r="OIN36" s="118"/>
      <c r="OIO36" s="118"/>
      <c r="OIP36" s="118"/>
      <c r="OIQ36" s="118"/>
      <c r="OIR36" s="118"/>
      <c r="OIS36" s="118"/>
      <c r="OIT36" s="118"/>
      <c r="OIU36" s="118"/>
      <c r="OIV36" s="118"/>
      <c r="OIW36" s="118"/>
      <c r="OIX36" s="118"/>
      <c r="OIY36" s="118"/>
      <c r="OIZ36" s="118"/>
      <c r="OJA36" s="118"/>
      <c r="OJB36" s="118"/>
      <c r="OJC36" s="118"/>
      <c r="OJD36" s="118"/>
      <c r="OJE36" s="118"/>
      <c r="OJF36" s="118"/>
      <c r="OJG36" s="118"/>
      <c r="OJH36" s="118"/>
      <c r="OJI36" s="118"/>
      <c r="OJJ36" s="118"/>
      <c r="OJK36" s="118"/>
      <c r="OJL36" s="118"/>
      <c r="OJM36" s="118"/>
      <c r="OJN36" s="118"/>
      <c r="OJO36" s="118"/>
      <c r="OJP36" s="118"/>
      <c r="OJQ36" s="118"/>
      <c r="OJR36" s="118"/>
      <c r="OJS36" s="118"/>
      <c r="OJT36" s="118"/>
      <c r="OJU36" s="118"/>
      <c r="OJV36" s="118"/>
      <c r="OJW36" s="118"/>
      <c r="OJX36" s="118"/>
      <c r="OJY36" s="118"/>
      <c r="OJZ36" s="118"/>
      <c r="OKA36" s="118"/>
      <c r="OKB36" s="118"/>
      <c r="OKC36" s="118"/>
      <c r="OKD36" s="118"/>
      <c r="OKE36" s="118"/>
      <c r="OKF36" s="118"/>
      <c r="OKG36" s="118"/>
      <c r="OKH36" s="118"/>
      <c r="OKI36" s="118"/>
      <c r="OKJ36" s="118"/>
      <c r="OKK36" s="118"/>
      <c r="OKL36" s="118"/>
      <c r="OKM36" s="118"/>
      <c r="OKN36" s="118"/>
      <c r="OKO36" s="118"/>
      <c r="OKP36" s="118"/>
      <c r="OKQ36" s="118"/>
      <c r="OKR36" s="118"/>
      <c r="OKS36" s="118"/>
      <c r="OKT36" s="118"/>
      <c r="OKU36" s="118"/>
      <c r="OKV36" s="118"/>
      <c r="OKW36" s="118"/>
      <c r="OKX36" s="118"/>
      <c r="OKY36" s="118"/>
      <c r="OKZ36" s="118"/>
      <c r="OLA36" s="118"/>
      <c r="OLB36" s="118"/>
      <c r="OLC36" s="118"/>
      <c r="OLD36" s="118"/>
      <c r="OLE36" s="118"/>
      <c r="OLF36" s="118"/>
      <c r="OLG36" s="118"/>
      <c r="OLH36" s="118"/>
      <c r="OLI36" s="118"/>
      <c r="OLJ36" s="118"/>
      <c r="OLK36" s="118"/>
      <c r="OLL36" s="118"/>
      <c r="OLM36" s="118"/>
      <c r="OLN36" s="118"/>
      <c r="OLO36" s="118"/>
      <c r="OLP36" s="118"/>
      <c r="OLQ36" s="118"/>
      <c r="OLR36" s="118"/>
      <c r="OLS36" s="118"/>
      <c r="OLT36" s="118"/>
      <c r="OLU36" s="118"/>
      <c r="OLV36" s="118"/>
      <c r="OLW36" s="118"/>
      <c r="OLX36" s="118"/>
      <c r="OLY36" s="118"/>
      <c r="OLZ36" s="118"/>
      <c r="OMA36" s="118"/>
      <c r="OMB36" s="118"/>
      <c r="OMC36" s="118"/>
      <c r="OMD36" s="118"/>
      <c r="OME36" s="118"/>
      <c r="OMF36" s="118"/>
      <c r="OMG36" s="118"/>
      <c r="OMH36" s="118"/>
      <c r="OMI36" s="118"/>
      <c r="OMJ36" s="118"/>
      <c r="OMK36" s="118"/>
      <c r="OML36" s="118"/>
      <c r="OMM36" s="118"/>
      <c r="OMN36" s="118"/>
      <c r="OMO36" s="118"/>
      <c r="OMP36" s="118"/>
      <c r="OMQ36" s="118"/>
      <c r="OMR36" s="118"/>
      <c r="OMS36" s="118"/>
      <c r="OMT36" s="118"/>
      <c r="OMU36" s="118"/>
      <c r="OMV36" s="118"/>
      <c r="OMW36" s="118"/>
      <c r="OMX36" s="118"/>
      <c r="OMY36" s="118"/>
      <c r="OMZ36" s="118"/>
      <c r="ONA36" s="118"/>
      <c r="ONB36" s="118"/>
      <c r="ONC36" s="118"/>
      <c r="OND36" s="118"/>
      <c r="ONE36" s="118"/>
      <c r="ONF36" s="118"/>
      <c r="ONG36" s="118"/>
      <c r="ONH36" s="118"/>
      <c r="ONI36" s="118"/>
      <c r="ONJ36" s="118"/>
      <c r="ONK36" s="118"/>
      <c r="ONL36" s="118"/>
      <c r="ONM36" s="118"/>
      <c r="ONN36" s="118"/>
      <c r="ONO36" s="118"/>
      <c r="ONP36" s="118"/>
      <c r="ONQ36" s="118"/>
      <c r="ONR36" s="118"/>
      <c r="ONS36" s="118"/>
      <c r="ONT36" s="118"/>
      <c r="ONU36" s="118"/>
      <c r="ONV36" s="118"/>
      <c r="ONW36" s="118"/>
      <c r="ONX36" s="118"/>
      <c r="ONY36" s="118"/>
      <c r="ONZ36" s="118"/>
      <c r="OOA36" s="118"/>
      <c r="OOB36" s="118"/>
      <c r="OOC36" s="118"/>
      <c r="OOD36" s="118"/>
      <c r="OOE36" s="118"/>
      <c r="OOF36" s="118"/>
      <c r="OOG36" s="118"/>
      <c r="OOH36" s="118"/>
      <c r="OOI36" s="118"/>
      <c r="OOJ36" s="118"/>
      <c r="OOK36" s="118"/>
      <c r="OOL36" s="118"/>
      <c r="OOM36" s="118"/>
      <c r="OON36" s="118"/>
      <c r="OOO36" s="118"/>
      <c r="OOP36" s="118"/>
      <c r="OOQ36" s="118"/>
      <c r="OOR36" s="118"/>
      <c r="OOS36" s="118"/>
      <c r="OOT36" s="118"/>
      <c r="OOU36" s="118"/>
      <c r="OOV36" s="118"/>
      <c r="OOW36" s="118"/>
      <c r="OOX36" s="118"/>
      <c r="OOY36" s="118"/>
      <c r="OOZ36" s="118"/>
      <c r="OPA36" s="118"/>
      <c r="OPB36" s="118"/>
      <c r="OPC36" s="118"/>
      <c r="OPD36" s="118"/>
      <c r="OPE36" s="118"/>
      <c r="OPF36" s="118"/>
      <c r="OPG36" s="118"/>
      <c r="OPH36" s="118"/>
      <c r="OPI36" s="118"/>
      <c r="OPJ36" s="118"/>
      <c r="OPK36" s="118"/>
      <c r="OPL36" s="118"/>
      <c r="OPM36" s="118"/>
      <c r="OPN36" s="118"/>
      <c r="OPO36" s="118"/>
      <c r="OPP36" s="118"/>
      <c r="OPQ36" s="118"/>
      <c r="OPR36" s="118"/>
      <c r="OPS36" s="118"/>
      <c r="OPT36" s="118"/>
      <c r="OPU36" s="118"/>
      <c r="OPV36" s="118"/>
      <c r="OPW36" s="118"/>
      <c r="OPX36" s="118"/>
      <c r="OPY36" s="118"/>
      <c r="OPZ36" s="118"/>
      <c r="OQA36" s="118"/>
      <c r="OQB36" s="118"/>
      <c r="OQC36" s="118"/>
      <c r="OQD36" s="118"/>
      <c r="OQE36" s="118"/>
      <c r="OQF36" s="118"/>
      <c r="OQG36" s="118"/>
      <c r="OQH36" s="118"/>
      <c r="OQI36" s="118"/>
      <c r="OQJ36" s="118"/>
      <c r="OQK36" s="118"/>
      <c r="OQL36" s="118"/>
      <c r="OQM36" s="118"/>
      <c r="OQN36" s="118"/>
      <c r="OQO36" s="118"/>
      <c r="OQP36" s="118"/>
      <c r="OQQ36" s="118"/>
      <c r="OQR36" s="118"/>
      <c r="OQS36" s="118"/>
      <c r="OQT36" s="118"/>
      <c r="OQU36" s="118"/>
      <c r="OQV36" s="118"/>
      <c r="OQW36" s="118"/>
      <c r="OQX36" s="118"/>
      <c r="OQY36" s="118"/>
      <c r="OQZ36" s="118"/>
      <c r="ORA36" s="118"/>
      <c r="ORB36" s="118"/>
      <c r="ORC36" s="118"/>
      <c r="ORD36" s="118"/>
      <c r="ORE36" s="118"/>
      <c r="ORF36" s="118"/>
      <c r="ORG36" s="118"/>
      <c r="ORH36" s="118"/>
      <c r="ORI36" s="118"/>
      <c r="ORJ36" s="118"/>
      <c r="ORK36" s="118"/>
      <c r="ORL36" s="118"/>
      <c r="ORM36" s="118"/>
      <c r="ORN36" s="118"/>
      <c r="ORO36" s="118"/>
      <c r="ORP36" s="118"/>
      <c r="ORQ36" s="118"/>
      <c r="ORR36" s="118"/>
      <c r="ORS36" s="118"/>
      <c r="ORT36" s="118"/>
      <c r="ORU36" s="118"/>
      <c r="ORV36" s="118"/>
      <c r="ORW36" s="118"/>
      <c r="ORX36" s="118"/>
      <c r="ORY36" s="118"/>
      <c r="ORZ36" s="118"/>
      <c r="OSA36" s="118"/>
      <c r="OSB36" s="118"/>
      <c r="OSC36" s="118"/>
      <c r="OSD36" s="118"/>
      <c r="OSE36" s="118"/>
      <c r="OSF36" s="118"/>
      <c r="OSG36" s="118"/>
      <c r="OSH36" s="118"/>
      <c r="OSI36" s="118"/>
      <c r="OSJ36" s="118"/>
      <c r="OSK36" s="118"/>
      <c r="OSL36" s="118"/>
      <c r="OSM36" s="118"/>
      <c r="OSN36" s="118"/>
      <c r="OSO36" s="118"/>
      <c r="OSP36" s="118"/>
      <c r="OSQ36" s="118"/>
      <c r="OSR36" s="118"/>
      <c r="OSS36" s="118"/>
      <c r="OST36" s="118"/>
      <c r="OSU36" s="118"/>
      <c r="OSV36" s="118"/>
      <c r="OSW36" s="118"/>
      <c r="OSX36" s="118"/>
      <c r="OSY36" s="118"/>
      <c r="OSZ36" s="118"/>
      <c r="OTA36" s="118"/>
      <c r="OTB36" s="118"/>
      <c r="OTC36" s="118"/>
      <c r="OTD36" s="118"/>
      <c r="OTE36" s="118"/>
      <c r="OTF36" s="118"/>
      <c r="OTG36" s="118"/>
      <c r="OTH36" s="118"/>
      <c r="OTI36" s="118"/>
      <c r="OTJ36" s="118"/>
      <c r="OTK36" s="118"/>
      <c r="OTL36" s="118"/>
      <c r="OTM36" s="118"/>
      <c r="OTN36" s="118"/>
      <c r="OTO36" s="118"/>
      <c r="OTP36" s="118"/>
      <c r="OTQ36" s="118"/>
      <c r="OTR36" s="118"/>
      <c r="OTS36" s="118"/>
      <c r="OTT36" s="118"/>
      <c r="OTU36" s="118"/>
      <c r="OTV36" s="118"/>
      <c r="OTW36" s="118"/>
      <c r="OTX36" s="118"/>
      <c r="OTY36" s="118"/>
      <c r="OTZ36" s="118"/>
      <c r="OUA36" s="118"/>
      <c r="OUB36" s="118"/>
      <c r="OUC36" s="118"/>
      <c r="OUD36" s="118"/>
      <c r="OUE36" s="118"/>
      <c r="OUF36" s="118"/>
      <c r="OUG36" s="118"/>
      <c r="OUH36" s="118"/>
      <c r="OUI36" s="118"/>
      <c r="OUJ36" s="118"/>
      <c r="OUK36" s="118"/>
      <c r="OUL36" s="118"/>
      <c r="OUM36" s="118"/>
      <c r="OUN36" s="118"/>
      <c r="OUO36" s="118"/>
      <c r="OUP36" s="118"/>
      <c r="OUQ36" s="118"/>
      <c r="OUR36" s="118"/>
      <c r="OUS36" s="118"/>
      <c r="OUT36" s="118"/>
      <c r="OUU36" s="118"/>
      <c r="OUV36" s="118"/>
      <c r="OUW36" s="118"/>
      <c r="OUX36" s="118"/>
      <c r="OUY36" s="118"/>
      <c r="OUZ36" s="118"/>
      <c r="OVA36" s="118"/>
      <c r="OVB36" s="118"/>
      <c r="OVC36" s="118"/>
      <c r="OVD36" s="118"/>
      <c r="OVE36" s="118"/>
      <c r="OVF36" s="118"/>
      <c r="OVG36" s="118"/>
      <c r="OVH36" s="118"/>
      <c r="OVI36" s="118"/>
      <c r="OVJ36" s="118"/>
      <c r="OVK36" s="118"/>
      <c r="OVL36" s="118"/>
      <c r="OVM36" s="118"/>
      <c r="OVN36" s="118"/>
      <c r="OVO36" s="118"/>
      <c r="OVP36" s="118"/>
      <c r="OVQ36" s="118"/>
      <c r="OVR36" s="118"/>
      <c r="OVS36" s="118"/>
      <c r="OVT36" s="118"/>
      <c r="OVU36" s="118"/>
      <c r="OVV36" s="118"/>
      <c r="OVW36" s="118"/>
      <c r="OVX36" s="118"/>
      <c r="OVY36" s="118"/>
      <c r="OVZ36" s="118"/>
      <c r="OWA36" s="118"/>
      <c r="OWB36" s="118"/>
      <c r="OWC36" s="118"/>
      <c r="OWD36" s="118"/>
      <c r="OWE36" s="118"/>
      <c r="OWF36" s="118"/>
      <c r="OWG36" s="118"/>
      <c r="OWH36" s="118"/>
      <c r="OWI36" s="118"/>
      <c r="OWJ36" s="118"/>
      <c r="OWK36" s="118"/>
      <c r="OWL36" s="118"/>
      <c r="OWM36" s="118"/>
      <c r="OWN36" s="118"/>
      <c r="OWO36" s="118"/>
      <c r="OWP36" s="118"/>
      <c r="OWQ36" s="118"/>
      <c r="OWR36" s="118"/>
      <c r="OWS36" s="118"/>
      <c r="OWT36" s="118"/>
      <c r="OWU36" s="118"/>
      <c r="OWV36" s="118"/>
      <c r="OWW36" s="118"/>
      <c r="OWX36" s="118"/>
      <c r="OWY36" s="118"/>
      <c r="OWZ36" s="118"/>
      <c r="OXA36" s="118"/>
      <c r="OXB36" s="118"/>
      <c r="OXC36" s="118"/>
      <c r="OXD36" s="118"/>
      <c r="OXE36" s="118"/>
      <c r="OXF36" s="118"/>
      <c r="OXG36" s="118"/>
      <c r="OXH36" s="118"/>
      <c r="OXI36" s="118"/>
      <c r="OXJ36" s="118"/>
      <c r="OXK36" s="118"/>
      <c r="OXL36" s="118"/>
      <c r="OXM36" s="118"/>
      <c r="OXN36" s="118"/>
      <c r="OXO36" s="118"/>
      <c r="OXP36" s="118"/>
      <c r="OXQ36" s="118"/>
      <c r="OXR36" s="118"/>
      <c r="OXS36" s="118"/>
      <c r="OXT36" s="118"/>
      <c r="OXU36" s="118"/>
      <c r="OXV36" s="118"/>
      <c r="OXW36" s="118"/>
      <c r="OXX36" s="118"/>
      <c r="OXY36" s="118"/>
      <c r="OXZ36" s="118"/>
      <c r="OYA36" s="118"/>
      <c r="OYB36" s="118"/>
      <c r="OYC36" s="118"/>
      <c r="OYD36" s="118"/>
      <c r="OYE36" s="118"/>
      <c r="OYF36" s="118"/>
      <c r="OYG36" s="118"/>
      <c r="OYH36" s="118"/>
      <c r="OYI36" s="118"/>
      <c r="OYJ36" s="118"/>
      <c r="OYK36" s="118"/>
      <c r="OYL36" s="118"/>
      <c r="OYM36" s="118"/>
      <c r="OYN36" s="118"/>
      <c r="OYO36" s="118"/>
      <c r="OYP36" s="118"/>
      <c r="OYQ36" s="118"/>
      <c r="OYR36" s="118"/>
      <c r="OYS36" s="118"/>
      <c r="OYT36" s="118"/>
      <c r="OYU36" s="118"/>
      <c r="OYV36" s="118"/>
      <c r="OYW36" s="118"/>
      <c r="OYX36" s="118"/>
      <c r="OYY36" s="118"/>
      <c r="OYZ36" s="118"/>
      <c r="OZA36" s="118"/>
      <c r="OZB36" s="118"/>
      <c r="OZC36" s="118"/>
      <c r="OZD36" s="118"/>
      <c r="OZE36" s="118"/>
      <c r="OZF36" s="118"/>
      <c r="OZG36" s="118"/>
      <c r="OZH36" s="118"/>
      <c r="OZI36" s="118"/>
      <c r="OZJ36" s="118"/>
      <c r="OZK36" s="118"/>
      <c r="OZL36" s="118"/>
      <c r="OZM36" s="118"/>
      <c r="OZN36" s="118"/>
      <c r="OZO36" s="118"/>
      <c r="OZP36" s="118"/>
      <c r="OZQ36" s="118"/>
      <c r="OZR36" s="118"/>
      <c r="OZS36" s="118"/>
      <c r="OZT36" s="118"/>
      <c r="OZU36" s="118"/>
      <c r="OZV36" s="118"/>
      <c r="OZW36" s="118"/>
      <c r="OZX36" s="118"/>
      <c r="OZY36" s="118"/>
      <c r="OZZ36" s="118"/>
      <c r="PAA36" s="118"/>
      <c r="PAB36" s="118"/>
      <c r="PAC36" s="118"/>
      <c r="PAD36" s="118"/>
      <c r="PAE36" s="118"/>
      <c r="PAF36" s="118"/>
      <c r="PAG36" s="118"/>
      <c r="PAH36" s="118"/>
      <c r="PAI36" s="118"/>
      <c r="PAJ36" s="118"/>
      <c r="PAK36" s="118"/>
      <c r="PAL36" s="118"/>
      <c r="PAM36" s="118"/>
      <c r="PAN36" s="118"/>
      <c r="PAO36" s="118"/>
      <c r="PAP36" s="118"/>
      <c r="PAQ36" s="118"/>
      <c r="PAR36" s="118"/>
      <c r="PAS36" s="118"/>
      <c r="PAT36" s="118"/>
      <c r="PAU36" s="118"/>
      <c r="PAV36" s="118"/>
      <c r="PAW36" s="118"/>
      <c r="PAX36" s="118"/>
      <c r="PAY36" s="118"/>
      <c r="PAZ36" s="118"/>
      <c r="PBA36" s="118"/>
      <c r="PBB36" s="118"/>
      <c r="PBC36" s="118"/>
      <c r="PBD36" s="118"/>
      <c r="PBE36" s="118"/>
      <c r="PBF36" s="118"/>
      <c r="PBG36" s="118"/>
      <c r="PBH36" s="118"/>
      <c r="PBI36" s="118"/>
      <c r="PBJ36" s="118"/>
      <c r="PBK36" s="118"/>
      <c r="PBL36" s="118"/>
      <c r="PBM36" s="118"/>
      <c r="PBN36" s="118"/>
      <c r="PBO36" s="118"/>
      <c r="PBP36" s="118"/>
      <c r="PBQ36" s="118"/>
      <c r="PBR36" s="118"/>
      <c r="PBS36" s="118"/>
      <c r="PBT36" s="118"/>
      <c r="PBU36" s="118"/>
      <c r="PBV36" s="118"/>
      <c r="PBW36" s="118"/>
      <c r="PBX36" s="118"/>
      <c r="PBY36" s="118"/>
      <c r="PBZ36" s="118"/>
      <c r="PCA36" s="118"/>
      <c r="PCB36" s="118"/>
      <c r="PCC36" s="118"/>
      <c r="PCD36" s="118"/>
      <c r="PCE36" s="118"/>
      <c r="PCF36" s="118"/>
      <c r="PCG36" s="118"/>
      <c r="PCH36" s="118"/>
      <c r="PCI36" s="118"/>
      <c r="PCJ36" s="118"/>
      <c r="PCK36" s="118"/>
      <c r="PCL36" s="118"/>
      <c r="PCM36" s="118"/>
      <c r="PCN36" s="118"/>
      <c r="PCO36" s="118"/>
      <c r="PCP36" s="118"/>
      <c r="PCQ36" s="118"/>
      <c r="PCR36" s="118"/>
      <c r="PCS36" s="118"/>
      <c r="PCT36" s="118"/>
      <c r="PCU36" s="118"/>
      <c r="PCV36" s="118"/>
      <c r="PCW36" s="118"/>
      <c r="PCX36" s="118"/>
      <c r="PCY36" s="118"/>
      <c r="PCZ36" s="118"/>
      <c r="PDA36" s="118"/>
      <c r="PDB36" s="118"/>
      <c r="PDC36" s="118"/>
      <c r="PDD36" s="118"/>
      <c r="PDE36" s="118"/>
      <c r="PDF36" s="118"/>
      <c r="PDG36" s="118"/>
      <c r="PDH36" s="118"/>
      <c r="PDI36" s="118"/>
      <c r="PDJ36" s="118"/>
      <c r="PDK36" s="118"/>
      <c r="PDL36" s="118"/>
      <c r="PDM36" s="118"/>
      <c r="PDN36" s="118"/>
      <c r="PDO36" s="118"/>
      <c r="PDP36" s="118"/>
      <c r="PDQ36" s="118"/>
      <c r="PDR36" s="118"/>
      <c r="PDS36" s="118"/>
      <c r="PDT36" s="118"/>
      <c r="PDU36" s="118"/>
      <c r="PDV36" s="118"/>
      <c r="PDW36" s="118"/>
      <c r="PDX36" s="118"/>
      <c r="PDY36" s="118"/>
      <c r="PDZ36" s="118"/>
      <c r="PEA36" s="118"/>
      <c r="PEB36" s="118"/>
      <c r="PEC36" s="118"/>
      <c r="PED36" s="118"/>
      <c r="PEE36" s="118"/>
      <c r="PEF36" s="118"/>
      <c r="PEG36" s="118"/>
      <c r="PEH36" s="118"/>
      <c r="PEI36" s="118"/>
      <c r="PEJ36" s="118"/>
      <c r="PEK36" s="118"/>
      <c r="PEL36" s="118"/>
      <c r="PEM36" s="118"/>
      <c r="PEN36" s="118"/>
      <c r="PEO36" s="118"/>
      <c r="PEP36" s="118"/>
      <c r="PEQ36" s="118"/>
      <c r="PER36" s="118"/>
      <c r="PES36" s="118"/>
      <c r="PET36" s="118"/>
      <c r="PEU36" s="118"/>
      <c r="PEV36" s="118"/>
      <c r="PEW36" s="118"/>
      <c r="PEX36" s="118"/>
      <c r="PEY36" s="118"/>
      <c r="PEZ36" s="118"/>
      <c r="PFA36" s="118"/>
      <c r="PFB36" s="118"/>
      <c r="PFC36" s="118"/>
      <c r="PFD36" s="118"/>
      <c r="PFE36" s="118"/>
      <c r="PFF36" s="118"/>
      <c r="PFG36" s="118"/>
      <c r="PFH36" s="118"/>
      <c r="PFI36" s="118"/>
      <c r="PFJ36" s="118"/>
      <c r="PFK36" s="118"/>
      <c r="PFL36" s="118"/>
      <c r="PFM36" s="118"/>
      <c r="PFN36" s="118"/>
      <c r="PFO36" s="118"/>
      <c r="PFP36" s="118"/>
      <c r="PFQ36" s="118"/>
      <c r="PFR36" s="118"/>
      <c r="PFS36" s="118"/>
      <c r="PFT36" s="118"/>
      <c r="PFU36" s="118"/>
      <c r="PFV36" s="118"/>
      <c r="PFW36" s="118"/>
      <c r="PFX36" s="118"/>
      <c r="PFY36" s="118"/>
      <c r="PFZ36" s="118"/>
      <c r="PGA36" s="118"/>
      <c r="PGB36" s="118"/>
      <c r="PGC36" s="118"/>
      <c r="PGD36" s="118"/>
      <c r="PGE36" s="118"/>
      <c r="PGF36" s="118"/>
      <c r="PGG36" s="118"/>
      <c r="PGH36" s="118"/>
      <c r="PGI36" s="118"/>
      <c r="PGJ36" s="118"/>
      <c r="PGK36" s="118"/>
      <c r="PGL36" s="118"/>
      <c r="PGM36" s="118"/>
      <c r="PGN36" s="118"/>
      <c r="PGO36" s="118"/>
      <c r="PGP36" s="118"/>
      <c r="PGQ36" s="118"/>
      <c r="PGR36" s="118"/>
      <c r="PGS36" s="118"/>
      <c r="PGT36" s="118"/>
      <c r="PGU36" s="118"/>
      <c r="PGV36" s="118"/>
      <c r="PGW36" s="118"/>
      <c r="PGX36" s="118"/>
      <c r="PGY36" s="118"/>
      <c r="PGZ36" s="118"/>
      <c r="PHA36" s="118"/>
      <c r="PHB36" s="118"/>
      <c r="PHC36" s="118"/>
      <c r="PHD36" s="118"/>
      <c r="PHE36" s="118"/>
      <c r="PHF36" s="118"/>
      <c r="PHG36" s="118"/>
      <c r="PHH36" s="118"/>
      <c r="PHI36" s="118"/>
      <c r="PHJ36" s="118"/>
      <c r="PHK36" s="118"/>
      <c r="PHL36" s="118"/>
      <c r="PHM36" s="118"/>
      <c r="PHN36" s="118"/>
      <c r="PHO36" s="118"/>
      <c r="PHP36" s="118"/>
      <c r="PHQ36" s="118"/>
      <c r="PHR36" s="118"/>
      <c r="PHS36" s="118"/>
      <c r="PHT36" s="118"/>
      <c r="PHU36" s="118"/>
      <c r="PHV36" s="118"/>
      <c r="PHW36" s="118"/>
      <c r="PHX36" s="118"/>
      <c r="PHY36" s="118"/>
      <c r="PHZ36" s="118"/>
      <c r="PIA36" s="118"/>
      <c r="PIB36" s="118"/>
      <c r="PIC36" s="118"/>
      <c r="PID36" s="118"/>
      <c r="PIE36" s="118"/>
      <c r="PIF36" s="118"/>
      <c r="PIG36" s="118"/>
      <c r="PIH36" s="118"/>
      <c r="PII36" s="118"/>
      <c r="PIJ36" s="118"/>
      <c r="PIK36" s="118"/>
      <c r="PIL36" s="118"/>
      <c r="PIM36" s="118"/>
      <c r="PIN36" s="118"/>
      <c r="PIO36" s="118"/>
      <c r="PIP36" s="118"/>
      <c r="PIQ36" s="118"/>
      <c r="PIR36" s="118"/>
      <c r="PIS36" s="118"/>
      <c r="PIT36" s="118"/>
      <c r="PIU36" s="118"/>
      <c r="PIV36" s="118"/>
      <c r="PIW36" s="118"/>
      <c r="PIX36" s="118"/>
      <c r="PIY36" s="118"/>
      <c r="PIZ36" s="118"/>
      <c r="PJA36" s="118"/>
      <c r="PJB36" s="118"/>
      <c r="PJC36" s="118"/>
      <c r="PJD36" s="118"/>
      <c r="PJE36" s="118"/>
      <c r="PJF36" s="118"/>
      <c r="PJG36" s="118"/>
      <c r="PJH36" s="118"/>
      <c r="PJI36" s="118"/>
      <c r="PJJ36" s="118"/>
      <c r="PJK36" s="118"/>
      <c r="PJL36" s="118"/>
      <c r="PJM36" s="118"/>
      <c r="PJN36" s="118"/>
      <c r="PJO36" s="118"/>
      <c r="PJP36" s="118"/>
      <c r="PJQ36" s="118"/>
      <c r="PJR36" s="118"/>
      <c r="PJS36" s="118"/>
      <c r="PJT36" s="118"/>
      <c r="PJU36" s="118"/>
      <c r="PJV36" s="118"/>
      <c r="PJW36" s="118"/>
      <c r="PJX36" s="118"/>
      <c r="PJY36" s="118"/>
      <c r="PJZ36" s="118"/>
      <c r="PKA36" s="118"/>
      <c r="PKB36" s="118"/>
      <c r="PKC36" s="118"/>
      <c r="PKD36" s="118"/>
      <c r="PKE36" s="118"/>
      <c r="PKF36" s="118"/>
      <c r="PKG36" s="118"/>
      <c r="PKH36" s="118"/>
      <c r="PKI36" s="118"/>
      <c r="PKJ36" s="118"/>
      <c r="PKK36" s="118"/>
      <c r="PKL36" s="118"/>
      <c r="PKM36" s="118"/>
      <c r="PKN36" s="118"/>
      <c r="PKO36" s="118"/>
      <c r="PKP36" s="118"/>
      <c r="PKQ36" s="118"/>
      <c r="PKR36" s="118"/>
      <c r="PKS36" s="118"/>
      <c r="PKT36" s="118"/>
      <c r="PKU36" s="118"/>
      <c r="PKV36" s="118"/>
      <c r="PKW36" s="118"/>
      <c r="PKX36" s="118"/>
      <c r="PKY36" s="118"/>
      <c r="PKZ36" s="118"/>
      <c r="PLA36" s="118"/>
      <c r="PLB36" s="118"/>
      <c r="PLC36" s="118"/>
      <c r="PLD36" s="118"/>
      <c r="PLE36" s="118"/>
      <c r="PLF36" s="118"/>
      <c r="PLG36" s="118"/>
      <c r="PLH36" s="118"/>
      <c r="PLI36" s="118"/>
      <c r="PLJ36" s="118"/>
      <c r="PLK36" s="118"/>
      <c r="PLL36" s="118"/>
      <c r="PLM36" s="118"/>
      <c r="PLN36" s="118"/>
      <c r="PLO36" s="118"/>
      <c r="PLP36" s="118"/>
      <c r="PLQ36" s="118"/>
      <c r="PLR36" s="118"/>
      <c r="PLS36" s="118"/>
      <c r="PLT36" s="118"/>
      <c r="PLU36" s="118"/>
      <c r="PLV36" s="118"/>
      <c r="PLW36" s="118"/>
      <c r="PLX36" s="118"/>
      <c r="PLY36" s="118"/>
      <c r="PLZ36" s="118"/>
      <c r="PMA36" s="118"/>
      <c r="PMB36" s="118"/>
      <c r="PMC36" s="118"/>
      <c r="PMD36" s="118"/>
      <c r="PME36" s="118"/>
      <c r="PMF36" s="118"/>
      <c r="PMG36" s="118"/>
      <c r="PMH36" s="118"/>
      <c r="PMI36" s="118"/>
      <c r="PMJ36" s="118"/>
      <c r="PMK36" s="118"/>
      <c r="PML36" s="118"/>
      <c r="PMM36" s="118"/>
      <c r="PMN36" s="118"/>
      <c r="PMO36" s="118"/>
      <c r="PMP36" s="118"/>
      <c r="PMQ36" s="118"/>
      <c r="PMR36" s="118"/>
      <c r="PMS36" s="118"/>
      <c r="PMT36" s="118"/>
      <c r="PMU36" s="118"/>
      <c r="PMV36" s="118"/>
      <c r="PMW36" s="118"/>
      <c r="PMX36" s="118"/>
      <c r="PMY36" s="118"/>
      <c r="PMZ36" s="118"/>
      <c r="PNA36" s="118"/>
      <c r="PNB36" s="118"/>
      <c r="PNC36" s="118"/>
      <c r="PND36" s="118"/>
      <c r="PNE36" s="118"/>
      <c r="PNF36" s="118"/>
      <c r="PNG36" s="118"/>
      <c r="PNH36" s="118"/>
      <c r="PNI36" s="118"/>
      <c r="PNJ36" s="118"/>
      <c r="PNK36" s="118"/>
      <c r="PNL36" s="118"/>
      <c r="PNM36" s="118"/>
      <c r="PNN36" s="118"/>
      <c r="PNO36" s="118"/>
      <c r="PNP36" s="118"/>
      <c r="PNQ36" s="118"/>
      <c r="PNR36" s="118"/>
      <c r="PNS36" s="118"/>
      <c r="PNT36" s="118"/>
      <c r="PNU36" s="118"/>
      <c r="PNV36" s="118"/>
      <c r="PNW36" s="118"/>
      <c r="PNX36" s="118"/>
      <c r="PNY36" s="118"/>
      <c r="PNZ36" s="118"/>
      <c r="POA36" s="118"/>
      <c r="POB36" s="118"/>
      <c r="POC36" s="118"/>
      <c r="POD36" s="118"/>
      <c r="POE36" s="118"/>
      <c r="POF36" s="118"/>
      <c r="POG36" s="118"/>
      <c r="POH36" s="118"/>
      <c r="POI36" s="118"/>
      <c r="POJ36" s="118"/>
      <c r="POK36" s="118"/>
      <c r="POL36" s="118"/>
      <c r="POM36" s="118"/>
      <c r="PON36" s="118"/>
      <c r="POO36" s="118"/>
      <c r="POP36" s="118"/>
      <c r="POQ36" s="118"/>
      <c r="POR36" s="118"/>
      <c r="POS36" s="118"/>
      <c r="POT36" s="118"/>
      <c r="POU36" s="118"/>
      <c r="POV36" s="118"/>
      <c r="POW36" s="118"/>
      <c r="POX36" s="118"/>
      <c r="POY36" s="118"/>
      <c r="POZ36" s="118"/>
      <c r="PPA36" s="118"/>
      <c r="PPB36" s="118"/>
      <c r="PPC36" s="118"/>
      <c r="PPD36" s="118"/>
      <c r="PPE36" s="118"/>
      <c r="PPF36" s="118"/>
      <c r="PPG36" s="118"/>
      <c r="PPH36" s="118"/>
      <c r="PPI36" s="118"/>
      <c r="PPJ36" s="118"/>
      <c r="PPK36" s="118"/>
      <c r="PPL36" s="118"/>
      <c r="PPM36" s="118"/>
      <c r="PPN36" s="118"/>
      <c r="PPO36" s="118"/>
      <c r="PPP36" s="118"/>
      <c r="PPQ36" s="118"/>
      <c r="PPR36" s="118"/>
      <c r="PPS36" s="118"/>
      <c r="PPT36" s="118"/>
      <c r="PPU36" s="118"/>
      <c r="PPV36" s="118"/>
      <c r="PPW36" s="118"/>
      <c r="PPX36" s="118"/>
      <c r="PPY36" s="118"/>
      <c r="PPZ36" s="118"/>
      <c r="PQA36" s="118"/>
      <c r="PQB36" s="118"/>
      <c r="PQC36" s="118"/>
      <c r="PQD36" s="118"/>
      <c r="PQE36" s="118"/>
      <c r="PQF36" s="118"/>
      <c r="PQG36" s="118"/>
      <c r="PQH36" s="118"/>
      <c r="PQI36" s="118"/>
      <c r="PQJ36" s="118"/>
      <c r="PQK36" s="118"/>
      <c r="PQL36" s="118"/>
      <c r="PQM36" s="118"/>
      <c r="PQN36" s="118"/>
      <c r="PQO36" s="118"/>
      <c r="PQP36" s="118"/>
      <c r="PQQ36" s="118"/>
      <c r="PQR36" s="118"/>
      <c r="PQS36" s="118"/>
      <c r="PQT36" s="118"/>
      <c r="PQU36" s="118"/>
      <c r="PQV36" s="118"/>
      <c r="PQW36" s="118"/>
      <c r="PQX36" s="118"/>
      <c r="PQY36" s="118"/>
      <c r="PQZ36" s="118"/>
      <c r="PRA36" s="118"/>
      <c r="PRB36" s="118"/>
      <c r="PRC36" s="118"/>
      <c r="PRD36" s="118"/>
      <c r="PRE36" s="118"/>
      <c r="PRF36" s="118"/>
      <c r="PRG36" s="118"/>
      <c r="PRH36" s="118"/>
      <c r="PRI36" s="118"/>
      <c r="PRJ36" s="118"/>
      <c r="PRK36" s="118"/>
      <c r="PRL36" s="118"/>
      <c r="PRM36" s="118"/>
      <c r="PRN36" s="118"/>
      <c r="PRO36" s="118"/>
      <c r="PRP36" s="118"/>
      <c r="PRQ36" s="118"/>
      <c r="PRR36" s="118"/>
      <c r="PRS36" s="118"/>
      <c r="PRT36" s="118"/>
      <c r="PRU36" s="118"/>
      <c r="PRV36" s="118"/>
      <c r="PRW36" s="118"/>
      <c r="PRX36" s="118"/>
      <c r="PRY36" s="118"/>
      <c r="PRZ36" s="118"/>
      <c r="PSA36" s="118"/>
      <c r="PSB36" s="118"/>
      <c r="PSC36" s="118"/>
      <c r="PSD36" s="118"/>
      <c r="PSE36" s="118"/>
      <c r="PSF36" s="118"/>
      <c r="PSG36" s="118"/>
      <c r="PSH36" s="118"/>
      <c r="PSI36" s="118"/>
      <c r="PSJ36" s="118"/>
      <c r="PSK36" s="118"/>
      <c r="PSL36" s="118"/>
      <c r="PSM36" s="118"/>
      <c r="PSN36" s="118"/>
      <c r="PSO36" s="118"/>
      <c r="PSP36" s="118"/>
      <c r="PSQ36" s="118"/>
      <c r="PSR36" s="118"/>
      <c r="PSS36" s="118"/>
      <c r="PST36" s="118"/>
      <c r="PSU36" s="118"/>
      <c r="PSV36" s="118"/>
      <c r="PSW36" s="118"/>
      <c r="PSX36" s="118"/>
      <c r="PSY36" s="118"/>
      <c r="PSZ36" s="118"/>
      <c r="PTA36" s="118"/>
      <c r="PTB36" s="118"/>
      <c r="PTC36" s="118"/>
      <c r="PTD36" s="118"/>
      <c r="PTE36" s="118"/>
      <c r="PTF36" s="118"/>
      <c r="PTG36" s="118"/>
      <c r="PTH36" s="118"/>
      <c r="PTI36" s="118"/>
      <c r="PTJ36" s="118"/>
      <c r="PTK36" s="118"/>
      <c r="PTL36" s="118"/>
      <c r="PTM36" s="118"/>
      <c r="PTN36" s="118"/>
      <c r="PTO36" s="118"/>
      <c r="PTP36" s="118"/>
      <c r="PTQ36" s="118"/>
      <c r="PTR36" s="118"/>
      <c r="PTS36" s="118"/>
      <c r="PTT36" s="118"/>
      <c r="PTU36" s="118"/>
      <c r="PTV36" s="118"/>
      <c r="PTW36" s="118"/>
      <c r="PTX36" s="118"/>
      <c r="PTY36" s="118"/>
      <c r="PTZ36" s="118"/>
      <c r="PUA36" s="118"/>
      <c r="PUB36" s="118"/>
      <c r="PUC36" s="118"/>
      <c r="PUD36" s="118"/>
      <c r="PUE36" s="118"/>
      <c r="PUF36" s="118"/>
      <c r="PUG36" s="118"/>
      <c r="PUH36" s="118"/>
      <c r="PUI36" s="118"/>
      <c r="PUJ36" s="118"/>
      <c r="PUK36" s="118"/>
      <c r="PUL36" s="118"/>
      <c r="PUM36" s="118"/>
      <c r="PUN36" s="118"/>
      <c r="PUO36" s="118"/>
      <c r="PUP36" s="118"/>
      <c r="PUQ36" s="118"/>
      <c r="PUR36" s="118"/>
      <c r="PUS36" s="118"/>
      <c r="PUT36" s="118"/>
      <c r="PUU36" s="118"/>
      <c r="PUV36" s="118"/>
      <c r="PUW36" s="118"/>
      <c r="PUX36" s="118"/>
      <c r="PUY36" s="118"/>
      <c r="PUZ36" s="118"/>
      <c r="PVA36" s="118"/>
      <c r="PVB36" s="118"/>
      <c r="PVC36" s="118"/>
      <c r="PVD36" s="118"/>
      <c r="PVE36" s="118"/>
      <c r="PVF36" s="118"/>
      <c r="PVG36" s="118"/>
      <c r="PVH36" s="118"/>
      <c r="PVI36" s="118"/>
      <c r="PVJ36" s="118"/>
      <c r="PVK36" s="118"/>
      <c r="PVL36" s="118"/>
      <c r="PVM36" s="118"/>
      <c r="PVN36" s="118"/>
      <c r="PVO36" s="118"/>
      <c r="PVP36" s="118"/>
      <c r="PVQ36" s="118"/>
      <c r="PVR36" s="118"/>
      <c r="PVS36" s="118"/>
      <c r="PVT36" s="118"/>
      <c r="PVU36" s="118"/>
      <c r="PVV36" s="118"/>
      <c r="PVW36" s="118"/>
      <c r="PVX36" s="118"/>
      <c r="PVY36" s="118"/>
      <c r="PVZ36" s="118"/>
      <c r="PWA36" s="118"/>
      <c r="PWB36" s="118"/>
      <c r="PWC36" s="118"/>
      <c r="PWD36" s="118"/>
      <c r="PWE36" s="118"/>
      <c r="PWF36" s="118"/>
      <c r="PWG36" s="118"/>
      <c r="PWH36" s="118"/>
      <c r="PWI36" s="118"/>
      <c r="PWJ36" s="118"/>
      <c r="PWK36" s="118"/>
      <c r="PWL36" s="118"/>
      <c r="PWM36" s="118"/>
      <c r="PWN36" s="118"/>
      <c r="PWO36" s="118"/>
      <c r="PWP36" s="118"/>
      <c r="PWQ36" s="118"/>
      <c r="PWR36" s="118"/>
      <c r="PWS36" s="118"/>
      <c r="PWT36" s="118"/>
      <c r="PWU36" s="118"/>
      <c r="PWV36" s="118"/>
      <c r="PWW36" s="118"/>
      <c r="PWX36" s="118"/>
      <c r="PWY36" s="118"/>
      <c r="PWZ36" s="118"/>
      <c r="PXA36" s="118"/>
      <c r="PXB36" s="118"/>
      <c r="PXC36" s="118"/>
      <c r="PXD36" s="118"/>
      <c r="PXE36" s="118"/>
      <c r="PXF36" s="118"/>
      <c r="PXG36" s="118"/>
      <c r="PXH36" s="118"/>
      <c r="PXI36" s="118"/>
      <c r="PXJ36" s="118"/>
      <c r="PXK36" s="118"/>
      <c r="PXL36" s="118"/>
      <c r="PXM36" s="118"/>
      <c r="PXN36" s="118"/>
      <c r="PXO36" s="118"/>
      <c r="PXP36" s="118"/>
      <c r="PXQ36" s="118"/>
      <c r="PXR36" s="118"/>
      <c r="PXS36" s="118"/>
      <c r="PXT36" s="118"/>
      <c r="PXU36" s="118"/>
      <c r="PXV36" s="118"/>
      <c r="PXW36" s="118"/>
      <c r="PXX36" s="118"/>
      <c r="PXY36" s="118"/>
      <c r="PXZ36" s="118"/>
      <c r="PYA36" s="118"/>
      <c r="PYB36" s="118"/>
      <c r="PYC36" s="118"/>
      <c r="PYD36" s="118"/>
      <c r="PYE36" s="118"/>
      <c r="PYF36" s="118"/>
      <c r="PYG36" s="118"/>
      <c r="PYH36" s="118"/>
      <c r="PYI36" s="118"/>
      <c r="PYJ36" s="118"/>
      <c r="PYK36" s="118"/>
      <c r="PYL36" s="118"/>
      <c r="PYM36" s="118"/>
      <c r="PYN36" s="118"/>
      <c r="PYO36" s="118"/>
      <c r="PYP36" s="118"/>
      <c r="PYQ36" s="118"/>
      <c r="PYR36" s="118"/>
      <c r="PYS36" s="118"/>
      <c r="PYT36" s="118"/>
      <c r="PYU36" s="118"/>
      <c r="PYV36" s="118"/>
      <c r="PYW36" s="118"/>
      <c r="PYX36" s="118"/>
      <c r="PYY36" s="118"/>
      <c r="PYZ36" s="118"/>
      <c r="PZA36" s="118"/>
      <c r="PZB36" s="118"/>
      <c r="PZC36" s="118"/>
      <c r="PZD36" s="118"/>
      <c r="PZE36" s="118"/>
      <c r="PZF36" s="118"/>
      <c r="PZG36" s="118"/>
      <c r="PZH36" s="118"/>
      <c r="PZI36" s="118"/>
      <c r="PZJ36" s="118"/>
      <c r="PZK36" s="118"/>
      <c r="PZL36" s="118"/>
      <c r="PZM36" s="118"/>
      <c r="PZN36" s="118"/>
      <c r="PZO36" s="118"/>
      <c r="PZP36" s="118"/>
      <c r="PZQ36" s="118"/>
      <c r="PZR36" s="118"/>
      <c r="PZS36" s="118"/>
      <c r="PZT36" s="118"/>
      <c r="PZU36" s="118"/>
      <c r="PZV36" s="118"/>
      <c r="PZW36" s="118"/>
      <c r="PZX36" s="118"/>
      <c r="PZY36" s="118"/>
      <c r="PZZ36" s="118"/>
      <c r="QAA36" s="118"/>
      <c r="QAB36" s="118"/>
      <c r="QAC36" s="118"/>
      <c r="QAD36" s="118"/>
      <c r="QAE36" s="118"/>
      <c r="QAF36" s="118"/>
      <c r="QAG36" s="118"/>
      <c r="QAH36" s="118"/>
      <c r="QAI36" s="118"/>
      <c r="QAJ36" s="118"/>
      <c r="QAK36" s="118"/>
      <c r="QAL36" s="118"/>
      <c r="QAM36" s="118"/>
      <c r="QAN36" s="118"/>
      <c r="QAO36" s="118"/>
      <c r="QAP36" s="118"/>
      <c r="QAQ36" s="118"/>
      <c r="QAR36" s="118"/>
      <c r="QAS36" s="118"/>
      <c r="QAT36" s="118"/>
      <c r="QAU36" s="118"/>
      <c r="QAV36" s="118"/>
      <c r="QAW36" s="118"/>
      <c r="QAX36" s="118"/>
      <c r="QAY36" s="118"/>
      <c r="QAZ36" s="118"/>
      <c r="QBA36" s="118"/>
      <c r="QBB36" s="118"/>
      <c r="QBC36" s="118"/>
      <c r="QBD36" s="118"/>
      <c r="QBE36" s="118"/>
      <c r="QBF36" s="118"/>
      <c r="QBG36" s="118"/>
      <c r="QBH36" s="118"/>
      <c r="QBI36" s="118"/>
      <c r="QBJ36" s="118"/>
      <c r="QBK36" s="118"/>
      <c r="QBL36" s="118"/>
      <c r="QBM36" s="118"/>
      <c r="QBN36" s="118"/>
      <c r="QBO36" s="118"/>
      <c r="QBP36" s="118"/>
      <c r="QBQ36" s="118"/>
      <c r="QBR36" s="118"/>
      <c r="QBS36" s="118"/>
      <c r="QBT36" s="118"/>
      <c r="QBU36" s="118"/>
      <c r="QBV36" s="118"/>
      <c r="QBW36" s="118"/>
      <c r="QBX36" s="118"/>
      <c r="QBY36" s="118"/>
      <c r="QBZ36" s="118"/>
      <c r="QCA36" s="118"/>
      <c r="QCB36" s="118"/>
      <c r="QCC36" s="118"/>
      <c r="QCD36" s="118"/>
      <c r="QCE36" s="118"/>
      <c r="QCF36" s="118"/>
      <c r="QCG36" s="118"/>
      <c r="QCH36" s="118"/>
      <c r="QCI36" s="118"/>
      <c r="QCJ36" s="118"/>
      <c r="QCK36" s="118"/>
      <c r="QCL36" s="118"/>
      <c r="QCM36" s="118"/>
      <c r="QCN36" s="118"/>
      <c r="QCO36" s="118"/>
      <c r="QCP36" s="118"/>
      <c r="QCQ36" s="118"/>
      <c r="QCR36" s="118"/>
      <c r="QCS36" s="118"/>
      <c r="QCT36" s="118"/>
      <c r="QCU36" s="118"/>
      <c r="QCV36" s="118"/>
      <c r="QCW36" s="118"/>
      <c r="QCX36" s="118"/>
      <c r="QCY36" s="118"/>
      <c r="QCZ36" s="118"/>
      <c r="QDA36" s="118"/>
      <c r="QDB36" s="118"/>
      <c r="QDC36" s="118"/>
      <c r="QDD36" s="118"/>
      <c r="QDE36" s="118"/>
      <c r="QDF36" s="118"/>
      <c r="QDG36" s="118"/>
      <c r="QDH36" s="118"/>
      <c r="QDI36" s="118"/>
      <c r="QDJ36" s="118"/>
      <c r="QDK36" s="118"/>
      <c r="QDL36" s="118"/>
      <c r="QDM36" s="118"/>
      <c r="QDN36" s="118"/>
      <c r="QDO36" s="118"/>
      <c r="QDP36" s="118"/>
      <c r="QDQ36" s="118"/>
      <c r="QDR36" s="118"/>
      <c r="QDS36" s="118"/>
      <c r="QDT36" s="118"/>
      <c r="QDU36" s="118"/>
      <c r="QDV36" s="118"/>
      <c r="QDW36" s="118"/>
      <c r="QDX36" s="118"/>
      <c r="QDY36" s="118"/>
      <c r="QDZ36" s="118"/>
      <c r="QEA36" s="118"/>
      <c r="QEB36" s="118"/>
      <c r="QEC36" s="118"/>
      <c r="QED36" s="118"/>
      <c r="QEE36" s="118"/>
      <c r="QEF36" s="118"/>
      <c r="QEG36" s="118"/>
      <c r="QEH36" s="118"/>
      <c r="QEI36" s="118"/>
      <c r="QEJ36" s="118"/>
      <c r="QEK36" s="118"/>
      <c r="QEL36" s="118"/>
      <c r="QEM36" s="118"/>
      <c r="QEN36" s="118"/>
      <c r="QEO36" s="118"/>
      <c r="QEP36" s="118"/>
      <c r="QEQ36" s="118"/>
      <c r="QER36" s="118"/>
      <c r="QES36" s="118"/>
      <c r="QET36" s="118"/>
      <c r="QEU36" s="118"/>
      <c r="QEV36" s="118"/>
      <c r="QEW36" s="118"/>
      <c r="QEX36" s="118"/>
      <c r="QEY36" s="118"/>
      <c r="QEZ36" s="118"/>
      <c r="QFA36" s="118"/>
      <c r="QFB36" s="118"/>
      <c r="QFC36" s="118"/>
      <c r="QFD36" s="118"/>
      <c r="QFE36" s="118"/>
      <c r="QFF36" s="118"/>
      <c r="QFG36" s="118"/>
      <c r="QFH36" s="118"/>
      <c r="QFI36" s="118"/>
      <c r="QFJ36" s="118"/>
      <c r="QFK36" s="118"/>
      <c r="QFL36" s="118"/>
      <c r="QFM36" s="118"/>
      <c r="QFN36" s="118"/>
      <c r="QFO36" s="118"/>
      <c r="QFP36" s="118"/>
      <c r="QFQ36" s="118"/>
      <c r="QFR36" s="118"/>
      <c r="QFS36" s="118"/>
      <c r="QFT36" s="118"/>
      <c r="QFU36" s="118"/>
      <c r="QFV36" s="118"/>
      <c r="QFW36" s="118"/>
      <c r="QFX36" s="118"/>
      <c r="QFY36" s="118"/>
      <c r="QFZ36" s="118"/>
      <c r="QGA36" s="118"/>
      <c r="QGB36" s="118"/>
      <c r="QGC36" s="118"/>
      <c r="QGD36" s="118"/>
      <c r="QGE36" s="118"/>
      <c r="QGF36" s="118"/>
      <c r="QGG36" s="118"/>
      <c r="QGH36" s="118"/>
      <c r="QGI36" s="118"/>
      <c r="QGJ36" s="118"/>
      <c r="QGK36" s="118"/>
      <c r="QGL36" s="118"/>
      <c r="QGM36" s="118"/>
      <c r="QGN36" s="118"/>
      <c r="QGO36" s="118"/>
      <c r="QGP36" s="118"/>
      <c r="QGQ36" s="118"/>
      <c r="QGR36" s="118"/>
      <c r="QGS36" s="118"/>
      <c r="QGT36" s="118"/>
      <c r="QGU36" s="118"/>
      <c r="QGV36" s="118"/>
      <c r="QGW36" s="118"/>
      <c r="QGX36" s="118"/>
      <c r="QGY36" s="118"/>
      <c r="QGZ36" s="118"/>
      <c r="QHA36" s="118"/>
      <c r="QHB36" s="118"/>
      <c r="QHC36" s="118"/>
      <c r="QHD36" s="118"/>
      <c r="QHE36" s="118"/>
      <c r="QHF36" s="118"/>
      <c r="QHG36" s="118"/>
      <c r="QHH36" s="118"/>
      <c r="QHI36" s="118"/>
      <c r="QHJ36" s="118"/>
      <c r="QHK36" s="118"/>
      <c r="QHL36" s="118"/>
      <c r="QHM36" s="118"/>
      <c r="QHN36" s="118"/>
      <c r="QHO36" s="118"/>
      <c r="QHP36" s="118"/>
      <c r="QHQ36" s="118"/>
      <c r="QHR36" s="118"/>
      <c r="QHS36" s="118"/>
      <c r="QHT36" s="118"/>
      <c r="QHU36" s="118"/>
      <c r="QHV36" s="118"/>
      <c r="QHW36" s="118"/>
      <c r="QHX36" s="118"/>
      <c r="QHY36" s="118"/>
      <c r="QHZ36" s="118"/>
      <c r="QIA36" s="118"/>
      <c r="QIB36" s="118"/>
      <c r="QIC36" s="118"/>
      <c r="QID36" s="118"/>
      <c r="QIE36" s="118"/>
      <c r="QIF36" s="118"/>
      <c r="QIG36" s="118"/>
      <c r="QIH36" s="118"/>
      <c r="QII36" s="118"/>
      <c r="QIJ36" s="118"/>
      <c r="QIK36" s="118"/>
      <c r="QIL36" s="118"/>
      <c r="QIM36" s="118"/>
      <c r="QIN36" s="118"/>
      <c r="QIO36" s="118"/>
      <c r="QIP36" s="118"/>
      <c r="QIQ36" s="118"/>
      <c r="QIR36" s="118"/>
      <c r="QIS36" s="118"/>
      <c r="QIT36" s="118"/>
      <c r="QIU36" s="118"/>
      <c r="QIV36" s="118"/>
      <c r="QIW36" s="118"/>
      <c r="QIX36" s="118"/>
      <c r="QIY36" s="118"/>
      <c r="QIZ36" s="118"/>
      <c r="QJA36" s="118"/>
      <c r="QJB36" s="118"/>
      <c r="QJC36" s="118"/>
      <c r="QJD36" s="118"/>
      <c r="QJE36" s="118"/>
      <c r="QJF36" s="118"/>
      <c r="QJG36" s="118"/>
      <c r="QJH36" s="118"/>
      <c r="QJI36" s="118"/>
      <c r="QJJ36" s="118"/>
      <c r="QJK36" s="118"/>
      <c r="QJL36" s="118"/>
      <c r="QJM36" s="118"/>
      <c r="QJN36" s="118"/>
      <c r="QJO36" s="118"/>
      <c r="QJP36" s="118"/>
      <c r="QJQ36" s="118"/>
      <c r="QJR36" s="118"/>
      <c r="QJS36" s="118"/>
      <c r="QJT36" s="118"/>
      <c r="QJU36" s="118"/>
      <c r="QJV36" s="118"/>
      <c r="QJW36" s="118"/>
      <c r="QJX36" s="118"/>
      <c r="QJY36" s="118"/>
      <c r="QJZ36" s="118"/>
      <c r="QKA36" s="118"/>
      <c r="QKB36" s="118"/>
      <c r="QKC36" s="118"/>
      <c r="QKD36" s="118"/>
      <c r="QKE36" s="118"/>
      <c r="QKF36" s="118"/>
      <c r="QKG36" s="118"/>
      <c r="QKH36" s="118"/>
      <c r="QKI36" s="118"/>
      <c r="QKJ36" s="118"/>
      <c r="QKK36" s="118"/>
      <c r="QKL36" s="118"/>
      <c r="QKM36" s="118"/>
      <c r="QKN36" s="118"/>
      <c r="QKO36" s="118"/>
      <c r="QKP36" s="118"/>
      <c r="QKQ36" s="118"/>
      <c r="QKR36" s="118"/>
      <c r="QKS36" s="118"/>
      <c r="QKT36" s="118"/>
      <c r="QKU36" s="118"/>
      <c r="QKV36" s="118"/>
      <c r="QKW36" s="118"/>
      <c r="QKX36" s="118"/>
      <c r="QKY36" s="118"/>
      <c r="QKZ36" s="118"/>
      <c r="QLA36" s="118"/>
      <c r="QLB36" s="118"/>
      <c r="QLC36" s="118"/>
      <c r="QLD36" s="118"/>
      <c r="QLE36" s="118"/>
      <c r="QLF36" s="118"/>
      <c r="QLG36" s="118"/>
      <c r="QLH36" s="118"/>
      <c r="QLI36" s="118"/>
      <c r="QLJ36" s="118"/>
      <c r="QLK36" s="118"/>
      <c r="QLL36" s="118"/>
      <c r="QLM36" s="118"/>
      <c r="QLN36" s="118"/>
      <c r="QLO36" s="118"/>
      <c r="QLP36" s="118"/>
      <c r="QLQ36" s="118"/>
      <c r="QLR36" s="118"/>
      <c r="QLS36" s="118"/>
      <c r="QLT36" s="118"/>
      <c r="QLU36" s="118"/>
      <c r="QLV36" s="118"/>
      <c r="QLW36" s="118"/>
      <c r="QLX36" s="118"/>
      <c r="QLY36" s="118"/>
      <c r="QLZ36" s="118"/>
      <c r="QMA36" s="118"/>
      <c r="QMB36" s="118"/>
      <c r="QMC36" s="118"/>
      <c r="QMD36" s="118"/>
      <c r="QME36" s="118"/>
      <c r="QMF36" s="118"/>
      <c r="QMG36" s="118"/>
      <c r="QMH36" s="118"/>
      <c r="QMI36" s="118"/>
      <c r="QMJ36" s="118"/>
      <c r="QMK36" s="118"/>
      <c r="QML36" s="118"/>
      <c r="QMM36" s="118"/>
      <c r="QMN36" s="118"/>
      <c r="QMO36" s="118"/>
      <c r="QMP36" s="118"/>
      <c r="QMQ36" s="118"/>
      <c r="QMR36" s="118"/>
      <c r="QMS36" s="118"/>
      <c r="QMT36" s="118"/>
      <c r="QMU36" s="118"/>
      <c r="QMV36" s="118"/>
      <c r="QMW36" s="118"/>
      <c r="QMX36" s="118"/>
      <c r="QMY36" s="118"/>
      <c r="QMZ36" s="118"/>
      <c r="QNA36" s="118"/>
      <c r="QNB36" s="118"/>
      <c r="QNC36" s="118"/>
      <c r="QND36" s="118"/>
      <c r="QNE36" s="118"/>
      <c r="QNF36" s="118"/>
      <c r="QNG36" s="118"/>
      <c r="QNH36" s="118"/>
      <c r="QNI36" s="118"/>
      <c r="QNJ36" s="118"/>
      <c r="QNK36" s="118"/>
      <c r="QNL36" s="118"/>
      <c r="QNM36" s="118"/>
      <c r="QNN36" s="118"/>
      <c r="QNO36" s="118"/>
      <c r="QNP36" s="118"/>
      <c r="QNQ36" s="118"/>
      <c r="QNR36" s="118"/>
      <c r="QNS36" s="118"/>
      <c r="QNT36" s="118"/>
      <c r="QNU36" s="118"/>
      <c r="QNV36" s="118"/>
      <c r="QNW36" s="118"/>
      <c r="QNX36" s="118"/>
      <c r="QNY36" s="118"/>
      <c r="QNZ36" s="118"/>
      <c r="QOA36" s="118"/>
      <c r="QOB36" s="118"/>
      <c r="QOC36" s="118"/>
      <c r="QOD36" s="118"/>
      <c r="QOE36" s="118"/>
      <c r="QOF36" s="118"/>
      <c r="QOG36" s="118"/>
      <c r="QOH36" s="118"/>
      <c r="QOI36" s="118"/>
      <c r="QOJ36" s="118"/>
      <c r="QOK36" s="118"/>
      <c r="QOL36" s="118"/>
      <c r="QOM36" s="118"/>
      <c r="QON36" s="118"/>
      <c r="QOO36" s="118"/>
      <c r="QOP36" s="118"/>
      <c r="QOQ36" s="118"/>
      <c r="QOR36" s="118"/>
      <c r="QOS36" s="118"/>
      <c r="QOT36" s="118"/>
      <c r="QOU36" s="118"/>
      <c r="QOV36" s="118"/>
      <c r="QOW36" s="118"/>
      <c r="QOX36" s="118"/>
      <c r="QOY36" s="118"/>
      <c r="QOZ36" s="118"/>
      <c r="QPA36" s="118"/>
      <c r="QPB36" s="118"/>
      <c r="QPC36" s="118"/>
      <c r="QPD36" s="118"/>
      <c r="QPE36" s="118"/>
      <c r="QPF36" s="118"/>
      <c r="QPG36" s="118"/>
      <c r="QPH36" s="118"/>
      <c r="QPI36" s="118"/>
      <c r="QPJ36" s="118"/>
      <c r="QPK36" s="118"/>
      <c r="QPL36" s="118"/>
      <c r="QPM36" s="118"/>
      <c r="QPN36" s="118"/>
      <c r="QPO36" s="118"/>
      <c r="QPP36" s="118"/>
      <c r="QPQ36" s="118"/>
      <c r="QPR36" s="118"/>
      <c r="QPS36" s="118"/>
      <c r="QPT36" s="118"/>
      <c r="QPU36" s="118"/>
      <c r="QPV36" s="118"/>
      <c r="QPW36" s="118"/>
      <c r="QPX36" s="118"/>
      <c r="QPY36" s="118"/>
      <c r="QPZ36" s="118"/>
      <c r="QQA36" s="118"/>
      <c r="QQB36" s="118"/>
      <c r="QQC36" s="118"/>
      <c r="QQD36" s="118"/>
      <c r="QQE36" s="118"/>
      <c r="QQF36" s="118"/>
      <c r="QQG36" s="118"/>
      <c r="QQH36" s="118"/>
      <c r="QQI36" s="118"/>
      <c r="QQJ36" s="118"/>
      <c r="QQK36" s="118"/>
      <c r="QQL36" s="118"/>
      <c r="QQM36" s="118"/>
      <c r="QQN36" s="118"/>
      <c r="QQO36" s="118"/>
      <c r="QQP36" s="118"/>
      <c r="QQQ36" s="118"/>
      <c r="QQR36" s="118"/>
      <c r="QQS36" s="118"/>
      <c r="QQT36" s="118"/>
      <c r="QQU36" s="118"/>
      <c r="QQV36" s="118"/>
      <c r="QQW36" s="118"/>
      <c r="QQX36" s="118"/>
      <c r="QQY36" s="118"/>
      <c r="QQZ36" s="118"/>
      <c r="QRA36" s="118"/>
      <c r="QRB36" s="118"/>
      <c r="QRC36" s="118"/>
      <c r="QRD36" s="118"/>
      <c r="QRE36" s="118"/>
      <c r="QRF36" s="118"/>
      <c r="QRG36" s="118"/>
      <c r="QRH36" s="118"/>
      <c r="QRI36" s="118"/>
      <c r="QRJ36" s="118"/>
      <c r="QRK36" s="118"/>
      <c r="QRL36" s="118"/>
      <c r="QRM36" s="118"/>
      <c r="QRN36" s="118"/>
      <c r="QRO36" s="118"/>
      <c r="QRP36" s="118"/>
      <c r="QRQ36" s="118"/>
      <c r="QRR36" s="118"/>
      <c r="QRS36" s="118"/>
      <c r="QRT36" s="118"/>
      <c r="QRU36" s="118"/>
      <c r="QRV36" s="118"/>
      <c r="QRW36" s="118"/>
      <c r="QRX36" s="118"/>
      <c r="QRY36" s="118"/>
      <c r="QRZ36" s="118"/>
      <c r="QSA36" s="118"/>
      <c r="QSB36" s="118"/>
      <c r="QSC36" s="118"/>
      <c r="QSD36" s="118"/>
      <c r="QSE36" s="118"/>
      <c r="QSF36" s="118"/>
      <c r="QSG36" s="118"/>
      <c r="QSH36" s="118"/>
      <c r="QSI36" s="118"/>
      <c r="QSJ36" s="118"/>
      <c r="QSK36" s="118"/>
      <c r="QSL36" s="118"/>
      <c r="QSM36" s="118"/>
      <c r="QSN36" s="118"/>
      <c r="QSO36" s="118"/>
      <c r="QSP36" s="118"/>
      <c r="QSQ36" s="118"/>
      <c r="QSR36" s="118"/>
      <c r="QSS36" s="118"/>
      <c r="QST36" s="118"/>
      <c r="QSU36" s="118"/>
      <c r="QSV36" s="118"/>
      <c r="QSW36" s="118"/>
      <c r="QSX36" s="118"/>
      <c r="QSY36" s="118"/>
      <c r="QSZ36" s="118"/>
      <c r="QTA36" s="118"/>
      <c r="QTB36" s="118"/>
      <c r="QTC36" s="118"/>
      <c r="QTD36" s="118"/>
      <c r="QTE36" s="118"/>
      <c r="QTF36" s="118"/>
      <c r="QTG36" s="118"/>
      <c r="QTH36" s="118"/>
      <c r="QTI36" s="118"/>
      <c r="QTJ36" s="118"/>
      <c r="QTK36" s="118"/>
      <c r="QTL36" s="118"/>
      <c r="QTM36" s="118"/>
      <c r="QTN36" s="118"/>
      <c r="QTO36" s="118"/>
      <c r="QTP36" s="118"/>
      <c r="QTQ36" s="118"/>
      <c r="QTR36" s="118"/>
      <c r="QTS36" s="118"/>
      <c r="QTT36" s="118"/>
      <c r="QTU36" s="118"/>
      <c r="QTV36" s="118"/>
      <c r="QTW36" s="118"/>
      <c r="QTX36" s="118"/>
      <c r="QTY36" s="118"/>
      <c r="QTZ36" s="118"/>
      <c r="QUA36" s="118"/>
      <c r="QUB36" s="118"/>
      <c r="QUC36" s="118"/>
      <c r="QUD36" s="118"/>
      <c r="QUE36" s="118"/>
      <c r="QUF36" s="118"/>
      <c r="QUG36" s="118"/>
      <c r="QUH36" s="118"/>
      <c r="QUI36" s="118"/>
      <c r="QUJ36" s="118"/>
      <c r="QUK36" s="118"/>
      <c r="QUL36" s="118"/>
      <c r="QUM36" s="118"/>
      <c r="QUN36" s="118"/>
      <c r="QUO36" s="118"/>
      <c r="QUP36" s="118"/>
      <c r="QUQ36" s="118"/>
      <c r="QUR36" s="118"/>
      <c r="QUS36" s="118"/>
      <c r="QUT36" s="118"/>
      <c r="QUU36" s="118"/>
      <c r="QUV36" s="118"/>
      <c r="QUW36" s="118"/>
      <c r="QUX36" s="118"/>
      <c r="QUY36" s="118"/>
      <c r="QUZ36" s="118"/>
      <c r="QVA36" s="118"/>
      <c r="QVB36" s="118"/>
      <c r="QVC36" s="118"/>
      <c r="QVD36" s="118"/>
      <c r="QVE36" s="118"/>
      <c r="QVF36" s="118"/>
      <c r="QVG36" s="118"/>
      <c r="QVH36" s="118"/>
      <c r="QVI36" s="118"/>
      <c r="QVJ36" s="118"/>
      <c r="QVK36" s="118"/>
      <c r="QVL36" s="118"/>
      <c r="QVM36" s="118"/>
      <c r="QVN36" s="118"/>
      <c r="QVO36" s="118"/>
      <c r="QVP36" s="118"/>
      <c r="QVQ36" s="118"/>
      <c r="QVR36" s="118"/>
      <c r="QVS36" s="118"/>
      <c r="QVT36" s="118"/>
      <c r="QVU36" s="118"/>
      <c r="QVV36" s="118"/>
      <c r="QVW36" s="118"/>
      <c r="QVX36" s="118"/>
      <c r="QVY36" s="118"/>
      <c r="QVZ36" s="118"/>
      <c r="QWA36" s="118"/>
      <c r="QWB36" s="118"/>
      <c r="QWC36" s="118"/>
      <c r="QWD36" s="118"/>
      <c r="QWE36" s="118"/>
      <c r="QWF36" s="118"/>
      <c r="QWG36" s="118"/>
      <c r="QWH36" s="118"/>
      <c r="QWI36" s="118"/>
      <c r="QWJ36" s="118"/>
      <c r="QWK36" s="118"/>
      <c r="QWL36" s="118"/>
      <c r="QWM36" s="118"/>
      <c r="QWN36" s="118"/>
      <c r="QWO36" s="118"/>
      <c r="QWP36" s="118"/>
      <c r="QWQ36" s="118"/>
      <c r="QWR36" s="118"/>
      <c r="QWS36" s="118"/>
      <c r="QWT36" s="118"/>
      <c r="QWU36" s="118"/>
      <c r="QWV36" s="118"/>
      <c r="QWW36" s="118"/>
      <c r="QWX36" s="118"/>
      <c r="QWY36" s="118"/>
      <c r="QWZ36" s="118"/>
      <c r="QXA36" s="118"/>
      <c r="QXB36" s="118"/>
      <c r="QXC36" s="118"/>
      <c r="QXD36" s="118"/>
      <c r="QXE36" s="118"/>
      <c r="QXF36" s="118"/>
      <c r="QXG36" s="118"/>
      <c r="QXH36" s="118"/>
      <c r="QXI36" s="118"/>
      <c r="QXJ36" s="118"/>
      <c r="QXK36" s="118"/>
      <c r="QXL36" s="118"/>
      <c r="QXM36" s="118"/>
      <c r="QXN36" s="118"/>
      <c r="QXO36" s="118"/>
      <c r="QXP36" s="118"/>
      <c r="QXQ36" s="118"/>
      <c r="QXR36" s="118"/>
      <c r="QXS36" s="118"/>
      <c r="QXT36" s="118"/>
      <c r="QXU36" s="118"/>
      <c r="QXV36" s="118"/>
      <c r="QXW36" s="118"/>
      <c r="QXX36" s="118"/>
      <c r="QXY36" s="118"/>
      <c r="QXZ36" s="118"/>
      <c r="QYA36" s="118"/>
      <c r="QYB36" s="118"/>
      <c r="QYC36" s="118"/>
      <c r="QYD36" s="118"/>
      <c r="QYE36" s="118"/>
      <c r="QYF36" s="118"/>
      <c r="QYG36" s="118"/>
      <c r="QYH36" s="118"/>
      <c r="QYI36" s="118"/>
      <c r="QYJ36" s="118"/>
      <c r="QYK36" s="118"/>
      <c r="QYL36" s="118"/>
      <c r="QYM36" s="118"/>
      <c r="QYN36" s="118"/>
      <c r="QYO36" s="118"/>
      <c r="QYP36" s="118"/>
      <c r="QYQ36" s="118"/>
      <c r="QYR36" s="118"/>
      <c r="QYS36" s="118"/>
      <c r="QYT36" s="118"/>
      <c r="QYU36" s="118"/>
      <c r="QYV36" s="118"/>
      <c r="QYW36" s="118"/>
      <c r="QYX36" s="118"/>
      <c r="QYY36" s="118"/>
      <c r="QYZ36" s="118"/>
      <c r="QZA36" s="118"/>
      <c r="QZB36" s="118"/>
      <c r="QZC36" s="118"/>
      <c r="QZD36" s="118"/>
      <c r="QZE36" s="118"/>
      <c r="QZF36" s="118"/>
      <c r="QZG36" s="118"/>
      <c r="QZH36" s="118"/>
      <c r="QZI36" s="118"/>
      <c r="QZJ36" s="118"/>
      <c r="QZK36" s="118"/>
      <c r="QZL36" s="118"/>
      <c r="QZM36" s="118"/>
      <c r="QZN36" s="118"/>
      <c r="QZO36" s="118"/>
      <c r="QZP36" s="118"/>
      <c r="QZQ36" s="118"/>
      <c r="QZR36" s="118"/>
      <c r="QZS36" s="118"/>
      <c r="QZT36" s="118"/>
      <c r="QZU36" s="118"/>
      <c r="QZV36" s="118"/>
      <c r="QZW36" s="118"/>
      <c r="QZX36" s="118"/>
      <c r="QZY36" s="118"/>
      <c r="QZZ36" s="118"/>
      <c r="RAA36" s="118"/>
      <c r="RAB36" s="118"/>
      <c r="RAC36" s="118"/>
      <c r="RAD36" s="118"/>
      <c r="RAE36" s="118"/>
      <c r="RAF36" s="118"/>
      <c r="RAG36" s="118"/>
      <c r="RAH36" s="118"/>
      <c r="RAI36" s="118"/>
      <c r="RAJ36" s="118"/>
      <c r="RAK36" s="118"/>
      <c r="RAL36" s="118"/>
      <c r="RAM36" s="118"/>
      <c r="RAN36" s="118"/>
      <c r="RAO36" s="118"/>
      <c r="RAP36" s="118"/>
      <c r="RAQ36" s="118"/>
      <c r="RAR36" s="118"/>
      <c r="RAS36" s="118"/>
      <c r="RAT36" s="118"/>
      <c r="RAU36" s="118"/>
      <c r="RAV36" s="118"/>
      <c r="RAW36" s="118"/>
      <c r="RAX36" s="118"/>
      <c r="RAY36" s="118"/>
      <c r="RAZ36" s="118"/>
      <c r="RBA36" s="118"/>
      <c r="RBB36" s="118"/>
      <c r="RBC36" s="118"/>
      <c r="RBD36" s="118"/>
      <c r="RBE36" s="118"/>
      <c r="RBF36" s="118"/>
      <c r="RBG36" s="118"/>
      <c r="RBH36" s="118"/>
      <c r="RBI36" s="118"/>
      <c r="RBJ36" s="118"/>
      <c r="RBK36" s="118"/>
      <c r="RBL36" s="118"/>
      <c r="RBM36" s="118"/>
      <c r="RBN36" s="118"/>
      <c r="RBO36" s="118"/>
      <c r="RBP36" s="118"/>
      <c r="RBQ36" s="118"/>
      <c r="RBR36" s="118"/>
      <c r="RBS36" s="118"/>
      <c r="RBT36" s="118"/>
      <c r="RBU36" s="118"/>
      <c r="RBV36" s="118"/>
      <c r="RBW36" s="118"/>
      <c r="RBX36" s="118"/>
      <c r="RBY36" s="118"/>
      <c r="RBZ36" s="118"/>
      <c r="RCA36" s="118"/>
      <c r="RCB36" s="118"/>
      <c r="RCC36" s="118"/>
      <c r="RCD36" s="118"/>
      <c r="RCE36" s="118"/>
      <c r="RCF36" s="118"/>
      <c r="RCG36" s="118"/>
      <c r="RCH36" s="118"/>
      <c r="RCI36" s="118"/>
      <c r="RCJ36" s="118"/>
      <c r="RCK36" s="118"/>
      <c r="RCL36" s="118"/>
      <c r="RCM36" s="118"/>
      <c r="RCN36" s="118"/>
      <c r="RCO36" s="118"/>
      <c r="RCP36" s="118"/>
      <c r="RCQ36" s="118"/>
      <c r="RCR36" s="118"/>
      <c r="RCS36" s="118"/>
      <c r="RCT36" s="118"/>
      <c r="RCU36" s="118"/>
      <c r="RCV36" s="118"/>
      <c r="RCW36" s="118"/>
      <c r="RCX36" s="118"/>
      <c r="RCY36" s="118"/>
      <c r="RCZ36" s="118"/>
      <c r="RDA36" s="118"/>
      <c r="RDB36" s="118"/>
      <c r="RDC36" s="118"/>
      <c r="RDD36" s="118"/>
      <c r="RDE36" s="118"/>
      <c r="RDF36" s="118"/>
      <c r="RDG36" s="118"/>
      <c r="RDH36" s="118"/>
      <c r="RDI36" s="118"/>
      <c r="RDJ36" s="118"/>
      <c r="RDK36" s="118"/>
      <c r="RDL36" s="118"/>
      <c r="RDM36" s="118"/>
      <c r="RDN36" s="118"/>
      <c r="RDO36" s="118"/>
      <c r="RDP36" s="118"/>
      <c r="RDQ36" s="118"/>
      <c r="RDR36" s="118"/>
      <c r="RDS36" s="118"/>
      <c r="RDT36" s="118"/>
      <c r="RDU36" s="118"/>
      <c r="RDV36" s="118"/>
      <c r="RDW36" s="118"/>
      <c r="RDX36" s="118"/>
      <c r="RDY36" s="118"/>
      <c r="RDZ36" s="118"/>
      <c r="REA36" s="118"/>
      <c r="REB36" s="118"/>
      <c r="REC36" s="118"/>
      <c r="RED36" s="118"/>
      <c r="REE36" s="118"/>
      <c r="REF36" s="118"/>
      <c r="REG36" s="118"/>
      <c r="REH36" s="118"/>
      <c r="REI36" s="118"/>
      <c r="REJ36" s="118"/>
      <c r="REK36" s="118"/>
      <c r="REL36" s="118"/>
      <c r="REM36" s="118"/>
      <c r="REN36" s="118"/>
      <c r="REO36" s="118"/>
      <c r="REP36" s="118"/>
      <c r="REQ36" s="118"/>
      <c r="RER36" s="118"/>
      <c r="RES36" s="118"/>
      <c r="RET36" s="118"/>
      <c r="REU36" s="118"/>
      <c r="REV36" s="118"/>
      <c r="REW36" s="118"/>
      <c r="REX36" s="118"/>
      <c r="REY36" s="118"/>
      <c r="REZ36" s="118"/>
      <c r="RFA36" s="118"/>
      <c r="RFB36" s="118"/>
      <c r="RFC36" s="118"/>
      <c r="RFD36" s="118"/>
      <c r="RFE36" s="118"/>
      <c r="RFF36" s="118"/>
      <c r="RFG36" s="118"/>
      <c r="RFH36" s="118"/>
      <c r="RFI36" s="118"/>
      <c r="RFJ36" s="118"/>
      <c r="RFK36" s="118"/>
      <c r="RFL36" s="118"/>
      <c r="RFM36" s="118"/>
      <c r="RFN36" s="118"/>
      <c r="RFO36" s="118"/>
      <c r="RFP36" s="118"/>
      <c r="RFQ36" s="118"/>
      <c r="RFR36" s="118"/>
      <c r="RFS36" s="118"/>
      <c r="RFT36" s="118"/>
      <c r="RFU36" s="118"/>
      <c r="RFV36" s="118"/>
      <c r="RFW36" s="118"/>
      <c r="RFX36" s="118"/>
      <c r="RFY36" s="118"/>
      <c r="RFZ36" s="118"/>
      <c r="RGA36" s="118"/>
      <c r="RGB36" s="118"/>
      <c r="RGC36" s="118"/>
      <c r="RGD36" s="118"/>
      <c r="RGE36" s="118"/>
      <c r="RGF36" s="118"/>
      <c r="RGG36" s="118"/>
      <c r="RGH36" s="118"/>
      <c r="RGI36" s="118"/>
      <c r="RGJ36" s="118"/>
      <c r="RGK36" s="118"/>
      <c r="RGL36" s="118"/>
      <c r="RGM36" s="118"/>
      <c r="RGN36" s="118"/>
      <c r="RGO36" s="118"/>
      <c r="RGP36" s="118"/>
      <c r="RGQ36" s="118"/>
      <c r="RGR36" s="118"/>
      <c r="RGS36" s="118"/>
      <c r="RGT36" s="118"/>
      <c r="RGU36" s="118"/>
      <c r="RGV36" s="118"/>
      <c r="RGW36" s="118"/>
      <c r="RGX36" s="118"/>
      <c r="RGY36" s="118"/>
      <c r="RGZ36" s="118"/>
      <c r="RHA36" s="118"/>
      <c r="RHB36" s="118"/>
      <c r="RHC36" s="118"/>
      <c r="RHD36" s="118"/>
      <c r="RHE36" s="118"/>
      <c r="RHF36" s="118"/>
      <c r="RHG36" s="118"/>
      <c r="RHH36" s="118"/>
      <c r="RHI36" s="118"/>
      <c r="RHJ36" s="118"/>
      <c r="RHK36" s="118"/>
      <c r="RHL36" s="118"/>
      <c r="RHM36" s="118"/>
      <c r="RHN36" s="118"/>
      <c r="RHO36" s="118"/>
      <c r="RHP36" s="118"/>
      <c r="RHQ36" s="118"/>
      <c r="RHR36" s="118"/>
      <c r="RHS36" s="118"/>
      <c r="RHT36" s="118"/>
      <c r="RHU36" s="118"/>
      <c r="RHV36" s="118"/>
      <c r="RHW36" s="118"/>
      <c r="RHX36" s="118"/>
      <c r="RHY36" s="118"/>
      <c r="RHZ36" s="118"/>
      <c r="RIA36" s="118"/>
      <c r="RIB36" s="118"/>
      <c r="RIC36" s="118"/>
      <c r="RID36" s="118"/>
      <c r="RIE36" s="118"/>
      <c r="RIF36" s="118"/>
      <c r="RIG36" s="118"/>
      <c r="RIH36" s="118"/>
      <c r="RII36" s="118"/>
      <c r="RIJ36" s="118"/>
      <c r="RIK36" s="118"/>
      <c r="RIL36" s="118"/>
      <c r="RIM36" s="118"/>
      <c r="RIN36" s="118"/>
      <c r="RIO36" s="118"/>
      <c r="RIP36" s="118"/>
      <c r="RIQ36" s="118"/>
      <c r="RIR36" s="118"/>
      <c r="RIS36" s="118"/>
      <c r="RIT36" s="118"/>
      <c r="RIU36" s="118"/>
      <c r="RIV36" s="118"/>
      <c r="RIW36" s="118"/>
      <c r="RIX36" s="118"/>
      <c r="RIY36" s="118"/>
      <c r="RIZ36" s="118"/>
      <c r="RJA36" s="118"/>
      <c r="RJB36" s="118"/>
      <c r="RJC36" s="118"/>
      <c r="RJD36" s="118"/>
      <c r="RJE36" s="118"/>
      <c r="RJF36" s="118"/>
      <c r="RJG36" s="118"/>
      <c r="RJH36" s="118"/>
      <c r="RJI36" s="118"/>
      <c r="RJJ36" s="118"/>
      <c r="RJK36" s="118"/>
      <c r="RJL36" s="118"/>
      <c r="RJM36" s="118"/>
      <c r="RJN36" s="118"/>
      <c r="RJO36" s="118"/>
      <c r="RJP36" s="118"/>
      <c r="RJQ36" s="118"/>
      <c r="RJR36" s="118"/>
      <c r="RJS36" s="118"/>
      <c r="RJT36" s="118"/>
      <c r="RJU36" s="118"/>
      <c r="RJV36" s="118"/>
      <c r="RJW36" s="118"/>
      <c r="RJX36" s="118"/>
      <c r="RJY36" s="118"/>
      <c r="RJZ36" s="118"/>
      <c r="RKA36" s="118"/>
      <c r="RKB36" s="118"/>
      <c r="RKC36" s="118"/>
      <c r="RKD36" s="118"/>
      <c r="RKE36" s="118"/>
      <c r="RKF36" s="118"/>
      <c r="RKG36" s="118"/>
      <c r="RKH36" s="118"/>
      <c r="RKI36" s="118"/>
      <c r="RKJ36" s="118"/>
      <c r="RKK36" s="118"/>
      <c r="RKL36" s="118"/>
      <c r="RKM36" s="118"/>
      <c r="RKN36" s="118"/>
      <c r="RKO36" s="118"/>
      <c r="RKP36" s="118"/>
      <c r="RKQ36" s="118"/>
      <c r="RKR36" s="118"/>
      <c r="RKS36" s="118"/>
      <c r="RKT36" s="118"/>
      <c r="RKU36" s="118"/>
      <c r="RKV36" s="118"/>
      <c r="RKW36" s="118"/>
      <c r="RKX36" s="118"/>
      <c r="RKY36" s="118"/>
      <c r="RKZ36" s="118"/>
      <c r="RLA36" s="118"/>
      <c r="RLB36" s="118"/>
      <c r="RLC36" s="118"/>
      <c r="RLD36" s="118"/>
      <c r="RLE36" s="118"/>
      <c r="RLF36" s="118"/>
      <c r="RLG36" s="118"/>
      <c r="RLH36" s="118"/>
      <c r="RLI36" s="118"/>
      <c r="RLJ36" s="118"/>
      <c r="RLK36" s="118"/>
      <c r="RLL36" s="118"/>
      <c r="RLM36" s="118"/>
      <c r="RLN36" s="118"/>
      <c r="RLO36" s="118"/>
      <c r="RLP36" s="118"/>
      <c r="RLQ36" s="118"/>
      <c r="RLR36" s="118"/>
      <c r="RLS36" s="118"/>
      <c r="RLT36" s="118"/>
      <c r="RLU36" s="118"/>
      <c r="RLV36" s="118"/>
      <c r="RLW36" s="118"/>
      <c r="RLX36" s="118"/>
      <c r="RLY36" s="118"/>
      <c r="RLZ36" s="118"/>
      <c r="RMA36" s="118"/>
      <c r="RMB36" s="118"/>
      <c r="RMC36" s="118"/>
      <c r="RMD36" s="118"/>
      <c r="RME36" s="118"/>
      <c r="RMF36" s="118"/>
      <c r="RMG36" s="118"/>
      <c r="RMH36" s="118"/>
      <c r="RMI36" s="118"/>
      <c r="RMJ36" s="118"/>
      <c r="RMK36" s="118"/>
      <c r="RML36" s="118"/>
      <c r="RMM36" s="118"/>
      <c r="RMN36" s="118"/>
      <c r="RMO36" s="118"/>
      <c r="RMP36" s="118"/>
      <c r="RMQ36" s="118"/>
      <c r="RMR36" s="118"/>
      <c r="RMS36" s="118"/>
      <c r="RMT36" s="118"/>
      <c r="RMU36" s="118"/>
      <c r="RMV36" s="118"/>
      <c r="RMW36" s="118"/>
      <c r="RMX36" s="118"/>
      <c r="RMY36" s="118"/>
      <c r="RMZ36" s="118"/>
      <c r="RNA36" s="118"/>
      <c r="RNB36" s="118"/>
      <c r="RNC36" s="118"/>
      <c r="RND36" s="118"/>
      <c r="RNE36" s="118"/>
      <c r="RNF36" s="118"/>
      <c r="RNG36" s="118"/>
      <c r="RNH36" s="118"/>
      <c r="RNI36" s="118"/>
      <c r="RNJ36" s="118"/>
      <c r="RNK36" s="118"/>
      <c r="RNL36" s="118"/>
      <c r="RNM36" s="118"/>
      <c r="RNN36" s="118"/>
      <c r="RNO36" s="118"/>
      <c r="RNP36" s="118"/>
      <c r="RNQ36" s="118"/>
      <c r="RNR36" s="118"/>
      <c r="RNS36" s="118"/>
      <c r="RNT36" s="118"/>
      <c r="RNU36" s="118"/>
      <c r="RNV36" s="118"/>
      <c r="RNW36" s="118"/>
      <c r="RNX36" s="118"/>
      <c r="RNY36" s="118"/>
      <c r="RNZ36" s="118"/>
      <c r="ROA36" s="118"/>
      <c r="ROB36" s="118"/>
      <c r="ROC36" s="118"/>
      <c r="ROD36" s="118"/>
      <c r="ROE36" s="118"/>
      <c r="ROF36" s="118"/>
      <c r="ROG36" s="118"/>
      <c r="ROH36" s="118"/>
      <c r="ROI36" s="118"/>
      <c r="ROJ36" s="118"/>
      <c r="ROK36" s="118"/>
      <c r="ROL36" s="118"/>
      <c r="ROM36" s="118"/>
      <c r="RON36" s="118"/>
      <c r="ROO36" s="118"/>
      <c r="ROP36" s="118"/>
      <c r="ROQ36" s="118"/>
      <c r="ROR36" s="118"/>
      <c r="ROS36" s="118"/>
      <c r="ROT36" s="118"/>
      <c r="ROU36" s="118"/>
      <c r="ROV36" s="118"/>
      <c r="ROW36" s="118"/>
      <c r="ROX36" s="118"/>
      <c r="ROY36" s="118"/>
      <c r="ROZ36" s="118"/>
      <c r="RPA36" s="118"/>
      <c r="RPB36" s="118"/>
      <c r="RPC36" s="118"/>
      <c r="RPD36" s="118"/>
      <c r="RPE36" s="118"/>
      <c r="RPF36" s="118"/>
      <c r="RPG36" s="118"/>
      <c r="RPH36" s="118"/>
      <c r="RPI36" s="118"/>
      <c r="RPJ36" s="118"/>
      <c r="RPK36" s="118"/>
      <c r="RPL36" s="118"/>
      <c r="RPM36" s="118"/>
      <c r="RPN36" s="118"/>
      <c r="RPO36" s="118"/>
      <c r="RPP36" s="118"/>
      <c r="RPQ36" s="118"/>
      <c r="RPR36" s="118"/>
      <c r="RPS36" s="118"/>
      <c r="RPT36" s="118"/>
      <c r="RPU36" s="118"/>
      <c r="RPV36" s="118"/>
      <c r="RPW36" s="118"/>
      <c r="RPX36" s="118"/>
      <c r="RPY36" s="118"/>
      <c r="RPZ36" s="118"/>
      <c r="RQA36" s="118"/>
      <c r="RQB36" s="118"/>
      <c r="RQC36" s="118"/>
      <c r="RQD36" s="118"/>
      <c r="RQE36" s="118"/>
      <c r="RQF36" s="118"/>
      <c r="RQG36" s="118"/>
      <c r="RQH36" s="118"/>
      <c r="RQI36" s="118"/>
      <c r="RQJ36" s="118"/>
      <c r="RQK36" s="118"/>
      <c r="RQL36" s="118"/>
      <c r="RQM36" s="118"/>
      <c r="RQN36" s="118"/>
      <c r="RQO36" s="118"/>
      <c r="RQP36" s="118"/>
      <c r="RQQ36" s="118"/>
      <c r="RQR36" s="118"/>
      <c r="RQS36" s="118"/>
      <c r="RQT36" s="118"/>
      <c r="RQU36" s="118"/>
      <c r="RQV36" s="118"/>
      <c r="RQW36" s="118"/>
      <c r="RQX36" s="118"/>
      <c r="RQY36" s="118"/>
      <c r="RQZ36" s="118"/>
      <c r="RRA36" s="118"/>
      <c r="RRB36" s="118"/>
      <c r="RRC36" s="118"/>
      <c r="RRD36" s="118"/>
      <c r="RRE36" s="118"/>
      <c r="RRF36" s="118"/>
      <c r="RRG36" s="118"/>
      <c r="RRH36" s="118"/>
      <c r="RRI36" s="118"/>
      <c r="RRJ36" s="118"/>
      <c r="RRK36" s="118"/>
      <c r="RRL36" s="118"/>
      <c r="RRM36" s="118"/>
      <c r="RRN36" s="118"/>
      <c r="RRO36" s="118"/>
      <c r="RRP36" s="118"/>
      <c r="RRQ36" s="118"/>
      <c r="RRR36" s="118"/>
      <c r="RRS36" s="118"/>
      <c r="RRT36" s="118"/>
      <c r="RRU36" s="118"/>
      <c r="RRV36" s="118"/>
      <c r="RRW36" s="118"/>
      <c r="RRX36" s="118"/>
      <c r="RRY36" s="118"/>
      <c r="RRZ36" s="118"/>
      <c r="RSA36" s="118"/>
      <c r="RSB36" s="118"/>
      <c r="RSC36" s="118"/>
      <c r="RSD36" s="118"/>
      <c r="RSE36" s="118"/>
      <c r="RSF36" s="118"/>
      <c r="RSG36" s="118"/>
      <c r="RSH36" s="118"/>
      <c r="RSI36" s="118"/>
      <c r="RSJ36" s="118"/>
      <c r="RSK36" s="118"/>
      <c r="RSL36" s="118"/>
      <c r="RSM36" s="118"/>
      <c r="RSN36" s="118"/>
      <c r="RSO36" s="118"/>
      <c r="RSP36" s="118"/>
      <c r="RSQ36" s="118"/>
      <c r="RSR36" s="118"/>
      <c r="RSS36" s="118"/>
      <c r="RST36" s="118"/>
      <c r="RSU36" s="118"/>
      <c r="RSV36" s="118"/>
      <c r="RSW36" s="118"/>
      <c r="RSX36" s="118"/>
      <c r="RSY36" s="118"/>
      <c r="RSZ36" s="118"/>
      <c r="RTA36" s="118"/>
      <c r="RTB36" s="118"/>
      <c r="RTC36" s="118"/>
      <c r="RTD36" s="118"/>
      <c r="RTE36" s="118"/>
      <c r="RTF36" s="118"/>
      <c r="RTG36" s="118"/>
      <c r="RTH36" s="118"/>
      <c r="RTI36" s="118"/>
      <c r="RTJ36" s="118"/>
      <c r="RTK36" s="118"/>
      <c r="RTL36" s="118"/>
      <c r="RTM36" s="118"/>
      <c r="RTN36" s="118"/>
      <c r="RTO36" s="118"/>
      <c r="RTP36" s="118"/>
      <c r="RTQ36" s="118"/>
      <c r="RTR36" s="118"/>
      <c r="RTS36" s="118"/>
      <c r="RTT36" s="118"/>
      <c r="RTU36" s="118"/>
      <c r="RTV36" s="118"/>
      <c r="RTW36" s="118"/>
      <c r="RTX36" s="118"/>
      <c r="RTY36" s="118"/>
      <c r="RTZ36" s="118"/>
      <c r="RUA36" s="118"/>
      <c r="RUB36" s="118"/>
      <c r="RUC36" s="118"/>
      <c r="RUD36" s="118"/>
      <c r="RUE36" s="118"/>
      <c r="RUF36" s="118"/>
      <c r="RUG36" s="118"/>
      <c r="RUH36" s="118"/>
      <c r="RUI36" s="118"/>
      <c r="RUJ36" s="118"/>
      <c r="RUK36" s="118"/>
      <c r="RUL36" s="118"/>
      <c r="RUM36" s="118"/>
      <c r="RUN36" s="118"/>
      <c r="RUO36" s="118"/>
      <c r="RUP36" s="118"/>
      <c r="RUQ36" s="118"/>
      <c r="RUR36" s="118"/>
      <c r="RUS36" s="118"/>
      <c r="RUT36" s="118"/>
      <c r="RUU36" s="118"/>
      <c r="RUV36" s="118"/>
      <c r="RUW36" s="118"/>
      <c r="RUX36" s="118"/>
      <c r="RUY36" s="118"/>
      <c r="RUZ36" s="118"/>
      <c r="RVA36" s="118"/>
      <c r="RVB36" s="118"/>
      <c r="RVC36" s="118"/>
      <c r="RVD36" s="118"/>
      <c r="RVE36" s="118"/>
      <c r="RVF36" s="118"/>
      <c r="RVG36" s="118"/>
      <c r="RVH36" s="118"/>
      <c r="RVI36" s="118"/>
      <c r="RVJ36" s="118"/>
      <c r="RVK36" s="118"/>
      <c r="RVL36" s="118"/>
      <c r="RVM36" s="118"/>
      <c r="RVN36" s="118"/>
      <c r="RVO36" s="118"/>
      <c r="RVP36" s="118"/>
      <c r="RVQ36" s="118"/>
      <c r="RVR36" s="118"/>
      <c r="RVS36" s="118"/>
      <c r="RVT36" s="118"/>
      <c r="RVU36" s="118"/>
      <c r="RVV36" s="118"/>
      <c r="RVW36" s="118"/>
      <c r="RVX36" s="118"/>
      <c r="RVY36" s="118"/>
      <c r="RVZ36" s="118"/>
      <c r="RWA36" s="118"/>
      <c r="RWB36" s="118"/>
      <c r="RWC36" s="118"/>
      <c r="RWD36" s="118"/>
      <c r="RWE36" s="118"/>
      <c r="RWF36" s="118"/>
      <c r="RWG36" s="118"/>
      <c r="RWH36" s="118"/>
      <c r="RWI36" s="118"/>
      <c r="RWJ36" s="118"/>
      <c r="RWK36" s="118"/>
      <c r="RWL36" s="118"/>
      <c r="RWM36" s="118"/>
      <c r="RWN36" s="118"/>
      <c r="RWO36" s="118"/>
      <c r="RWP36" s="118"/>
      <c r="RWQ36" s="118"/>
      <c r="RWR36" s="118"/>
      <c r="RWS36" s="118"/>
      <c r="RWT36" s="118"/>
      <c r="RWU36" s="118"/>
      <c r="RWV36" s="118"/>
      <c r="RWW36" s="118"/>
      <c r="RWX36" s="118"/>
      <c r="RWY36" s="118"/>
      <c r="RWZ36" s="118"/>
      <c r="RXA36" s="118"/>
      <c r="RXB36" s="118"/>
      <c r="RXC36" s="118"/>
      <c r="RXD36" s="118"/>
      <c r="RXE36" s="118"/>
      <c r="RXF36" s="118"/>
      <c r="RXG36" s="118"/>
      <c r="RXH36" s="118"/>
      <c r="RXI36" s="118"/>
      <c r="RXJ36" s="118"/>
      <c r="RXK36" s="118"/>
      <c r="RXL36" s="118"/>
      <c r="RXM36" s="118"/>
      <c r="RXN36" s="118"/>
      <c r="RXO36" s="118"/>
      <c r="RXP36" s="118"/>
      <c r="RXQ36" s="118"/>
      <c r="RXR36" s="118"/>
      <c r="RXS36" s="118"/>
      <c r="RXT36" s="118"/>
      <c r="RXU36" s="118"/>
      <c r="RXV36" s="118"/>
      <c r="RXW36" s="118"/>
      <c r="RXX36" s="118"/>
      <c r="RXY36" s="118"/>
      <c r="RXZ36" s="118"/>
      <c r="RYA36" s="118"/>
      <c r="RYB36" s="118"/>
      <c r="RYC36" s="118"/>
      <c r="RYD36" s="118"/>
      <c r="RYE36" s="118"/>
      <c r="RYF36" s="118"/>
      <c r="RYG36" s="118"/>
      <c r="RYH36" s="118"/>
      <c r="RYI36" s="118"/>
      <c r="RYJ36" s="118"/>
      <c r="RYK36" s="118"/>
      <c r="RYL36" s="118"/>
      <c r="RYM36" s="118"/>
      <c r="RYN36" s="118"/>
      <c r="RYO36" s="118"/>
      <c r="RYP36" s="118"/>
      <c r="RYQ36" s="118"/>
      <c r="RYR36" s="118"/>
      <c r="RYS36" s="118"/>
      <c r="RYT36" s="118"/>
      <c r="RYU36" s="118"/>
      <c r="RYV36" s="118"/>
      <c r="RYW36" s="118"/>
      <c r="RYX36" s="118"/>
      <c r="RYY36" s="118"/>
      <c r="RYZ36" s="118"/>
      <c r="RZA36" s="118"/>
      <c r="RZB36" s="118"/>
      <c r="RZC36" s="118"/>
      <c r="RZD36" s="118"/>
      <c r="RZE36" s="118"/>
      <c r="RZF36" s="118"/>
      <c r="RZG36" s="118"/>
      <c r="RZH36" s="118"/>
      <c r="RZI36" s="118"/>
      <c r="RZJ36" s="118"/>
      <c r="RZK36" s="118"/>
      <c r="RZL36" s="118"/>
      <c r="RZM36" s="118"/>
      <c r="RZN36" s="118"/>
      <c r="RZO36" s="118"/>
      <c r="RZP36" s="118"/>
      <c r="RZQ36" s="118"/>
      <c r="RZR36" s="118"/>
      <c r="RZS36" s="118"/>
      <c r="RZT36" s="118"/>
      <c r="RZU36" s="118"/>
      <c r="RZV36" s="118"/>
      <c r="RZW36" s="118"/>
      <c r="RZX36" s="118"/>
      <c r="RZY36" s="118"/>
      <c r="RZZ36" s="118"/>
      <c r="SAA36" s="118"/>
      <c r="SAB36" s="118"/>
      <c r="SAC36" s="118"/>
      <c r="SAD36" s="118"/>
      <c r="SAE36" s="118"/>
      <c r="SAF36" s="118"/>
      <c r="SAG36" s="118"/>
      <c r="SAH36" s="118"/>
      <c r="SAI36" s="118"/>
      <c r="SAJ36" s="118"/>
      <c r="SAK36" s="118"/>
      <c r="SAL36" s="118"/>
      <c r="SAM36" s="118"/>
      <c r="SAN36" s="118"/>
      <c r="SAO36" s="118"/>
      <c r="SAP36" s="118"/>
      <c r="SAQ36" s="118"/>
      <c r="SAR36" s="118"/>
      <c r="SAS36" s="118"/>
      <c r="SAT36" s="118"/>
      <c r="SAU36" s="118"/>
      <c r="SAV36" s="118"/>
      <c r="SAW36" s="118"/>
      <c r="SAX36" s="118"/>
      <c r="SAY36" s="118"/>
      <c r="SAZ36" s="118"/>
      <c r="SBA36" s="118"/>
      <c r="SBB36" s="118"/>
      <c r="SBC36" s="118"/>
      <c r="SBD36" s="118"/>
      <c r="SBE36" s="118"/>
      <c r="SBF36" s="118"/>
      <c r="SBG36" s="118"/>
      <c r="SBH36" s="118"/>
      <c r="SBI36" s="118"/>
      <c r="SBJ36" s="118"/>
      <c r="SBK36" s="118"/>
      <c r="SBL36" s="118"/>
      <c r="SBM36" s="118"/>
      <c r="SBN36" s="118"/>
      <c r="SBO36" s="118"/>
      <c r="SBP36" s="118"/>
      <c r="SBQ36" s="118"/>
      <c r="SBR36" s="118"/>
      <c r="SBS36" s="118"/>
      <c r="SBT36" s="118"/>
      <c r="SBU36" s="118"/>
      <c r="SBV36" s="118"/>
      <c r="SBW36" s="118"/>
      <c r="SBX36" s="118"/>
      <c r="SBY36" s="118"/>
      <c r="SBZ36" s="118"/>
      <c r="SCA36" s="118"/>
      <c r="SCB36" s="118"/>
      <c r="SCC36" s="118"/>
      <c r="SCD36" s="118"/>
      <c r="SCE36" s="118"/>
      <c r="SCF36" s="118"/>
      <c r="SCG36" s="118"/>
      <c r="SCH36" s="118"/>
      <c r="SCI36" s="118"/>
      <c r="SCJ36" s="118"/>
      <c r="SCK36" s="118"/>
      <c r="SCL36" s="118"/>
      <c r="SCM36" s="118"/>
      <c r="SCN36" s="118"/>
      <c r="SCO36" s="118"/>
      <c r="SCP36" s="118"/>
      <c r="SCQ36" s="118"/>
      <c r="SCR36" s="118"/>
      <c r="SCS36" s="118"/>
      <c r="SCT36" s="118"/>
      <c r="SCU36" s="118"/>
      <c r="SCV36" s="118"/>
      <c r="SCW36" s="118"/>
      <c r="SCX36" s="118"/>
      <c r="SCY36" s="118"/>
      <c r="SCZ36" s="118"/>
      <c r="SDA36" s="118"/>
      <c r="SDB36" s="118"/>
      <c r="SDC36" s="118"/>
      <c r="SDD36" s="118"/>
      <c r="SDE36" s="118"/>
      <c r="SDF36" s="118"/>
      <c r="SDG36" s="118"/>
      <c r="SDH36" s="118"/>
      <c r="SDI36" s="118"/>
      <c r="SDJ36" s="118"/>
      <c r="SDK36" s="118"/>
      <c r="SDL36" s="118"/>
      <c r="SDM36" s="118"/>
      <c r="SDN36" s="118"/>
      <c r="SDO36" s="118"/>
      <c r="SDP36" s="118"/>
      <c r="SDQ36" s="118"/>
      <c r="SDR36" s="118"/>
      <c r="SDS36" s="118"/>
      <c r="SDT36" s="118"/>
      <c r="SDU36" s="118"/>
      <c r="SDV36" s="118"/>
      <c r="SDW36" s="118"/>
      <c r="SDX36" s="118"/>
      <c r="SDY36" s="118"/>
      <c r="SDZ36" s="118"/>
      <c r="SEA36" s="118"/>
      <c r="SEB36" s="118"/>
      <c r="SEC36" s="118"/>
      <c r="SED36" s="118"/>
      <c r="SEE36" s="118"/>
      <c r="SEF36" s="118"/>
      <c r="SEG36" s="118"/>
      <c r="SEH36" s="118"/>
      <c r="SEI36" s="118"/>
      <c r="SEJ36" s="118"/>
      <c r="SEK36" s="118"/>
      <c r="SEL36" s="118"/>
      <c r="SEM36" s="118"/>
      <c r="SEN36" s="118"/>
      <c r="SEO36" s="118"/>
      <c r="SEP36" s="118"/>
      <c r="SEQ36" s="118"/>
      <c r="SER36" s="118"/>
      <c r="SES36" s="118"/>
      <c r="SET36" s="118"/>
      <c r="SEU36" s="118"/>
      <c r="SEV36" s="118"/>
      <c r="SEW36" s="118"/>
      <c r="SEX36" s="118"/>
      <c r="SEY36" s="118"/>
      <c r="SEZ36" s="118"/>
      <c r="SFA36" s="118"/>
      <c r="SFB36" s="118"/>
      <c r="SFC36" s="118"/>
      <c r="SFD36" s="118"/>
      <c r="SFE36" s="118"/>
      <c r="SFF36" s="118"/>
      <c r="SFG36" s="118"/>
      <c r="SFH36" s="118"/>
      <c r="SFI36" s="118"/>
      <c r="SFJ36" s="118"/>
      <c r="SFK36" s="118"/>
      <c r="SFL36" s="118"/>
      <c r="SFM36" s="118"/>
      <c r="SFN36" s="118"/>
      <c r="SFO36" s="118"/>
      <c r="SFP36" s="118"/>
      <c r="SFQ36" s="118"/>
      <c r="SFR36" s="118"/>
      <c r="SFS36" s="118"/>
      <c r="SFT36" s="118"/>
      <c r="SFU36" s="118"/>
      <c r="SFV36" s="118"/>
      <c r="SFW36" s="118"/>
      <c r="SFX36" s="118"/>
      <c r="SFY36" s="118"/>
      <c r="SFZ36" s="118"/>
      <c r="SGA36" s="118"/>
      <c r="SGB36" s="118"/>
      <c r="SGC36" s="118"/>
      <c r="SGD36" s="118"/>
      <c r="SGE36" s="118"/>
      <c r="SGF36" s="118"/>
      <c r="SGG36" s="118"/>
      <c r="SGH36" s="118"/>
      <c r="SGI36" s="118"/>
      <c r="SGJ36" s="118"/>
      <c r="SGK36" s="118"/>
      <c r="SGL36" s="118"/>
      <c r="SGM36" s="118"/>
      <c r="SGN36" s="118"/>
      <c r="SGO36" s="118"/>
      <c r="SGP36" s="118"/>
      <c r="SGQ36" s="118"/>
      <c r="SGR36" s="118"/>
      <c r="SGS36" s="118"/>
      <c r="SGT36" s="118"/>
      <c r="SGU36" s="118"/>
      <c r="SGV36" s="118"/>
      <c r="SGW36" s="118"/>
      <c r="SGX36" s="118"/>
      <c r="SGY36" s="118"/>
      <c r="SGZ36" s="118"/>
      <c r="SHA36" s="118"/>
      <c r="SHB36" s="118"/>
      <c r="SHC36" s="118"/>
      <c r="SHD36" s="118"/>
      <c r="SHE36" s="118"/>
      <c r="SHF36" s="118"/>
      <c r="SHG36" s="118"/>
      <c r="SHH36" s="118"/>
      <c r="SHI36" s="118"/>
      <c r="SHJ36" s="118"/>
      <c r="SHK36" s="118"/>
      <c r="SHL36" s="118"/>
      <c r="SHM36" s="118"/>
      <c r="SHN36" s="118"/>
      <c r="SHO36" s="118"/>
      <c r="SHP36" s="118"/>
      <c r="SHQ36" s="118"/>
      <c r="SHR36" s="118"/>
      <c r="SHS36" s="118"/>
      <c r="SHT36" s="118"/>
      <c r="SHU36" s="118"/>
      <c r="SHV36" s="118"/>
      <c r="SHW36" s="118"/>
      <c r="SHX36" s="118"/>
      <c r="SHY36" s="118"/>
      <c r="SHZ36" s="118"/>
      <c r="SIA36" s="118"/>
      <c r="SIB36" s="118"/>
      <c r="SIC36" s="118"/>
      <c r="SID36" s="118"/>
      <c r="SIE36" s="118"/>
      <c r="SIF36" s="118"/>
      <c r="SIG36" s="118"/>
      <c r="SIH36" s="118"/>
      <c r="SII36" s="118"/>
      <c r="SIJ36" s="118"/>
      <c r="SIK36" s="118"/>
      <c r="SIL36" s="118"/>
      <c r="SIM36" s="118"/>
      <c r="SIN36" s="118"/>
      <c r="SIO36" s="118"/>
      <c r="SIP36" s="118"/>
      <c r="SIQ36" s="118"/>
      <c r="SIR36" s="118"/>
      <c r="SIS36" s="118"/>
      <c r="SIT36" s="118"/>
      <c r="SIU36" s="118"/>
      <c r="SIV36" s="118"/>
      <c r="SIW36" s="118"/>
      <c r="SIX36" s="118"/>
      <c r="SIY36" s="118"/>
      <c r="SIZ36" s="118"/>
      <c r="SJA36" s="118"/>
      <c r="SJB36" s="118"/>
      <c r="SJC36" s="118"/>
      <c r="SJD36" s="118"/>
      <c r="SJE36" s="118"/>
      <c r="SJF36" s="118"/>
      <c r="SJG36" s="118"/>
      <c r="SJH36" s="118"/>
      <c r="SJI36" s="118"/>
      <c r="SJJ36" s="118"/>
      <c r="SJK36" s="118"/>
      <c r="SJL36" s="118"/>
      <c r="SJM36" s="118"/>
      <c r="SJN36" s="118"/>
      <c r="SJO36" s="118"/>
      <c r="SJP36" s="118"/>
      <c r="SJQ36" s="118"/>
      <c r="SJR36" s="118"/>
      <c r="SJS36" s="118"/>
      <c r="SJT36" s="118"/>
      <c r="SJU36" s="118"/>
      <c r="SJV36" s="118"/>
      <c r="SJW36" s="118"/>
      <c r="SJX36" s="118"/>
      <c r="SJY36" s="118"/>
      <c r="SJZ36" s="118"/>
      <c r="SKA36" s="118"/>
      <c r="SKB36" s="118"/>
      <c r="SKC36" s="118"/>
      <c r="SKD36" s="118"/>
      <c r="SKE36" s="118"/>
      <c r="SKF36" s="118"/>
      <c r="SKG36" s="118"/>
      <c r="SKH36" s="118"/>
      <c r="SKI36" s="118"/>
      <c r="SKJ36" s="118"/>
      <c r="SKK36" s="118"/>
      <c r="SKL36" s="118"/>
      <c r="SKM36" s="118"/>
      <c r="SKN36" s="118"/>
      <c r="SKO36" s="118"/>
      <c r="SKP36" s="118"/>
      <c r="SKQ36" s="118"/>
      <c r="SKR36" s="118"/>
      <c r="SKS36" s="118"/>
      <c r="SKT36" s="118"/>
      <c r="SKU36" s="118"/>
      <c r="SKV36" s="118"/>
      <c r="SKW36" s="118"/>
      <c r="SKX36" s="118"/>
      <c r="SKY36" s="118"/>
      <c r="SKZ36" s="118"/>
      <c r="SLA36" s="118"/>
      <c r="SLB36" s="118"/>
      <c r="SLC36" s="118"/>
      <c r="SLD36" s="118"/>
      <c r="SLE36" s="118"/>
      <c r="SLF36" s="118"/>
      <c r="SLG36" s="118"/>
      <c r="SLH36" s="118"/>
      <c r="SLI36" s="118"/>
      <c r="SLJ36" s="118"/>
      <c r="SLK36" s="118"/>
      <c r="SLL36" s="118"/>
      <c r="SLM36" s="118"/>
      <c r="SLN36" s="118"/>
      <c r="SLO36" s="118"/>
      <c r="SLP36" s="118"/>
      <c r="SLQ36" s="118"/>
      <c r="SLR36" s="118"/>
      <c r="SLS36" s="118"/>
      <c r="SLT36" s="118"/>
      <c r="SLU36" s="118"/>
      <c r="SLV36" s="118"/>
      <c r="SLW36" s="118"/>
      <c r="SLX36" s="118"/>
      <c r="SLY36" s="118"/>
      <c r="SLZ36" s="118"/>
      <c r="SMA36" s="118"/>
      <c r="SMB36" s="118"/>
      <c r="SMC36" s="118"/>
      <c r="SMD36" s="118"/>
      <c r="SME36" s="118"/>
      <c r="SMF36" s="118"/>
      <c r="SMG36" s="118"/>
      <c r="SMH36" s="118"/>
      <c r="SMI36" s="118"/>
      <c r="SMJ36" s="118"/>
      <c r="SMK36" s="118"/>
      <c r="SML36" s="118"/>
      <c r="SMM36" s="118"/>
      <c r="SMN36" s="118"/>
      <c r="SMO36" s="118"/>
      <c r="SMP36" s="118"/>
      <c r="SMQ36" s="118"/>
      <c r="SMR36" s="118"/>
      <c r="SMS36" s="118"/>
      <c r="SMT36" s="118"/>
      <c r="SMU36" s="118"/>
      <c r="SMV36" s="118"/>
      <c r="SMW36" s="118"/>
      <c r="SMX36" s="118"/>
      <c r="SMY36" s="118"/>
      <c r="SMZ36" s="118"/>
      <c r="SNA36" s="118"/>
      <c r="SNB36" s="118"/>
      <c r="SNC36" s="118"/>
      <c r="SND36" s="118"/>
      <c r="SNE36" s="118"/>
      <c r="SNF36" s="118"/>
      <c r="SNG36" s="118"/>
      <c r="SNH36" s="118"/>
      <c r="SNI36" s="118"/>
      <c r="SNJ36" s="118"/>
      <c r="SNK36" s="118"/>
      <c r="SNL36" s="118"/>
      <c r="SNM36" s="118"/>
      <c r="SNN36" s="118"/>
      <c r="SNO36" s="118"/>
      <c r="SNP36" s="118"/>
      <c r="SNQ36" s="118"/>
      <c r="SNR36" s="118"/>
      <c r="SNS36" s="118"/>
      <c r="SNT36" s="118"/>
      <c r="SNU36" s="118"/>
      <c r="SNV36" s="118"/>
      <c r="SNW36" s="118"/>
      <c r="SNX36" s="118"/>
      <c r="SNY36" s="118"/>
      <c r="SNZ36" s="118"/>
      <c r="SOA36" s="118"/>
      <c r="SOB36" s="118"/>
      <c r="SOC36" s="118"/>
      <c r="SOD36" s="118"/>
      <c r="SOE36" s="118"/>
      <c r="SOF36" s="118"/>
      <c r="SOG36" s="118"/>
      <c r="SOH36" s="118"/>
      <c r="SOI36" s="118"/>
      <c r="SOJ36" s="118"/>
      <c r="SOK36" s="118"/>
      <c r="SOL36" s="118"/>
      <c r="SOM36" s="118"/>
      <c r="SON36" s="118"/>
      <c r="SOO36" s="118"/>
      <c r="SOP36" s="118"/>
      <c r="SOQ36" s="118"/>
      <c r="SOR36" s="118"/>
      <c r="SOS36" s="118"/>
      <c r="SOT36" s="118"/>
      <c r="SOU36" s="118"/>
      <c r="SOV36" s="118"/>
      <c r="SOW36" s="118"/>
      <c r="SOX36" s="118"/>
      <c r="SOY36" s="118"/>
      <c r="SOZ36" s="118"/>
      <c r="SPA36" s="118"/>
      <c r="SPB36" s="118"/>
      <c r="SPC36" s="118"/>
      <c r="SPD36" s="118"/>
      <c r="SPE36" s="118"/>
      <c r="SPF36" s="118"/>
      <c r="SPG36" s="118"/>
      <c r="SPH36" s="118"/>
      <c r="SPI36" s="118"/>
      <c r="SPJ36" s="118"/>
      <c r="SPK36" s="118"/>
      <c r="SPL36" s="118"/>
      <c r="SPM36" s="118"/>
      <c r="SPN36" s="118"/>
      <c r="SPO36" s="118"/>
      <c r="SPP36" s="118"/>
      <c r="SPQ36" s="118"/>
      <c r="SPR36" s="118"/>
      <c r="SPS36" s="118"/>
      <c r="SPT36" s="118"/>
      <c r="SPU36" s="118"/>
      <c r="SPV36" s="118"/>
      <c r="SPW36" s="118"/>
      <c r="SPX36" s="118"/>
      <c r="SPY36" s="118"/>
      <c r="SPZ36" s="118"/>
      <c r="SQA36" s="118"/>
      <c r="SQB36" s="118"/>
      <c r="SQC36" s="118"/>
      <c r="SQD36" s="118"/>
      <c r="SQE36" s="118"/>
      <c r="SQF36" s="118"/>
      <c r="SQG36" s="118"/>
      <c r="SQH36" s="118"/>
      <c r="SQI36" s="118"/>
      <c r="SQJ36" s="118"/>
      <c r="SQK36" s="118"/>
      <c r="SQL36" s="118"/>
      <c r="SQM36" s="118"/>
      <c r="SQN36" s="118"/>
      <c r="SQO36" s="118"/>
      <c r="SQP36" s="118"/>
      <c r="SQQ36" s="118"/>
      <c r="SQR36" s="118"/>
      <c r="SQS36" s="118"/>
      <c r="SQT36" s="118"/>
      <c r="SQU36" s="118"/>
      <c r="SQV36" s="118"/>
      <c r="SQW36" s="118"/>
      <c r="SQX36" s="118"/>
      <c r="SQY36" s="118"/>
      <c r="SQZ36" s="118"/>
      <c r="SRA36" s="118"/>
      <c r="SRB36" s="118"/>
      <c r="SRC36" s="118"/>
      <c r="SRD36" s="118"/>
      <c r="SRE36" s="118"/>
      <c r="SRF36" s="118"/>
      <c r="SRG36" s="118"/>
      <c r="SRH36" s="118"/>
      <c r="SRI36" s="118"/>
      <c r="SRJ36" s="118"/>
      <c r="SRK36" s="118"/>
      <c r="SRL36" s="118"/>
      <c r="SRM36" s="118"/>
      <c r="SRN36" s="118"/>
      <c r="SRO36" s="118"/>
      <c r="SRP36" s="118"/>
      <c r="SRQ36" s="118"/>
      <c r="SRR36" s="118"/>
      <c r="SRS36" s="118"/>
      <c r="SRT36" s="118"/>
      <c r="SRU36" s="118"/>
      <c r="SRV36" s="118"/>
      <c r="SRW36" s="118"/>
      <c r="SRX36" s="118"/>
      <c r="SRY36" s="118"/>
      <c r="SRZ36" s="118"/>
      <c r="SSA36" s="118"/>
      <c r="SSB36" s="118"/>
      <c r="SSC36" s="118"/>
      <c r="SSD36" s="118"/>
      <c r="SSE36" s="118"/>
      <c r="SSF36" s="118"/>
      <c r="SSG36" s="118"/>
      <c r="SSH36" s="118"/>
      <c r="SSI36" s="118"/>
      <c r="SSJ36" s="118"/>
      <c r="SSK36" s="118"/>
      <c r="SSL36" s="118"/>
      <c r="SSM36" s="118"/>
      <c r="SSN36" s="118"/>
      <c r="SSO36" s="118"/>
      <c r="SSP36" s="118"/>
      <c r="SSQ36" s="118"/>
      <c r="SSR36" s="118"/>
      <c r="SSS36" s="118"/>
      <c r="SST36" s="118"/>
      <c r="SSU36" s="118"/>
      <c r="SSV36" s="118"/>
      <c r="SSW36" s="118"/>
      <c r="SSX36" s="118"/>
      <c r="SSY36" s="118"/>
      <c r="SSZ36" s="118"/>
      <c r="STA36" s="118"/>
      <c r="STB36" s="118"/>
      <c r="STC36" s="118"/>
      <c r="STD36" s="118"/>
      <c r="STE36" s="118"/>
      <c r="STF36" s="118"/>
      <c r="STG36" s="118"/>
      <c r="STH36" s="118"/>
      <c r="STI36" s="118"/>
      <c r="STJ36" s="118"/>
      <c r="STK36" s="118"/>
      <c r="STL36" s="118"/>
      <c r="STM36" s="118"/>
      <c r="STN36" s="118"/>
      <c r="STO36" s="118"/>
      <c r="STP36" s="118"/>
      <c r="STQ36" s="118"/>
      <c r="STR36" s="118"/>
      <c r="STS36" s="118"/>
      <c r="STT36" s="118"/>
      <c r="STU36" s="118"/>
      <c r="STV36" s="118"/>
      <c r="STW36" s="118"/>
      <c r="STX36" s="118"/>
      <c r="STY36" s="118"/>
      <c r="STZ36" s="118"/>
      <c r="SUA36" s="118"/>
      <c r="SUB36" s="118"/>
      <c r="SUC36" s="118"/>
      <c r="SUD36" s="118"/>
      <c r="SUE36" s="118"/>
      <c r="SUF36" s="118"/>
      <c r="SUG36" s="118"/>
      <c r="SUH36" s="118"/>
      <c r="SUI36" s="118"/>
      <c r="SUJ36" s="118"/>
      <c r="SUK36" s="118"/>
      <c r="SUL36" s="118"/>
      <c r="SUM36" s="118"/>
      <c r="SUN36" s="118"/>
      <c r="SUO36" s="118"/>
      <c r="SUP36" s="118"/>
      <c r="SUQ36" s="118"/>
      <c r="SUR36" s="118"/>
      <c r="SUS36" s="118"/>
      <c r="SUT36" s="118"/>
      <c r="SUU36" s="118"/>
      <c r="SUV36" s="118"/>
      <c r="SUW36" s="118"/>
      <c r="SUX36" s="118"/>
      <c r="SUY36" s="118"/>
      <c r="SUZ36" s="118"/>
      <c r="SVA36" s="118"/>
      <c r="SVB36" s="118"/>
      <c r="SVC36" s="118"/>
      <c r="SVD36" s="118"/>
      <c r="SVE36" s="118"/>
      <c r="SVF36" s="118"/>
      <c r="SVG36" s="118"/>
      <c r="SVH36" s="118"/>
      <c r="SVI36" s="118"/>
      <c r="SVJ36" s="118"/>
      <c r="SVK36" s="118"/>
      <c r="SVL36" s="118"/>
      <c r="SVM36" s="118"/>
      <c r="SVN36" s="118"/>
      <c r="SVO36" s="118"/>
      <c r="SVP36" s="118"/>
      <c r="SVQ36" s="118"/>
      <c r="SVR36" s="118"/>
      <c r="SVS36" s="118"/>
      <c r="SVT36" s="118"/>
      <c r="SVU36" s="118"/>
      <c r="SVV36" s="118"/>
      <c r="SVW36" s="118"/>
      <c r="SVX36" s="118"/>
      <c r="SVY36" s="118"/>
      <c r="SVZ36" s="118"/>
      <c r="SWA36" s="118"/>
      <c r="SWB36" s="118"/>
      <c r="SWC36" s="118"/>
      <c r="SWD36" s="118"/>
      <c r="SWE36" s="118"/>
      <c r="SWF36" s="118"/>
      <c r="SWG36" s="118"/>
      <c r="SWH36" s="118"/>
      <c r="SWI36" s="118"/>
      <c r="SWJ36" s="118"/>
      <c r="SWK36" s="118"/>
      <c r="SWL36" s="118"/>
      <c r="SWM36" s="118"/>
      <c r="SWN36" s="118"/>
      <c r="SWO36" s="118"/>
      <c r="SWP36" s="118"/>
      <c r="SWQ36" s="118"/>
      <c r="SWR36" s="118"/>
      <c r="SWS36" s="118"/>
      <c r="SWT36" s="118"/>
      <c r="SWU36" s="118"/>
      <c r="SWV36" s="118"/>
      <c r="SWW36" s="118"/>
      <c r="SWX36" s="118"/>
      <c r="SWY36" s="118"/>
      <c r="SWZ36" s="118"/>
      <c r="SXA36" s="118"/>
      <c r="SXB36" s="118"/>
      <c r="SXC36" s="118"/>
      <c r="SXD36" s="118"/>
      <c r="SXE36" s="118"/>
      <c r="SXF36" s="118"/>
      <c r="SXG36" s="118"/>
      <c r="SXH36" s="118"/>
      <c r="SXI36" s="118"/>
      <c r="SXJ36" s="118"/>
      <c r="SXK36" s="118"/>
      <c r="SXL36" s="118"/>
      <c r="SXM36" s="118"/>
      <c r="SXN36" s="118"/>
      <c r="SXO36" s="118"/>
      <c r="SXP36" s="118"/>
      <c r="SXQ36" s="118"/>
      <c r="SXR36" s="118"/>
      <c r="SXS36" s="118"/>
      <c r="SXT36" s="118"/>
      <c r="SXU36" s="118"/>
      <c r="SXV36" s="118"/>
      <c r="SXW36" s="118"/>
      <c r="SXX36" s="118"/>
      <c r="SXY36" s="118"/>
      <c r="SXZ36" s="118"/>
      <c r="SYA36" s="118"/>
      <c r="SYB36" s="118"/>
      <c r="SYC36" s="118"/>
      <c r="SYD36" s="118"/>
      <c r="SYE36" s="118"/>
      <c r="SYF36" s="118"/>
      <c r="SYG36" s="118"/>
      <c r="SYH36" s="118"/>
      <c r="SYI36" s="118"/>
      <c r="SYJ36" s="118"/>
      <c r="SYK36" s="118"/>
      <c r="SYL36" s="118"/>
      <c r="SYM36" s="118"/>
      <c r="SYN36" s="118"/>
      <c r="SYO36" s="118"/>
      <c r="SYP36" s="118"/>
      <c r="SYQ36" s="118"/>
      <c r="SYR36" s="118"/>
      <c r="SYS36" s="118"/>
      <c r="SYT36" s="118"/>
      <c r="SYU36" s="118"/>
      <c r="SYV36" s="118"/>
      <c r="SYW36" s="118"/>
      <c r="SYX36" s="118"/>
      <c r="SYY36" s="118"/>
      <c r="SYZ36" s="118"/>
      <c r="SZA36" s="118"/>
      <c r="SZB36" s="118"/>
      <c r="SZC36" s="118"/>
      <c r="SZD36" s="118"/>
      <c r="SZE36" s="118"/>
      <c r="SZF36" s="118"/>
      <c r="SZG36" s="118"/>
      <c r="SZH36" s="118"/>
      <c r="SZI36" s="118"/>
      <c r="SZJ36" s="118"/>
      <c r="SZK36" s="118"/>
      <c r="SZL36" s="118"/>
      <c r="SZM36" s="118"/>
      <c r="SZN36" s="118"/>
      <c r="SZO36" s="118"/>
      <c r="SZP36" s="118"/>
      <c r="SZQ36" s="118"/>
      <c r="SZR36" s="118"/>
      <c r="SZS36" s="118"/>
      <c r="SZT36" s="118"/>
      <c r="SZU36" s="118"/>
      <c r="SZV36" s="118"/>
      <c r="SZW36" s="118"/>
      <c r="SZX36" s="118"/>
      <c r="SZY36" s="118"/>
      <c r="SZZ36" s="118"/>
      <c r="TAA36" s="118"/>
      <c r="TAB36" s="118"/>
      <c r="TAC36" s="118"/>
      <c r="TAD36" s="118"/>
      <c r="TAE36" s="118"/>
      <c r="TAF36" s="118"/>
      <c r="TAG36" s="118"/>
      <c r="TAH36" s="118"/>
      <c r="TAI36" s="118"/>
      <c r="TAJ36" s="118"/>
      <c r="TAK36" s="118"/>
      <c r="TAL36" s="118"/>
      <c r="TAM36" s="118"/>
      <c r="TAN36" s="118"/>
      <c r="TAO36" s="118"/>
      <c r="TAP36" s="118"/>
      <c r="TAQ36" s="118"/>
      <c r="TAR36" s="118"/>
      <c r="TAS36" s="118"/>
      <c r="TAT36" s="118"/>
      <c r="TAU36" s="118"/>
      <c r="TAV36" s="118"/>
      <c r="TAW36" s="118"/>
      <c r="TAX36" s="118"/>
      <c r="TAY36" s="118"/>
      <c r="TAZ36" s="118"/>
      <c r="TBA36" s="118"/>
      <c r="TBB36" s="118"/>
      <c r="TBC36" s="118"/>
      <c r="TBD36" s="118"/>
      <c r="TBE36" s="118"/>
      <c r="TBF36" s="118"/>
      <c r="TBG36" s="118"/>
      <c r="TBH36" s="118"/>
      <c r="TBI36" s="118"/>
      <c r="TBJ36" s="118"/>
      <c r="TBK36" s="118"/>
      <c r="TBL36" s="118"/>
      <c r="TBM36" s="118"/>
      <c r="TBN36" s="118"/>
      <c r="TBO36" s="118"/>
      <c r="TBP36" s="118"/>
      <c r="TBQ36" s="118"/>
      <c r="TBR36" s="118"/>
      <c r="TBS36" s="118"/>
      <c r="TBT36" s="118"/>
      <c r="TBU36" s="118"/>
      <c r="TBV36" s="118"/>
      <c r="TBW36" s="118"/>
      <c r="TBX36" s="118"/>
      <c r="TBY36" s="118"/>
      <c r="TBZ36" s="118"/>
      <c r="TCA36" s="118"/>
      <c r="TCB36" s="118"/>
      <c r="TCC36" s="118"/>
      <c r="TCD36" s="118"/>
      <c r="TCE36" s="118"/>
      <c r="TCF36" s="118"/>
      <c r="TCG36" s="118"/>
      <c r="TCH36" s="118"/>
      <c r="TCI36" s="118"/>
      <c r="TCJ36" s="118"/>
      <c r="TCK36" s="118"/>
      <c r="TCL36" s="118"/>
      <c r="TCM36" s="118"/>
      <c r="TCN36" s="118"/>
      <c r="TCO36" s="118"/>
      <c r="TCP36" s="118"/>
      <c r="TCQ36" s="118"/>
      <c r="TCR36" s="118"/>
      <c r="TCS36" s="118"/>
      <c r="TCT36" s="118"/>
      <c r="TCU36" s="118"/>
      <c r="TCV36" s="118"/>
      <c r="TCW36" s="118"/>
      <c r="TCX36" s="118"/>
      <c r="TCY36" s="118"/>
      <c r="TCZ36" s="118"/>
      <c r="TDA36" s="118"/>
      <c r="TDB36" s="118"/>
      <c r="TDC36" s="118"/>
      <c r="TDD36" s="118"/>
      <c r="TDE36" s="118"/>
      <c r="TDF36" s="118"/>
      <c r="TDG36" s="118"/>
      <c r="TDH36" s="118"/>
      <c r="TDI36" s="118"/>
      <c r="TDJ36" s="118"/>
      <c r="TDK36" s="118"/>
      <c r="TDL36" s="118"/>
      <c r="TDM36" s="118"/>
      <c r="TDN36" s="118"/>
      <c r="TDO36" s="118"/>
      <c r="TDP36" s="118"/>
      <c r="TDQ36" s="118"/>
      <c r="TDR36" s="118"/>
      <c r="TDS36" s="118"/>
      <c r="TDT36" s="118"/>
      <c r="TDU36" s="118"/>
      <c r="TDV36" s="118"/>
      <c r="TDW36" s="118"/>
      <c r="TDX36" s="118"/>
      <c r="TDY36" s="118"/>
      <c r="TDZ36" s="118"/>
      <c r="TEA36" s="118"/>
      <c r="TEB36" s="118"/>
      <c r="TEC36" s="118"/>
      <c r="TED36" s="118"/>
      <c r="TEE36" s="118"/>
      <c r="TEF36" s="118"/>
      <c r="TEG36" s="118"/>
      <c r="TEH36" s="118"/>
      <c r="TEI36" s="118"/>
      <c r="TEJ36" s="118"/>
      <c r="TEK36" s="118"/>
      <c r="TEL36" s="118"/>
      <c r="TEM36" s="118"/>
      <c r="TEN36" s="118"/>
      <c r="TEO36" s="118"/>
      <c r="TEP36" s="118"/>
      <c r="TEQ36" s="118"/>
      <c r="TER36" s="118"/>
      <c r="TES36" s="118"/>
      <c r="TET36" s="118"/>
      <c r="TEU36" s="118"/>
      <c r="TEV36" s="118"/>
      <c r="TEW36" s="118"/>
      <c r="TEX36" s="118"/>
      <c r="TEY36" s="118"/>
      <c r="TEZ36" s="118"/>
      <c r="TFA36" s="118"/>
      <c r="TFB36" s="118"/>
      <c r="TFC36" s="118"/>
      <c r="TFD36" s="118"/>
      <c r="TFE36" s="118"/>
      <c r="TFF36" s="118"/>
      <c r="TFG36" s="118"/>
      <c r="TFH36" s="118"/>
      <c r="TFI36" s="118"/>
      <c r="TFJ36" s="118"/>
      <c r="TFK36" s="118"/>
      <c r="TFL36" s="118"/>
      <c r="TFM36" s="118"/>
      <c r="TFN36" s="118"/>
      <c r="TFO36" s="118"/>
      <c r="TFP36" s="118"/>
      <c r="TFQ36" s="118"/>
      <c r="TFR36" s="118"/>
      <c r="TFS36" s="118"/>
      <c r="TFT36" s="118"/>
      <c r="TFU36" s="118"/>
      <c r="TFV36" s="118"/>
      <c r="TFW36" s="118"/>
      <c r="TFX36" s="118"/>
      <c r="TFY36" s="118"/>
      <c r="TFZ36" s="118"/>
      <c r="TGA36" s="118"/>
      <c r="TGB36" s="118"/>
      <c r="TGC36" s="118"/>
      <c r="TGD36" s="118"/>
      <c r="TGE36" s="118"/>
      <c r="TGF36" s="118"/>
      <c r="TGG36" s="118"/>
      <c r="TGH36" s="118"/>
      <c r="TGI36" s="118"/>
      <c r="TGJ36" s="118"/>
      <c r="TGK36" s="118"/>
      <c r="TGL36" s="118"/>
      <c r="TGM36" s="118"/>
      <c r="TGN36" s="118"/>
      <c r="TGO36" s="118"/>
      <c r="TGP36" s="118"/>
      <c r="TGQ36" s="118"/>
      <c r="TGR36" s="118"/>
      <c r="TGS36" s="118"/>
      <c r="TGT36" s="118"/>
      <c r="TGU36" s="118"/>
      <c r="TGV36" s="118"/>
      <c r="TGW36" s="118"/>
      <c r="TGX36" s="118"/>
      <c r="TGY36" s="118"/>
      <c r="TGZ36" s="118"/>
      <c r="THA36" s="118"/>
      <c r="THB36" s="118"/>
      <c r="THC36" s="118"/>
      <c r="THD36" s="118"/>
      <c r="THE36" s="118"/>
      <c r="THF36" s="118"/>
      <c r="THG36" s="118"/>
      <c r="THH36" s="118"/>
      <c r="THI36" s="118"/>
      <c r="THJ36" s="118"/>
      <c r="THK36" s="118"/>
      <c r="THL36" s="118"/>
      <c r="THM36" s="118"/>
      <c r="THN36" s="118"/>
      <c r="THO36" s="118"/>
      <c r="THP36" s="118"/>
      <c r="THQ36" s="118"/>
      <c r="THR36" s="118"/>
      <c r="THS36" s="118"/>
      <c r="THT36" s="118"/>
      <c r="THU36" s="118"/>
      <c r="THV36" s="118"/>
      <c r="THW36" s="118"/>
      <c r="THX36" s="118"/>
      <c r="THY36" s="118"/>
      <c r="THZ36" s="118"/>
      <c r="TIA36" s="118"/>
      <c r="TIB36" s="118"/>
      <c r="TIC36" s="118"/>
      <c r="TID36" s="118"/>
      <c r="TIE36" s="118"/>
      <c r="TIF36" s="118"/>
      <c r="TIG36" s="118"/>
      <c r="TIH36" s="118"/>
      <c r="TII36" s="118"/>
      <c r="TIJ36" s="118"/>
      <c r="TIK36" s="118"/>
      <c r="TIL36" s="118"/>
      <c r="TIM36" s="118"/>
      <c r="TIN36" s="118"/>
      <c r="TIO36" s="118"/>
      <c r="TIP36" s="118"/>
      <c r="TIQ36" s="118"/>
      <c r="TIR36" s="118"/>
      <c r="TIS36" s="118"/>
      <c r="TIT36" s="118"/>
      <c r="TIU36" s="118"/>
      <c r="TIV36" s="118"/>
      <c r="TIW36" s="118"/>
      <c r="TIX36" s="118"/>
      <c r="TIY36" s="118"/>
      <c r="TIZ36" s="118"/>
      <c r="TJA36" s="118"/>
      <c r="TJB36" s="118"/>
      <c r="TJC36" s="118"/>
      <c r="TJD36" s="118"/>
      <c r="TJE36" s="118"/>
      <c r="TJF36" s="118"/>
      <c r="TJG36" s="118"/>
      <c r="TJH36" s="118"/>
      <c r="TJI36" s="118"/>
      <c r="TJJ36" s="118"/>
      <c r="TJK36" s="118"/>
      <c r="TJL36" s="118"/>
      <c r="TJM36" s="118"/>
      <c r="TJN36" s="118"/>
      <c r="TJO36" s="118"/>
      <c r="TJP36" s="118"/>
      <c r="TJQ36" s="118"/>
      <c r="TJR36" s="118"/>
      <c r="TJS36" s="118"/>
      <c r="TJT36" s="118"/>
      <c r="TJU36" s="118"/>
      <c r="TJV36" s="118"/>
      <c r="TJW36" s="118"/>
      <c r="TJX36" s="118"/>
      <c r="TJY36" s="118"/>
      <c r="TJZ36" s="118"/>
      <c r="TKA36" s="118"/>
      <c r="TKB36" s="118"/>
      <c r="TKC36" s="118"/>
      <c r="TKD36" s="118"/>
      <c r="TKE36" s="118"/>
      <c r="TKF36" s="118"/>
      <c r="TKG36" s="118"/>
      <c r="TKH36" s="118"/>
      <c r="TKI36" s="118"/>
      <c r="TKJ36" s="118"/>
      <c r="TKK36" s="118"/>
      <c r="TKL36" s="118"/>
      <c r="TKM36" s="118"/>
      <c r="TKN36" s="118"/>
      <c r="TKO36" s="118"/>
      <c r="TKP36" s="118"/>
      <c r="TKQ36" s="118"/>
      <c r="TKR36" s="118"/>
      <c r="TKS36" s="118"/>
      <c r="TKT36" s="118"/>
      <c r="TKU36" s="118"/>
      <c r="TKV36" s="118"/>
      <c r="TKW36" s="118"/>
      <c r="TKX36" s="118"/>
      <c r="TKY36" s="118"/>
      <c r="TKZ36" s="118"/>
      <c r="TLA36" s="118"/>
      <c r="TLB36" s="118"/>
      <c r="TLC36" s="118"/>
      <c r="TLD36" s="118"/>
      <c r="TLE36" s="118"/>
      <c r="TLF36" s="118"/>
      <c r="TLG36" s="118"/>
      <c r="TLH36" s="118"/>
      <c r="TLI36" s="118"/>
      <c r="TLJ36" s="118"/>
      <c r="TLK36" s="118"/>
      <c r="TLL36" s="118"/>
      <c r="TLM36" s="118"/>
      <c r="TLN36" s="118"/>
      <c r="TLO36" s="118"/>
      <c r="TLP36" s="118"/>
      <c r="TLQ36" s="118"/>
      <c r="TLR36" s="118"/>
      <c r="TLS36" s="118"/>
      <c r="TLT36" s="118"/>
      <c r="TLU36" s="118"/>
      <c r="TLV36" s="118"/>
      <c r="TLW36" s="118"/>
      <c r="TLX36" s="118"/>
      <c r="TLY36" s="118"/>
      <c r="TLZ36" s="118"/>
      <c r="TMA36" s="118"/>
      <c r="TMB36" s="118"/>
      <c r="TMC36" s="118"/>
      <c r="TMD36" s="118"/>
      <c r="TME36" s="118"/>
      <c r="TMF36" s="118"/>
      <c r="TMG36" s="118"/>
      <c r="TMH36" s="118"/>
      <c r="TMI36" s="118"/>
      <c r="TMJ36" s="118"/>
      <c r="TMK36" s="118"/>
      <c r="TML36" s="118"/>
      <c r="TMM36" s="118"/>
      <c r="TMN36" s="118"/>
      <c r="TMO36" s="118"/>
      <c r="TMP36" s="118"/>
      <c r="TMQ36" s="118"/>
      <c r="TMR36" s="118"/>
      <c r="TMS36" s="118"/>
      <c r="TMT36" s="118"/>
      <c r="TMU36" s="118"/>
      <c r="TMV36" s="118"/>
      <c r="TMW36" s="118"/>
      <c r="TMX36" s="118"/>
      <c r="TMY36" s="118"/>
      <c r="TMZ36" s="118"/>
      <c r="TNA36" s="118"/>
      <c r="TNB36" s="118"/>
      <c r="TNC36" s="118"/>
      <c r="TND36" s="118"/>
      <c r="TNE36" s="118"/>
      <c r="TNF36" s="118"/>
      <c r="TNG36" s="118"/>
      <c r="TNH36" s="118"/>
      <c r="TNI36" s="118"/>
      <c r="TNJ36" s="118"/>
      <c r="TNK36" s="118"/>
      <c r="TNL36" s="118"/>
      <c r="TNM36" s="118"/>
      <c r="TNN36" s="118"/>
      <c r="TNO36" s="118"/>
      <c r="TNP36" s="118"/>
      <c r="TNQ36" s="118"/>
      <c r="TNR36" s="118"/>
      <c r="TNS36" s="118"/>
      <c r="TNT36" s="118"/>
      <c r="TNU36" s="118"/>
      <c r="TNV36" s="118"/>
      <c r="TNW36" s="118"/>
      <c r="TNX36" s="118"/>
      <c r="TNY36" s="118"/>
      <c r="TNZ36" s="118"/>
      <c r="TOA36" s="118"/>
      <c r="TOB36" s="118"/>
      <c r="TOC36" s="118"/>
      <c r="TOD36" s="118"/>
      <c r="TOE36" s="118"/>
      <c r="TOF36" s="118"/>
      <c r="TOG36" s="118"/>
      <c r="TOH36" s="118"/>
      <c r="TOI36" s="118"/>
      <c r="TOJ36" s="118"/>
      <c r="TOK36" s="118"/>
      <c r="TOL36" s="118"/>
      <c r="TOM36" s="118"/>
      <c r="TON36" s="118"/>
      <c r="TOO36" s="118"/>
      <c r="TOP36" s="118"/>
      <c r="TOQ36" s="118"/>
      <c r="TOR36" s="118"/>
      <c r="TOS36" s="118"/>
      <c r="TOT36" s="118"/>
      <c r="TOU36" s="118"/>
      <c r="TOV36" s="118"/>
      <c r="TOW36" s="118"/>
      <c r="TOX36" s="118"/>
      <c r="TOY36" s="118"/>
      <c r="TOZ36" s="118"/>
      <c r="TPA36" s="118"/>
      <c r="TPB36" s="118"/>
      <c r="TPC36" s="118"/>
      <c r="TPD36" s="118"/>
      <c r="TPE36" s="118"/>
      <c r="TPF36" s="118"/>
      <c r="TPG36" s="118"/>
      <c r="TPH36" s="118"/>
      <c r="TPI36" s="118"/>
      <c r="TPJ36" s="118"/>
      <c r="TPK36" s="118"/>
      <c r="TPL36" s="118"/>
      <c r="TPM36" s="118"/>
      <c r="TPN36" s="118"/>
      <c r="TPO36" s="118"/>
      <c r="TPP36" s="118"/>
      <c r="TPQ36" s="118"/>
      <c r="TPR36" s="118"/>
      <c r="TPS36" s="118"/>
      <c r="TPT36" s="118"/>
      <c r="TPU36" s="118"/>
      <c r="TPV36" s="118"/>
      <c r="TPW36" s="118"/>
      <c r="TPX36" s="118"/>
      <c r="TPY36" s="118"/>
      <c r="TPZ36" s="118"/>
      <c r="TQA36" s="118"/>
      <c r="TQB36" s="118"/>
      <c r="TQC36" s="118"/>
      <c r="TQD36" s="118"/>
      <c r="TQE36" s="118"/>
      <c r="TQF36" s="118"/>
      <c r="TQG36" s="118"/>
      <c r="TQH36" s="118"/>
      <c r="TQI36" s="118"/>
      <c r="TQJ36" s="118"/>
      <c r="TQK36" s="118"/>
      <c r="TQL36" s="118"/>
      <c r="TQM36" s="118"/>
      <c r="TQN36" s="118"/>
      <c r="TQO36" s="118"/>
      <c r="TQP36" s="118"/>
      <c r="TQQ36" s="118"/>
      <c r="TQR36" s="118"/>
      <c r="TQS36" s="118"/>
      <c r="TQT36" s="118"/>
      <c r="TQU36" s="118"/>
      <c r="TQV36" s="118"/>
      <c r="TQW36" s="118"/>
      <c r="TQX36" s="118"/>
      <c r="TQY36" s="118"/>
      <c r="TQZ36" s="118"/>
      <c r="TRA36" s="118"/>
      <c r="TRB36" s="118"/>
      <c r="TRC36" s="118"/>
      <c r="TRD36" s="118"/>
      <c r="TRE36" s="118"/>
      <c r="TRF36" s="118"/>
      <c r="TRG36" s="118"/>
      <c r="TRH36" s="118"/>
      <c r="TRI36" s="118"/>
      <c r="TRJ36" s="118"/>
      <c r="TRK36" s="118"/>
      <c r="TRL36" s="118"/>
      <c r="TRM36" s="118"/>
      <c r="TRN36" s="118"/>
      <c r="TRO36" s="118"/>
      <c r="TRP36" s="118"/>
      <c r="TRQ36" s="118"/>
      <c r="TRR36" s="118"/>
      <c r="TRS36" s="118"/>
      <c r="TRT36" s="118"/>
      <c r="TRU36" s="118"/>
      <c r="TRV36" s="118"/>
      <c r="TRW36" s="118"/>
      <c r="TRX36" s="118"/>
      <c r="TRY36" s="118"/>
      <c r="TRZ36" s="118"/>
      <c r="TSA36" s="118"/>
      <c r="TSB36" s="118"/>
      <c r="TSC36" s="118"/>
      <c r="TSD36" s="118"/>
      <c r="TSE36" s="118"/>
      <c r="TSF36" s="118"/>
      <c r="TSG36" s="118"/>
      <c r="TSH36" s="118"/>
      <c r="TSI36" s="118"/>
      <c r="TSJ36" s="118"/>
      <c r="TSK36" s="118"/>
      <c r="TSL36" s="118"/>
      <c r="TSM36" s="118"/>
      <c r="TSN36" s="118"/>
      <c r="TSO36" s="118"/>
      <c r="TSP36" s="118"/>
      <c r="TSQ36" s="118"/>
      <c r="TSR36" s="118"/>
      <c r="TSS36" s="118"/>
      <c r="TST36" s="118"/>
      <c r="TSU36" s="118"/>
      <c r="TSV36" s="118"/>
      <c r="TSW36" s="118"/>
      <c r="TSX36" s="118"/>
      <c r="TSY36" s="118"/>
      <c r="TSZ36" s="118"/>
      <c r="TTA36" s="118"/>
      <c r="TTB36" s="118"/>
      <c r="TTC36" s="118"/>
      <c r="TTD36" s="118"/>
      <c r="TTE36" s="118"/>
      <c r="TTF36" s="118"/>
      <c r="TTG36" s="118"/>
      <c r="TTH36" s="118"/>
      <c r="TTI36" s="118"/>
      <c r="TTJ36" s="118"/>
      <c r="TTK36" s="118"/>
      <c r="TTL36" s="118"/>
      <c r="TTM36" s="118"/>
      <c r="TTN36" s="118"/>
      <c r="TTO36" s="118"/>
      <c r="TTP36" s="118"/>
      <c r="TTQ36" s="118"/>
      <c r="TTR36" s="118"/>
      <c r="TTS36" s="118"/>
      <c r="TTT36" s="118"/>
      <c r="TTU36" s="118"/>
      <c r="TTV36" s="118"/>
      <c r="TTW36" s="118"/>
      <c r="TTX36" s="118"/>
      <c r="TTY36" s="118"/>
      <c r="TTZ36" s="118"/>
      <c r="TUA36" s="118"/>
      <c r="TUB36" s="118"/>
      <c r="TUC36" s="118"/>
      <c r="TUD36" s="118"/>
      <c r="TUE36" s="118"/>
      <c r="TUF36" s="118"/>
      <c r="TUG36" s="118"/>
      <c r="TUH36" s="118"/>
      <c r="TUI36" s="118"/>
      <c r="TUJ36" s="118"/>
      <c r="TUK36" s="118"/>
      <c r="TUL36" s="118"/>
      <c r="TUM36" s="118"/>
      <c r="TUN36" s="118"/>
      <c r="TUO36" s="118"/>
      <c r="TUP36" s="118"/>
      <c r="TUQ36" s="118"/>
      <c r="TUR36" s="118"/>
      <c r="TUS36" s="118"/>
      <c r="TUT36" s="118"/>
      <c r="TUU36" s="118"/>
      <c r="TUV36" s="118"/>
      <c r="TUW36" s="118"/>
      <c r="TUX36" s="118"/>
      <c r="TUY36" s="118"/>
      <c r="TUZ36" s="118"/>
      <c r="TVA36" s="118"/>
      <c r="TVB36" s="118"/>
      <c r="TVC36" s="118"/>
      <c r="TVD36" s="118"/>
      <c r="TVE36" s="118"/>
      <c r="TVF36" s="118"/>
      <c r="TVG36" s="118"/>
      <c r="TVH36" s="118"/>
      <c r="TVI36" s="118"/>
      <c r="TVJ36" s="118"/>
      <c r="TVK36" s="118"/>
      <c r="TVL36" s="118"/>
      <c r="TVM36" s="118"/>
      <c r="TVN36" s="118"/>
      <c r="TVO36" s="118"/>
      <c r="TVP36" s="118"/>
      <c r="TVQ36" s="118"/>
      <c r="TVR36" s="118"/>
      <c r="TVS36" s="118"/>
      <c r="TVT36" s="118"/>
      <c r="TVU36" s="118"/>
      <c r="TVV36" s="118"/>
      <c r="TVW36" s="118"/>
      <c r="TVX36" s="118"/>
      <c r="TVY36" s="118"/>
      <c r="TVZ36" s="118"/>
      <c r="TWA36" s="118"/>
      <c r="TWB36" s="118"/>
      <c r="TWC36" s="118"/>
      <c r="TWD36" s="118"/>
      <c r="TWE36" s="118"/>
      <c r="TWF36" s="118"/>
      <c r="TWG36" s="118"/>
      <c r="TWH36" s="118"/>
      <c r="TWI36" s="118"/>
      <c r="TWJ36" s="118"/>
      <c r="TWK36" s="118"/>
      <c r="TWL36" s="118"/>
      <c r="TWM36" s="118"/>
      <c r="TWN36" s="118"/>
      <c r="TWO36" s="118"/>
      <c r="TWP36" s="118"/>
      <c r="TWQ36" s="118"/>
      <c r="TWR36" s="118"/>
      <c r="TWS36" s="118"/>
      <c r="TWT36" s="118"/>
      <c r="TWU36" s="118"/>
      <c r="TWV36" s="118"/>
      <c r="TWW36" s="118"/>
      <c r="TWX36" s="118"/>
      <c r="TWY36" s="118"/>
      <c r="TWZ36" s="118"/>
      <c r="TXA36" s="118"/>
      <c r="TXB36" s="118"/>
      <c r="TXC36" s="118"/>
      <c r="TXD36" s="118"/>
      <c r="TXE36" s="118"/>
      <c r="TXF36" s="118"/>
      <c r="TXG36" s="118"/>
      <c r="TXH36" s="118"/>
      <c r="TXI36" s="118"/>
      <c r="TXJ36" s="118"/>
      <c r="TXK36" s="118"/>
      <c r="TXL36" s="118"/>
      <c r="TXM36" s="118"/>
      <c r="TXN36" s="118"/>
      <c r="TXO36" s="118"/>
      <c r="TXP36" s="118"/>
      <c r="TXQ36" s="118"/>
      <c r="TXR36" s="118"/>
      <c r="TXS36" s="118"/>
      <c r="TXT36" s="118"/>
      <c r="TXU36" s="118"/>
      <c r="TXV36" s="118"/>
      <c r="TXW36" s="118"/>
      <c r="TXX36" s="118"/>
      <c r="TXY36" s="118"/>
      <c r="TXZ36" s="118"/>
      <c r="TYA36" s="118"/>
      <c r="TYB36" s="118"/>
      <c r="TYC36" s="118"/>
      <c r="TYD36" s="118"/>
      <c r="TYE36" s="118"/>
      <c r="TYF36" s="118"/>
      <c r="TYG36" s="118"/>
      <c r="TYH36" s="118"/>
      <c r="TYI36" s="118"/>
      <c r="TYJ36" s="118"/>
      <c r="TYK36" s="118"/>
      <c r="TYL36" s="118"/>
      <c r="TYM36" s="118"/>
      <c r="TYN36" s="118"/>
      <c r="TYO36" s="118"/>
      <c r="TYP36" s="118"/>
      <c r="TYQ36" s="118"/>
      <c r="TYR36" s="118"/>
      <c r="TYS36" s="118"/>
      <c r="TYT36" s="118"/>
      <c r="TYU36" s="118"/>
      <c r="TYV36" s="118"/>
      <c r="TYW36" s="118"/>
      <c r="TYX36" s="118"/>
      <c r="TYY36" s="118"/>
      <c r="TYZ36" s="118"/>
      <c r="TZA36" s="118"/>
      <c r="TZB36" s="118"/>
      <c r="TZC36" s="118"/>
      <c r="TZD36" s="118"/>
      <c r="TZE36" s="118"/>
      <c r="TZF36" s="118"/>
      <c r="TZG36" s="118"/>
      <c r="TZH36" s="118"/>
      <c r="TZI36" s="118"/>
      <c r="TZJ36" s="118"/>
      <c r="TZK36" s="118"/>
      <c r="TZL36" s="118"/>
      <c r="TZM36" s="118"/>
      <c r="TZN36" s="118"/>
      <c r="TZO36" s="118"/>
      <c r="TZP36" s="118"/>
      <c r="TZQ36" s="118"/>
      <c r="TZR36" s="118"/>
      <c r="TZS36" s="118"/>
      <c r="TZT36" s="118"/>
      <c r="TZU36" s="118"/>
      <c r="TZV36" s="118"/>
      <c r="TZW36" s="118"/>
      <c r="TZX36" s="118"/>
      <c r="TZY36" s="118"/>
      <c r="TZZ36" s="118"/>
      <c r="UAA36" s="118"/>
      <c r="UAB36" s="118"/>
      <c r="UAC36" s="118"/>
      <c r="UAD36" s="118"/>
      <c r="UAE36" s="118"/>
      <c r="UAF36" s="118"/>
      <c r="UAG36" s="118"/>
      <c r="UAH36" s="118"/>
      <c r="UAI36" s="118"/>
      <c r="UAJ36" s="118"/>
      <c r="UAK36" s="118"/>
      <c r="UAL36" s="118"/>
      <c r="UAM36" s="118"/>
      <c r="UAN36" s="118"/>
      <c r="UAO36" s="118"/>
      <c r="UAP36" s="118"/>
      <c r="UAQ36" s="118"/>
      <c r="UAR36" s="118"/>
      <c r="UAS36" s="118"/>
      <c r="UAT36" s="118"/>
      <c r="UAU36" s="118"/>
      <c r="UAV36" s="118"/>
      <c r="UAW36" s="118"/>
      <c r="UAX36" s="118"/>
      <c r="UAY36" s="118"/>
      <c r="UAZ36" s="118"/>
      <c r="UBA36" s="118"/>
      <c r="UBB36" s="118"/>
      <c r="UBC36" s="118"/>
      <c r="UBD36" s="118"/>
      <c r="UBE36" s="118"/>
      <c r="UBF36" s="118"/>
      <c r="UBG36" s="118"/>
      <c r="UBH36" s="118"/>
      <c r="UBI36" s="118"/>
      <c r="UBJ36" s="118"/>
      <c r="UBK36" s="118"/>
      <c r="UBL36" s="118"/>
      <c r="UBM36" s="118"/>
      <c r="UBN36" s="118"/>
      <c r="UBO36" s="118"/>
      <c r="UBP36" s="118"/>
      <c r="UBQ36" s="118"/>
      <c r="UBR36" s="118"/>
      <c r="UBS36" s="118"/>
      <c r="UBT36" s="118"/>
      <c r="UBU36" s="118"/>
      <c r="UBV36" s="118"/>
      <c r="UBW36" s="118"/>
      <c r="UBX36" s="118"/>
      <c r="UBY36" s="118"/>
      <c r="UBZ36" s="118"/>
      <c r="UCA36" s="118"/>
      <c r="UCB36" s="118"/>
      <c r="UCC36" s="118"/>
      <c r="UCD36" s="118"/>
      <c r="UCE36" s="118"/>
      <c r="UCF36" s="118"/>
      <c r="UCG36" s="118"/>
      <c r="UCH36" s="118"/>
      <c r="UCI36" s="118"/>
      <c r="UCJ36" s="118"/>
      <c r="UCK36" s="118"/>
      <c r="UCL36" s="118"/>
      <c r="UCM36" s="118"/>
      <c r="UCN36" s="118"/>
      <c r="UCO36" s="118"/>
      <c r="UCP36" s="118"/>
      <c r="UCQ36" s="118"/>
      <c r="UCR36" s="118"/>
      <c r="UCS36" s="118"/>
      <c r="UCT36" s="118"/>
      <c r="UCU36" s="118"/>
      <c r="UCV36" s="118"/>
      <c r="UCW36" s="118"/>
      <c r="UCX36" s="118"/>
      <c r="UCY36" s="118"/>
      <c r="UCZ36" s="118"/>
      <c r="UDA36" s="118"/>
      <c r="UDB36" s="118"/>
      <c r="UDC36" s="118"/>
      <c r="UDD36" s="118"/>
      <c r="UDE36" s="118"/>
      <c r="UDF36" s="118"/>
      <c r="UDG36" s="118"/>
      <c r="UDH36" s="118"/>
      <c r="UDI36" s="118"/>
      <c r="UDJ36" s="118"/>
      <c r="UDK36" s="118"/>
      <c r="UDL36" s="118"/>
      <c r="UDM36" s="118"/>
      <c r="UDN36" s="118"/>
      <c r="UDO36" s="118"/>
      <c r="UDP36" s="118"/>
      <c r="UDQ36" s="118"/>
      <c r="UDR36" s="118"/>
      <c r="UDS36" s="118"/>
      <c r="UDT36" s="118"/>
      <c r="UDU36" s="118"/>
      <c r="UDV36" s="118"/>
      <c r="UDW36" s="118"/>
      <c r="UDX36" s="118"/>
      <c r="UDY36" s="118"/>
      <c r="UDZ36" s="118"/>
      <c r="UEA36" s="118"/>
      <c r="UEB36" s="118"/>
      <c r="UEC36" s="118"/>
      <c r="UED36" s="118"/>
      <c r="UEE36" s="118"/>
      <c r="UEF36" s="118"/>
      <c r="UEG36" s="118"/>
      <c r="UEH36" s="118"/>
      <c r="UEI36" s="118"/>
      <c r="UEJ36" s="118"/>
      <c r="UEK36" s="118"/>
      <c r="UEL36" s="118"/>
      <c r="UEM36" s="118"/>
      <c r="UEN36" s="118"/>
      <c r="UEO36" s="118"/>
      <c r="UEP36" s="118"/>
      <c r="UEQ36" s="118"/>
      <c r="UER36" s="118"/>
      <c r="UES36" s="118"/>
      <c r="UET36" s="118"/>
      <c r="UEU36" s="118"/>
      <c r="UEV36" s="118"/>
      <c r="UEW36" s="118"/>
      <c r="UEX36" s="118"/>
      <c r="UEY36" s="118"/>
      <c r="UEZ36" s="118"/>
      <c r="UFA36" s="118"/>
      <c r="UFB36" s="118"/>
      <c r="UFC36" s="118"/>
      <c r="UFD36" s="118"/>
      <c r="UFE36" s="118"/>
      <c r="UFF36" s="118"/>
      <c r="UFG36" s="118"/>
      <c r="UFH36" s="118"/>
      <c r="UFI36" s="118"/>
      <c r="UFJ36" s="118"/>
      <c r="UFK36" s="118"/>
      <c r="UFL36" s="118"/>
      <c r="UFM36" s="118"/>
      <c r="UFN36" s="118"/>
      <c r="UFO36" s="118"/>
      <c r="UFP36" s="118"/>
      <c r="UFQ36" s="118"/>
      <c r="UFR36" s="118"/>
      <c r="UFS36" s="118"/>
      <c r="UFT36" s="118"/>
      <c r="UFU36" s="118"/>
      <c r="UFV36" s="118"/>
      <c r="UFW36" s="118"/>
      <c r="UFX36" s="118"/>
      <c r="UFY36" s="118"/>
      <c r="UFZ36" s="118"/>
      <c r="UGA36" s="118"/>
      <c r="UGB36" s="118"/>
      <c r="UGC36" s="118"/>
      <c r="UGD36" s="118"/>
      <c r="UGE36" s="118"/>
      <c r="UGF36" s="118"/>
      <c r="UGG36" s="118"/>
      <c r="UGH36" s="118"/>
      <c r="UGI36" s="118"/>
      <c r="UGJ36" s="118"/>
      <c r="UGK36" s="118"/>
      <c r="UGL36" s="118"/>
      <c r="UGM36" s="118"/>
      <c r="UGN36" s="118"/>
      <c r="UGO36" s="118"/>
      <c r="UGP36" s="118"/>
      <c r="UGQ36" s="118"/>
      <c r="UGR36" s="118"/>
      <c r="UGS36" s="118"/>
      <c r="UGT36" s="118"/>
      <c r="UGU36" s="118"/>
      <c r="UGV36" s="118"/>
      <c r="UGW36" s="118"/>
      <c r="UGX36" s="118"/>
      <c r="UGY36" s="118"/>
      <c r="UGZ36" s="118"/>
      <c r="UHA36" s="118"/>
      <c r="UHB36" s="118"/>
      <c r="UHC36" s="118"/>
      <c r="UHD36" s="118"/>
      <c r="UHE36" s="118"/>
      <c r="UHF36" s="118"/>
      <c r="UHG36" s="118"/>
      <c r="UHH36" s="118"/>
      <c r="UHI36" s="118"/>
      <c r="UHJ36" s="118"/>
      <c r="UHK36" s="118"/>
      <c r="UHL36" s="118"/>
      <c r="UHM36" s="118"/>
      <c r="UHN36" s="118"/>
      <c r="UHO36" s="118"/>
      <c r="UHP36" s="118"/>
      <c r="UHQ36" s="118"/>
      <c r="UHR36" s="118"/>
      <c r="UHS36" s="118"/>
      <c r="UHT36" s="118"/>
      <c r="UHU36" s="118"/>
      <c r="UHV36" s="118"/>
      <c r="UHW36" s="118"/>
      <c r="UHX36" s="118"/>
      <c r="UHY36" s="118"/>
      <c r="UHZ36" s="118"/>
      <c r="UIA36" s="118"/>
      <c r="UIB36" s="118"/>
      <c r="UIC36" s="118"/>
      <c r="UID36" s="118"/>
      <c r="UIE36" s="118"/>
      <c r="UIF36" s="118"/>
      <c r="UIG36" s="118"/>
      <c r="UIH36" s="118"/>
      <c r="UII36" s="118"/>
      <c r="UIJ36" s="118"/>
      <c r="UIK36" s="118"/>
      <c r="UIL36" s="118"/>
      <c r="UIM36" s="118"/>
      <c r="UIN36" s="118"/>
      <c r="UIO36" s="118"/>
      <c r="UIP36" s="118"/>
      <c r="UIQ36" s="118"/>
      <c r="UIR36" s="118"/>
      <c r="UIS36" s="118"/>
      <c r="UIT36" s="118"/>
      <c r="UIU36" s="118"/>
      <c r="UIV36" s="118"/>
      <c r="UIW36" s="118"/>
      <c r="UIX36" s="118"/>
      <c r="UIY36" s="118"/>
      <c r="UIZ36" s="118"/>
      <c r="UJA36" s="118"/>
      <c r="UJB36" s="118"/>
      <c r="UJC36" s="118"/>
      <c r="UJD36" s="118"/>
      <c r="UJE36" s="118"/>
      <c r="UJF36" s="118"/>
      <c r="UJG36" s="118"/>
      <c r="UJH36" s="118"/>
      <c r="UJI36" s="118"/>
      <c r="UJJ36" s="118"/>
      <c r="UJK36" s="118"/>
      <c r="UJL36" s="118"/>
      <c r="UJM36" s="118"/>
      <c r="UJN36" s="118"/>
      <c r="UJO36" s="118"/>
      <c r="UJP36" s="118"/>
      <c r="UJQ36" s="118"/>
      <c r="UJR36" s="118"/>
      <c r="UJS36" s="118"/>
      <c r="UJT36" s="118"/>
      <c r="UJU36" s="118"/>
      <c r="UJV36" s="118"/>
      <c r="UJW36" s="118"/>
      <c r="UJX36" s="118"/>
      <c r="UJY36" s="118"/>
      <c r="UJZ36" s="118"/>
      <c r="UKA36" s="118"/>
      <c r="UKB36" s="118"/>
      <c r="UKC36" s="118"/>
      <c r="UKD36" s="118"/>
      <c r="UKE36" s="118"/>
      <c r="UKF36" s="118"/>
      <c r="UKG36" s="118"/>
      <c r="UKH36" s="118"/>
      <c r="UKI36" s="118"/>
      <c r="UKJ36" s="118"/>
      <c r="UKK36" s="118"/>
      <c r="UKL36" s="118"/>
      <c r="UKM36" s="118"/>
      <c r="UKN36" s="118"/>
      <c r="UKO36" s="118"/>
      <c r="UKP36" s="118"/>
      <c r="UKQ36" s="118"/>
      <c r="UKR36" s="118"/>
      <c r="UKS36" s="118"/>
      <c r="UKT36" s="118"/>
      <c r="UKU36" s="118"/>
      <c r="UKV36" s="118"/>
      <c r="UKW36" s="118"/>
      <c r="UKX36" s="118"/>
      <c r="UKY36" s="118"/>
      <c r="UKZ36" s="118"/>
      <c r="ULA36" s="118"/>
      <c r="ULB36" s="118"/>
      <c r="ULC36" s="118"/>
      <c r="ULD36" s="118"/>
      <c r="ULE36" s="118"/>
      <c r="ULF36" s="118"/>
      <c r="ULG36" s="118"/>
      <c r="ULH36" s="118"/>
      <c r="ULI36" s="118"/>
      <c r="ULJ36" s="118"/>
      <c r="ULK36" s="118"/>
      <c r="ULL36" s="118"/>
      <c r="ULM36" s="118"/>
      <c r="ULN36" s="118"/>
      <c r="ULO36" s="118"/>
      <c r="ULP36" s="118"/>
      <c r="ULQ36" s="118"/>
      <c r="ULR36" s="118"/>
      <c r="ULS36" s="118"/>
      <c r="ULT36" s="118"/>
      <c r="ULU36" s="118"/>
      <c r="ULV36" s="118"/>
      <c r="ULW36" s="118"/>
      <c r="ULX36" s="118"/>
      <c r="ULY36" s="118"/>
      <c r="ULZ36" s="118"/>
      <c r="UMA36" s="118"/>
      <c r="UMB36" s="118"/>
      <c r="UMC36" s="118"/>
      <c r="UMD36" s="118"/>
      <c r="UME36" s="118"/>
      <c r="UMF36" s="118"/>
      <c r="UMG36" s="118"/>
      <c r="UMH36" s="118"/>
      <c r="UMI36" s="118"/>
      <c r="UMJ36" s="118"/>
      <c r="UMK36" s="118"/>
      <c r="UML36" s="118"/>
      <c r="UMM36" s="118"/>
      <c r="UMN36" s="118"/>
      <c r="UMO36" s="118"/>
      <c r="UMP36" s="118"/>
      <c r="UMQ36" s="118"/>
      <c r="UMR36" s="118"/>
      <c r="UMS36" s="118"/>
      <c r="UMT36" s="118"/>
      <c r="UMU36" s="118"/>
      <c r="UMV36" s="118"/>
      <c r="UMW36" s="118"/>
      <c r="UMX36" s="118"/>
      <c r="UMY36" s="118"/>
      <c r="UMZ36" s="118"/>
      <c r="UNA36" s="118"/>
      <c r="UNB36" s="118"/>
      <c r="UNC36" s="118"/>
      <c r="UND36" s="118"/>
      <c r="UNE36" s="118"/>
      <c r="UNF36" s="118"/>
      <c r="UNG36" s="118"/>
      <c r="UNH36" s="118"/>
      <c r="UNI36" s="118"/>
      <c r="UNJ36" s="118"/>
      <c r="UNK36" s="118"/>
      <c r="UNL36" s="118"/>
      <c r="UNM36" s="118"/>
      <c r="UNN36" s="118"/>
      <c r="UNO36" s="118"/>
      <c r="UNP36" s="118"/>
      <c r="UNQ36" s="118"/>
      <c r="UNR36" s="118"/>
      <c r="UNS36" s="118"/>
      <c r="UNT36" s="118"/>
      <c r="UNU36" s="118"/>
      <c r="UNV36" s="118"/>
      <c r="UNW36" s="118"/>
      <c r="UNX36" s="118"/>
      <c r="UNY36" s="118"/>
      <c r="UNZ36" s="118"/>
      <c r="UOA36" s="118"/>
      <c r="UOB36" s="118"/>
      <c r="UOC36" s="118"/>
      <c r="UOD36" s="118"/>
      <c r="UOE36" s="118"/>
      <c r="UOF36" s="118"/>
      <c r="UOG36" s="118"/>
      <c r="UOH36" s="118"/>
      <c r="UOI36" s="118"/>
      <c r="UOJ36" s="118"/>
      <c r="UOK36" s="118"/>
      <c r="UOL36" s="118"/>
      <c r="UOM36" s="118"/>
      <c r="UON36" s="118"/>
      <c r="UOO36" s="118"/>
      <c r="UOP36" s="118"/>
      <c r="UOQ36" s="118"/>
      <c r="UOR36" s="118"/>
      <c r="UOS36" s="118"/>
      <c r="UOT36" s="118"/>
      <c r="UOU36" s="118"/>
      <c r="UOV36" s="118"/>
      <c r="UOW36" s="118"/>
      <c r="UOX36" s="118"/>
      <c r="UOY36" s="118"/>
      <c r="UOZ36" s="118"/>
      <c r="UPA36" s="118"/>
      <c r="UPB36" s="118"/>
      <c r="UPC36" s="118"/>
      <c r="UPD36" s="118"/>
      <c r="UPE36" s="118"/>
      <c r="UPF36" s="118"/>
      <c r="UPG36" s="118"/>
      <c r="UPH36" s="118"/>
      <c r="UPI36" s="118"/>
      <c r="UPJ36" s="118"/>
      <c r="UPK36" s="118"/>
      <c r="UPL36" s="118"/>
      <c r="UPM36" s="118"/>
      <c r="UPN36" s="118"/>
      <c r="UPO36" s="118"/>
      <c r="UPP36" s="118"/>
      <c r="UPQ36" s="118"/>
      <c r="UPR36" s="118"/>
      <c r="UPS36" s="118"/>
      <c r="UPT36" s="118"/>
      <c r="UPU36" s="118"/>
      <c r="UPV36" s="118"/>
      <c r="UPW36" s="118"/>
      <c r="UPX36" s="118"/>
      <c r="UPY36" s="118"/>
      <c r="UPZ36" s="118"/>
      <c r="UQA36" s="118"/>
      <c r="UQB36" s="118"/>
      <c r="UQC36" s="118"/>
      <c r="UQD36" s="118"/>
      <c r="UQE36" s="118"/>
      <c r="UQF36" s="118"/>
      <c r="UQG36" s="118"/>
      <c r="UQH36" s="118"/>
      <c r="UQI36" s="118"/>
      <c r="UQJ36" s="118"/>
      <c r="UQK36" s="118"/>
      <c r="UQL36" s="118"/>
      <c r="UQM36" s="118"/>
      <c r="UQN36" s="118"/>
      <c r="UQO36" s="118"/>
      <c r="UQP36" s="118"/>
      <c r="UQQ36" s="118"/>
      <c r="UQR36" s="118"/>
      <c r="UQS36" s="118"/>
      <c r="UQT36" s="118"/>
      <c r="UQU36" s="118"/>
      <c r="UQV36" s="118"/>
      <c r="UQW36" s="118"/>
      <c r="UQX36" s="118"/>
      <c r="UQY36" s="118"/>
      <c r="UQZ36" s="118"/>
      <c r="URA36" s="118"/>
      <c r="URB36" s="118"/>
      <c r="URC36" s="118"/>
      <c r="URD36" s="118"/>
      <c r="URE36" s="118"/>
      <c r="URF36" s="118"/>
      <c r="URG36" s="118"/>
      <c r="URH36" s="118"/>
      <c r="URI36" s="118"/>
      <c r="URJ36" s="118"/>
      <c r="URK36" s="118"/>
      <c r="URL36" s="118"/>
      <c r="URM36" s="118"/>
      <c r="URN36" s="118"/>
      <c r="URO36" s="118"/>
      <c r="URP36" s="118"/>
      <c r="URQ36" s="118"/>
      <c r="URR36" s="118"/>
      <c r="URS36" s="118"/>
      <c r="URT36" s="118"/>
      <c r="URU36" s="118"/>
      <c r="URV36" s="118"/>
      <c r="URW36" s="118"/>
      <c r="URX36" s="118"/>
      <c r="URY36" s="118"/>
      <c r="URZ36" s="118"/>
      <c r="USA36" s="118"/>
      <c r="USB36" s="118"/>
      <c r="USC36" s="118"/>
      <c r="USD36" s="118"/>
      <c r="USE36" s="118"/>
      <c r="USF36" s="118"/>
      <c r="USG36" s="118"/>
      <c r="USH36" s="118"/>
      <c r="USI36" s="118"/>
      <c r="USJ36" s="118"/>
      <c r="USK36" s="118"/>
      <c r="USL36" s="118"/>
      <c r="USM36" s="118"/>
      <c r="USN36" s="118"/>
      <c r="USO36" s="118"/>
      <c r="USP36" s="118"/>
      <c r="USQ36" s="118"/>
      <c r="USR36" s="118"/>
      <c r="USS36" s="118"/>
      <c r="UST36" s="118"/>
      <c r="USU36" s="118"/>
      <c r="USV36" s="118"/>
      <c r="USW36" s="118"/>
      <c r="USX36" s="118"/>
      <c r="USY36" s="118"/>
      <c r="USZ36" s="118"/>
      <c r="UTA36" s="118"/>
      <c r="UTB36" s="118"/>
      <c r="UTC36" s="118"/>
      <c r="UTD36" s="118"/>
      <c r="UTE36" s="118"/>
      <c r="UTF36" s="118"/>
      <c r="UTG36" s="118"/>
      <c r="UTH36" s="118"/>
      <c r="UTI36" s="118"/>
      <c r="UTJ36" s="118"/>
      <c r="UTK36" s="118"/>
      <c r="UTL36" s="118"/>
      <c r="UTM36" s="118"/>
      <c r="UTN36" s="118"/>
      <c r="UTO36" s="118"/>
      <c r="UTP36" s="118"/>
      <c r="UTQ36" s="118"/>
      <c r="UTR36" s="118"/>
      <c r="UTS36" s="118"/>
      <c r="UTT36" s="118"/>
      <c r="UTU36" s="118"/>
      <c r="UTV36" s="118"/>
      <c r="UTW36" s="118"/>
      <c r="UTX36" s="118"/>
      <c r="UTY36" s="118"/>
      <c r="UTZ36" s="118"/>
      <c r="UUA36" s="118"/>
      <c r="UUB36" s="118"/>
      <c r="UUC36" s="118"/>
      <c r="UUD36" s="118"/>
      <c r="UUE36" s="118"/>
      <c r="UUF36" s="118"/>
      <c r="UUG36" s="118"/>
      <c r="UUH36" s="118"/>
      <c r="UUI36" s="118"/>
      <c r="UUJ36" s="118"/>
      <c r="UUK36" s="118"/>
      <c r="UUL36" s="118"/>
      <c r="UUM36" s="118"/>
      <c r="UUN36" s="118"/>
      <c r="UUO36" s="118"/>
      <c r="UUP36" s="118"/>
      <c r="UUQ36" s="118"/>
      <c r="UUR36" s="118"/>
      <c r="UUS36" s="118"/>
      <c r="UUT36" s="118"/>
      <c r="UUU36" s="118"/>
      <c r="UUV36" s="118"/>
      <c r="UUW36" s="118"/>
      <c r="UUX36" s="118"/>
      <c r="UUY36" s="118"/>
      <c r="UUZ36" s="118"/>
      <c r="UVA36" s="118"/>
      <c r="UVB36" s="118"/>
      <c r="UVC36" s="118"/>
      <c r="UVD36" s="118"/>
      <c r="UVE36" s="118"/>
      <c r="UVF36" s="118"/>
      <c r="UVG36" s="118"/>
      <c r="UVH36" s="118"/>
      <c r="UVI36" s="118"/>
      <c r="UVJ36" s="118"/>
      <c r="UVK36" s="118"/>
      <c r="UVL36" s="118"/>
      <c r="UVM36" s="118"/>
      <c r="UVN36" s="118"/>
      <c r="UVO36" s="118"/>
      <c r="UVP36" s="118"/>
      <c r="UVQ36" s="118"/>
      <c r="UVR36" s="118"/>
      <c r="UVS36" s="118"/>
      <c r="UVT36" s="118"/>
      <c r="UVU36" s="118"/>
      <c r="UVV36" s="118"/>
      <c r="UVW36" s="118"/>
      <c r="UVX36" s="118"/>
      <c r="UVY36" s="118"/>
      <c r="UVZ36" s="118"/>
      <c r="UWA36" s="118"/>
      <c r="UWB36" s="118"/>
      <c r="UWC36" s="118"/>
      <c r="UWD36" s="118"/>
      <c r="UWE36" s="118"/>
      <c r="UWF36" s="118"/>
      <c r="UWG36" s="118"/>
      <c r="UWH36" s="118"/>
      <c r="UWI36" s="118"/>
      <c r="UWJ36" s="118"/>
      <c r="UWK36" s="118"/>
      <c r="UWL36" s="118"/>
      <c r="UWM36" s="118"/>
      <c r="UWN36" s="118"/>
      <c r="UWO36" s="118"/>
      <c r="UWP36" s="118"/>
      <c r="UWQ36" s="118"/>
      <c r="UWR36" s="118"/>
      <c r="UWS36" s="118"/>
      <c r="UWT36" s="118"/>
      <c r="UWU36" s="118"/>
      <c r="UWV36" s="118"/>
      <c r="UWW36" s="118"/>
      <c r="UWX36" s="118"/>
      <c r="UWY36" s="118"/>
      <c r="UWZ36" s="118"/>
      <c r="UXA36" s="118"/>
      <c r="UXB36" s="118"/>
      <c r="UXC36" s="118"/>
      <c r="UXD36" s="118"/>
      <c r="UXE36" s="118"/>
      <c r="UXF36" s="118"/>
      <c r="UXG36" s="118"/>
      <c r="UXH36" s="118"/>
      <c r="UXI36" s="118"/>
      <c r="UXJ36" s="118"/>
      <c r="UXK36" s="118"/>
      <c r="UXL36" s="118"/>
      <c r="UXM36" s="118"/>
      <c r="UXN36" s="118"/>
      <c r="UXO36" s="118"/>
      <c r="UXP36" s="118"/>
      <c r="UXQ36" s="118"/>
      <c r="UXR36" s="118"/>
      <c r="UXS36" s="118"/>
      <c r="UXT36" s="118"/>
      <c r="UXU36" s="118"/>
      <c r="UXV36" s="118"/>
      <c r="UXW36" s="118"/>
      <c r="UXX36" s="118"/>
      <c r="UXY36" s="118"/>
      <c r="UXZ36" s="118"/>
      <c r="UYA36" s="118"/>
      <c r="UYB36" s="118"/>
      <c r="UYC36" s="118"/>
      <c r="UYD36" s="118"/>
      <c r="UYE36" s="118"/>
      <c r="UYF36" s="118"/>
      <c r="UYG36" s="118"/>
      <c r="UYH36" s="118"/>
      <c r="UYI36" s="118"/>
      <c r="UYJ36" s="118"/>
      <c r="UYK36" s="118"/>
      <c r="UYL36" s="118"/>
      <c r="UYM36" s="118"/>
      <c r="UYN36" s="118"/>
      <c r="UYO36" s="118"/>
      <c r="UYP36" s="118"/>
      <c r="UYQ36" s="118"/>
      <c r="UYR36" s="118"/>
      <c r="UYS36" s="118"/>
      <c r="UYT36" s="118"/>
      <c r="UYU36" s="118"/>
      <c r="UYV36" s="118"/>
      <c r="UYW36" s="118"/>
      <c r="UYX36" s="118"/>
      <c r="UYY36" s="118"/>
      <c r="UYZ36" s="118"/>
      <c r="UZA36" s="118"/>
      <c r="UZB36" s="118"/>
      <c r="UZC36" s="118"/>
      <c r="UZD36" s="118"/>
      <c r="UZE36" s="118"/>
      <c r="UZF36" s="118"/>
      <c r="UZG36" s="118"/>
      <c r="UZH36" s="118"/>
      <c r="UZI36" s="118"/>
      <c r="UZJ36" s="118"/>
      <c r="UZK36" s="118"/>
      <c r="UZL36" s="118"/>
      <c r="UZM36" s="118"/>
      <c r="UZN36" s="118"/>
      <c r="UZO36" s="118"/>
      <c r="UZP36" s="118"/>
      <c r="UZQ36" s="118"/>
      <c r="UZR36" s="118"/>
      <c r="UZS36" s="118"/>
      <c r="UZT36" s="118"/>
      <c r="UZU36" s="118"/>
      <c r="UZV36" s="118"/>
      <c r="UZW36" s="118"/>
      <c r="UZX36" s="118"/>
      <c r="UZY36" s="118"/>
      <c r="UZZ36" s="118"/>
      <c r="VAA36" s="118"/>
      <c r="VAB36" s="118"/>
      <c r="VAC36" s="118"/>
      <c r="VAD36" s="118"/>
      <c r="VAE36" s="118"/>
      <c r="VAF36" s="118"/>
      <c r="VAG36" s="118"/>
      <c r="VAH36" s="118"/>
      <c r="VAI36" s="118"/>
      <c r="VAJ36" s="118"/>
      <c r="VAK36" s="118"/>
      <c r="VAL36" s="118"/>
      <c r="VAM36" s="118"/>
      <c r="VAN36" s="118"/>
      <c r="VAO36" s="118"/>
      <c r="VAP36" s="118"/>
      <c r="VAQ36" s="118"/>
      <c r="VAR36" s="118"/>
      <c r="VAS36" s="118"/>
      <c r="VAT36" s="118"/>
      <c r="VAU36" s="118"/>
      <c r="VAV36" s="118"/>
      <c r="VAW36" s="118"/>
      <c r="VAX36" s="118"/>
      <c r="VAY36" s="118"/>
      <c r="VAZ36" s="118"/>
      <c r="VBA36" s="118"/>
      <c r="VBB36" s="118"/>
      <c r="VBC36" s="118"/>
      <c r="VBD36" s="118"/>
      <c r="VBE36" s="118"/>
      <c r="VBF36" s="118"/>
      <c r="VBG36" s="118"/>
      <c r="VBH36" s="118"/>
      <c r="VBI36" s="118"/>
      <c r="VBJ36" s="118"/>
      <c r="VBK36" s="118"/>
      <c r="VBL36" s="118"/>
      <c r="VBM36" s="118"/>
      <c r="VBN36" s="118"/>
      <c r="VBO36" s="118"/>
      <c r="VBP36" s="118"/>
      <c r="VBQ36" s="118"/>
      <c r="VBR36" s="118"/>
      <c r="VBS36" s="118"/>
      <c r="VBT36" s="118"/>
      <c r="VBU36" s="118"/>
      <c r="VBV36" s="118"/>
      <c r="VBW36" s="118"/>
      <c r="VBX36" s="118"/>
      <c r="VBY36" s="118"/>
      <c r="VBZ36" s="118"/>
      <c r="VCA36" s="118"/>
      <c r="VCB36" s="118"/>
      <c r="VCC36" s="118"/>
      <c r="VCD36" s="118"/>
      <c r="VCE36" s="118"/>
      <c r="VCF36" s="118"/>
      <c r="VCG36" s="118"/>
      <c r="VCH36" s="118"/>
      <c r="VCI36" s="118"/>
      <c r="VCJ36" s="118"/>
      <c r="VCK36" s="118"/>
      <c r="VCL36" s="118"/>
      <c r="VCM36" s="118"/>
      <c r="VCN36" s="118"/>
      <c r="VCO36" s="118"/>
      <c r="VCP36" s="118"/>
      <c r="VCQ36" s="118"/>
      <c r="VCR36" s="118"/>
      <c r="VCS36" s="118"/>
      <c r="VCT36" s="118"/>
      <c r="VCU36" s="118"/>
      <c r="VCV36" s="118"/>
      <c r="VCW36" s="118"/>
      <c r="VCX36" s="118"/>
      <c r="VCY36" s="118"/>
      <c r="VCZ36" s="118"/>
      <c r="VDA36" s="118"/>
      <c r="VDB36" s="118"/>
      <c r="VDC36" s="118"/>
      <c r="VDD36" s="118"/>
      <c r="VDE36" s="118"/>
      <c r="VDF36" s="118"/>
      <c r="VDG36" s="118"/>
      <c r="VDH36" s="118"/>
      <c r="VDI36" s="118"/>
      <c r="VDJ36" s="118"/>
      <c r="VDK36" s="118"/>
      <c r="VDL36" s="118"/>
      <c r="VDM36" s="118"/>
      <c r="VDN36" s="118"/>
      <c r="VDO36" s="118"/>
      <c r="VDP36" s="118"/>
      <c r="VDQ36" s="118"/>
      <c r="VDR36" s="118"/>
      <c r="VDS36" s="118"/>
      <c r="VDT36" s="118"/>
      <c r="VDU36" s="118"/>
      <c r="VDV36" s="118"/>
      <c r="VDW36" s="118"/>
      <c r="VDX36" s="118"/>
      <c r="VDY36" s="118"/>
      <c r="VDZ36" s="118"/>
      <c r="VEA36" s="118"/>
      <c r="VEB36" s="118"/>
      <c r="VEC36" s="118"/>
      <c r="VED36" s="118"/>
      <c r="VEE36" s="118"/>
      <c r="VEF36" s="118"/>
      <c r="VEG36" s="118"/>
      <c r="VEH36" s="118"/>
      <c r="VEI36" s="118"/>
      <c r="VEJ36" s="118"/>
      <c r="VEK36" s="118"/>
      <c r="VEL36" s="118"/>
      <c r="VEM36" s="118"/>
      <c r="VEN36" s="118"/>
      <c r="VEO36" s="118"/>
      <c r="VEP36" s="118"/>
      <c r="VEQ36" s="118"/>
      <c r="VER36" s="118"/>
      <c r="VES36" s="118"/>
      <c r="VET36" s="118"/>
      <c r="VEU36" s="118"/>
      <c r="VEV36" s="118"/>
      <c r="VEW36" s="118"/>
      <c r="VEX36" s="118"/>
      <c r="VEY36" s="118"/>
      <c r="VEZ36" s="118"/>
      <c r="VFA36" s="118"/>
      <c r="VFB36" s="118"/>
      <c r="VFC36" s="118"/>
      <c r="VFD36" s="118"/>
      <c r="VFE36" s="118"/>
      <c r="VFF36" s="118"/>
      <c r="VFG36" s="118"/>
      <c r="VFH36" s="118"/>
      <c r="VFI36" s="118"/>
      <c r="VFJ36" s="118"/>
      <c r="VFK36" s="118"/>
      <c r="VFL36" s="118"/>
      <c r="VFM36" s="118"/>
      <c r="VFN36" s="118"/>
      <c r="VFO36" s="118"/>
      <c r="VFP36" s="118"/>
      <c r="VFQ36" s="118"/>
      <c r="VFR36" s="118"/>
      <c r="VFS36" s="118"/>
      <c r="VFT36" s="118"/>
      <c r="VFU36" s="118"/>
      <c r="VFV36" s="118"/>
      <c r="VFW36" s="118"/>
      <c r="VFX36" s="118"/>
      <c r="VFY36" s="118"/>
      <c r="VFZ36" s="118"/>
      <c r="VGA36" s="118"/>
      <c r="VGB36" s="118"/>
      <c r="VGC36" s="118"/>
      <c r="VGD36" s="118"/>
      <c r="VGE36" s="118"/>
      <c r="VGF36" s="118"/>
      <c r="VGG36" s="118"/>
      <c r="VGH36" s="118"/>
      <c r="VGI36" s="118"/>
      <c r="VGJ36" s="118"/>
      <c r="VGK36" s="118"/>
      <c r="VGL36" s="118"/>
      <c r="VGM36" s="118"/>
      <c r="VGN36" s="118"/>
      <c r="VGO36" s="118"/>
      <c r="VGP36" s="118"/>
      <c r="VGQ36" s="118"/>
      <c r="VGR36" s="118"/>
      <c r="VGS36" s="118"/>
      <c r="VGT36" s="118"/>
      <c r="VGU36" s="118"/>
      <c r="VGV36" s="118"/>
      <c r="VGW36" s="118"/>
      <c r="VGX36" s="118"/>
      <c r="VGY36" s="118"/>
      <c r="VGZ36" s="118"/>
      <c r="VHA36" s="118"/>
      <c r="VHB36" s="118"/>
      <c r="VHC36" s="118"/>
      <c r="VHD36" s="118"/>
      <c r="VHE36" s="118"/>
      <c r="VHF36" s="118"/>
      <c r="VHG36" s="118"/>
      <c r="VHH36" s="118"/>
      <c r="VHI36" s="118"/>
      <c r="VHJ36" s="118"/>
      <c r="VHK36" s="118"/>
      <c r="VHL36" s="118"/>
      <c r="VHM36" s="118"/>
      <c r="VHN36" s="118"/>
      <c r="VHO36" s="118"/>
      <c r="VHP36" s="118"/>
      <c r="VHQ36" s="118"/>
      <c r="VHR36" s="118"/>
      <c r="VHS36" s="118"/>
      <c r="VHT36" s="118"/>
      <c r="VHU36" s="118"/>
      <c r="VHV36" s="118"/>
      <c r="VHW36" s="118"/>
      <c r="VHX36" s="118"/>
      <c r="VHY36" s="118"/>
      <c r="VHZ36" s="118"/>
      <c r="VIA36" s="118"/>
      <c r="VIB36" s="118"/>
      <c r="VIC36" s="118"/>
      <c r="VID36" s="118"/>
      <c r="VIE36" s="118"/>
      <c r="VIF36" s="118"/>
      <c r="VIG36" s="118"/>
      <c r="VIH36" s="118"/>
      <c r="VII36" s="118"/>
      <c r="VIJ36" s="118"/>
      <c r="VIK36" s="118"/>
      <c r="VIL36" s="118"/>
      <c r="VIM36" s="118"/>
      <c r="VIN36" s="118"/>
      <c r="VIO36" s="118"/>
      <c r="VIP36" s="118"/>
      <c r="VIQ36" s="118"/>
      <c r="VIR36" s="118"/>
      <c r="VIS36" s="118"/>
      <c r="VIT36" s="118"/>
      <c r="VIU36" s="118"/>
      <c r="VIV36" s="118"/>
      <c r="VIW36" s="118"/>
      <c r="VIX36" s="118"/>
      <c r="VIY36" s="118"/>
      <c r="VIZ36" s="118"/>
      <c r="VJA36" s="118"/>
      <c r="VJB36" s="118"/>
      <c r="VJC36" s="118"/>
      <c r="VJD36" s="118"/>
      <c r="VJE36" s="118"/>
      <c r="VJF36" s="118"/>
      <c r="VJG36" s="118"/>
      <c r="VJH36" s="118"/>
      <c r="VJI36" s="118"/>
      <c r="VJJ36" s="118"/>
      <c r="VJK36" s="118"/>
      <c r="VJL36" s="118"/>
      <c r="VJM36" s="118"/>
      <c r="VJN36" s="118"/>
      <c r="VJO36" s="118"/>
      <c r="VJP36" s="118"/>
      <c r="VJQ36" s="118"/>
      <c r="VJR36" s="118"/>
      <c r="VJS36" s="118"/>
      <c r="VJT36" s="118"/>
      <c r="VJU36" s="118"/>
      <c r="VJV36" s="118"/>
      <c r="VJW36" s="118"/>
      <c r="VJX36" s="118"/>
      <c r="VJY36" s="118"/>
      <c r="VJZ36" s="118"/>
      <c r="VKA36" s="118"/>
      <c r="VKB36" s="118"/>
      <c r="VKC36" s="118"/>
      <c r="VKD36" s="118"/>
      <c r="VKE36" s="118"/>
      <c r="VKF36" s="118"/>
      <c r="VKG36" s="118"/>
      <c r="VKH36" s="118"/>
      <c r="VKI36" s="118"/>
      <c r="VKJ36" s="118"/>
      <c r="VKK36" s="118"/>
      <c r="VKL36" s="118"/>
      <c r="VKM36" s="118"/>
      <c r="VKN36" s="118"/>
      <c r="VKO36" s="118"/>
      <c r="VKP36" s="118"/>
      <c r="VKQ36" s="118"/>
      <c r="VKR36" s="118"/>
      <c r="VKS36" s="118"/>
      <c r="VKT36" s="118"/>
      <c r="VKU36" s="118"/>
      <c r="VKV36" s="118"/>
      <c r="VKW36" s="118"/>
      <c r="VKX36" s="118"/>
      <c r="VKY36" s="118"/>
      <c r="VKZ36" s="118"/>
      <c r="VLA36" s="118"/>
      <c r="VLB36" s="118"/>
      <c r="VLC36" s="118"/>
      <c r="VLD36" s="118"/>
      <c r="VLE36" s="118"/>
      <c r="VLF36" s="118"/>
      <c r="VLG36" s="118"/>
      <c r="VLH36" s="118"/>
      <c r="VLI36" s="118"/>
      <c r="VLJ36" s="118"/>
      <c r="VLK36" s="118"/>
      <c r="VLL36" s="118"/>
      <c r="VLM36" s="118"/>
      <c r="VLN36" s="118"/>
      <c r="VLO36" s="118"/>
      <c r="VLP36" s="118"/>
      <c r="VLQ36" s="118"/>
      <c r="VLR36" s="118"/>
      <c r="VLS36" s="118"/>
      <c r="VLT36" s="118"/>
      <c r="VLU36" s="118"/>
      <c r="VLV36" s="118"/>
      <c r="VLW36" s="118"/>
      <c r="VLX36" s="118"/>
      <c r="VLY36" s="118"/>
      <c r="VLZ36" s="118"/>
      <c r="VMA36" s="118"/>
      <c r="VMB36" s="118"/>
      <c r="VMC36" s="118"/>
      <c r="VMD36" s="118"/>
      <c r="VME36" s="118"/>
      <c r="VMF36" s="118"/>
      <c r="VMG36" s="118"/>
      <c r="VMH36" s="118"/>
      <c r="VMI36" s="118"/>
      <c r="VMJ36" s="118"/>
      <c r="VMK36" s="118"/>
      <c r="VML36" s="118"/>
      <c r="VMM36" s="118"/>
      <c r="VMN36" s="118"/>
      <c r="VMO36" s="118"/>
      <c r="VMP36" s="118"/>
      <c r="VMQ36" s="118"/>
      <c r="VMR36" s="118"/>
      <c r="VMS36" s="118"/>
      <c r="VMT36" s="118"/>
      <c r="VMU36" s="118"/>
      <c r="VMV36" s="118"/>
      <c r="VMW36" s="118"/>
      <c r="VMX36" s="118"/>
      <c r="VMY36" s="118"/>
      <c r="VMZ36" s="118"/>
      <c r="VNA36" s="118"/>
      <c r="VNB36" s="118"/>
      <c r="VNC36" s="118"/>
      <c r="VND36" s="118"/>
      <c r="VNE36" s="118"/>
      <c r="VNF36" s="118"/>
      <c r="VNG36" s="118"/>
      <c r="VNH36" s="118"/>
      <c r="VNI36" s="118"/>
      <c r="VNJ36" s="118"/>
      <c r="VNK36" s="118"/>
      <c r="VNL36" s="118"/>
      <c r="VNM36" s="118"/>
      <c r="VNN36" s="118"/>
      <c r="VNO36" s="118"/>
      <c r="VNP36" s="118"/>
      <c r="VNQ36" s="118"/>
      <c r="VNR36" s="118"/>
      <c r="VNS36" s="118"/>
      <c r="VNT36" s="118"/>
      <c r="VNU36" s="118"/>
      <c r="VNV36" s="118"/>
      <c r="VNW36" s="118"/>
      <c r="VNX36" s="118"/>
      <c r="VNY36" s="118"/>
      <c r="VNZ36" s="118"/>
      <c r="VOA36" s="118"/>
      <c r="VOB36" s="118"/>
      <c r="VOC36" s="118"/>
      <c r="VOD36" s="118"/>
      <c r="VOE36" s="118"/>
      <c r="VOF36" s="118"/>
      <c r="VOG36" s="118"/>
      <c r="VOH36" s="118"/>
      <c r="VOI36" s="118"/>
      <c r="VOJ36" s="118"/>
      <c r="VOK36" s="118"/>
      <c r="VOL36" s="118"/>
      <c r="VOM36" s="118"/>
      <c r="VON36" s="118"/>
      <c r="VOO36" s="118"/>
      <c r="VOP36" s="118"/>
      <c r="VOQ36" s="118"/>
      <c r="VOR36" s="118"/>
      <c r="VOS36" s="118"/>
      <c r="VOT36" s="118"/>
      <c r="VOU36" s="118"/>
      <c r="VOV36" s="118"/>
      <c r="VOW36" s="118"/>
      <c r="VOX36" s="118"/>
      <c r="VOY36" s="118"/>
      <c r="VOZ36" s="118"/>
      <c r="VPA36" s="118"/>
      <c r="VPB36" s="118"/>
      <c r="VPC36" s="118"/>
      <c r="VPD36" s="118"/>
      <c r="VPE36" s="118"/>
      <c r="VPF36" s="118"/>
      <c r="VPG36" s="118"/>
      <c r="VPH36" s="118"/>
      <c r="VPI36" s="118"/>
      <c r="VPJ36" s="118"/>
      <c r="VPK36" s="118"/>
      <c r="VPL36" s="118"/>
      <c r="VPM36" s="118"/>
      <c r="VPN36" s="118"/>
      <c r="VPO36" s="118"/>
      <c r="VPP36" s="118"/>
      <c r="VPQ36" s="118"/>
      <c r="VPR36" s="118"/>
      <c r="VPS36" s="118"/>
      <c r="VPT36" s="118"/>
      <c r="VPU36" s="118"/>
      <c r="VPV36" s="118"/>
      <c r="VPW36" s="118"/>
      <c r="VPX36" s="118"/>
      <c r="VPY36" s="118"/>
      <c r="VPZ36" s="118"/>
      <c r="VQA36" s="118"/>
      <c r="VQB36" s="118"/>
      <c r="VQC36" s="118"/>
      <c r="VQD36" s="118"/>
      <c r="VQE36" s="118"/>
      <c r="VQF36" s="118"/>
      <c r="VQG36" s="118"/>
      <c r="VQH36" s="118"/>
      <c r="VQI36" s="118"/>
      <c r="VQJ36" s="118"/>
      <c r="VQK36" s="118"/>
      <c r="VQL36" s="118"/>
      <c r="VQM36" s="118"/>
      <c r="VQN36" s="118"/>
      <c r="VQO36" s="118"/>
      <c r="VQP36" s="118"/>
      <c r="VQQ36" s="118"/>
      <c r="VQR36" s="118"/>
      <c r="VQS36" s="118"/>
      <c r="VQT36" s="118"/>
      <c r="VQU36" s="118"/>
      <c r="VQV36" s="118"/>
      <c r="VQW36" s="118"/>
      <c r="VQX36" s="118"/>
      <c r="VQY36" s="118"/>
      <c r="VQZ36" s="118"/>
      <c r="VRA36" s="118"/>
      <c r="VRB36" s="118"/>
      <c r="VRC36" s="118"/>
      <c r="VRD36" s="118"/>
      <c r="VRE36" s="118"/>
      <c r="VRF36" s="118"/>
      <c r="VRG36" s="118"/>
      <c r="VRH36" s="118"/>
      <c r="VRI36" s="118"/>
      <c r="VRJ36" s="118"/>
      <c r="VRK36" s="118"/>
      <c r="VRL36" s="118"/>
      <c r="VRM36" s="118"/>
      <c r="VRN36" s="118"/>
      <c r="VRO36" s="118"/>
      <c r="VRP36" s="118"/>
      <c r="VRQ36" s="118"/>
      <c r="VRR36" s="118"/>
      <c r="VRS36" s="118"/>
      <c r="VRT36" s="118"/>
      <c r="VRU36" s="118"/>
      <c r="VRV36" s="118"/>
      <c r="VRW36" s="118"/>
      <c r="VRX36" s="118"/>
      <c r="VRY36" s="118"/>
      <c r="VRZ36" s="118"/>
      <c r="VSA36" s="118"/>
      <c r="VSB36" s="118"/>
      <c r="VSC36" s="118"/>
      <c r="VSD36" s="118"/>
      <c r="VSE36" s="118"/>
      <c r="VSF36" s="118"/>
      <c r="VSG36" s="118"/>
      <c r="VSH36" s="118"/>
      <c r="VSI36" s="118"/>
      <c r="VSJ36" s="118"/>
      <c r="VSK36" s="118"/>
      <c r="VSL36" s="118"/>
      <c r="VSM36" s="118"/>
      <c r="VSN36" s="118"/>
      <c r="VSO36" s="118"/>
      <c r="VSP36" s="118"/>
      <c r="VSQ36" s="118"/>
      <c r="VSR36" s="118"/>
      <c r="VSS36" s="118"/>
      <c r="VST36" s="118"/>
      <c r="VSU36" s="118"/>
      <c r="VSV36" s="118"/>
      <c r="VSW36" s="118"/>
      <c r="VSX36" s="118"/>
      <c r="VSY36" s="118"/>
      <c r="VSZ36" s="118"/>
      <c r="VTA36" s="118"/>
      <c r="VTB36" s="118"/>
      <c r="VTC36" s="118"/>
      <c r="VTD36" s="118"/>
      <c r="VTE36" s="118"/>
      <c r="VTF36" s="118"/>
      <c r="VTG36" s="118"/>
      <c r="VTH36" s="118"/>
      <c r="VTI36" s="118"/>
      <c r="VTJ36" s="118"/>
      <c r="VTK36" s="118"/>
      <c r="VTL36" s="118"/>
      <c r="VTM36" s="118"/>
      <c r="VTN36" s="118"/>
      <c r="VTO36" s="118"/>
      <c r="VTP36" s="118"/>
      <c r="VTQ36" s="118"/>
      <c r="VTR36" s="118"/>
      <c r="VTS36" s="118"/>
      <c r="VTT36" s="118"/>
      <c r="VTU36" s="118"/>
      <c r="VTV36" s="118"/>
      <c r="VTW36" s="118"/>
      <c r="VTX36" s="118"/>
      <c r="VTY36" s="118"/>
      <c r="VTZ36" s="118"/>
      <c r="VUA36" s="118"/>
      <c r="VUB36" s="118"/>
      <c r="VUC36" s="118"/>
      <c r="VUD36" s="118"/>
      <c r="VUE36" s="118"/>
      <c r="VUF36" s="118"/>
      <c r="VUG36" s="118"/>
      <c r="VUH36" s="118"/>
      <c r="VUI36" s="118"/>
      <c r="VUJ36" s="118"/>
      <c r="VUK36" s="118"/>
      <c r="VUL36" s="118"/>
      <c r="VUM36" s="118"/>
      <c r="VUN36" s="118"/>
      <c r="VUO36" s="118"/>
      <c r="VUP36" s="118"/>
      <c r="VUQ36" s="118"/>
      <c r="VUR36" s="118"/>
      <c r="VUS36" s="118"/>
      <c r="VUT36" s="118"/>
      <c r="VUU36" s="118"/>
      <c r="VUV36" s="118"/>
      <c r="VUW36" s="118"/>
      <c r="VUX36" s="118"/>
      <c r="VUY36" s="118"/>
      <c r="VUZ36" s="118"/>
      <c r="VVA36" s="118"/>
      <c r="VVB36" s="118"/>
      <c r="VVC36" s="118"/>
      <c r="VVD36" s="118"/>
      <c r="VVE36" s="118"/>
      <c r="VVF36" s="118"/>
      <c r="VVG36" s="118"/>
      <c r="VVH36" s="118"/>
      <c r="VVI36" s="118"/>
      <c r="VVJ36" s="118"/>
      <c r="VVK36" s="118"/>
      <c r="VVL36" s="118"/>
      <c r="VVM36" s="118"/>
      <c r="VVN36" s="118"/>
      <c r="VVO36" s="118"/>
      <c r="VVP36" s="118"/>
      <c r="VVQ36" s="118"/>
      <c r="VVR36" s="118"/>
      <c r="VVS36" s="118"/>
      <c r="VVT36" s="118"/>
      <c r="VVU36" s="118"/>
      <c r="VVV36" s="118"/>
      <c r="VVW36" s="118"/>
      <c r="VVX36" s="118"/>
      <c r="VVY36" s="118"/>
      <c r="VVZ36" s="118"/>
      <c r="VWA36" s="118"/>
      <c r="VWB36" s="118"/>
      <c r="VWC36" s="118"/>
      <c r="VWD36" s="118"/>
      <c r="VWE36" s="118"/>
      <c r="VWF36" s="118"/>
      <c r="VWG36" s="118"/>
      <c r="VWH36" s="118"/>
      <c r="VWI36" s="118"/>
      <c r="VWJ36" s="118"/>
      <c r="VWK36" s="118"/>
      <c r="VWL36" s="118"/>
      <c r="VWM36" s="118"/>
      <c r="VWN36" s="118"/>
      <c r="VWO36" s="118"/>
      <c r="VWP36" s="118"/>
      <c r="VWQ36" s="118"/>
      <c r="VWR36" s="118"/>
      <c r="VWS36" s="118"/>
      <c r="VWT36" s="118"/>
      <c r="VWU36" s="118"/>
      <c r="VWV36" s="118"/>
      <c r="VWW36" s="118"/>
      <c r="VWX36" s="118"/>
      <c r="VWY36" s="118"/>
      <c r="VWZ36" s="118"/>
      <c r="VXA36" s="118"/>
      <c r="VXB36" s="118"/>
      <c r="VXC36" s="118"/>
      <c r="VXD36" s="118"/>
      <c r="VXE36" s="118"/>
      <c r="VXF36" s="118"/>
      <c r="VXG36" s="118"/>
      <c r="VXH36" s="118"/>
      <c r="VXI36" s="118"/>
      <c r="VXJ36" s="118"/>
      <c r="VXK36" s="118"/>
      <c r="VXL36" s="118"/>
      <c r="VXM36" s="118"/>
      <c r="VXN36" s="118"/>
      <c r="VXO36" s="118"/>
      <c r="VXP36" s="118"/>
      <c r="VXQ36" s="118"/>
      <c r="VXR36" s="118"/>
      <c r="VXS36" s="118"/>
      <c r="VXT36" s="118"/>
      <c r="VXU36" s="118"/>
      <c r="VXV36" s="118"/>
      <c r="VXW36" s="118"/>
      <c r="VXX36" s="118"/>
      <c r="VXY36" s="118"/>
      <c r="VXZ36" s="118"/>
      <c r="VYA36" s="118"/>
      <c r="VYB36" s="118"/>
      <c r="VYC36" s="118"/>
      <c r="VYD36" s="118"/>
      <c r="VYE36" s="118"/>
      <c r="VYF36" s="118"/>
      <c r="VYG36" s="118"/>
      <c r="VYH36" s="118"/>
      <c r="VYI36" s="118"/>
      <c r="VYJ36" s="118"/>
      <c r="VYK36" s="118"/>
      <c r="VYL36" s="118"/>
      <c r="VYM36" s="118"/>
      <c r="VYN36" s="118"/>
      <c r="VYO36" s="118"/>
      <c r="VYP36" s="118"/>
      <c r="VYQ36" s="118"/>
      <c r="VYR36" s="118"/>
      <c r="VYS36" s="118"/>
      <c r="VYT36" s="118"/>
      <c r="VYU36" s="118"/>
      <c r="VYV36" s="118"/>
      <c r="VYW36" s="118"/>
      <c r="VYX36" s="118"/>
      <c r="VYY36" s="118"/>
      <c r="VYZ36" s="118"/>
      <c r="VZA36" s="118"/>
      <c r="VZB36" s="118"/>
      <c r="VZC36" s="118"/>
      <c r="VZD36" s="118"/>
      <c r="VZE36" s="118"/>
      <c r="VZF36" s="118"/>
      <c r="VZG36" s="118"/>
      <c r="VZH36" s="118"/>
      <c r="VZI36" s="118"/>
      <c r="VZJ36" s="118"/>
      <c r="VZK36" s="118"/>
      <c r="VZL36" s="118"/>
      <c r="VZM36" s="118"/>
      <c r="VZN36" s="118"/>
      <c r="VZO36" s="118"/>
      <c r="VZP36" s="118"/>
      <c r="VZQ36" s="118"/>
      <c r="VZR36" s="118"/>
      <c r="VZS36" s="118"/>
      <c r="VZT36" s="118"/>
      <c r="VZU36" s="118"/>
      <c r="VZV36" s="118"/>
      <c r="VZW36" s="118"/>
      <c r="VZX36" s="118"/>
      <c r="VZY36" s="118"/>
      <c r="VZZ36" s="118"/>
      <c r="WAA36" s="118"/>
      <c r="WAB36" s="118"/>
      <c r="WAC36" s="118"/>
      <c r="WAD36" s="118"/>
      <c r="WAE36" s="118"/>
      <c r="WAF36" s="118"/>
      <c r="WAG36" s="118"/>
      <c r="WAH36" s="118"/>
      <c r="WAI36" s="118"/>
      <c r="WAJ36" s="118"/>
      <c r="WAK36" s="118"/>
      <c r="WAL36" s="118"/>
      <c r="WAM36" s="118"/>
      <c r="WAN36" s="118"/>
      <c r="WAO36" s="118"/>
      <c r="WAP36" s="118"/>
      <c r="WAQ36" s="118"/>
      <c r="WAR36" s="118"/>
      <c r="WAS36" s="118"/>
      <c r="WAT36" s="118"/>
      <c r="WAU36" s="118"/>
      <c r="WAV36" s="118"/>
      <c r="WAW36" s="118"/>
      <c r="WAX36" s="118"/>
      <c r="WAY36" s="118"/>
      <c r="WAZ36" s="118"/>
      <c r="WBA36" s="118"/>
      <c r="WBB36" s="118"/>
      <c r="WBC36" s="118"/>
      <c r="WBD36" s="118"/>
      <c r="WBE36" s="118"/>
      <c r="WBF36" s="118"/>
      <c r="WBG36" s="118"/>
      <c r="WBH36" s="118"/>
      <c r="WBI36" s="118"/>
      <c r="WBJ36" s="118"/>
      <c r="WBK36" s="118"/>
      <c r="WBL36" s="118"/>
      <c r="WBM36" s="118"/>
      <c r="WBN36" s="118"/>
      <c r="WBO36" s="118"/>
      <c r="WBP36" s="118"/>
      <c r="WBQ36" s="118"/>
      <c r="WBR36" s="118"/>
      <c r="WBS36" s="118"/>
      <c r="WBT36" s="118"/>
      <c r="WBU36" s="118"/>
      <c r="WBV36" s="118"/>
      <c r="WBW36" s="118"/>
      <c r="WBX36" s="118"/>
      <c r="WBY36" s="118"/>
      <c r="WBZ36" s="118"/>
      <c r="WCA36" s="118"/>
      <c r="WCB36" s="118"/>
      <c r="WCC36" s="118"/>
      <c r="WCD36" s="118"/>
      <c r="WCE36" s="118"/>
      <c r="WCF36" s="118"/>
      <c r="WCG36" s="118"/>
      <c r="WCH36" s="118"/>
      <c r="WCI36" s="118"/>
      <c r="WCJ36" s="118"/>
      <c r="WCK36" s="118"/>
      <c r="WCL36" s="118"/>
      <c r="WCM36" s="118"/>
      <c r="WCN36" s="118"/>
      <c r="WCO36" s="118"/>
      <c r="WCP36" s="118"/>
      <c r="WCQ36" s="118"/>
      <c r="WCR36" s="118"/>
      <c r="WCS36" s="118"/>
      <c r="WCT36" s="118"/>
      <c r="WCU36" s="118"/>
      <c r="WCV36" s="118"/>
      <c r="WCW36" s="118"/>
      <c r="WCX36" s="118"/>
      <c r="WCY36" s="118"/>
      <c r="WCZ36" s="118"/>
      <c r="WDA36" s="118"/>
      <c r="WDB36" s="118"/>
      <c r="WDC36" s="118"/>
      <c r="WDD36" s="118"/>
      <c r="WDE36" s="118"/>
      <c r="WDF36" s="118"/>
      <c r="WDG36" s="118"/>
      <c r="WDH36" s="118"/>
      <c r="WDI36" s="118"/>
      <c r="WDJ36" s="118"/>
      <c r="WDK36" s="118"/>
      <c r="WDL36" s="118"/>
      <c r="WDM36" s="118"/>
      <c r="WDN36" s="118"/>
      <c r="WDO36" s="118"/>
      <c r="WDP36" s="118"/>
      <c r="WDQ36" s="118"/>
      <c r="WDR36" s="118"/>
      <c r="WDS36" s="118"/>
      <c r="WDT36" s="118"/>
      <c r="WDU36" s="118"/>
      <c r="WDV36" s="118"/>
      <c r="WDW36" s="118"/>
      <c r="WDX36" s="118"/>
      <c r="WDY36" s="118"/>
      <c r="WDZ36" s="118"/>
      <c r="WEA36" s="118"/>
      <c r="WEB36" s="118"/>
      <c r="WEC36" s="118"/>
      <c r="WED36" s="118"/>
      <c r="WEE36" s="118"/>
      <c r="WEF36" s="118"/>
      <c r="WEG36" s="118"/>
      <c r="WEH36" s="118"/>
      <c r="WEI36" s="118"/>
      <c r="WEJ36" s="118"/>
      <c r="WEK36" s="118"/>
      <c r="WEL36" s="118"/>
      <c r="WEM36" s="118"/>
      <c r="WEN36" s="118"/>
      <c r="WEO36" s="118"/>
      <c r="WEP36" s="118"/>
      <c r="WEQ36" s="118"/>
      <c r="WER36" s="118"/>
      <c r="WES36" s="118"/>
      <c r="WET36" s="118"/>
      <c r="WEU36" s="118"/>
      <c r="WEV36" s="118"/>
      <c r="WEW36" s="118"/>
      <c r="WEX36" s="118"/>
      <c r="WEY36" s="118"/>
      <c r="WEZ36" s="118"/>
      <c r="WFA36" s="118"/>
      <c r="WFB36" s="118"/>
      <c r="WFC36" s="118"/>
      <c r="WFD36" s="118"/>
      <c r="WFE36" s="118"/>
      <c r="WFF36" s="118"/>
      <c r="WFG36" s="118"/>
      <c r="WFH36" s="118"/>
      <c r="WFI36" s="118"/>
      <c r="WFJ36" s="118"/>
      <c r="WFK36" s="118"/>
      <c r="WFL36" s="118"/>
      <c r="WFM36" s="118"/>
      <c r="WFN36" s="118"/>
      <c r="WFO36" s="118"/>
      <c r="WFP36" s="118"/>
      <c r="WFQ36" s="118"/>
      <c r="WFR36" s="118"/>
      <c r="WFS36" s="118"/>
      <c r="WFT36" s="118"/>
      <c r="WFU36" s="118"/>
      <c r="WFV36" s="118"/>
      <c r="WFW36" s="118"/>
      <c r="WFX36" s="118"/>
      <c r="WFY36" s="118"/>
      <c r="WFZ36" s="118"/>
      <c r="WGA36" s="118"/>
      <c r="WGB36" s="118"/>
      <c r="WGC36" s="118"/>
      <c r="WGD36" s="118"/>
      <c r="WGE36" s="118"/>
      <c r="WGF36" s="118"/>
      <c r="WGG36" s="118"/>
      <c r="WGH36" s="118"/>
      <c r="WGI36" s="118"/>
      <c r="WGJ36" s="118"/>
      <c r="WGK36" s="118"/>
      <c r="WGL36" s="118"/>
      <c r="WGM36" s="118"/>
      <c r="WGN36" s="118"/>
      <c r="WGO36" s="118"/>
      <c r="WGP36" s="118"/>
      <c r="WGQ36" s="118"/>
      <c r="WGR36" s="118"/>
      <c r="WGS36" s="118"/>
      <c r="WGT36" s="118"/>
      <c r="WGU36" s="118"/>
      <c r="WGV36" s="118"/>
      <c r="WGW36" s="118"/>
      <c r="WGX36" s="118"/>
      <c r="WGY36" s="118"/>
      <c r="WGZ36" s="118"/>
      <c r="WHA36" s="118"/>
      <c r="WHB36" s="118"/>
      <c r="WHC36" s="118"/>
      <c r="WHD36" s="118"/>
      <c r="WHE36" s="118"/>
      <c r="WHF36" s="118"/>
      <c r="WHG36" s="118"/>
      <c r="WHH36" s="118"/>
      <c r="WHI36" s="118"/>
      <c r="WHJ36" s="118"/>
      <c r="WHK36" s="118"/>
      <c r="WHL36" s="118"/>
      <c r="WHM36" s="118"/>
      <c r="WHN36" s="118"/>
      <c r="WHO36" s="118"/>
      <c r="WHP36" s="118"/>
      <c r="WHQ36" s="118"/>
      <c r="WHR36" s="118"/>
      <c r="WHS36" s="118"/>
      <c r="WHT36" s="118"/>
      <c r="WHU36" s="118"/>
      <c r="WHV36" s="118"/>
      <c r="WHW36" s="118"/>
      <c r="WHX36" s="118"/>
      <c r="WHY36" s="118"/>
      <c r="WHZ36" s="118"/>
      <c r="WIA36" s="118"/>
      <c r="WIB36" s="118"/>
      <c r="WIC36" s="118"/>
      <c r="WID36" s="118"/>
      <c r="WIE36" s="118"/>
      <c r="WIF36" s="118"/>
      <c r="WIG36" s="118"/>
      <c r="WIH36" s="118"/>
      <c r="WII36" s="118"/>
      <c r="WIJ36" s="118"/>
      <c r="WIK36" s="118"/>
      <c r="WIL36" s="118"/>
      <c r="WIM36" s="118"/>
      <c r="WIN36" s="118"/>
      <c r="WIO36" s="118"/>
      <c r="WIP36" s="118"/>
      <c r="WIQ36" s="118"/>
      <c r="WIR36" s="118"/>
      <c r="WIS36" s="118"/>
      <c r="WIT36" s="118"/>
      <c r="WIU36" s="118"/>
      <c r="WIV36" s="118"/>
      <c r="WIW36" s="118"/>
      <c r="WIX36" s="118"/>
      <c r="WIY36" s="118"/>
      <c r="WIZ36" s="118"/>
      <c r="WJA36" s="118"/>
      <c r="WJB36" s="118"/>
      <c r="WJC36" s="118"/>
      <c r="WJD36" s="118"/>
      <c r="WJE36" s="118"/>
      <c r="WJF36" s="118"/>
      <c r="WJG36" s="118"/>
      <c r="WJH36" s="118"/>
      <c r="WJI36" s="118"/>
      <c r="WJJ36" s="118"/>
      <c r="WJK36" s="118"/>
      <c r="WJL36" s="118"/>
      <c r="WJM36" s="118"/>
      <c r="WJN36" s="118"/>
      <c r="WJO36" s="118"/>
      <c r="WJP36" s="118"/>
      <c r="WJQ36" s="118"/>
      <c r="WJR36" s="118"/>
      <c r="WJS36" s="118"/>
      <c r="WJT36" s="118"/>
      <c r="WJU36" s="118"/>
      <c r="WJV36" s="118"/>
      <c r="WJW36" s="118"/>
      <c r="WJX36" s="118"/>
      <c r="WJY36" s="118"/>
      <c r="WJZ36" s="118"/>
      <c r="WKA36" s="118"/>
      <c r="WKB36" s="118"/>
      <c r="WKC36" s="118"/>
      <c r="WKD36" s="118"/>
      <c r="WKE36" s="118"/>
      <c r="WKF36" s="118"/>
      <c r="WKG36" s="118"/>
      <c r="WKH36" s="118"/>
      <c r="WKI36" s="118"/>
      <c r="WKJ36" s="118"/>
      <c r="WKK36" s="118"/>
      <c r="WKL36" s="118"/>
      <c r="WKM36" s="118"/>
      <c r="WKN36" s="118"/>
      <c r="WKO36" s="118"/>
      <c r="WKP36" s="118"/>
      <c r="WKQ36" s="118"/>
      <c r="WKR36" s="118"/>
      <c r="WKS36" s="118"/>
      <c r="WKT36" s="118"/>
      <c r="WKU36" s="118"/>
      <c r="WKV36" s="118"/>
      <c r="WKW36" s="118"/>
      <c r="WKX36" s="118"/>
      <c r="WKY36" s="118"/>
      <c r="WKZ36" s="118"/>
      <c r="WLA36" s="118"/>
      <c r="WLB36" s="118"/>
      <c r="WLC36" s="118"/>
      <c r="WLD36" s="118"/>
      <c r="WLE36" s="118"/>
      <c r="WLF36" s="118"/>
      <c r="WLG36" s="118"/>
      <c r="WLH36" s="118"/>
      <c r="WLI36" s="118"/>
      <c r="WLJ36" s="118"/>
      <c r="WLK36" s="118"/>
      <c r="WLL36" s="118"/>
      <c r="WLM36" s="118"/>
      <c r="WLN36" s="118"/>
      <c r="WLO36" s="118"/>
      <c r="WLP36" s="118"/>
      <c r="WLQ36" s="118"/>
      <c r="WLR36" s="118"/>
      <c r="WLS36" s="118"/>
      <c r="WLT36" s="118"/>
      <c r="WLU36" s="118"/>
      <c r="WLV36" s="118"/>
      <c r="WLW36" s="118"/>
      <c r="WLX36" s="118"/>
      <c r="WLY36" s="118"/>
      <c r="WLZ36" s="118"/>
      <c r="WMA36" s="118"/>
      <c r="WMB36" s="118"/>
      <c r="WMC36" s="118"/>
      <c r="WMD36" s="118"/>
      <c r="WME36" s="118"/>
      <c r="WMF36" s="118"/>
      <c r="WMG36" s="118"/>
      <c r="WMH36" s="118"/>
      <c r="WMI36" s="118"/>
      <c r="WMJ36" s="118"/>
      <c r="WMK36" s="118"/>
      <c r="WML36" s="118"/>
      <c r="WMM36" s="118"/>
      <c r="WMN36" s="118"/>
      <c r="WMO36" s="118"/>
      <c r="WMP36" s="118"/>
      <c r="WMQ36" s="118"/>
      <c r="WMR36" s="118"/>
      <c r="WMS36" s="118"/>
      <c r="WMT36" s="118"/>
      <c r="WMU36" s="118"/>
      <c r="WMV36" s="118"/>
      <c r="WMW36" s="118"/>
      <c r="WMX36" s="118"/>
      <c r="WMY36" s="118"/>
      <c r="WMZ36" s="118"/>
      <c r="WNA36" s="118"/>
      <c r="WNB36" s="118"/>
      <c r="WNC36" s="118"/>
      <c r="WND36" s="118"/>
      <c r="WNE36" s="118"/>
      <c r="WNF36" s="118"/>
      <c r="WNG36" s="118"/>
      <c r="WNH36" s="118"/>
      <c r="WNI36" s="118"/>
      <c r="WNJ36" s="118"/>
      <c r="WNK36" s="118"/>
      <c r="WNL36" s="118"/>
      <c r="WNM36" s="118"/>
      <c r="WNN36" s="118"/>
      <c r="WNO36" s="118"/>
      <c r="WNP36" s="118"/>
      <c r="WNQ36" s="118"/>
      <c r="WNR36" s="118"/>
      <c r="WNS36" s="118"/>
      <c r="WNT36" s="118"/>
      <c r="WNU36" s="118"/>
      <c r="WNV36" s="118"/>
      <c r="WNW36" s="118"/>
      <c r="WNX36" s="118"/>
      <c r="WNY36" s="118"/>
      <c r="WNZ36" s="118"/>
      <c r="WOA36" s="118"/>
      <c r="WOB36" s="118"/>
      <c r="WOC36" s="118"/>
      <c r="WOD36" s="118"/>
      <c r="WOE36" s="118"/>
      <c r="WOF36" s="118"/>
      <c r="WOG36" s="118"/>
      <c r="WOH36" s="118"/>
      <c r="WOI36" s="118"/>
      <c r="WOJ36" s="118"/>
      <c r="WOK36" s="118"/>
      <c r="WOL36" s="118"/>
      <c r="WOM36" s="118"/>
      <c r="WON36" s="118"/>
      <c r="WOO36" s="118"/>
      <c r="WOP36" s="118"/>
      <c r="WOQ36" s="118"/>
      <c r="WOR36" s="118"/>
      <c r="WOS36" s="118"/>
      <c r="WOT36" s="118"/>
      <c r="WOU36" s="118"/>
      <c r="WOV36" s="118"/>
      <c r="WOW36" s="118"/>
      <c r="WOX36" s="118"/>
      <c r="WOY36" s="118"/>
      <c r="WOZ36" s="118"/>
      <c r="WPA36" s="118"/>
      <c r="WPB36" s="118"/>
      <c r="WPC36" s="118"/>
      <c r="WPD36" s="118"/>
      <c r="WPE36" s="118"/>
      <c r="WPF36" s="118"/>
      <c r="WPG36" s="118"/>
      <c r="WPH36" s="118"/>
      <c r="WPI36" s="118"/>
      <c r="WPJ36" s="118"/>
      <c r="WPK36" s="118"/>
      <c r="WPL36" s="118"/>
      <c r="WPM36" s="118"/>
      <c r="WPN36" s="118"/>
      <c r="WPO36" s="118"/>
      <c r="WPP36" s="118"/>
      <c r="WPQ36" s="118"/>
      <c r="WPR36" s="118"/>
      <c r="WPS36" s="118"/>
      <c r="WPT36" s="118"/>
      <c r="WPU36" s="118"/>
      <c r="WPV36" s="118"/>
      <c r="WPW36" s="118"/>
      <c r="WPX36" s="118"/>
      <c r="WPY36" s="118"/>
      <c r="WPZ36" s="118"/>
      <c r="WQA36" s="118"/>
      <c r="WQB36" s="118"/>
      <c r="WQC36" s="118"/>
      <c r="WQD36" s="118"/>
      <c r="WQE36" s="118"/>
      <c r="WQF36" s="118"/>
      <c r="WQG36" s="118"/>
      <c r="WQH36" s="118"/>
      <c r="WQI36" s="118"/>
      <c r="WQJ36" s="118"/>
      <c r="WQK36" s="118"/>
      <c r="WQL36" s="118"/>
      <c r="WQM36" s="118"/>
      <c r="WQN36" s="118"/>
      <c r="WQO36" s="118"/>
      <c r="WQP36" s="118"/>
      <c r="WQQ36" s="118"/>
      <c r="WQR36" s="118"/>
      <c r="WQS36" s="118"/>
      <c r="WQT36" s="118"/>
      <c r="WQU36" s="118"/>
      <c r="WQV36" s="118"/>
      <c r="WQW36" s="118"/>
      <c r="WQX36" s="118"/>
      <c r="WQY36" s="118"/>
      <c r="WQZ36" s="118"/>
      <c r="WRA36" s="118"/>
      <c r="WRB36" s="118"/>
      <c r="WRC36" s="118"/>
      <c r="WRD36" s="118"/>
      <c r="WRE36" s="118"/>
      <c r="WRF36" s="118"/>
      <c r="WRG36" s="118"/>
      <c r="WRH36" s="118"/>
      <c r="WRI36" s="118"/>
      <c r="WRJ36" s="118"/>
      <c r="WRK36" s="118"/>
      <c r="WRL36" s="118"/>
      <c r="WRM36" s="118"/>
      <c r="WRN36" s="118"/>
      <c r="WRO36" s="118"/>
      <c r="WRP36" s="118"/>
      <c r="WRQ36" s="118"/>
      <c r="WRR36" s="118"/>
      <c r="WRS36" s="118"/>
      <c r="WRT36" s="118"/>
      <c r="WRU36" s="118"/>
      <c r="WRV36" s="118"/>
      <c r="WRW36" s="118"/>
      <c r="WRX36" s="118"/>
      <c r="WRY36" s="118"/>
      <c r="WRZ36" s="118"/>
      <c r="WSA36" s="118"/>
      <c r="WSB36" s="118"/>
      <c r="WSC36" s="118"/>
      <c r="WSD36" s="118"/>
      <c r="WSE36" s="118"/>
      <c r="WSF36" s="118"/>
      <c r="WSG36" s="118"/>
      <c r="WSH36" s="118"/>
      <c r="WSI36" s="118"/>
      <c r="WSJ36" s="118"/>
      <c r="WSK36" s="118"/>
      <c r="WSL36" s="118"/>
      <c r="WSM36" s="118"/>
      <c r="WSN36" s="118"/>
      <c r="WSO36" s="118"/>
      <c r="WSP36" s="118"/>
      <c r="WSQ36" s="118"/>
      <c r="WSR36" s="118"/>
      <c r="WSS36" s="118"/>
      <c r="WST36" s="118"/>
      <c r="WSU36" s="118"/>
      <c r="WSV36" s="118"/>
      <c r="WSW36" s="118"/>
      <c r="WSX36" s="118"/>
      <c r="WSY36" s="118"/>
      <c r="WSZ36" s="118"/>
      <c r="WTA36" s="118"/>
      <c r="WTB36" s="118"/>
      <c r="WTC36" s="118"/>
      <c r="WTD36" s="118"/>
      <c r="WTE36" s="118"/>
      <c r="WTF36" s="118"/>
      <c r="WTG36" s="118"/>
      <c r="WTH36" s="118"/>
      <c r="WTI36" s="118"/>
      <c r="WTJ36" s="118"/>
      <c r="WTK36" s="118"/>
      <c r="WTL36" s="118"/>
      <c r="WTM36" s="118"/>
      <c r="WTN36" s="118"/>
      <c r="WTO36" s="118"/>
      <c r="WTP36" s="118"/>
      <c r="WTQ36" s="118"/>
      <c r="WTR36" s="118"/>
      <c r="WTS36" s="118"/>
      <c r="WTT36" s="118"/>
      <c r="WTU36" s="118"/>
      <c r="WTV36" s="118"/>
      <c r="WTW36" s="118"/>
      <c r="WTX36" s="118"/>
      <c r="WTY36" s="118"/>
      <c r="WTZ36" s="118"/>
      <c r="WUA36" s="118"/>
      <c r="WUB36" s="118"/>
      <c r="WUC36" s="118"/>
      <c r="WUD36" s="118"/>
      <c r="WUE36" s="118"/>
      <c r="WUF36" s="118"/>
      <c r="WUG36" s="118"/>
      <c r="WUH36" s="118"/>
      <c r="WUI36" s="118"/>
      <c r="WUJ36" s="118"/>
      <c r="WUK36" s="118"/>
      <c r="WUL36" s="118"/>
      <c r="WUM36" s="118"/>
      <c r="WUN36" s="118"/>
      <c r="WUO36" s="118"/>
      <c r="WUP36" s="118"/>
      <c r="WUQ36" s="118"/>
      <c r="WUR36" s="118"/>
      <c r="WUS36" s="118"/>
      <c r="WUT36" s="118"/>
      <c r="WUU36" s="118"/>
      <c r="WUV36" s="118"/>
      <c r="WUW36" s="118"/>
      <c r="WUX36" s="118"/>
      <c r="WUY36" s="118"/>
      <c r="WUZ36" s="118"/>
      <c r="WVA36" s="118"/>
      <c r="WVB36" s="118"/>
      <c r="WVC36" s="118"/>
      <c r="WVD36" s="118"/>
      <c r="WVE36" s="118"/>
      <c r="WVF36" s="118"/>
      <c r="WVG36" s="118"/>
      <c r="WVH36" s="118"/>
      <c r="WVI36" s="118"/>
      <c r="WVJ36" s="118"/>
      <c r="WVK36" s="118"/>
      <c r="WVL36" s="118"/>
      <c r="WVM36" s="118"/>
      <c r="WVN36" s="118"/>
      <c r="WVO36" s="118"/>
      <c r="WVP36" s="118"/>
      <c r="WVQ36" s="118"/>
      <c r="WVR36" s="118"/>
      <c r="WVS36" s="118"/>
      <c r="WVT36" s="118"/>
      <c r="WVU36" s="118"/>
      <c r="WVV36" s="118"/>
      <c r="WVW36" s="118"/>
      <c r="WVX36" s="118"/>
      <c r="WVY36" s="118"/>
      <c r="WVZ36" s="118"/>
      <c r="WWA36" s="118"/>
      <c r="WWB36" s="118"/>
      <c r="WWC36" s="118"/>
      <c r="WWD36" s="118"/>
      <c r="WWE36" s="118"/>
      <c r="WWF36" s="118"/>
      <c r="WWG36" s="118"/>
      <c r="WWH36" s="118"/>
      <c r="WWI36" s="118"/>
      <c r="WWJ36" s="118"/>
      <c r="WWK36" s="118"/>
      <c r="WWL36" s="118"/>
      <c r="WWM36" s="118"/>
      <c r="WWN36" s="118"/>
      <c r="WWO36" s="118"/>
      <c r="WWP36" s="118"/>
      <c r="WWQ36" s="118"/>
      <c r="WWR36" s="118"/>
      <c r="WWS36" s="118"/>
      <c r="WWT36" s="118"/>
      <c r="WWU36" s="118"/>
      <c r="WWV36" s="118"/>
      <c r="WWW36" s="118"/>
      <c r="WWX36" s="118"/>
      <c r="WWY36" s="118"/>
      <c r="WWZ36" s="118"/>
      <c r="WXA36" s="118"/>
      <c r="WXB36" s="118"/>
      <c r="WXC36" s="118"/>
      <c r="WXD36" s="118"/>
      <c r="WXE36" s="118"/>
      <c r="WXF36" s="118"/>
      <c r="WXG36" s="118"/>
      <c r="WXH36" s="118"/>
      <c r="WXI36" s="118"/>
      <c r="WXJ36" s="118"/>
      <c r="WXK36" s="118"/>
      <c r="WXL36" s="118"/>
      <c r="WXM36" s="118"/>
      <c r="WXN36" s="118"/>
      <c r="WXO36" s="118"/>
      <c r="WXP36" s="118"/>
      <c r="WXQ36" s="118"/>
      <c r="WXR36" s="118"/>
      <c r="WXS36" s="118"/>
      <c r="WXT36" s="118"/>
      <c r="WXU36" s="118"/>
      <c r="WXV36" s="118"/>
      <c r="WXW36" s="118"/>
      <c r="WXX36" s="118"/>
      <c r="WXY36" s="118"/>
      <c r="WXZ36" s="118"/>
      <c r="WYA36" s="118"/>
      <c r="WYB36" s="118"/>
      <c r="WYC36" s="118"/>
      <c r="WYD36" s="118"/>
      <c r="WYE36" s="118"/>
      <c r="WYF36" s="118"/>
      <c r="WYG36" s="118"/>
      <c r="WYH36" s="118"/>
      <c r="WYI36" s="118"/>
      <c r="WYJ36" s="118"/>
      <c r="WYK36" s="118"/>
      <c r="WYL36" s="118"/>
      <c r="WYM36" s="118"/>
      <c r="WYN36" s="118"/>
      <c r="WYO36" s="118"/>
      <c r="WYP36" s="118"/>
      <c r="WYQ36" s="118"/>
      <c r="WYR36" s="118"/>
      <c r="WYS36" s="118"/>
      <c r="WYT36" s="118"/>
      <c r="WYU36" s="118"/>
      <c r="WYV36" s="118"/>
      <c r="WYW36" s="118"/>
      <c r="WYX36" s="118"/>
      <c r="WYY36" s="118"/>
      <c r="WYZ36" s="118"/>
      <c r="WZA36" s="118"/>
      <c r="WZB36" s="118"/>
      <c r="WZC36" s="118"/>
      <c r="WZD36" s="118"/>
      <c r="WZE36" s="118"/>
      <c r="WZF36" s="118"/>
      <c r="WZG36" s="118"/>
      <c r="WZH36" s="118"/>
      <c r="WZI36" s="118"/>
      <c r="WZJ36" s="118"/>
      <c r="WZK36" s="118"/>
      <c r="WZL36" s="118"/>
      <c r="WZM36" s="118"/>
      <c r="WZN36" s="118"/>
      <c r="WZO36" s="118"/>
      <c r="WZP36" s="118"/>
      <c r="WZQ36" s="118"/>
      <c r="WZR36" s="118"/>
      <c r="WZS36" s="118"/>
      <c r="WZT36" s="118"/>
      <c r="WZU36" s="118"/>
      <c r="WZV36" s="118"/>
      <c r="WZW36" s="118"/>
      <c r="WZX36" s="118"/>
      <c r="WZY36" s="118"/>
      <c r="WZZ36" s="118"/>
      <c r="XAA36" s="118"/>
      <c r="XAB36" s="118"/>
      <c r="XAC36" s="118"/>
      <c r="XAD36" s="118"/>
      <c r="XAE36" s="118"/>
      <c r="XAF36" s="118"/>
      <c r="XAG36" s="118"/>
      <c r="XAH36" s="118"/>
      <c r="XAI36" s="118"/>
      <c r="XAJ36" s="118"/>
      <c r="XAK36" s="118"/>
      <c r="XAL36" s="118"/>
      <c r="XAM36" s="118"/>
      <c r="XAN36" s="118"/>
      <c r="XAO36" s="118"/>
      <c r="XAP36" s="118"/>
      <c r="XAQ36" s="118"/>
      <c r="XAR36" s="118"/>
      <c r="XAS36" s="118"/>
      <c r="XAT36" s="118"/>
      <c r="XAU36" s="118"/>
      <c r="XAV36" s="118"/>
      <c r="XAW36" s="118"/>
      <c r="XAX36" s="118"/>
      <c r="XAY36" s="118"/>
      <c r="XAZ36" s="118"/>
      <c r="XBA36" s="118"/>
      <c r="XBB36" s="118"/>
      <c r="XBC36" s="118"/>
      <c r="XBD36" s="118"/>
      <c r="XBE36" s="118"/>
      <c r="XBF36" s="118"/>
      <c r="XBG36" s="118"/>
      <c r="XBH36" s="118"/>
      <c r="XBI36" s="118"/>
      <c r="XBJ36" s="118"/>
      <c r="XBK36" s="118"/>
      <c r="XBL36" s="118"/>
      <c r="XBM36" s="118"/>
      <c r="XBN36" s="118"/>
      <c r="XBO36" s="118"/>
      <c r="XBP36" s="118"/>
      <c r="XBQ36" s="118"/>
      <c r="XBR36" s="118"/>
      <c r="XBS36" s="118"/>
      <c r="XBT36" s="118"/>
      <c r="XBU36" s="118"/>
      <c r="XBV36" s="118"/>
      <c r="XBW36" s="118"/>
      <c r="XBX36" s="118"/>
      <c r="XBY36" s="118"/>
      <c r="XBZ36" s="118"/>
      <c r="XCA36" s="118"/>
      <c r="XCB36" s="118"/>
      <c r="XCC36" s="118"/>
      <c r="XCD36" s="118"/>
      <c r="XCE36" s="118"/>
      <c r="XCF36" s="118"/>
      <c r="XCG36" s="118"/>
      <c r="XCH36" s="118"/>
      <c r="XCI36" s="118"/>
      <c r="XCJ36" s="118"/>
      <c r="XCK36" s="118"/>
      <c r="XCL36" s="118"/>
      <c r="XCM36" s="118"/>
      <c r="XCN36" s="118"/>
      <c r="XCO36" s="118"/>
      <c r="XCP36" s="118"/>
      <c r="XCQ36" s="118"/>
      <c r="XCR36" s="118"/>
      <c r="XCS36" s="118"/>
      <c r="XCT36" s="118"/>
      <c r="XCU36" s="118"/>
      <c r="XCV36" s="118"/>
      <c r="XCW36" s="118"/>
      <c r="XCX36" s="118"/>
      <c r="XCY36" s="118"/>
      <c r="XCZ36" s="118"/>
      <c r="XDA36" s="118"/>
      <c r="XDB36" s="118"/>
      <c r="XDC36" s="118"/>
      <c r="XDD36" s="118"/>
      <c r="XDE36" s="118"/>
      <c r="XDF36" s="118"/>
      <c r="XDG36" s="118"/>
      <c r="XDH36" s="118"/>
      <c r="XDI36" s="118"/>
      <c r="XDJ36" s="118"/>
      <c r="XDK36" s="118"/>
      <c r="XDL36" s="118"/>
      <c r="XDM36" s="118"/>
      <c r="XDN36" s="118"/>
      <c r="XDO36" s="118"/>
      <c r="XDP36" s="118"/>
      <c r="XDQ36" s="118"/>
      <c r="XDR36" s="118"/>
      <c r="XDS36" s="118"/>
      <c r="XDT36" s="118"/>
      <c r="XDU36" s="118"/>
      <c r="XDV36" s="118"/>
      <c r="XDW36" s="118"/>
      <c r="XDX36" s="118"/>
      <c r="XDY36" s="118"/>
      <c r="XDZ36" s="118"/>
      <c r="XEA36" s="118"/>
      <c r="XEB36" s="118"/>
      <c r="XEC36" s="118"/>
      <c r="XED36" s="118"/>
      <c r="XEE36" s="118"/>
      <c r="XEF36" s="118"/>
      <c r="XEG36" s="118"/>
      <c r="XEH36" s="118"/>
      <c r="XEI36" s="118"/>
      <c r="XEJ36" s="118"/>
      <c r="XEK36" s="118"/>
      <c r="XEL36" s="118"/>
      <c r="XEM36" s="118"/>
      <c r="XEN36" s="118"/>
      <c r="XEO36" s="118"/>
      <c r="XEP36" s="118"/>
      <c r="XEQ36" s="118"/>
      <c r="XER36" s="118"/>
      <c r="XES36" s="118"/>
      <c r="XET36" s="118"/>
      <c r="XEU36" s="118"/>
      <c r="XEV36" s="118"/>
      <c r="XEW36" s="118"/>
      <c r="XEX36" s="118"/>
      <c r="XEY36" s="118"/>
      <c r="XEZ36" s="118"/>
      <c r="XFA36" s="118"/>
    </row>
    <row r="37" spans="1:16381" ht="11.25" hidden="1" customHeight="1" x14ac:dyDescent="0.15">
      <c r="A37" s="118"/>
      <c r="B37" s="169" t="s">
        <v>246</v>
      </c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118"/>
      <c r="BS37" s="118"/>
      <c r="BT37" s="118"/>
      <c r="BU37" s="118"/>
      <c r="BV37" s="118"/>
      <c r="BW37" s="118"/>
      <c r="BX37" s="118"/>
      <c r="BY37" s="118"/>
      <c r="BZ37" s="118"/>
      <c r="CA37" s="118"/>
      <c r="CB37" s="118"/>
      <c r="CC37" s="118"/>
      <c r="CD37" s="118"/>
      <c r="CE37" s="51">
        <f t="shared" si="14"/>
        <v>0</v>
      </c>
      <c r="CF37" s="51">
        <f t="shared" si="15"/>
        <v>0</v>
      </c>
      <c r="CG37" s="190">
        <f t="shared" si="16"/>
        <v>0</v>
      </c>
      <c r="CH37" s="188">
        <f t="shared" si="17"/>
        <v>0</v>
      </c>
      <c r="CI37" s="188">
        <f t="shared" si="18"/>
        <v>0</v>
      </c>
      <c r="CJ37" s="188">
        <f t="shared" si="19"/>
        <v>0</v>
      </c>
      <c r="CK37" s="53" t="str">
        <f t="shared" si="20"/>
        <v/>
      </c>
      <c r="CL37" s="54" t="str">
        <f t="shared" si="21"/>
        <v/>
      </c>
      <c r="CM37" s="54" t="str">
        <f t="shared" si="22"/>
        <v/>
      </c>
      <c r="CN37" s="46" t="str">
        <f t="shared" si="23"/>
        <v/>
      </c>
      <c r="CO37" s="55">
        <f t="shared" si="10"/>
        <v>99999.003700000001</v>
      </c>
      <c r="CP37" s="2">
        <f t="shared" si="11"/>
        <v>33</v>
      </c>
      <c r="CQ37" s="102" t="str">
        <f t="shared" si="12"/>
        <v/>
      </c>
      <c r="CR37" s="2">
        <f t="shared" si="13"/>
        <v>0</v>
      </c>
      <c r="CS37" s="118"/>
      <c r="CT37" s="118"/>
      <c r="CU37" s="118"/>
      <c r="CV37" s="118"/>
      <c r="CW37" s="118"/>
      <c r="CX37" s="118"/>
      <c r="CY37" s="118"/>
      <c r="CZ37" s="118"/>
      <c r="DA37" s="118"/>
      <c r="DB37" s="118"/>
      <c r="DC37" s="118"/>
      <c r="DD37" s="118"/>
      <c r="DE37" s="118"/>
      <c r="DF37" s="118"/>
      <c r="DG37" s="118"/>
      <c r="DH37" s="118"/>
      <c r="DI37" s="118"/>
      <c r="DJ37" s="118"/>
      <c r="DK37" s="118"/>
      <c r="DL37" s="118"/>
      <c r="DM37" s="118"/>
      <c r="DN37" s="118"/>
      <c r="DO37" s="118"/>
      <c r="DP37" s="118"/>
      <c r="DQ37" s="118"/>
      <c r="DR37" s="118"/>
      <c r="DS37" s="118"/>
      <c r="DT37" s="118"/>
      <c r="DU37" s="118"/>
      <c r="DV37" s="118"/>
      <c r="DW37" s="118"/>
      <c r="DX37" s="118"/>
      <c r="DY37" s="118"/>
      <c r="DZ37" s="118"/>
      <c r="EA37" s="118"/>
      <c r="EB37" s="118"/>
      <c r="EC37" s="118"/>
      <c r="ED37" s="118"/>
      <c r="EE37" s="118"/>
      <c r="EF37" s="118"/>
      <c r="EG37" s="118"/>
      <c r="EH37" s="118"/>
      <c r="EI37" s="118"/>
      <c r="EJ37" s="118"/>
      <c r="EK37" s="118"/>
      <c r="EL37" s="118"/>
      <c r="EM37" s="118"/>
      <c r="EN37" s="118"/>
      <c r="EO37" s="118"/>
      <c r="EP37" s="118"/>
      <c r="EQ37" s="118"/>
      <c r="ER37" s="118"/>
      <c r="ES37" s="118"/>
      <c r="ET37" s="118"/>
      <c r="EU37" s="118"/>
      <c r="EV37" s="118"/>
      <c r="EW37" s="118"/>
      <c r="EX37" s="118"/>
      <c r="EY37" s="118"/>
      <c r="EZ37" s="118"/>
      <c r="FA37" s="118"/>
      <c r="FB37" s="118"/>
      <c r="FC37" s="118"/>
      <c r="FD37" s="118"/>
      <c r="FE37" s="118"/>
      <c r="FF37" s="118"/>
      <c r="FG37" s="118"/>
      <c r="FH37" s="118"/>
      <c r="FI37" s="118"/>
      <c r="FJ37" s="118"/>
      <c r="FK37" s="118"/>
      <c r="FL37" s="118"/>
      <c r="FM37" s="118"/>
      <c r="FN37" s="118"/>
      <c r="FO37" s="118"/>
      <c r="FP37" s="118"/>
      <c r="FQ37" s="118"/>
      <c r="FR37" s="118"/>
      <c r="FS37" s="118"/>
      <c r="FT37" s="118"/>
      <c r="FU37" s="118"/>
      <c r="FV37" s="118"/>
      <c r="FW37" s="118"/>
      <c r="FX37" s="118"/>
      <c r="FY37" s="118"/>
      <c r="FZ37" s="118"/>
      <c r="GA37" s="118"/>
      <c r="GB37" s="118"/>
      <c r="GC37" s="118"/>
      <c r="GD37" s="118"/>
      <c r="GE37" s="118"/>
      <c r="GF37" s="118"/>
      <c r="GG37" s="118"/>
      <c r="GH37" s="118"/>
      <c r="GI37" s="118"/>
      <c r="GJ37" s="118"/>
      <c r="GK37" s="118"/>
      <c r="GL37" s="118"/>
      <c r="GM37" s="118"/>
      <c r="GN37" s="118"/>
      <c r="GO37" s="118"/>
      <c r="GP37" s="118"/>
      <c r="GQ37" s="118"/>
      <c r="GR37" s="118"/>
      <c r="GS37" s="118"/>
      <c r="GT37" s="118"/>
      <c r="GU37" s="118"/>
      <c r="GV37" s="118"/>
      <c r="GW37" s="118"/>
      <c r="GX37" s="118"/>
      <c r="GY37" s="118"/>
      <c r="GZ37" s="118"/>
      <c r="HA37" s="118"/>
      <c r="HB37" s="118"/>
      <c r="HC37" s="118"/>
      <c r="HD37" s="118"/>
      <c r="HE37" s="118"/>
      <c r="HF37" s="118"/>
      <c r="HG37" s="118"/>
      <c r="HH37" s="118"/>
      <c r="HI37" s="118"/>
      <c r="HJ37" s="118"/>
      <c r="HK37" s="118"/>
      <c r="HL37" s="118"/>
      <c r="HM37" s="118"/>
      <c r="HN37" s="118"/>
      <c r="HO37" s="118"/>
      <c r="HP37" s="118"/>
      <c r="HQ37" s="118"/>
      <c r="HR37" s="118"/>
      <c r="HS37" s="118"/>
      <c r="HT37" s="118"/>
      <c r="HU37" s="118"/>
      <c r="HV37" s="118"/>
      <c r="HW37" s="118"/>
      <c r="HX37" s="118"/>
      <c r="HY37" s="118"/>
      <c r="HZ37" s="118"/>
      <c r="IA37" s="118"/>
      <c r="IB37" s="118"/>
      <c r="IC37" s="118"/>
      <c r="ID37" s="118"/>
      <c r="IE37" s="118"/>
      <c r="IF37" s="118"/>
      <c r="IG37" s="118"/>
      <c r="IH37" s="118"/>
      <c r="II37" s="118"/>
      <c r="IJ37" s="118"/>
      <c r="IK37" s="118"/>
      <c r="IL37" s="118"/>
      <c r="IM37" s="118"/>
      <c r="IN37" s="118"/>
      <c r="IO37" s="118"/>
      <c r="IP37" s="118"/>
      <c r="IQ37" s="118"/>
      <c r="IR37" s="118"/>
      <c r="IS37" s="118"/>
      <c r="IT37" s="118"/>
      <c r="IU37" s="118"/>
      <c r="IV37" s="118"/>
      <c r="IW37" s="118"/>
      <c r="IX37" s="118"/>
      <c r="IY37" s="118"/>
      <c r="IZ37" s="118"/>
      <c r="JA37" s="118"/>
      <c r="JB37" s="118"/>
      <c r="JC37" s="118"/>
      <c r="JD37" s="118"/>
      <c r="JE37" s="118"/>
      <c r="JF37" s="118"/>
      <c r="JG37" s="118"/>
      <c r="JH37" s="118"/>
      <c r="JI37" s="118"/>
      <c r="JJ37" s="118"/>
      <c r="JK37" s="118"/>
      <c r="JL37" s="118"/>
      <c r="JM37" s="118"/>
      <c r="JN37" s="118"/>
      <c r="JO37" s="118"/>
      <c r="JP37" s="118"/>
      <c r="JQ37" s="118"/>
      <c r="JR37" s="118"/>
      <c r="JS37" s="118"/>
      <c r="JT37" s="118"/>
      <c r="JU37" s="118"/>
      <c r="JV37" s="118"/>
      <c r="JW37" s="118"/>
      <c r="JX37" s="118"/>
      <c r="JY37" s="118"/>
      <c r="JZ37" s="118"/>
      <c r="KA37" s="118"/>
      <c r="KB37" s="118"/>
      <c r="KC37" s="118"/>
      <c r="KD37" s="118"/>
      <c r="KE37" s="118"/>
      <c r="KF37" s="118"/>
      <c r="KG37" s="118"/>
      <c r="KH37" s="118"/>
      <c r="KI37" s="118"/>
      <c r="KJ37" s="118"/>
      <c r="KK37" s="118"/>
      <c r="KL37" s="118"/>
      <c r="KM37" s="118"/>
      <c r="KN37" s="118"/>
      <c r="KO37" s="118"/>
      <c r="KP37" s="118"/>
      <c r="KQ37" s="118"/>
      <c r="KR37" s="118"/>
      <c r="KS37" s="118"/>
      <c r="KT37" s="118"/>
      <c r="KU37" s="118"/>
      <c r="KV37" s="118"/>
      <c r="KW37" s="118"/>
      <c r="KX37" s="118"/>
      <c r="KY37" s="118"/>
      <c r="KZ37" s="118"/>
      <c r="LA37" s="118"/>
      <c r="LB37" s="118"/>
      <c r="LC37" s="118"/>
      <c r="LD37" s="118"/>
      <c r="LE37" s="118"/>
      <c r="LF37" s="118"/>
      <c r="LG37" s="118"/>
      <c r="LH37" s="118"/>
      <c r="LI37" s="118"/>
      <c r="LJ37" s="118"/>
      <c r="LK37" s="118"/>
      <c r="LL37" s="118"/>
      <c r="LM37" s="118"/>
      <c r="LN37" s="118"/>
      <c r="LO37" s="118"/>
      <c r="LP37" s="118"/>
      <c r="LQ37" s="118"/>
      <c r="LR37" s="118"/>
      <c r="LS37" s="118"/>
      <c r="LT37" s="118"/>
      <c r="LU37" s="118"/>
      <c r="LV37" s="118"/>
      <c r="LW37" s="118"/>
      <c r="LX37" s="118"/>
      <c r="LY37" s="118"/>
      <c r="LZ37" s="118"/>
      <c r="MA37" s="118"/>
      <c r="MB37" s="118"/>
      <c r="MC37" s="118"/>
      <c r="MD37" s="118"/>
      <c r="ME37" s="118"/>
      <c r="MF37" s="118"/>
      <c r="MG37" s="118"/>
      <c r="MH37" s="118"/>
      <c r="MI37" s="118"/>
      <c r="MJ37" s="118"/>
      <c r="MK37" s="118"/>
      <c r="ML37" s="118"/>
      <c r="MM37" s="118"/>
      <c r="MN37" s="118"/>
      <c r="MO37" s="118"/>
      <c r="MP37" s="118"/>
      <c r="MQ37" s="118"/>
      <c r="MR37" s="118"/>
      <c r="MS37" s="118"/>
      <c r="MT37" s="118"/>
      <c r="MU37" s="118"/>
      <c r="MV37" s="118"/>
      <c r="MW37" s="118"/>
      <c r="MX37" s="118"/>
      <c r="MY37" s="118"/>
      <c r="MZ37" s="118"/>
      <c r="NA37" s="118"/>
      <c r="NB37" s="118"/>
      <c r="NC37" s="118"/>
      <c r="ND37" s="118"/>
      <c r="NE37" s="118"/>
      <c r="NF37" s="118"/>
      <c r="NG37" s="118"/>
      <c r="NH37" s="118"/>
      <c r="NI37" s="118"/>
      <c r="NJ37" s="118"/>
      <c r="NK37" s="118"/>
      <c r="NL37" s="118"/>
      <c r="NM37" s="118"/>
      <c r="NN37" s="118"/>
      <c r="NO37" s="118"/>
      <c r="NP37" s="118"/>
      <c r="NQ37" s="118"/>
      <c r="NR37" s="118"/>
      <c r="NS37" s="118"/>
      <c r="NT37" s="118"/>
      <c r="NU37" s="118"/>
      <c r="NV37" s="118"/>
      <c r="NW37" s="118"/>
      <c r="NX37" s="118"/>
      <c r="NY37" s="118"/>
      <c r="NZ37" s="118"/>
      <c r="OA37" s="118"/>
      <c r="OB37" s="118"/>
      <c r="OC37" s="118"/>
      <c r="OD37" s="118"/>
      <c r="OE37" s="118"/>
      <c r="OF37" s="118"/>
      <c r="OG37" s="118"/>
      <c r="OH37" s="118"/>
      <c r="OI37" s="118"/>
      <c r="OJ37" s="118"/>
      <c r="OK37" s="118"/>
      <c r="OL37" s="118"/>
      <c r="OM37" s="118"/>
      <c r="ON37" s="118"/>
      <c r="OO37" s="118"/>
      <c r="OP37" s="118"/>
      <c r="OQ37" s="118"/>
      <c r="OR37" s="118"/>
      <c r="OS37" s="118"/>
      <c r="OT37" s="118"/>
      <c r="OU37" s="118"/>
      <c r="OV37" s="118"/>
      <c r="OW37" s="118"/>
      <c r="OX37" s="118"/>
      <c r="OY37" s="118"/>
      <c r="OZ37" s="118"/>
      <c r="PA37" s="118"/>
      <c r="PB37" s="118"/>
      <c r="PC37" s="118"/>
      <c r="PD37" s="118"/>
      <c r="PE37" s="118"/>
      <c r="PF37" s="118"/>
      <c r="PG37" s="118"/>
      <c r="PH37" s="118"/>
      <c r="PI37" s="118"/>
      <c r="PJ37" s="118"/>
      <c r="PK37" s="118"/>
      <c r="PL37" s="118"/>
      <c r="PM37" s="118"/>
      <c r="PN37" s="118"/>
      <c r="PO37" s="118"/>
      <c r="PP37" s="118"/>
      <c r="PQ37" s="118"/>
      <c r="PR37" s="118"/>
      <c r="PS37" s="118"/>
      <c r="PT37" s="118"/>
      <c r="PU37" s="118"/>
      <c r="PV37" s="118"/>
      <c r="PW37" s="118"/>
      <c r="PX37" s="118"/>
      <c r="PY37" s="118"/>
      <c r="PZ37" s="118"/>
      <c r="QA37" s="118"/>
      <c r="QB37" s="118"/>
      <c r="QC37" s="118"/>
      <c r="QD37" s="118"/>
      <c r="QE37" s="118"/>
      <c r="QF37" s="118"/>
      <c r="QG37" s="118"/>
      <c r="QH37" s="118"/>
      <c r="QI37" s="118"/>
      <c r="QJ37" s="118"/>
      <c r="QK37" s="118"/>
      <c r="QL37" s="118"/>
      <c r="QM37" s="118"/>
      <c r="QN37" s="118"/>
      <c r="QO37" s="118"/>
      <c r="QP37" s="118"/>
      <c r="QQ37" s="118"/>
      <c r="QR37" s="118"/>
      <c r="QS37" s="118"/>
      <c r="QT37" s="118"/>
      <c r="QU37" s="118"/>
      <c r="QV37" s="118"/>
      <c r="QW37" s="118"/>
      <c r="QX37" s="118"/>
      <c r="QY37" s="118"/>
      <c r="QZ37" s="118"/>
      <c r="RA37" s="118"/>
      <c r="RB37" s="118"/>
      <c r="RC37" s="118"/>
      <c r="RD37" s="118"/>
      <c r="RE37" s="118"/>
      <c r="RF37" s="118"/>
      <c r="RG37" s="118"/>
      <c r="RH37" s="118"/>
      <c r="RI37" s="118"/>
      <c r="RJ37" s="118"/>
      <c r="RK37" s="118"/>
      <c r="RL37" s="118"/>
      <c r="RM37" s="118"/>
      <c r="RN37" s="118"/>
      <c r="RO37" s="118"/>
      <c r="RP37" s="118"/>
      <c r="RQ37" s="118"/>
      <c r="RR37" s="118"/>
      <c r="RS37" s="118"/>
      <c r="RT37" s="118"/>
      <c r="RU37" s="118"/>
      <c r="RV37" s="118"/>
      <c r="RW37" s="118"/>
      <c r="RX37" s="118"/>
      <c r="RY37" s="118"/>
      <c r="RZ37" s="118"/>
      <c r="SA37" s="118"/>
      <c r="SB37" s="118"/>
      <c r="SC37" s="118"/>
      <c r="SD37" s="118"/>
      <c r="SE37" s="118"/>
      <c r="SF37" s="118"/>
      <c r="SG37" s="118"/>
      <c r="SH37" s="118"/>
      <c r="SI37" s="118"/>
      <c r="SJ37" s="118"/>
      <c r="SK37" s="118"/>
      <c r="SL37" s="118"/>
      <c r="SM37" s="118"/>
      <c r="SN37" s="118"/>
      <c r="SO37" s="118"/>
      <c r="SP37" s="118"/>
      <c r="SQ37" s="118"/>
      <c r="SR37" s="118"/>
      <c r="SS37" s="118"/>
      <c r="ST37" s="118"/>
      <c r="SU37" s="118"/>
      <c r="SV37" s="118"/>
      <c r="SW37" s="118"/>
      <c r="SX37" s="118"/>
      <c r="SY37" s="118"/>
      <c r="SZ37" s="118"/>
      <c r="TA37" s="118"/>
      <c r="TB37" s="118"/>
      <c r="TC37" s="118"/>
      <c r="TD37" s="118"/>
      <c r="TE37" s="118"/>
      <c r="TF37" s="118"/>
      <c r="TG37" s="118"/>
      <c r="TH37" s="118"/>
      <c r="TI37" s="118"/>
      <c r="TJ37" s="118"/>
      <c r="TK37" s="118"/>
      <c r="TL37" s="118"/>
      <c r="TM37" s="118"/>
      <c r="TN37" s="118"/>
      <c r="TO37" s="118"/>
      <c r="TP37" s="118"/>
      <c r="TQ37" s="118"/>
      <c r="TR37" s="118"/>
      <c r="TS37" s="118"/>
      <c r="TT37" s="118"/>
      <c r="TU37" s="118"/>
      <c r="TV37" s="118"/>
      <c r="TW37" s="118"/>
      <c r="TX37" s="118"/>
      <c r="TY37" s="118"/>
      <c r="TZ37" s="118"/>
      <c r="UA37" s="118"/>
      <c r="UB37" s="118"/>
      <c r="UC37" s="118"/>
      <c r="UD37" s="118"/>
      <c r="UE37" s="118"/>
      <c r="UF37" s="118"/>
      <c r="UG37" s="118"/>
      <c r="UH37" s="118"/>
      <c r="UI37" s="118"/>
      <c r="UJ37" s="118"/>
      <c r="UK37" s="118"/>
      <c r="UL37" s="118"/>
      <c r="UM37" s="118"/>
      <c r="UN37" s="118"/>
      <c r="UO37" s="118"/>
      <c r="UP37" s="118"/>
      <c r="UQ37" s="118"/>
      <c r="UR37" s="118"/>
      <c r="US37" s="118"/>
      <c r="UT37" s="118"/>
      <c r="UU37" s="118"/>
      <c r="UV37" s="118"/>
      <c r="UW37" s="118"/>
      <c r="UX37" s="118"/>
      <c r="UY37" s="118"/>
      <c r="UZ37" s="118"/>
      <c r="VA37" s="118"/>
      <c r="VB37" s="118"/>
      <c r="VC37" s="118"/>
      <c r="VD37" s="118"/>
      <c r="VE37" s="118"/>
      <c r="VF37" s="118"/>
      <c r="VG37" s="118"/>
      <c r="VH37" s="118"/>
      <c r="VI37" s="118"/>
      <c r="VJ37" s="118"/>
      <c r="VK37" s="118"/>
      <c r="VL37" s="118"/>
      <c r="VM37" s="118"/>
      <c r="VN37" s="118"/>
      <c r="VO37" s="118"/>
      <c r="VP37" s="118"/>
      <c r="VQ37" s="118"/>
      <c r="VR37" s="118"/>
      <c r="VS37" s="118"/>
      <c r="VT37" s="118"/>
      <c r="VU37" s="118"/>
      <c r="VV37" s="118"/>
      <c r="VW37" s="118"/>
      <c r="VX37" s="118"/>
      <c r="VY37" s="118"/>
      <c r="VZ37" s="118"/>
      <c r="WA37" s="118"/>
      <c r="WB37" s="118"/>
      <c r="WC37" s="118"/>
      <c r="WD37" s="118"/>
      <c r="WE37" s="118"/>
      <c r="WF37" s="118"/>
      <c r="WG37" s="118"/>
      <c r="WH37" s="118"/>
      <c r="WI37" s="118"/>
      <c r="WJ37" s="118"/>
      <c r="WK37" s="118"/>
      <c r="WL37" s="118"/>
      <c r="WM37" s="118"/>
      <c r="WN37" s="118"/>
      <c r="WO37" s="118"/>
      <c r="WP37" s="118"/>
      <c r="WQ37" s="118"/>
      <c r="WR37" s="118"/>
      <c r="WS37" s="118"/>
      <c r="WT37" s="118"/>
      <c r="WU37" s="118"/>
      <c r="WV37" s="118"/>
      <c r="WW37" s="118"/>
      <c r="WX37" s="118"/>
      <c r="WY37" s="118"/>
      <c r="WZ37" s="118"/>
      <c r="XA37" s="118"/>
      <c r="XB37" s="118"/>
      <c r="XC37" s="118"/>
      <c r="XD37" s="118"/>
      <c r="XE37" s="118"/>
      <c r="XF37" s="118"/>
      <c r="XG37" s="118"/>
      <c r="XH37" s="118"/>
      <c r="XI37" s="118"/>
      <c r="XJ37" s="118"/>
      <c r="XK37" s="118"/>
      <c r="XL37" s="118"/>
      <c r="XM37" s="118"/>
      <c r="XN37" s="118"/>
      <c r="XO37" s="118"/>
      <c r="XP37" s="118"/>
      <c r="XQ37" s="118"/>
      <c r="XR37" s="118"/>
      <c r="XS37" s="118"/>
      <c r="XT37" s="118"/>
      <c r="XU37" s="118"/>
      <c r="XV37" s="118"/>
      <c r="XW37" s="118"/>
      <c r="XX37" s="118"/>
      <c r="XY37" s="118"/>
      <c r="XZ37" s="118"/>
      <c r="YA37" s="118"/>
      <c r="YB37" s="118"/>
      <c r="YC37" s="118"/>
      <c r="YD37" s="118"/>
      <c r="YE37" s="118"/>
      <c r="YF37" s="118"/>
      <c r="YG37" s="118"/>
      <c r="YH37" s="118"/>
      <c r="YI37" s="118"/>
      <c r="YJ37" s="118"/>
      <c r="YK37" s="118"/>
      <c r="YL37" s="118"/>
      <c r="YM37" s="118"/>
      <c r="YN37" s="118"/>
      <c r="YO37" s="118"/>
      <c r="YP37" s="118"/>
      <c r="YQ37" s="118"/>
      <c r="YR37" s="118"/>
      <c r="YS37" s="118"/>
      <c r="YT37" s="118"/>
      <c r="YU37" s="118"/>
      <c r="YV37" s="118"/>
      <c r="YW37" s="118"/>
      <c r="YX37" s="118"/>
      <c r="YY37" s="118"/>
      <c r="YZ37" s="118"/>
      <c r="ZA37" s="118"/>
      <c r="ZB37" s="118"/>
      <c r="ZC37" s="118"/>
      <c r="ZD37" s="118"/>
      <c r="ZE37" s="118"/>
      <c r="ZF37" s="118"/>
      <c r="ZG37" s="118"/>
      <c r="ZH37" s="118"/>
      <c r="ZI37" s="118"/>
      <c r="ZJ37" s="118"/>
      <c r="ZK37" s="118"/>
      <c r="ZL37" s="118"/>
      <c r="ZM37" s="118"/>
      <c r="ZN37" s="118"/>
      <c r="ZO37" s="118"/>
      <c r="ZP37" s="118"/>
      <c r="ZQ37" s="118"/>
      <c r="ZR37" s="118"/>
      <c r="ZS37" s="118"/>
      <c r="ZT37" s="118"/>
      <c r="ZU37" s="118"/>
      <c r="ZV37" s="118"/>
      <c r="ZW37" s="118"/>
      <c r="ZX37" s="118"/>
      <c r="ZY37" s="118"/>
      <c r="ZZ37" s="118"/>
      <c r="AAA37" s="118"/>
      <c r="AAB37" s="118"/>
      <c r="AAC37" s="118"/>
      <c r="AAD37" s="118"/>
      <c r="AAE37" s="118"/>
      <c r="AAF37" s="118"/>
      <c r="AAG37" s="118"/>
      <c r="AAH37" s="118"/>
      <c r="AAI37" s="118"/>
      <c r="AAJ37" s="118"/>
      <c r="AAK37" s="118"/>
      <c r="AAL37" s="118"/>
      <c r="AAM37" s="118"/>
      <c r="AAN37" s="118"/>
      <c r="AAO37" s="118"/>
      <c r="AAP37" s="118"/>
      <c r="AAQ37" s="118"/>
      <c r="AAR37" s="118"/>
      <c r="AAS37" s="118"/>
      <c r="AAT37" s="118"/>
      <c r="AAU37" s="118"/>
      <c r="AAV37" s="118"/>
      <c r="AAW37" s="118"/>
      <c r="AAX37" s="118"/>
      <c r="AAY37" s="118"/>
      <c r="AAZ37" s="118"/>
      <c r="ABA37" s="118"/>
      <c r="ABB37" s="118"/>
      <c r="ABC37" s="118"/>
      <c r="ABD37" s="118"/>
      <c r="ABE37" s="118"/>
      <c r="ABF37" s="118"/>
      <c r="ABG37" s="118"/>
      <c r="ABH37" s="118"/>
      <c r="ABI37" s="118"/>
      <c r="ABJ37" s="118"/>
      <c r="ABK37" s="118"/>
      <c r="ABL37" s="118"/>
      <c r="ABM37" s="118"/>
      <c r="ABN37" s="118"/>
      <c r="ABO37" s="118"/>
      <c r="ABP37" s="118"/>
      <c r="ABQ37" s="118"/>
      <c r="ABR37" s="118"/>
      <c r="ABS37" s="118"/>
      <c r="ABT37" s="118"/>
      <c r="ABU37" s="118"/>
      <c r="ABV37" s="118"/>
      <c r="ABW37" s="118"/>
      <c r="ABX37" s="118"/>
      <c r="ABY37" s="118"/>
      <c r="ABZ37" s="118"/>
      <c r="ACA37" s="118"/>
      <c r="ACB37" s="118"/>
      <c r="ACC37" s="118"/>
      <c r="ACD37" s="118"/>
      <c r="ACE37" s="118"/>
      <c r="ACF37" s="118"/>
      <c r="ACG37" s="118"/>
      <c r="ACH37" s="118"/>
      <c r="ACI37" s="118"/>
      <c r="ACJ37" s="118"/>
      <c r="ACK37" s="118"/>
      <c r="ACL37" s="118"/>
      <c r="ACM37" s="118"/>
      <c r="ACN37" s="118"/>
      <c r="ACO37" s="118"/>
      <c r="ACP37" s="118"/>
      <c r="ACQ37" s="118"/>
      <c r="ACR37" s="118"/>
      <c r="ACS37" s="118"/>
      <c r="ACT37" s="118"/>
      <c r="ACU37" s="118"/>
      <c r="ACV37" s="118"/>
      <c r="ACW37" s="118"/>
      <c r="ACX37" s="118"/>
      <c r="ACY37" s="118"/>
      <c r="ACZ37" s="118"/>
      <c r="ADA37" s="118"/>
      <c r="ADB37" s="118"/>
      <c r="ADC37" s="118"/>
      <c r="ADD37" s="118"/>
      <c r="ADE37" s="118"/>
      <c r="ADF37" s="118"/>
      <c r="ADG37" s="118"/>
      <c r="ADH37" s="118"/>
      <c r="ADI37" s="118"/>
      <c r="ADJ37" s="118"/>
      <c r="ADK37" s="118"/>
      <c r="ADL37" s="118"/>
      <c r="ADM37" s="118"/>
      <c r="ADN37" s="118"/>
      <c r="ADO37" s="118"/>
      <c r="ADP37" s="118"/>
      <c r="ADQ37" s="118"/>
      <c r="ADR37" s="118"/>
      <c r="ADS37" s="118"/>
      <c r="ADT37" s="118"/>
      <c r="ADU37" s="118"/>
      <c r="ADV37" s="118"/>
      <c r="ADW37" s="118"/>
      <c r="ADX37" s="118"/>
      <c r="ADY37" s="118"/>
      <c r="ADZ37" s="118"/>
      <c r="AEA37" s="118"/>
      <c r="AEB37" s="118"/>
      <c r="AEC37" s="118"/>
      <c r="AED37" s="118"/>
      <c r="AEE37" s="118"/>
      <c r="AEF37" s="118"/>
      <c r="AEG37" s="118"/>
      <c r="AEH37" s="118"/>
      <c r="AEI37" s="118"/>
      <c r="AEJ37" s="118"/>
      <c r="AEK37" s="118"/>
      <c r="AEL37" s="118"/>
      <c r="AEM37" s="118"/>
      <c r="AEN37" s="118"/>
      <c r="AEO37" s="118"/>
      <c r="AEP37" s="118"/>
      <c r="AEQ37" s="118"/>
      <c r="AER37" s="118"/>
      <c r="AES37" s="118"/>
      <c r="AET37" s="118"/>
      <c r="AEU37" s="118"/>
      <c r="AEV37" s="118"/>
      <c r="AEW37" s="118"/>
      <c r="AEX37" s="118"/>
      <c r="AEY37" s="118"/>
      <c r="AEZ37" s="118"/>
      <c r="AFA37" s="118"/>
      <c r="AFB37" s="118"/>
      <c r="AFC37" s="118"/>
      <c r="AFD37" s="118"/>
      <c r="AFE37" s="118"/>
      <c r="AFF37" s="118"/>
      <c r="AFG37" s="118"/>
      <c r="AFH37" s="118"/>
      <c r="AFI37" s="118"/>
      <c r="AFJ37" s="118"/>
      <c r="AFK37" s="118"/>
      <c r="AFL37" s="118"/>
      <c r="AFM37" s="118"/>
      <c r="AFN37" s="118"/>
      <c r="AFO37" s="118"/>
      <c r="AFP37" s="118"/>
      <c r="AFQ37" s="118"/>
      <c r="AFR37" s="118"/>
      <c r="AFS37" s="118"/>
      <c r="AFT37" s="118"/>
      <c r="AFU37" s="118"/>
      <c r="AFV37" s="118"/>
      <c r="AFW37" s="118"/>
      <c r="AFX37" s="118"/>
      <c r="AFY37" s="118"/>
      <c r="AFZ37" s="118"/>
      <c r="AGA37" s="118"/>
      <c r="AGB37" s="118"/>
      <c r="AGC37" s="118"/>
      <c r="AGD37" s="118"/>
      <c r="AGE37" s="118"/>
      <c r="AGF37" s="118"/>
      <c r="AGG37" s="118"/>
      <c r="AGH37" s="118"/>
      <c r="AGI37" s="118"/>
      <c r="AGJ37" s="118"/>
      <c r="AGK37" s="118"/>
      <c r="AGL37" s="118"/>
      <c r="AGM37" s="118"/>
      <c r="AGN37" s="118"/>
      <c r="AGO37" s="118"/>
      <c r="AGP37" s="118"/>
      <c r="AGQ37" s="118"/>
      <c r="AGR37" s="118"/>
      <c r="AGS37" s="118"/>
      <c r="AGT37" s="118"/>
      <c r="AGU37" s="118"/>
      <c r="AGV37" s="118"/>
      <c r="AGW37" s="118"/>
      <c r="AGX37" s="118"/>
      <c r="AGY37" s="118"/>
      <c r="AGZ37" s="118"/>
      <c r="AHA37" s="118"/>
      <c r="AHB37" s="118"/>
      <c r="AHC37" s="118"/>
      <c r="AHD37" s="118"/>
      <c r="AHE37" s="118"/>
      <c r="AHF37" s="118"/>
      <c r="AHG37" s="118"/>
      <c r="AHH37" s="118"/>
      <c r="AHI37" s="118"/>
      <c r="AHJ37" s="118"/>
      <c r="AHK37" s="118"/>
      <c r="AHL37" s="118"/>
      <c r="AHM37" s="118"/>
      <c r="AHN37" s="118"/>
      <c r="AHO37" s="118"/>
      <c r="AHP37" s="118"/>
      <c r="AHQ37" s="118"/>
      <c r="AHR37" s="118"/>
      <c r="AHS37" s="118"/>
      <c r="AHT37" s="118"/>
      <c r="AHU37" s="118"/>
      <c r="AHV37" s="118"/>
      <c r="AHW37" s="118"/>
      <c r="AHX37" s="118"/>
      <c r="AHY37" s="118"/>
      <c r="AHZ37" s="118"/>
      <c r="AIA37" s="118"/>
      <c r="AIB37" s="118"/>
      <c r="AIC37" s="118"/>
      <c r="AID37" s="118"/>
      <c r="AIE37" s="118"/>
      <c r="AIF37" s="118"/>
      <c r="AIG37" s="118"/>
      <c r="AIH37" s="118"/>
      <c r="AII37" s="118"/>
      <c r="AIJ37" s="118"/>
      <c r="AIK37" s="118"/>
      <c r="AIL37" s="118"/>
      <c r="AIM37" s="118"/>
      <c r="AIN37" s="118"/>
      <c r="AIO37" s="118"/>
      <c r="AIP37" s="118"/>
      <c r="AIQ37" s="118"/>
      <c r="AIR37" s="118"/>
      <c r="AIS37" s="118"/>
      <c r="AIT37" s="118"/>
      <c r="AIU37" s="118"/>
      <c r="AIV37" s="118"/>
      <c r="AIW37" s="118"/>
      <c r="AIX37" s="118"/>
      <c r="AIY37" s="118"/>
      <c r="AIZ37" s="118"/>
      <c r="AJA37" s="118"/>
      <c r="AJB37" s="118"/>
      <c r="AJC37" s="118"/>
      <c r="AJD37" s="118"/>
      <c r="AJE37" s="118"/>
      <c r="AJF37" s="118"/>
      <c r="AJG37" s="118"/>
      <c r="AJH37" s="118"/>
      <c r="AJI37" s="118"/>
      <c r="AJJ37" s="118"/>
      <c r="AJK37" s="118"/>
      <c r="AJL37" s="118"/>
      <c r="AJM37" s="118"/>
      <c r="AJN37" s="118"/>
      <c r="AJO37" s="118"/>
      <c r="AJP37" s="118"/>
      <c r="AJQ37" s="118"/>
      <c r="AJR37" s="118"/>
      <c r="AJS37" s="118"/>
      <c r="AJT37" s="118"/>
      <c r="AJU37" s="118"/>
      <c r="AJV37" s="118"/>
      <c r="AJW37" s="118"/>
      <c r="AJX37" s="118"/>
      <c r="AJY37" s="118"/>
      <c r="AJZ37" s="118"/>
      <c r="AKA37" s="118"/>
      <c r="AKB37" s="118"/>
      <c r="AKC37" s="118"/>
      <c r="AKD37" s="118"/>
      <c r="AKE37" s="118"/>
      <c r="AKF37" s="118"/>
      <c r="AKG37" s="118"/>
      <c r="AKH37" s="118"/>
      <c r="AKI37" s="118"/>
      <c r="AKJ37" s="118"/>
      <c r="AKK37" s="118"/>
      <c r="AKL37" s="118"/>
      <c r="AKM37" s="118"/>
      <c r="AKN37" s="118"/>
      <c r="AKO37" s="118"/>
      <c r="AKP37" s="118"/>
      <c r="AKQ37" s="118"/>
      <c r="AKR37" s="118"/>
      <c r="AKS37" s="118"/>
      <c r="AKT37" s="118"/>
      <c r="AKU37" s="118"/>
      <c r="AKV37" s="118"/>
      <c r="AKW37" s="118"/>
      <c r="AKX37" s="118"/>
      <c r="AKY37" s="118"/>
      <c r="AKZ37" s="118"/>
      <c r="ALA37" s="118"/>
      <c r="ALB37" s="118"/>
      <c r="ALC37" s="118"/>
      <c r="ALD37" s="118"/>
      <c r="ALE37" s="118"/>
      <c r="ALF37" s="118"/>
      <c r="ALG37" s="118"/>
      <c r="ALH37" s="118"/>
      <c r="ALI37" s="118"/>
      <c r="ALJ37" s="118"/>
      <c r="ALK37" s="118"/>
      <c r="ALL37" s="118"/>
      <c r="ALM37" s="118"/>
      <c r="ALN37" s="118"/>
      <c r="ALO37" s="118"/>
      <c r="ALP37" s="118"/>
      <c r="ALQ37" s="118"/>
      <c r="ALR37" s="118"/>
      <c r="ALS37" s="118"/>
      <c r="ALT37" s="118"/>
      <c r="ALU37" s="118"/>
      <c r="ALV37" s="118"/>
      <c r="ALW37" s="118"/>
      <c r="ALX37" s="118"/>
      <c r="ALY37" s="118"/>
      <c r="ALZ37" s="118"/>
      <c r="AMA37" s="118"/>
      <c r="AMB37" s="118"/>
      <c r="AMC37" s="118"/>
      <c r="AMD37" s="118"/>
      <c r="AME37" s="118"/>
      <c r="AMF37" s="118"/>
      <c r="AMG37" s="118"/>
      <c r="AMH37" s="118"/>
      <c r="AMI37" s="118"/>
      <c r="AMJ37" s="118"/>
      <c r="AMK37" s="118"/>
      <c r="AML37" s="118"/>
      <c r="AMM37" s="118"/>
      <c r="AMN37" s="118"/>
      <c r="AMO37" s="118"/>
      <c r="AMP37" s="118"/>
      <c r="AMQ37" s="118"/>
      <c r="AMR37" s="118"/>
      <c r="AMS37" s="118"/>
      <c r="AMT37" s="118"/>
      <c r="AMU37" s="118"/>
      <c r="AMV37" s="118"/>
      <c r="AMW37" s="118"/>
      <c r="AMX37" s="118"/>
      <c r="AMY37" s="118"/>
      <c r="AMZ37" s="118"/>
      <c r="ANA37" s="118"/>
      <c r="ANB37" s="118"/>
      <c r="ANC37" s="118"/>
      <c r="AND37" s="118"/>
      <c r="ANE37" s="118"/>
      <c r="ANF37" s="118"/>
      <c r="ANG37" s="118"/>
      <c r="ANH37" s="118"/>
      <c r="ANI37" s="118"/>
      <c r="ANJ37" s="118"/>
      <c r="ANK37" s="118"/>
      <c r="ANL37" s="118"/>
      <c r="ANM37" s="118"/>
      <c r="ANN37" s="118"/>
      <c r="ANO37" s="118"/>
      <c r="ANP37" s="118"/>
      <c r="ANQ37" s="118"/>
      <c r="ANR37" s="118"/>
      <c r="ANS37" s="118"/>
      <c r="ANT37" s="118"/>
      <c r="ANU37" s="118"/>
      <c r="ANV37" s="118"/>
      <c r="ANW37" s="118"/>
      <c r="ANX37" s="118"/>
      <c r="ANY37" s="118"/>
      <c r="ANZ37" s="118"/>
      <c r="AOA37" s="118"/>
      <c r="AOB37" s="118"/>
      <c r="AOC37" s="118"/>
      <c r="AOD37" s="118"/>
      <c r="AOE37" s="118"/>
      <c r="AOF37" s="118"/>
      <c r="AOG37" s="118"/>
      <c r="AOH37" s="118"/>
      <c r="AOI37" s="118"/>
      <c r="AOJ37" s="118"/>
      <c r="AOK37" s="118"/>
      <c r="AOL37" s="118"/>
      <c r="AOM37" s="118"/>
      <c r="AON37" s="118"/>
      <c r="AOO37" s="118"/>
      <c r="AOP37" s="118"/>
      <c r="AOQ37" s="118"/>
      <c r="AOR37" s="118"/>
      <c r="AOS37" s="118"/>
      <c r="AOT37" s="118"/>
      <c r="AOU37" s="118"/>
      <c r="AOV37" s="118"/>
      <c r="AOW37" s="118"/>
      <c r="AOX37" s="118"/>
      <c r="AOY37" s="118"/>
      <c r="AOZ37" s="118"/>
      <c r="APA37" s="118"/>
      <c r="APB37" s="118"/>
      <c r="APC37" s="118"/>
      <c r="APD37" s="118"/>
      <c r="APE37" s="118"/>
      <c r="APF37" s="118"/>
      <c r="APG37" s="118"/>
      <c r="APH37" s="118"/>
      <c r="API37" s="118"/>
      <c r="APJ37" s="118"/>
      <c r="APK37" s="118"/>
      <c r="APL37" s="118"/>
      <c r="APM37" s="118"/>
      <c r="APN37" s="118"/>
      <c r="APO37" s="118"/>
      <c r="APP37" s="118"/>
      <c r="APQ37" s="118"/>
      <c r="APR37" s="118"/>
      <c r="APS37" s="118"/>
      <c r="APT37" s="118"/>
      <c r="APU37" s="118"/>
      <c r="APV37" s="118"/>
      <c r="APW37" s="118"/>
      <c r="APX37" s="118"/>
      <c r="APY37" s="118"/>
      <c r="APZ37" s="118"/>
      <c r="AQA37" s="118"/>
      <c r="AQB37" s="118"/>
      <c r="AQC37" s="118"/>
      <c r="AQD37" s="118"/>
      <c r="AQE37" s="118"/>
      <c r="AQF37" s="118"/>
      <c r="AQG37" s="118"/>
      <c r="AQH37" s="118"/>
      <c r="AQI37" s="118"/>
      <c r="AQJ37" s="118"/>
      <c r="AQK37" s="118"/>
      <c r="AQL37" s="118"/>
      <c r="AQM37" s="118"/>
      <c r="AQN37" s="118"/>
      <c r="AQO37" s="118"/>
      <c r="AQP37" s="118"/>
      <c r="AQQ37" s="118"/>
      <c r="AQR37" s="118"/>
      <c r="AQS37" s="118"/>
      <c r="AQT37" s="118"/>
      <c r="AQU37" s="118"/>
      <c r="AQV37" s="118"/>
      <c r="AQW37" s="118"/>
      <c r="AQX37" s="118"/>
      <c r="AQY37" s="118"/>
      <c r="AQZ37" s="118"/>
      <c r="ARA37" s="118"/>
      <c r="ARB37" s="118"/>
      <c r="ARC37" s="118"/>
      <c r="ARD37" s="118"/>
      <c r="ARE37" s="118"/>
      <c r="ARF37" s="118"/>
      <c r="ARG37" s="118"/>
      <c r="ARH37" s="118"/>
      <c r="ARI37" s="118"/>
      <c r="ARJ37" s="118"/>
      <c r="ARK37" s="118"/>
      <c r="ARL37" s="118"/>
      <c r="ARM37" s="118"/>
      <c r="ARN37" s="118"/>
      <c r="ARO37" s="118"/>
      <c r="ARP37" s="118"/>
      <c r="ARQ37" s="118"/>
      <c r="ARR37" s="118"/>
      <c r="ARS37" s="118"/>
      <c r="ART37" s="118"/>
      <c r="ARU37" s="118"/>
      <c r="ARV37" s="118"/>
      <c r="ARW37" s="118"/>
      <c r="ARX37" s="118"/>
      <c r="ARY37" s="118"/>
      <c r="ARZ37" s="118"/>
      <c r="ASA37" s="118"/>
      <c r="ASB37" s="118"/>
      <c r="ASC37" s="118"/>
      <c r="ASD37" s="118"/>
      <c r="ASE37" s="118"/>
      <c r="ASF37" s="118"/>
      <c r="ASG37" s="118"/>
      <c r="ASH37" s="118"/>
      <c r="ASI37" s="118"/>
      <c r="ASJ37" s="118"/>
      <c r="ASK37" s="118"/>
      <c r="ASL37" s="118"/>
      <c r="ASM37" s="118"/>
      <c r="ASN37" s="118"/>
      <c r="ASO37" s="118"/>
      <c r="ASP37" s="118"/>
      <c r="ASQ37" s="118"/>
      <c r="ASR37" s="118"/>
      <c r="ASS37" s="118"/>
      <c r="AST37" s="118"/>
      <c r="ASU37" s="118"/>
      <c r="ASV37" s="118"/>
      <c r="ASW37" s="118"/>
      <c r="ASX37" s="118"/>
      <c r="ASY37" s="118"/>
      <c r="ASZ37" s="118"/>
      <c r="ATA37" s="118"/>
      <c r="ATB37" s="118"/>
      <c r="ATC37" s="118"/>
      <c r="ATD37" s="118"/>
      <c r="ATE37" s="118"/>
      <c r="ATF37" s="118"/>
      <c r="ATG37" s="118"/>
      <c r="ATH37" s="118"/>
      <c r="ATI37" s="118"/>
      <c r="ATJ37" s="118"/>
      <c r="ATK37" s="118"/>
      <c r="ATL37" s="118"/>
      <c r="ATM37" s="118"/>
      <c r="ATN37" s="118"/>
      <c r="ATO37" s="118"/>
      <c r="ATP37" s="118"/>
      <c r="ATQ37" s="118"/>
      <c r="ATR37" s="118"/>
      <c r="ATS37" s="118"/>
      <c r="ATT37" s="118"/>
      <c r="ATU37" s="118"/>
      <c r="ATV37" s="118"/>
      <c r="ATW37" s="118"/>
      <c r="ATX37" s="118"/>
      <c r="ATY37" s="118"/>
      <c r="ATZ37" s="118"/>
      <c r="AUA37" s="118"/>
      <c r="AUB37" s="118"/>
      <c r="AUC37" s="118"/>
      <c r="AUD37" s="118"/>
      <c r="AUE37" s="118"/>
      <c r="AUF37" s="118"/>
      <c r="AUG37" s="118"/>
      <c r="AUH37" s="118"/>
      <c r="AUI37" s="118"/>
      <c r="AUJ37" s="118"/>
      <c r="AUK37" s="118"/>
      <c r="AUL37" s="118"/>
      <c r="AUM37" s="118"/>
      <c r="AUN37" s="118"/>
      <c r="AUO37" s="118"/>
      <c r="AUP37" s="118"/>
      <c r="AUQ37" s="118"/>
      <c r="AUR37" s="118"/>
      <c r="AUS37" s="118"/>
      <c r="AUT37" s="118"/>
      <c r="AUU37" s="118"/>
      <c r="AUV37" s="118"/>
      <c r="AUW37" s="118"/>
      <c r="AUX37" s="118"/>
      <c r="AUY37" s="118"/>
      <c r="AUZ37" s="118"/>
      <c r="AVA37" s="118"/>
      <c r="AVB37" s="118"/>
      <c r="AVC37" s="118"/>
      <c r="AVD37" s="118"/>
      <c r="AVE37" s="118"/>
      <c r="AVF37" s="118"/>
      <c r="AVG37" s="118"/>
      <c r="AVH37" s="118"/>
      <c r="AVI37" s="118"/>
      <c r="AVJ37" s="118"/>
      <c r="AVK37" s="118"/>
      <c r="AVL37" s="118"/>
      <c r="AVM37" s="118"/>
      <c r="AVN37" s="118"/>
      <c r="AVO37" s="118"/>
      <c r="AVP37" s="118"/>
      <c r="AVQ37" s="118"/>
      <c r="AVR37" s="118"/>
      <c r="AVS37" s="118"/>
      <c r="AVT37" s="118"/>
      <c r="AVU37" s="118"/>
      <c r="AVV37" s="118"/>
      <c r="AVW37" s="118"/>
      <c r="AVX37" s="118"/>
      <c r="AVY37" s="118"/>
      <c r="AVZ37" s="118"/>
      <c r="AWA37" s="118"/>
      <c r="AWB37" s="118"/>
      <c r="AWC37" s="118"/>
      <c r="AWD37" s="118"/>
      <c r="AWE37" s="118"/>
      <c r="AWF37" s="118"/>
      <c r="AWG37" s="118"/>
      <c r="AWH37" s="118"/>
      <c r="AWI37" s="118"/>
      <c r="AWJ37" s="118"/>
      <c r="AWK37" s="118"/>
      <c r="AWL37" s="118"/>
      <c r="AWM37" s="118"/>
      <c r="AWN37" s="118"/>
      <c r="AWO37" s="118"/>
      <c r="AWP37" s="118"/>
      <c r="AWQ37" s="118"/>
      <c r="AWR37" s="118"/>
      <c r="AWS37" s="118"/>
      <c r="AWT37" s="118"/>
      <c r="AWU37" s="118"/>
      <c r="AWV37" s="118"/>
      <c r="AWW37" s="118"/>
      <c r="AWX37" s="118"/>
      <c r="AWY37" s="118"/>
      <c r="AWZ37" s="118"/>
      <c r="AXA37" s="118"/>
      <c r="AXB37" s="118"/>
      <c r="AXC37" s="118"/>
      <c r="AXD37" s="118"/>
      <c r="AXE37" s="118"/>
      <c r="AXF37" s="118"/>
      <c r="AXG37" s="118"/>
      <c r="AXH37" s="118"/>
      <c r="AXI37" s="118"/>
      <c r="AXJ37" s="118"/>
      <c r="AXK37" s="118"/>
      <c r="AXL37" s="118"/>
      <c r="AXM37" s="118"/>
      <c r="AXN37" s="118"/>
      <c r="AXO37" s="118"/>
      <c r="AXP37" s="118"/>
      <c r="AXQ37" s="118"/>
      <c r="AXR37" s="118"/>
      <c r="AXS37" s="118"/>
      <c r="AXT37" s="118"/>
      <c r="AXU37" s="118"/>
      <c r="AXV37" s="118"/>
      <c r="AXW37" s="118"/>
      <c r="AXX37" s="118"/>
      <c r="AXY37" s="118"/>
      <c r="AXZ37" s="118"/>
      <c r="AYA37" s="118"/>
      <c r="AYB37" s="118"/>
      <c r="AYC37" s="118"/>
      <c r="AYD37" s="118"/>
      <c r="AYE37" s="118"/>
      <c r="AYF37" s="118"/>
      <c r="AYG37" s="118"/>
      <c r="AYH37" s="118"/>
      <c r="AYI37" s="118"/>
      <c r="AYJ37" s="118"/>
      <c r="AYK37" s="118"/>
      <c r="AYL37" s="118"/>
      <c r="AYM37" s="118"/>
      <c r="AYN37" s="118"/>
      <c r="AYO37" s="118"/>
      <c r="AYP37" s="118"/>
      <c r="AYQ37" s="118"/>
      <c r="AYR37" s="118"/>
      <c r="AYS37" s="118"/>
      <c r="AYT37" s="118"/>
      <c r="AYU37" s="118"/>
      <c r="AYV37" s="118"/>
      <c r="AYW37" s="118"/>
      <c r="AYX37" s="118"/>
      <c r="AYY37" s="118"/>
      <c r="AYZ37" s="118"/>
      <c r="AZA37" s="118"/>
      <c r="AZB37" s="118"/>
      <c r="AZC37" s="118"/>
      <c r="AZD37" s="118"/>
      <c r="AZE37" s="118"/>
      <c r="AZF37" s="118"/>
      <c r="AZG37" s="118"/>
      <c r="AZH37" s="118"/>
      <c r="AZI37" s="118"/>
      <c r="AZJ37" s="118"/>
      <c r="AZK37" s="118"/>
      <c r="AZL37" s="118"/>
      <c r="AZM37" s="118"/>
      <c r="AZN37" s="118"/>
      <c r="AZO37" s="118"/>
      <c r="AZP37" s="118"/>
      <c r="AZQ37" s="118"/>
      <c r="AZR37" s="118"/>
      <c r="AZS37" s="118"/>
      <c r="AZT37" s="118"/>
      <c r="AZU37" s="118"/>
      <c r="AZV37" s="118"/>
      <c r="AZW37" s="118"/>
      <c r="AZX37" s="118"/>
      <c r="AZY37" s="118"/>
      <c r="AZZ37" s="118"/>
      <c r="BAA37" s="118"/>
      <c r="BAB37" s="118"/>
      <c r="BAC37" s="118"/>
      <c r="BAD37" s="118"/>
      <c r="BAE37" s="118"/>
      <c r="BAF37" s="118"/>
      <c r="BAG37" s="118"/>
      <c r="BAH37" s="118"/>
      <c r="BAI37" s="118"/>
      <c r="BAJ37" s="118"/>
      <c r="BAK37" s="118"/>
      <c r="BAL37" s="118"/>
      <c r="BAM37" s="118"/>
      <c r="BAN37" s="118"/>
      <c r="BAO37" s="118"/>
      <c r="BAP37" s="118"/>
      <c r="BAQ37" s="118"/>
      <c r="BAR37" s="118"/>
      <c r="BAS37" s="118"/>
      <c r="BAT37" s="118"/>
      <c r="BAU37" s="118"/>
      <c r="BAV37" s="118"/>
      <c r="BAW37" s="118"/>
      <c r="BAX37" s="118"/>
      <c r="BAY37" s="118"/>
      <c r="BAZ37" s="118"/>
      <c r="BBA37" s="118"/>
      <c r="BBB37" s="118"/>
      <c r="BBC37" s="118"/>
      <c r="BBD37" s="118"/>
      <c r="BBE37" s="118"/>
      <c r="BBF37" s="118"/>
      <c r="BBG37" s="118"/>
      <c r="BBH37" s="118"/>
      <c r="BBI37" s="118"/>
      <c r="BBJ37" s="118"/>
      <c r="BBK37" s="118"/>
      <c r="BBL37" s="118"/>
      <c r="BBM37" s="118"/>
      <c r="BBN37" s="118"/>
      <c r="BBO37" s="118"/>
      <c r="BBP37" s="118"/>
      <c r="BBQ37" s="118"/>
      <c r="BBR37" s="118"/>
      <c r="BBS37" s="118"/>
      <c r="BBT37" s="118"/>
      <c r="BBU37" s="118"/>
      <c r="BBV37" s="118"/>
      <c r="BBW37" s="118"/>
      <c r="BBX37" s="118"/>
      <c r="BBY37" s="118"/>
      <c r="BBZ37" s="118"/>
      <c r="BCA37" s="118"/>
      <c r="BCB37" s="118"/>
      <c r="BCC37" s="118"/>
      <c r="BCD37" s="118"/>
      <c r="BCE37" s="118"/>
      <c r="BCF37" s="118"/>
      <c r="BCG37" s="118"/>
      <c r="BCH37" s="118"/>
      <c r="BCI37" s="118"/>
      <c r="BCJ37" s="118"/>
      <c r="BCK37" s="118"/>
      <c r="BCL37" s="118"/>
      <c r="BCM37" s="118"/>
      <c r="BCN37" s="118"/>
      <c r="BCO37" s="118"/>
      <c r="BCP37" s="118"/>
      <c r="BCQ37" s="118"/>
      <c r="BCR37" s="118"/>
      <c r="BCS37" s="118"/>
      <c r="BCT37" s="118"/>
      <c r="BCU37" s="118"/>
      <c r="BCV37" s="118"/>
      <c r="BCW37" s="118"/>
      <c r="BCX37" s="118"/>
      <c r="BCY37" s="118"/>
      <c r="BCZ37" s="118"/>
      <c r="BDA37" s="118"/>
      <c r="BDB37" s="118"/>
      <c r="BDC37" s="118"/>
      <c r="BDD37" s="118"/>
      <c r="BDE37" s="118"/>
      <c r="BDF37" s="118"/>
      <c r="BDG37" s="118"/>
      <c r="BDH37" s="118"/>
      <c r="BDI37" s="118"/>
      <c r="BDJ37" s="118"/>
      <c r="BDK37" s="118"/>
      <c r="BDL37" s="118"/>
      <c r="BDM37" s="118"/>
      <c r="BDN37" s="118"/>
      <c r="BDO37" s="118"/>
      <c r="BDP37" s="118"/>
      <c r="BDQ37" s="118"/>
      <c r="BDR37" s="118"/>
      <c r="BDS37" s="118"/>
      <c r="BDT37" s="118"/>
      <c r="BDU37" s="118"/>
      <c r="BDV37" s="118"/>
      <c r="BDW37" s="118"/>
      <c r="BDX37" s="118"/>
      <c r="BDY37" s="118"/>
      <c r="BDZ37" s="118"/>
      <c r="BEA37" s="118"/>
      <c r="BEB37" s="118"/>
      <c r="BEC37" s="118"/>
      <c r="BED37" s="118"/>
      <c r="BEE37" s="118"/>
      <c r="BEF37" s="118"/>
      <c r="BEG37" s="118"/>
      <c r="BEH37" s="118"/>
      <c r="BEI37" s="118"/>
      <c r="BEJ37" s="118"/>
      <c r="BEK37" s="118"/>
      <c r="BEL37" s="118"/>
      <c r="BEM37" s="118"/>
      <c r="BEN37" s="118"/>
      <c r="BEO37" s="118"/>
      <c r="BEP37" s="118"/>
      <c r="BEQ37" s="118"/>
      <c r="BER37" s="118"/>
      <c r="BES37" s="118"/>
      <c r="BET37" s="118"/>
      <c r="BEU37" s="118"/>
      <c r="BEV37" s="118"/>
      <c r="BEW37" s="118"/>
      <c r="BEX37" s="118"/>
      <c r="BEY37" s="118"/>
      <c r="BEZ37" s="118"/>
      <c r="BFA37" s="118"/>
      <c r="BFB37" s="118"/>
      <c r="BFC37" s="118"/>
      <c r="BFD37" s="118"/>
      <c r="BFE37" s="118"/>
      <c r="BFF37" s="118"/>
      <c r="BFG37" s="118"/>
      <c r="BFH37" s="118"/>
      <c r="BFI37" s="118"/>
      <c r="BFJ37" s="118"/>
      <c r="BFK37" s="118"/>
      <c r="BFL37" s="118"/>
      <c r="BFM37" s="118"/>
      <c r="BFN37" s="118"/>
      <c r="BFO37" s="118"/>
      <c r="BFP37" s="118"/>
      <c r="BFQ37" s="118"/>
      <c r="BFR37" s="118"/>
      <c r="BFS37" s="118"/>
      <c r="BFT37" s="118"/>
      <c r="BFU37" s="118"/>
      <c r="BFV37" s="118"/>
      <c r="BFW37" s="118"/>
      <c r="BFX37" s="118"/>
      <c r="BFY37" s="118"/>
      <c r="BFZ37" s="118"/>
      <c r="BGA37" s="118"/>
      <c r="BGB37" s="118"/>
      <c r="BGC37" s="118"/>
      <c r="BGD37" s="118"/>
      <c r="BGE37" s="118"/>
      <c r="BGF37" s="118"/>
      <c r="BGG37" s="118"/>
      <c r="BGH37" s="118"/>
      <c r="BGI37" s="118"/>
      <c r="BGJ37" s="118"/>
      <c r="BGK37" s="118"/>
      <c r="BGL37" s="118"/>
      <c r="BGM37" s="118"/>
      <c r="BGN37" s="118"/>
      <c r="BGO37" s="118"/>
      <c r="BGP37" s="118"/>
      <c r="BGQ37" s="118"/>
      <c r="BGR37" s="118"/>
      <c r="BGS37" s="118"/>
      <c r="BGT37" s="118"/>
      <c r="BGU37" s="118"/>
      <c r="BGV37" s="118"/>
      <c r="BGW37" s="118"/>
      <c r="BGX37" s="118"/>
      <c r="BGY37" s="118"/>
      <c r="BGZ37" s="118"/>
      <c r="BHA37" s="118"/>
      <c r="BHB37" s="118"/>
      <c r="BHC37" s="118"/>
      <c r="BHD37" s="118"/>
      <c r="BHE37" s="118"/>
      <c r="BHF37" s="118"/>
      <c r="BHG37" s="118"/>
      <c r="BHH37" s="118"/>
      <c r="BHI37" s="118"/>
      <c r="BHJ37" s="118"/>
      <c r="BHK37" s="118"/>
      <c r="BHL37" s="118"/>
      <c r="BHM37" s="118"/>
      <c r="BHN37" s="118"/>
      <c r="BHO37" s="118"/>
      <c r="BHP37" s="118"/>
      <c r="BHQ37" s="118"/>
      <c r="BHR37" s="118"/>
      <c r="BHS37" s="118"/>
      <c r="BHT37" s="118"/>
      <c r="BHU37" s="118"/>
      <c r="BHV37" s="118"/>
      <c r="BHW37" s="118"/>
      <c r="BHX37" s="118"/>
      <c r="BHY37" s="118"/>
      <c r="BHZ37" s="118"/>
      <c r="BIA37" s="118"/>
      <c r="BIB37" s="118"/>
      <c r="BIC37" s="118"/>
      <c r="BID37" s="118"/>
      <c r="BIE37" s="118"/>
      <c r="BIF37" s="118"/>
      <c r="BIG37" s="118"/>
      <c r="BIH37" s="118"/>
      <c r="BII37" s="118"/>
      <c r="BIJ37" s="118"/>
      <c r="BIK37" s="118"/>
      <c r="BIL37" s="118"/>
      <c r="BIM37" s="118"/>
      <c r="BIN37" s="118"/>
      <c r="BIO37" s="118"/>
      <c r="BIP37" s="118"/>
      <c r="BIQ37" s="118"/>
      <c r="BIR37" s="118"/>
      <c r="BIS37" s="118"/>
      <c r="BIT37" s="118"/>
      <c r="BIU37" s="118"/>
      <c r="BIV37" s="118"/>
      <c r="BIW37" s="118"/>
      <c r="BIX37" s="118"/>
      <c r="BIY37" s="118"/>
      <c r="BIZ37" s="118"/>
      <c r="BJA37" s="118"/>
      <c r="BJB37" s="118"/>
      <c r="BJC37" s="118"/>
      <c r="BJD37" s="118"/>
      <c r="BJE37" s="118"/>
      <c r="BJF37" s="118"/>
      <c r="BJG37" s="118"/>
      <c r="BJH37" s="118"/>
      <c r="BJI37" s="118"/>
      <c r="BJJ37" s="118"/>
      <c r="BJK37" s="118"/>
      <c r="BJL37" s="118"/>
      <c r="BJM37" s="118"/>
      <c r="BJN37" s="118"/>
      <c r="BJO37" s="118"/>
      <c r="BJP37" s="118"/>
      <c r="BJQ37" s="118"/>
      <c r="BJR37" s="118"/>
      <c r="BJS37" s="118"/>
      <c r="BJT37" s="118"/>
      <c r="BJU37" s="118"/>
      <c r="BJV37" s="118"/>
      <c r="BJW37" s="118"/>
      <c r="BJX37" s="118"/>
      <c r="BJY37" s="118"/>
      <c r="BJZ37" s="118"/>
      <c r="BKA37" s="118"/>
      <c r="BKB37" s="118"/>
      <c r="BKC37" s="118"/>
      <c r="BKD37" s="118"/>
      <c r="BKE37" s="118"/>
      <c r="BKF37" s="118"/>
      <c r="BKG37" s="118"/>
      <c r="BKH37" s="118"/>
      <c r="BKI37" s="118"/>
      <c r="BKJ37" s="118"/>
      <c r="BKK37" s="118"/>
      <c r="BKL37" s="118"/>
      <c r="BKM37" s="118"/>
      <c r="BKN37" s="118"/>
      <c r="BKO37" s="118"/>
      <c r="BKP37" s="118"/>
      <c r="BKQ37" s="118"/>
      <c r="BKR37" s="118"/>
      <c r="BKS37" s="118"/>
      <c r="BKT37" s="118"/>
      <c r="BKU37" s="118"/>
      <c r="BKV37" s="118"/>
      <c r="BKW37" s="118"/>
      <c r="BKX37" s="118"/>
      <c r="BKY37" s="118"/>
      <c r="BKZ37" s="118"/>
      <c r="BLA37" s="118"/>
      <c r="BLB37" s="118"/>
      <c r="BLC37" s="118"/>
      <c r="BLD37" s="118"/>
      <c r="BLE37" s="118"/>
      <c r="BLF37" s="118"/>
      <c r="BLG37" s="118"/>
      <c r="BLH37" s="118"/>
      <c r="BLI37" s="118"/>
      <c r="BLJ37" s="118"/>
      <c r="BLK37" s="118"/>
      <c r="BLL37" s="118"/>
      <c r="BLM37" s="118"/>
      <c r="BLN37" s="118"/>
      <c r="BLO37" s="118"/>
      <c r="BLP37" s="118"/>
      <c r="BLQ37" s="118"/>
      <c r="BLR37" s="118"/>
      <c r="BLS37" s="118"/>
      <c r="BLT37" s="118"/>
      <c r="BLU37" s="118"/>
      <c r="BLV37" s="118"/>
      <c r="BLW37" s="118"/>
      <c r="BLX37" s="118"/>
      <c r="BLY37" s="118"/>
      <c r="BLZ37" s="118"/>
      <c r="BMA37" s="118"/>
      <c r="BMB37" s="118"/>
      <c r="BMC37" s="118"/>
      <c r="BMD37" s="118"/>
      <c r="BME37" s="118"/>
      <c r="BMF37" s="118"/>
      <c r="BMG37" s="118"/>
      <c r="BMH37" s="118"/>
      <c r="BMI37" s="118"/>
      <c r="BMJ37" s="118"/>
      <c r="BMK37" s="118"/>
      <c r="BML37" s="118"/>
      <c r="BMM37" s="118"/>
      <c r="BMN37" s="118"/>
      <c r="BMO37" s="118"/>
      <c r="BMP37" s="118"/>
      <c r="BMQ37" s="118"/>
      <c r="BMR37" s="118"/>
      <c r="BMS37" s="118"/>
      <c r="BMT37" s="118"/>
      <c r="BMU37" s="118"/>
      <c r="BMV37" s="118"/>
      <c r="BMW37" s="118"/>
      <c r="BMX37" s="118"/>
      <c r="BMY37" s="118"/>
      <c r="BMZ37" s="118"/>
      <c r="BNA37" s="118"/>
      <c r="BNB37" s="118"/>
      <c r="BNC37" s="118"/>
      <c r="BND37" s="118"/>
      <c r="BNE37" s="118"/>
      <c r="BNF37" s="118"/>
      <c r="BNG37" s="118"/>
      <c r="BNH37" s="118"/>
      <c r="BNI37" s="118"/>
      <c r="BNJ37" s="118"/>
      <c r="BNK37" s="118"/>
      <c r="BNL37" s="118"/>
      <c r="BNM37" s="118"/>
      <c r="BNN37" s="118"/>
      <c r="BNO37" s="118"/>
      <c r="BNP37" s="118"/>
      <c r="BNQ37" s="118"/>
      <c r="BNR37" s="118"/>
      <c r="BNS37" s="118"/>
      <c r="BNT37" s="118"/>
      <c r="BNU37" s="118"/>
      <c r="BNV37" s="118"/>
      <c r="BNW37" s="118"/>
      <c r="BNX37" s="118"/>
      <c r="BNY37" s="118"/>
      <c r="BNZ37" s="118"/>
      <c r="BOA37" s="118"/>
      <c r="BOB37" s="118"/>
      <c r="BOC37" s="118"/>
      <c r="BOD37" s="118"/>
      <c r="BOE37" s="118"/>
      <c r="BOF37" s="118"/>
      <c r="BOG37" s="118"/>
      <c r="BOH37" s="118"/>
      <c r="BOI37" s="118"/>
      <c r="BOJ37" s="118"/>
      <c r="BOK37" s="118"/>
      <c r="BOL37" s="118"/>
      <c r="BOM37" s="118"/>
      <c r="BON37" s="118"/>
      <c r="BOO37" s="118"/>
      <c r="BOP37" s="118"/>
      <c r="BOQ37" s="118"/>
      <c r="BOR37" s="118"/>
      <c r="BOS37" s="118"/>
      <c r="BOT37" s="118"/>
      <c r="BOU37" s="118"/>
      <c r="BOV37" s="118"/>
      <c r="BOW37" s="118"/>
      <c r="BOX37" s="118"/>
      <c r="BOY37" s="118"/>
      <c r="BOZ37" s="118"/>
      <c r="BPA37" s="118"/>
      <c r="BPB37" s="118"/>
      <c r="BPC37" s="118"/>
      <c r="BPD37" s="118"/>
      <c r="BPE37" s="118"/>
      <c r="BPF37" s="118"/>
      <c r="BPG37" s="118"/>
      <c r="BPH37" s="118"/>
      <c r="BPI37" s="118"/>
      <c r="BPJ37" s="118"/>
      <c r="BPK37" s="118"/>
      <c r="BPL37" s="118"/>
      <c r="BPM37" s="118"/>
      <c r="BPN37" s="118"/>
      <c r="BPO37" s="118"/>
      <c r="BPP37" s="118"/>
      <c r="BPQ37" s="118"/>
      <c r="BPR37" s="118"/>
      <c r="BPS37" s="118"/>
      <c r="BPT37" s="118"/>
      <c r="BPU37" s="118"/>
      <c r="BPV37" s="118"/>
      <c r="BPW37" s="118"/>
      <c r="BPX37" s="118"/>
      <c r="BPY37" s="118"/>
      <c r="BPZ37" s="118"/>
      <c r="BQA37" s="118"/>
      <c r="BQB37" s="118"/>
      <c r="BQC37" s="118"/>
      <c r="BQD37" s="118"/>
      <c r="BQE37" s="118"/>
      <c r="BQF37" s="118"/>
      <c r="BQG37" s="118"/>
      <c r="BQH37" s="118"/>
      <c r="BQI37" s="118"/>
      <c r="BQJ37" s="118"/>
      <c r="BQK37" s="118"/>
      <c r="BQL37" s="118"/>
      <c r="BQM37" s="118"/>
      <c r="BQN37" s="118"/>
      <c r="BQO37" s="118"/>
      <c r="BQP37" s="118"/>
      <c r="BQQ37" s="118"/>
      <c r="BQR37" s="118"/>
      <c r="BQS37" s="118"/>
      <c r="BQT37" s="118"/>
      <c r="BQU37" s="118"/>
      <c r="BQV37" s="118"/>
      <c r="BQW37" s="118"/>
      <c r="BQX37" s="118"/>
      <c r="BQY37" s="118"/>
      <c r="BQZ37" s="118"/>
      <c r="BRA37" s="118"/>
      <c r="BRB37" s="118"/>
      <c r="BRC37" s="118"/>
      <c r="BRD37" s="118"/>
      <c r="BRE37" s="118"/>
      <c r="BRF37" s="118"/>
      <c r="BRG37" s="118"/>
      <c r="BRH37" s="118"/>
      <c r="BRI37" s="118"/>
      <c r="BRJ37" s="118"/>
      <c r="BRK37" s="118"/>
      <c r="BRL37" s="118"/>
      <c r="BRM37" s="118"/>
      <c r="BRN37" s="118"/>
      <c r="BRO37" s="118"/>
      <c r="BRP37" s="118"/>
      <c r="BRQ37" s="118"/>
      <c r="BRR37" s="118"/>
      <c r="BRS37" s="118"/>
      <c r="BRT37" s="118"/>
      <c r="BRU37" s="118"/>
      <c r="BRV37" s="118"/>
      <c r="BRW37" s="118"/>
      <c r="BRX37" s="118"/>
      <c r="BRY37" s="118"/>
      <c r="BRZ37" s="118"/>
      <c r="BSA37" s="118"/>
      <c r="BSB37" s="118"/>
      <c r="BSC37" s="118"/>
      <c r="BSD37" s="118"/>
      <c r="BSE37" s="118"/>
      <c r="BSF37" s="118"/>
      <c r="BSG37" s="118"/>
      <c r="BSH37" s="118"/>
      <c r="BSI37" s="118"/>
      <c r="BSJ37" s="118"/>
      <c r="BSK37" s="118"/>
      <c r="BSL37" s="118"/>
      <c r="BSM37" s="118"/>
      <c r="BSN37" s="118"/>
      <c r="BSO37" s="118"/>
      <c r="BSP37" s="118"/>
      <c r="BSQ37" s="118"/>
      <c r="BSR37" s="118"/>
      <c r="BSS37" s="118"/>
      <c r="BST37" s="118"/>
      <c r="BSU37" s="118"/>
      <c r="BSV37" s="118"/>
      <c r="BSW37" s="118"/>
      <c r="BSX37" s="118"/>
      <c r="BSY37" s="118"/>
      <c r="BSZ37" s="118"/>
      <c r="BTA37" s="118"/>
      <c r="BTB37" s="118"/>
      <c r="BTC37" s="118"/>
      <c r="BTD37" s="118"/>
      <c r="BTE37" s="118"/>
      <c r="BTF37" s="118"/>
      <c r="BTG37" s="118"/>
      <c r="BTH37" s="118"/>
      <c r="BTI37" s="118"/>
      <c r="BTJ37" s="118"/>
      <c r="BTK37" s="118"/>
      <c r="BTL37" s="118"/>
      <c r="BTM37" s="118"/>
      <c r="BTN37" s="118"/>
      <c r="BTO37" s="118"/>
      <c r="BTP37" s="118"/>
      <c r="BTQ37" s="118"/>
      <c r="BTR37" s="118"/>
      <c r="BTS37" s="118"/>
      <c r="BTT37" s="118"/>
      <c r="BTU37" s="118"/>
      <c r="BTV37" s="118"/>
      <c r="BTW37" s="118"/>
      <c r="BTX37" s="118"/>
      <c r="BTY37" s="118"/>
      <c r="BTZ37" s="118"/>
      <c r="BUA37" s="118"/>
      <c r="BUB37" s="118"/>
      <c r="BUC37" s="118"/>
      <c r="BUD37" s="118"/>
      <c r="BUE37" s="118"/>
      <c r="BUF37" s="118"/>
      <c r="BUG37" s="118"/>
      <c r="BUH37" s="118"/>
      <c r="BUI37" s="118"/>
      <c r="BUJ37" s="118"/>
      <c r="BUK37" s="118"/>
      <c r="BUL37" s="118"/>
      <c r="BUM37" s="118"/>
      <c r="BUN37" s="118"/>
      <c r="BUO37" s="118"/>
      <c r="BUP37" s="118"/>
      <c r="BUQ37" s="118"/>
      <c r="BUR37" s="118"/>
      <c r="BUS37" s="118"/>
      <c r="BUT37" s="118"/>
      <c r="BUU37" s="118"/>
      <c r="BUV37" s="118"/>
      <c r="BUW37" s="118"/>
      <c r="BUX37" s="118"/>
      <c r="BUY37" s="118"/>
      <c r="BUZ37" s="118"/>
      <c r="BVA37" s="118"/>
      <c r="BVB37" s="118"/>
      <c r="BVC37" s="118"/>
      <c r="BVD37" s="118"/>
      <c r="BVE37" s="118"/>
      <c r="BVF37" s="118"/>
      <c r="BVG37" s="118"/>
      <c r="BVH37" s="118"/>
      <c r="BVI37" s="118"/>
      <c r="BVJ37" s="118"/>
      <c r="BVK37" s="118"/>
      <c r="BVL37" s="118"/>
      <c r="BVM37" s="118"/>
      <c r="BVN37" s="118"/>
      <c r="BVO37" s="118"/>
      <c r="BVP37" s="118"/>
      <c r="BVQ37" s="118"/>
      <c r="BVR37" s="118"/>
      <c r="BVS37" s="118"/>
      <c r="BVT37" s="118"/>
      <c r="BVU37" s="118"/>
      <c r="BVV37" s="118"/>
      <c r="BVW37" s="118"/>
      <c r="BVX37" s="118"/>
      <c r="BVY37" s="118"/>
      <c r="BVZ37" s="118"/>
      <c r="BWA37" s="118"/>
      <c r="BWB37" s="118"/>
      <c r="BWC37" s="118"/>
      <c r="BWD37" s="118"/>
      <c r="BWE37" s="118"/>
      <c r="BWF37" s="118"/>
      <c r="BWG37" s="118"/>
      <c r="BWH37" s="118"/>
      <c r="BWI37" s="118"/>
      <c r="BWJ37" s="118"/>
      <c r="BWK37" s="118"/>
      <c r="BWL37" s="118"/>
      <c r="BWM37" s="118"/>
      <c r="BWN37" s="118"/>
      <c r="BWO37" s="118"/>
      <c r="BWP37" s="118"/>
      <c r="BWQ37" s="118"/>
      <c r="BWR37" s="118"/>
      <c r="BWS37" s="118"/>
      <c r="BWT37" s="118"/>
      <c r="BWU37" s="118"/>
      <c r="BWV37" s="118"/>
      <c r="BWW37" s="118"/>
      <c r="BWX37" s="118"/>
      <c r="BWY37" s="118"/>
      <c r="BWZ37" s="118"/>
      <c r="BXA37" s="118"/>
      <c r="BXB37" s="118"/>
      <c r="BXC37" s="118"/>
      <c r="BXD37" s="118"/>
      <c r="BXE37" s="118"/>
      <c r="BXF37" s="118"/>
      <c r="BXG37" s="118"/>
      <c r="BXH37" s="118"/>
      <c r="BXI37" s="118"/>
      <c r="BXJ37" s="118"/>
      <c r="BXK37" s="118"/>
      <c r="BXL37" s="118"/>
      <c r="BXM37" s="118"/>
      <c r="BXN37" s="118"/>
      <c r="BXO37" s="118"/>
      <c r="BXP37" s="118"/>
      <c r="BXQ37" s="118"/>
      <c r="BXR37" s="118"/>
      <c r="BXS37" s="118"/>
      <c r="BXT37" s="118"/>
      <c r="BXU37" s="118"/>
      <c r="BXV37" s="118"/>
      <c r="BXW37" s="118"/>
      <c r="BXX37" s="118"/>
      <c r="BXY37" s="118"/>
      <c r="BXZ37" s="118"/>
      <c r="BYA37" s="118"/>
      <c r="BYB37" s="118"/>
      <c r="BYC37" s="118"/>
      <c r="BYD37" s="118"/>
      <c r="BYE37" s="118"/>
      <c r="BYF37" s="118"/>
      <c r="BYG37" s="118"/>
      <c r="BYH37" s="118"/>
      <c r="BYI37" s="118"/>
      <c r="BYJ37" s="118"/>
      <c r="BYK37" s="118"/>
      <c r="BYL37" s="118"/>
      <c r="BYM37" s="118"/>
      <c r="BYN37" s="118"/>
      <c r="BYO37" s="118"/>
      <c r="BYP37" s="118"/>
      <c r="BYQ37" s="118"/>
      <c r="BYR37" s="118"/>
      <c r="BYS37" s="118"/>
      <c r="BYT37" s="118"/>
      <c r="BYU37" s="118"/>
      <c r="BYV37" s="118"/>
      <c r="BYW37" s="118"/>
      <c r="BYX37" s="118"/>
      <c r="BYY37" s="118"/>
      <c r="BYZ37" s="118"/>
      <c r="BZA37" s="118"/>
      <c r="BZB37" s="118"/>
      <c r="BZC37" s="118"/>
      <c r="BZD37" s="118"/>
      <c r="BZE37" s="118"/>
      <c r="BZF37" s="118"/>
      <c r="BZG37" s="118"/>
      <c r="BZH37" s="118"/>
      <c r="BZI37" s="118"/>
      <c r="BZJ37" s="118"/>
      <c r="BZK37" s="118"/>
      <c r="BZL37" s="118"/>
      <c r="BZM37" s="118"/>
      <c r="BZN37" s="118"/>
      <c r="BZO37" s="118"/>
      <c r="BZP37" s="118"/>
      <c r="BZQ37" s="118"/>
      <c r="BZR37" s="118"/>
      <c r="BZS37" s="118"/>
      <c r="BZT37" s="118"/>
      <c r="BZU37" s="118"/>
      <c r="BZV37" s="118"/>
      <c r="BZW37" s="118"/>
      <c r="BZX37" s="118"/>
      <c r="BZY37" s="118"/>
      <c r="BZZ37" s="118"/>
      <c r="CAA37" s="118"/>
      <c r="CAB37" s="118"/>
      <c r="CAC37" s="118"/>
      <c r="CAD37" s="118"/>
      <c r="CAE37" s="118"/>
      <c r="CAF37" s="118"/>
      <c r="CAG37" s="118"/>
      <c r="CAH37" s="118"/>
      <c r="CAI37" s="118"/>
      <c r="CAJ37" s="118"/>
      <c r="CAK37" s="118"/>
      <c r="CAL37" s="118"/>
      <c r="CAM37" s="118"/>
      <c r="CAN37" s="118"/>
      <c r="CAO37" s="118"/>
      <c r="CAP37" s="118"/>
      <c r="CAQ37" s="118"/>
      <c r="CAR37" s="118"/>
      <c r="CAS37" s="118"/>
      <c r="CAT37" s="118"/>
      <c r="CAU37" s="118"/>
      <c r="CAV37" s="118"/>
      <c r="CAW37" s="118"/>
      <c r="CAX37" s="118"/>
      <c r="CAY37" s="118"/>
      <c r="CAZ37" s="118"/>
      <c r="CBA37" s="118"/>
      <c r="CBB37" s="118"/>
      <c r="CBC37" s="118"/>
      <c r="CBD37" s="118"/>
      <c r="CBE37" s="118"/>
      <c r="CBF37" s="118"/>
      <c r="CBG37" s="118"/>
      <c r="CBH37" s="118"/>
      <c r="CBI37" s="118"/>
      <c r="CBJ37" s="118"/>
      <c r="CBK37" s="118"/>
      <c r="CBL37" s="118"/>
      <c r="CBM37" s="118"/>
      <c r="CBN37" s="118"/>
      <c r="CBO37" s="118"/>
      <c r="CBP37" s="118"/>
      <c r="CBQ37" s="118"/>
      <c r="CBR37" s="118"/>
      <c r="CBS37" s="118"/>
      <c r="CBT37" s="118"/>
      <c r="CBU37" s="118"/>
      <c r="CBV37" s="118"/>
      <c r="CBW37" s="118"/>
      <c r="CBX37" s="118"/>
      <c r="CBY37" s="118"/>
      <c r="CBZ37" s="118"/>
      <c r="CCA37" s="118"/>
      <c r="CCB37" s="118"/>
      <c r="CCC37" s="118"/>
      <c r="CCD37" s="118"/>
      <c r="CCE37" s="118"/>
      <c r="CCF37" s="118"/>
      <c r="CCG37" s="118"/>
      <c r="CCH37" s="118"/>
      <c r="CCI37" s="118"/>
      <c r="CCJ37" s="118"/>
      <c r="CCK37" s="118"/>
      <c r="CCL37" s="118"/>
      <c r="CCM37" s="118"/>
      <c r="CCN37" s="118"/>
      <c r="CCO37" s="118"/>
      <c r="CCP37" s="118"/>
      <c r="CCQ37" s="118"/>
      <c r="CCR37" s="118"/>
      <c r="CCS37" s="118"/>
      <c r="CCT37" s="118"/>
      <c r="CCU37" s="118"/>
      <c r="CCV37" s="118"/>
      <c r="CCW37" s="118"/>
      <c r="CCX37" s="118"/>
      <c r="CCY37" s="118"/>
      <c r="CCZ37" s="118"/>
      <c r="CDA37" s="118"/>
      <c r="CDB37" s="118"/>
      <c r="CDC37" s="118"/>
      <c r="CDD37" s="118"/>
      <c r="CDE37" s="118"/>
      <c r="CDF37" s="118"/>
      <c r="CDG37" s="118"/>
      <c r="CDH37" s="118"/>
      <c r="CDI37" s="118"/>
      <c r="CDJ37" s="118"/>
      <c r="CDK37" s="118"/>
      <c r="CDL37" s="118"/>
      <c r="CDM37" s="118"/>
      <c r="CDN37" s="118"/>
      <c r="CDO37" s="118"/>
      <c r="CDP37" s="118"/>
      <c r="CDQ37" s="118"/>
      <c r="CDR37" s="118"/>
      <c r="CDS37" s="118"/>
      <c r="CDT37" s="118"/>
      <c r="CDU37" s="118"/>
      <c r="CDV37" s="118"/>
      <c r="CDW37" s="118"/>
      <c r="CDX37" s="118"/>
      <c r="CDY37" s="118"/>
      <c r="CDZ37" s="118"/>
      <c r="CEA37" s="118"/>
      <c r="CEB37" s="118"/>
      <c r="CEC37" s="118"/>
      <c r="CED37" s="118"/>
      <c r="CEE37" s="118"/>
      <c r="CEF37" s="118"/>
      <c r="CEG37" s="118"/>
      <c r="CEH37" s="118"/>
      <c r="CEI37" s="118"/>
      <c r="CEJ37" s="118"/>
      <c r="CEK37" s="118"/>
      <c r="CEL37" s="118"/>
      <c r="CEM37" s="118"/>
      <c r="CEN37" s="118"/>
      <c r="CEO37" s="118"/>
      <c r="CEP37" s="118"/>
      <c r="CEQ37" s="118"/>
      <c r="CER37" s="118"/>
      <c r="CES37" s="118"/>
      <c r="CET37" s="118"/>
      <c r="CEU37" s="118"/>
      <c r="CEV37" s="118"/>
      <c r="CEW37" s="118"/>
      <c r="CEX37" s="118"/>
      <c r="CEY37" s="118"/>
      <c r="CEZ37" s="118"/>
      <c r="CFA37" s="118"/>
      <c r="CFB37" s="118"/>
      <c r="CFC37" s="118"/>
      <c r="CFD37" s="118"/>
      <c r="CFE37" s="118"/>
      <c r="CFF37" s="118"/>
      <c r="CFG37" s="118"/>
      <c r="CFH37" s="118"/>
      <c r="CFI37" s="118"/>
      <c r="CFJ37" s="118"/>
      <c r="CFK37" s="118"/>
      <c r="CFL37" s="118"/>
      <c r="CFM37" s="118"/>
      <c r="CFN37" s="118"/>
      <c r="CFO37" s="118"/>
      <c r="CFP37" s="118"/>
      <c r="CFQ37" s="118"/>
      <c r="CFR37" s="118"/>
      <c r="CFS37" s="118"/>
      <c r="CFT37" s="118"/>
      <c r="CFU37" s="118"/>
      <c r="CFV37" s="118"/>
      <c r="CFW37" s="118"/>
      <c r="CFX37" s="118"/>
      <c r="CFY37" s="118"/>
      <c r="CFZ37" s="118"/>
      <c r="CGA37" s="118"/>
      <c r="CGB37" s="118"/>
      <c r="CGC37" s="118"/>
      <c r="CGD37" s="118"/>
      <c r="CGE37" s="118"/>
      <c r="CGF37" s="118"/>
      <c r="CGG37" s="118"/>
      <c r="CGH37" s="118"/>
      <c r="CGI37" s="118"/>
      <c r="CGJ37" s="118"/>
      <c r="CGK37" s="118"/>
      <c r="CGL37" s="118"/>
      <c r="CGM37" s="118"/>
      <c r="CGN37" s="118"/>
      <c r="CGO37" s="118"/>
      <c r="CGP37" s="118"/>
      <c r="CGQ37" s="118"/>
      <c r="CGR37" s="118"/>
      <c r="CGS37" s="118"/>
      <c r="CGT37" s="118"/>
      <c r="CGU37" s="118"/>
      <c r="CGV37" s="118"/>
      <c r="CGW37" s="118"/>
      <c r="CGX37" s="118"/>
      <c r="CGY37" s="118"/>
      <c r="CGZ37" s="118"/>
      <c r="CHA37" s="118"/>
      <c r="CHB37" s="118"/>
      <c r="CHC37" s="118"/>
      <c r="CHD37" s="118"/>
      <c r="CHE37" s="118"/>
      <c r="CHF37" s="118"/>
      <c r="CHG37" s="118"/>
      <c r="CHH37" s="118"/>
      <c r="CHI37" s="118"/>
      <c r="CHJ37" s="118"/>
      <c r="CHK37" s="118"/>
      <c r="CHL37" s="118"/>
      <c r="CHM37" s="118"/>
      <c r="CHN37" s="118"/>
      <c r="CHO37" s="118"/>
      <c r="CHP37" s="118"/>
      <c r="CHQ37" s="118"/>
      <c r="CHR37" s="118"/>
      <c r="CHS37" s="118"/>
      <c r="CHT37" s="118"/>
      <c r="CHU37" s="118"/>
      <c r="CHV37" s="118"/>
      <c r="CHW37" s="118"/>
      <c r="CHX37" s="118"/>
      <c r="CHY37" s="118"/>
      <c r="CHZ37" s="118"/>
      <c r="CIA37" s="118"/>
      <c r="CIB37" s="118"/>
      <c r="CIC37" s="118"/>
      <c r="CID37" s="118"/>
      <c r="CIE37" s="118"/>
      <c r="CIF37" s="118"/>
      <c r="CIG37" s="118"/>
      <c r="CIH37" s="118"/>
      <c r="CII37" s="118"/>
      <c r="CIJ37" s="118"/>
      <c r="CIK37" s="118"/>
      <c r="CIL37" s="118"/>
      <c r="CIM37" s="118"/>
      <c r="CIN37" s="118"/>
      <c r="CIO37" s="118"/>
      <c r="CIP37" s="118"/>
      <c r="CIQ37" s="118"/>
      <c r="CIR37" s="118"/>
      <c r="CIS37" s="118"/>
      <c r="CIT37" s="118"/>
      <c r="CIU37" s="118"/>
      <c r="CIV37" s="118"/>
      <c r="CIW37" s="118"/>
      <c r="CIX37" s="118"/>
      <c r="CIY37" s="118"/>
      <c r="CIZ37" s="118"/>
      <c r="CJA37" s="118"/>
      <c r="CJB37" s="118"/>
      <c r="CJC37" s="118"/>
      <c r="CJD37" s="118"/>
      <c r="CJE37" s="118"/>
      <c r="CJF37" s="118"/>
      <c r="CJG37" s="118"/>
      <c r="CJH37" s="118"/>
      <c r="CJI37" s="118"/>
      <c r="CJJ37" s="118"/>
      <c r="CJK37" s="118"/>
      <c r="CJL37" s="118"/>
      <c r="CJM37" s="118"/>
      <c r="CJN37" s="118"/>
      <c r="CJO37" s="118"/>
      <c r="CJP37" s="118"/>
      <c r="CJQ37" s="118"/>
      <c r="CJR37" s="118"/>
      <c r="CJS37" s="118"/>
      <c r="CJT37" s="118"/>
      <c r="CJU37" s="118"/>
      <c r="CJV37" s="118"/>
      <c r="CJW37" s="118"/>
      <c r="CJX37" s="118"/>
      <c r="CJY37" s="118"/>
      <c r="CJZ37" s="118"/>
      <c r="CKA37" s="118"/>
      <c r="CKB37" s="118"/>
      <c r="CKC37" s="118"/>
      <c r="CKD37" s="118"/>
      <c r="CKE37" s="118"/>
      <c r="CKF37" s="118"/>
      <c r="CKG37" s="118"/>
      <c r="CKH37" s="118"/>
      <c r="CKI37" s="118"/>
      <c r="CKJ37" s="118"/>
      <c r="CKK37" s="118"/>
      <c r="CKL37" s="118"/>
      <c r="CKM37" s="118"/>
      <c r="CKN37" s="118"/>
      <c r="CKO37" s="118"/>
      <c r="CKP37" s="118"/>
      <c r="CKQ37" s="118"/>
      <c r="CKR37" s="118"/>
      <c r="CKS37" s="118"/>
      <c r="CKT37" s="118"/>
      <c r="CKU37" s="118"/>
      <c r="CKV37" s="118"/>
      <c r="CKW37" s="118"/>
      <c r="CKX37" s="118"/>
      <c r="CKY37" s="118"/>
      <c r="CKZ37" s="118"/>
      <c r="CLA37" s="118"/>
      <c r="CLB37" s="118"/>
      <c r="CLC37" s="118"/>
      <c r="CLD37" s="118"/>
      <c r="CLE37" s="118"/>
      <c r="CLF37" s="118"/>
      <c r="CLG37" s="118"/>
      <c r="CLH37" s="118"/>
      <c r="CLI37" s="118"/>
      <c r="CLJ37" s="118"/>
      <c r="CLK37" s="118"/>
      <c r="CLL37" s="118"/>
      <c r="CLM37" s="118"/>
      <c r="CLN37" s="118"/>
      <c r="CLO37" s="118"/>
      <c r="CLP37" s="118"/>
      <c r="CLQ37" s="118"/>
      <c r="CLR37" s="118"/>
      <c r="CLS37" s="118"/>
      <c r="CLT37" s="118"/>
      <c r="CLU37" s="118"/>
      <c r="CLV37" s="118"/>
      <c r="CLW37" s="118"/>
      <c r="CLX37" s="118"/>
      <c r="CLY37" s="118"/>
      <c r="CLZ37" s="118"/>
      <c r="CMA37" s="118"/>
      <c r="CMB37" s="118"/>
      <c r="CMC37" s="118"/>
      <c r="CMD37" s="118"/>
      <c r="CME37" s="118"/>
      <c r="CMF37" s="118"/>
      <c r="CMG37" s="118"/>
      <c r="CMH37" s="118"/>
      <c r="CMI37" s="118"/>
      <c r="CMJ37" s="118"/>
      <c r="CMK37" s="118"/>
      <c r="CML37" s="118"/>
      <c r="CMM37" s="118"/>
      <c r="CMN37" s="118"/>
      <c r="CMO37" s="118"/>
      <c r="CMP37" s="118"/>
      <c r="CMQ37" s="118"/>
      <c r="CMR37" s="118"/>
      <c r="CMS37" s="118"/>
      <c r="CMT37" s="118"/>
      <c r="CMU37" s="118"/>
      <c r="CMV37" s="118"/>
      <c r="CMW37" s="118"/>
      <c r="CMX37" s="118"/>
      <c r="CMY37" s="118"/>
      <c r="CMZ37" s="118"/>
      <c r="CNA37" s="118"/>
      <c r="CNB37" s="118"/>
      <c r="CNC37" s="118"/>
      <c r="CND37" s="118"/>
      <c r="CNE37" s="118"/>
      <c r="CNF37" s="118"/>
      <c r="CNG37" s="118"/>
      <c r="CNH37" s="118"/>
      <c r="CNI37" s="118"/>
      <c r="CNJ37" s="118"/>
      <c r="CNK37" s="118"/>
      <c r="CNL37" s="118"/>
      <c r="CNM37" s="118"/>
      <c r="CNN37" s="118"/>
      <c r="CNO37" s="118"/>
      <c r="CNP37" s="118"/>
      <c r="CNQ37" s="118"/>
      <c r="CNR37" s="118"/>
      <c r="CNS37" s="118"/>
      <c r="CNT37" s="118"/>
      <c r="CNU37" s="118"/>
      <c r="CNV37" s="118"/>
      <c r="CNW37" s="118"/>
      <c r="CNX37" s="118"/>
      <c r="CNY37" s="118"/>
      <c r="CNZ37" s="118"/>
      <c r="COA37" s="118"/>
      <c r="COB37" s="118"/>
      <c r="COC37" s="118"/>
      <c r="COD37" s="118"/>
      <c r="COE37" s="118"/>
      <c r="COF37" s="118"/>
      <c r="COG37" s="118"/>
      <c r="COH37" s="118"/>
      <c r="COI37" s="118"/>
      <c r="COJ37" s="118"/>
      <c r="COK37" s="118"/>
      <c r="COL37" s="118"/>
      <c r="COM37" s="118"/>
      <c r="CON37" s="118"/>
      <c r="COO37" s="118"/>
      <c r="COP37" s="118"/>
      <c r="COQ37" s="118"/>
      <c r="COR37" s="118"/>
      <c r="COS37" s="118"/>
      <c r="COT37" s="118"/>
      <c r="COU37" s="118"/>
      <c r="COV37" s="118"/>
      <c r="COW37" s="118"/>
      <c r="COX37" s="118"/>
      <c r="COY37" s="118"/>
      <c r="COZ37" s="118"/>
      <c r="CPA37" s="118"/>
      <c r="CPB37" s="118"/>
      <c r="CPC37" s="118"/>
      <c r="CPD37" s="118"/>
      <c r="CPE37" s="118"/>
      <c r="CPF37" s="118"/>
      <c r="CPG37" s="118"/>
      <c r="CPH37" s="118"/>
      <c r="CPI37" s="118"/>
      <c r="CPJ37" s="118"/>
      <c r="CPK37" s="118"/>
      <c r="CPL37" s="118"/>
      <c r="CPM37" s="118"/>
      <c r="CPN37" s="118"/>
      <c r="CPO37" s="118"/>
      <c r="CPP37" s="118"/>
      <c r="CPQ37" s="118"/>
      <c r="CPR37" s="118"/>
      <c r="CPS37" s="118"/>
      <c r="CPT37" s="118"/>
      <c r="CPU37" s="118"/>
      <c r="CPV37" s="118"/>
      <c r="CPW37" s="118"/>
      <c r="CPX37" s="118"/>
      <c r="CPY37" s="118"/>
      <c r="CPZ37" s="118"/>
      <c r="CQA37" s="118"/>
      <c r="CQB37" s="118"/>
      <c r="CQC37" s="118"/>
      <c r="CQD37" s="118"/>
      <c r="CQE37" s="118"/>
      <c r="CQF37" s="118"/>
      <c r="CQG37" s="118"/>
      <c r="CQH37" s="118"/>
      <c r="CQI37" s="118"/>
      <c r="CQJ37" s="118"/>
      <c r="CQK37" s="118"/>
      <c r="CQL37" s="118"/>
      <c r="CQM37" s="118"/>
      <c r="CQN37" s="118"/>
      <c r="CQO37" s="118"/>
      <c r="CQP37" s="118"/>
      <c r="CQQ37" s="118"/>
      <c r="CQR37" s="118"/>
      <c r="CQS37" s="118"/>
      <c r="CQT37" s="118"/>
      <c r="CQU37" s="118"/>
      <c r="CQV37" s="118"/>
      <c r="CQW37" s="118"/>
      <c r="CQX37" s="118"/>
      <c r="CQY37" s="118"/>
      <c r="CQZ37" s="118"/>
      <c r="CRA37" s="118"/>
      <c r="CRB37" s="118"/>
      <c r="CRC37" s="118"/>
      <c r="CRD37" s="118"/>
      <c r="CRE37" s="118"/>
      <c r="CRF37" s="118"/>
      <c r="CRG37" s="118"/>
      <c r="CRH37" s="118"/>
      <c r="CRI37" s="118"/>
      <c r="CRJ37" s="118"/>
      <c r="CRK37" s="118"/>
      <c r="CRL37" s="118"/>
      <c r="CRM37" s="118"/>
      <c r="CRN37" s="118"/>
      <c r="CRO37" s="118"/>
      <c r="CRP37" s="118"/>
      <c r="CRQ37" s="118"/>
      <c r="CRR37" s="118"/>
      <c r="CRS37" s="118"/>
      <c r="CRT37" s="118"/>
      <c r="CRU37" s="118"/>
      <c r="CRV37" s="118"/>
      <c r="CRW37" s="118"/>
      <c r="CRX37" s="118"/>
      <c r="CRY37" s="118"/>
      <c r="CRZ37" s="118"/>
      <c r="CSA37" s="118"/>
      <c r="CSB37" s="118"/>
      <c r="CSC37" s="118"/>
      <c r="CSD37" s="118"/>
      <c r="CSE37" s="118"/>
      <c r="CSF37" s="118"/>
      <c r="CSG37" s="118"/>
      <c r="CSH37" s="118"/>
      <c r="CSI37" s="118"/>
      <c r="CSJ37" s="118"/>
      <c r="CSK37" s="118"/>
      <c r="CSL37" s="118"/>
      <c r="CSM37" s="118"/>
      <c r="CSN37" s="118"/>
      <c r="CSO37" s="118"/>
      <c r="CSP37" s="118"/>
      <c r="CSQ37" s="118"/>
      <c r="CSR37" s="118"/>
      <c r="CSS37" s="118"/>
      <c r="CST37" s="118"/>
      <c r="CSU37" s="118"/>
      <c r="CSV37" s="118"/>
      <c r="CSW37" s="118"/>
      <c r="CSX37" s="118"/>
      <c r="CSY37" s="118"/>
      <c r="CSZ37" s="118"/>
      <c r="CTA37" s="118"/>
      <c r="CTB37" s="118"/>
      <c r="CTC37" s="118"/>
      <c r="CTD37" s="118"/>
      <c r="CTE37" s="118"/>
      <c r="CTF37" s="118"/>
      <c r="CTG37" s="118"/>
      <c r="CTH37" s="118"/>
      <c r="CTI37" s="118"/>
      <c r="CTJ37" s="118"/>
      <c r="CTK37" s="118"/>
      <c r="CTL37" s="118"/>
      <c r="CTM37" s="118"/>
      <c r="CTN37" s="118"/>
      <c r="CTO37" s="118"/>
      <c r="CTP37" s="118"/>
      <c r="CTQ37" s="118"/>
      <c r="CTR37" s="118"/>
      <c r="CTS37" s="118"/>
      <c r="CTT37" s="118"/>
      <c r="CTU37" s="118"/>
      <c r="CTV37" s="118"/>
      <c r="CTW37" s="118"/>
      <c r="CTX37" s="118"/>
      <c r="CTY37" s="118"/>
      <c r="CTZ37" s="118"/>
      <c r="CUA37" s="118"/>
      <c r="CUB37" s="118"/>
      <c r="CUC37" s="118"/>
      <c r="CUD37" s="118"/>
      <c r="CUE37" s="118"/>
      <c r="CUF37" s="118"/>
      <c r="CUG37" s="118"/>
      <c r="CUH37" s="118"/>
      <c r="CUI37" s="118"/>
      <c r="CUJ37" s="118"/>
      <c r="CUK37" s="118"/>
      <c r="CUL37" s="118"/>
      <c r="CUM37" s="118"/>
      <c r="CUN37" s="118"/>
      <c r="CUO37" s="118"/>
      <c r="CUP37" s="118"/>
      <c r="CUQ37" s="118"/>
      <c r="CUR37" s="118"/>
      <c r="CUS37" s="118"/>
      <c r="CUT37" s="118"/>
      <c r="CUU37" s="118"/>
      <c r="CUV37" s="118"/>
      <c r="CUW37" s="118"/>
      <c r="CUX37" s="118"/>
      <c r="CUY37" s="118"/>
      <c r="CUZ37" s="118"/>
      <c r="CVA37" s="118"/>
      <c r="CVB37" s="118"/>
      <c r="CVC37" s="118"/>
      <c r="CVD37" s="118"/>
      <c r="CVE37" s="118"/>
      <c r="CVF37" s="118"/>
      <c r="CVG37" s="118"/>
      <c r="CVH37" s="118"/>
      <c r="CVI37" s="118"/>
      <c r="CVJ37" s="118"/>
      <c r="CVK37" s="118"/>
      <c r="CVL37" s="118"/>
      <c r="CVM37" s="118"/>
      <c r="CVN37" s="118"/>
      <c r="CVO37" s="118"/>
      <c r="CVP37" s="118"/>
      <c r="CVQ37" s="118"/>
      <c r="CVR37" s="118"/>
      <c r="CVS37" s="118"/>
      <c r="CVT37" s="118"/>
      <c r="CVU37" s="118"/>
      <c r="CVV37" s="118"/>
      <c r="CVW37" s="118"/>
      <c r="CVX37" s="118"/>
      <c r="CVY37" s="118"/>
      <c r="CVZ37" s="118"/>
      <c r="CWA37" s="118"/>
      <c r="CWB37" s="118"/>
      <c r="CWC37" s="118"/>
      <c r="CWD37" s="118"/>
      <c r="CWE37" s="118"/>
      <c r="CWF37" s="118"/>
      <c r="CWG37" s="118"/>
      <c r="CWH37" s="118"/>
      <c r="CWI37" s="118"/>
      <c r="CWJ37" s="118"/>
      <c r="CWK37" s="118"/>
      <c r="CWL37" s="118"/>
      <c r="CWM37" s="118"/>
      <c r="CWN37" s="118"/>
      <c r="CWO37" s="118"/>
      <c r="CWP37" s="118"/>
      <c r="CWQ37" s="118"/>
      <c r="CWR37" s="118"/>
      <c r="CWS37" s="118"/>
      <c r="CWT37" s="118"/>
      <c r="CWU37" s="118"/>
      <c r="CWV37" s="118"/>
      <c r="CWW37" s="118"/>
      <c r="CWX37" s="118"/>
      <c r="CWY37" s="118"/>
      <c r="CWZ37" s="118"/>
      <c r="CXA37" s="118"/>
      <c r="CXB37" s="118"/>
      <c r="CXC37" s="118"/>
      <c r="CXD37" s="118"/>
      <c r="CXE37" s="118"/>
      <c r="CXF37" s="118"/>
      <c r="CXG37" s="118"/>
      <c r="CXH37" s="118"/>
      <c r="CXI37" s="118"/>
      <c r="CXJ37" s="118"/>
      <c r="CXK37" s="118"/>
      <c r="CXL37" s="118"/>
      <c r="CXM37" s="118"/>
      <c r="CXN37" s="118"/>
      <c r="CXO37" s="118"/>
      <c r="CXP37" s="118"/>
      <c r="CXQ37" s="118"/>
      <c r="CXR37" s="118"/>
      <c r="CXS37" s="118"/>
      <c r="CXT37" s="118"/>
      <c r="CXU37" s="118"/>
      <c r="CXV37" s="118"/>
      <c r="CXW37" s="118"/>
      <c r="CXX37" s="118"/>
      <c r="CXY37" s="118"/>
      <c r="CXZ37" s="118"/>
      <c r="CYA37" s="118"/>
      <c r="CYB37" s="118"/>
      <c r="CYC37" s="118"/>
      <c r="CYD37" s="118"/>
      <c r="CYE37" s="118"/>
      <c r="CYF37" s="118"/>
      <c r="CYG37" s="118"/>
      <c r="CYH37" s="118"/>
      <c r="CYI37" s="118"/>
      <c r="CYJ37" s="118"/>
      <c r="CYK37" s="118"/>
      <c r="CYL37" s="118"/>
      <c r="CYM37" s="118"/>
      <c r="CYN37" s="118"/>
      <c r="CYO37" s="118"/>
      <c r="CYP37" s="118"/>
      <c r="CYQ37" s="118"/>
      <c r="CYR37" s="118"/>
      <c r="CYS37" s="118"/>
      <c r="CYT37" s="118"/>
      <c r="CYU37" s="118"/>
      <c r="CYV37" s="118"/>
      <c r="CYW37" s="118"/>
      <c r="CYX37" s="118"/>
      <c r="CYY37" s="118"/>
      <c r="CYZ37" s="118"/>
      <c r="CZA37" s="118"/>
      <c r="CZB37" s="118"/>
      <c r="CZC37" s="118"/>
      <c r="CZD37" s="118"/>
      <c r="CZE37" s="118"/>
      <c r="CZF37" s="118"/>
      <c r="CZG37" s="118"/>
      <c r="CZH37" s="118"/>
      <c r="CZI37" s="118"/>
      <c r="CZJ37" s="118"/>
      <c r="CZK37" s="118"/>
      <c r="CZL37" s="118"/>
      <c r="CZM37" s="118"/>
      <c r="CZN37" s="118"/>
      <c r="CZO37" s="118"/>
      <c r="CZP37" s="118"/>
      <c r="CZQ37" s="118"/>
      <c r="CZR37" s="118"/>
      <c r="CZS37" s="118"/>
      <c r="CZT37" s="118"/>
      <c r="CZU37" s="118"/>
      <c r="CZV37" s="118"/>
      <c r="CZW37" s="118"/>
      <c r="CZX37" s="118"/>
      <c r="CZY37" s="118"/>
      <c r="CZZ37" s="118"/>
      <c r="DAA37" s="118"/>
      <c r="DAB37" s="118"/>
      <c r="DAC37" s="118"/>
      <c r="DAD37" s="118"/>
      <c r="DAE37" s="118"/>
      <c r="DAF37" s="118"/>
      <c r="DAG37" s="118"/>
      <c r="DAH37" s="118"/>
      <c r="DAI37" s="118"/>
      <c r="DAJ37" s="118"/>
      <c r="DAK37" s="118"/>
      <c r="DAL37" s="118"/>
      <c r="DAM37" s="118"/>
      <c r="DAN37" s="118"/>
      <c r="DAO37" s="118"/>
      <c r="DAP37" s="118"/>
      <c r="DAQ37" s="118"/>
      <c r="DAR37" s="118"/>
      <c r="DAS37" s="118"/>
      <c r="DAT37" s="118"/>
      <c r="DAU37" s="118"/>
      <c r="DAV37" s="118"/>
      <c r="DAW37" s="118"/>
      <c r="DAX37" s="118"/>
      <c r="DAY37" s="118"/>
      <c r="DAZ37" s="118"/>
      <c r="DBA37" s="118"/>
      <c r="DBB37" s="118"/>
      <c r="DBC37" s="118"/>
      <c r="DBD37" s="118"/>
      <c r="DBE37" s="118"/>
      <c r="DBF37" s="118"/>
      <c r="DBG37" s="118"/>
      <c r="DBH37" s="118"/>
      <c r="DBI37" s="118"/>
      <c r="DBJ37" s="118"/>
      <c r="DBK37" s="118"/>
      <c r="DBL37" s="118"/>
      <c r="DBM37" s="118"/>
      <c r="DBN37" s="118"/>
      <c r="DBO37" s="118"/>
      <c r="DBP37" s="118"/>
      <c r="DBQ37" s="118"/>
      <c r="DBR37" s="118"/>
      <c r="DBS37" s="118"/>
      <c r="DBT37" s="118"/>
      <c r="DBU37" s="118"/>
      <c r="DBV37" s="118"/>
      <c r="DBW37" s="118"/>
      <c r="DBX37" s="118"/>
      <c r="DBY37" s="118"/>
      <c r="DBZ37" s="118"/>
      <c r="DCA37" s="118"/>
      <c r="DCB37" s="118"/>
      <c r="DCC37" s="118"/>
      <c r="DCD37" s="118"/>
      <c r="DCE37" s="118"/>
      <c r="DCF37" s="118"/>
      <c r="DCG37" s="118"/>
      <c r="DCH37" s="118"/>
      <c r="DCI37" s="118"/>
      <c r="DCJ37" s="118"/>
      <c r="DCK37" s="118"/>
      <c r="DCL37" s="118"/>
      <c r="DCM37" s="118"/>
      <c r="DCN37" s="118"/>
      <c r="DCO37" s="118"/>
      <c r="DCP37" s="118"/>
      <c r="DCQ37" s="118"/>
      <c r="DCR37" s="118"/>
      <c r="DCS37" s="118"/>
      <c r="DCT37" s="118"/>
      <c r="DCU37" s="118"/>
      <c r="DCV37" s="118"/>
      <c r="DCW37" s="118"/>
      <c r="DCX37" s="118"/>
      <c r="DCY37" s="118"/>
      <c r="DCZ37" s="118"/>
      <c r="DDA37" s="118"/>
      <c r="DDB37" s="118"/>
      <c r="DDC37" s="118"/>
      <c r="DDD37" s="118"/>
      <c r="DDE37" s="118"/>
      <c r="DDF37" s="118"/>
      <c r="DDG37" s="118"/>
      <c r="DDH37" s="118"/>
      <c r="DDI37" s="118"/>
      <c r="DDJ37" s="118"/>
      <c r="DDK37" s="118"/>
      <c r="DDL37" s="118"/>
      <c r="DDM37" s="118"/>
      <c r="DDN37" s="118"/>
      <c r="DDO37" s="118"/>
      <c r="DDP37" s="118"/>
      <c r="DDQ37" s="118"/>
      <c r="DDR37" s="118"/>
      <c r="DDS37" s="118"/>
      <c r="DDT37" s="118"/>
      <c r="DDU37" s="118"/>
      <c r="DDV37" s="118"/>
      <c r="DDW37" s="118"/>
      <c r="DDX37" s="118"/>
      <c r="DDY37" s="118"/>
      <c r="DDZ37" s="118"/>
      <c r="DEA37" s="118"/>
      <c r="DEB37" s="118"/>
      <c r="DEC37" s="118"/>
      <c r="DED37" s="118"/>
      <c r="DEE37" s="118"/>
      <c r="DEF37" s="118"/>
      <c r="DEG37" s="118"/>
      <c r="DEH37" s="118"/>
      <c r="DEI37" s="118"/>
      <c r="DEJ37" s="118"/>
      <c r="DEK37" s="118"/>
      <c r="DEL37" s="118"/>
      <c r="DEM37" s="118"/>
      <c r="DEN37" s="118"/>
      <c r="DEO37" s="118"/>
      <c r="DEP37" s="118"/>
      <c r="DEQ37" s="118"/>
      <c r="DER37" s="118"/>
      <c r="DES37" s="118"/>
      <c r="DET37" s="118"/>
      <c r="DEU37" s="118"/>
      <c r="DEV37" s="118"/>
      <c r="DEW37" s="118"/>
      <c r="DEX37" s="118"/>
      <c r="DEY37" s="118"/>
      <c r="DEZ37" s="118"/>
      <c r="DFA37" s="118"/>
      <c r="DFB37" s="118"/>
      <c r="DFC37" s="118"/>
      <c r="DFD37" s="118"/>
      <c r="DFE37" s="118"/>
      <c r="DFF37" s="118"/>
      <c r="DFG37" s="118"/>
      <c r="DFH37" s="118"/>
      <c r="DFI37" s="118"/>
      <c r="DFJ37" s="118"/>
      <c r="DFK37" s="118"/>
      <c r="DFL37" s="118"/>
      <c r="DFM37" s="118"/>
      <c r="DFN37" s="118"/>
      <c r="DFO37" s="118"/>
      <c r="DFP37" s="118"/>
      <c r="DFQ37" s="118"/>
      <c r="DFR37" s="118"/>
      <c r="DFS37" s="118"/>
      <c r="DFT37" s="118"/>
      <c r="DFU37" s="118"/>
      <c r="DFV37" s="118"/>
      <c r="DFW37" s="118"/>
      <c r="DFX37" s="118"/>
      <c r="DFY37" s="118"/>
      <c r="DFZ37" s="118"/>
      <c r="DGA37" s="118"/>
      <c r="DGB37" s="118"/>
      <c r="DGC37" s="118"/>
      <c r="DGD37" s="118"/>
      <c r="DGE37" s="118"/>
      <c r="DGF37" s="118"/>
      <c r="DGG37" s="118"/>
      <c r="DGH37" s="118"/>
      <c r="DGI37" s="118"/>
      <c r="DGJ37" s="118"/>
      <c r="DGK37" s="118"/>
      <c r="DGL37" s="118"/>
      <c r="DGM37" s="118"/>
      <c r="DGN37" s="118"/>
      <c r="DGO37" s="118"/>
      <c r="DGP37" s="118"/>
      <c r="DGQ37" s="118"/>
      <c r="DGR37" s="118"/>
      <c r="DGS37" s="118"/>
      <c r="DGT37" s="118"/>
      <c r="DGU37" s="118"/>
      <c r="DGV37" s="118"/>
      <c r="DGW37" s="118"/>
      <c r="DGX37" s="118"/>
      <c r="DGY37" s="118"/>
      <c r="DGZ37" s="118"/>
      <c r="DHA37" s="118"/>
      <c r="DHB37" s="118"/>
      <c r="DHC37" s="118"/>
      <c r="DHD37" s="118"/>
      <c r="DHE37" s="118"/>
      <c r="DHF37" s="118"/>
      <c r="DHG37" s="118"/>
      <c r="DHH37" s="118"/>
      <c r="DHI37" s="118"/>
      <c r="DHJ37" s="118"/>
      <c r="DHK37" s="118"/>
      <c r="DHL37" s="118"/>
      <c r="DHM37" s="118"/>
      <c r="DHN37" s="118"/>
      <c r="DHO37" s="118"/>
      <c r="DHP37" s="118"/>
      <c r="DHQ37" s="118"/>
      <c r="DHR37" s="118"/>
      <c r="DHS37" s="118"/>
      <c r="DHT37" s="118"/>
      <c r="DHU37" s="118"/>
      <c r="DHV37" s="118"/>
      <c r="DHW37" s="118"/>
      <c r="DHX37" s="118"/>
      <c r="DHY37" s="118"/>
      <c r="DHZ37" s="118"/>
      <c r="DIA37" s="118"/>
      <c r="DIB37" s="118"/>
      <c r="DIC37" s="118"/>
      <c r="DID37" s="118"/>
      <c r="DIE37" s="118"/>
      <c r="DIF37" s="118"/>
      <c r="DIG37" s="118"/>
      <c r="DIH37" s="118"/>
      <c r="DII37" s="118"/>
      <c r="DIJ37" s="118"/>
      <c r="DIK37" s="118"/>
      <c r="DIL37" s="118"/>
      <c r="DIM37" s="118"/>
      <c r="DIN37" s="118"/>
      <c r="DIO37" s="118"/>
      <c r="DIP37" s="118"/>
      <c r="DIQ37" s="118"/>
      <c r="DIR37" s="118"/>
      <c r="DIS37" s="118"/>
      <c r="DIT37" s="118"/>
      <c r="DIU37" s="118"/>
      <c r="DIV37" s="118"/>
      <c r="DIW37" s="118"/>
      <c r="DIX37" s="118"/>
      <c r="DIY37" s="118"/>
      <c r="DIZ37" s="118"/>
      <c r="DJA37" s="118"/>
      <c r="DJB37" s="118"/>
      <c r="DJC37" s="118"/>
      <c r="DJD37" s="118"/>
      <c r="DJE37" s="118"/>
      <c r="DJF37" s="118"/>
      <c r="DJG37" s="118"/>
      <c r="DJH37" s="118"/>
      <c r="DJI37" s="118"/>
      <c r="DJJ37" s="118"/>
      <c r="DJK37" s="118"/>
      <c r="DJL37" s="118"/>
      <c r="DJM37" s="118"/>
      <c r="DJN37" s="118"/>
      <c r="DJO37" s="118"/>
      <c r="DJP37" s="118"/>
      <c r="DJQ37" s="118"/>
      <c r="DJR37" s="118"/>
      <c r="DJS37" s="118"/>
      <c r="DJT37" s="118"/>
      <c r="DJU37" s="118"/>
      <c r="DJV37" s="118"/>
      <c r="DJW37" s="118"/>
      <c r="DJX37" s="118"/>
      <c r="DJY37" s="118"/>
      <c r="DJZ37" s="118"/>
      <c r="DKA37" s="118"/>
      <c r="DKB37" s="118"/>
      <c r="DKC37" s="118"/>
      <c r="DKD37" s="118"/>
      <c r="DKE37" s="118"/>
      <c r="DKF37" s="118"/>
      <c r="DKG37" s="118"/>
      <c r="DKH37" s="118"/>
      <c r="DKI37" s="118"/>
      <c r="DKJ37" s="118"/>
      <c r="DKK37" s="118"/>
      <c r="DKL37" s="118"/>
      <c r="DKM37" s="118"/>
      <c r="DKN37" s="118"/>
      <c r="DKO37" s="118"/>
      <c r="DKP37" s="118"/>
      <c r="DKQ37" s="118"/>
      <c r="DKR37" s="118"/>
      <c r="DKS37" s="118"/>
      <c r="DKT37" s="118"/>
      <c r="DKU37" s="118"/>
      <c r="DKV37" s="118"/>
      <c r="DKW37" s="118"/>
      <c r="DKX37" s="118"/>
      <c r="DKY37" s="118"/>
      <c r="DKZ37" s="118"/>
      <c r="DLA37" s="118"/>
      <c r="DLB37" s="118"/>
      <c r="DLC37" s="118"/>
      <c r="DLD37" s="118"/>
      <c r="DLE37" s="118"/>
      <c r="DLF37" s="118"/>
      <c r="DLG37" s="118"/>
      <c r="DLH37" s="118"/>
      <c r="DLI37" s="118"/>
      <c r="DLJ37" s="118"/>
      <c r="DLK37" s="118"/>
      <c r="DLL37" s="118"/>
      <c r="DLM37" s="118"/>
      <c r="DLN37" s="118"/>
      <c r="DLO37" s="118"/>
      <c r="DLP37" s="118"/>
      <c r="DLQ37" s="118"/>
      <c r="DLR37" s="118"/>
      <c r="DLS37" s="118"/>
      <c r="DLT37" s="118"/>
      <c r="DLU37" s="118"/>
      <c r="DLV37" s="118"/>
      <c r="DLW37" s="118"/>
      <c r="DLX37" s="118"/>
      <c r="DLY37" s="118"/>
      <c r="DLZ37" s="118"/>
      <c r="DMA37" s="118"/>
      <c r="DMB37" s="118"/>
      <c r="DMC37" s="118"/>
      <c r="DMD37" s="118"/>
      <c r="DME37" s="118"/>
      <c r="DMF37" s="118"/>
      <c r="DMG37" s="118"/>
      <c r="DMH37" s="118"/>
      <c r="DMI37" s="118"/>
      <c r="DMJ37" s="118"/>
      <c r="DMK37" s="118"/>
      <c r="DML37" s="118"/>
      <c r="DMM37" s="118"/>
      <c r="DMN37" s="118"/>
      <c r="DMO37" s="118"/>
      <c r="DMP37" s="118"/>
      <c r="DMQ37" s="118"/>
      <c r="DMR37" s="118"/>
      <c r="DMS37" s="118"/>
      <c r="DMT37" s="118"/>
      <c r="DMU37" s="118"/>
      <c r="DMV37" s="118"/>
      <c r="DMW37" s="118"/>
      <c r="DMX37" s="118"/>
      <c r="DMY37" s="118"/>
      <c r="DMZ37" s="118"/>
      <c r="DNA37" s="118"/>
      <c r="DNB37" s="118"/>
      <c r="DNC37" s="118"/>
      <c r="DND37" s="118"/>
      <c r="DNE37" s="118"/>
      <c r="DNF37" s="118"/>
      <c r="DNG37" s="118"/>
      <c r="DNH37" s="118"/>
      <c r="DNI37" s="118"/>
      <c r="DNJ37" s="118"/>
      <c r="DNK37" s="118"/>
      <c r="DNL37" s="118"/>
      <c r="DNM37" s="118"/>
      <c r="DNN37" s="118"/>
      <c r="DNO37" s="118"/>
      <c r="DNP37" s="118"/>
      <c r="DNQ37" s="118"/>
      <c r="DNR37" s="118"/>
      <c r="DNS37" s="118"/>
      <c r="DNT37" s="118"/>
      <c r="DNU37" s="118"/>
      <c r="DNV37" s="118"/>
      <c r="DNW37" s="118"/>
      <c r="DNX37" s="118"/>
      <c r="DNY37" s="118"/>
      <c r="DNZ37" s="118"/>
      <c r="DOA37" s="118"/>
      <c r="DOB37" s="118"/>
      <c r="DOC37" s="118"/>
      <c r="DOD37" s="118"/>
      <c r="DOE37" s="118"/>
      <c r="DOF37" s="118"/>
      <c r="DOG37" s="118"/>
      <c r="DOH37" s="118"/>
      <c r="DOI37" s="118"/>
      <c r="DOJ37" s="118"/>
      <c r="DOK37" s="118"/>
      <c r="DOL37" s="118"/>
      <c r="DOM37" s="118"/>
      <c r="DON37" s="118"/>
      <c r="DOO37" s="118"/>
      <c r="DOP37" s="118"/>
      <c r="DOQ37" s="118"/>
      <c r="DOR37" s="118"/>
      <c r="DOS37" s="118"/>
      <c r="DOT37" s="118"/>
      <c r="DOU37" s="118"/>
      <c r="DOV37" s="118"/>
      <c r="DOW37" s="118"/>
      <c r="DOX37" s="118"/>
      <c r="DOY37" s="118"/>
      <c r="DOZ37" s="118"/>
      <c r="DPA37" s="118"/>
      <c r="DPB37" s="118"/>
      <c r="DPC37" s="118"/>
      <c r="DPD37" s="118"/>
      <c r="DPE37" s="118"/>
      <c r="DPF37" s="118"/>
      <c r="DPG37" s="118"/>
      <c r="DPH37" s="118"/>
      <c r="DPI37" s="118"/>
      <c r="DPJ37" s="118"/>
      <c r="DPK37" s="118"/>
      <c r="DPL37" s="118"/>
      <c r="DPM37" s="118"/>
      <c r="DPN37" s="118"/>
      <c r="DPO37" s="118"/>
      <c r="DPP37" s="118"/>
      <c r="DPQ37" s="118"/>
      <c r="DPR37" s="118"/>
      <c r="DPS37" s="118"/>
      <c r="DPT37" s="118"/>
      <c r="DPU37" s="118"/>
      <c r="DPV37" s="118"/>
      <c r="DPW37" s="118"/>
      <c r="DPX37" s="118"/>
      <c r="DPY37" s="118"/>
      <c r="DPZ37" s="118"/>
      <c r="DQA37" s="118"/>
      <c r="DQB37" s="118"/>
      <c r="DQC37" s="118"/>
      <c r="DQD37" s="118"/>
      <c r="DQE37" s="118"/>
      <c r="DQF37" s="118"/>
      <c r="DQG37" s="118"/>
      <c r="DQH37" s="118"/>
      <c r="DQI37" s="118"/>
      <c r="DQJ37" s="118"/>
      <c r="DQK37" s="118"/>
      <c r="DQL37" s="118"/>
      <c r="DQM37" s="118"/>
      <c r="DQN37" s="118"/>
      <c r="DQO37" s="118"/>
      <c r="DQP37" s="118"/>
      <c r="DQQ37" s="118"/>
      <c r="DQR37" s="118"/>
      <c r="DQS37" s="118"/>
      <c r="DQT37" s="118"/>
      <c r="DQU37" s="118"/>
      <c r="DQV37" s="118"/>
      <c r="DQW37" s="118"/>
      <c r="DQX37" s="118"/>
      <c r="DQY37" s="118"/>
      <c r="DQZ37" s="118"/>
      <c r="DRA37" s="118"/>
      <c r="DRB37" s="118"/>
      <c r="DRC37" s="118"/>
      <c r="DRD37" s="118"/>
      <c r="DRE37" s="118"/>
      <c r="DRF37" s="118"/>
      <c r="DRG37" s="118"/>
      <c r="DRH37" s="118"/>
      <c r="DRI37" s="118"/>
      <c r="DRJ37" s="118"/>
      <c r="DRK37" s="118"/>
      <c r="DRL37" s="118"/>
      <c r="DRM37" s="118"/>
      <c r="DRN37" s="118"/>
      <c r="DRO37" s="118"/>
      <c r="DRP37" s="118"/>
      <c r="DRQ37" s="118"/>
      <c r="DRR37" s="118"/>
      <c r="DRS37" s="118"/>
      <c r="DRT37" s="118"/>
      <c r="DRU37" s="118"/>
      <c r="DRV37" s="118"/>
      <c r="DRW37" s="118"/>
      <c r="DRX37" s="118"/>
      <c r="DRY37" s="118"/>
      <c r="DRZ37" s="118"/>
      <c r="DSA37" s="118"/>
      <c r="DSB37" s="118"/>
      <c r="DSC37" s="118"/>
      <c r="DSD37" s="118"/>
      <c r="DSE37" s="118"/>
      <c r="DSF37" s="118"/>
      <c r="DSG37" s="118"/>
      <c r="DSH37" s="118"/>
      <c r="DSI37" s="118"/>
      <c r="DSJ37" s="118"/>
      <c r="DSK37" s="118"/>
      <c r="DSL37" s="118"/>
      <c r="DSM37" s="118"/>
      <c r="DSN37" s="118"/>
      <c r="DSO37" s="118"/>
      <c r="DSP37" s="118"/>
      <c r="DSQ37" s="118"/>
      <c r="DSR37" s="118"/>
      <c r="DSS37" s="118"/>
      <c r="DST37" s="118"/>
      <c r="DSU37" s="118"/>
      <c r="DSV37" s="118"/>
      <c r="DSW37" s="118"/>
      <c r="DSX37" s="118"/>
      <c r="DSY37" s="118"/>
      <c r="DSZ37" s="118"/>
      <c r="DTA37" s="118"/>
      <c r="DTB37" s="118"/>
      <c r="DTC37" s="118"/>
      <c r="DTD37" s="118"/>
      <c r="DTE37" s="118"/>
      <c r="DTF37" s="118"/>
      <c r="DTG37" s="118"/>
      <c r="DTH37" s="118"/>
      <c r="DTI37" s="118"/>
      <c r="DTJ37" s="118"/>
      <c r="DTK37" s="118"/>
      <c r="DTL37" s="118"/>
      <c r="DTM37" s="118"/>
      <c r="DTN37" s="118"/>
      <c r="DTO37" s="118"/>
      <c r="DTP37" s="118"/>
      <c r="DTQ37" s="118"/>
      <c r="DTR37" s="118"/>
      <c r="DTS37" s="118"/>
      <c r="DTT37" s="118"/>
      <c r="DTU37" s="118"/>
      <c r="DTV37" s="118"/>
      <c r="DTW37" s="118"/>
      <c r="DTX37" s="118"/>
      <c r="DTY37" s="118"/>
      <c r="DTZ37" s="118"/>
      <c r="DUA37" s="118"/>
      <c r="DUB37" s="118"/>
      <c r="DUC37" s="118"/>
      <c r="DUD37" s="118"/>
      <c r="DUE37" s="118"/>
      <c r="DUF37" s="118"/>
      <c r="DUG37" s="118"/>
      <c r="DUH37" s="118"/>
      <c r="DUI37" s="118"/>
      <c r="DUJ37" s="118"/>
      <c r="DUK37" s="118"/>
      <c r="DUL37" s="118"/>
      <c r="DUM37" s="118"/>
      <c r="DUN37" s="118"/>
      <c r="DUO37" s="118"/>
      <c r="DUP37" s="118"/>
      <c r="DUQ37" s="118"/>
      <c r="DUR37" s="118"/>
      <c r="DUS37" s="118"/>
      <c r="DUT37" s="118"/>
      <c r="DUU37" s="118"/>
      <c r="DUV37" s="118"/>
      <c r="DUW37" s="118"/>
      <c r="DUX37" s="118"/>
      <c r="DUY37" s="118"/>
      <c r="DUZ37" s="118"/>
      <c r="DVA37" s="118"/>
      <c r="DVB37" s="118"/>
      <c r="DVC37" s="118"/>
      <c r="DVD37" s="118"/>
      <c r="DVE37" s="118"/>
      <c r="DVF37" s="118"/>
      <c r="DVG37" s="118"/>
      <c r="DVH37" s="118"/>
      <c r="DVI37" s="118"/>
      <c r="DVJ37" s="118"/>
      <c r="DVK37" s="118"/>
      <c r="DVL37" s="118"/>
      <c r="DVM37" s="118"/>
      <c r="DVN37" s="118"/>
      <c r="DVO37" s="118"/>
      <c r="DVP37" s="118"/>
      <c r="DVQ37" s="118"/>
      <c r="DVR37" s="118"/>
      <c r="DVS37" s="118"/>
      <c r="DVT37" s="118"/>
      <c r="DVU37" s="118"/>
      <c r="DVV37" s="118"/>
      <c r="DVW37" s="118"/>
      <c r="DVX37" s="118"/>
      <c r="DVY37" s="118"/>
      <c r="DVZ37" s="118"/>
      <c r="DWA37" s="118"/>
      <c r="DWB37" s="118"/>
      <c r="DWC37" s="118"/>
      <c r="DWD37" s="118"/>
      <c r="DWE37" s="118"/>
      <c r="DWF37" s="118"/>
      <c r="DWG37" s="118"/>
      <c r="DWH37" s="118"/>
      <c r="DWI37" s="118"/>
      <c r="DWJ37" s="118"/>
      <c r="DWK37" s="118"/>
      <c r="DWL37" s="118"/>
      <c r="DWM37" s="118"/>
      <c r="DWN37" s="118"/>
      <c r="DWO37" s="118"/>
      <c r="DWP37" s="118"/>
      <c r="DWQ37" s="118"/>
      <c r="DWR37" s="118"/>
      <c r="DWS37" s="118"/>
      <c r="DWT37" s="118"/>
      <c r="DWU37" s="118"/>
      <c r="DWV37" s="118"/>
      <c r="DWW37" s="118"/>
      <c r="DWX37" s="118"/>
      <c r="DWY37" s="118"/>
      <c r="DWZ37" s="118"/>
      <c r="DXA37" s="118"/>
      <c r="DXB37" s="118"/>
      <c r="DXC37" s="118"/>
      <c r="DXD37" s="118"/>
      <c r="DXE37" s="118"/>
      <c r="DXF37" s="118"/>
      <c r="DXG37" s="118"/>
      <c r="DXH37" s="118"/>
      <c r="DXI37" s="118"/>
      <c r="DXJ37" s="118"/>
      <c r="DXK37" s="118"/>
      <c r="DXL37" s="118"/>
      <c r="DXM37" s="118"/>
      <c r="DXN37" s="118"/>
      <c r="DXO37" s="118"/>
      <c r="DXP37" s="118"/>
      <c r="DXQ37" s="118"/>
      <c r="DXR37" s="118"/>
      <c r="DXS37" s="118"/>
      <c r="DXT37" s="118"/>
      <c r="DXU37" s="118"/>
      <c r="DXV37" s="118"/>
      <c r="DXW37" s="118"/>
      <c r="DXX37" s="118"/>
      <c r="DXY37" s="118"/>
      <c r="DXZ37" s="118"/>
      <c r="DYA37" s="118"/>
      <c r="DYB37" s="118"/>
      <c r="DYC37" s="118"/>
      <c r="DYD37" s="118"/>
      <c r="DYE37" s="118"/>
      <c r="DYF37" s="118"/>
      <c r="DYG37" s="118"/>
      <c r="DYH37" s="118"/>
      <c r="DYI37" s="118"/>
      <c r="DYJ37" s="118"/>
      <c r="DYK37" s="118"/>
      <c r="DYL37" s="118"/>
      <c r="DYM37" s="118"/>
      <c r="DYN37" s="118"/>
      <c r="DYO37" s="118"/>
      <c r="DYP37" s="118"/>
      <c r="DYQ37" s="118"/>
      <c r="DYR37" s="118"/>
      <c r="DYS37" s="118"/>
      <c r="DYT37" s="118"/>
      <c r="DYU37" s="118"/>
      <c r="DYV37" s="118"/>
      <c r="DYW37" s="118"/>
      <c r="DYX37" s="118"/>
      <c r="DYY37" s="118"/>
      <c r="DYZ37" s="118"/>
      <c r="DZA37" s="118"/>
      <c r="DZB37" s="118"/>
      <c r="DZC37" s="118"/>
      <c r="DZD37" s="118"/>
      <c r="DZE37" s="118"/>
      <c r="DZF37" s="118"/>
      <c r="DZG37" s="118"/>
      <c r="DZH37" s="118"/>
      <c r="DZI37" s="118"/>
      <c r="DZJ37" s="118"/>
      <c r="DZK37" s="118"/>
      <c r="DZL37" s="118"/>
      <c r="DZM37" s="118"/>
      <c r="DZN37" s="118"/>
      <c r="DZO37" s="118"/>
      <c r="DZP37" s="118"/>
      <c r="DZQ37" s="118"/>
      <c r="DZR37" s="118"/>
      <c r="DZS37" s="118"/>
      <c r="DZT37" s="118"/>
      <c r="DZU37" s="118"/>
      <c r="DZV37" s="118"/>
      <c r="DZW37" s="118"/>
      <c r="DZX37" s="118"/>
      <c r="DZY37" s="118"/>
      <c r="DZZ37" s="118"/>
      <c r="EAA37" s="118"/>
      <c r="EAB37" s="118"/>
      <c r="EAC37" s="118"/>
      <c r="EAD37" s="118"/>
      <c r="EAE37" s="118"/>
      <c r="EAF37" s="118"/>
      <c r="EAG37" s="118"/>
      <c r="EAH37" s="118"/>
      <c r="EAI37" s="118"/>
      <c r="EAJ37" s="118"/>
      <c r="EAK37" s="118"/>
      <c r="EAL37" s="118"/>
      <c r="EAM37" s="118"/>
      <c r="EAN37" s="118"/>
      <c r="EAO37" s="118"/>
      <c r="EAP37" s="118"/>
      <c r="EAQ37" s="118"/>
      <c r="EAR37" s="118"/>
      <c r="EAS37" s="118"/>
      <c r="EAT37" s="118"/>
      <c r="EAU37" s="118"/>
      <c r="EAV37" s="118"/>
      <c r="EAW37" s="118"/>
      <c r="EAX37" s="118"/>
      <c r="EAY37" s="118"/>
      <c r="EAZ37" s="118"/>
      <c r="EBA37" s="118"/>
      <c r="EBB37" s="118"/>
      <c r="EBC37" s="118"/>
      <c r="EBD37" s="118"/>
      <c r="EBE37" s="118"/>
      <c r="EBF37" s="118"/>
      <c r="EBG37" s="118"/>
      <c r="EBH37" s="118"/>
      <c r="EBI37" s="118"/>
      <c r="EBJ37" s="118"/>
      <c r="EBK37" s="118"/>
      <c r="EBL37" s="118"/>
      <c r="EBM37" s="118"/>
      <c r="EBN37" s="118"/>
      <c r="EBO37" s="118"/>
      <c r="EBP37" s="118"/>
      <c r="EBQ37" s="118"/>
      <c r="EBR37" s="118"/>
      <c r="EBS37" s="118"/>
      <c r="EBT37" s="118"/>
      <c r="EBU37" s="118"/>
      <c r="EBV37" s="118"/>
      <c r="EBW37" s="118"/>
      <c r="EBX37" s="118"/>
      <c r="EBY37" s="118"/>
      <c r="EBZ37" s="118"/>
      <c r="ECA37" s="118"/>
      <c r="ECB37" s="118"/>
      <c r="ECC37" s="118"/>
      <c r="ECD37" s="118"/>
      <c r="ECE37" s="118"/>
      <c r="ECF37" s="118"/>
      <c r="ECG37" s="118"/>
      <c r="ECH37" s="118"/>
      <c r="ECI37" s="118"/>
      <c r="ECJ37" s="118"/>
      <c r="ECK37" s="118"/>
      <c r="ECL37" s="118"/>
      <c r="ECM37" s="118"/>
      <c r="ECN37" s="118"/>
      <c r="ECO37" s="118"/>
      <c r="ECP37" s="118"/>
      <c r="ECQ37" s="118"/>
      <c r="ECR37" s="118"/>
      <c r="ECS37" s="118"/>
      <c r="ECT37" s="118"/>
      <c r="ECU37" s="118"/>
      <c r="ECV37" s="118"/>
      <c r="ECW37" s="118"/>
      <c r="ECX37" s="118"/>
      <c r="ECY37" s="118"/>
      <c r="ECZ37" s="118"/>
      <c r="EDA37" s="118"/>
      <c r="EDB37" s="118"/>
      <c r="EDC37" s="118"/>
      <c r="EDD37" s="118"/>
      <c r="EDE37" s="118"/>
      <c r="EDF37" s="118"/>
      <c r="EDG37" s="118"/>
      <c r="EDH37" s="118"/>
      <c r="EDI37" s="118"/>
      <c r="EDJ37" s="118"/>
      <c r="EDK37" s="118"/>
      <c r="EDL37" s="118"/>
      <c r="EDM37" s="118"/>
      <c r="EDN37" s="118"/>
      <c r="EDO37" s="118"/>
      <c r="EDP37" s="118"/>
      <c r="EDQ37" s="118"/>
      <c r="EDR37" s="118"/>
      <c r="EDS37" s="118"/>
      <c r="EDT37" s="118"/>
      <c r="EDU37" s="118"/>
      <c r="EDV37" s="118"/>
      <c r="EDW37" s="118"/>
      <c r="EDX37" s="118"/>
      <c r="EDY37" s="118"/>
      <c r="EDZ37" s="118"/>
      <c r="EEA37" s="118"/>
      <c r="EEB37" s="118"/>
      <c r="EEC37" s="118"/>
      <c r="EED37" s="118"/>
      <c r="EEE37" s="118"/>
      <c r="EEF37" s="118"/>
      <c r="EEG37" s="118"/>
      <c r="EEH37" s="118"/>
      <c r="EEI37" s="118"/>
      <c r="EEJ37" s="118"/>
      <c r="EEK37" s="118"/>
      <c r="EEL37" s="118"/>
      <c r="EEM37" s="118"/>
      <c r="EEN37" s="118"/>
      <c r="EEO37" s="118"/>
      <c r="EEP37" s="118"/>
      <c r="EEQ37" s="118"/>
      <c r="EER37" s="118"/>
      <c r="EES37" s="118"/>
      <c r="EET37" s="118"/>
      <c r="EEU37" s="118"/>
      <c r="EEV37" s="118"/>
      <c r="EEW37" s="118"/>
      <c r="EEX37" s="118"/>
      <c r="EEY37" s="118"/>
      <c r="EEZ37" s="118"/>
      <c r="EFA37" s="118"/>
      <c r="EFB37" s="118"/>
      <c r="EFC37" s="118"/>
      <c r="EFD37" s="118"/>
      <c r="EFE37" s="118"/>
      <c r="EFF37" s="118"/>
      <c r="EFG37" s="118"/>
      <c r="EFH37" s="118"/>
      <c r="EFI37" s="118"/>
      <c r="EFJ37" s="118"/>
      <c r="EFK37" s="118"/>
      <c r="EFL37" s="118"/>
      <c r="EFM37" s="118"/>
      <c r="EFN37" s="118"/>
      <c r="EFO37" s="118"/>
      <c r="EFP37" s="118"/>
      <c r="EFQ37" s="118"/>
      <c r="EFR37" s="118"/>
      <c r="EFS37" s="118"/>
      <c r="EFT37" s="118"/>
      <c r="EFU37" s="118"/>
      <c r="EFV37" s="118"/>
      <c r="EFW37" s="118"/>
      <c r="EFX37" s="118"/>
      <c r="EFY37" s="118"/>
      <c r="EFZ37" s="118"/>
      <c r="EGA37" s="118"/>
      <c r="EGB37" s="118"/>
      <c r="EGC37" s="118"/>
      <c r="EGD37" s="118"/>
      <c r="EGE37" s="118"/>
      <c r="EGF37" s="118"/>
      <c r="EGG37" s="118"/>
      <c r="EGH37" s="118"/>
      <c r="EGI37" s="118"/>
      <c r="EGJ37" s="118"/>
      <c r="EGK37" s="118"/>
      <c r="EGL37" s="118"/>
      <c r="EGM37" s="118"/>
      <c r="EGN37" s="118"/>
      <c r="EGO37" s="118"/>
      <c r="EGP37" s="118"/>
      <c r="EGQ37" s="118"/>
      <c r="EGR37" s="118"/>
      <c r="EGS37" s="118"/>
      <c r="EGT37" s="118"/>
      <c r="EGU37" s="118"/>
      <c r="EGV37" s="118"/>
      <c r="EGW37" s="118"/>
      <c r="EGX37" s="118"/>
      <c r="EGY37" s="118"/>
      <c r="EGZ37" s="118"/>
      <c r="EHA37" s="118"/>
      <c r="EHB37" s="118"/>
      <c r="EHC37" s="118"/>
      <c r="EHD37" s="118"/>
      <c r="EHE37" s="118"/>
      <c r="EHF37" s="118"/>
      <c r="EHG37" s="118"/>
      <c r="EHH37" s="118"/>
      <c r="EHI37" s="118"/>
      <c r="EHJ37" s="118"/>
      <c r="EHK37" s="118"/>
      <c r="EHL37" s="118"/>
      <c r="EHM37" s="118"/>
      <c r="EHN37" s="118"/>
      <c r="EHO37" s="118"/>
      <c r="EHP37" s="118"/>
      <c r="EHQ37" s="118"/>
      <c r="EHR37" s="118"/>
      <c r="EHS37" s="118"/>
      <c r="EHT37" s="118"/>
      <c r="EHU37" s="118"/>
      <c r="EHV37" s="118"/>
      <c r="EHW37" s="118"/>
      <c r="EHX37" s="118"/>
      <c r="EHY37" s="118"/>
      <c r="EHZ37" s="118"/>
      <c r="EIA37" s="118"/>
      <c r="EIB37" s="118"/>
      <c r="EIC37" s="118"/>
      <c r="EID37" s="118"/>
      <c r="EIE37" s="118"/>
      <c r="EIF37" s="118"/>
      <c r="EIG37" s="118"/>
      <c r="EIH37" s="118"/>
      <c r="EII37" s="118"/>
      <c r="EIJ37" s="118"/>
      <c r="EIK37" s="118"/>
      <c r="EIL37" s="118"/>
      <c r="EIM37" s="118"/>
      <c r="EIN37" s="118"/>
      <c r="EIO37" s="118"/>
      <c r="EIP37" s="118"/>
      <c r="EIQ37" s="118"/>
      <c r="EIR37" s="118"/>
      <c r="EIS37" s="118"/>
      <c r="EIT37" s="118"/>
      <c r="EIU37" s="118"/>
      <c r="EIV37" s="118"/>
      <c r="EIW37" s="118"/>
      <c r="EIX37" s="118"/>
      <c r="EIY37" s="118"/>
      <c r="EIZ37" s="118"/>
      <c r="EJA37" s="118"/>
      <c r="EJB37" s="118"/>
      <c r="EJC37" s="118"/>
      <c r="EJD37" s="118"/>
      <c r="EJE37" s="118"/>
      <c r="EJF37" s="118"/>
      <c r="EJG37" s="118"/>
      <c r="EJH37" s="118"/>
      <c r="EJI37" s="118"/>
      <c r="EJJ37" s="118"/>
      <c r="EJK37" s="118"/>
      <c r="EJL37" s="118"/>
      <c r="EJM37" s="118"/>
      <c r="EJN37" s="118"/>
      <c r="EJO37" s="118"/>
      <c r="EJP37" s="118"/>
      <c r="EJQ37" s="118"/>
      <c r="EJR37" s="118"/>
      <c r="EJS37" s="118"/>
      <c r="EJT37" s="118"/>
      <c r="EJU37" s="118"/>
      <c r="EJV37" s="118"/>
      <c r="EJW37" s="118"/>
      <c r="EJX37" s="118"/>
      <c r="EJY37" s="118"/>
      <c r="EJZ37" s="118"/>
      <c r="EKA37" s="118"/>
      <c r="EKB37" s="118"/>
      <c r="EKC37" s="118"/>
      <c r="EKD37" s="118"/>
      <c r="EKE37" s="118"/>
      <c r="EKF37" s="118"/>
      <c r="EKG37" s="118"/>
      <c r="EKH37" s="118"/>
      <c r="EKI37" s="118"/>
      <c r="EKJ37" s="118"/>
      <c r="EKK37" s="118"/>
      <c r="EKL37" s="118"/>
      <c r="EKM37" s="118"/>
      <c r="EKN37" s="118"/>
      <c r="EKO37" s="118"/>
      <c r="EKP37" s="118"/>
      <c r="EKQ37" s="118"/>
      <c r="EKR37" s="118"/>
      <c r="EKS37" s="118"/>
      <c r="EKT37" s="118"/>
      <c r="EKU37" s="118"/>
      <c r="EKV37" s="118"/>
      <c r="EKW37" s="118"/>
      <c r="EKX37" s="118"/>
      <c r="EKY37" s="118"/>
      <c r="EKZ37" s="118"/>
      <c r="ELA37" s="118"/>
      <c r="ELB37" s="118"/>
      <c r="ELC37" s="118"/>
      <c r="ELD37" s="118"/>
      <c r="ELE37" s="118"/>
      <c r="ELF37" s="118"/>
      <c r="ELG37" s="118"/>
      <c r="ELH37" s="118"/>
      <c r="ELI37" s="118"/>
      <c r="ELJ37" s="118"/>
      <c r="ELK37" s="118"/>
      <c r="ELL37" s="118"/>
      <c r="ELM37" s="118"/>
      <c r="ELN37" s="118"/>
      <c r="ELO37" s="118"/>
      <c r="ELP37" s="118"/>
      <c r="ELQ37" s="118"/>
      <c r="ELR37" s="118"/>
      <c r="ELS37" s="118"/>
      <c r="ELT37" s="118"/>
      <c r="ELU37" s="118"/>
      <c r="ELV37" s="118"/>
      <c r="ELW37" s="118"/>
      <c r="ELX37" s="118"/>
      <c r="ELY37" s="118"/>
      <c r="ELZ37" s="118"/>
      <c r="EMA37" s="118"/>
      <c r="EMB37" s="118"/>
      <c r="EMC37" s="118"/>
      <c r="EMD37" s="118"/>
      <c r="EME37" s="118"/>
      <c r="EMF37" s="118"/>
      <c r="EMG37" s="118"/>
      <c r="EMH37" s="118"/>
      <c r="EMI37" s="118"/>
      <c r="EMJ37" s="118"/>
      <c r="EMK37" s="118"/>
      <c r="EML37" s="118"/>
      <c r="EMM37" s="118"/>
      <c r="EMN37" s="118"/>
      <c r="EMO37" s="118"/>
      <c r="EMP37" s="118"/>
      <c r="EMQ37" s="118"/>
      <c r="EMR37" s="118"/>
      <c r="EMS37" s="118"/>
      <c r="EMT37" s="118"/>
      <c r="EMU37" s="118"/>
      <c r="EMV37" s="118"/>
      <c r="EMW37" s="118"/>
      <c r="EMX37" s="118"/>
      <c r="EMY37" s="118"/>
      <c r="EMZ37" s="118"/>
      <c r="ENA37" s="118"/>
      <c r="ENB37" s="118"/>
      <c r="ENC37" s="118"/>
      <c r="END37" s="118"/>
      <c r="ENE37" s="118"/>
      <c r="ENF37" s="118"/>
      <c r="ENG37" s="118"/>
      <c r="ENH37" s="118"/>
      <c r="ENI37" s="118"/>
      <c r="ENJ37" s="118"/>
      <c r="ENK37" s="118"/>
      <c r="ENL37" s="118"/>
      <c r="ENM37" s="118"/>
      <c r="ENN37" s="118"/>
      <c r="ENO37" s="118"/>
      <c r="ENP37" s="118"/>
      <c r="ENQ37" s="118"/>
      <c r="ENR37" s="118"/>
      <c r="ENS37" s="118"/>
      <c r="ENT37" s="118"/>
      <c r="ENU37" s="118"/>
      <c r="ENV37" s="118"/>
      <c r="ENW37" s="118"/>
      <c r="ENX37" s="118"/>
      <c r="ENY37" s="118"/>
      <c r="ENZ37" s="118"/>
      <c r="EOA37" s="118"/>
      <c r="EOB37" s="118"/>
      <c r="EOC37" s="118"/>
      <c r="EOD37" s="118"/>
      <c r="EOE37" s="118"/>
      <c r="EOF37" s="118"/>
      <c r="EOG37" s="118"/>
      <c r="EOH37" s="118"/>
      <c r="EOI37" s="118"/>
      <c r="EOJ37" s="118"/>
      <c r="EOK37" s="118"/>
      <c r="EOL37" s="118"/>
      <c r="EOM37" s="118"/>
      <c r="EON37" s="118"/>
      <c r="EOO37" s="118"/>
      <c r="EOP37" s="118"/>
      <c r="EOQ37" s="118"/>
      <c r="EOR37" s="118"/>
      <c r="EOS37" s="118"/>
      <c r="EOT37" s="118"/>
      <c r="EOU37" s="118"/>
      <c r="EOV37" s="118"/>
      <c r="EOW37" s="118"/>
      <c r="EOX37" s="118"/>
      <c r="EOY37" s="118"/>
      <c r="EOZ37" s="118"/>
      <c r="EPA37" s="118"/>
      <c r="EPB37" s="118"/>
      <c r="EPC37" s="118"/>
      <c r="EPD37" s="118"/>
      <c r="EPE37" s="118"/>
      <c r="EPF37" s="118"/>
      <c r="EPG37" s="118"/>
      <c r="EPH37" s="118"/>
      <c r="EPI37" s="118"/>
      <c r="EPJ37" s="118"/>
      <c r="EPK37" s="118"/>
      <c r="EPL37" s="118"/>
      <c r="EPM37" s="118"/>
      <c r="EPN37" s="118"/>
      <c r="EPO37" s="118"/>
      <c r="EPP37" s="118"/>
      <c r="EPQ37" s="118"/>
      <c r="EPR37" s="118"/>
      <c r="EPS37" s="118"/>
      <c r="EPT37" s="118"/>
      <c r="EPU37" s="118"/>
      <c r="EPV37" s="118"/>
      <c r="EPW37" s="118"/>
      <c r="EPX37" s="118"/>
      <c r="EPY37" s="118"/>
      <c r="EPZ37" s="118"/>
      <c r="EQA37" s="118"/>
      <c r="EQB37" s="118"/>
      <c r="EQC37" s="118"/>
      <c r="EQD37" s="118"/>
      <c r="EQE37" s="118"/>
      <c r="EQF37" s="118"/>
      <c r="EQG37" s="118"/>
      <c r="EQH37" s="118"/>
      <c r="EQI37" s="118"/>
      <c r="EQJ37" s="118"/>
      <c r="EQK37" s="118"/>
      <c r="EQL37" s="118"/>
      <c r="EQM37" s="118"/>
      <c r="EQN37" s="118"/>
      <c r="EQO37" s="118"/>
      <c r="EQP37" s="118"/>
      <c r="EQQ37" s="118"/>
      <c r="EQR37" s="118"/>
      <c r="EQS37" s="118"/>
      <c r="EQT37" s="118"/>
      <c r="EQU37" s="118"/>
      <c r="EQV37" s="118"/>
      <c r="EQW37" s="118"/>
      <c r="EQX37" s="118"/>
      <c r="EQY37" s="118"/>
      <c r="EQZ37" s="118"/>
      <c r="ERA37" s="118"/>
      <c r="ERB37" s="118"/>
      <c r="ERC37" s="118"/>
      <c r="ERD37" s="118"/>
      <c r="ERE37" s="118"/>
      <c r="ERF37" s="118"/>
      <c r="ERG37" s="118"/>
      <c r="ERH37" s="118"/>
      <c r="ERI37" s="118"/>
      <c r="ERJ37" s="118"/>
      <c r="ERK37" s="118"/>
      <c r="ERL37" s="118"/>
      <c r="ERM37" s="118"/>
      <c r="ERN37" s="118"/>
      <c r="ERO37" s="118"/>
      <c r="ERP37" s="118"/>
      <c r="ERQ37" s="118"/>
      <c r="ERR37" s="118"/>
      <c r="ERS37" s="118"/>
      <c r="ERT37" s="118"/>
      <c r="ERU37" s="118"/>
      <c r="ERV37" s="118"/>
      <c r="ERW37" s="118"/>
      <c r="ERX37" s="118"/>
      <c r="ERY37" s="118"/>
      <c r="ERZ37" s="118"/>
      <c r="ESA37" s="118"/>
      <c r="ESB37" s="118"/>
      <c r="ESC37" s="118"/>
      <c r="ESD37" s="118"/>
      <c r="ESE37" s="118"/>
      <c r="ESF37" s="118"/>
      <c r="ESG37" s="118"/>
      <c r="ESH37" s="118"/>
      <c r="ESI37" s="118"/>
      <c r="ESJ37" s="118"/>
      <c r="ESK37" s="118"/>
      <c r="ESL37" s="118"/>
      <c r="ESM37" s="118"/>
      <c r="ESN37" s="118"/>
      <c r="ESO37" s="118"/>
      <c r="ESP37" s="118"/>
      <c r="ESQ37" s="118"/>
      <c r="ESR37" s="118"/>
      <c r="ESS37" s="118"/>
      <c r="EST37" s="118"/>
      <c r="ESU37" s="118"/>
      <c r="ESV37" s="118"/>
      <c r="ESW37" s="118"/>
      <c r="ESX37" s="118"/>
      <c r="ESY37" s="118"/>
      <c r="ESZ37" s="118"/>
      <c r="ETA37" s="118"/>
      <c r="ETB37" s="118"/>
      <c r="ETC37" s="118"/>
      <c r="ETD37" s="118"/>
      <c r="ETE37" s="118"/>
      <c r="ETF37" s="118"/>
      <c r="ETG37" s="118"/>
      <c r="ETH37" s="118"/>
      <c r="ETI37" s="118"/>
      <c r="ETJ37" s="118"/>
      <c r="ETK37" s="118"/>
      <c r="ETL37" s="118"/>
      <c r="ETM37" s="118"/>
      <c r="ETN37" s="118"/>
      <c r="ETO37" s="118"/>
      <c r="ETP37" s="118"/>
      <c r="ETQ37" s="118"/>
      <c r="ETR37" s="118"/>
      <c r="ETS37" s="118"/>
      <c r="ETT37" s="118"/>
      <c r="ETU37" s="118"/>
      <c r="ETV37" s="118"/>
      <c r="ETW37" s="118"/>
      <c r="ETX37" s="118"/>
      <c r="ETY37" s="118"/>
      <c r="ETZ37" s="118"/>
      <c r="EUA37" s="118"/>
      <c r="EUB37" s="118"/>
      <c r="EUC37" s="118"/>
      <c r="EUD37" s="118"/>
      <c r="EUE37" s="118"/>
      <c r="EUF37" s="118"/>
      <c r="EUG37" s="118"/>
      <c r="EUH37" s="118"/>
      <c r="EUI37" s="118"/>
      <c r="EUJ37" s="118"/>
      <c r="EUK37" s="118"/>
      <c r="EUL37" s="118"/>
      <c r="EUM37" s="118"/>
      <c r="EUN37" s="118"/>
      <c r="EUO37" s="118"/>
      <c r="EUP37" s="118"/>
      <c r="EUQ37" s="118"/>
      <c r="EUR37" s="118"/>
      <c r="EUS37" s="118"/>
      <c r="EUT37" s="118"/>
      <c r="EUU37" s="118"/>
      <c r="EUV37" s="118"/>
      <c r="EUW37" s="118"/>
      <c r="EUX37" s="118"/>
      <c r="EUY37" s="118"/>
      <c r="EUZ37" s="118"/>
      <c r="EVA37" s="118"/>
      <c r="EVB37" s="118"/>
      <c r="EVC37" s="118"/>
      <c r="EVD37" s="118"/>
      <c r="EVE37" s="118"/>
      <c r="EVF37" s="118"/>
      <c r="EVG37" s="118"/>
      <c r="EVH37" s="118"/>
      <c r="EVI37" s="118"/>
      <c r="EVJ37" s="118"/>
      <c r="EVK37" s="118"/>
      <c r="EVL37" s="118"/>
      <c r="EVM37" s="118"/>
      <c r="EVN37" s="118"/>
      <c r="EVO37" s="118"/>
      <c r="EVP37" s="118"/>
      <c r="EVQ37" s="118"/>
      <c r="EVR37" s="118"/>
      <c r="EVS37" s="118"/>
      <c r="EVT37" s="118"/>
      <c r="EVU37" s="118"/>
      <c r="EVV37" s="118"/>
      <c r="EVW37" s="118"/>
      <c r="EVX37" s="118"/>
      <c r="EVY37" s="118"/>
      <c r="EVZ37" s="118"/>
      <c r="EWA37" s="118"/>
      <c r="EWB37" s="118"/>
      <c r="EWC37" s="118"/>
      <c r="EWD37" s="118"/>
      <c r="EWE37" s="118"/>
      <c r="EWF37" s="118"/>
      <c r="EWG37" s="118"/>
      <c r="EWH37" s="118"/>
      <c r="EWI37" s="118"/>
      <c r="EWJ37" s="118"/>
      <c r="EWK37" s="118"/>
      <c r="EWL37" s="118"/>
      <c r="EWM37" s="118"/>
      <c r="EWN37" s="118"/>
      <c r="EWO37" s="118"/>
      <c r="EWP37" s="118"/>
      <c r="EWQ37" s="118"/>
      <c r="EWR37" s="118"/>
      <c r="EWS37" s="118"/>
      <c r="EWT37" s="118"/>
      <c r="EWU37" s="118"/>
      <c r="EWV37" s="118"/>
      <c r="EWW37" s="118"/>
      <c r="EWX37" s="118"/>
      <c r="EWY37" s="118"/>
      <c r="EWZ37" s="118"/>
      <c r="EXA37" s="118"/>
      <c r="EXB37" s="118"/>
      <c r="EXC37" s="118"/>
      <c r="EXD37" s="118"/>
      <c r="EXE37" s="118"/>
      <c r="EXF37" s="118"/>
      <c r="EXG37" s="118"/>
      <c r="EXH37" s="118"/>
      <c r="EXI37" s="118"/>
      <c r="EXJ37" s="118"/>
      <c r="EXK37" s="118"/>
      <c r="EXL37" s="118"/>
      <c r="EXM37" s="118"/>
      <c r="EXN37" s="118"/>
      <c r="EXO37" s="118"/>
      <c r="EXP37" s="118"/>
      <c r="EXQ37" s="118"/>
      <c r="EXR37" s="118"/>
      <c r="EXS37" s="118"/>
      <c r="EXT37" s="118"/>
      <c r="EXU37" s="118"/>
      <c r="EXV37" s="118"/>
      <c r="EXW37" s="118"/>
      <c r="EXX37" s="118"/>
      <c r="EXY37" s="118"/>
      <c r="EXZ37" s="118"/>
      <c r="EYA37" s="118"/>
      <c r="EYB37" s="118"/>
      <c r="EYC37" s="118"/>
      <c r="EYD37" s="118"/>
      <c r="EYE37" s="118"/>
      <c r="EYF37" s="118"/>
      <c r="EYG37" s="118"/>
      <c r="EYH37" s="118"/>
      <c r="EYI37" s="118"/>
      <c r="EYJ37" s="118"/>
      <c r="EYK37" s="118"/>
      <c r="EYL37" s="118"/>
      <c r="EYM37" s="118"/>
      <c r="EYN37" s="118"/>
      <c r="EYO37" s="118"/>
      <c r="EYP37" s="118"/>
      <c r="EYQ37" s="118"/>
      <c r="EYR37" s="118"/>
      <c r="EYS37" s="118"/>
      <c r="EYT37" s="118"/>
      <c r="EYU37" s="118"/>
      <c r="EYV37" s="118"/>
      <c r="EYW37" s="118"/>
      <c r="EYX37" s="118"/>
      <c r="EYY37" s="118"/>
      <c r="EYZ37" s="118"/>
      <c r="EZA37" s="118"/>
      <c r="EZB37" s="118"/>
      <c r="EZC37" s="118"/>
      <c r="EZD37" s="118"/>
      <c r="EZE37" s="118"/>
      <c r="EZF37" s="118"/>
      <c r="EZG37" s="118"/>
      <c r="EZH37" s="118"/>
      <c r="EZI37" s="118"/>
      <c r="EZJ37" s="118"/>
      <c r="EZK37" s="118"/>
      <c r="EZL37" s="118"/>
      <c r="EZM37" s="118"/>
      <c r="EZN37" s="118"/>
      <c r="EZO37" s="118"/>
      <c r="EZP37" s="118"/>
      <c r="EZQ37" s="118"/>
      <c r="EZR37" s="118"/>
      <c r="EZS37" s="118"/>
      <c r="EZT37" s="118"/>
      <c r="EZU37" s="118"/>
      <c r="EZV37" s="118"/>
      <c r="EZW37" s="118"/>
      <c r="EZX37" s="118"/>
      <c r="EZY37" s="118"/>
      <c r="EZZ37" s="118"/>
      <c r="FAA37" s="118"/>
      <c r="FAB37" s="118"/>
      <c r="FAC37" s="118"/>
      <c r="FAD37" s="118"/>
      <c r="FAE37" s="118"/>
      <c r="FAF37" s="118"/>
      <c r="FAG37" s="118"/>
      <c r="FAH37" s="118"/>
      <c r="FAI37" s="118"/>
      <c r="FAJ37" s="118"/>
      <c r="FAK37" s="118"/>
      <c r="FAL37" s="118"/>
      <c r="FAM37" s="118"/>
      <c r="FAN37" s="118"/>
      <c r="FAO37" s="118"/>
      <c r="FAP37" s="118"/>
      <c r="FAQ37" s="118"/>
      <c r="FAR37" s="118"/>
      <c r="FAS37" s="118"/>
      <c r="FAT37" s="118"/>
      <c r="FAU37" s="118"/>
      <c r="FAV37" s="118"/>
      <c r="FAW37" s="118"/>
      <c r="FAX37" s="118"/>
      <c r="FAY37" s="118"/>
      <c r="FAZ37" s="118"/>
      <c r="FBA37" s="118"/>
      <c r="FBB37" s="118"/>
      <c r="FBC37" s="118"/>
      <c r="FBD37" s="118"/>
      <c r="FBE37" s="118"/>
      <c r="FBF37" s="118"/>
      <c r="FBG37" s="118"/>
      <c r="FBH37" s="118"/>
      <c r="FBI37" s="118"/>
      <c r="FBJ37" s="118"/>
      <c r="FBK37" s="118"/>
      <c r="FBL37" s="118"/>
      <c r="FBM37" s="118"/>
      <c r="FBN37" s="118"/>
      <c r="FBO37" s="118"/>
      <c r="FBP37" s="118"/>
      <c r="FBQ37" s="118"/>
      <c r="FBR37" s="118"/>
      <c r="FBS37" s="118"/>
      <c r="FBT37" s="118"/>
      <c r="FBU37" s="118"/>
      <c r="FBV37" s="118"/>
      <c r="FBW37" s="118"/>
      <c r="FBX37" s="118"/>
      <c r="FBY37" s="118"/>
      <c r="FBZ37" s="118"/>
      <c r="FCA37" s="118"/>
      <c r="FCB37" s="118"/>
      <c r="FCC37" s="118"/>
      <c r="FCD37" s="118"/>
      <c r="FCE37" s="118"/>
      <c r="FCF37" s="118"/>
      <c r="FCG37" s="118"/>
      <c r="FCH37" s="118"/>
      <c r="FCI37" s="118"/>
      <c r="FCJ37" s="118"/>
      <c r="FCK37" s="118"/>
      <c r="FCL37" s="118"/>
      <c r="FCM37" s="118"/>
      <c r="FCN37" s="118"/>
      <c r="FCO37" s="118"/>
      <c r="FCP37" s="118"/>
      <c r="FCQ37" s="118"/>
      <c r="FCR37" s="118"/>
      <c r="FCS37" s="118"/>
      <c r="FCT37" s="118"/>
      <c r="FCU37" s="118"/>
      <c r="FCV37" s="118"/>
      <c r="FCW37" s="118"/>
      <c r="FCX37" s="118"/>
      <c r="FCY37" s="118"/>
      <c r="FCZ37" s="118"/>
      <c r="FDA37" s="118"/>
      <c r="FDB37" s="118"/>
      <c r="FDC37" s="118"/>
      <c r="FDD37" s="118"/>
      <c r="FDE37" s="118"/>
      <c r="FDF37" s="118"/>
      <c r="FDG37" s="118"/>
      <c r="FDH37" s="118"/>
      <c r="FDI37" s="118"/>
      <c r="FDJ37" s="118"/>
      <c r="FDK37" s="118"/>
      <c r="FDL37" s="118"/>
      <c r="FDM37" s="118"/>
      <c r="FDN37" s="118"/>
      <c r="FDO37" s="118"/>
      <c r="FDP37" s="118"/>
      <c r="FDQ37" s="118"/>
      <c r="FDR37" s="118"/>
      <c r="FDS37" s="118"/>
      <c r="FDT37" s="118"/>
      <c r="FDU37" s="118"/>
      <c r="FDV37" s="118"/>
      <c r="FDW37" s="118"/>
      <c r="FDX37" s="118"/>
      <c r="FDY37" s="118"/>
      <c r="FDZ37" s="118"/>
      <c r="FEA37" s="118"/>
      <c r="FEB37" s="118"/>
      <c r="FEC37" s="118"/>
      <c r="FED37" s="118"/>
      <c r="FEE37" s="118"/>
      <c r="FEF37" s="118"/>
      <c r="FEG37" s="118"/>
      <c r="FEH37" s="118"/>
      <c r="FEI37" s="118"/>
      <c r="FEJ37" s="118"/>
      <c r="FEK37" s="118"/>
      <c r="FEL37" s="118"/>
      <c r="FEM37" s="118"/>
      <c r="FEN37" s="118"/>
      <c r="FEO37" s="118"/>
      <c r="FEP37" s="118"/>
      <c r="FEQ37" s="118"/>
      <c r="FER37" s="118"/>
      <c r="FES37" s="118"/>
      <c r="FET37" s="118"/>
      <c r="FEU37" s="118"/>
      <c r="FEV37" s="118"/>
      <c r="FEW37" s="118"/>
      <c r="FEX37" s="118"/>
      <c r="FEY37" s="118"/>
      <c r="FEZ37" s="118"/>
      <c r="FFA37" s="118"/>
      <c r="FFB37" s="118"/>
      <c r="FFC37" s="118"/>
      <c r="FFD37" s="118"/>
      <c r="FFE37" s="118"/>
      <c r="FFF37" s="118"/>
      <c r="FFG37" s="118"/>
      <c r="FFH37" s="118"/>
      <c r="FFI37" s="118"/>
      <c r="FFJ37" s="118"/>
      <c r="FFK37" s="118"/>
      <c r="FFL37" s="118"/>
      <c r="FFM37" s="118"/>
      <c r="FFN37" s="118"/>
      <c r="FFO37" s="118"/>
      <c r="FFP37" s="118"/>
      <c r="FFQ37" s="118"/>
      <c r="FFR37" s="118"/>
      <c r="FFS37" s="118"/>
      <c r="FFT37" s="118"/>
      <c r="FFU37" s="118"/>
      <c r="FFV37" s="118"/>
      <c r="FFW37" s="118"/>
      <c r="FFX37" s="118"/>
      <c r="FFY37" s="118"/>
      <c r="FFZ37" s="118"/>
      <c r="FGA37" s="118"/>
      <c r="FGB37" s="118"/>
      <c r="FGC37" s="118"/>
      <c r="FGD37" s="118"/>
      <c r="FGE37" s="118"/>
      <c r="FGF37" s="118"/>
      <c r="FGG37" s="118"/>
      <c r="FGH37" s="118"/>
      <c r="FGI37" s="118"/>
      <c r="FGJ37" s="118"/>
      <c r="FGK37" s="118"/>
      <c r="FGL37" s="118"/>
      <c r="FGM37" s="118"/>
      <c r="FGN37" s="118"/>
      <c r="FGO37" s="118"/>
      <c r="FGP37" s="118"/>
      <c r="FGQ37" s="118"/>
      <c r="FGR37" s="118"/>
      <c r="FGS37" s="118"/>
      <c r="FGT37" s="118"/>
      <c r="FGU37" s="118"/>
      <c r="FGV37" s="118"/>
      <c r="FGW37" s="118"/>
      <c r="FGX37" s="118"/>
      <c r="FGY37" s="118"/>
      <c r="FGZ37" s="118"/>
      <c r="FHA37" s="118"/>
      <c r="FHB37" s="118"/>
      <c r="FHC37" s="118"/>
      <c r="FHD37" s="118"/>
      <c r="FHE37" s="118"/>
      <c r="FHF37" s="118"/>
      <c r="FHG37" s="118"/>
      <c r="FHH37" s="118"/>
      <c r="FHI37" s="118"/>
      <c r="FHJ37" s="118"/>
      <c r="FHK37" s="118"/>
      <c r="FHL37" s="118"/>
      <c r="FHM37" s="118"/>
      <c r="FHN37" s="118"/>
      <c r="FHO37" s="118"/>
      <c r="FHP37" s="118"/>
      <c r="FHQ37" s="118"/>
      <c r="FHR37" s="118"/>
      <c r="FHS37" s="118"/>
      <c r="FHT37" s="118"/>
      <c r="FHU37" s="118"/>
      <c r="FHV37" s="118"/>
      <c r="FHW37" s="118"/>
      <c r="FHX37" s="118"/>
      <c r="FHY37" s="118"/>
      <c r="FHZ37" s="118"/>
      <c r="FIA37" s="118"/>
      <c r="FIB37" s="118"/>
      <c r="FIC37" s="118"/>
      <c r="FID37" s="118"/>
      <c r="FIE37" s="118"/>
      <c r="FIF37" s="118"/>
      <c r="FIG37" s="118"/>
      <c r="FIH37" s="118"/>
      <c r="FII37" s="118"/>
      <c r="FIJ37" s="118"/>
      <c r="FIK37" s="118"/>
      <c r="FIL37" s="118"/>
      <c r="FIM37" s="118"/>
      <c r="FIN37" s="118"/>
      <c r="FIO37" s="118"/>
      <c r="FIP37" s="118"/>
      <c r="FIQ37" s="118"/>
      <c r="FIR37" s="118"/>
      <c r="FIS37" s="118"/>
      <c r="FIT37" s="118"/>
      <c r="FIU37" s="118"/>
      <c r="FIV37" s="118"/>
      <c r="FIW37" s="118"/>
      <c r="FIX37" s="118"/>
      <c r="FIY37" s="118"/>
      <c r="FIZ37" s="118"/>
      <c r="FJA37" s="118"/>
      <c r="FJB37" s="118"/>
      <c r="FJC37" s="118"/>
      <c r="FJD37" s="118"/>
      <c r="FJE37" s="118"/>
      <c r="FJF37" s="118"/>
      <c r="FJG37" s="118"/>
      <c r="FJH37" s="118"/>
      <c r="FJI37" s="118"/>
      <c r="FJJ37" s="118"/>
      <c r="FJK37" s="118"/>
      <c r="FJL37" s="118"/>
      <c r="FJM37" s="118"/>
      <c r="FJN37" s="118"/>
      <c r="FJO37" s="118"/>
      <c r="FJP37" s="118"/>
      <c r="FJQ37" s="118"/>
      <c r="FJR37" s="118"/>
      <c r="FJS37" s="118"/>
      <c r="FJT37" s="118"/>
      <c r="FJU37" s="118"/>
      <c r="FJV37" s="118"/>
      <c r="FJW37" s="118"/>
      <c r="FJX37" s="118"/>
      <c r="FJY37" s="118"/>
      <c r="FJZ37" s="118"/>
      <c r="FKA37" s="118"/>
      <c r="FKB37" s="118"/>
      <c r="FKC37" s="118"/>
      <c r="FKD37" s="118"/>
      <c r="FKE37" s="118"/>
      <c r="FKF37" s="118"/>
      <c r="FKG37" s="118"/>
      <c r="FKH37" s="118"/>
      <c r="FKI37" s="118"/>
      <c r="FKJ37" s="118"/>
      <c r="FKK37" s="118"/>
      <c r="FKL37" s="118"/>
      <c r="FKM37" s="118"/>
      <c r="FKN37" s="118"/>
      <c r="FKO37" s="118"/>
      <c r="FKP37" s="118"/>
      <c r="FKQ37" s="118"/>
      <c r="FKR37" s="118"/>
      <c r="FKS37" s="118"/>
      <c r="FKT37" s="118"/>
      <c r="FKU37" s="118"/>
      <c r="FKV37" s="118"/>
      <c r="FKW37" s="118"/>
      <c r="FKX37" s="118"/>
      <c r="FKY37" s="118"/>
      <c r="FKZ37" s="118"/>
      <c r="FLA37" s="118"/>
      <c r="FLB37" s="118"/>
      <c r="FLC37" s="118"/>
      <c r="FLD37" s="118"/>
      <c r="FLE37" s="118"/>
      <c r="FLF37" s="118"/>
      <c r="FLG37" s="118"/>
      <c r="FLH37" s="118"/>
      <c r="FLI37" s="118"/>
      <c r="FLJ37" s="118"/>
      <c r="FLK37" s="118"/>
      <c r="FLL37" s="118"/>
      <c r="FLM37" s="118"/>
      <c r="FLN37" s="118"/>
      <c r="FLO37" s="118"/>
      <c r="FLP37" s="118"/>
      <c r="FLQ37" s="118"/>
      <c r="FLR37" s="118"/>
      <c r="FLS37" s="118"/>
      <c r="FLT37" s="118"/>
      <c r="FLU37" s="118"/>
      <c r="FLV37" s="118"/>
      <c r="FLW37" s="118"/>
      <c r="FLX37" s="118"/>
      <c r="FLY37" s="118"/>
      <c r="FLZ37" s="118"/>
      <c r="FMA37" s="118"/>
      <c r="FMB37" s="118"/>
      <c r="FMC37" s="118"/>
      <c r="FMD37" s="118"/>
      <c r="FME37" s="118"/>
      <c r="FMF37" s="118"/>
      <c r="FMG37" s="118"/>
      <c r="FMH37" s="118"/>
      <c r="FMI37" s="118"/>
      <c r="FMJ37" s="118"/>
      <c r="FMK37" s="118"/>
      <c r="FML37" s="118"/>
      <c r="FMM37" s="118"/>
      <c r="FMN37" s="118"/>
      <c r="FMO37" s="118"/>
      <c r="FMP37" s="118"/>
      <c r="FMQ37" s="118"/>
      <c r="FMR37" s="118"/>
      <c r="FMS37" s="118"/>
      <c r="FMT37" s="118"/>
      <c r="FMU37" s="118"/>
      <c r="FMV37" s="118"/>
      <c r="FMW37" s="118"/>
      <c r="FMX37" s="118"/>
      <c r="FMY37" s="118"/>
      <c r="FMZ37" s="118"/>
      <c r="FNA37" s="118"/>
      <c r="FNB37" s="118"/>
      <c r="FNC37" s="118"/>
      <c r="FND37" s="118"/>
      <c r="FNE37" s="118"/>
      <c r="FNF37" s="118"/>
      <c r="FNG37" s="118"/>
      <c r="FNH37" s="118"/>
      <c r="FNI37" s="118"/>
      <c r="FNJ37" s="118"/>
      <c r="FNK37" s="118"/>
      <c r="FNL37" s="118"/>
      <c r="FNM37" s="118"/>
      <c r="FNN37" s="118"/>
      <c r="FNO37" s="118"/>
      <c r="FNP37" s="118"/>
      <c r="FNQ37" s="118"/>
      <c r="FNR37" s="118"/>
      <c r="FNS37" s="118"/>
      <c r="FNT37" s="118"/>
      <c r="FNU37" s="118"/>
      <c r="FNV37" s="118"/>
      <c r="FNW37" s="118"/>
      <c r="FNX37" s="118"/>
      <c r="FNY37" s="118"/>
      <c r="FNZ37" s="118"/>
      <c r="FOA37" s="118"/>
      <c r="FOB37" s="118"/>
      <c r="FOC37" s="118"/>
      <c r="FOD37" s="118"/>
      <c r="FOE37" s="118"/>
      <c r="FOF37" s="118"/>
      <c r="FOG37" s="118"/>
      <c r="FOH37" s="118"/>
      <c r="FOI37" s="118"/>
      <c r="FOJ37" s="118"/>
      <c r="FOK37" s="118"/>
      <c r="FOL37" s="118"/>
      <c r="FOM37" s="118"/>
      <c r="FON37" s="118"/>
      <c r="FOO37" s="118"/>
      <c r="FOP37" s="118"/>
      <c r="FOQ37" s="118"/>
      <c r="FOR37" s="118"/>
      <c r="FOS37" s="118"/>
      <c r="FOT37" s="118"/>
      <c r="FOU37" s="118"/>
      <c r="FOV37" s="118"/>
      <c r="FOW37" s="118"/>
      <c r="FOX37" s="118"/>
      <c r="FOY37" s="118"/>
      <c r="FOZ37" s="118"/>
      <c r="FPA37" s="118"/>
      <c r="FPB37" s="118"/>
      <c r="FPC37" s="118"/>
      <c r="FPD37" s="118"/>
      <c r="FPE37" s="118"/>
      <c r="FPF37" s="118"/>
      <c r="FPG37" s="118"/>
      <c r="FPH37" s="118"/>
      <c r="FPI37" s="118"/>
      <c r="FPJ37" s="118"/>
      <c r="FPK37" s="118"/>
      <c r="FPL37" s="118"/>
      <c r="FPM37" s="118"/>
      <c r="FPN37" s="118"/>
      <c r="FPO37" s="118"/>
      <c r="FPP37" s="118"/>
      <c r="FPQ37" s="118"/>
      <c r="FPR37" s="118"/>
      <c r="FPS37" s="118"/>
      <c r="FPT37" s="118"/>
      <c r="FPU37" s="118"/>
      <c r="FPV37" s="118"/>
      <c r="FPW37" s="118"/>
      <c r="FPX37" s="118"/>
      <c r="FPY37" s="118"/>
      <c r="FPZ37" s="118"/>
      <c r="FQA37" s="118"/>
      <c r="FQB37" s="118"/>
      <c r="FQC37" s="118"/>
      <c r="FQD37" s="118"/>
      <c r="FQE37" s="118"/>
      <c r="FQF37" s="118"/>
      <c r="FQG37" s="118"/>
      <c r="FQH37" s="118"/>
      <c r="FQI37" s="118"/>
      <c r="FQJ37" s="118"/>
      <c r="FQK37" s="118"/>
      <c r="FQL37" s="118"/>
      <c r="FQM37" s="118"/>
      <c r="FQN37" s="118"/>
      <c r="FQO37" s="118"/>
      <c r="FQP37" s="118"/>
      <c r="FQQ37" s="118"/>
      <c r="FQR37" s="118"/>
      <c r="FQS37" s="118"/>
      <c r="FQT37" s="118"/>
      <c r="FQU37" s="118"/>
      <c r="FQV37" s="118"/>
      <c r="FQW37" s="118"/>
      <c r="FQX37" s="118"/>
      <c r="FQY37" s="118"/>
      <c r="FQZ37" s="118"/>
      <c r="FRA37" s="118"/>
      <c r="FRB37" s="118"/>
      <c r="FRC37" s="118"/>
      <c r="FRD37" s="118"/>
      <c r="FRE37" s="118"/>
      <c r="FRF37" s="118"/>
      <c r="FRG37" s="118"/>
      <c r="FRH37" s="118"/>
      <c r="FRI37" s="118"/>
      <c r="FRJ37" s="118"/>
      <c r="FRK37" s="118"/>
      <c r="FRL37" s="118"/>
      <c r="FRM37" s="118"/>
      <c r="FRN37" s="118"/>
      <c r="FRO37" s="118"/>
      <c r="FRP37" s="118"/>
      <c r="FRQ37" s="118"/>
      <c r="FRR37" s="118"/>
      <c r="FRS37" s="118"/>
      <c r="FRT37" s="118"/>
      <c r="FRU37" s="118"/>
      <c r="FRV37" s="118"/>
      <c r="FRW37" s="118"/>
      <c r="FRX37" s="118"/>
      <c r="FRY37" s="118"/>
      <c r="FRZ37" s="118"/>
      <c r="FSA37" s="118"/>
      <c r="FSB37" s="118"/>
      <c r="FSC37" s="118"/>
      <c r="FSD37" s="118"/>
      <c r="FSE37" s="118"/>
      <c r="FSF37" s="118"/>
      <c r="FSG37" s="118"/>
      <c r="FSH37" s="118"/>
      <c r="FSI37" s="118"/>
      <c r="FSJ37" s="118"/>
      <c r="FSK37" s="118"/>
      <c r="FSL37" s="118"/>
      <c r="FSM37" s="118"/>
      <c r="FSN37" s="118"/>
      <c r="FSO37" s="118"/>
      <c r="FSP37" s="118"/>
      <c r="FSQ37" s="118"/>
      <c r="FSR37" s="118"/>
      <c r="FSS37" s="118"/>
      <c r="FST37" s="118"/>
      <c r="FSU37" s="118"/>
      <c r="FSV37" s="118"/>
      <c r="FSW37" s="118"/>
      <c r="FSX37" s="118"/>
      <c r="FSY37" s="118"/>
      <c r="FSZ37" s="118"/>
      <c r="FTA37" s="118"/>
      <c r="FTB37" s="118"/>
      <c r="FTC37" s="118"/>
      <c r="FTD37" s="118"/>
      <c r="FTE37" s="118"/>
      <c r="FTF37" s="118"/>
      <c r="FTG37" s="118"/>
      <c r="FTH37" s="118"/>
      <c r="FTI37" s="118"/>
      <c r="FTJ37" s="118"/>
      <c r="FTK37" s="118"/>
      <c r="FTL37" s="118"/>
      <c r="FTM37" s="118"/>
      <c r="FTN37" s="118"/>
      <c r="FTO37" s="118"/>
      <c r="FTP37" s="118"/>
      <c r="FTQ37" s="118"/>
      <c r="FTR37" s="118"/>
      <c r="FTS37" s="118"/>
      <c r="FTT37" s="118"/>
      <c r="FTU37" s="118"/>
      <c r="FTV37" s="118"/>
      <c r="FTW37" s="118"/>
      <c r="FTX37" s="118"/>
      <c r="FTY37" s="118"/>
      <c r="FTZ37" s="118"/>
      <c r="FUA37" s="118"/>
      <c r="FUB37" s="118"/>
      <c r="FUC37" s="118"/>
      <c r="FUD37" s="118"/>
      <c r="FUE37" s="118"/>
      <c r="FUF37" s="118"/>
      <c r="FUG37" s="118"/>
      <c r="FUH37" s="118"/>
      <c r="FUI37" s="118"/>
      <c r="FUJ37" s="118"/>
      <c r="FUK37" s="118"/>
      <c r="FUL37" s="118"/>
      <c r="FUM37" s="118"/>
      <c r="FUN37" s="118"/>
      <c r="FUO37" s="118"/>
      <c r="FUP37" s="118"/>
      <c r="FUQ37" s="118"/>
      <c r="FUR37" s="118"/>
      <c r="FUS37" s="118"/>
      <c r="FUT37" s="118"/>
      <c r="FUU37" s="118"/>
      <c r="FUV37" s="118"/>
      <c r="FUW37" s="118"/>
      <c r="FUX37" s="118"/>
      <c r="FUY37" s="118"/>
      <c r="FUZ37" s="118"/>
      <c r="FVA37" s="118"/>
      <c r="FVB37" s="118"/>
      <c r="FVC37" s="118"/>
      <c r="FVD37" s="118"/>
      <c r="FVE37" s="118"/>
      <c r="FVF37" s="118"/>
      <c r="FVG37" s="118"/>
      <c r="FVH37" s="118"/>
      <c r="FVI37" s="118"/>
      <c r="FVJ37" s="118"/>
      <c r="FVK37" s="118"/>
      <c r="FVL37" s="118"/>
      <c r="FVM37" s="118"/>
      <c r="FVN37" s="118"/>
      <c r="FVO37" s="118"/>
      <c r="FVP37" s="118"/>
      <c r="FVQ37" s="118"/>
      <c r="FVR37" s="118"/>
      <c r="FVS37" s="118"/>
      <c r="FVT37" s="118"/>
      <c r="FVU37" s="118"/>
      <c r="FVV37" s="118"/>
      <c r="FVW37" s="118"/>
      <c r="FVX37" s="118"/>
      <c r="FVY37" s="118"/>
      <c r="FVZ37" s="118"/>
      <c r="FWA37" s="118"/>
      <c r="FWB37" s="118"/>
      <c r="FWC37" s="118"/>
      <c r="FWD37" s="118"/>
      <c r="FWE37" s="118"/>
      <c r="FWF37" s="118"/>
      <c r="FWG37" s="118"/>
      <c r="FWH37" s="118"/>
      <c r="FWI37" s="118"/>
      <c r="FWJ37" s="118"/>
      <c r="FWK37" s="118"/>
      <c r="FWL37" s="118"/>
      <c r="FWM37" s="118"/>
      <c r="FWN37" s="118"/>
      <c r="FWO37" s="118"/>
      <c r="FWP37" s="118"/>
      <c r="FWQ37" s="118"/>
      <c r="FWR37" s="118"/>
      <c r="FWS37" s="118"/>
      <c r="FWT37" s="118"/>
      <c r="FWU37" s="118"/>
      <c r="FWV37" s="118"/>
      <c r="FWW37" s="118"/>
      <c r="FWX37" s="118"/>
      <c r="FWY37" s="118"/>
      <c r="FWZ37" s="118"/>
      <c r="FXA37" s="118"/>
      <c r="FXB37" s="118"/>
      <c r="FXC37" s="118"/>
      <c r="FXD37" s="118"/>
      <c r="FXE37" s="118"/>
      <c r="FXF37" s="118"/>
      <c r="FXG37" s="118"/>
      <c r="FXH37" s="118"/>
      <c r="FXI37" s="118"/>
      <c r="FXJ37" s="118"/>
      <c r="FXK37" s="118"/>
      <c r="FXL37" s="118"/>
      <c r="FXM37" s="118"/>
      <c r="FXN37" s="118"/>
      <c r="FXO37" s="118"/>
      <c r="FXP37" s="118"/>
      <c r="FXQ37" s="118"/>
      <c r="FXR37" s="118"/>
      <c r="FXS37" s="118"/>
      <c r="FXT37" s="118"/>
      <c r="FXU37" s="118"/>
      <c r="FXV37" s="118"/>
      <c r="FXW37" s="118"/>
      <c r="FXX37" s="118"/>
      <c r="FXY37" s="118"/>
      <c r="FXZ37" s="118"/>
      <c r="FYA37" s="118"/>
      <c r="FYB37" s="118"/>
      <c r="FYC37" s="118"/>
      <c r="FYD37" s="118"/>
      <c r="FYE37" s="118"/>
      <c r="FYF37" s="118"/>
      <c r="FYG37" s="118"/>
      <c r="FYH37" s="118"/>
      <c r="FYI37" s="118"/>
      <c r="FYJ37" s="118"/>
      <c r="FYK37" s="118"/>
      <c r="FYL37" s="118"/>
      <c r="FYM37" s="118"/>
      <c r="FYN37" s="118"/>
      <c r="FYO37" s="118"/>
      <c r="FYP37" s="118"/>
      <c r="FYQ37" s="118"/>
      <c r="FYR37" s="118"/>
      <c r="FYS37" s="118"/>
      <c r="FYT37" s="118"/>
      <c r="FYU37" s="118"/>
      <c r="FYV37" s="118"/>
      <c r="FYW37" s="118"/>
      <c r="FYX37" s="118"/>
      <c r="FYY37" s="118"/>
      <c r="FYZ37" s="118"/>
      <c r="FZA37" s="118"/>
      <c r="FZB37" s="118"/>
      <c r="FZC37" s="118"/>
      <c r="FZD37" s="118"/>
      <c r="FZE37" s="118"/>
      <c r="FZF37" s="118"/>
      <c r="FZG37" s="118"/>
      <c r="FZH37" s="118"/>
      <c r="FZI37" s="118"/>
      <c r="FZJ37" s="118"/>
      <c r="FZK37" s="118"/>
      <c r="FZL37" s="118"/>
      <c r="FZM37" s="118"/>
      <c r="FZN37" s="118"/>
      <c r="FZO37" s="118"/>
      <c r="FZP37" s="118"/>
      <c r="FZQ37" s="118"/>
      <c r="FZR37" s="118"/>
      <c r="FZS37" s="118"/>
      <c r="FZT37" s="118"/>
      <c r="FZU37" s="118"/>
      <c r="FZV37" s="118"/>
      <c r="FZW37" s="118"/>
      <c r="FZX37" s="118"/>
      <c r="FZY37" s="118"/>
      <c r="FZZ37" s="118"/>
      <c r="GAA37" s="118"/>
      <c r="GAB37" s="118"/>
      <c r="GAC37" s="118"/>
      <c r="GAD37" s="118"/>
      <c r="GAE37" s="118"/>
      <c r="GAF37" s="118"/>
      <c r="GAG37" s="118"/>
      <c r="GAH37" s="118"/>
      <c r="GAI37" s="118"/>
      <c r="GAJ37" s="118"/>
      <c r="GAK37" s="118"/>
      <c r="GAL37" s="118"/>
      <c r="GAM37" s="118"/>
      <c r="GAN37" s="118"/>
      <c r="GAO37" s="118"/>
      <c r="GAP37" s="118"/>
      <c r="GAQ37" s="118"/>
      <c r="GAR37" s="118"/>
      <c r="GAS37" s="118"/>
      <c r="GAT37" s="118"/>
      <c r="GAU37" s="118"/>
      <c r="GAV37" s="118"/>
      <c r="GAW37" s="118"/>
      <c r="GAX37" s="118"/>
      <c r="GAY37" s="118"/>
      <c r="GAZ37" s="118"/>
      <c r="GBA37" s="118"/>
      <c r="GBB37" s="118"/>
      <c r="GBC37" s="118"/>
      <c r="GBD37" s="118"/>
      <c r="GBE37" s="118"/>
      <c r="GBF37" s="118"/>
      <c r="GBG37" s="118"/>
      <c r="GBH37" s="118"/>
      <c r="GBI37" s="118"/>
      <c r="GBJ37" s="118"/>
      <c r="GBK37" s="118"/>
      <c r="GBL37" s="118"/>
      <c r="GBM37" s="118"/>
      <c r="GBN37" s="118"/>
      <c r="GBO37" s="118"/>
      <c r="GBP37" s="118"/>
      <c r="GBQ37" s="118"/>
      <c r="GBR37" s="118"/>
      <c r="GBS37" s="118"/>
      <c r="GBT37" s="118"/>
      <c r="GBU37" s="118"/>
      <c r="GBV37" s="118"/>
      <c r="GBW37" s="118"/>
      <c r="GBX37" s="118"/>
      <c r="GBY37" s="118"/>
      <c r="GBZ37" s="118"/>
      <c r="GCA37" s="118"/>
      <c r="GCB37" s="118"/>
      <c r="GCC37" s="118"/>
      <c r="GCD37" s="118"/>
      <c r="GCE37" s="118"/>
      <c r="GCF37" s="118"/>
      <c r="GCG37" s="118"/>
      <c r="GCH37" s="118"/>
      <c r="GCI37" s="118"/>
      <c r="GCJ37" s="118"/>
      <c r="GCK37" s="118"/>
      <c r="GCL37" s="118"/>
      <c r="GCM37" s="118"/>
      <c r="GCN37" s="118"/>
      <c r="GCO37" s="118"/>
      <c r="GCP37" s="118"/>
      <c r="GCQ37" s="118"/>
      <c r="GCR37" s="118"/>
      <c r="GCS37" s="118"/>
      <c r="GCT37" s="118"/>
      <c r="GCU37" s="118"/>
      <c r="GCV37" s="118"/>
      <c r="GCW37" s="118"/>
      <c r="GCX37" s="118"/>
      <c r="GCY37" s="118"/>
      <c r="GCZ37" s="118"/>
      <c r="GDA37" s="118"/>
      <c r="GDB37" s="118"/>
      <c r="GDC37" s="118"/>
      <c r="GDD37" s="118"/>
      <c r="GDE37" s="118"/>
      <c r="GDF37" s="118"/>
      <c r="GDG37" s="118"/>
      <c r="GDH37" s="118"/>
      <c r="GDI37" s="118"/>
      <c r="GDJ37" s="118"/>
      <c r="GDK37" s="118"/>
      <c r="GDL37" s="118"/>
      <c r="GDM37" s="118"/>
      <c r="GDN37" s="118"/>
      <c r="GDO37" s="118"/>
      <c r="GDP37" s="118"/>
      <c r="GDQ37" s="118"/>
      <c r="GDR37" s="118"/>
      <c r="GDS37" s="118"/>
      <c r="GDT37" s="118"/>
      <c r="GDU37" s="118"/>
      <c r="GDV37" s="118"/>
      <c r="GDW37" s="118"/>
      <c r="GDX37" s="118"/>
      <c r="GDY37" s="118"/>
      <c r="GDZ37" s="118"/>
      <c r="GEA37" s="118"/>
      <c r="GEB37" s="118"/>
      <c r="GEC37" s="118"/>
      <c r="GED37" s="118"/>
      <c r="GEE37" s="118"/>
      <c r="GEF37" s="118"/>
      <c r="GEG37" s="118"/>
      <c r="GEH37" s="118"/>
      <c r="GEI37" s="118"/>
      <c r="GEJ37" s="118"/>
      <c r="GEK37" s="118"/>
      <c r="GEL37" s="118"/>
      <c r="GEM37" s="118"/>
      <c r="GEN37" s="118"/>
      <c r="GEO37" s="118"/>
      <c r="GEP37" s="118"/>
      <c r="GEQ37" s="118"/>
      <c r="GER37" s="118"/>
      <c r="GES37" s="118"/>
      <c r="GET37" s="118"/>
      <c r="GEU37" s="118"/>
      <c r="GEV37" s="118"/>
      <c r="GEW37" s="118"/>
      <c r="GEX37" s="118"/>
      <c r="GEY37" s="118"/>
      <c r="GEZ37" s="118"/>
      <c r="GFA37" s="118"/>
      <c r="GFB37" s="118"/>
      <c r="GFC37" s="118"/>
      <c r="GFD37" s="118"/>
      <c r="GFE37" s="118"/>
      <c r="GFF37" s="118"/>
      <c r="GFG37" s="118"/>
      <c r="GFH37" s="118"/>
      <c r="GFI37" s="118"/>
      <c r="GFJ37" s="118"/>
      <c r="GFK37" s="118"/>
      <c r="GFL37" s="118"/>
      <c r="GFM37" s="118"/>
      <c r="GFN37" s="118"/>
      <c r="GFO37" s="118"/>
      <c r="GFP37" s="118"/>
      <c r="GFQ37" s="118"/>
      <c r="GFR37" s="118"/>
      <c r="GFS37" s="118"/>
      <c r="GFT37" s="118"/>
      <c r="GFU37" s="118"/>
      <c r="GFV37" s="118"/>
      <c r="GFW37" s="118"/>
      <c r="GFX37" s="118"/>
      <c r="GFY37" s="118"/>
      <c r="GFZ37" s="118"/>
      <c r="GGA37" s="118"/>
      <c r="GGB37" s="118"/>
      <c r="GGC37" s="118"/>
      <c r="GGD37" s="118"/>
      <c r="GGE37" s="118"/>
      <c r="GGF37" s="118"/>
      <c r="GGG37" s="118"/>
      <c r="GGH37" s="118"/>
      <c r="GGI37" s="118"/>
      <c r="GGJ37" s="118"/>
      <c r="GGK37" s="118"/>
      <c r="GGL37" s="118"/>
      <c r="GGM37" s="118"/>
      <c r="GGN37" s="118"/>
      <c r="GGO37" s="118"/>
      <c r="GGP37" s="118"/>
      <c r="GGQ37" s="118"/>
      <c r="GGR37" s="118"/>
      <c r="GGS37" s="118"/>
      <c r="GGT37" s="118"/>
      <c r="GGU37" s="118"/>
      <c r="GGV37" s="118"/>
      <c r="GGW37" s="118"/>
      <c r="GGX37" s="118"/>
      <c r="GGY37" s="118"/>
      <c r="GGZ37" s="118"/>
      <c r="GHA37" s="118"/>
      <c r="GHB37" s="118"/>
      <c r="GHC37" s="118"/>
      <c r="GHD37" s="118"/>
      <c r="GHE37" s="118"/>
      <c r="GHF37" s="118"/>
      <c r="GHG37" s="118"/>
      <c r="GHH37" s="118"/>
      <c r="GHI37" s="118"/>
      <c r="GHJ37" s="118"/>
      <c r="GHK37" s="118"/>
      <c r="GHL37" s="118"/>
      <c r="GHM37" s="118"/>
      <c r="GHN37" s="118"/>
      <c r="GHO37" s="118"/>
      <c r="GHP37" s="118"/>
      <c r="GHQ37" s="118"/>
      <c r="GHR37" s="118"/>
      <c r="GHS37" s="118"/>
      <c r="GHT37" s="118"/>
      <c r="GHU37" s="118"/>
      <c r="GHV37" s="118"/>
      <c r="GHW37" s="118"/>
      <c r="GHX37" s="118"/>
      <c r="GHY37" s="118"/>
      <c r="GHZ37" s="118"/>
      <c r="GIA37" s="118"/>
      <c r="GIB37" s="118"/>
      <c r="GIC37" s="118"/>
      <c r="GID37" s="118"/>
      <c r="GIE37" s="118"/>
      <c r="GIF37" s="118"/>
      <c r="GIG37" s="118"/>
      <c r="GIH37" s="118"/>
      <c r="GII37" s="118"/>
      <c r="GIJ37" s="118"/>
      <c r="GIK37" s="118"/>
      <c r="GIL37" s="118"/>
      <c r="GIM37" s="118"/>
      <c r="GIN37" s="118"/>
      <c r="GIO37" s="118"/>
      <c r="GIP37" s="118"/>
      <c r="GIQ37" s="118"/>
      <c r="GIR37" s="118"/>
      <c r="GIS37" s="118"/>
      <c r="GIT37" s="118"/>
      <c r="GIU37" s="118"/>
      <c r="GIV37" s="118"/>
      <c r="GIW37" s="118"/>
      <c r="GIX37" s="118"/>
      <c r="GIY37" s="118"/>
      <c r="GIZ37" s="118"/>
      <c r="GJA37" s="118"/>
      <c r="GJB37" s="118"/>
      <c r="GJC37" s="118"/>
      <c r="GJD37" s="118"/>
      <c r="GJE37" s="118"/>
      <c r="GJF37" s="118"/>
      <c r="GJG37" s="118"/>
      <c r="GJH37" s="118"/>
      <c r="GJI37" s="118"/>
      <c r="GJJ37" s="118"/>
      <c r="GJK37" s="118"/>
      <c r="GJL37" s="118"/>
      <c r="GJM37" s="118"/>
      <c r="GJN37" s="118"/>
      <c r="GJO37" s="118"/>
      <c r="GJP37" s="118"/>
      <c r="GJQ37" s="118"/>
      <c r="GJR37" s="118"/>
      <c r="GJS37" s="118"/>
      <c r="GJT37" s="118"/>
      <c r="GJU37" s="118"/>
      <c r="GJV37" s="118"/>
      <c r="GJW37" s="118"/>
      <c r="GJX37" s="118"/>
      <c r="GJY37" s="118"/>
      <c r="GJZ37" s="118"/>
      <c r="GKA37" s="118"/>
      <c r="GKB37" s="118"/>
      <c r="GKC37" s="118"/>
      <c r="GKD37" s="118"/>
      <c r="GKE37" s="118"/>
      <c r="GKF37" s="118"/>
      <c r="GKG37" s="118"/>
      <c r="GKH37" s="118"/>
      <c r="GKI37" s="118"/>
      <c r="GKJ37" s="118"/>
      <c r="GKK37" s="118"/>
      <c r="GKL37" s="118"/>
      <c r="GKM37" s="118"/>
      <c r="GKN37" s="118"/>
      <c r="GKO37" s="118"/>
      <c r="GKP37" s="118"/>
      <c r="GKQ37" s="118"/>
      <c r="GKR37" s="118"/>
      <c r="GKS37" s="118"/>
      <c r="GKT37" s="118"/>
      <c r="GKU37" s="118"/>
      <c r="GKV37" s="118"/>
      <c r="GKW37" s="118"/>
      <c r="GKX37" s="118"/>
      <c r="GKY37" s="118"/>
      <c r="GKZ37" s="118"/>
      <c r="GLA37" s="118"/>
      <c r="GLB37" s="118"/>
      <c r="GLC37" s="118"/>
      <c r="GLD37" s="118"/>
      <c r="GLE37" s="118"/>
      <c r="GLF37" s="118"/>
      <c r="GLG37" s="118"/>
      <c r="GLH37" s="118"/>
      <c r="GLI37" s="118"/>
      <c r="GLJ37" s="118"/>
      <c r="GLK37" s="118"/>
      <c r="GLL37" s="118"/>
      <c r="GLM37" s="118"/>
      <c r="GLN37" s="118"/>
      <c r="GLO37" s="118"/>
      <c r="GLP37" s="118"/>
      <c r="GLQ37" s="118"/>
      <c r="GLR37" s="118"/>
      <c r="GLS37" s="118"/>
      <c r="GLT37" s="118"/>
      <c r="GLU37" s="118"/>
      <c r="GLV37" s="118"/>
      <c r="GLW37" s="118"/>
      <c r="GLX37" s="118"/>
      <c r="GLY37" s="118"/>
      <c r="GLZ37" s="118"/>
      <c r="GMA37" s="118"/>
      <c r="GMB37" s="118"/>
      <c r="GMC37" s="118"/>
      <c r="GMD37" s="118"/>
      <c r="GME37" s="118"/>
      <c r="GMF37" s="118"/>
      <c r="GMG37" s="118"/>
      <c r="GMH37" s="118"/>
      <c r="GMI37" s="118"/>
      <c r="GMJ37" s="118"/>
      <c r="GMK37" s="118"/>
      <c r="GML37" s="118"/>
      <c r="GMM37" s="118"/>
      <c r="GMN37" s="118"/>
      <c r="GMO37" s="118"/>
      <c r="GMP37" s="118"/>
      <c r="GMQ37" s="118"/>
      <c r="GMR37" s="118"/>
      <c r="GMS37" s="118"/>
      <c r="GMT37" s="118"/>
      <c r="GMU37" s="118"/>
      <c r="GMV37" s="118"/>
      <c r="GMW37" s="118"/>
      <c r="GMX37" s="118"/>
      <c r="GMY37" s="118"/>
      <c r="GMZ37" s="118"/>
      <c r="GNA37" s="118"/>
      <c r="GNB37" s="118"/>
      <c r="GNC37" s="118"/>
      <c r="GND37" s="118"/>
      <c r="GNE37" s="118"/>
      <c r="GNF37" s="118"/>
      <c r="GNG37" s="118"/>
      <c r="GNH37" s="118"/>
      <c r="GNI37" s="118"/>
      <c r="GNJ37" s="118"/>
      <c r="GNK37" s="118"/>
      <c r="GNL37" s="118"/>
      <c r="GNM37" s="118"/>
      <c r="GNN37" s="118"/>
      <c r="GNO37" s="118"/>
      <c r="GNP37" s="118"/>
      <c r="GNQ37" s="118"/>
      <c r="GNR37" s="118"/>
      <c r="GNS37" s="118"/>
      <c r="GNT37" s="118"/>
      <c r="GNU37" s="118"/>
      <c r="GNV37" s="118"/>
      <c r="GNW37" s="118"/>
      <c r="GNX37" s="118"/>
      <c r="GNY37" s="118"/>
      <c r="GNZ37" s="118"/>
      <c r="GOA37" s="118"/>
      <c r="GOB37" s="118"/>
      <c r="GOC37" s="118"/>
      <c r="GOD37" s="118"/>
      <c r="GOE37" s="118"/>
      <c r="GOF37" s="118"/>
      <c r="GOG37" s="118"/>
      <c r="GOH37" s="118"/>
      <c r="GOI37" s="118"/>
      <c r="GOJ37" s="118"/>
      <c r="GOK37" s="118"/>
      <c r="GOL37" s="118"/>
      <c r="GOM37" s="118"/>
      <c r="GON37" s="118"/>
      <c r="GOO37" s="118"/>
      <c r="GOP37" s="118"/>
      <c r="GOQ37" s="118"/>
      <c r="GOR37" s="118"/>
      <c r="GOS37" s="118"/>
      <c r="GOT37" s="118"/>
      <c r="GOU37" s="118"/>
      <c r="GOV37" s="118"/>
      <c r="GOW37" s="118"/>
      <c r="GOX37" s="118"/>
      <c r="GOY37" s="118"/>
      <c r="GOZ37" s="118"/>
      <c r="GPA37" s="118"/>
      <c r="GPB37" s="118"/>
      <c r="GPC37" s="118"/>
      <c r="GPD37" s="118"/>
      <c r="GPE37" s="118"/>
      <c r="GPF37" s="118"/>
      <c r="GPG37" s="118"/>
      <c r="GPH37" s="118"/>
      <c r="GPI37" s="118"/>
      <c r="GPJ37" s="118"/>
      <c r="GPK37" s="118"/>
      <c r="GPL37" s="118"/>
      <c r="GPM37" s="118"/>
      <c r="GPN37" s="118"/>
      <c r="GPO37" s="118"/>
      <c r="GPP37" s="118"/>
      <c r="GPQ37" s="118"/>
      <c r="GPR37" s="118"/>
      <c r="GPS37" s="118"/>
      <c r="GPT37" s="118"/>
      <c r="GPU37" s="118"/>
      <c r="GPV37" s="118"/>
      <c r="GPW37" s="118"/>
      <c r="GPX37" s="118"/>
      <c r="GPY37" s="118"/>
      <c r="GPZ37" s="118"/>
      <c r="GQA37" s="118"/>
      <c r="GQB37" s="118"/>
      <c r="GQC37" s="118"/>
      <c r="GQD37" s="118"/>
      <c r="GQE37" s="118"/>
      <c r="GQF37" s="118"/>
      <c r="GQG37" s="118"/>
      <c r="GQH37" s="118"/>
      <c r="GQI37" s="118"/>
      <c r="GQJ37" s="118"/>
      <c r="GQK37" s="118"/>
      <c r="GQL37" s="118"/>
      <c r="GQM37" s="118"/>
      <c r="GQN37" s="118"/>
      <c r="GQO37" s="118"/>
      <c r="GQP37" s="118"/>
      <c r="GQQ37" s="118"/>
      <c r="GQR37" s="118"/>
      <c r="GQS37" s="118"/>
      <c r="GQT37" s="118"/>
      <c r="GQU37" s="118"/>
      <c r="GQV37" s="118"/>
      <c r="GQW37" s="118"/>
      <c r="GQX37" s="118"/>
      <c r="GQY37" s="118"/>
      <c r="GQZ37" s="118"/>
      <c r="GRA37" s="118"/>
      <c r="GRB37" s="118"/>
      <c r="GRC37" s="118"/>
      <c r="GRD37" s="118"/>
      <c r="GRE37" s="118"/>
      <c r="GRF37" s="118"/>
      <c r="GRG37" s="118"/>
      <c r="GRH37" s="118"/>
      <c r="GRI37" s="118"/>
      <c r="GRJ37" s="118"/>
      <c r="GRK37" s="118"/>
      <c r="GRL37" s="118"/>
      <c r="GRM37" s="118"/>
      <c r="GRN37" s="118"/>
      <c r="GRO37" s="118"/>
      <c r="GRP37" s="118"/>
      <c r="GRQ37" s="118"/>
      <c r="GRR37" s="118"/>
      <c r="GRS37" s="118"/>
      <c r="GRT37" s="118"/>
      <c r="GRU37" s="118"/>
      <c r="GRV37" s="118"/>
      <c r="GRW37" s="118"/>
      <c r="GRX37" s="118"/>
      <c r="GRY37" s="118"/>
      <c r="GRZ37" s="118"/>
      <c r="GSA37" s="118"/>
      <c r="GSB37" s="118"/>
      <c r="GSC37" s="118"/>
      <c r="GSD37" s="118"/>
      <c r="GSE37" s="118"/>
      <c r="GSF37" s="118"/>
      <c r="GSG37" s="118"/>
      <c r="GSH37" s="118"/>
      <c r="GSI37" s="118"/>
      <c r="GSJ37" s="118"/>
      <c r="GSK37" s="118"/>
      <c r="GSL37" s="118"/>
      <c r="GSM37" s="118"/>
      <c r="GSN37" s="118"/>
      <c r="GSO37" s="118"/>
      <c r="GSP37" s="118"/>
      <c r="GSQ37" s="118"/>
      <c r="GSR37" s="118"/>
      <c r="GSS37" s="118"/>
      <c r="GST37" s="118"/>
      <c r="GSU37" s="118"/>
      <c r="GSV37" s="118"/>
      <c r="GSW37" s="118"/>
      <c r="GSX37" s="118"/>
      <c r="GSY37" s="118"/>
      <c r="GSZ37" s="118"/>
      <c r="GTA37" s="118"/>
      <c r="GTB37" s="118"/>
      <c r="GTC37" s="118"/>
      <c r="GTD37" s="118"/>
      <c r="GTE37" s="118"/>
      <c r="GTF37" s="118"/>
      <c r="GTG37" s="118"/>
      <c r="GTH37" s="118"/>
      <c r="GTI37" s="118"/>
      <c r="GTJ37" s="118"/>
      <c r="GTK37" s="118"/>
      <c r="GTL37" s="118"/>
      <c r="GTM37" s="118"/>
      <c r="GTN37" s="118"/>
      <c r="GTO37" s="118"/>
      <c r="GTP37" s="118"/>
      <c r="GTQ37" s="118"/>
      <c r="GTR37" s="118"/>
      <c r="GTS37" s="118"/>
      <c r="GTT37" s="118"/>
      <c r="GTU37" s="118"/>
      <c r="GTV37" s="118"/>
      <c r="GTW37" s="118"/>
      <c r="GTX37" s="118"/>
      <c r="GTY37" s="118"/>
      <c r="GTZ37" s="118"/>
      <c r="GUA37" s="118"/>
      <c r="GUB37" s="118"/>
      <c r="GUC37" s="118"/>
      <c r="GUD37" s="118"/>
      <c r="GUE37" s="118"/>
      <c r="GUF37" s="118"/>
      <c r="GUG37" s="118"/>
      <c r="GUH37" s="118"/>
      <c r="GUI37" s="118"/>
      <c r="GUJ37" s="118"/>
      <c r="GUK37" s="118"/>
      <c r="GUL37" s="118"/>
      <c r="GUM37" s="118"/>
      <c r="GUN37" s="118"/>
      <c r="GUO37" s="118"/>
      <c r="GUP37" s="118"/>
      <c r="GUQ37" s="118"/>
      <c r="GUR37" s="118"/>
      <c r="GUS37" s="118"/>
      <c r="GUT37" s="118"/>
      <c r="GUU37" s="118"/>
      <c r="GUV37" s="118"/>
      <c r="GUW37" s="118"/>
      <c r="GUX37" s="118"/>
      <c r="GUY37" s="118"/>
      <c r="GUZ37" s="118"/>
      <c r="GVA37" s="118"/>
      <c r="GVB37" s="118"/>
      <c r="GVC37" s="118"/>
      <c r="GVD37" s="118"/>
      <c r="GVE37" s="118"/>
      <c r="GVF37" s="118"/>
      <c r="GVG37" s="118"/>
      <c r="GVH37" s="118"/>
      <c r="GVI37" s="118"/>
      <c r="GVJ37" s="118"/>
      <c r="GVK37" s="118"/>
      <c r="GVL37" s="118"/>
      <c r="GVM37" s="118"/>
      <c r="GVN37" s="118"/>
      <c r="GVO37" s="118"/>
      <c r="GVP37" s="118"/>
      <c r="GVQ37" s="118"/>
      <c r="GVR37" s="118"/>
      <c r="GVS37" s="118"/>
      <c r="GVT37" s="118"/>
      <c r="GVU37" s="118"/>
      <c r="GVV37" s="118"/>
      <c r="GVW37" s="118"/>
      <c r="GVX37" s="118"/>
      <c r="GVY37" s="118"/>
      <c r="GVZ37" s="118"/>
      <c r="GWA37" s="118"/>
      <c r="GWB37" s="118"/>
      <c r="GWC37" s="118"/>
      <c r="GWD37" s="118"/>
      <c r="GWE37" s="118"/>
      <c r="GWF37" s="118"/>
      <c r="GWG37" s="118"/>
      <c r="GWH37" s="118"/>
      <c r="GWI37" s="118"/>
      <c r="GWJ37" s="118"/>
      <c r="GWK37" s="118"/>
      <c r="GWL37" s="118"/>
      <c r="GWM37" s="118"/>
      <c r="GWN37" s="118"/>
      <c r="GWO37" s="118"/>
      <c r="GWP37" s="118"/>
      <c r="GWQ37" s="118"/>
      <c r="GWR37" s="118"/>
      <c r="GWS37" s="118"/>
      <c r="GWT37" s="118"/>
      <c r="GWU37" s="118"/>
      <c r="GWV37" s="118"/>
      <c r="GWW37" s="118"/>
      <c r="GWX37" s="118"/>
      <c r="GWY37" s="118"/>
      <c r="GWZ37" s="118"/>
      <c r="GXA37" s="118"/>
      <c r="GXB37" s="118"/>
      <c r="GXC37" s="118"/>
      <c r="GXD37" s="118"/>
      <c r="GXE37" s="118"/>
      <c r="GXF37" s="118"/>
      <c r="GXG37" s="118"/>
      <c r="GXH37" s="118"/>
      <c r="GXI37" s="118"/>
      <c r="GXJ37" s="118"/>
      <c r="GXK37" s="118"/>
      <c r="GXL37" s="118"/>
      <c r="GXM37" s="118"/>
      <c r="GXN37" s="118"/>
      <c r="GXO37" s="118"/>
      <c r="GXP37" s="118"/>
      <c r="GXQ37" s="118"/>
      <c r="GXR37" s="118"/>
      <c r="GXS37" s="118"/>
      <c r="GXT37" s="118"/>
      <c r="GXU37" s="118"/>
      <c r="GXV37" s="118"/>
      <c r="GXW37" s="118"/>
      <c r="GXX37" s="118"/>
      <c r="GXY37" s="118"/>
      <c r="GXZ37" s="118"/>
      <c r="GYA37" s="118"/>
      <c r="GYB37" s="118"/>
      <c r="GYC37" s="118"/>
      <c r="GYD37" s="118"/>
      <c r="GYE37" s="118"/>
      <c r="GYF37" s="118"/>
      <c r="GYG37" s="118"/>
      <c r="GYH37" s="118"/>
      <c r="GYI37" s="118"/>
      <c r="GYJ37" s="118"/>
      <c r="GYK37" s="118"/>
      <c r="GYL37" s="118"/>
      <c r="GYM37" s="118"/>
      <c r="GYN37" s="118"/>
      <c r="GYO37" s="118"/>
      <c r="GYP37" s="118"/>
      <c r="GYQ37" s="118"/>
      <c r="GYR37" s="118"/>
      <c r="GYS37" s="118"/>
      <c r="GYT37" s="118"/>
      <c r="GYU37" s="118"/>
      <c r="GYV37" s="118"/>
      <c r="GYW37" s="118"/>
      <c r="GYX37" s="118"/>
      <c r="GYY37" s="118"/>
      <c r="GYZ37" s="118"/>
      <c r="GZA37" s="118"/>
      <c r="GZB37" s="118"/>
      <c r="GZC37" s="118"/>
      <c r="GZD37" s="118"/>
      <c r="GZE37" s="118"/>
      <c r="GZF37" s="118"/>
      <c r="GZG37" s="118"/>
      <c r="GZH37" s="118"/>
      <c r="GZI37" s="118"/>
      <c r="GZJ37" s="118"/>
      <c r="GZK37" s="118"/>
      <c r="GZL37" s="118"/>
      <c r="GZM37" s="118"/>
      <c r="GZN37" s="118"/>
      <c r="GZO37" s="118"/>
      <c r="GZP37" s="118"/>
      <c r="GZQ37" s="118"/>
      <c r="GZR37" s="118"/>
      <c r="GZS37" s="118"/>
      <c r="GZT37" s="118"/>
      <c r="GZU37" s="118"/>
      <c r="GZV37" s="118"/>
      <c r="GZW37" s="118"/>
      <c r="GZX37" s="118"/>
      <c r="GZY37" s="118"/>
      <c r="GZZ37" s="118"/>
      <c r="HAA37" s="118"/>
      <c r="HAB37" s="118"/>
      <c r="HAC37" s="118"/>
      <c r="HAD37" s="118"/>
      <c r="HAE37" s="118"/>
      <c r="HAF37" s="118"/>
      <c r="HAG37" s="118"/>
      <c r="HAH37" s="118"/>
      <c r="HAI37" s="118"/>
      <c r="HAJ37" s="118"/>
      <c r="HAK37" s="118"/>
      <c r="HAL37" s="118"/>
      <c r="HAM37" s="118"/>
      <c r="HAN37" s="118"/>
      <c r="HAO37" s="118"/>
      <c r="HAP37" s="118"/>
      <c r="HAQ37" s="118"/>
      <c r="HAR37" s="118"/>
      <c r="HAS37" s="118"/>
      <c r="HAT37" s="118"/>
      <c r="HAU37" s="118"/>
      <c r="HAV37" s="118"/>
      <c r="HAW37" s="118"/>
      <c r="HAX37" s="118"/>
      <c r="HAY37" s="118"/>
      <c r="HAZ37" s="118"/>
      <c r="HBA37" s="118"/>
      <c r="HBB37" s="118"/>
      <c r="HBC37" s="118"/>
      <c r="HBD37" s="118"/>
      <c r="HBE37" s="118"/>
      <c r="HBF37" s="118"/>
      <c r="HBG37" s="118"/>
      <c r="HBH37" s="118"/>
      <c r="HBI37" s="118"/>
      <c r="HBJ37" s="118"/>
      <c r="HBK37" s="118"/>
      <c r="HBL37" s="118"/>
      <c r="HBM37" s="118"/>
      <c r="HBN37" s="118"/>
      <c r="HBO37" s="118"/>
      <c r="HBP37" s="118"/>
      <c r="HBQ37" s="118"/>
      <c r="HBR37" s="118"/>
      <c r="HBS37" s="118"/>
      <c r="HBT37" s="118"/>
      <c r="HBU37" s="118"/>
      <c r="HBV37" s="118"/>
      <c r="HBW37" s="118"/>
      <c r="HBX37" s="118"/>
      <c r="HBY37" s="118"/>
      <c r="HBZ37" s="118"/>
      <c r="HCA37" s="118"/>
      <c r="HCB37" s="118"/>
      <c r="HCC37" s="118"/>
      <c r="HCD37" s="118"/>
      <c r="HCE37" s="118"/>
      <c r="HCF37" s="118"/>
      <c r="HCG37" s="118"/>
      <c r="HCH37" s="118"/>
      <c r="HCI37" s="118"/>
      <c r="HCJ37" s="118"/>
      <c r="HCK37" s="118"/>
      <c r="HCL37" s="118"/>
      <c r="HCM37" s="118"/>
      <c r="HCN37" s="118"/>
      <c r="HCO37" s="118"/>
      <c r="HCP37" s="118"/>
      <c r="HCQ37" s="118"/>
      <c r="HCR37" s="118"/>
      <c r="HCS37" s="118"/>
      <c r="HCT37" s="118"/>
      <c r="HCU37" s="118"/>
      <c r="HCV37" s="118"/>
      <c r="HCW37" s="118"/>
      <c r="HCX37" s="118"/>
      <c r="HCY37" s="118"/>
      <c r="HCZ37" s="118"/>
      <c r="HDA37" s="118"/>
      <c r="HDB37" s="118"/>
      <c r="HDC37" s="118"/>
      <c r="HDD37" s="118"/>
      <c r="HDE37" s="118"/>
      <c r="HDF37" s="118"/>
      <c r="HDG37" s="118"/>
      <c r="HDH37" s="118"/>
      <c r="HDI37" s="118"/>
      <c r="HDJ37" s="118"/>
      <c r="HDK37" s="118"/>
      <c r="HDL37" s="118"/>
      <c r="HDM37" s="118"/>
      <c r="HDN37" s="118"/>
      <c r="HDO37" s="118"/>
      <c r="HDP37" s="118"/>
      <c r="HDQ37" s="118"/>
      <c r="HDR37" s="118"/>
      <c r="HDS37" s="118"/>
      <c r="HDT37" s="118"/>
      <c r="HDU37" s="118"/>
      <c r="HDV37" s="118"/>
      <c r="HDW37" s="118"/>
      <c r="HDX37" s="118"/>
      <c r="HDY37" s="118"/>
      <c r="HDZ37" s="118"/>
      <c r="HEA37" s="118"/>
      <c r="HEB37" s="118"/>
      <c r="HEC37" s="118"/>
      <c r="HED37" s="118"/>
      <c r="HEE37" s="118"/>
      <c r="HEF37" s="118"/>
      <c r="HEG37" s="118"/>
      <c r="HEH37" s="118"/>
      <c r="HEI37" s="118"/>
      <c r="HEJ37" s="118"/>
      <c r="HEK37" s="118"/>
      <c r="HEL37" s="118"/>
      <c r="HEM37" s="118"/>
      <c r="HEN37" s="118"/>
      <c r="HEO37" s="118"/>
      <c r="HEP37" s="118"/>
      <c r="HEQ37" s="118"/>
      <c r="HER37" s="118"/>
      <c r="HES37" s="118"/>
      <c r="HET37" s="118"/>
      <c r="HEU37" s="118"/>
      <c r="HEV37" s="118"/>
      <c r="HEW37" s="118"/>
      <c r="HEX37" s="118"/>
      <c r="HEY37" s="118"/>
      <c r="HEZ37" s="118"/>
      <c r="HFA37" s="118"/>
      <c r="HFB37" s="118"/>
      <c r="HFC37" s="118"/>
      <c r="HFD37" s="118"/>
      <c r="HFE37" s="118"/>
      <c r="HFF37" s="118"/>
      <c r="HFG37" s="118"/>
      <c r="HFH37" s="118"/>
      <c r="HFI37" s="118"/>
      <c r="HFJ37" s="118"/>
      <c r="HFK37" s="118"/>
      <c r="HFL37" s="118"/>
      <c r="HFM37" s="118"/>
      <c r="HFN37" s="118"/>
      <c r="HFO37" s="118"/>
      <c r="HFP37" s="118"/>
      <c r="HFQ37" s="118"/>
      <c r="HFR37" s="118"/>
      <c r="HFS37" s="118"/>
      <c r="HFT37" s="118"/>
      <c r="HFU37" s="118"/>
      <c r="HFV37" s="118"/>
      <c r="HFW37" s="118"/>
      <c r="HFX37" s="118"/>
      <c r="HFY37" s="118"/>
      <c r="HFZ37" s="118"/>
      <c r="HGA37" s="118"/>
      <c r="HGB37" s="118"/>
      <c r="HGC37" s="118"/>
      <c r="HGD37" s="118"/>
      <c r="HGE37" s="118"/>
      <c r="HGF37" s="118"/>
      <c r="HGG37" s="118"/>
      <c r="HGH37" s="118"/>
      <c r="HGI37" s="118"/>
      <c r="HGJ37" s="118"/>
      <c r="HGK37" s="118"/>
      <c r="HGL37" s="118"/>
      <c r="HGM37" s="118"/>
      <c r="HGN37" s="118"/>
      <c r="HGO37" s="118"/>
      <c r="HGP37" s="118"/>
      <c r="HGQ37" s="118"/>
      <c r="HGR37" s="118"/>
      <c r="HGS37" s="118"/>
      <c r="HGT37" s="118"/>
      <c r="HGU37" s="118"/>
      <c r="HGV37" s="118"/>
      <c r="HGW37" s="118"/>
      <c r="HGX37" s="118"/>
      <c r="HGY37" s="118"/>
      <c r="HGZ37" s="118"/>
      <c r="HHA37" s="118"/>
      <c r="HHB37" s="118"/>
      <c r="HHC37" s="118"/>
      <c r="HHD37" s="118"/>
      <c r="HHE37" s="118"/>
      <c r="HHF37" s="118"/>
      <c r="HHG37" s="118"/>
      <c r="HHH37" s="118"/>
      <c r="HHI37" s="118"/>
      <c r="HHJ37" s="118"/>
      <c r="HHK37" s="118"/>
      <c r="HHL37" s="118"/>
      <c r="HHM37" s="118"/>
      <c r="HHN37" s="118"/>
      <c r="HHO37" s="118"/>
      <c r="HHP37" s="118"/>
      <c r="HHQ37" s="118"/>
      <c r="HHR37" s="118"/>
      <c r="HHS37" s="118"/>
      <c r="HHT37" s="118"/>
      <c r="HHU37" s="118"/>
      <c r="HHV37" s="118"/>
      <c r="HHW37" s="118"/>
      <c r="HHX37" s="118"/>
      <c r="HHY37" s="118"/>
      <c r="HHZ37" s="118"/>
      <c r="HIA37" s="118"/>
      <c r="HIB37" s="118"/>
      <c r="HIC37" s="118"/>
      <c r="HID37" s="118"/>
      <c r="HIE37" s="118"/>
      <c r="HIF37" s="118"/>
      <c r="HIG37" s="118"/>
      <c r="HIH37" s="118"/>
      <c r="HII37" s="118"/>
      <c r="HIJ37" s="118"/>
      <c r="HIK37" s="118"/>
      <c r="HIL37" s="118"/>
      <c r="HIM37" s="118"/>
      <c r="HIN37" s="118"/>
      <c r="HIO37" s="118"/>
      <c r="HIP37" s="118"/>
      <c r="HIQ37" s="118"/>
      <c r="HIR37" s="118"/>
      <c r="HIS37" s="118"/>
      <c r="HIT37" s="118"/>
      <c r="HIU37" s="118"/>
      <c r="HIV37" s="118"/>
      <c r="HIW37" s="118"/>
      <c r="HIX37" s="118"/>
      <c r="HIY37" s="118"/>
      <c r="HIZ37" s="118"/>
      <c r="HJA37" s="118"/>
      <c r="HJB37" s="118"/>
      <c r="HJC37" s="118"/>
      <c r="HJD37" s="118"/>
      <c r="HJE37" s="118"/>
      <c r="HJF37" s="118"/>
      <c r="HJG37" s="118"/>
      <c r="HJH37" s="118"/>
      <c r="HJI37" s="118"/>
      <c r="HJJ37" s="118"/>
      <c r="HJK37" s="118"/>
      <c r="HJL37" s="118"/>
      <c r="HJM37" s="118"/>
      <c r="HJN37" s="118"/>
      <c r="HJO37" s="118"/>
      <c r="HJP37" s="118"/>
      <c r="HJQ37" s="118"/>
      <c r="HJR37" s="118"/>
      <c r="HJS37" s="118"/>
      <c r="HJT37" s="118"/>
      <c r="HJU37" s="118"/>
      <c r="HJV37" s="118"/>
      <c r="HJW37" s="118"/>
      <c r="HJX37" s="118"/>
      <c r="HJY37" s="118"/>
      <c r="HJZ37" s="118"/>
      <c r="HKA37" s="118"/>
      <c r="HKB37" s="118"/>
      <c r="HKC37" s="118"/>
      <c r="HKD37" s="118"/>
      <c r="HKE37" s="118"/>
      <c r="HKF37" s="118"/>
      <c r="HKG37" s="118"/>
      <c r="HKH37" s="118"/>
      <c r="HKI37" s="118"/>
      <c r="HKJ37" s="118"/>
      <c r="HKK37" s="118"/>
      <c r="HKL37" s="118"/>
      <c r="HKM37" s="118"/>
      <c r="HKN37" s="118"/>
      <c r="HKO37" s="118"/>
      <c r="HKP37" s="118"/>
      <c r="HKQ37" s="118"/>
      <c r="HKR37" s="118"/>
      <c r="HKS37" s="118"/>
      <c r="HKT37" s="118"/>
      <c r="HKU37" s="118"/>
      <c r="HKV37" s="118"/>
      <c r="HKW37" s="118"/>
      <c r="HKX37" s="118"/>
      <c r="HKY37" s="118"/>
      <c r="HKZ37" s="118"/>
      <c r="HLA37" s="118"/>
      <c r="HLB37" s="118"/>
      <c r="HLC37" s="118"/>
      <c r="HLD37" s="118"/>
      <c r="HLE37" s="118"/>
      <c r="HLF37" s="118"/>
      <c r="HLG37" s="118"/>
      <c r="HLH37" s="118"/>
      <c r="HLI37" s="118"/>
      <c r="HLJ37" s="118"/>
      <c r="HLK37" s="118"/>
      <c r="HLL37" s="118"/>
      <c r="HLM37" s="118"/>
      <c r="HLN37" s="118"/>
      <c r="HLO37" s="118"/>
      <c r="HLP37" s="118"/>
      <c r="HLQ37" s="118"/>
      <c r="HLR37" s="118"/>
      <c r="HLS37" s="118"/>
      <c r="HLT37" s="118"/>
      <c r="HLU37" s="118"/>
      <c r="HLV37" s="118"/>
      <c r="HLW37" s="118"/>
      <c r="HLX37" s="118"/>
      <c r="HLY37" s="118"/>
      <c r="HLZ37" s="118"/>
      <c r="HMA37" s="118"/>
      <c r="HMB37" s="118"/>
      <c r="HMC37" s="118"/>
      <c r="HMD37" s="118"/>
      <c r="HME37" s="118"/>
      <c r="HMF37" s="118"/>
      <c r="HMG37" s="118"/>
      <c r="HMH37" s="118"/>
      <c r="HMI37" s="118"/>
      <c r="HMJ37" s="118"/>
      <c r="HMK37" s="118"/>
      <c r="HML37" s="118"/>
      <c r="HMM37" s="118"/>
      <c r="HMN37" s="118"/>
      <c r="HMO37" s="118"/>
      <c r="HMP37" s="118"/>
      <c r="HMQ37" s="118"/>
      <c r="HMR37" s="118"/>
      <c r="HMS37" s="118"/>
      <c r="HMT37" s="118"/>
      <c r="HMU37" s="118"/>
      <c r="HMV37" s="118"/>
      <c r="HMW37" s="118"/>
      <c r="HMX37" s="118"/>
      <c r="HMY37" s="118"/>
      <c r="HMZ37" s="118"/>
      <c r="HNA37" s="118"/>
      <c r="HNB37" s="118"/>
      <c r="HNC37" s="118"/>
      <c r="HND37" s="118"/>
      <c r="HNE37" s="118"/>
      <c r="HNF37" s="118"/>
      <c r="HNG37" s="118"/>
      <c r="HNH37" s="118"/>
      <c r="HNI37" s="118"/>
      <c r="HNJ37" s="118"/>
      <c r="HNK37" s="118"/>
      <c r="HNL37" s="118"/>
      <c r="HNM37" s="118"/>
      <c r="HNN37" s="118"/>
      <c r="HNO37" s="118"/>
      <c r="HNP37" s="118"/>
      <c r="HNQ37" s="118"/>
      <c r="HNR37" s="118"/>
      <c r="HNS37" s="118"/>
      <c r="HNT37" s="118"/>
      <c r="HNU37" s="118"/>
      <c r="HNV37" s="118"/>
      <c r="HNW37" s="118"/>
      <c r="HNX37" s="118"/>
      <c r="HNY37" s="118"/>
      <c r="HNZ37" s="118"/>
      <c r="HOA37" s="118"/>
      <c r="HOB37" s="118"/>
      <c r="HOC37" s="118"/>
      <c r="HOD37" s="118"/>
      <c r="HOE37" s="118"/>
      <c r="HOF37" s="118"/>
      <c r="HOG37" s="118"/>
      <c r="HOH37" s="118"/>
      <c r="HOI37" s="118"/>
      <c r="HOJ37" s="118"/>
      <c r="HOK37" s="118"/>
      <c r="HOL37" s="118"/>
      <c r="HOM37" s="118"/>
      <c r="HON37" s="118"/>
      <c r="HOO37" s="118"/>
      <c r="HOP37" s="118"/>
      <c r="HOQ37" s="118"/>
      <c r="HOR37" s="118"/>
      <c r="HOS37" s="118"/>
      <c r="HOT37" s="118"/>
      <c r="HOU37" s="118"/>
      <c r="HOV37" s="118"/>
      <c r="HOW37" s="118"/>
      <c r="HOX37" s="118"/>
      <c r="HOY37" s="118"/>
      <c r="HOZ37" s="118"/>
      <c r="HPA37" s="118"/>
      <c r="HPB37" s="118"/>
      <c r="HPC37" s="118"/>
      <c r="HPD37" s="118"/>
      <c r="HPE37" s="118"/>
      <c r="HPF37" s="118"/>
      <c r="HPG37" s="118"/>
      <c r="HPH37" s="118"/>
      <c r="HPI37" s="118"/>
      <c r="HPJ37" s="118"/>
      <c r="HPK37" s="118"/>
      <c r="HPL37" s="118"/>
      <c r="HPM37" s="118"/>
      <c r="HPN37" s="118"/>
      <c r="HPO37" s="118"/>
      <c r="HPP37" s="118"/>
      <c r="HPQ37" s="118"/>
      <c r="HPR37" s="118"/>
      <c r="HPS37" s="118"/>
      <c r="HPT37" s="118"/>
      <c r="HPU37" s="118"/>
      <c r="HPV37" s="118"/>
      <c r="HPW37" s="118"/>
      <c r="HPX37" s="118"/>
      <c r="HPY37" s="118"/>
      <c r="HPZ37" s="118"/>
      <c r="HQA37" s="118"/>
      <c r="HQB37" s="118"/>
      <c r="HQC37" s="118"/>
      <c r="HQD37" s="118"/>
      <c r="HQE37" s="118"/>
      <c r="HQF37" s="118"/>
      <c r="HQG37" s="118"/>
      <c r="HQH37" s="118"/>
      <c r="HQI37" s="118"/>
      <c r="HQJ37" s="118"/>
      <c r="HQK37" s="118"/>
      <c r="HQL37" s="118"/>
      <c r="HQM37" s="118"/>
      <c r="HQN37" s="118"/>
      <c r="HQO37" s="118"/>
      <c r="HQP37" s="118"/>
      <c r="HQQ37" s="118"/>
      <c r="HQR37" s="118"/>
      <c r="HQS37" s="118"/>
      <c r="HQT37" s="118"/>
      <c r="HQU37" s="118"/>
      <c r="HQV37" s="118"/>
      <c r="HQW37" s="118"/>
      <c r="HQX37" s="118"/>
      <c r="HQY37" s="118"/>
      <c r="HQZ37" s="118"/>
      <c r="HRA37" s="118"/>
      <c r="HRB37" s="118"/>
      <c r="HRC37" s="118"/>
      <c r="HRD37" s="118"/>
      <c r="HRE37" s="118"/>
      <c r="HRF37" s="118"/>
      <c r="HRG37" s="118"/>
      <c r="HRH37" s="118"/>
      <c r="HRI37" s="118"/>
      <c r="HRJ37" s="118"/>
      <c r="HRK37" s="118"/>
      <c r="HRL37" s="118"/>
      <c r="HRM37" s="118"/>
      <c r="HRN37" s="118"/>
      <c r="HRO37" s="118"/>
      <c r="HRP37" s="118"/>
      <c r="HRQ37" s="118"/>
      <c r="HRR37" s="118"/>
      <c r="HRS37" s="118"/>
      <c r="HRT37" s="118"/>
      <c r="HRU37" s="118"/>
      <c r="HRV37" s="118"/>
      <c r="HRW37" s="118"/>
      <c r="HRX37" s="118"/>
      <c r="HRY37" s="118"/>
      <c r="HRZ37" s="118"/>
      <c r="HSA37" s="118"/>
      <c r="HSB37" s="118"/>
      <c r="HSC37" s="118"/>
      <c r="HSD37" s="118"/>
      <c r="HSE37" s="118"/>
      <c r="HSF37" s="118"/>
      <c r="HSG37" s="118"/>
      <c r="HSH37" s="118"/>
      <c r="HSI37" s="118"/>
      <c r="HSJ37" s="118"/>
      <c r="HSK37" s="118"/>
      <c r="HSL37" s="118"/>
      <c r="HSM37" s="118"/>
      <c r="HSN37" s="118"/>
      <c r="HSO37" s="118"/>
      <c r="HSP37" s="118"/>
      <c r="HSQ37" s="118"/>
      <c r="HSR37" s="118"/>
      <c r="HSS37" s="118"/>
      <c r="HST37" s="118"/>
      <c r="HSU37" s="118"/>
      <c r="HSV37" s="118"/>
      <c r="HSW37" s="118"/>
      <c r="HSX37" s="118"/>
      <c r="HSY37" s="118"/>
      <c r="HSZ37" s="118"/>
      <c r="HTA37" s="118"/>
      <c r="HTB37" s="118"/>
      <c r="HTC37" s="118"/>
      <c r="HTD37" s="118"/>
      <c r="HTE37" s="118"/>
      <c r="HTF37" s="118"/>
      <c r="HTG37" s="118"/>
      <c r="HTH37" s="118"/>
      <c r="HTI37" s="118"/>
      <c r="HTJ37" s="118"/>
      <c r="HTK37" s="118"/>
      <c r="HTL37" s="118"/>
      <c r="HTM37" s="118"/>
      <c r="HTN37" s="118"/>
      <c r="HTO37" s="118"/>
      <c r="HTP37" s="118"/>
      <c r="HTQ37" s="118"/>
      <c r="HTR37" s="118"/>
      <c r="HTS37" s="118"/>
      <c r="HTT37" s="118"/>
      <c r="HTU37" s="118"/>
      <c r="HTV37" s="118"/>
      <c r="HTW37" s="118"/>
      <c r="HTX37" s="118"/>
      <c r="HTY37" s="118"/>
      <c r="HTZ37" s="118"/>
      <c r="HUA37" s="118"/>
      <c r="HUB37" s="118"/>
      <c r="HUC37" s="118"/>
      <c r="HUD37" s="118"/>
      <c r="HUE37" s="118"/>
      <c r="HUF37" s="118"/>
      <c r="HUG37" s="118"/>
      <c r="HUH37" s="118"/>
      <c r="HUI37" s="118"/>
      <c r="HUJ37" s="118"/>
      <c r="HUK37" s="118"/>
      <c r="HUL37" s="118"/>
      <c r="HUM37" s="118"/>
      <c r="HUN37" s="118"/>
      <c r="HUO37" s="118"/>
      <c r="HUP37" s="118"/>
      <c r="HUQ37" s="118"/>
      <c r="HUR37" s="118"/>
      <c r="HUS37" s="118"/>
      <c r="HUT37" s="118"/>
      <c r="HUU37" s="118"/>
      <c r="HUV37" s="118"/>
      <c r="HUW37" s="118"/>
      <c r="HUX37" s="118"/>
      <c r="HUY37" s="118"/>
      <c r="HUZ37" s="118"/>
      <c r="HVA37" s="118"/>
      <c r="HVB37" s="118"/>
      <c r="HVC37" s="118"/>
      <c r="HVD37" s="118"/>
      <c r="HVE37" s="118"/>
      <c r="HVF37" s="118"/>
      <c r="HVG37" s="118"/>
      <c r="HVH37" s="118"/>
      <c r="HVI37" s="118"/>
      <c r="HVJ37" s="118"/>
      <c r="HVK37" s="118"/>
      <c r="HVL37" s="118"/>
      <c r="HVM37" s="118"/>
      <c r="HVN37" s="118"/>
      <c r="HVO37" s="118"/>
      <c r="HVP37" s="118"/>
      <c r="HVQ37" s="118"/>
      <c r="HVR37" s="118"/>
      <c r="HVS37" s="118"/>
      <c r="HVT37" s="118"/>
      <c r="HVU37" s="118"/>
      <c r="HVV37" s="118"/>
      <c r="HVW37" s="118"/>
      <c r="HVX37" s="118"/>
      <c r="HVY37" s="118"/>
      <c r="HVZ37" s="118"/>
      <c r="HWA37" s="118"/>
      <c r="HWB37" s="118"/>
      <c r="HWC37" s="118"/>
      <c r="HWD37" s="118"/>
      <c r="HWE37" s="118"/>
      <c r="HWF37" s="118"/>
      <c r="HWG37" s="118"/>
      <c r="HWH37" s="118"/>
      <c r="HWI37" s="118"/>
      <c r="HWJ37" s="118"/>
      <c r="HWK37" s="118"/>
      <c r="HWL37" s="118"/>
      <c r="HWM37" s="118"/>
      <c r="HWN37" s="118"/>
      <c r="HWO37" s="118"/>
      <c r="HWP37" s="118"/>
      <c r="HWQ37" s="118"/>
      <c r="HWR37" s="118"/>
      <c r="HWS37" s="118"/>
      <c r="HWT37" s="118"/>
      <c r="HWU37" s="118"/>
      <c r="HWV37" s="118"/>
      <c r="HWW37" s="118"/>
      <c r="HWX37" s="118"/>
      <c r="HWY37" s="118"/>
      <c r="HWZ37" s="118"/>
      <c r="HXA37" s="118"/>
      <c r="HXB37" s="118"/>
      <c r="HXC37" s="118"/>
      <c r="HXD37" s="118"/>
      <c r="HXE37" s="118"/>
      <c r="HXF37" s="118"/>
      <c r="HXG37" s="118"/>
      <c r="HXH37" s="118"/>
      <c r="HXI37" s="118"/>
      <c r="HXJ37" s="118"/>
      <c r="HXK37" s="118"/>
      <c r="HXL37" s="118"/>
      <c r="HXM37" s="118"/>
      <c r="HXN37" s="118"/>
      <c r="HXO37" s="118"/>
      <c r="HXP37" s="118"/>
      <c r="HXQ37" s="118"/>
      <c r="HXR37" s="118"/>
      <c r="HXS37" s="118"/>
      <c r="HXT37" s="118"/>
      <c r="HXU37" s="118"/>
      <c r="HXV37" s="118"/>
      <c r="HXW37" s="118"/>
      <c r="HXX37" s="118"/>
      <c r="HXY37" s="118"/>
      <c r="HXZ37" s="118"/>
      <c r="HYA37" s="118"/>
      <c r="HYB37" s="118"/>
      <c r="HYC37" s="118"/>
      <c r="HYD37" s="118"/>
      <c r="HYE37" s="118"/>
      <c r="HYF37" s="118"/>
      <c r="HYG37" s="118"/>
      <c r="HYH37" s="118"/>
      <c r="HYI37" s="118"/>
      <c r="HYJ37" s="118"/>
      <c r="HYK37" s="118"/>
      <c r="HYL37" s="118"/>
      <c r="HYM37" s="118"/>
      <c r="HYN37" s="118"/>
      <c r="HYO37" s="118"/>
      <c r="HYP37" s="118"/>
      <c r="HYQ37" s="118"/>
      <c r="HYR37" s="118"/>
      <c r="HYS37" s="118"/>
      <c r="HYT37" s="118"/>
      <c r="HYU37" s="118"/>
      <c r="HYV37" s="118"/>
      <c r="HYW37" s="118"/>
      <c r="HYX37" s="118"/>
      <c r="HYY37" s="118"/>
      <c r="HYZ37" s="118"/>
      <c r="HZA37" s="118"/>
      <c r="HZB37" s="118"/>
      <c r="HZC37" s="118"/>
      <c r="HZD37" s="118"/>
      <c r="HZE37" s="118"/>
      <c r="HZF37" s="118"/>
      <c r="HZG37" s="118"/>
      <c r="HZH37" s="118"/>
      <c r="HZI37" s="118"/>
      <c r="HZJ37" s="118"/>
      <c r="HZK37" s="118"/>
      <c r="HZL37" s="118"/>
      <c r="HZM37" s="118"/>
      <c r="HZN37" s="118"/>
      <c r="HZO37" s="118"/>
      <c r="HZP37" s="118"/>
      <c r="HZQ37" s="118"/>
      <c r="HZR37" s="118"/>
      <c r="HZS37" s="118"/>
      <c r="HZT37" s="118"/>
      <c r="HZU37" s="118"/>
      <c r="HZV37" s="118"/>
      <c r="HZW37" s="118"/>
      <c r="HZX37" s="118"/>
      <c r="HZY37" s="118"/>
      <c r="HZZ37" s="118"/>
      <c r="IAA37" s="118"/>
      <c r="IAB37" s="118"/>
      <c r="IAC37" s="118"/>
      <c r="IAD37" s="118"/>
      <c r="IAE37" s="118"/>
      <c r="IAF37" s="118"/>
      <c r="IAG37" s="118"/>
      <c r="IAH37" s="118"/>
      <c r="IAI37" s="118"/>
      <c r="IAJ37" s="118"/>
      <c r="IAK37" s="118"/>
      <c r="IAL37" s="118"/>
      <c r="IAM37" s="118"/>
      <c r="IAN37" s="118"/>
      <c r="IAO37" s="118"/>
      <c r="IAP37" s="118"/>
      <c r="IAQ37" s="118"/>
      <c r="IAR37" s="118"/>
      <c r="IAS37" s="118"/>
      <c r="IAT37" s="118"/>
      <c r="IAU37" s="118"/>
      <c r="IAV37" s="118"/>
      <c r="IAW37" s="118"/>
      <c r="IAX37" s="118"/>
      <c r="IAY37" s="118"/>
      <c r="IAZ37" s="118"/>
      <c r="IBA37" s="118"/>
      <c r="IBB37" s="118"/>
      <c r="IBC37" s="118"/>
      <c r="IBD37" s="118"/>
      <c r="IBE37" s="118"/>
      <c r="IBF37" s="118"/>
      <c r="IBG37" s="118"/>
      <c r="IBH37" s="118"/>
      <c r="IBI37" s="118"/>
      <c r="IBJ37" s="118"/>
      <c r="IBK37" s="118"/>
      <c r="IBL37" s="118"/>
      <c r="IBM37" s="118"/>
      <c r="IBN37" s="118"/>
      <c r="IBO37" s="118"/>
      <c r="IBP37" s="118"/>
      <c r="IBQ37" s="118"/>
      <c r="IBR37" s="118"/>
      <c r="IBS37" s="118"/>
      <c r="IBT37" s="118"/>
      <c r="IBU37" s="118"/>
      <c r="IBV37" s="118"/>
      <c r="IBW37" s="118"/>
      <c r="IBX37" s="118"/>
      <c r="IBY37" s="118"/>
      <c r="IBZ37" s="118"/>
      <c r="ICA37" s="118"/>
      <c r="ICB37" s="118"/>
      <c r="ICC37" s="118"/>
      <c r="ICD37" s="118"/>
      <c r="ICE37" s="118"/>
      <c r="ICF37" s="118"/>
      <c r="ICG37" s="118"/>
      <c r="ICH37" s="118"/>
      <c r="ICI37" s="118"/>
      <c r="ICJ37" s="118"/>
      <c r="ICK37" s="118"/>
      <c r="ICL37" s="118"/>
      <c r="ICM37" s="118"/>
      <c r="ICN37" s="118"/>
      <c r="ICO37" s="118"/>
      <c r="ICP37" s="118"/>
      <c r="ICQ37" s="118"/>
      <c r="ICR37" s="118"/>
      <c r="ICS37" s="118"/>
      <c r="ICT37" s="118"/>
      <c r="ICU37" s="118"/>
      <c r="ICV37" s="118"/>
      <c r="ICW37" s="118"/>
      <c r="ICX37" s="118"/>
      <c r="ICY37" s="118"/>
      <c r="ICZ37" s="118"/>
      <c r="IDA37" s="118"/>
      <c r="IDB37" s="118"/>
      <c r="IDC37" s="118"/>
      <c r="IDD37" s="118"/>
      <c r="IDE37" s="118"/>
      <c r="IDF37" s="118"/>
      <c r="IDG37" s="118"/>
      <c r="IDH37" s="118"/>
      <c r="IDI37" s="118"/>
      <c r="IDJ37" s="118"/>
      <c r="IDK37" s="118"/>
      <c r="IDL37" s="118"/>
      <c r="IDM37" s="118"/>
      <c r="IDN37" s="118"/>
      <c r="IDO37" s="118"/>
      <c r="IDP37" s="118"/>
      <c r="IDQ37" s="118"/>
      <c r="IDR37" s="118"/>
      <c r="IDS37" s="118"/>
      <c r="IDT37" s="118"/>
      <c r="IDU37" s="118"/>
      <c r="IDV37" s="118"/>
      <c r="IDW37" s="118"/>
      <c r="IDX37" s="118"/>
      <c r="IDY37" s="118"/>
      <c r="IDZ37" s="118"/>
      <c r="IEA37" s="118"/>
      <c r="IEB37" s="118"/>
      <c r="IEC37" s="118"/>
      <c r="IED37" s="118"/>
      <c r="IEE37" s="118"/>
      <c r="IEF37" s="118"/>
      <c r="IEG37" s="118"/>
      <c r="IEH37" s="118"/>
      <c r="IEI37" s="118"/>
      <c r="IEJ37" s="118"/>
      <c r="IEK37" s="118"/>
      <c r="IEL37" s="118"/>
      <c r="IEM37" s="118"/>
      <c r="IEN37" s="118"/>
      <c r="IEO37" s="118"/>
      <c r="IEP37" s="118"/>
      <c r="IEQ37" s="118"/>
      <c r="IER37" s="118"/>
      <c r="IES37" s="118"/>
      <c r="IET37" s="118"/>
      <c r="IEU37" s="118"/>
      <c r="IEV37" s="118"/>
      <c r="IEW37" s="118"/>
      <c r="IEX37" s="118"/>
      <c r="IEY37" s="118"/>
      <c r="IEZ37" s="118"/>
      <c r="IFA37" s="118"/>
      <c r="IFB37" s="118"/>
      <c r="IFC37" s="118"/>
      <c r="IFD37" s="118"/>
      <c r="IFE37" s="118"/>
      <c r="IFF37" s="118"/>
      <c r="IFG37" s="118"/>
      <c r="IFH37" s="118"/>
      <c r="IFI37" s="118"/>
      <c r="IFJ37" s="118"/>
      <c r="IFK37" s="118"/>
      <c r="IFL37" s="118"/>
      <c r="IFM37" s="118"/>
      <c r="IFN37" s="118"/>
      <c r="IFO37" s="118"/>
      <c r="IFP37" s="118"/>
      <c r="IFQ37" s="118"/>
      <c r="IFR37" s="118"/>
      <c r="IFS37" s="118"/>
      <c r="IFT37" s="118"/>
      <c r="IFU37" s="118"/>
      <c r="IFV37" s="118"/>
      <c r="IFW37" s="118"/>
      <c r="IFX37" s="118"/>
      <c r="IFY37" s="118"/>
      <c r="IFZ37" s="118"/>
      <c r="IGA37" s="118"/>
      <c r="IGB37" s="118"/>
      <c r="IGC37" s="118"/>
      <c r="IGD37" s="118"/>
      <c r="IGE37" s="118"/>
      <c r="IGF37" s="118"/>
      <c r="IGG37" s="118"/>
      <c r="IGH37" s="118"/>
      <c r="IGI37" s="118"/>
      <c r="IGJ37" s="118"/>
      <c r="IGK37" s="118"/>
      <c r="IGL37" s="118"/>
      <c r="IGM37" s="118"/>
      <c r="IGN37" s="118"/>
      <c r="IGO37" s="118"/>
      <c r="IGP37" s="118"/>
      <c r="IGQ37" s="118"/>
      <c r="IGR37" s="118"/>
      <c r="IGS37" s="118"/>
      <c r="IGT37" s="118"/>
      <c r="IGU37" s="118"/>
      <c r="IGV37" s="118"/>
      <c r="IGW37" s="118"/>
      <c r="IGX37" s="118"/>
      <c r="IGY37" s="118"/>
      <c r="IGZ37" s="118"/>
      <c r="IHA37" s="118"/>
      <c r="IHB37" s="118"/>
      <c r="IHC37" s="118"/>
      <c r="IHD37" s="118"/>
      <c r="IHE37" s="118"/>
      <c r="IHF37" s="118"/>
      <c r="IHG37" s="118"/>
      <c r="IHH37" s="118"/>
      <c r="IHI37" s="118"/>
      <c r="IHJ37" s="118"/>
      <c r="IHK37" s="118"/>
      <c r="IHL37" s="118"/>
      <c r="IHM37" s="118"/>
      <c r="IHN37" s="118"/>
      <c r="IHO37" s="118"/>
      <c r="IHP37" s="118"/>
      <c r="IHQ37" s="118"/>
      <c r="IHR37" s="118"/>
      <c r="IHS37" s="118"/>
      <c r="IHT37" s="118"/>
      <c r="IHU37" s="118"/>
      <c r="IHV37" s="118"/>
      <c r="IHW37" s="118"/>
      <c r="IHX37" s="118"/>
      <c r="IHY37" s="118"/>
      <c r="IHZ37" s="118"/>
      <c r="IIA37" s="118"/>
      <c r="IIB37" s="118"/>
      <c r="IIC37" s="118"/>
      <c r="IID37" s="118"/>
      <c r="IIE37" s="118"/>
      <c r="IIF37" s="118"/>
      <c r="IIG37" s="118"/>
      <c r="IIH37" s="118"/>
      <c r="III37" s="118"/>
      <c r="IIJ37" s="118"/>
      <c r="IIK37" s="118"/>
      <c r="IIL37" s="118"/>
      <c r="IIM37" s="118"/>
      <c r="IIN37" s="118"/>
      <c r="IIO37" s="118"/>
      <c r="IIP37" s="118"/>
      <c r="IIQ37" s="118"/>
      <c r="IIR37" s="118"/>
      <c r="IIS37" s="118"/>
      <c r="IIT37" s="118"/>
      <c r="IIU37" s="118"/>
      <c r="IIV37" s="118"/>
      <c r="IIW37" s="118"/>
      <c r="IIX37" s="118"/>
      <c r="IIY37" s="118"/>
      <c r="IIZ37" s="118"/>
      <c r="IJA37" s="118"/>
      <c r="IJB37" s="118"/>
      <c r="IJC37" s="118"/>
      <c r="IJD37" s="118"/>
      <c r="IJE37" s="118"/>
      <c r="IJF37" s="118"/>
      <c r="IJG37" s="118"/>
      <c r="IJH37" s="118"/>
      <c r="IJI37" s="118"/>
      <c r="IJJ37" s="118"/>
      <c r="IJK37" s="118"/>
      <c r="IJL37" s="118"/>
      <c r="IJM37" s="118"/>
      <c r="IJN37" s="118"/>
      <c r="IJO37" s="118"/>
      <c r="IJP37" s="118"/>
      <c r="IJQ37" s="118"/>
      <c r="IJR37" s="118"/>
      <c r="IJS37" s="118"/>
      <c r="IJT37" s="118"/>
      <c r="IJU37" s="118"/>
      <c r="IJV37" s="118"/>
      <c r="IJW37" s="118"/>
      <c r="IJX37" s="118"/>
      <c r="IJY37" s="118"/>
      <c r="IJZ37" s="118"/>
      <c r="IKA37" s="118"/>
      <c r="IKB37" s="118"/>
      <c r="IKC37" s="118"/>
      <c r="IKD37" s="118"/>
      <c r="IKE37" s="118"/>
      <c r="IKF37" s="118"/>
      <c r="IKG37" s="118"/>
      <c r="IKH37" s="118"/>
      <c r="IKI37" s="118"/>
      <c r="IKJ37" s="118"/>
      <c r="IKK37" s="118"/>
      <c r="IKL37" s="118"/>
      <c r="IKM37" s="118"/>
      <c r="IKN37" s="118"/>
      <c r="IKO37" s="118"/>
      <c r="IKP37" s="118"/>
      <c r="IKQ37" s="118"/>
      <c r="IKR37" s="118"/>
      <c r="IKS37" s="118"/>
      <c r="IKT37" s="118"/>
      <c r="IKU37" s="118"/>
      <c r="IKV37" s="118"/>
      <c r="IKW37" s="118"/>
      <c r="IKX37" s="118"/>
      <c r="IKY37" s="118"/>
      <c r="IKZ37" s="118"/>
      <c r="ILA37" s="118"/>
      <c r="ILB37" s="118"/>
      <c r="ILC37" s="118"/>
      <c r="ILD37" s="118"/>
      <c r="ILE37" s="118"/>
      <c r="ILF37" s="118"/>
      <c r="ILG37" s="118"/>
      <c r="ILH37" s="118"/>
      <c r="ILI37" s="118"/>
      <c r="ILJ37" s="118"/>
      <c r="ILK37" s="118"/>
      <c r="ILL37" s="118"/>
      <c r="ILM37" s="118"/>
      <c r="ILN37" s="118"/>
      <c r="ILO37" s="118"/>
      <c r="ILP37" s="118"/>
      <c r="ILQ37" s="118"/>
      <c r="ILR37" s="118"/>
      <c r="ILS37" s="118"/>
      <c r="ILT37" s="118"/>
      <c r="ILU37" s="118"/>
      <c r="ILV37" s="118"/>
      <c r="ILW37" s="118"/>
      <c r="ILX37" s="118"/>
      <c r="ILY37" s="118"/>
      <c r="ILZ37" s="118"/>
      <c r="IMA37" s="118"/>
      <c r="IMB37" s="118"/>
      <c r="IMC37" s="118"/>
      <c r="IMD37" s="118"/>
      <c r="IME37" s="118"/>
      <c r="IMF37" s="118"/>
      <c r="IMG37" s="118"/>
      <c r="IMH37" s="118"/>
      <c r="IMI37" s="118"/>
      <c r="IMJ37" s="118"/>
      <c r="IMK37" s="118"/>
      <c r="IML37" s="118"/>
      <c r="IMM37" s="118"/>
      <c r="IMN37" s="118"/>
      <c r="IMO37" s="118"/>
      <c r="IMP37" s="118"/>
      <c r="IMQ37" s="118"/>
      <c r="IMR37" s="118"/>
      <c r="IMS37" s="118"/>
      <c r="IMT37" s="118"/>
      <c r="IMU37" s="118"/>
      <c r="IMV37" s="118"/>
      <c r="IMW37" s="118"/>
      <c r="IMX37" s="118"/>
      <c r="IMY37" s="118"/>
      <c r="IMZ37" s="118"/>
      <c r="INA37" s="118"/>
      <c r="INB37" s="118"/>
      <c r="INC37" s="118"/>
      <c r="IND37" s="118"/>
      <c r="INE37" s="118"/>
      <c r="INF37" s="118"/>
      <c r="ING37" s="118"/>
      <c r="INH37" s="118"/>
      <c r="INI37" s="118"/>
      <c r="INJ37" s="118"/>
      <c r="INK37" s="118"/>
      <c r="INL37" s="118"/>
      <c r="INM37" s="118"/>
      <c r="INN37" s="118"/>
      <c r="INO37" s="118"/>
      <c r="INP37" s="118"/>
      <c r="INQ37" s="118"/>
      <c r="INR37" s="118"/>
      <c r="INS37" s="118"/>
      <c r="INT37" s="118"/>
      <c r="INU37" s="118"/>
      <c r="INV37" s="118"/>
      <c r="INW37" s="118"/>
      <c r="INX37" s="118"/>
      <c r="INY37" s="118"/>
      <c r="INZ37" s="118"/>
      <c r="IOA37" s="118"/>
      <c r="IOB37" s="118"/>
      <c r="IOC37" s="118"/>
      <c r="IOD37" s="118"/>
      <c r="IOE37" s="118"/>
      <c r="IOF37" s="118"/>
      <c r="IOG37" s="118"/>
      <c r="IOH37" s="118"/>
      <c r="IOI37" s="118"/>
      <c r="IOJ37" s="118"/>
      <c r="IOK37" s="118"/>
      <c r="IOL37" s="118"/>
      <c r="IOM37" s="118"/>
      <c r="ION37" s="118"/>
      <c r="IOO37" s="118"/>
      <c r="IOP37" s="118"/>
      <c r="IOQ37" s="118"/>
      <c r="IOR37" s="118"/>
      <c r="IOS37" s="118"/>
      <c r="IOT37" s="118"/>
      <c r="IOU37" s="118"/>
      <c r="IOV37" s="118"/>
      <c r="IOW37" s="118"/>
      <c r="IOX37" s="118"/>
      <c r="IOY37" s="118"/>
      <c r="IOZ37" s="118"/>
      <c r="IPA37" s="118"/>
      <c r="IPB37" s="118"/>
      <c r="IPC37" s="118"/>
      <c r="IPD37" s="118"/>
      <c r="IPE37" s="118"/>
      <c r="IPF37" s="118"/>
      <c r="IPG37" s="118"/>
      <c r="IPH37" s="118"/>
      <c r="IPI37" s="118"/>
      <c r="IPJ37" s="118"/>
      <c r="IPK37" s="118"/>
      <c r="IPL37" s="118"/>
      <c r="IPM37" s="118"/>
      <c r="IPN37" s="118"/>
      <c r="IPO37" s="118"/>
      <c r="IPP37" s="118"/>
      <c r="IPQ37" s="118"/>
      <c r="IPR37" s="118"/>
      <c r="IPS37" s="118"/>
      <c r="IPT37" s="118"/>
      <c r="IPU37" s="118"/>
      <c r="IPV37" s="118"/>
      <c r="IPW37" s="118"/>
      <c r="IPX37" s="118"/>
      <c r="IPY37" s="118"/>
      <c r="IPZ37" s="118"/>
      <c r="IQA37" s="118"/>
      <c r="IQB37" s="118"/>
      <c r="IQC37" s="118"/>
      <c r="IQD37" s="118"/>
      <c r="IQE37" s="118"/>
      <c r="IQF37" s="118"/>
      <c r="IQG37" s="118"/>
      <c r="IQH37" s="118"/>
      <c r="IQI37" s="118"/>
      <c r="IQJ37" s="118"/>
      <c r="IQK37" s="118"/>
      <c r="IQL37" s="118"/>
      <c r="IQM37" s="118"/>
      <c r="IQN37" s="118"/>
      <c r="IQO37" s="118"/>
      <c r="IQP37" s="118"/>
      <c r="IQQ37" s="118"/>
      <c r="IQR37" s="118"/>
      <c r="IQS37" s="118"/>
      <c r="IQT37" s="118"/>
      <c r="IQU37" s="118"/>
      <c r="IQV37" s="118"/>
      <c r="IQW37" s="118"/>
      <c r="IQX37" s="118"/>
      <c r="IQY37" s="118"/>
      <c r="IQZ37" s="118"/>
      <c r="IRA37" s="118"/>
      <c r="IRB37" s="118"/>
      <c r="IRC37" s="118"/>
      <c r="IRD37" s="118"/>
      <c r="IRE37" s="118"/>
      <c r="IRF37" s="118"/>
      <c r="IRG37" s="118"/>
      <c r="IRH37" s="118"/>
      <c r="IRI37" s="118"/>
      <c r="IRJ37" s="118"/>
      <c r="IRK37" s="118"/>
      <c r="IRL37" s="118"/>
      <c r="IRM37" s="118"/>
      <c r="IRN37" s="118"/>
      <c r="IRO37" s="118"/>
      <c r="IRP37" s="118"/>
      <c r="IRQ37" s="118"/>
      <c r="IRR37" s="118"/>
      <c r="IRS37" s="118"/>
      <c r="IRT37" s="118"/>
      <c r="IRU37" s="118"/>
      <c r="IRV37" s="118"/>
      <c r="IRW37" s="118"/>
      <c r="IRX37" s="118"/>
      <c r="IRY37" s="118"/>
      <c r="IRZ37" s="118"/>
      <c r="ISA37" s="118"/>
      <c r="ISB37" s="118"/>
      <c r="ISC37" s="118"/>
      <c r="ISD37" s="118"/>
      <c r="ISE37" s="118"/>
      <c r="ISF37" s="118"/>
      <c r="ISG37" s="118"/>
      <c r="ISH37" s="118"/>
      <c r="ISI37" s="118"/>
      <c r="ISJ37" s="118"/>
      <c r="ISK37" s="118"/>
      <c r="ISL37" s="118"/>
      <c r="ISM37" s="118"/>
      <c r="ISN37" s="118"/>
      <c r="ISO37" s="118"/>
      <c r="ISP37" s="118"/>
      <c r="ISQ37" s="118"/>
      <c r="ISR37" s="118"/>
      <c r="ISS37" s="118"/>
      <c r="IST37" s="118"/>
      <c r="ISU37" s="118"/>
      <c r="ISV37" s="118"/>
      <c r="ISW37" s="118"/>
      <c r="ISX37" s="118"/>
      <c r="ISY37" s="118"/>
      <c r="ISZ37" s="118"/>
      <c r="ITA37" s="118"/>
      <c r="ITB37" s="118"/>
      <c r="ITC37" s="118"/>
      <c r="ITD37" s="118"/>
      <c r="ITE37" s="118"/>
      <c r="ITF37" s="118"/>
      <c r="ITG37" s="118"/>
      <c r="ITH37" s="118"/>
      <c r="ITI37" s="118"/>
      <c r="ITJ37" s="118"/>
      <c r="ITK37" s="118"/>
      <c r="ITL37" s="118"/>
      <c r="ITM37" s="118"/>
      <c r="ITN37" s="118"/>
      <c r="ITO37" s="118"/>
      <c r="ITP37" s="118"/>
      <c r="ITQ37" s="118"/>
      <c r="ITR37" s="118"/>
      <c r="ITS37" s="118"/>
      <c r="ITT37" s="118"/>
      <c r="ITU37" s="118"/>
      <c r="ITV37" s="118"/>
      <c r="ITW37" s="118"/>
      <c r="ITX37" s="118"/>
      <c r="ITY37" s="118"/>
      <c r="ITZ37" s="118"/>
      <c r="IUA37" s="118"/>
      <c r="IUB37" s="118"/>
      <c r="IUC37" s="118"/>
      <c r="IUD37" s="118"/>
      <c r="IUE37" s="118"/>
      <c r="IUF37" s="118"/>
      <c r="IUG37" s="118"/>
      <c r="IUH37" s="118"/>
      <c r="IUI37" s="118"/>
      <c r="IUJ37" s="118"/>
      <c r="IUK37" s="118"/>
      <c r="IUL37" s="118"/>
      <c r="IUM37" s="118"/>
      <c r="IUN37" s="118"/>
      <c r="IUO37" s="118"/>
      <c r="IUP37" s="118"/>
      <c r="IUQ37" s="118"/>
      <c r="IUR37" s="118"/>
      <c r="IUS37" s="118"/>
      <c r="IUT37" s="118"/>
      <c r="IUU37" s="118"/>
      <c r="IUV37" s="118"/>
      <c r="IUW37" s="118"/>
      <c r="IUX37" s="118"/>
      <c r="IUY37" s="118"/>
      <c r="IUZ37" s="118"/>
      <c r="IVA37" s="118"/>
      <c r="IVB37" s="118"/>
      <c r="IVC37" s="118"/>
      <c r="IVD37" s="118"/>
      <c r="IVE37" s="118"/>
      <c r="IVF37" s="118"/>
      <c r="IVG37" s="118"/>
      <c r="IVH37" s="118"/>
      <c r="IVI37" s="118"/>
      <c r="IVJ37" s="118"/>
      <c r="IVK37" s="118"/>
      <c r="IVL37" s="118"/>
      <c r="IVM37" s="118"/>
      <c r="IVN37" s="118"/>
      <c r="IVO37" s="118"/>
      <c r="IVP37" s="118"/>
      <c r="IVQ37" s="118"/>
      <c r="IVR37" s="118"/>
      <c r="IVS37" s="118"/>
      <c r="IVT37" s="118"/>
      <c r="IVU37" s="118"/>
      <c r="IVV37" s="118"/>
      <c r="IVW37" s="118"/>
      <c r="IVX37" s="118"/>
      <c r="IVY37" s="118"/>
      <c r="IVZ37" s="118"/>
      <c r="IWA37" s="118"/>
      <c r="IWB37" s="118"/>
      <c r="IWC37" s="118"/>
      <c r="IWD37" s="118"/>
      <c r="IWE37" s="118"/>
      <c r="IWF37" s="118"/>
      <c r="IWG37" s="118"/>
      <c r="IWH37" s="118"/>
      <c r="IWI37" s="118"/>
      <c r="IWJ37" s="118"/>
      <c r="IWK37" s="118"/>
      <c r="IWL37" s="118"/>
      <c r="IWM37" s="118"/>
      <c r="IWN37" s="118"/>
      <c r="IWO37" s="118"/>
      <c r="IWP37" s="118"/>
      <c r="IWQ37" s="118"/>
      <c r="IWR37" s="118"/>
      <c r="IWS37" s="118"/>
      <c r="IWT37" s="118"/>
      <c r="IWU37" s="118"/>
      <c r="IWV37" s="118"/>
      <c r="IWW37" s="118"/>
      <c r="IWX37" s="118"/>
      <c r="IWY37" s="118"/>
      <c r="IWZ37" s="118"/>
      <c r="IXA37" s="118"/>
      <c r="IXB37" s="118"/>
      <c r="IXC37" s="118"/>
      <c r="IXD37" s="118"/>
      <c r="IXE37" s="118"/>
      <c r="IXF37" s="118"/>
      <c r="IXG37" s="118"/>
      <c r="IXH37" s="118"/>
      <c r="IXI37" s="118"/>
      <c r="IXJ37" s="118"/>
      <c r="IXK37" s="118"/>
      <c r="IXL37" s="118"/>
      <c r="IXM37" s="118"/>
      <c r="IXN37" s="118"/>
      <c r="IXO37" s="118"/>
      <c r="IXP37" s="118"/>
      <c r="IXQ37" s="118"/>
      <c r="IXR37" s="118"/>
      <c r="IXS37" s="118"/>
      <c r="IXT37" s="118"/>
      <c r="IXU37" s="118"/>
      <c r="IXV37" s="118"/>
      <c r="IXW37" s="118"/>
      <c r="IXX37" s="118"/>
      <c r="IXY37" s="118"/>
      <c r="IXZ37" s="118"/>
      <c r="IYA37" s="118"/>
      <c r="IYB37" s="118"/>
      <c r="IYC37" s="118"/>
      <c r="IYD37" s="118"/>
      <c r="IYE37" s="118"/>
      <c r="IYF37" s="118"/>
      <c r="IYG37" s="118"/>
      <c r="IYH37" s="118"/>
      <c r="IYI37" s="118"/>
      <c r="IYJ37" s="118"/>
      <c r="IYK37" s="118"/>
      <c r="IYL37" s="118"/>
      <c r="IYM37" s="118"/>
      <c r="IYN37" s="118"/>
      <c r="IYO37" s="118"/>
      <c r="IYP37" s="118"/>
      <c r="IYQ37" s="118"/>
      <c r="IYR37" s="118"/>
      <c r="IYS37" s="118"/>
      <c r="IYT37" s="118"/>
      <c r="IYU37" s="118"/>
      <c r="IYV37" s="118"/>
      <c r="IYW37" s="118"/>
      <c r="IYX37" s="118"/>
      <c r="IYY37" s="118"/>
      <c r="IYZ37" s="118"/>
      <c r="IZA37" s="118"/>
      <c r="IZB37" s="118"/>
      <c r="IZC37" s="118"/>
      <c r="IZD37" s="118"/>
      <c r="IZE37" s="118"/>
      <c r="IZF37" s="118"/>
      <c r="IZG37" s="118"/>
      <c r="IZH37" s="118"/>
      <c r="IZI37" s="118"/>
      <c r="IZJ37" s="118"/>
      <c r="IZK37" s="118"/>
      <c r="IZL37" s="118"/>
      <c r="IZM37" s="118"/>
      <c r="IZN37" s="118"/>
      <c r="IZO37" s="118"/>
      <c r="IZP37" s="118"/>
      <c r="IZQ37" s="118"/>
      <c r="IZR37" s="118"/>
      <c r="IZS37" s="118"/>
      <c r="IZT37" s="118"/>
      <c r="IZU37" s="118"/>
      <c r="IZV37" s="118"/>
      <c r="IZW37" s="118"/>
      <c r="IZX37" s="118"/>
      <c r="IZY37" s="118"/>
      <c r="IZZ37" s="118"/>
      <c r="JAA37" s="118"/>
      <c r="JAB37" s="118"/>
      <c r="JAC37" s="118"/>
      <c r="JAD37" s="118"/>
      <c r="JAE37" s="118"/>
      <c r="JAF37" s="118"/>
      <c r="JAG37" s="118"/>
      <c r="JAH37" s="118"/>
      <c r="JAI37" s="118"/>
      <c r="JAJ37" s="118"/>
      <c r="JAK37" s="118"/>
      <c r="JAL37" s="118"/>
      <c r="JAM37" s="118"/>
      <c r="JAN37" s="118"/>
      <c r="JAO37" s="118"/>
      <c r="JAP37" s="118"/>
      <c r="JAQ37" s="118"/>
      <c r="JAR37" s="118"/>
      <c r="JAS37" s="118"/>
      <c r="JAT37" s="118"/>
      <c r="JAU37" s="118"/>
      <c r="JAV37" s="118"/>
      <c r="JAW37" s="118"/>
      <c r="JAX37" s="118"/>
      <c r="JAY37" s="118"/>
      <c r="JAZ37" s="118"/>
      <c r="JBA37" s="118"/>
      <c r="JBB37" s="118"/>
      <c r="JBC37" s="118"/>
      <c r="JBD37" s="118"/>
      <c r="JBE37" s="118"/>
      <c r="JBF37" s="118"/>
      <c r="JBG37" s="118"/>
      <c r="JBH37" s="118"/>
      <c r="JBI37" s="118"/>
      <c r="JBJ37" s="118"/>
      <c r="JBK37" s="118"/>
      <c r="JBL37" s="118"/>
      <c r="JBM37" s="118"/>
      <c r="JBN37" s="118"/>
      <c r="JBO37" s="118"/>
      <c r="JBP37" s="118"/>
      <c r="JBQ37" s="118"/>
      <c r="JBR37" s="118"/>
      <c r="JBS37" s="118"/>
      <c r="JBT37" s="118"/>
      <c r="JBU37" s="118"/>
      <c r="JBV37" s="118"/>
      <c r="JBW37" s="118"/>
      <c r="JBX37" s="118"/>
      <c r="JBY37" s="118"/>
      <c r="JBZ37" s="118"/>
      <c r="JCA37" s="118"/>
      <c r="JCB37" s="118"/>
      <c r="JCC37" s="118"/>
      <c r="JCD37" s="118"/>
      <c r="JCE37" s="118"/>
      <c r="JCF37" s="118"/>
      <c r="JCG37" s="118"/>
      <c r="JCH37" s="118"/>
      <c r="JCI37" s="118"/>
      <c r="JCJ37" s="118"/>
      <c r="JCK37" s="118"/>
      <c r="JCL37" s="118"/>
      <c r="JCM37" s="118"/>
      <c r="JCN37" s="118"/>
      <c r="JCO37" s="118"/>
      <c r="JCP37" s="118"/>
      <c r="JCQ37" s="118"/>
      <c r="JCR37" s="118"/>
      <c r="JCS37" s="118"/>
      <c r="JCT37" s="118"/>
      <c r="JCU37" s="118"/>
      <c r="JCV37" s="118"/>
      <c r="JCW37" s="118"/>
      <c r="JCX37" s="118"/>
      <c r="JCY37" s="118"/>
      <c r="JCZ37" s="118"/>
      <c r="JDA37" s="118"/>
      <c r="JDB37" s="118"/>
      <c r="JDC37" s="118"/>
      <c r="JDD37" s="118"/>
      <c r="JDE37" s="118"/>
      <c r="JDF37" s="118"/>
      <c r="JDG37" s="118"/>
      <c r="JDH37" s="118"/>
      <c r="JDI37" s="118"/>
      <c r="JDJ37" s="118"/>
      <c r="JDK37" s="118"/>
      <c r="JDL37" s="118"/>
      <c r="JDM37" s="118"/>
      <c r="JDN37" s="118"/>
      <c r="JDO37" s="118"/>
      <c r="JDP37" s="118"/>
      <c r="JDQ37" s="118"/>
      <c r="JDR37" s="118"/>
      <c r="JDS37" s="118"/>
      <c r="JDT37" s="118"/>
      <c r="JDU37" s="118"/>
      <c r="JDV37" s="118"/>
      <c r="JDW37" s="118"/>
      <c r="JDX37" s="118"/>
      <c r="JDY37" s="118"/>
      <c r="JDZ37" s="118"/>
      <c r="JEA37" s="118"/>
      <c r="JEB37" s="118"/>
      <c r="JEC37" s="118"/>
      <c r="JED37" s="118"/>
      <c r="JEE37" s="118"/>
      <c r="JEF37" s="118"/>
      <c r="JEG37" s="118"/>
      <c r="JEH37" s="118"/>
      <c r="JEI37" s="118"/>
      <c r="JEJ37" s="118"/>
      <c r="JEK37" s="118"/>
      <c r="JEL37" s="118"/>
      <c r="JEM37" s="118"/>
      <c r="JEN37" s="118"/>
      <c r="JEO37" s="118"/>
      <c r="JEP37" s="118"/>
      <c r="JEQ37" s="118"/>
      <c r="JER37" s="118"/>
      <c r="JES37" s="118"/>
      <c r="JET37" s="118"/>
      <c r="JEU37" s="118"/>
      <c r="JEV37" s="118"/>
      <c r="JEW37" s="118"/>
      <c r="JEX37" s="118"/>
      <c r="JEY37" s="118"/>
      <c r="JEZ37" s="118"/>
      <c r="JFA37" s="118"/>
      <c r="JFB37" s="118"/>
      <c r="JFC37" s="118"/>
      <c r="JFD37" s="118"/>
      <c r="JFE37" s="118"/>
      <c r="JFF37" s="118"/>
      <c r="JFG37" s="118"/>
      <c r="JFH37" s="118"/>
      <c r="JFI37" s="118"/>
      <c r="JFJ37" s="118"/>
      <c r="JFK37" s="118"/>
      <c r="JFL37" s="118"/>
      <c r="JFM37" s="118"/>
      <c r="JFN37" s="118"/>
      <c r="JFO37" s="118"/>
      <c r="JFP37" s="118"/>
      <c r="JFQ37" s="118"/>
      <c r="JFR37" s="118"/>
      <c r="JFS37" s="118"/>
      <c r="JFT37" s="118"/>
      <c r="JFU37" s="118"/>
      <c r="JFV37" s="118"/>
      <c r="JFW37" s="118"/>
      <c r="JFX37" s="118"/>
      <c r="JFY37" s="118"/>
      <c r="JFZ37" s="118"/>
      <c r="JGA37" s="118"/>
      <c r="JGB37" s="118"/>
      <c r="JGC37" s="118"/>
      <c r="JGD37" s="118"/>
      <c r="JGE37" s="118"/>
      <c r="JGF37" s="118"/>
      <c r="JGG37" s="118"/>
      <c r="JGH37" s="118"/>
      <c r="JGI37" s="118"/>
      <c r="JGJ37" s="118"/>
      <c r="JGK37" s="118"/>
      <c r="JGL37" s="118"/>
      <c r="JGM37" s="118"/>
      <c r="JGN37" s="118"/>
      <c r="JGO37" s="118"/>
      <c r="JGP37" s="118"/>
      <c r="JGQ37" s="118"/>
      <c r="JGR37" s="118"/>
      <c r="JGS37" s="118"/>
      <c r="JGT37" s="118"/>
      <c r="JGU37" s="118"/>
      <c r="JGV37" s="118"/>
      <c r="JGW37" s="118"/>
      <c r="JGX37" s="118"/>
      <c r="JGY37" s="118"/>
      <c r="JGZ37" s="118"/>
      <c r="JHA37" s="118"/>
      <c r="JHB37" s="118"/>
      <c r="JHC37" s="118"/>
      <c r="JHD37" s="118"/>
      <c r="JHE37" s="118"/>
      <c r="JHF37" s="118"/>
      <c r="JHG37" s="118"/>
      <c r="JHH37" s="118"/>
      <c r="JHI37" s="118"/>
      <c r="JHJ37" s="118"/>
      <c r="JHK37" s="118"/>
      <c r="JHL37" s="118"/>
      <c r="JHM37" s="118"/>
      <c r="JHN37" s="118"/>
      <c r="JHO37" s="118"/>
      <c r="JHP37" s="118"/>
      <c r="JHQ37" s="118"/>
      <c r="JHR37" s="118"/>
      <c r="JHS37" s="118"/>
      <c r="JHT37" s="118"/>
      <c r="JHU37" s="118"/>
      <c r="JHV37" s="118"/>
      <c r="JHW37" s="118"/>
      <c r="JHX37" s="118"/>
      <c r="JHY37" s="118"/>
      <c r="JHZ37" s="118"/>
      <c r="JIA37" s="118"/>
      <c r="JIB37" s="118"/>
      <c r="JIC37" s="118"/>
      <c r="JID37" s="118"/>
      <c r="JIE37" s="118"/>
      <c r="JIF37" s="118"/>
      <c r="JIG37" s="118"/>
      <c r="JIH37" s="118"/>
      <c r="JII37" s="118"/>
      <c r="JIJ37" s="118"/>
      <c r="JIK37" s="118"/>
      <c r="JIL37" s="118"/>
      <c r="JIM37" s="118"/>
      <c r="JIN37" s="118"/>
      <c r="JIO37" s="118"/>
      <c r="JIP37" s="118"/>
      <c r="JIQ37" s="118"/>
      <c r="JIR37" s="118"/>
      <c r="JIS37" s="118"/>
      <c r="JIT37" s="118"/>
      <c r="JIU37" s="118"/>
      <c r="JIV37" s="118"/>
      <c r="JIW37" s="118"/>
      <c r="JIX37" s="118"/>
      <c r="JIY37" s="118"/>
      <c r="JIZ37" s="118"/>
      <c r="JJA37" s="118"/>
      <c r="JJB37" s="118"/>
      <c r="JJC37" s="118"/>
      <c r="JJD37" s="118"/>
      <c r="JJE37" s="118"/>
      <c r="JJF37" s="118"/>
      <c r="JJG37" s="118"/>
      <c r="JJH37" s="118"/>
      <c r="JJI37" s="118"/>
      <c r="JJJ37" s="118"/>
      <c r="JJK37" s="118"/>
      <c r="JJL37" s="118"/>
      <c r="JJM37" s="118"/>
      <c r="JJN37" s="118"/>
      <c r="JJO37" s="118"/>
      <c r="JJP37" s="118"/>
      <c r="JJQ37" s="118"/>
      <c r="JJR37" s="118"/>
      <c r="JJS37" s="118"/>
      <c r="JJT37" s="118"/>
      <c r="JJU37" s="118"/>
      <c r="JJV37" s="118"/>
      <c r="JJW37" s="118"/>
      <c r="JJX37" s="118"/>
      <c r="JJY37" s="118"/>
      <c r="JJZ37" s="118"/>
      <c r="JKA37" s="118"/>
      <c r="JKB37" s="118"/>
      <c r="JKC37" s="118"/>
      <c r="JKD37" s="118"/>
      <c r="JKE37" s="118"/>
      <c r="JKF37" s="118"/>
      <c r="JKG37" s="118"/>
      <c r="JKH37" s="118"/>
      <c r="JKI37" s="118"/>
      <c r="JKJ37" s="118"/>
      <c r="JKK37" s="118"/>
      <c r="JKL37" s="118"/>
      <c r="JKM37" s="118"/>
      <c r="JKN37" s="118"/>
      <c r="JKO37" s="118"/>
      <c r="JKP37" s="118"/>
      <c r="JKQ37" s="118"/>
      <c r="JKR37" s="118"/>
      <c r="JKS37" s="118"/>
      <c r="JKT37" s="118"/>
      <c r="JKU37" s="118"/>
      <c r="JKV37" s="118"/>
      <c r="JKW37" s="118"/>
      <c r="JKX37" s="118"/>
      <c r="JKY37" s="118"/>
      <c r="JKZ37" s="118"/>
      <c r="JLA37" s="118"/>
      <c r="JLB37" s="118"/>
      <c r="JLC37" s="118"/>
      <c r="JLD37" s="118"/>
      <c r="JLE37" s="118"/>
      <c r="JLF37" s="118"/>
      <c r="JLG37" s="118"/>
      <c r="JLH37" s="118"/>
      <c r="JLI37" s="118"/>
      <c r="JLJ37" s="118"/>
      <c r="JLK37" s="118"/>
      <c r="JLL37" s="118"/>
      <c r="JLM37" s="118"/>
      <c r="JLN37" s="118"/>
      <c r="JLO37" s="118"/>
      <c r="JLP37" s="118"/>
      <c r="JLQ37" s="118"/>
      <c r="JLR37" s="118"/>
      <c r="JLS37" s="118"/>
      <c r="JLT37" s="118"/>
      <c r="JLU37" s="118"/>
      <c r="JLV37" s="118"/>
      <c r="JLW37" s="118"/>
      <c r="JLX37" s="118"/>
      <c r="JLY37" s="118"/>
      <c r="JLZ37" s="118"/>
      <c r="JMA37" s="118"/>
      <c r="JMB37" s="118"/>
      <c r="JMC37" s="118"/>
      <c r="JMD37" s="118"/>
      <c r="JME37" s="118"/>
      <c r="JMF37" s="118"/>
      <c r="JMG37" s="118"/>
      <c r="JMH37" s="118"/>
      <c r="JMI37" s="118"/>
      <c r="JMJ37" s="118"/>
      <c r="JMK37" s="118"/>
      <c r="JML37" s="118"/>
      <c r="JMM37" s="118"/>
      <c r="JMN37" s="118"/>
      <c r="JMO37" s="118"/>
      <c r="JMP37" s="118"/>
      <c r="JMQ37" s="118"/>
      <c r="JMR37" s="118"/>
      <c r="JMS37" s="118"/>
      <c r="JMT37" s="118"/>
      <c r="JMU37" s="118"/>
      <c r="JMV37" s="118"/>
      <c r="JMW37" s="118"/>
      <c r="JMX37" s="118"/>
      <c r="JMY37" s="118"/>
      <c r="JMZ37" s="118"/>
      <c r="JNA37" s="118"/>
      <c r="JNB37" s="118"/>
      <c r="JNC37" s="118"/>
      <c r="JND37" s="118"/>
      <c r="JNE37" s="118"/>
      <c r="JNF37" s="118"/>
      <c r="JNG37" s="118"/>
      <c r="JNH37" s="118"/>
      <c r="JNI37" s="118"/>
      <c r="JNJ37" s="118"/>
      <c r="JNK37" s="118"/>
      <c r="JNL37" s="118"/>
      <c r="JNM37" s="118"/>
      <c r="JNN37" s="118"/>
      <c r="JNO37" s="118"/>
      <c r="JNP37" s="118"/>
      <c r="JNQ37" s="118"/>
      <c r="JNR37" s="118"/>
      <c r="JNS37" s="118"/>
      <c r="JNT37" s="118"/>
      <c r="JNU37" s="118"/>
      <c r="JNV37" s="118"/>
      <c r="JNW37" s="118"/>
      <c r="JNX37" s="118"/>
      <c r="JNY37" s="118"/>
      <c r="JNZ37" s="118"/>
      <c r="JOA37" s="118"/>
      <c r="JOB37" s="118"/>
      <c r="JOC37" s="118"/>
      <c r="JOD37" s="118"/>
      <c r="JOE37" s="118"/>
      <c r="JOF37" s="118"/>
      <c r="JOG37" s="118"/>
      <c r="JOH37" s="118"/>
      <c r="JOI37" s="118"/>
      <c r="JOJ37" s="118"/>
      <c r="JOK37" s="118"/>
      <c r="JOL37" s="118"/>
      <c r="JOM37" s="118"/>
      <c r="JON37" s="118"/>
      <c r="JOO37" s="118"/>
      <c r="JOP37" s="118"/>
      <c r="JOQ37" s="118"/>
      <c r="JOR37" s="118"/>
      <c r="JOS37" s="118"/>
      <c r="JOT37" s="118"/>
      <c r="JOU37" s="118"/>
      <c r="JOV37" s="118"/>
      <c r="JOW37" s="118"/>
      <c r="JOX37" s="118"/>
      <c r="JOY37" s="118"/>
      <c r="JOZ37" s="118"/>
      <c r="JPA37" s="118"/>
      <c r="JPB37" s="118"/>
      <c r="JPC37" s="118"/>
      <c r="JPD37" s="118"/>
      <c r="JPE37" s="118"/>
      <c r="JPF37" s="118"/>
      <c r="JPG37" s="118"/>
      <c r="JPH37" s="118"/>
      <c r="JPI37" s="118"/>
      <c r="JPJ37" s="118"/>
      <c r="JPK37" s="118"/>
      <c r="JPL37" s="118"/>
      <c r="JPM37" s="118"/>
      <c r="JPN37" s="118"/>
      <c r="JPO37" s="118"/>
      <c r="JPP37" s="118"/>
      <c r="JPQ37" s="118"/>
      <c r="JPR37" s="118"/>
      <c r="JPS37" s="118"/>
      <c r="JPT37" s="118"/>
      <c r="JPU37" s="118"/>
      <c r="JPV37" s="118"/>
      <c r="JPW37" s="118"/>
      <c r="JPX37" s="118"/>
      <c r="JPY37" s="118"/>
      <c r="JPZ37" s="118"/>
      <c r="JQA37" s="118"/>
      <c r="JQB37" s="118"/>
      <c r="JQC37" s="118"/>
      <c r="JQD37" s="118"/>
      <c r="JQE37" s="118"/>
      <c r="JQF37" s="118"/>
      <c r="JQG37" s="118"/>
      <c r="JQH37" s="118"/>
      <c r="JQI37" s="118"/>
      <c r="JQJ37" s="118"/>
      <c r="JQK37" s="118"/>
      <c r="JQL37" s="118"/>
      <c r="JQM37" s="118"/>
      <c r="JQN37" s="118"/>
      <c r="JQO37" s="118"/>
      <c r="JQP37" s="118"/>
      <c r="JQQ37" s="118"/>
      <c r="JQR37" s="118"/>
      <c r="JQS37" s="118"/>
      <c r="JQT37" s="118"/>
      <c r="JQU37" s="118"/>
      <c r="JQV37" s="118"/>
      <c r="JQW37" s="118"/>
      <c r="JQX37" s="118"/>
      <c r="JQY37" s="118"/>
      <c r="JQZ37" s="118"/>
      <c r="JRA37" s="118"/>
      <c r="JRB37" s="118"/>
      <c r="JRC37" s="118"/>
      <c r="JRD37" s="118"/>
      <c r="JRE37" s="118"/>
      <c r="JRF37" s="118"/>
      <c r="JRG37" s="118"/>
      <c r="JRH37" s="118"/>
      <c r="JRI37" s="118"/>
      <c r="JRJ37" s="118"/>
      <c r="JRK37" s="118"/>
      <c r="JRL37" s="118"/>
      <c r="JRM37" s="118"/>
      <c r="JRN37" s="118"/>
      <c r="JRO37" s="118"/>
      <c r="JRP37" s="118"/>
      <c r="JRQ37" s="118"/>
      <c r="JRR37" s="118"/>
      <c r="JRS37" s="118"/>
      <c r="JRT37" s="118"/>
      <c r="JRU37" s="118"/>
      <c r="JRV37" s="118"/>
      <c r="JRW37" s="118"/>
      <c r="JRX37" s="118"/>
      <c r="JRY37" s="118"/>
      <c r="JRZ37" s="118"/>
      <c r="JSA37" s="118"/>
      <c r="JSB37" s="118"/>
      <c r="JSC37" s="118"/>
      <c r="JSD37" s="118"/>
      <c r="JSE37" s="118"/>
      <c r="JSF37" s="118"/>
      <c r="JSG37" s="118"/>
      <c r="JSH37" s="118"/>
      <c r="JSI37" s="118"/>
      <c r="JSJ37" s="118"/>
      <c r="JSK37" s="118"/>
      <c r="JSL37" s="118"/>
      <c r="JSM37" s="118"/>
      <c r="JSN37" s="118"/>
      <c r="JSO37" s="118"/>
      <c r="JSP37" s="118"/>
      <c r="JSQ37" s="118"/>
      <c r="JSR37" s="118"/>
      <c r="JSS37" s="118"/>
      <c r="JST37" s="118"/>
      <c r="JSU37" s="118"/>
      <c r="JSV37" s="118"/>
      <c r="JSW37" s="118"/>
      <c r="JSX37" s="118"/>
      <c r="JSY37" s="118"/>
      <c r="JSZ37" s="118"/>
      <c r="JTA37" s="118"/>
      <c r="JTB37" s="118"/>
      <c r="JTC37" s="118"/>
      <c r="JTD37" s="118"/>
      <c r="JTE37" s="118"/>
      <c r="JTF37" s="118"/>
      <c r="JTG37" s="118"/>
      <c r="JTH37" s="118"/>
      <c r="JTI37" s="118"/>
      <c r="JTJ37" s="118"/>
      <c r="JTK37" s="118"/>
      <c r="JTL37" s="118"/>
      <c r="JTM37" s="118"/>
      <c r="JTN37" s="118"/>
      <c r="JTO37" s="118"/>
      <c r="JTP37" s="118"/>
      <c r="JTQ37" s="118"/>
      <c r="JTR37" s="118"/>
      <c r="JTS37" s="118"/>
      <c r="JTT37" s="118"/>
      <c r="JTU37" s="118"/>
      <c r="JTV37" s="118"/>
      <c r="JTW37" s="118"/>
      <c r="JTX37" s="118"/>
      <c r="JTY37" s="118"/>
      <c r="JTZ37" s="118"/>
      <c r="JUA37" s="118"/>
      <c r="JUB37" s="118"/>
      <c r="JUC37" s="118"/>
      <c r="JUD37" s="118"/>
      <c r="JUE37" s="118"/>
      <c r="JUF37" s="118"/>
      <c r="JUG37" s="118"/>
      <c r="JUH37" s="118"/>
      <c r="JUI37" s="118"/>
      <c r="JUJ37" s="118"/>
      <c r="JUK37" s="118"/>
      <c r="JUL37" s="118"/>
      <c r="JUM37" s="118"/>
      <c r="JUN37" s="118"/>
      <c r="JUO37" s="118"/>
      <c r="JUP37" s="118"/>
      <c r="JUQ37" s="118"/>
      <c r="JUR37" s="118"/>
      <c r="JUS37" s="118"/>
      <c r="JUT37" s="118"/>
      <c r="JUU37" s="118"/>
      <c r="JUV37" s="118"/>
      <c r="JUW37" s="118"/>
      <c r="JUX37" s="118"/>
      <c r="JUY37" s="118"/>
      <c r="JUZ37" s="118"/>
      <c r="JVA37" s="118"/>
      <c r="JVB37" s="118"/>
      <c r="JVC37" s="118"/>
      <c r="JVD37" s="118"/>
      <c r="JVE37" s="118"/>
      <c r="JVF37" s="118"/>
      <c r="JVG37" s="118"/>
      <c r="JVH37" s="118"/>
      <c r="JVI37" s="118"/>
      <c r="JVJ37" s="118"/>
      <c r="JVK37" s="118"/>
      <c r="JVL37" s="118"/>
      <c r="JVM37" s="118"/>
      <c r="JVN37" s="118"/>
      <c r="JVO37" s="118"/>
      <c r="JVP37" s="118"/>
      <c r="JVQ37" s="118"/>
      <c r="JVR37" s="118"/>
      <c r="JVS37" s="118"/>
      <c r="JVT37" s="118"/>
      <c r="JVU37" s="118"/>
      <c r="JVV37" s="118"/>
      <c r="JVW37" s="118"/>
      <c r="JVX37" s="118"/>
      <c r="JVY37" s="118"/>
      <c r="JVZ37" s="118"/>
      <c r="JWA37" s="118"/>
      <c r="JWB37" s="118"/>
      <c r="JWC37" s="118"/>
      <c r="JWD37" s="118"/>
      <c r="JWE37" s="118"/>
      <c r="JWF37" s="118"/>
      <c r="JWG37" s="118"/>
      <c r="JWH37" s="118"/>
      <c r="JWI37" s="118"/>
      <c r="JWJ37" s="118"/>
      <c r="JWK37" s="118"/>
      <c r="JWL37" s="118"/>
      <c r="JWM37" s="118"/>
      <c r="JWN37" s="118"/>
      <c r="JWO37" s="118"/>
      <c r="JWP37" s="118"/>
      <c r="JWQ37" s="118"/>
      <c r="JWR37" s="118"/>
      <c r="JWS37" s="118"/>
      <c r="JWT37" s="118"/>
      <c r="JWU37" s="118"/>
      <c r="JWV37" s="118"/>
      <c r="JWW37" s="118"/>
      <c r="JWX37" s="118"/>
      <c r="JWY37" s="118"/>
      <c r="JWZ37" s="118"/>
      <c r="JXA37" s="118"/>
      <c r="JXB37" s="118"/>
      <c r="JXC37" s="118"/>
      <c r="JXD37" s="118"/>
      <c r="JXE37" s="118"/>
      <c r="JXF37" s="118"/>
      <c r="JXG37" s="118"/>
      <c r="JXH37" s="118"/>
      <c r="JXI37" s="118"/>
      <c r="JXJ37" s="118"/>
      <c r="JXK37" s="118"/>
      <c r="JXL37" s="118"/>
      <c r="JXM37" s="118"/>
      <c r="JXN37" s="118"/>
      <c r="JXO37" s="118"/>
      <c r="JXP37" s="118"/>
      <c r="JXQ37" s="118"/>
      <c r="JXR37" s="118"/>
      <c r="JXS37" s="118"/>
      <c r="JXT37" s="118"/>
      <c r="JXU37" s="118"/>
      <c r="JXV37" s="118"/>
      <c r="JXW37" s="118"/>
      <c r="JXX37" s="118"/>
      <c r="JXY37" s="118"/>
      <c r="JXZ37" s="118"/>
      <c r="JYA37" s="118"/>
      <c r="JYB37" s="118"/>
      <c r="JYC37" s="118"/>
      <c r="JYD37" s="118"/>
      <c r="JYE37" s="118"/>
      <c r="JYF37" s="118"/>
      <c r="JYG37" s="118"/>
      <c r="JYH37" s="118"/>
      <c r="JYI37" s="118"/>
      <c r="JYJ37" s="118"/>
      <c r="JYK37" s="118"/>
      <c r="JYL37" s="118"/>
      <c r="JYM37" s="118"/>
      <c r="JYN37" s="118"/>
      <c r="JYO37" s="118"/>
      <c r="JYP37" s="118"/>
      <c r="JYQ37" s="118"/>
      <c r="JYR37" s="118"/>
      <c r="JYS37" s="118"/>
      <c r="JYT37" s="118"/>
      <c r="JYU37" s="118"/>
      <c r="JYV37" s="118"/>
      <c r="JYW37" s="118"/>
      <c r="JYX37" s="118"/>
      <c r="JYY37" s="118"/>
      <c r="JYZ37" s="118"/>
      <c r="JZA37" s="118"/>
      <c r="JZB37" s="118"/>
      <c r="JZC37" s="118"/>
      <c r="JZD37" s="118"/>
      <c r="JZE37" s="118"/>
      <c r="JZF37" s="118"/>
      <c r="JZG37" s="118"/>
      <c r="JZH37" s="118"/>
      <c r="JZI37" s="118"/>
      <c r="JZJ37" s="118"/>
      <c r="JZK37" s="118"/>
      <c r="JZL37" s="118"/>
      <c r="JZM37" s="118"/>
      <c r="JZN37" s="118"/>
      <c r="JZO37" s="118"/>
      <c r="JZP37" s="118"/>
      <c r="JZQ37" s="118"/>
      <c r="JZR37" s="118"/>
      <c r="JZS37" s="118"/>
      <c r="JZT37" s="118"/>
      <c r="JZU37" s="118"/>
      <c r="JZV37" s="118"/>
      <c r="JZW37" s="118"/>
      <c r="JZX37" s="118"/>
      <c r="JZY37" s="118"/>
      <c r="JZZ37" s="118"/>
      <c r="KAA37" s="118"/>
      <c r="KAB37" s="118"/>
      <c r="KAC37" s="118"/>
      <c r="KAD37" s="118"/>
      <c r="KAE37" s="118"/>
      <c r="KAF37" s="118"/>
      <c r="KAG37" s="118"/>
      <c r="KAH37" s="118"/>
      <c r="KAI37" s="118"/>
      <c r="KAJ37" s="118"/>
      <c r="KAK37" s="118"/>
      <c r="KAL37" s="118"/>
      <c r="KAM37" s="118"/>
      <c r="KAN37" s="118"/>
      <c r="KAO37" s="118"/>
      <c r="KAP37" s="118"/>
      <c r="KAQ37" s="118"/>
      <c r="KAR37" s="118"/>
      <c r="KAS37" s="118"/>
      <c r="KAT37" s="118"/>
      <c r="KAU37" s="118"/>
      <c r="KAV37" s="118"/>
      <c r="KAW37" s="118"/>
      <c r="KAX37" s="118"/>
      <c r="KAY37" s="118"/>
      <c r="KAZ37" s="118"/>
      <c r="KBA37" s="118"/>
      <c r="KBB37" s="118"/>
      <c r="KBC37" s="118"/>
      <c r="KBD37" s="118"/>
      <c r="KBE37" s="118"/>
      <c r="KBF37" s="118"/>
      <c r="KBG37" s="118"/>
      <c r="KBH37" s="118"/>
      <c r="KBI37" s="118"/>
      <c r="KBJ37" s="118"/>
      <c r="KBK37" s="118"/>
      <c r="KBL37" s="118"/>
      <c r="KBM37" s="118"/>
      <c r="KBN37" s="118"/>
      <c r="KBO37" s="118"/>
      <c r="KBP37" s="118"/>
      <c r="KBQ37" s="118"/>
      <c r="KBR37" s="118"/>
      <c r="KBS37" s="118"/>
      <c r="KBT37" s="118"/>
      <c r="KBU37" s="118"/>
      <c r="KBV37" s="118"/>
      <c r="KBW37" s="118"/>
      <c r="KBX37" s="118"/>
      <c r="KBY37" s="118"/>
      <c r="KBZ37" s="118"/>
      <c r="KCA37" s="118"/>
      <c r="KCB37" s="118"/>
      <c r="KCC37" s="118"/>
      <c r="KCD37" s="118"/>
      <c r="KCE37" s="118"/>
      <c r="KCF37" s="118"/>
      <c r="KCG37" s="118"/>
      <c r="KCH37" s="118"/>
      <c r="KCI37" s="118"/>
      <c r="KCJ37" s="118"/>
      <c r="KCK37" s="118"/>
      <c r="KCL37" s="118"/>
      <c r="KCM37" s="118"/>
      <c r="KCN37" s="118"/>
      <c r="KCO37" s="118"/>
      <c r="KCP37" s="118"/>
      <c r="KCQ37" s="118"/>
      <c r="KCR37" s="118"/>
      <c r="KCS37" s="118"/>
      <c r="KCT37" s="118"/>
      <c r="KCU37" s="118"/>
      <c r="KCV37" s="118"/>
      <c r="KCW37" s="118"/>
      <c r="KCX37" s="118"/>
      <c r="KCY37" s="118"/>
      <c r="KCZ37" s="118"/>
      <c r="KDA37" s="118"/>
      <c r="KDB37" s="118"/>
      <c r="KDC37" s="118"/>
      <c r="KDD37" s="118"/>
      <c r="KDE37" s="118"/>
      <c r="KDF37" s="118"/>
      <c r="KDG37" s="118"/>
      <c r="KDH37" s="118"/>
      <c r="KDI37" s="118"/>
      <c r="KDJ37" s="118"/>
      <c r="KDK37" s="118"/>
      <c r="KDL37" s="118"/>
      <c r="KDM37" s="118"/>
      <c r="KDN37" s="118"/>
      <c r="KDO37" s="118"/>
      <c r="KDP37" s="118"/>
      <c r="KDQ37" s="118"/>
      <c r="KDR37" s="118"/>
      <c r="KDS37" s="118"/>
      <c r="KDT37" s="118"/>
      <c r="KDU37" s="118"/>
      <c r="KDV37" s="118"/>
      <c r="KDW37" s="118"/>
      <c r="KDX37" s="118"/>
      <c r="KDY37" s="118"/>
      <c r="KDZ37" s="118"/>
      <c r="KEA37" s="118"/>
      <c r="KEB37" s="118"/>
      <c r="KEC37" s="118"/>
      <c r="KED37" s="118"/>
      <c r="KEE37" s="118"/>
      <c r="KEF37" s="118"/>
      <c r="KEG37" s="118"/>
      <c r="KEH37" s="118"/>
      <c r="KEI37" s="118"/>
      <c r="KEJ37" s="118"/>
      <c r="KEK37" s="118"/>
      <c r="KEL37" s="118"/>
      <c r="KEM37" s="118"/>
      <c r="KEN37" s="118"/>
      <c r="KEO37" s="118"/>
      <c r="KEP37" s="118"/>
      <c r="KEQ37" s="118"/>
      <c r="KER37" s="118"/>
      <c r="KES37" s="118"/>
      <c r="KET37" s="118"/>
      <c r="KEU37" s="118"/>
      <c r="KEV37" s="118"/>
      <c r="KEW37" s="118"/>
      <c r="KEX37" s="118"/>
      <c r="KEY37" s="118"/>
      <c r="KEZ37" s="118"/>
      <c r="KFA37" s="118"/>
      <c r="KFB37" s="118"/>
      <c r="KFC37" s="118"/>
      <c r="KFD37" s="118"/>
      <c r="KFE37" s="118"/>
      <c r="KFF37" s="118"/>
      <c r="KFG37" s="118"/>
      <c r="KFH37" s="118"/>
      <c r="KFI37" s="118"/>
      <c r="KFJ37" s="118"/>
      <c r="KFK37" s="118"/>
      <c r="KFL37" s="118"/>
      <c r="KFM37" s="118"/>
      <c r="KFN37" s="118"/>
      <c r="KFO37" s="118"/>
      <c r="KFP37" s="118"/>
      <c r="KFQ37" s="118"/>
      <c r="KFR37" s="118"/>
      <c r="KFS37" s="118"/>
      <c r="KFT37" s="118"/>
      <c r="KFU37" s="118"/>
      <c r="KFV37" s="118"/>
      <c r="KFW37" s="118"/>
      <c r="KFX37" s="118"/>
      <c r="KFY37" s="118"/>
      <c r="KFZ37" s="118"/>
      <c r="KGA37" s="118"/>
      <c r="KGB37" s="118"/>
      <c r="KGC37" s="118"/>
      <c r="KGD37" s="118"/>
      <c r="KGE37" s="118"/>
      <c r="KGF37" s="118"/>
      <c r="KGG37" s="118"/>
      <c r="KGH37" s="118"/>
      <c r="KGI37" s="118"/>
      <c r="KGJ37" s="118"/>
      <c r="KGK37" s="118"/>
      <c r="KGL37" s="118"/>
      <c r="KGM37" s="118"/>
      <c r="KGN37" s="118"/>
      <c r="KGO37" s="118"/>
      <c r="KGP37" s="118"/>
      <c r="KGQ37" s="118"/>
      <c r="KGR37" s="118"/>
      <c r="KGS37" s="118"/>
      <c r="KGT37" s="118"/>
      <c r="KGU37" s="118"/>
      <c r="KGV37" s="118"/>
      <c r="KGW37" s="118"/>
      <c r="KGX37" s="118"/>
      <c r="KGY37" s="118"/>
      <c r="KGZ37" s="118"/>
      <c r="KHA37" s="118"/>
      <c r="KHB37" s="118"/>
      <c r="KHC37" s="118"/>
      <c r="KHD37" s="118"/>
      <c r="KHE37" s="118"/>
      <c r="KHF37" s="118"/>
      <c r="KHG37" s="118"/>
      <c r="KHH37" s="118"/>
      <c r="KHI37" s="118"/>
      <c r="KHJ37" s="118"/>
      <c r="KHK37" s="118"/>
      <c r="KHL37" s="118"/>
      <c r="KHM37" s="118"/>
      <c r="KHN37" s="118"/>
      <c r="KHO37" s="118"/>
      <c r="KHP37" s="118"/>
      <c r="KHQ37" s="118"/>
      <c r="KHR37" s="118"/>
      <c r="KHS37" s="118"/>
      <c r="KHT37" s="118"/>
      <c r="KHU37" s="118"/>
      <c r="KHV37" s="118"/>
      <c r="KHW37" s="118"/>
      <c r="KHX37" s="118"/>
      <c r="KHY37" s="118"/>
      <c r="KHZ37" s="118"/>
      <c r="KIA37" s="118"/>
      <c r="KIB37" s="118"/>
      <c r="KIC37" s="118"/>
      <c r="KID37" s="118"/>
      <c r="KIE37" s="118"/>
      <c r="KIF37" s="118"/>
      <c r="KIG37" s="118"/>
      <c r="KIH37" s="118"/>
      <c r="KII37" s="118"/>
      <c r="KIJ37" s="118"/>
      <c r="KIK37" s="118"/>
      <c r="KIL37" s="118"/>
      <c r="KIM37" s="118"/>
      <c r="KIN37" s="118"/>
      <c r="KIO37" s="118"/>
      <c r="KIP37" s="118"/>
      <c r="KIQ37" s="118"/>
      <c r="KIR37" s="118"/>
      <c r="KIS37" s="118"/>
      <c r="KIT37" s="118"/>
      <c r="KIU37" s="118"/>
      <c r="KIV37" s="118"/>
      <c r="KIW37" s="118"/>
      <c r="KIX37" s="118"/>
      <c r="KIY37" s="118"/>
      <c r="KIZ37" s="118"/>
      <c r="KJA37" s="118"/>
      <c r="KJB37" s="118"/>
      <c r="KJC37" s="118"/>
      <c r="KJD37" s="118"/>
      <c r="KJE37" s="118"/>
      <c r="KJF37" s="118"/>
      <c r="KJG37" s="118"/>
      <c r="KJH37" s="118"/>
      <c r="KJI37" s="118"/>
      <c r="KJJ37" s="118"/>
      <c r="KJK37" s="118"/>
      <c r="KJL37" s="118"/>
      <c r="KJM37" s="118"/>
      <c r="KJN37" s="118"/>
      <c r="KJO37" s="118"/>
      <c r="KJP37" s="118"/>
      <c r="KJQ37" s="118"/>
      <c r="KJR37" s="118"/>
      <c r="KJS37" s="118"/>
      <c r="KJT37" s="118"/>
      <c r="KJU37" s="118"/>
      <c r="KJV37" s="118"/>
      <c r="KJW37" s="118"/>
      <c r="KJX37" s="118"/>
      <c r="KJY37" s="118"/>
      <c r="KJZ37" s="118"/>
      <c r="KKA37" s="118"/>
      <c r="KKB37" s="118"/>
      <c r="KKC37" s="118"/>
      <c r="KKD37" s="118"/>
      <c r="KKE37" s="118"/>
      <c r="KKF37" s="118"/>
      <c r="KKG37" s="118"/>
      <c r="KKH37" s="118"/>
      <c r="KKI37" s="118"/>
      <c r="KKJ37" s="118"/>
      <c r="KKK37" s="118"/>
      <c r="KKL37" s="118"/>
      <c r="KKM37" s="118"/>
      <c r="KKN37" s="118"/>
      <c r="KKO37" s="118"/>
      <c r="KKP37" s="118"/>
      <c r="KKQ37" s="118"/>
      <c r="KKR37" s="118"/>
      <c r="KKS37" s="118"/>
      <c r="KKT37" s="118"/>
      <c r="KKU37" s="118"/>
      <c r="KKV37" s="118"/>
      <c r="KKW37" s="118"/>
      <c r="KKX37" s="118"/>
      <c r="KKY37" s="118"/>
      <c r="KKZ37" s="118"/>
      <c r="KLA37" s="118"/>
      <c r="KLB37" s="118"/>
      <c r="KLC37" s="118"/>
      <c r="KLD37" s="118"/>
      <c r="KLE37" s="118"/>
      <c r="KLF37" s="118"/>
      <c r="KLG37" s="118"/>
      <c r="KLH37" s="118"/>
      <c r="KLI37" s="118"/>
      <c r="KLJ37" s="118"/>
      <c r="KLK37" s="118"/>
      <c r="KLL37" s="118"/>
      <c r="KLM37" s="118"/>
      <c r="KLN37" s="118"/>
      <c r="KLO37" s="118"/>
      <c r="KLP37" s="118"/>
      <c r="KLQ37" s="118"/>
      <c r="KLR37" s="118"/>
      <c r="KLS37" s="118"/>
      <c r="KLT37" s="118"/>
      <c r="KLU37" s="118"/>
      <c r="KLV37" s="118"/>
      <c r="KLW37" s="118"/>
      <c r="KLX37" s="118"/>
      <c r="KLY37" s="118"/>
      <c r="KLZ37" s="118"/>
      <c r="KMA37" s="118"/>
      <c r="KMB37" s="118"/>
      <c r="KMC37" s="118"/>
      <c r="KMD37" s="118"/>
      <c r="KME37" s="118"/>
      <c r="KMF37" s="118"/>
      <c r="KMG37" s="118"/>
      <c r="KMH37" s="118"/>
      <c r="KMI37" s="118"/>
      <c r="KMJ37" s="118"/>
      <c r="KMK37" s="118"/>
      <c r="KML37" s="118"/>
      <c r="KMM37" s="118"/>
      <c r="KMN37" s="118"/>
      <c r="KMO37" s="118"/>
      <c r="KMP37" s="118"/>
      <c r="KMQ37" s="118"/>
      <c r="KMR37" s="118"/>
      <c r="KMS37" s="118"/>
      <c r="KMT37" s="118"/>
      <c r="KMU37" s="118"/>
      <c r="KMV37" s="118"/>
      <c r="KMW37" s="118"/>
      <c r="KMX37" s="118"/>
      <c r="KMY37" s="118"/>
      <c r="KMZ37" s="118"/>
      <c r="KNA37" s="118"/>
      <c r="KNB37" s="118"/>
      <c r="KNC37" s="118"/>
      <c r="KND37" s="118"/>
      <c r="KNE37" s="118"/>
      <c r="KNF37" s="118"/>
      <c r="KNG37" s="118"/>
      <c r="KNH37" s="118"/>
      <c r="KNI37" s="118"/>
      <c r="KNJ37" s="118"/>
      <c r="KNK37" s="118"/>
      <c r="KNL37" s="118"/>
      <c r="KNM37" s="118"/>
      <c r="KNN37" s="118"/>
      <c r="KNO37" s="118"/>
      <c r="KNP37" s="118"/>
      <c r="KNQ37" s="118"/>
      <c r="KNR37" s="118"/>
      <c r="KNS37" s="118"/>
      <c r="KNT37" s="118"/>
      <c r="KNU37" s="118"/>
      <c r="KNV37" s="118"/>
      <c r="KNW37" s="118"/>
      <c r="KNX37" s="118"/>
      <c r="KNY37" s="118"/>
      <c r="KNZ37" s="118"/>
      <c r="KOA37" s="118"/>
      <c r="KOB37" s="118"/>
      <c r="KOC37" s="118"/>
      <c r="KOD37" s="118"/>
      <c r="KOE37" s="118"/>
      <c r="KOF37" s="118"/>
      <c r="KOG37" s="118"/>
      <c r="KOH37" s="118"/>
      <c r="KOI37" s="118"/>
      <c r="KOJ37" s="118"/>
      <c r="KOK37" s="118"/>
      <c r="KOL37" s="118"/>
      <c r="KOM37" s="118"/>
      <c r="KON37" s="118"/>
      <c r="KOO37" s="118"/>
      <c r="KOP37" s="118"/>
      <c r="KOQ37" s="118"/>
      <c r="KOR37" s="118"/>
      <c r="KOS37" s="118"/>
      <c r="KOT37" s="118"/>
      <c r="KOU37" s="118"/>
      <c r="KOV37" s="118"/>
      <c r="KOW37" s="118"/>
      <c r="KOX37" s="118"/>
      <c r="KOY37" s="118"/>
      <c r="KOZ37" s="118"/>
      <c r="KPA37" s="118"/>
      <c r="KPB37" s="118"/>
      <c r="KPC37" s="118"/>
      <c r="KPD37" s="118"/>
      <c r="KPE37" s="118"/>
      <c r="KPF37" s="118"/>
      <c r="KPG37" s="118"/>
      <c r="KPH37" s="118"/>
      <c r="KPI37" s="118"/>
      <c r="KPJ37" s="118"/>
      <c r="KPK37" s="118"/>
      <c r="KPL37" s="118"/>
      <c r="KPM37" s="118"/>
      <c r="KPN37" s="118"/>
      <c r="KPO37" s="118"/>
      <c r="KPP37" s="118"/>
      <c r="KPQ37" s="118"/>
      <c r="KPR37" s="118"/>
      <c r="KPS37" s="118"/>
      <c r="KPT37" s="118"/>
      <c r="KPU37" s="118"/>
      <c r="KPV37" s="118"/>
      <c r="KPW37" s="118"/>
      <c r="KPX37" s="118"/>
      <c r="KPY37" s="118"/>
      <c r="KPZ37" s="118"/>
      <c r="KQA37" s="118"/>
      <c r="KQB37" s="118"/>
      <c r="KQC37" s="118"/>
      <c r="KQD37" s="118"/>
      <c r="KQE37" s="118"/>
      <c r="KQF37" s="118"/>
      <c r="KQG37" s="118"/>
      <c r="KQH37" s="118"/>
      <c r="KQI37" s="118"/>
      <c r="KQJ37" s="118"/>
      <c r="KQK37" s="118"/>
      <c r="KQL37" s="118"/>
      <c r="KQM37" s="118"/>
      <c r="KQN37" s="118"/>
      <c r="KQO37" s="118"/>
      <c r="KQP37" s="118"/>
      <c r="KQQ37" s="118"/>
      <c r="KQR37" s="118"/>
      <c r="KQS37" s="118"/>
      <c r="KQT37" s="118"/>
      <c r="KQU37" s="118"/>
      <c r="KQV37" s="118"/>
      <c r="KQW37" s="118"/>
      <c r="KQX37" s="118"/>
      <c r="KQY37" s="118"/>
      <c r="KQZ37" s="118"/>
      <c r="KRA37" s="118"/>
      <c r="KRB37" s="118"/>
      <c r="KRC37" s="118"/>
      <c r="KRD37" s="118"/>
      <c r="KRE37" s="118"/>
      <c r="KRF37" s="118"/>
      <c r="KRG37" s="118"/>
      <c r="KRH37" s="118"/>
      <c r="KRI37" s="118"/>
      <c r="KRJ37" s="118"/>
      <c r="KRK37" s="118"/>
      <c r="KRL37" s="118"/>
      <c r="KRM37" s="118"/>
      <c r="KRN37" s="118"/>
      <c r="KRO37" s="118"/>
      <c r="KRP37" s="118"/>
      <c r="KRQ37" s="118"/>
      <c r="KRR37" s="118"/>
      <c r="KRS37" s="118"/>
      <c r="KRT37" s="118"/>
      <c r="KRU37" s="118"/>
      <c r="KRV37" s="118"/>
      <c r="KRW37" s="118"/>
      <c r="KRX37" s="118"/>
      <c r="KRY37" s="118"/>
      <c r="KRZ37" s="118"/>
      <c r="KSA37" s="118"/>
      <c r="KSB37" s="118"/>
      <c r="KSC37" s="118"/>
      <c r="KSD37" s="118"/>
      <c r="KSE37" s="118"/>
      <c r="KSF37" s="118"/>
      <c r="KSG37" s="118"/>
      <c r="KSH37" s="118"/>
      <c r="KSI37" s="118"/>
      <c r="KSJ37" s="118"/>
      <c r="KSK37" s="118"/>
      <c r="KSL37" s="118"/>
      <c r="KSM37" s="118"/>
      <c r="KSN37" s="118"/>
      <c r="KSO37" s="118"/>
      <c r="KSP37" s="118"/>
      <c r="KSQ37" s="118"/>
      <c r="KSR37" s="118"/>
      <c r="KSS37" s="118"/>
      <c r="KST37" s="118"/>
      <c r="KSU37" s="118"/>
      <c r="KSV37" s="118"/>
      <c r="KSW37" s="118"/>
      <c r="KSX37" s="118"/>
      <c r="KSY37" s="118"/>
      <c r="KSZ37" s="118"/>
      <c r="KTA37" s="118"/>
      <c r="KTB37" s="118"/>
      <c r="KTC37" s="118"/>
      <c r="KTD37" s="118"/>
      <c r="KTE37" s="118"/>
      <c r="KTF37" s="118"/>
      <c r="KTG37" s="118"/>
      <c r="KTH37" s="118"/>
      <c r="KTI37" s="118"/>
      <c r="KTJ37" s="118"/>
      <c r="KTK37" s="118"/>
      <c r="KTL37" s="118"/>
      <c r="KTM37" s="118"/>
      <c r="KTN37" s="118"/>
      <c r="KTO37" s="118"/>
      <c r="KTP37" s="118"/>
      <c r="KTQ37" s="118"/>
      <c r="KTR37" s="118"/>
      <c r="KTS37" s="118"/>
      <c r="KTT37" s="118"/>
      <c r="KTU37" s="118"/>
      <c r="KTV37" s="118"/>
      <c r="KTW37" s="118"/>
      <c r="KTX37" s="118"/>
      <c r="KTY37" s="118"/>
      <c r="KTZ37" s="118"/>
      <c r="KUA37" s="118"/>
      <c r="KUB37" s="118"/>
      <c r="KUC37" s="118"/>
      <c r="KUD37" s="118"/>
      <c r="KUE37" s="118"/>
      <c r="KUF37" s="118"/>
      <c r="KUG37" s="118"/>
      <c r="KUH37" s="118"/>
      <c r="KUI37" s="118"/>
      <c r="KUJ37" s="118"/>
      <c r="KUK37" s="118"/>
      <c r="KUL37" s="118"/>
      <c r="KUM37" s="118"/>
      <c r="KUN37" s="118"/>
      <c r="KUO37" s="118"/>
      <c r="KUP37" s="118"/>
      <c r="KUQ37" s="118"/>
      <c r="KUR37" s="118"/>
      <c r="KUS37" s="118"/>
      <c r="KUT37" s="118"/>
      <c r="KUU37" s="118"/>
      <c r="KUV37" s="118"/>
      <c r="KUW37" s="118"/>
      <c r="KUX37" s="118"/>
      <c r="KUY37" s="118"/>
      <c r="KUZ37" s="118"/>
      <c r="KVA37" s="118"/>
      <c r="KVB37" s="118"/>
      <c r="KVC37" s="118"/>
      <c r="KVD37" s="118"/>
      <c r="KVE37" s="118"/>
      <c r="KVF37" s="118"/>
      <c r="KVG37" s="118"/>
      <c r="KVH37" s="118"/>
      <c r="KVI37" s="118"/>
      <c r="KVJ37" s="118"/>
      <c r="KVK37" s="118"/>
      <c r="KVL37" s="118"/>
      <c r="KVM37" s="118"/>
      <c r="KVN37" s="118"/>
      <c r="KVO37" s="118"/>
      <c r="KVP37" s="118"/>
      <c r="KVQ37" s="118"/>
      <c r="KVR37" s="118"/>
      <c r="KVS37" s="118"/>
      <c r="KVT37" s="118"/>
      <c r="KVU37" s="118"/>
      <c r="KVV37" s="118"/>
      <c r="KVW37" s="118"/>
      <c r="KVX37" s="118"/>
      <c r="KVY37" s="118"/>
      <c r="KVZ37" s="118"/>
      <c r="KWA37" s="118"/>
      <c r="KWB37" s="118"/>
      <c r="KWC37" s="118"/>
      <c r="KWD37" s="118"/>
      <c r="KWE37" s="118"/>
      <c r="KWF37" s="118"/>
      <c r="KWG37" s="118"/>
      <c r="KWH37" s="118"/>
      <c r="KWI37" s="118"/>
      <c r="KWJ37" s="118"/>
      <c r="KWK37" s="118"/>
      <c r="KWL37" s="118"/>
      <c r="KWM37" s="118"/>
      <c r="KWN37" s="118"/>
      <c r="KWO37" s="118"/>
      <c r="KWP37" s="118"/>
      <c r="KWQ37" s="118"/>
      <c r="KWR37" s="118"/>
      <c r="KWS37" s="118"/>
      <c r="KWT37" s="118"/>
      <c r="KWU37" s="118"/>
      <c r="KWV37" s="118"/>
      <c r="KWW37" s="118"/>
      <c r="KWX37" s="118"/>
      <c r="KWY37" s="118"/>
      <c r="KWZ37" s="118"/>
      <c r="KXA37" s="118"/>
      <c r="KXB37" s="118"/>
      <c r="KXC37" s="118"/>
      <c r="KXD37" s="118"/>
      <c r="KXE37" s="118"/>
      <c r="KXF37" s="118"/>
      <c r="KXG37" s="118"/>
      <c r="KXH37" s="118"/>
      <c r="KXI37" s="118"/>
      <c r="KXJ37" s="118"/>
      <c r="KXK37" s="118"/>
      <c r="KXL37" s="118"/>
      <c r="KXM37" s="118"/>
      <c r="KXN37" s="118"/>
      <c r="KXO37" s="118"/>
      <c r="KXP37" s="118"/>
      <c r="KXQ37" s="118"/>
      <c r="KXR37" s="118"/>
      <c r="KXS37" s="118"/>
      <c r="KXT37" s="118"/>
      <c r="KXU37" s="118"/>
      <c r="KXV37" s="118"/>
      <c r="KXW37" s="118"/>
      <c r="KXX37" s="118"/>
      <c r="KXY37" s="118"/>
      <c r="KXZ37" s="118"/>
      <c r="KYA37" s="118"/>
      <c r="KYB37" s="118"/>
      <c r="KYC37" s="118"/>
      <c r="KYD37" s="118"/>
      <c r="KYE37" s="118"/>
      <c r="KYF37" s="118"/>
      <c r="KYG37" s="118"/>
      <c r="KYH37" s="118"/>
      <c r="KYI37" s="118"/>
      <c r="KYJ37" s="118"/>
      <c r="KYK37" s="118"/>
      <c r="KYL37" s="118"/>
      <c r="KYM37" s="118"/>
      <c r="KYN37" s="118"/>
      <c r="KYO37" s="118"/>
      <c r="KYP37" s="118"/>
      <c r="KYQ37" s="118"/>
      <c r="KYR37" s="118"/>
      <c r="KYS37" s="118"/>
      <c r="KYT37" s="118"/>
      <c r="KYU37" s="118"/>
      <c r="KYV37" s="118"/>
      <c r="KYW37" s="118"/>
      <c r="KYX37" s="118"/>
      <c r="KYY37" s="118"/>
      <c r="KYZ37" s="118"/>
      <c r="KZA37" s="118"/>
      <c r="KZB37" s="118"/>
      <c r="KZC37" s="118"/>
      <c r="KZD37" s="118"/>
      <c r="KZE37" s="118"/>
      <c r="KZF37" s="118"/>
      <c r="KZG37" s="118"/>
      <c r="KZH37" s="118"/>
      <c r="KZI37" s="118"/>
      <c r="KZJ37" s="118"/>
      <c r="KZK37" s="118"/>
      <c r="KZL37" s="118"/>
      <c r="KZM37" s="118"/>
      <c r="KZN37" s="118"/>
      <c r="KZO37" s="118"/>
      <c r="KZP37" s="118"/>
      <c r="KZQ37" s="118"/>
      <c r="KZR37" s="118"/>
      <c r="KZS37" s="118"/>
      <c r="KZT37" s="118"/>
      <c r="KZU37" s="118"/>
      <c r="KZV37" s="118"/>
      <c r="KZW37" s="118"/>
      <c r="KZX37" s="118"/>
      <c r="KZY37" s="118"/>
      <c r="KZZ37" s="118"/>
      <c r="LAA37" s="118"/>
      <c r="LAB37" s="118"/>
      <c r="LAC37" s="118"/>
      <c r="LAD37" s="118"/>
      <c r="LAE37" s="118"/>
      <c r="LAF37" s="118"/>
      <c r="LAG37" s="118"/>
      <c r="LAH37" s="118"/>
      <c r="LAI37" s="118"/>
      <c r="LAJ37" s="118"/>
      <c r="LAK37" s="118"/>
      <c r="LAL37" s="118"/>
      <c r="LAM37" s="118"/>
      <c r="LAN37" s="118"/>
      <c r="LAO37" s="118"/>
      <c r="LAP37" s="118"/>
      <c r="LAQ37" s="118"/>
      <c r="LAR37" s="118"/>
      <c r="LAS37" s="118"/>
      <c r="LAT37" s="118"/>
      <c r="LAU37" s="118"/>
      <c r="LAV37" s="118"/>
      <c r="LAW37" s="118"/>
      <c r="LAX37" s="118"/>
      <c r="LAY37" s="118"/>
      <c r="LAZ37" s="118"/>
      <c r="LBA37" s="118"/>
      <c r="LBB37" s="118"/>
      <c r="LBC37" s="118"/>
      <c r="LBD37" s="118"/>
      <c r="LBE37" s="118"/>
      <c r="LBF37" s="118"/>
      <c r="LBG37" s="118"/>
      <c r="LBH37" s="118"/>
      <c r="LBI37" s="118"/>
      <c r="LBJ37" s="118"/>
      <c r="LBK37" s="118"/>
      <c r="LBL37" s="118"/>
      <c r="LBM37" s="118"/>
      <c r="LBN37" s="118"/>
      <c r="LBO37" s="118"/>
      <c r="LBP37" s="118"/>
      <c r="LBQ37" s="118"/>
      <c r="LBR37" s="118"/>
      <c r="LBS37" s="118"/>
      <c r="LBT37" s="118"/>
      <c r="LBU37" s="118"/>
      <c r="LBV37" s="118"/>
      <c r="LBW37" s="118"/>
      <c r="LBX37" s="118"/>
      <c r="LBY37" s="118"/>
      <c r="LBZ37" s="118"/>
      <c r="LCA37" s="118"/>
      <c r="LCB37" s="118"/>
      <c r="LCC37" s="118"/>
      <c r="LCD37" s="118"/>
      <c r="LCE37" s="118"/>
      <c r="LCF37" s="118"/>
      <c r="LCG37" s="118"/>
      <c r="LCH37" s="118"/>
      <c r="LCI37" s="118"/>
      <c r="LCJ37" s="118"/>
      <c r="LCK37" s="118"/>
      <c r="LCL37" s="118"/>
      <c r="LCM37" s="118"/>
      <c r="LCN37" s="118"/>
      <c r="LCO37" s="118"/>
      <c r="LCP37" s="118"/>
      <c r="LCQ37" s="118"/>
      <c r="LCR37" s="118"/>
      <c r="LCS37" s="118"/>
      <c r="LCT37" s="118"/>
      <c r="LCU37" s="118"/>
      <c r="LCV37" s="118"/>
      <c r="LCW37" s="118"/>
      <c r="LCX37" s="118"/>
      <c r="LCY37" s="118"/>
      <c r="LCZ37" s="118"/>
      <c r="LDA37" s="118"/>
      <c r="LDB37" s="118"/>
      <c r="LDC37" s="118"/>
      <c r="LDD37" s="118"/>
      <c r="LDE37" s="118"/>
      <c r="LDF37" s="118"/>
      <c r="LDG37" s="118"/>
      <c r="LDH37" s="118"/>
      <c r="LDI37" s="118"/>
      <c r="LDJ37" s="118"/>
      <c r="LDK37" s="118"/>
      <c r="LDL37" s="118"/>
      <c r="LDM37" s="118"/>
      <c r="LDN37" s="118"/>
      <c r="LDO37" s="118"/>
      <c r="LDP37" s="118"/>
      <c r="LDQ37" s="118"/>
      <c r="LDR37" s="118"/>
      <c r="LDS37" s="118"/>
      <c r="LDT37" s="118"/>
      <c r="LDU37" s="118"/>
      <c r="LDV37" s="118"/>
      <c r="LDW37" s="118"/>
      <c r="LDX37" s="118"/>
      <c r="LDY37" s="118"/>
      <c r="LDZ37" s="118"/>
      <c r="LEA37" s="118"/>
      <c r="LEB37" s="118"/>
      <c r="LEC37" s="118"/>
      <c r="LED37" s="118"/>
      <c r="LEE37" s="118"/>
      <c r="LEF37" s="118"/>
      <c r="LEG37" s="118"/>
      <c r="LEH37" s="118"/>
      <c r="LEI37" s="118"/>
      <c r="LEJ37" s="118"/>
      <c r="LEK37" s="118"/>
      <c r="LEL37" s="118"/>
      <c r="LEM37" s="118"/>
      <c r="LEN37" s="118"/>
      <c r="LEO37" s="118"/>
      <c r="LEP37" s="118"/>
      <c r="LEQ37" s="118"/>
      <c r="LER37" s="118"/>
      <c r="LES37" s="118"/>
      <c r="LET37" s="118"/>
      <c r="LEU37" s="118"/>
      <c r="LEV37" s="118"/>
      <c r="LEW37" s="118"/>
      <c r="LEX37" s="118"/>
      <c r="LEY37" s="118"/>
      <c r="LEZ37" s="118"/>
      <c r="LFA37" s="118"/>
      <c r="LFB37" s="118"/>
      <c r="LFC37" s="118"/>
      <c r="LFD37" s="118"/>
      <c r="LFE37" s="118"/>
      <c r="LFF37" s="118"/>
      <c r="LFG37" s="118"/>
      <c r="LFH37" s="118"/>
      <c r="LFI37" s="118"/>
      <c r="LFJ37" s="118"/>
      <c r="LFK37" s="118"/>
      <c r="LFL37" s="118"/>
      <c r="LFM37" s="118"/>
      <c r="LFN37" s="118"/>
      <c r="LFO37" s="118"/>
      <c r="LFP37" s="118"/>
      <c r="LFQ37" s="118"/>
      <c r="LFR37" s="118"/>
      <c r="LFS37" s="118"/>
      <c r="LFT37" s="118"/>
      <c r="LFU37" s="118"/>
      <c r="LFV37" s="118"/>
      <c r="LFW37" s="118"/>
      <c r="LFX37" s="118"/>
      <c r="LFY37" s="118"/>
      <c r="LFZ37" s="118"/>
      <c r="LGA37" s="118"/>
      <c r="LGB37" s="118"/>
      <c r="LGC37" s="118"/>
      <c r="LGD37" s="118"/>
      <c r="LGE37" s="118"/>
      <c r="LGF37" s="118"/>
      <c r="LGG37" s="118"/>
      <c r="LGH37" s="118"/>
      <c r="LGI37" s="118"/>
      <c r="LGJ37" s="118"/>
      <c r="LGK37" s="118"/>
      <c r="LGL37" s="118"/>
      <c r="LGM37" s="118"/>
      <c r="LGN37" s="118"/>
      <c r="LGO37" s="118"/>
      <c r="LGP37" s="118"/>
      <c r="LGQ37" s="118"/>
      <c r="LGR37" s="118"/>
      <c r="LGS37" s="118"/>
      <c r="LGT37" s="118"/>
      <c r="LGU37" s="118"/>
      <c r="LGV37" s="118"/>
      <c r="LGW37" s="118"/>
      <c r="LGX37" s="118"/>
      <c r="LGY37" s="118"/>
      <c r="LGZ37" s="118"/>
      <c r="LHA37" s="118"/>
      <c r="LHB37" s="118"/>
      <c r="LHC37" s="118"/>
      <c r="LHD37" s="118"/>
      <c r="LHE37" s="118"/>
      <c r="LHF37" s="118"/>
      <c r="LHG37" s="118"/>
      <c r="LHH37" s="118"/>
      <c r="LHI37" s="118"/>
      <c r="LHJ37" s="118"/>
      <c r="LHK37" s="118"/>
      <c r="LHL37" s="118"/>
      <c r="LHM37" s="118"/>
      <c r="LHN37" s="118"/>
      <c r="LHO37" s="118"/>
      <c r="LHP37" s="118"/>
      <c r="LHQ37" s="118"/>
      <c r="LHR37" s="118"/>
      <c r="LHS37" s="118"/>
      <c r="LHT37" s="118"/>
      <c r="LHU37" s="118"/>
      <c r="LHV37" s="118"/>
      <c r="LHW37" s="118"/>
      <c r="LHX37" s="118"/>
      <c r="LHY37" s="118"/>
      <c r="LHZ37" s="118"/>
      <c r="LIA37" s="118"/>
      <c r="LIB37" s="118"/>
      <c r="LIC37" s="118"/>
      <c r="LID37" s="118"/>
      <c r="LIE37" s="118"/>
      <c r="LIF37" s="118"/>
      <c r="LIG37" s="118"/>
      <c r="LIH37" s="118"/>
      <c r="LII37" s="118"/>
      <c r="LIJ37" s="118"/>
      <c r="LIK37" s="118"/>
      <c r="LIL37" s="118"/>
      <c r="LIM37" s="118"/>
      <c r="LIN37" s="118"/>
      <c r="LIO37" s="118"/>
      <c r="LIP37" s="118"/>
      <c r="LIQ37" s="118"/>
      <c r="LIR37" s="118"/>
      <c r="LIS37" s="118"/>
      <c r="LIT37" s="118"/>
      <c r="LIU37" s="118"/>
      <c r="LIV37" s="118"/>
      <c r="LIW37" s="118"/>
      <c r="LIX37" s="118"/>
      <c r="LIY37" s="118"/>
      <c r="LIZ37" s="118"/>
      <c r="LJA37" s="118"/>
      <c r="LJB37" s="118"/>
      <c r="LJC37" s="118"/>
      <c r="LJD37" s="118"/>
      <c r="LJE37" s="118"/>
      <c r="LJF37" s="118"/>
      <c r="LJG37" s="118"/>
      <c r="LJH37" s="118"/>
      <c r="LJI37" s="118"/>
      <c r="LJJ37" s="118"/>
      <c r="LJK37" s="118"/>
      <c r="LJL37" s="118"/>
      <c r="LJM37" s="118"/>
      <c r="LJN37" s="118"/>
      <c r="LJO37" s="118"/>
      <c r="LJP37" s="118"/>
      <c r="LJQ37" s="118"/>
      <c r="LJR37" s="118"/>
      <c r="LJS37" s="118"/>
      <c r="LJT37" s="118"/>
      <c r="LJU37" s="118"/>
      <c r="LJV37" s="118"/>
      <c r="LJW37" s="118"/>
      <c r="LJX37" s="118"/>
      <c r="LJY37" s="118"/>
      <c r="LJZ37" s="118"/>
      <c r="LKA37" s="118"/>
      <c r="LKB37" s="118"/>
      <c r="LKC37" s="118"/>
      <c r="LKD37" s="118"/>
      <c r="LKE37" s="118"/>
      <c r="LKF37" s="118"/>
      <c r="LKG37" s="118"/>
      <c r="LKH37" s="118"/>
      <c r="LKI37" s="118"/>
      <c r="LKJ37" s="118"/>
      <c r="LKK37" s="118"/>
      <c r="LKL37" s="118"/>
      <c r="LKM37" s="118"/>
      <c r="LKN37" s="118"/>
      <c r="LKO37" s="118"/>
      <c r="LKP37" s="118"/>
      <c r="LKQ37" s="118"/>
      <c r="LKR37" s="118"/>
      <c r="LKS37" s="118"/>
      <c r="LKT37" s="118"/>
      <c r="LKU37" s="118"/>
      <c r="LKV37" s="118"/>
      <c r="LKW37" s="118"/>
      <c r="LKX37" s="118"/>
      <c r="LKY37" s="118"/>
      <c r="LKZ37" s="118"/>
      <c r="LLA37" s="118"/>
      <c r="LLB37" s="118"/>
      <c r="LLC37" s="118"/>
      <c r="LLD37" s="118"/>
      <c r="LLE37" s="118"/>
      <c r="LLF37" s="118"/>
      <c r="LLG37" s="118"/>
      <c r="LLH37" s="118"/>
      <c r="LLI37" s="118"/>
      <c r="LLJ37" s="118"/>
      <c r="LLK37" s="118"/>
      <c r="LLL37" s="118"/>
      <c r="LLM37" s="118"/>
      <c r="LLN37" s="118"/>
      <c r="LLO37" s="118"/>
      <c r="LLP37" s="118"/>
      <c r="LLQ37" s="118"/>
      <c r="LLR37" s="118"/>
      <c r="LLS37" s="118"/>
      <c r="LLT37" s="118"/>
      <c r="LLU37" s="118"/>
      <c r="LLV37" s="118"/>
      <c r="LLW37" s="118"/>
      <c r="LLX37" s="118"/>
      <c r="LLY37" s="118"/>
      <c r="LLZ37" s="118"/>
      <c r="LMA37" s="118"/>
      <c r="LMB37" s="118"/>
      <c r="LMC37" s="118"/>
      <c r="LMD37" s="118"/>
      <c r="LME37" s="118"/>
      <c r="LMF37" s="118"/>
      <c r="LMG37" s="118"/>
      <c r="LMH37" s="118"/>
      <c r="LMI37" s="118"/>
      <c r="LMJ37" s="118"/>
      <c r="LMK37" s="118"/>
      <c r="LML37" s="118"/>
      <c r="LMM37" s="118"/>
      <c r="LMN37" s="118"/>
      <c r="LMO37" s="118"/>
      <c r="LMP37" s="118"/>
      <c r="LMQ37" s="118"/>
      <c r="LMR37" s="118"/>
      <c r="LMS37" s="118"/>
      <c r="LMT37" s="118"/>
      <c r="LMU37" s="118"/>
      <c r="LMV37" s="118"/>
      <c r="LMW37" s="118"/>
      <c r="LMX37" s="118"/>
      <c r="LMY37" s="118"/>
      <c r="LMZ37" s="118"/>
      <c r="LNA37" s="118"/>
      <c r="LNB37" s="118"/>
      <c r="LNC37" s="118"/>
      <c r="LND37" s="118"/>
      <c r="LNE37" s="118"/>
      <c r="LNF37" s="118"/>
      <c r="LNG37" s="118"/>
      <c r="LNH37" s="118"/>
      <c r="LNI37" s="118"/>
      <c r="LNJ37" s="118"/>
      <c r="LNK37" s="118"/>
      <c r="LNL37" s="118"/>
      <c r="LNM37" s="118"/>
      <c r="LNN37" s="118"/>
      <c r="LNO37" s="118"/>
      <c r="LNP37" s="118"/>
      <c r="LNQ37" s="118"/>
      <c r="LNR37" s="118"/>
      <c r="LNS37" s="118"/>
      <c r="LNT37" s="118"/>
      <c r="LNU37" s="118"/>
      <c r="LNV37" s="118"/>
      <c r="LNW37" s="118"/>
      <c r="LNX37" s="118"/>
      <c r="LNY37" s="118"/>
      <c r="LNZ37" s="118"/>
      <c r="LOA37" s="118"/>
      <c r="LOB37" s="118"/>
      <c r="LOC37" s="118"/>
      <c r="LOD37" s="118"/>
      <c r="LOE37" s="118"/>
      <c r="LOF37" s="118"/>
      <c r="LOG37" s="118"/>
      <c r="LOH37" s="118"/>
      <c r="LOI37" s="118"/>
      <c r="LOJ37" s="118"/>
      <c r="LOK37" s="118"/>
      <c r="LOL37" s="118"/>
      <c r="LOM37" s="118"/>
      <c r="LON37" s="118"/>
      <c r="LOO37" s="118"/>
      <c r="LOP37" s="118"/>
      <c r="LOQ37" s="118"/>
      <c r="LOR37" s="118"/>
      <c r="LOS37" s="118"/>
      <c r="LOT37" s="118"/>
      <c r="LOU37" s="118"/>
      <c r="LOV37" s="118"/>
      <c r="LOW37" s="118"/>
      <c r="LOX37" s="118"/>
      <c r="LOY37" s="118"/>
      <c r="LOZ37" s="118"/>
      <c r="LPA37" s="118"/>
      <c r="LPB37" s="118"/>
      <c r="LPC37" s="118"/>
      <c r="LPD37" s="118"/>
      <c r="LPE37" s="118"/>
      <c r="LPF37" s="118"/>
      <c r="LPG37" s="118"/>
      <c r="LPH37" s="118"/>
      <c r="LPI37" s="118"/>
      <c r="LPJ37" s="118"/>
      <c r="LPK37" s="118"/>
      <c r="LPL37" s="118"/>
      <c r="LPM37" s="118"/>
      <c r="LPN37" s="118"/>
      <c r="LPO37" s="118"/>
      <c r="LPP37" s="118"/>
      <c r="LPQ37" s="118"/>
      <c r="LPR37" s="118"/>
      <c r="LPS37" s="118"/>
      <c r="LPT37" s="118"/>
      <c r="LPU37" s="118"/>
      <c r="LPV37" s="118"/>
      <c r="LPW37" s="118"/>
      <c r="LPX37" s="118"/>
      <c r="LPY37" s="118"/>
      <c r="LPZ37" s="118"/>
      <c r="LQA37" s="118"/>
      <c r="LQB37" s="118"/>
      <c r="LQC37" s="118"/>
      <c r="LQD37" s="118"/>
      <c r="LQE37" s="118"/>
      <c r="LQF37" s="118"/>
      <c r="LQG37" s="118"/>
      <c r="LQH37" s="118"/>
      <c r="LQI37" s="118"/>
      <c r="LQJ37" s="118"/>
      <c r="LQK37" s="118"/>
      <c r="LQL37" s="118"/>
      <c r="LQM37" s="118"/>
      <c r="LQN37" s="118"/>
      <c r="LQO37" s="118"/>
      <c r="LQP37" s="118"/>
      <c r="LQQ37" s="118"/>
      <c r="LQR37" s="118"/>
      <c r="LQS37" s="118"/>
      <c r="LQT37" s="118"/>
      <c r="LQU37" s="118"/>
      <c r="LQV37" s="118"/>
      <c r="LQW37" s="118"/>
      <c r="LQX37" s="118"/>
      <c r="LQY37" s="118"/>
      <c r="LQZ37" s="118"/>
      <c r="LRA37" s="118"/>
      <c r="LRB37" s="118"/>
      <c r="LRC37" s="118"/>
      <c r="LRD37" s="118"/>
      <c r="LRE37" s="118"/>
      <c r="LRF37" s="118"/>
      <c r="LRG37" s="118"/>
      <c r="LRH37" s="118"/>
      <c r="LRI37" s="118"/>
      <c r="LRJ37" s="118"/>
      <c r="LRK37" s="118"/>
      <c r="LRL37" s="118"/>
      <c r="LRM37" s="118"/>
      <c r="LRN37" s="118"/>
      <c r="LRO37" s="118"/>
      <c r="LRP37" s="118"/>
      <c r="LRQ37" s="118"/>
      <c r="LRR37" s="118"/>
      <c r="LRS37" s="118"/>
      <c r="LRT37" s="118"/>
      <c r="LRU37" s="118"/>
      <c r="LRV37" s="118"/>
      <c r="LRW37" s="118"/>
      <c r="LRX37" s="118"/>
      <c r="LRY37" s="118"/>
      <c r="LRZ37" s="118"/>
      <c r="LSA37" s="118"/>
      <c r="LSB37" s="118"/>
      <c r="LSC37" s="118"/>
      <c r="LSD37" s="118"/>
      <c r="LSE37" s="118"/>
      <c r="LSF37" s="118"/>
      <c r="LSG37" s="118"/>
      <c r="LSH37" s="118"/>
      <c r="LSI37" s="118"/>
      <c r="LSJ37" s="118"/>
      <c r="LSK37" s="118"/>
      <c r="LSL37" s="118"/>
      <c r="LSM37" s="118"/>
      <c r="LSN37" s="118"/>
      <c r="LSO37" s="118"/>
      <c r="LSP37" s="118"/>
      <c r="LSQ37" s="118"/>
      <c r="LSR37" s="118"/>
      <c r="LSS37" s="118"/>
      <c r="LST37" s="118"/>
      <c r="LSU37" s="118"/>
      <c r="LSV37" s="118"/>
      <c r="LSW37" s="118"/>
      <c r="LSX37" s="118"/>
      <c r="LSY37" s="118"/>
      <c r="LSZ37" s="118"/>
      <c r="LTA37" s="118"/>
      <c r="LTB37" s="118"/>
      <c r="LTC37" s="118"/>
      <c r="LTD37" s="118"/>
      <c r="LTE37" s="118"/>
      <c r="LTF37" s="118"/>
      <c r="LTG37" s="118"/>
      <c r="LTH37" s="118"/>
      <c r="LTI37" s="118"/>
      <c r="LTJ37" s="118"/>
      <c r="LTK37" s="118"/>
      <c r="LTL37" s="118"/>
      <c r="LTM37" s="118"/>
      <c r="LTN37" s="118"/>
      <c r="LTO37" s="118"/>
      <c r="LTP37" s="118"/>
      <c r="LTQ37" s="118"/>
      <c r="LTR37" s="118"/>
      <c r="LTS37" s="118"/>
      <c r="LTT37" s="118"/>
      <c r="LTU37" s="118"/>
      <c r="LTV37" s="118"/>
      <c r="LTW37" s="118"/>
      <c r="LTX37" s="118"/>
      <c r="LTY37" s="118"/>
      <c r="LTZ37" s="118"/>
      <c r="LUA37" s="118"/>
      <c r="LUB37" s="118"/>
      <c r="LUC37" s="118"/>
      <c r="LUD37" s="118"/>
      <c r="LUE37" s="118"/>
      <c r="LUF37" s="118"/>
      <c r="LUG37" s="118"/>
      <c r="LUH37" s="118"/>
      <c r="LUI37" s="118"/>
      <c r="LUJ37" s="118"/>
      <c r="LUK37" s="118"/>
      <c r="LUL37" s="118"/>
      <c r="LUM37" s="118"/>
      <c r="LUN37" s="118"/>
      <c r="LUO37" s="118"/>
      <c r="LUP37" s="118"/>
      <c r="LUQ37" s="118"/>
      <c r="LUR37" s="118"/>
      <c r="LUS37" s="118"/>
      <c r="LUT37" s="118"/>
      <c r="LUU37" s="118"/>
      <c r="LUV37" s="118"/>
      <c r="LUW37" s="118"/>
      <c r="LUX37" s="118"/>
      <c r="LUY37" s="118"/>
      <c r="LUZ37" s="118"/>
      <c r="LVA37" s="118"/>
      <c r="LVB37" s="118"/>
      <c r="LVC37" s="118"/>
      <c r="LVD37" s="118"/>
      <c r="LVE37" s="118"/>
      <c r="LVF37" s="118"/>
      <c r="LVG37" s="118"/>
      <c r="LVH37" s="118"/>
      <c r="LVI37" s="118"/>
      <c r="LVJ37" s="118"/>
      <c r="LVK37" s="118"/>
      <c r="LVL37" s="118"/>
      <c r="LVM37" s="118"/>
      <c r="LVN37" s="118"/>
      <c r="LVO37" s="118"/>
      <c r="LVP37" s="118"/>
      <c r="LVQ37" s="118"/>
      <c r="LVR37" s="118"/>
      <c r="LVS37" s="118"/>
      <c r="LVT37" s="118"/>
      <c r="LVU37" s="118"/>
      <c r="LVV37" s="118"/>
      <c r="LVW37" s="118"/>
      <c r="LVX37" s="118"/>
      <c r="LVY37" s="118"/>
      <c r="LVZ37" s="118"/>
      <c r="LWA37" s="118"/>
      <c r="LWB37" s="118"/>
      <c r="LWC37" s="118"/>
      <c r="LWD37" s="118"/>
      <c r="LWE37" s="118"/>
      <c r="LWF37" s="118"/>
      <c r="LWG37" s="118"/>
      <c r="LWH37" s="118"/>
      <c r="LWI37" s="118"/>
      <c r="LWJ37" s="118"/>
      <c r="LWK37" s="118"/>
      <c r="LWL37" s="118"/>
      <c r="LWM37" s="118"/>
      <c r="LWN37" s="118"/>
      <c r="LWO37" s="118"/>
      <c r="LWP37" s="118"/>
      <c r="LWQ37" s="118"/>
      <c r="LWR37" s="118"/>
      <c r="LWS37" s="118"/>
      <c r="LWT37" s="118"/>
      <c r="LWU37" s="118"/>
      <c r="LWV37" s="118"/>
      <c r="LWW37" s="118"/>
      <c r="LWX37" s="118"/>
      <c r="LWY37" s="118"/>
      <c r="LWZ37" s="118"/>
      <c r="LXA37" s="118"/>
      <c r="LXB37" s="118"/>
      <c r="LXC37" s="118"/>
      <c r="LXD37" s="118"/>
      <c r="LXE37" s="118"/>
      <c r="LXF37" s="118"/>
      <c r="LXG37" s="118"/>
      <c r="LXH37" s="118"/>
      <c r="LXI37" s="118"/>
      <c r="LXJ37" s="118"/>
      <c r="LXK37" s="118"/>
      <c r="LXL37" s="118"/>
      <c r="LXM37" s="118"/>
      <c r="LXN37" s="118"/>
      <c r="LXO37" s="118"/>
      <c r="LXP37" s="118"/>
      <c r="LXQ37" s="118"/>
      <c r="LXR37" s="118"/>
      <c r="LXS37" s="118"/>
      <c r="LXT37" s="118"/>
      <c r="LXU37" s="118"/>
      <c r="LXV37" s="118"/>
      <c r="LXW37" s="118"/>
      <c r="LXX37" s="118"/>
      <c r="LXY37" s="118"/>
      <c r="LXZ37" s="118"/>
      <c r="LYA37" s="118"/>
      <c r="LYB37" s="118"/>
      <c r="LYC37" s="118"/>
      <c r="LYD37" s="118"/>
      <c r="LYE37" s="118"/>
      <c r="LYF37" s="118"/>
      <c r="LYG37" s="118"/>
      <c r="LYH37" s="118"/>
      <c r="LYI37" s="118"/>
      <c r="LYJ37" s="118"/>
      <c r="LYK37" s="118"/>
      <c r="LYL37" s="118"/>
      <c r="LYM37" s="118"/>
      <c r="LYN37" s="118"/>
      <c r="LYO37" s="118"/>
      <c r="LYP37" s="118"/>
      <c r="LYQ37" s="118"/>
      <c r="LYR37" s="118"/>
      <c r="LYS37" s="118"/>
      <c r="LYT37" s="118"/>
      <c r="LYU37" s="118"/>
      <c r="LYV37" s="118"/>
      <c r="LYW37" s="118"/>
      <c r="LYX37" s="118"/>
      <c r="LYY37" s="118"/>
      <c r="LYZ37" s="118"/>
      <c r="LZA37" s="118"/>
      <c r="LZB37" s="118"/>
      <c r="LZC37" s="118"/>
      <c r="LZD37" s="118"/>
      <c r="LZE37" s="118"/>
      <c r="LZF37" s="118"/>
      <c r="LZG37" s="118"/>
      <c r="LZH37" s="118"/>
      <c r="LZI37" s="118"/>
      <c r="LZJ37" s="118"/>
      <c r="LZK37" s="118"/>
      <c r="LZL37" s="118"/>
      <c r="LZM37" s="118"/>
      <c r="LZN37" s="118"/>
      <c r="LZO37" s="118"/>
      <c r="LZP37" s="118"/>
      <c r="LZQ37" s="118"/>
      <c r="LZR37" s="118"/>
      <c r="LZS37" s="118"/>
      <c r="LZT37" s="118"/>
      <c r="LZU37" s="118"/>
      <c r="LZV37" s="118"/>
      <c r="LZW37" s="118"/>
      <c r="LZX37" s="118"/>
      <c r="LZY37" s="118"/>
      <c r="LZZ37" s="118"/>
      <c r="MAA37" s="118"/>
      <c r="MAB37" s="118"/>
      <c r="MAC37" s="118"/>
      <c r="MAD37" s="118"/>
      <c r="MAE37" s="118"/>
      <c r="MAF37" s="118"/>
      <c r="MAG37" s="118"/>
      <c r="MAH37" s="118"/>
      <c r="MAI37" s="118"/>
      <c r="MAJ37" s="118"/>
      <c r="MAK37" s="118"/>
      <c r="MAL37" s="118"/>
      <c r="MAM37" s="118"/>
      <c r="MAN37" s="118"/>
      <c r="MAO37" s="118"/>
      <c r="MAP37" s="118"/>
      <c r="MAQ37" s="118"/>
      <c r="MAR37" s="118"/>
      <c r="MAS37" s="118"/>
      <c r="MAT37" s="118"/>
      <c r="MAU37" s="118"/>
      <c r="MAV37" s="118"/>
      <c r="MAW37" s="118"/>
      <c r="MAX37" s="118"/>
      <c r="MAY37" s="118"/>
      <c r="MAZ37" s="118"/>
      <c r="MBA37" s="118"/>
      <c r="MBB37" s="118"/>
      <c r="MBC37" s="118"/>
      <c r="MBD37" s="118"/>
      <c r="MBE37" s="118"/>
      <c r="MBF37" s="118"/>
      <c r="MBG37" s="118"/>
      <c r="MBH37" s="118"/>
      <c r="MBI37" s="118"/>
      <c r="MBJ37" s="118"/>
      <c r="MBK37" s="118"/>
      <c r="MBL37" s="118"/>
      <c r="MBM37" s="118"/>
      <c r="MBN37" s="118"/>
      <c r="MBO37" s="118"/>
      <c r="MBP37" s="118"/>
      <c r="MBQ37" s="118"/>
      <c r="MBR37" s="118"/>
      <c r="MBS37" s="118"/>
      <c r="MBT37" s="118"/>
      <c r="MBU37" s="118"/>
      <c r="MBV37" s="118"/>
      <c r="MBW37" s="118"/>
      <c r="MBX37" s="118"/>
      <c r="MBY37" s="118"/>
      <c r="MBZ37" s="118"/>
      <c r="MCA37" s="118"/>
      <c r="MCB37" s="118"/>
      <c r="MCC37" s="118"/>
      <c r="MCD37" s="118"/>
      <c r="MCE37" s="118"/>
      <c r="MCF37" s="118"/>
      <c r="MCG37" s="118"/>
      <c r="MCH37" s="118"/>
      <c r="MCI37" s="118"/>
      <c r="MCJ37" s="118"/>
      <c r="MCK37" s="118"/>
      <c r="MCL37" s="118"/>
      <c r="MCM37" s="118"/>
      <c r="MCN37" s="118"/>
      <c r="MCO37" s="118"/>
      <c r="MCP37" s="118"/>
      <c r="MCQ37" s="118"/>
      <c r="MCR37" s="118"/>
      <c r="MCS37" s="118"/>
      <c r="MCT37" s="118"/>
      <c r="MCU37" s="118"/>
      <c r="MCV37" s="118"/>
      <c r="MCW37" s="118"/>
      <c r="MCX37" s="118"/>
      <c r="MCY37" s="118"/>
      <c r="MCZ37" s="118"/>
      <c r="MDA37" s="118"/>
      <c r="MDB37" s="118"/>
      <c r="MDC37" s="118"/>
      <c r="MDD37" s="118"/>
      <c r="MDE37" s="118"/>
      <c r="MDF37" s="118"/>
      <c r="MDG37" s="118"/>
      <c r="MDH37" s="118"/>
      <c r="MDI37" s="118"/>
      <c r="MDJ37" s="118"/>
      <c r="MDK37" s="118"/>
      <c r="MDL37" s="118"/>
      <c r="MDM37" s="118"/>
      <c r="MDN37" s="118"/>
      <c r="MDO37" s="118"/>
      <c r="MDP37" s="118"/>
      <c r="MDQ37" s="118"/>
      <c r="MDR37" s="118"/>
      <c r="MDS37" s="118"/>
      <c r="MDT37" s="118"/>
      <c r="MDU37" s="118"/>
      <c r="MDV37" s="118"/>
      <c r="MDW37" s="118"/>
      <c r="MDX37" s="118"/>
      <c r="MDY37" s="118"/>
      <c r="MDZ37" s="118"/>
      <c r="MEA37" s="118"/>
      <c r="MEB37" s="118"/>
      <c r="MEC37" s="118"/>
      <c r="MED37" s="118"/>
      <c r="MEE37" s="118"/>
      <c r="MEF37" s="118"/>
      <c r="MEG37" s="118"/>
      <c r="MEH37" s="118"/>
      <c r="MEI37" s="118"/>
      <c r="MEJ37" s="118"/>
      <c r="MEK37" s="118"/>
      <c r="MEL37" s="118"/>
      <c r="MEM37" s="118"/>
      <c r="MEN37" s="118"/>
      <c r="MEO37" s="118"/>
      <c r="MEP37" s="118"/>
      <c r="MEQ37" s="118"/>
      <c r="MER37" s="118"/>
      <c r="MES37" s="118"/>
      <c r="MET37" s="118"/>
      <c r="MEU37" s="118"/>
      <c r="MEV37" s="118"/>
      <c r="MEW37" s="118"/>
      <c r="MEX37" s="118"/>
      <c r="MEY37" s="118"/>
      <c r="MEZ37" s="118"/>
      <c r="MFA37" s="118"/>
      <c r="MFB37" s="118"/>
      <c r="MFC37" s="118"/>
      <c r="MFD37" s="118"/>
      <c r="MFE37" s="118"/>
      <c r="MFF37" s="118"/>
      <c r="MFG37" s="118"/>
      <c r="MFH37" s="118"/>
      <c r="MFI37" s="118"/>
      <c r="MFJ37" s="118"/>
      <c r="MFK37" s="118"/>
      <c r="MFL37" s="118"/>
      <c r="MFM37" s="118"/>
      <c r="MFN37" s="118"/>
      <c r="MFO37" s="118"/>
      <c r="MFP37" s="118"/>
      <c r="MFQ37" s="118"/>
      <c r="MFR37" s="118"/>
      <c r="MFS37" s="118"/>
      <c r="MFT37" s="118"/>
      <c r="MFU37" s="118"/>
      <c r="MFV37" s="118"/>
      <c r="MFW37" s="118"/>
      <c r="MFX37" s="118"/>
      <c r="MFY37" s="118"/>
      <c r="MFZ37" s="118"/>
      <c r="MGA37" s="118"/>
      <c r="MGB37" s="118"/>
      <c r="MGC37" s="118"/>
      <c r="MGD37" s="118"/>
      <c r="MGE37" s="118"/>
      <c r="MGF37" s="118"/>
      <c r="MGG37" s="118"/>
      <c r="MGH37" s="118"/>
      <c r="MGI37" s="118"/>
      <c r="MGJ37" s="118"/>
      <c r="MGK37" s="118"/>
      <c r="MGL37" s="118"/>
      <c r="MGM37" s="118"/>
      <c r="MGN37" s="118"/>
      <c r="MGO37" s="118"/>
      <c r="MGP37" s="118"/>
      <c r="MGQ37" s="118"/>
      <c r="MGR37" s="118"/>
      <c r="MGS37" s="118"/>
      <c r="MGT37" s="118"/>
      <c r="MGU37" s="118"/>
      <c r="MGV37" s="118"/>
      <c r="MGW37" s="118"/>
      <c r="MGX37" s="118"/>
      <c r="MGY37" s="118"/>
      <c r="MGZ37" s="118"/>
      <c r="MHA37" s="118"/>
      <c r="MHB37" s="118"/>
      <c r="MHC37" s="118"/>
      <c r="MHD37" s="118"/>
      <c r="MHE37" s="118"/>
      <c r="MHF37" s="118"/>
      <c r="MHG37" s="118"/>
      <c r="MHH37" s="118"/>
      <c r="MHI37" s="118"/>
      <c r="MHJ37" s="118"/>
      <c r="MHK37" s="118"/>
      <c r="MHL37" s="118"/>
      <c r="MHM37" s="118"/>
      <c r="MHN37" s="118"/>
      <c r="MHO37" s="118"/>
      <c r="MHP37" s="118"/>
      <c r="MHQ37" s="118"/>
      <c r="MHR37" s="118"/>
      <c r="MHS37" s="118"/>
      <c r="MHT37" s="118"/>
      <c r="MHU37" s="118"/>
      <c r="MHV37" s="118"/>
      <c r="MHW37" s="118"/>
      <c r="MHX37" s="118"/>
      <c r="MHY37" s="118"/>
      <c r="MHZ37" s="118"/>
      <c r="MIA37" s="118"/>
      <c r="MIB37" s="118"/>
      <c r="MIC37" s="118"/>
      <c r="MID37" s="118"/>
      <c r="MIE37" s="118"/>
      <c r="MIF37" s="118"/>
      <c r="MIG37" s="118"/>
      <c r="MIH37" s="118"/>
      <c r="MII37" s="118"/>
      <c r="MIJ37" s="118"/>
      <c r="MIK37" s="118"/>
      <c r="MIL37" s="118"/>
      <c r="MIM37" s="118"/>
      <c r="MIN37" s="118"/>
      <c r="MIO37" s="118"/>
      <c r="MIP37" s="118"/>
      <c r="MIQ37" s="118"/>
      <c r="MIR37" s="118"/>
      <c r="MIS37" s="118"/>
      <c r="MIT37" s="118"/>
      <c r="MIU37" s="118"/>
      <c r="MIV37" s="118"/>
      <c r="MIW37" s="118"/>
      <c r="MIX37" s="118"/>
      <c r="MIY37" s="118"/>
      <c r="MIZ37" s="118"/>
      <c r="MJA37" s="118"/>
      <c r="MJB37" s="118"/>
      <c r="MJC37" s="118"/>
      <c r="MJD37" s="118"/>
      <c r="MJE37" s="118"/>
      <c r="MJF37" s="118"/>
      <c r="MJG37" s="118"/>
      <c r="MJH37" s="118"/>
      <c r="MJI37" s="118"/>
      <c r="MJJ37" s="118"/>
      <c r="MJK37" s="118"/>
      <c r="MJL37" s="118"/>
      <c r="MJM37" s="118"/>
      <c r="MJN37" s="118"/>
      <c r="MJO37" s="118"/>
      <c r="MJP37" s="118"/>
      <c r="MJQ37" s="118"/>
      <c r="MJR37" s="118"/>
      <c r="MJS37" s="118"/>
      <c r="MJT37" s="118"/>
      <c r="MJU37" s="118"/>
      <c r="MJV37" s="118"/>
      <c r="MJW37" s="118"/>
      <c r="MJX37" s="118"/>
      <c r="MJY37" s="118"/>
      <c r="MJZ37" s="118"/>
      <c r="MKA37" s="118"/>
      <c r="MKB37" s="118"/>
      <c r="MKC37" s="118"/>
      <c r="MKD37" s="118"/>
      <c r="MKE37" s="118"/>
      <c r="MKF37" s="118"/>
      <c r="MKG37" s="118"/>
      <c r="MKH37" s="118"/>
      <c r="MKI37" s="118"/>
      <c r="MKJ37" s="118"/>
      <c r="MKK37" s="118"/>
      <c r="MKL37" s="118"/>
      <c r="MKM37" s="118"/>
      <c r="MKN37" s="118"/>
      <c r="MKO37" s="118"/>
      <c r="MKP37" s="118"/>
      <c r="MKQ37" s="118"/>
      <c r="MKR37" s="118"/>
      <c r="MKS37" s="118"/>
      <c r="MKT37" s="118"/>
      <c r="MKU37" s="118"/>
      <c r="MKV37" s="118"/>
      <c r="MKW37" s="118"/>
      <c r="MKX37" s="118"/>
      <c r="MKY37" s="118"/>
      <c r="MKZ37" s="118"/>
      <c r="MLA37" s="118"/>
      <c r="MLB37" s="118"/>
      <c r="MLC37" s="118"/>
      <c r="MLD37" s="118"/>
      <c r="MLE37" s="118"/>
      <c r="MLF37" s="118"/>
      <c r="MLG37" s="118"/>
      <c r="MLH37" s="118"/>
      <c r="MLI37" s="118"/>
      <c r="MLJ37" s="118"/>
      <c r="MLK37" s="118"/>
      <c r="MLL37" s="118"/>
      <c r="MLM37" s="118"/>
      <c r="MLN37" s="118"/>
      <c r="MLO37" s="118"/>
      <c r="MLP37" s="118"/>
      <c r="MLQ37" s="118"/>
      <c r="MLR37" s="118"/>
      <c r="MLS37" s="118"/>
      <c r="MLT37" s="118"/>
      <c r="MLU37" s="118"/>
      <c r="MLV37" s="118"/>
      <c r="MLW37" s="118"/>
      <c r="MLX37" s="118"/>
      <c r="MLY37" s="118"/>
      <c r="MLZ37" s="118"/>
      <c r="MMA37" s="118"/>
      <c r="MMB37" s="118"/>
      <c r="MMC37" s="118"/>
      <c r="MMD37" s="118"/>
      <c r="MME37" s="118"/>
      <c r="MMF37" s="118"/>
      <c r="MMG37" s="118"/>
      <c r="MMH37" s="118"/>
      <c r="MMI37" s="118"/>
      <c r="MMJ37" s="118"/>
      <c r="MMK37" s="118"/>
      <c r="MML37" s="118"/>
      <c r="MMM37" s="118"/>
      <c r="MMN37" s="118"/>
      <c r="MMO37" s="118"/>
      <c r="MMP37" s="118"/>
      <c r="MMQ37" s="118"/>
      <c r="MMR37" s="118"/>
      <c r="MMS37" s="118"/>
      <c r="MMT37" s="118"/>
      <c r="MMU37" s="118"/>
      <c r="MMV37" s="118"/>
      <c r="MMW37" s="118"/>
      <c r="MMX37" s="118"/>
      <c r="MMY37" s="118"/>
      <c r="MMZ37" s="118"/>
      <c r="MNA37" s="118"/>
      <c r="MNB37" s="118"/>
      <c r="MNC37" s="118"/>
      <c r="MND37" s="118"/>
      <c r="MNE37" s="118"/>
      <c r="MNF37" s="118"/>
      <c r="MNG37" s="118"/>
      <c r="MNH37" s="118"/>
      <c r="MNI37" s="118"/>
      <c r="MNJ37" s="118"/>
      <c r="MNK37" s="118"/>
      <c r="MNL37" s="118"/>
      <c r="MNM37" s="118"/>
      <c r="MNN37" s="118"/>
      <c r="MNO37" s="118"/>
      <c r="MNP37" s="118"/>
      <c r="MNQ37" s="118"/>
      <c r="MNR37" s="118"/>
      <c r="MNS37" s="118"/>
      <c r="MNT37" s="118"/>
      <c r="MNU37" s="118"/>
      <c r="MNV37" s="118"/>
      <c r="MNW37" s="118"/>
      <c r="MNX37" s="118"/>
      <c r="MNY37" s="118"/>
      <c r="MNZ37" s="118"/>
      <c r="MOA37" s="118"/>
      <c r="MOB37" s="118"/>
      <c r="MOC37" s="118"/>
      <c r="MOD37" s="118"/>
      <c r="MOE37" s="118"/>
      <c r="MOF37" s="118"/>
      <c r="MOG37" s="118"/>
      <c r="MOH37" s="118"/>
      <c r="MOI37" s="118"/>
      <c r="MOJ37" s="118"/>
      <c r="MOK37" s="118"/>
      <c r="MOL37" s="118"/>
      <c r="MOM37" s="118"/>
      <c r="MON37" s="118"/>
      <c r="MOO37" s="118"/>
      <c r="MOP37" s="118"/>
      <c r="MOQ37" s="118"/>
      <c r="MOR37" s="118"/>
      <c r="MOS37" s="118"/>
      <c r="MOT37" s="118"/>
      <c r="MOU37" s="118"/>
      <c r="MOV37" s="118"/>
      <c r="MOW37" s="118"/>
      <c r="MOX37" s="118"/>
      <c r="MOY37" s="118"/>
      <c r="MOZ37" s="118"/>
      <c r="MPA37" s="118"/>
      <c r="MPB37" s="118"/>
      <c r="MPC37" s="118"/>
      <c r="MPD37" s="118"/>
      <c r="MPE37" s="118"/>
      <c r="MPF37" s="118"/>
      <c r="MPG37" s="118"/>
      <c r="MPH37" s="118"/>
      <c r="MPI37" s="118"/>
      <c r="MPJ37" s="118"/>
      <c r="MPK37" s="118"/>
      <c r="MPL37" s="118"/>
      <c r="MPM37" s="118"/>
      <c r="MPN37" s="118"/>
      <c r="MPO37" s="118"/>
      <c r="MPP37" s="118"/>
      <c r="MPQ37" s="118"/>
      <c r="MPR37" s="118"/>
      <c r="MPS37" s="118"/>
      <c r="MPT37" s="118"/>
      <c r="MPU37" s="118"/>
      <c r="MPV37" s="118"/>
      <c r="MPW37" s="118"/>
      <c r="MPX37" s="118"/>
      <c r="MPY37" s="118"/>
      <c r="MPZ37" s="118"/>
      <c r="MQA37" s="118"/>
      <c r="MQB37" s="118"/>
      <c r="MQC37" s="118"/>
      <c r="MQD37" s="118"/>
      <c r="MQE37" s="118"/>
      <c r="MQF37" s="118"/>
      <c r="MQG37" s="118"/>
      <c r="MQH37" s="118"/>
      <c r="MQI37" s="118"/>
      <c r="MQJ37" s="118"/>
      <c r="MQK37" s="118"/>
      <c r="MQL37" s="118"/>
      <c r="MQM37" s="118"/>
      <c r="MQN37" s="118"/>
      <c r="MQO37" s="118"/>
      <c r="MQP37" s="118"/>
      <c r="MQQ37" s="118"/>
      <c r="MQR37" s="118"/>
      <c r="MQS37" s="118"/>
      <c r="MQT37" s="118"/>
      <c r="MQU37" s="118"/>
      <c r="MQV37" s="118"/>
      <c r="MQW37" s="118"/>
      <c r="MQX37" s="118"/>
      <c r="MQY37" s="118"/>
      <c r="MQZ37" s="118"/>
      <c r="MRA37" s="118"/>
      <c r="MRB37" s="118"/>
      <c r="MRC37" s="118"/>
      <c r="MRD37" s="118"/>
      <c r="MRE37" s="118"/>
      <c r="MRF37" s="118"/>
      <c r="MRG37" s="118"/>
      <c r="MRH37" s="118"/>
      <c r="MRI37" s="118"/>
      <c r="MRJ37" s="118"/>
      <c r="MRK37" s="118"/>
      <c r="MRL37" s="118"/>
      <c r="MRM37" s="118"/>
      <c r="MRN37" s="118"/>
      <c r="MRO37" s="118"/>
      <c r="MRP37" s="118"/>
      <c r="MRQ37" s="118"/>
      <c r="MRR37" s="118"/>
      <c r="MRS37" s="118"/>
      <c r="MRT37" s="118"/>
      <c r="MRU37" s="118"/>
      <c r="MRV37" s="118"/>
      <c r="MRW37" s="118"/>
      <c r="MRX37" s="118"/>
      <c r="MRY37" s="118"/>
      <c r="MRZ37" s="118"/>
      <c r="MSA37" s="118"/>
      <c r="MSB37" s="118"/>
      <c r="MSC37" s="118"/>
      <c r="MSD37" s="118"/>
      <c r="MSE37" s="118"/>
      <c r="MSF37" s="118"/>
      <c r="MSG37" s="118"/>
      <c r="MSH37" s="118"/>
      <c r="MSI37" s="118"/>
      <c r="MSJ37" s="118"/>
      <c r="MSK37" s="118"/>
      <c r="MSL37" s="118"/>
      <c r="MSM37" s="118"/>
      <c r="MSN37" s="118"/>
      <c r="MSO37" s="118"/>
      <c r="MSP37" s="118"/>
      <c r="MSQ37" s="118"/>
      <c r="MSR37" s="118"/>
      <c r="MSS37" s="118"/>
      <c r="MST37" s="118"/>
      <c r="MSU37" s="118"/>
      <c r="MSV37" s="118"/>
      <c r="MSW37" s="118"/>
      <c r="MSX37" s="118"/>
      <c r="MSY37" s="118"/>
      <c r="MSZ37" s="118"/>
      <c r="MTA37" s="118"/>
      <c r="MTB37" s="118"/>
      <c r="MTC37" s="118"/>
      <c r="MTD37" s="118"/>
      <c r="MTE37" s="118"/>
      <c r="MTF37" s="118"/>
      <c r="MTG37" s="118"/>
      <c r="MTH37" s="118"/>
      <c r="MTI37" s="118"/>
      <c r="MTJ37" s="118"/>
      <c r="MTK37" s="118"/>
      <c r="MTL37" s="118"/>
      <c r="MTM37" s="118"/>
      <c r="MTN37" s="118"/>
      <c r="MTO37" s="118"/>
      <c r="MTP37" s="118"/>
      <c r="MTQ37" s="118"/>
      <c r="MTR37" s="118"/>
      <c r="MTS37" s="118"/>
      <c r="MTT37" s="118"/>
      <c r="MTU37" s="118"/>
      <c r="MTV37" s="118"/>
      <c r="MTW37" s="118"/>
      <c r="MTX37" s="118"/>
      <c r="MTY37" s="118"/>
      <c r="MTZ37" s="118"/>
      <c r="MUA37" s="118"/>
      <c r="MUB37" s="118"/>
      <c r="MUC37" s="118"/>
      <c r="MUD37" s="118"/>
      <c r="MUE37" s="118"/>
      <c r="MUF37" s="118"/>
      <c r="MUG37" s="118"/>
      <c r="MUH37" s="118"/>
      <c r="MUI37" s="118"/>
      <c r="MUJ37" s="118"/>
      <c r="MUK37" s="118"/>
      <c r="MUL37" s="118"/>
      <c r="MUM37" s="118"/>
      <c r="MUN37" s="118"/>
      <c r="MUO37" s="118"/>
      <c r="MUP37" s="118"/>
      <c r="MUQ37" s="118"/>
      <c r="MUR37" s="118"/>
      <c r="MUS37" s="118"/>
      <c r="MUT37" s="118"/>
      <c r="MUU37" s="118"/>
      <c r="MUV37" s="118"/>
      <c r="MUW37" s="118"/>
      <c r="MUX37" s="118"/>
      <c r="MUY37" s="118"/>
      <c r="MUZ37" s="118"/>
      <c r="MVA37" s="118"/>
      <c r="MVB37" s="118"/>
      <c r="MVC37" s="118"/>
      <c r="MVD37" s="118"/>
      <c r="MVE37" s="118"/>
      <c r="MVF37" s="118"/>
      <c r="MVG37" s="118"/>
      <c r="MVH37" s="118"/>
      <c r="MVI37" s="118"/>
      <c r="MVJ37" s="118"/>
      <c r="MVK37" s="118"/>
      <c r="MVL37" s="118"/>
      <c r="MVM37" s="118"/>
      <c r="MVN37" s="118"/>
      <c r="MVO37" s="118"/>
      <c r="MVP37" s="118"/>
      <c r="MVQ37" s="118"/>
      <c r="MVR37" s="118"/>
      <c r="MVS37" s="118"/>
      <c r="MVT37" s="118"/>
      <c r="MVU37" s="118"/>
      <c r="MVV37" s="118"/>
      <c r="MVW37" s="118"/>
      <c r="MVX37" s="118"/>
      <c r="MVY37" s="118"/>
      <c r="MVZ37" s="118"/>
      <c r="MWA37" s="118"/>
      <c r="MWB37" s="118"/>
      <c r="MWC37" s="118"/>
      <c r="MWD37" s="118"/>
      <c r="MWE37" s="118"/>
      <c r="MWF37" s="118"/>
      <c r="MWG37" s="118"/>
      <c r="MWH37" s="118"/>
      <c r="MWI37" s="118"/>
      <c r="MWJ37" s="118"/>
      <c r="MWK37" s="118"/>
      <c r="MWL37" s="118"/>
      <c r="MWM37" s="118"/>
      <c r="MWN37" s="118"/>
      <c r="MWO37" s="118"/>
      <c r="MWP37" s="118"/>
      <c r="MWQ37" s="118"/>
      <c r="MWR37" s="118"/>
      <c r="MWS37" s="118"/>
      <c r="MWT37" s="118"/>
      <c r="MWU37" s="118"/>
      <c r="MWV37" s="118"/>
      <c r="MWW37" s="118"/>
      <c r="MWX37" s="118"/>
      <c r="MWY37" s="118"/>
      <c r="MWZ37" s="118"/>
      <c r="MXA37" s="118"/>
      <c r="MXB37" s="118"/>
      <c r="MXC37" s="118"/>
      <c r="MXD37" s="118"/>
      <c r="MXE37" s="118"/>
      <c r="MXF37" s="118"/>
      <c r="MXG37" s="118"/>
      <c r="MXH37" s="118"/>
      <c r="MXI37" s="118"/>
      <c r="MXJ37" s="118"/>
      <c r="MXK37" s="118"/>
      <c r="MXL37" s="118"/>
      <c r="MXM37" s="118"/>
      <c r="MXN37" s="118"/>
      <c r="MXO37" s="118"/>
      <c r="MXP37" s="118"/>
      <c r="MXQ37" s="118"/>
      <c r="MXR37" s="118"/>
      <c r="MXS37" s="118"/>
      <c r="MXT37" s="118"/>
      <c r="MXU37" s="118"/>
      <c r="MXV37" s="118"/>
      <c r="MXW37" s="118"/>
      <c r="MXX37" s="118"/>
      <c r="MXY37" s="118"/>
      <c r="MXZ37" s="118"/>
      <c r="MYA37" s="118"/>
      <c r="MYB37" s="118"/>
      <c r="MYC37" s="118"/>
      <c r="MYD37" s="118"/>
      <c r="MYE37" s="118"/>
      <c r="MYF37" s="118"/>
      <c r="MYG37" s="118"/>
      <c r="MYH37" s="118"/>
      <c r="MYI37" s="118"/>
      <c r="MYJ37" s="118"/>
      <c r="MYK37" s="118"/>
      <c r="MYL37" s="118"/>
      <c r="MYM37" s="118"/>
      <c r="MYN37" s="118"/>
      <c r="MYO37" s="118"/>
      <c r="MYP37" s="118"/>
      <c r="MYQ37" s="118"/>
      <c r="MYR37" s="118"/>
      <c r="MYS37" s="118"/>
      <c r="MYT37" s="118"/>
      <c r="MYU37" s="118"/>
      <c r="MYV37" s="118"/>
      <c r="MYW37" s="118"/>
      <c r="MYX37" s="118"/>
      <c r="MYY37" s="118"/>
      <c r="MYZ37" s="118"/>
      <c r="MZA37" s="118"/>
      <c r="MZB37" s="118"/>
      <c r="MZC37" s="118"/>
      <c r="MZD37" s="118"/>
      <c r="MZE37" s="118"/>
      <c r="MZF37" s="118"/>
      <c r="MZG37" s="118"/>
      <c r="MZH37" s="118"/>
      <c r="MZI37" s="118"/>
      <c r="MZJ37" s="118"/>
      <c r="MZK37" s="118"/>
      <c r="MZL37" s="118"/>
      <c r="MZM37" s="118"/>
      <c r="MZN37" s="118"/>
      <c r="MZO37" s="118"/>
      <c r="MZP37" s="118"/>
      <c r="MZQ37" s="118"/>
      <c r="MZR37" s="118"/>
      <c r="MZS37" s="118"/>
      <c r="MZT37" s="118"/>
      <c r="MZU37" s="118"/>
      <c r="MZV37" s="118"/>
      <c r="MZW37" s="118"/>
      <c r="MZX37" s="118"/>
      <c r="MZY37" s="118"/>
      <c r="MZZ37" s="118"/>
      <c r="NAA37" s="118"/>
      <c r="NAB37" s="118"/>
      <c r="NAC37" s="118"/>
      <c r="NAD37" s="118"/>
      <c r="NAE37" s="118"/>
      <c r="NAF37" s="118"/>
      <c r="NAG37" s="118"/>
      <c r="NAH37" s="118"/>
      <c r="NAI37" s="118"/>
      <c r="NAJ37" s="118"/>
      <c r="NAK37" s="118"/>
      <c r="NAL37" s="118"/>
      <c r="NAM37" s="118"/>
      <c r="NAN37" s="118"/>
      <c r="NAO37" s="118"/>
      <c r="NAP37" s="118"/>
      <c r="NAQ37" s="118"/>
      <c r="NAR37" s="118"/>
      <c r="NAS37" s="118"/>
      <c r="NAT37" s="118"/>
      <c r="NAU37" s="118"/>
      <c r="NAV37" s="118"/>
      <c r="NAW37" s="118"/>
      <c r="NAX37" s="118"/>
      <c r="NAY37" s="118"/>
      <c r="NAZ37" s="118"/>
      <c r="NBA37" s="118"/>
      <c r="NBB37" s="118"/>
      <c r="NBC37" s="118"/>
      <c r="NBD37" s="118"/>
      <c r="NBE37" s="118"/>
      <c r="NBF37" s="118"/>
      <c r="NBG37" s="118"/>
      <c r="NBH37" s="118"/>
      <c r="NBI37" s="118"/>
      <c r="NBJ37" s="118"/>
      <c r="NBK37" s="118"/>
      <c r="NBL37" s="118"/>
      <c r="NBM37" s="118"/>
      <c r="NBN37" s="118"/>
      <c r="NBO37" s="118"/>
      <c r="NBP37" s="118"/>
      <c r="NBQ37" s="118"/>
      <c r="NBR37" s="118"/>
      <c r="NBS37" s="118"/>
      <c r="NBT37" s="118"/>
      <c r="NBU37" s="118"/>
      <c r="NBV37" s="118"/>
      <c r="NBW37" s="118"/>
      <c r="NBX37" s="118"/>
      <c r="NBY37" s="118"/>
      <c r="NBZ37" s="118"/>
      <c r="NCA37" s="118"/>
      <c r="NCB37" s="118"/>
      <c r="NCC37" s="118"/>
      <c r="NCD37" s="118"/>
      <c r="NCE37" s="118"/>
      <c r="NCF37" s="118"/>
      <c r="NCG37" s="118"/>
      <c r="NCH37" s="118"/>
      <c r="NCI37" s="118"/>
      <c r="NCJ37" s="118"/>
      <c r="NCK37" s="118"/>
      <c r="NCL37" s="118"/>
      <c r="NCM37" s="118"/>
      <c r="NCN37" s="118"/>
      <c r="NCO37" s="118"/>
      <c r="NCP37" s="118"/>
      <c r="NCQ37" s="118"/>
      <c r="NCR37" s="118"/>
      <c r="NCS37" s="118"/>
      <c r="NCT37" s="118"/>
      <c r="NCU37" s="118"/>
      <c r="NCV37" s="118"/>
      <c r="NCW37" s="118"/>
      <c r="NCX37" s="118"/>
      <c r="NCY37" s="118"/>
      <c r="NCZ37" s="118"/>
      <c r="NDA37" s="118"/>
      <c r="NDB37" s="118"/>
      <c r="NDC37" s="118"/>
      <c r="NDD37" s="118"/>
      <c r="NDE37" s="118"/>
      <c r="NDF37" s="118"/>
      <c r="NDG37" s="118"/>
      <c r="NDH37" s="118"/>
      <c r="NDI37" s="118"/>
      <c r="NDJ37" s="118"/>
      <c r="NDK37" s="118"/>
      <c r="NDL37" s="118"/>
      <c r="NDM37" s="118"/>
      <c r="NDN37" s="118"/>
      <c r="NDO37" s="118"/>
      <c r="NDP37" s="118"/>
      <c r="NDQ37" s="118"/>
      <c r="NDR37" s="118"/>
      <c r="NDS37" s="118"/>
      <c r="NDT37" s="118"/>
      <c r="NDU37" s="118"/>
      <c r="NDV37" s="118"/>
      <c r="NDW37" s="118"/>
      <c r="NDX37" s="118"/>
      <c r="NDY37" s="118"/>
      <c r="NDZ37" s="118"/>
      <c r="NEA37" s="118"/>
      <c r="NEB37" s="118"/>
      <c r="NEC37" s="118"/>
      <c r="NED37" s="118"/>
      <c r="NEE37" s="118"/>
      <c r="NEF37" s="118"/>
      <c r="NEG37" s="118"/>
      <c r="NEH37" s="118"/>
      <c r="NEI37" s="118"/>
      <c r="NEJ37" s="118"/>
      <c r="NEK37" s="118"/>
      <c r="NEL37" s="118"/>
      <c r="NEM37" s="118"/>
      <c r="NEN37" s="118"/>
      <c r="NEO37" s="118"/>
      <c r="NEP37" s="118"/>
      <c r="NEQ37" s="118"/>
      <c r="NER37" s="118"/>
      <c r="NES37" s="118"/>
      <c r="NET37" s="118"/>
      <c r="NEU37" s="118"/>
      <c r="NEV37" s="118"/>
      <c r="NEW37" s="118"/>
      <c r="NEX37" s="118"/>
      <c r="NEY37" s="118"/>
      <c r="NEZ37" s="118"/>
      <c r="NFA37" s="118"/>
      <c r="NFB37" s="118"/>
      <c r="NFC37" s="118"/>
      <c r="NFD37" s="118"/>
      <c r="NFE37" s="118"/>
      <c r="NFF37" s="118"/>
      <c r="NFG37" s="118"/>
      <c r="NFH37" s="118"/>
      <c r="NFI37" s="118"/>
      <c r="NFJ37" s="118"/>
      <c r="NFK37" s="118"/>
      <c r="NFL37" s="118"/>
      <c r="NFM37" s="118"/>
      <c r="NFN37" s="118"/>
      <c r="NFO37" s="118"/>
      <c r="NFP37" s="118"/>
      <c r="NFQ37" s="118"/>
      <c r="NFR37" s="118"/>
      <c r="NFS37" s="118"/>
      <c r="NFT37" s="118"/>
      <c r="NFU37" s="118"/>
      <c r="NFV37" s="118"/>
      <c r="NFW37" s="118"/>
      <c r="NFX37" s="118"/>
      <c r="NFY37" s="118"/>
      <c r="NFZ37" s="118"/>
      <c r="NGA37" s="118"/>
      <c r="NGB37" s="118"/>
      <c r="NGC37" s="118"/>
      <c r="NGD37" s="118"/>
      <c r="NGE37" s="118"/>
      <c r="NGF37" s="118"/>
      <c r="NGG37" s="118"/>
      <c r="NGH37" s="118"/>
      <c r="NGI37" s="118"/>
      <c r="NGJ37" s="118"/>
      <c r="NGK37" s="118"/>
      <c r="NGL37" s="118"/>
      <c r="NGM37" s="118"/>
      <c r="NGN37" s="118"/>
      <c r="NGO37" s="118"/>
      <c r="NGP37" s="118"/>
      <c r="NGQ37" s="118"/>
      <c r="NGR37" s="118"/>
      <c r="NGS37" s="118"/>
      <c r="NGT37" s="118"/>
      <c r="NGU37" s="118"/>
      <c r="NGV37" s="118"/>
      <c r="NGW37" s="118"/>
      <c r="NGX37" s="118"/>
      <c r="NGY37" s="118"/>
      <c r="NGZ37" s="118"/>
      <c r="NHA37" s="118"/>
      <c r="NHB37" s="118"/>
      <c r="NHC37" s="118"/>
      <c r="NHD37" s="118"/>
      <c r="NHE37" s="118"/>
      <c r="NHF37" s="118"/>
      <c r="NHG37" s="118"/>
      <c r="NHH37" s="118"/>
      <c r="NHI37" s="118"/>
      <c r="NHJ37" s="118"/>
      <c r="NHK37" s="118"/>
      <c r="NHL37" s="118"/>
      <c r="NHM37" s="118"/>
      <c r="NHN37" s="118"/>
      <c r="NHO37" s="118"/>
      <c r="NHP37" s="118"/>
      <c r="NHQ37" s="118"/>
      <c r="NHR37" s="118"/>
      <c r="NHS37" s="118"/>
      <c r="NHT37" s="118"/>
      <c r="NHU37" s="118"/>
      <c r="NHV37" s="118"/>
      <c r="NHW37" s="118"/>
      <c r="NHX37" s="118"/>
      <c r="NHY37" s="118"/>
      <c r="NHZ37" s="118"/>
      <c r="NIA37" s="118"/>
      <c r="NIB37" s="118"/>
      <c r="NIC37" s="118"/>
      <c r="NID37" s="118"/>
      <c r="NIE37" s="118"/>
      <c r="NIF37" s="118"/>
      <c r="NIG37" s="118"/>
      <c r="NIH37" s="118"/>
      <c r="NII37" s="118"/>
      <c r="NIJ37" s="118"/>
      <c r="NIK37" s="118"/>
      <c r="NIL37" s="118"/>
      <c r="NIM37" s="118"/>
      <c r="NIN37" s="118"/>
      <c r="NIO37" s="118"/>
      <c r="NIP37" s="118"/>
      <c r="NIQ37" s="118"/>
      <c r="NIR37" s="118"/>
      <c r="NIS37" s="118"/>
      <c r="NIT37" s="118"/>
      <c r="NIU37" s="118"/>
      <c r="NIV37" s="118"/>
      <c r="NIW37" s="118"/>
      <c r="NIX37" s="118"/>
      <c r="NIY37" s="118"/>
      <c r="NIZ37" s="118"/>
      <c r="NJA37" s="118"/>
      <c r="NJB37" s="118"/>
      <c r="NJC37" s="118"/>
      <c r="NJD37" s="118"/>
      <c r="NJE37" s="118"/>
      <c r="NJF37" s="118"/>
      <c r="NJG37" s="118"/>
      <c r="NJH37" s="118"/>
      <c r="NJI37" s="118"/>
      <c r="NJJ37" s="118"/>
      <c r="NJK37" s="118"/>
      <c r="NJL37" s="118"/>
      <c r="NJM37" s="118"/>
      <c r="NJN37" s="118"/>
      <c r="NJO37" s="118"/>
      <c r="NJP37" s="118"/>
      <c r="NJQ37" s="118"/>
      <c r="NJR37" s="118"/>
      <c r="NJS37" s="118"/>
      <c r="NJT37" s="118"/>
      <c r="NJU37" s="118"/>
      <c r="NJV37" s="118"/>
      <c r="NJW37" s="118"/>
      <c r="NJX37" s="118"/>
      <c r="NJY37" s="118"/>
      <c r="NJZ37" s="118"/>
      <c r="NKA37" s="118"/>
      <c r="NKB37" s="118"/>
      <c r="NKC37" s="118"/>
      <c r="NKD37" s="118"/>
      <c r="NKE37" s="118"/>
      <c r="NKF37" s="118"/>
      <c r="NKG37" s="118"/>
      <c r="NKH37" s="118"/>
      <c r="NKI37" s="118"/>
      <c r="NKJ37" s="118"/>
      <c r="NKK37" s="118"/>
      <c r="NKL37" s="118"/>
      <c r="NKM37" s="118"/>
      <c r="NKN37" s="118"/>
      <c r="NKO37" s="118"/>
      <c r="NKP37" s="118"/>
      <c r="NKQ37" s="118"/>
      <c r="NKR37" s="118"/>
      <c r="NKS37" s="118"/>
      <c r="NKT37" s="118"/>
      <c r="NKU37" s="118"/>
      <c r="NKV37" s="118"/>
      <c r="NKW37" s="118"/>
      <c r="NKX37" s="118"/>
      <c r="NKY37" s="118"/>
      <c r="NKZ37" s="118"/>
      <c r="NLA37" s="118"/>
      <c r="NLB37" s="118"/>
      <c r="NLC37" s="118"/>
      <c r="NLD37" s="118"/>
      <c r="NLE37" s="118"/>
      <c r="NLF37" s="118"/>
      <c r="NLG37" s="118"/>
      <c r="NLH37" s="118"/>
      <c r="NLI37" s="118"/>
      <c r="NLJ37" s="118"/>
      <c r="NLK37" s="118"/>
      <c r="NLL37" s="118"/>
      <c r="NLM37" s="118"/>
      <c r="NLN37" s="118"/>
      <c r="NLO37" s="118"/>
      <c r="NLP37" s="118"/>
      <c r="NLQ37" s="118"/>
      <c r="NLR37" s="118"/>
      <c r="NLS37" s="118"/>
      <c r="NLT37" s="118"/>
      <c r="NLU37" s="118"/>
      <c r="NLV37" s="118"/>
      <c r="NLW37" s="118"/>
      <c r="NLX37" s="118"/>
      <c r="NLY37" s="118"/>
      <c r="NLZ37" s="118"/>
      <c r="NMA37" s="118"/>
      <c r="NMB37" s="118"/>
      <c r="NMC37" s="118"/>
      <c r="NMD37" s="118"/>
      <c r="NME37" s="118"/>
      <c r="NMF37" s="118"/>
      <c r="NMG37" s="118"/>
      <c r="NMH37" s="118"/>
      <c r="NMI37" s="118"/>
      <c r="NMJ37" s="118"/>
      <c r="NMK37" s="118"/>
      <c r="NML37" s="118"/>
      <c r="NMM37" s="118"/>
      <c r="NMN37" s="118"/>
      <c r="NMO37" s="118"/>
      <c r="NMP37" s="118"/>
      <c r="NMQ37" s="118"/>
      <c r="NMR37" s="118"/>
      <c r="NMS37" s="118"/>
      <c r="NMT37" s="118"/>
      <c r="NMU37" s="118"/>
      <c r="NMV37" s="118"/>
      <c r="NMW37" s="118"/>
      <c r="NMX37" s="118"/>
      <c r="NMY37" s="118"/>
      <c r="NMZ37" s="118"/>
      <c r="NNA37" s="118"/>
      <c r="NNB37" s="118"/>
      <c r="NNC37" s="118"/>
      <c r="NND37" s="118"/>
      <c r="NNE37" s="118"/>
      <c r="NNF37" s="118"/>
      <c r="NNG37" s="118"/>
      <c r="NNH37" s="118"/>
      <c r="NNI37" s="118"/>
      <c r="NNJ37" s="118"/>
      <c r="NNK37" s="118"/>
      <c r="NNL37" s="118"/>
      <c r="NNM37" s="118"/>
      <c r="NNN37" s="118"/>
      <c r="NNO37" s="118"/>
      <c r="NNP37" s="118"/>
      <c r="NNQ37" s="118"/>
      <c r="NNR37" s="118"/>
      <c r="NNS37" s="118"/>
      <c r="NNT37" s="118"/>
      <c r="NNU37" s="118"/>
      <c r="NNV37" s="118"/>
      <c r="NNW37" s="118"/>
      <c r="NNX37" s="118"/>
      <c r="NNY37" s="118"/>
      <c r="NNZ37" s="118"/>
      <c r="NOA37" s="118"/>
      <c r="NOB37" s="118"/>
      <c r="NOC37" s="118"/>
      <c r="NOD37" s="118"/>
      <c r="NOE37" s="118"/>
      <c r="NOF37" s="118"/>
      <c r="NOG37" s="118"/>
      <c r="NOH37" s="118"/>
      <c r="NOI37" s="118"/>
      <c r="NOJ37" s="118"/>
      <c r="NOK37" s="118"/>
      <c r="NOL37" s="118"/>
      <c r="NOM37" s="118"/>
      <c r="NON37" s="118"/>
      <c r="NOO37" s="118"/>
      <c r="NOP37" s="118"/>
      <c r="NOQ37" s="118"/>
      <c r="NOR37" s="118"/>
      <c r="NOS37" s="118"/>
      <c r="NOT37" s="118"/>
      <c r="NOU37" s="118"/>
      <c r="NOV37" s="118"/>
      <c r="NOW37" s="118"/>
      <c r="NOX37" s="118"/>
      <c r="NOY37" s="118"/>
      <c r="NOZ37" s="118"/>
      <c r="NPA37" s="118"/>
      <c r="NPB37" s="118"/>
      <c r="NPC37" s="118"/>
      <c r="NPD37" s="118"/>
      <c r="NPE37" s="118"/>
      <c r="NPF37" s="118"/>
      <c r="NPG37" s="118"/>
      <c r="NPH37" s="118"/>
      <c r="NPI37" s="118"/>
      <c r="NPJ37" s="118"/>
      <c r="NPK37" s="118"/>
      <c r="NPL37" s="118"/>
      <c r="NPM37" s="118"/>
      <c r="NPN37" s="118"/>
      <c r="NPO37" s="118"/>
      <c r="NPP37" s="118"/>
      <c r="NPQ37" s="118"/>
      <c r="NPR37" s="118"/>
      <c r="NPS37" s="118"/>
      <c r="NPT37" s="118"/>
      <c r="NPU37" s="118"/>
      <c r="NPV37" s="118"/>
      <c r="NPW37" s="118"/>
      <c r="NPX37" s="118"/>
      <c r="NPY37" s="118"/>
      <c r="NPZ37" s="118"/>
      <c r="NQA37" s="118"/>
      <c r="NQB37" s="118"/>
      <c r="NQC37" s="118"/>
      <c r="NQD37" s="118"/>
      <c r="NQE37" s="118"/>
      <c r="NQF37" s="118"/>
      <c r="NQG37" s="118"/>
      <c r="NQH37" s="118"/>
      <c r="NQI37" s="118"/>
      <c r="NQJ37" s="118"/>
      <c r="NQK37" s="118"/>
      <c r="NQL37" s="118"/>
      <c r="NQM37" s="118"/>
      <c r="NQN37" s="118"/>
      <c r="NQO37" s="118"/>
      <c r="NQP37" s="118"/>
      <c r="NQQ37" s="118"/>
      <c r="NQR37" s="118"/>
      <c r="NQS37" s="118"/>
      <c r="NQT37" s="118"/>
      <c r="NQU37" s="118"/>
      <c r="NQV37" s="118"/>
      <c r="NQW37" s="118"/>
      <c r="NQX37" s="118"/>
      <c r="NQY37" s="118"/>
      <c r="NQZ37" s="118"/>
      <c r="NRA37" s="118"/>
      <c r="NRB37" s="118"/>
      <c r="NRC37" s="118"/>
      <c r="NRD37" s="118"/>
      <c r="NRE37" s="118"/>
      <c r="NRF37" s="118"/>
      <c r="NRG37" s="118"/>
      <c r="NRH37" s="118"/>
      <c r="NRI37" s="118"/>
      <c r="NRJ37" s="118"/>
      <c r="NRK37" s="118"/>
      <c r="NRL37" s="118"/>
      <c r="NRM37" s="118"/>
      <c r="NRN37" s="118"/>
      <c r="NRO37" s="118"/>
      <c r="NRP37" s="118"/>
      <c r="NRQ37" s="118"/>
      <c r="NRR37" s="118"/>
      <c r="NRS37" s="118"/>
      <c r="NRT37" s="118"/>
      <c r="NRU37" s="118"/>
      <c r="NRV37" s="118"/>
      <c r="NRW37" s="118"/>
      <c r="NRX37" s="118"/>
      <c r="NRY37" s="118"/>
      <c r="NRZ37" s="118"/>
      <c r="NSA37" s="118"/>
      <c r="NSB37" s="118"/>
      <c r="NSC37" s="118"/>
      <c r="NSD37" s="118"/>
      <c r="NSE37" s="118"/>
      <c r="NSF37" s="118"/>
      <c r="NSG37" s="118"/>
      <c r="NSH37" s="118"/>
      <c r="NSI37" s="118"/>
      <c r="NSJ37" s="118"/>
      <c r="NSK37" s="118"/>
      <c r="NSL37" s="118"/>
      <c r="NSM37" s="118"/>
      <c r="NSN37" s="118"/>
      <c r="NSO37" s="118"/>
      <c r="NSP37" s="118"/>
      <c r="NSQ37" s="118"/>
      <c r="NSR37" s="118"/>
      <c r="NSS37" s="118"/>
      <c r="NST37" s="118"/>
      <c r="NSU37" s="118"/>
      <c r="NSV37" s="118"/>
      <c r="NSW37" s="118"/>
      <c r="NSX37" s="118"/>
      <c r="NSY37" s="118"/>
      <c r="NSZ37" s="118"/>
      <c r="NTA37" s="118"/>
      <c r="NTB37" s="118"/>
      <c r="NTC37" s="118"/>
      <c r="NTD37" s="118"/>
      <c r="NTE37" s="118"/>
      <c r="NTF37" s="118"/>
      <c r="NTG37" s="118"/>
      <c r="NTH37" s="118"/>
      <c r="NTI37" s="118"/>
      <c r="NTJ37" s="118"/>
      <c r="NTK37" s="118"/>
      <c r="NTL37" s="118"/>
      <c r="NTM37" s="118"/>
      <c r="NTN37" s="118"/>
      <c r="NTO37" s="118"/>
      <c r="NTP37" s="118"/>
      <c r="NTQ37" s="118"/>
      <c r="NTR37" s="118"/>
      <c r="NTS37" s="118"/>
      <c r="NTT37" s="118"/>
      <c r="NTU37" s="118"/>
      <c r="NTV37" s="118"/>
      <c r="NTW37" s="118"/>
      <c r="NTX37" s="118"/>
      <c r="NTY37" s="118"/>
      <c r="NTZ37" s="118"/>
      <c r="NUA37" s="118"/>
      <c r="NUB37" s="118"/>
      <c r="NUC37" s="118"/>
      <c r="NUD37" s="118"/>
      <c r="NUE37" s="118"/>
      <c r="NUF37" s="118"/>
      <c r="NUG37" s="118"/>
      <c r="NUH37" s="118"/>
      <c r="NUI37" s="118"/>
      <c r="NUJ37" s="118"/>
      <c r="NUK37" s="118"/>
      <c r="NUL37" s="118"/>
      <c r="NUM37" s="118"/>
      <c r="NUN37" s="118"/>
      <c r="NUO37" s="118"/>
      <c r="NUP37" s="118"/>
      <c r="NUQ37" s="118"/>
      <c r="NUR37" s="118"/>
      <c r="NUS37" s="118"/>
      <c r="NUT37" s="118"/>
      <c r="NUU37" s="118"/>
      <c r="NUV37" s="118"/>
      <c r="NUW37" s="118"/>
      <c r="NUX37" s="118"/>
      <c r="NUY37" s="118"/>
      <c r="NUZ37" s="118"/>
      <c r="NVA37" s="118"/>
      <c r="NVB37" s="118"/>
      <c r="NVC37" s="118"/>
      <c r="NVD37" s="118"/>
      <c r="NVE37" s="118"/>
      <c r="NVF37" s="118"/>
      <c r="NVG37" s="118"/>
      <c r="NVH37" s="118"/>
      <c r="NVI37" s="118"/>
      <c r="NVJ37" s="118"/>
      <c r="NVK37" s="118"/>
      <c r="NVL37" s="118"/>
      <c r="NVM37" s="118"/>
      <c r="NVN37" s="118"/>
      <c r="NVO37" s="118"/>
      <c r="NVP37" s="118"/>
      <c r="NVQ37" s="118"/>
      <c r="NVR37" s="118"/>
      <c r="NVS37" s="118"/>
      <c r="NVT37" s="118"/>
      <c r="NVU37" s="118"/>
      <c r="NVV37" s="118"/>
      <c r="NVW37" s="118"/>
      <c r="NVX37" s="118"/>
      <c r="NVY37" s="118"/>
      <c r="NVZ37" s="118"/>
      <c r="NWA37" s="118"/>
      <c r="NWB37" s="118"/>
      <c r="NWC37" s="118"/>
      <c r="NWD37" s="118"/>
      <c r="NWE37" s="118"/>
      <c r="NWF37" s="118"/>
      <c r="NWG37" s="118"/>
      <c r="NWH37" s="118"/>
      <c r="NWI37" s="118"/>
      <c r="NWJ37" s="118"/>
      <c r="NWK37" s="118"/>
      <c r="NWL37" s="118"/>
      <c r="NWM37" s="118"/>
      <c r="NWN37" s="118"/>
      <c r="NWO37" s="118"/>
      <c r="NWP37" s="118"/>
      <c r="NWQ37" s="118"/>
      <c r="NWR37" s="118"/>
      <c r="NWS37" s="118"/>
      <c r="NWT37" s="118"/>
      <c r="NWU37" s="118"/>
      <c r="NWV37" s="118"/>
      <c r="NWW37" s="118"/>
      <c r="NWX37" s="118"/>
      <c r="NWY37" s="118"/>
      <c r="NWZ37" s="118"/>
      <c r="NXA37" s="118"/>
      <c r="NXB37" s="118"/>
      <c r="NXC37" s="118"/>
      <c r="NXD37" s="118"/>
      <c r="NXE37" s="118"/>
      <c r="NXF37" s="118"/>
      <c r="NXG37" s="118"/>
      <c r="NXH37" s="118"/>
      <c r="NXI37" s="118"/>
      <c r="NXJ37" s="118"/>
      <c r="NXK37" s="118"/>
      <c r="NXL37" s="118"/>
      <c r="NXM37" s="118"/>
      <c r="NXN37" s="118"/>
      <c r="NXO37" s="118"/>
      <c r="NXP37" s="118"/>
      <c r="NXQ37" s="118"/>
      <c r="NXR37" s="118"/>
      <c r="NXS37" s="118"/>
      <c r="NXT37" s="118"/>
      <c r="NXU37" s="118"/>
      <c r="NXV37" s="118"/>
      <c r="NXW37" s="118"/>
      <c r="NXX37" s="118"/>
      <c r="NXY37" s="118"/>
      <c r="NXZ37" s="118"/>
      <c r="NYA37" s="118"/>
      <c r="NYB37" s="118"/>
      <c r="NYC37" s="118"/>
      <c r="NYD37" s="118"/>
      <c r="NYE37" s="118"/>
      <c r="NYF37" s="118"/>
      <c r="NYG37" s="118"/>
      <c r="NYH37" s="118"/>
      <c r="NYI37" s="118"/>
      <c r="NYJ37" s="118"/>
      <c r="NYK37" s="118"/>
      <c r="NYL37" s="118"/>
      <c r="NYM37" s="118"/>
      <c r="NYN37" s="118"/>
      <c r="NYO37" s="118"/>
      <c r="NYP37" s="118"/>
      <c r="NYQ37" s="118"/>
      <c r="NYR37" s="118"/>
      <c r="NYS37" s="118"/>
      <c r="NYT37" s="118"/>
      <c r="NYU37" s="118"/>
      <c r="NYV37" s="118"/>
      <c r="NYW37" s="118"/>
      <c r="NYX37" s="118"/>
      <c r="NYY37" s="118"/>
      <c r="NYZ37" s="118"/>
      <c r="NZA37" s="118"/>
      <c r="NZB37" s="118"/>
      <c r="NZC37" s="118"/>
      <c r="NZD37" s="118"/>
      <c r="NZE37" s="118"/>
      <c r="NZF37" s="118"/>
      <c r="NZG37" s="118"/>
      <c r="NZH37" s="118"/>
      <c r="NZI37" s="118"/>
      <c r="NZJ37" s="118"/>
      <c r="NZK37" s="118"/>
      <c r="NZL37" s="118"/>
      <c r="NZM37" s="118"/>
      <c r="NZN37" s="118"/>
      <c r="NZO37" s="118"/>
      <c r="NZP37" s="118"/>
      <c r="NZQ37" s="118"/>
      <c r="NZR37" s="118"/>
      <c r="NZS37" s="118"/>
      <c r="NZT37" s="118"/>
      <c r="NZU37" s="118"/>
      <c r="NZV37" s="118"/>
      <c r="NZW37" s="118"/>
      <c r="NZX37" s="118"/>
      <c r="NZY37" s="118"/>
      <c r="NZZ37" s="118"/>
      <c r="OAA37" s="118"/>
      <c r="OAB37" s="118"/>
      <c r="OAC37" s="118"/>
      <c r="OAD37" s="118"/>
      <c r="OAE37" s="118"/>
      <c r="OAF37" s="118"/>
      <c r="OAG37" s="118"/>
      <c r="OAH37" s="118"/>
      <c r="OAI37" s="118"/>
      <c r="OAJ37" s="118"/>
      <c r="OAK37" s="118"/>
      <c r="OAL37" s="118"/>
      <c r="OAM37" s="118"/>
      <c r="OAN37" s="118"/>
      <c r="OAO37" s="118"/>
      <c r="OAP37" s="118"/>
      <c r="OAQ37" s="118"/>
      <c r="OAR37" s="118"/>
      <c r="OAS37" s="118"/>
      <c r="OAT37" s="118"/>
      <c r="OAU37" s="118"/>
      <c r="OAV37" s="118"/>
      <c r="OAW37" s="118"/>
      <c r="OAX37" s="118"/>
      <c r="OAY37" s="118"/>
      <c r="OAZ37" s="118"/>
      <c r="OBA37" s="118"/>
      <c r="OBB37" s="118"/>
      <c r="OBC37" s="118"/>
      <c r="OBD37" s="118"/>
      <c r="OBE37" s="118"/>
      <c r="OBF37" s="118"/>
      <c r="OBG37" s="118"/>
      <c r="OBH37" s="118"/>
      <c r="OBI37" s="118"/>
      <c r="OBJ37" s="118"/>
      <c r="OBK37" s="118"/>
      <c r="OBL37" s="118"/>
      <c r="OBM37" s="118"/>
      <c r="OBN37" s="118"/>
      <c r="OBO37" s="118"/>
      <c r="OBP37" s="118"/>
      <c r="OBQ37" s="118"/>
      <c r="OBR37" s="118"/>
      <c r="OBS37" s="118"/>
      <c r="OBT37" s="118"/>
      <c r="OBU37" s="118"/>
      <c r="OBV37" s="118"/>
      <c r="OBW37" s="118"/>
      <c r="OBX37" s="118"/>
      <c r="OBY37" s="118"/>
      <c r="OBZ37" s="118"/>
      <c r="OCA37" s="118"/>
      <c r="OCB37" s="118"/>
      <c r="OCC37" s="118"/>
      <c r="OCD37" s="118"/>
      <c r="OCE37" s="118"/>
      <c r="OCF37" s="118"/>
      <c r="OCG37" s="118"/>
      <c r="OCH37" s="118"/>
      <c r="OCI37" s="118"/>
      <c r="OCJ37" s="118"/>
      <c r="OCK37" s="118"/>
      <c r="OCL37" s="118"/>
      <c r="OCM37" s="118"/>
      <c r="OCN37" s="118"/>
      <c r="OCO37" s="118"/>
      <c r="OCP37" s="118"/>
      <c r="OCQ37" s="118"/>
      <c r="OCR37" s="118"/>
      <c r="OCS37" s="118"/>
      <c r="OCT37" s="118"/>
      <c r="OCU37" s="118"/>
      <c r="OCV37" s="118"/>
      <c r="OCW37" s="118"/>
      <c r="OCX37" s="118"/>
      <c r="OCY37" s="118"/>
      <c r="OCZ37" s="118"/>
      <c r="ODA37" s="118"/>
      <c r="ODB37" s="118"/>
      <c r="ODC37" s="118"/>
      <c r="ODD37" s="118"/>
      <c r="ODE37" s="118"/>
      <c r="ODF37" s="118"/>
      <c r="ODG37" s="118"/>
      <c r="ODH37" s="118"/>
      <c r="ODI37" s="118"/>
      <c r="ODJ37" s="118"/>
      <c r="ODK37" s="118"/>
      <c r="ODL37" s="118"/>
      <c r="ODM37" s="118"/>
      <c r="ODN37" s="118"/>
      <c r="ODO37" s="118"/>
      <c r="ODP37" s="118"/>
      <c r="ODQ37" s="118"/>
      <c r="ODR37" s="118"/>
      <c r="ODS37" s="118"/>
      <c r="ODT37" s="118"/>
      <c r="ODU37" s="118"/>
      <c r="ODV37" s="118"/>
      <c r="ODW37" s="118"/>
      <c r="ODX37" s="118"/>
      <c r="ODY37" s="118"/>
      <c r="ODZ37" s="118"/>
      <c r="OEA37" s="118"/>
      <c r="OEB37" s="118"/>
      <c r="OEC37" s="118"/>
      <c r="OED37" s="118"/>
      <c r="OEE37" s="118"/>
      <c r="OEF37" s="118"/>
      <c r="OEG37" s="118"/>
      <c r="OEH37" s="118"/>
      <c r="OEI37" s="118"/>
      <c r="OEJ37" s="118"/>
      <c r="OEK37" s="118"/>
      <c r="OEL37" s="118"/>
      <c r="OEM37" s="118"/>
      <c r="OEN37" s="118"/>
      <c r="OEO37" s="118"/>
      <c r="OEP37" s="118"/>
      <c r="OEQ37" s="118"/>
      <c r="OER37" s="118"/>
      <c r="OES37" s="118"/>
      <c r="OET37" s="118"/>
      <c r="OEU37" s="118"/>
      <c r="OEV37" s="118"/>
      <c r="OEW37" s="118"/>
      <c r="OEX37" s="118"/>
      <c r="OEY37" s="118"/>
      <c r="OEZ37" s="118"/>
      <c r="OFA37" s="118"/>
      <c r="OFB37" s="118"/>
      <c r="OFC37" s="118"/>
      <c r="OFD37" s="118"/>
      <c r="OFE37" s="118"/>
      <c r="OFF37" s="118"/>
      <c r="OFG37" s="118"/>
      <c r="OFH37" s="118"/>
      <c r="OFI37" s="118"/>
      <c r="OFJ37" s="118"/>
      <c r="OFK37" s="118"/>
      <c r="OFL37" s="118"/>
      <c r="OFM37" s="118"/>
      <c r="OFN37" s="118"/>
      <c r="OFO37" s="118"/>
      <c r="OFP37" s="118"/>
      <c r="OFQ37" s="118"/>
      <c r="OFR37" s="118"/>
      <c r="OFS37" s="118"/>
      <c r="OFT37" s="118"/>
      <c r="OFU37" s="118"/>
      <c r="OFV37" s="118"/>
      <c r="OFW37" s="118"/>
      <c r="OFX37" s="118"/>
      <c r="OFY37" s="118"/>
      <c r="OFZ37" s="118"/>
      <c r="OGA37" s="118"/>
      <c r="OGB37" s="118"/>
      <c r="OGC37" s="118"/>
      <c r="OGD37" s="118"/>
      <c r="OGE37" s="118"/>
      <c r="OGF37" s="118"/>
      <c r="OGG37" s="118"/>
      <c r="OGH37" s="118"/>
      <c r="OGI37" s="118"/>
      <c r="OGJ37" s="118"/>
      <c r="OGK37" s="118"/>
      <c r="OGL37" s="118"/>
      <c r="OGM37" s="118"/>
      <c r="OGN37" s="118"/>
      <c r="OGO37" s="118"/>
      <c r="OGP37" s="118"/>
      <c r="OGQ37" s="118"/>
      <c r="OGR37" s="118"/>
      <c r="OGS37" s="118"/>
      <c r="OGT37" s="118"/>
      <c r="OGU37" s="118"/>
      <c r="OGV37" s="118"/>
      <c r="OGW37" s="118"/>
      <c r="OGX37" s="118"/>
      <c r="OGY37" s="118"/>
      <c r="OGZ37" s="118"/>
      <c r="OHA37" s="118"/>
      <c r="OHB37" s="118"/>
      <c r="OHC37" s="118"/>
      <c r="OHD37" s="118"/>
      <c r="OHE37" s="118"/>
      <c r="OHF37" s="118"/>
      <c r="OHG37" s="118"/>
      <c r="OHH37" s="118"/>
      <c r="OHI37" s="118"/>
      <c r="OHJ37" s="118"/>
      <c r="OHK37" s="118"/>
      <c r="OHL37" s="118"/>
      <c r="OHM37" s="118"/>
      <c r="OHN37" s="118"/>
      <c r="OHO37" s="118"/>
      <c r="OHP37" s="118"/>
      <c r="OHQ37" s="118"/>
      <c r="OHR37" s="118"/>
      <c r="OHS37" s="118"/>
      <c r="OHT37" s="118"/>
      <c r="OHU37" s="118"/>
      <c r="OHV37" s="118"/>
      <c r="OHW37" s="118"/>
      <c r="OHX37" s="118"/>
      <c r="OHY37" s="118"/>
      <c r="OHZ37" s="118"/>
      <c r="OIA37" s="118"/>
      <c r="OIB37" s="118"/>
      <c r="OIC37" s="118"/>
      <c r="OID37" s="118"/>
      <c r="OIE37" s="118"/>
      <c r="OIF37" s="118"/>
      <c r="OIG37" s="118"/>
      <c r="OIH37" s="118"/>
      <c r="OII37" s="118"/>
      <c r="OIJ37" s="118"/>
      <c r="OIK37" s="118"/>
      <c r="OIL37" s="118"/>
      <c r="OIM37" s="118"/>
      <c r="OIN37" s="118"/>
      <c r="OIO37" s="118"/>
      <c r="OIP37" s="118"/>
      <c r="OIQ37" s="118"/>
      <c r="OIR37" s="118"/>
      <c r="OIS37" s="118"/>
      <c r="OIT37" s="118"/>
      <c r="OIU37" s="118"/>
      <c r="OIV37" s="118"/>
      <c r="OIW37" s="118"/>
      <c r="OIX37" s="118"/>
      <c r="OIY37" s="118"/>
      <c r="OIZ37" s="118"/>
      <c r="OJA37" s="118"/>
      <c r="OJB37" s="118"/>
      <c r="OJC37" s="118"/>
      <c r="OJD37" s="118"/>
      <c r="OJE37" s="118"/>
      <c r="OJF37" s="118"/>
      <c r="OJG37" s="118"/>
      <c r="OJH37" s="118"/>
      <c r="OJI37" s="118"/>
      <c r="OJJ37" s="118"/>
      <c r="OJK37" s="118"/>
      <c r="OJL37" s="118"/>
      <c r="OJM37" s="118"/>
      <c r="OJN37" s="118"/>
      <c r="OJO37" s="118"/>
      <c r="OJP37" s="118"/>
      <c r="OJQ37" s="118"/>
      <c r="OJR37" s="118"/>
      <c r="OJS37" s="118"/>
      <c r="OJT37" s="118"/>
      <c r="OJU37" s="118"/>
      <c r="OJV37" s="118"/>
      <c r="OJW37" s="118"/>
      <c r="OJX37" s="118"/>
      <c r="OJY37" s="118"/>
      <c r="OJZ37" s="118"/>
      <c r="OKA37" s="118"/>
      <c r="OKB37" s="118"/>
      <c r="OKC37" s="118"/>
      <c r="OKD37" s="118"/>
      <c r="OKE37" s="118"/>
      <c r="OKF37" s="118"/>
      <c r="OKG37" s="118"/>
      <c r="OKH37" s="118"/>
      <c r="OKI37" s="118"/>
      <c r="OKJ37" s="118"/>
      <c r="OKK37" s="118"/>
      <c r="OKL37" s="118"/>
      <c r="OKM37" s="118"/>
      <c r="OKN37" s="118"/>
      <c r="OKO37" s="118"/>
      <c r="OKP37" s="118"/>
      <c r="OKQ37" s="118"/>
      <c r="OKR37" s="118"/>
      <c r="OKS37" s="118"/>
      <c r="OKT37" s="118"/>
      <c r="OKU37" s="118"/>
      <c r="OKV37" s="118"/>
      <c r="OKW37" s="118"/>
      <c r="OKX37" s="118"/>
      <c r="OKY37" s="118"/>
      <c r="OKZ37" s="118"/>
      <c r="OLA37" s="118"/>
      <c r="OLB37" s="118"/>
      <c r="OLC37" s="118"/>
      <c r="OLD37" s="118"/>
      <c r="OLE37" s="118"/>
      <c r="OLF37" s="118"/>
      <c r="OLG37" s="118"/>
      <c r="OLH37" s="118"/>
      <c r="OLI37" s="118"/>
      <c r="OLJ37" s="118"/>
      <c r="OLK37" s="118"/>
      <c r="OLL37" s="118"/>
      <c r="OLM37" s="118"/>
      <c r="OLN37" s="118"/>
      <c r="OLO37" s="118"/>
      <c r="OLP37" s="118"/>
      <c r="OLQ37" s="118"/>
      <c r="OLR37" s="118"/>
      <c r="OLS37" s="118"/>
      <c r="OLT37" s="118"/>
      <c r="OLU37" s="118"/>
      <c r="OLV37" s="118"/>
      <c r="OLW37" s="118"/>
      <c r="OLX37" s="118"/>
      <c r="OLY37" s="118"/>
      <c r="OLZ37" s="118"/>
      <c r="OMA37" s="118"/>
      <c r="OMB37" s="118"/>
      <c r="OMC37" s="118"/>
      <c r="OMD37" s="118"/>
      <c r="OME37" s="118"/>
      <c r="OMF37" s="118"/>
      <c r="OMG37" s="118"/>
      <c r="OMH37" s="118"/>
      <c r="OMI37" s="118"/>
      <c r="OMJ37" s="118"/>
      <c r="OMK37" s="118"/>
      <c r="OML37" s="118"/>
      <c r="OMM37" s="118"/>
      <c r="OMN37" s="118"/>
      <c r="OMO37" s="118"/>
      <c r="OMP37" s="118"/>
      <c r="OMQ37" s="118"/>
      <c r="OMR37" s="118"/>
      <c r="OMS37" s="118"/>
      <c r="OMT37" s="118"/>
      <c r="OMU37" s="118"/>
      <c r="OMV37" s="118"/>
      <c r="OMW37" s="118"/>
      <c r="OMX37" s="118"/>
      <c r="OMY37" s="118"/>
      <c r="OMZ37" s="118"/>
      <c r="ONA37" s="118"/>
      <c r="ONB37" s="118"/>
      <c r="ONC37" s="118"/>
      <c r="OND37" s="118"/>
      <c r="ONE37" s="118"/>
      <c r="ONF37" s="118"/>
      <c r="ONG37" s="118"/>
      <c r="ONH37" s="118"/>
      <c r="ONI37" s="118"/>
      <c r="ONJ37" s="118"/>
      <c r="ONK37" s="118"/>
      <c r="ONL37" s="118"/>
      <c r="ONM37" s="118"/>
      <c r="ONN37" s="118"/>
      <c r="ONO37" s="118"/>
      <c r="ONP37" s="118"/>
      <c r="ONQ37" s="118"/>
      <c r="ONR37" s="118"/>
      <c r="ONS37" s="118"/>
      <c r="ONT37" s="118"/>
      <c r="ONU37" s="118"/>
      <c r="ONV37" s="118"/>
      <c r="ONW37" s="118"/>
      <c r="ONX37" s="118"/>
      <c r="ONY37" s="118"/>
      <c r="ONZ37" s="118"/>
      <c r="OOA37" s="118"/>
      <c r="OOB37" s="118"/>
      <c r="OOC37" s="118"/>
      <c r="OOD37" s="118"/>
      <c r="OOE37" s="118"/>
      <c r="OOF37" s="118"/>
      <c r="OOG37" s="118"/>
      <c r="OOH37" s="118"/>
      <c r="OOI37" s="118"/>
      <c r="OOJ37" s="118"/>
      <c r="OOK37" s="118"/>
      <c r="OOL37" s="118"/>
      <c r="OOM37" s="118"/>
      <c r="OON37" s="118"/>
      <c r="OOO37" s="118"/>
      <c r="OOP37" s="118"/>
      <c r="OOQ37" s="118"/>
      <c r="OOR37" s="118"/>
      <c r="OOS37" s="118"/>
      <c r="OOT37" s="118"/>
      <c r="OOU37" s="118"/>
      <c r="OOV37" s="118"/>
      <c r="OOW37" s="118"/>
      <c r="OOX37" s="118"/>
      <c r="OOY37" s="118"/>
      <c r="OOZ37" s="118"/>
      <c r="OPA37" s="118"/>
      <c r="OPB37" s="118"/>
      <c r="OPC37" s="118"/>
      <c r="OPD37" s="118"/>
      <c r="OPE37" s="118"/>
      <c r="OPF37" s="118"/>
      <c r="OPG37" s="118"/>
      <c r="OPH37" s="118"/>
      <c r="OPI37" s="118"/>
      <c r="OPJ37" s="118"/>
      <c r="OPK37" s="118"/>
      <c r="OPL37" s="118"/>
      <c r="OPM37" s="118"/>
      <c r="OPN37" s="118"/>
      <c r="OPO37" s="118"/>
      <c r="OPP37" s="118"/>
      <c r="OPQ37" s="118"/>
      <c r="OPR37" s="118"/>
      <c r="OPS37" s="118"/>
      <c r="OPT37" s="118"/>
      <c r="OPU37" s="118"/>
      <c r="OPV37" s="118"/>
      <c r="OPW37" s="118"/>
      <c r="OPX37" s="118"/>
      <c r="OPY37" s="118"/>
      <c r="OPZ37" s="118"/>
      <c r="OQA37" s="118"/>
      <c r="OQB37" s="118"/>
      <c r="OQC37" s="118"/>
      <c r="OQD37" s="118"/>
      <c r="OQE37" s="118"/>
      <c r="OQF37" s="118"/>
      <c r="OQG37" s="118"/>
      <c r="OQH37" s="118"/>
      <c r="OQI37" s="118"/>
      <c r="OQJ37" s="118"/>
      <c r="OQK37" s="118"/>
      <c r="OQL37" s="118"/>
      <c r="OQM37" s="118"/>
      <c r="OQN37" s="118"/>
      <c r="OQO37" s="118"/>
      <c r="OQP37" s="118"/>
      <c r="OQQ37" s="118"/>
      <c r="OQR37" s="118"/>
      <c r="OQS37" s="118"/>
      <c r="OQT37" s="118"/>
      <c r="OQU37" s="118"/>
      <c r="OQV37" s="118"/>
      <c r="OQW37" s="118"/>
      <c r="OQX37" s="118"/>
      <c r="OQY37" s="118"/>
      <c r="OQZ37" s="118"/>
      <c r="ORA37" s="118"/>
      <c r="ORB37" s="118"/>
      <c r="ORC37" s="118"/>
      <c r="ORD37" s="118"/>
      <c r="ORE37" s="118"/>
      <c r="ORF37" s="118"/>
      <c r="ORG37" s="118"/>
      <c r="ORH37" s="118"/>
      <c r="ORI37" s="118"/>
      <c r="ORJ37" s="118"/>
      <c r="ORK37" s="118"/>
      <c r="ORL37" s="118"/>
      <c r="ORM37" s="118"/>
      <c r="ORN37" s="118"/>
      <c r="ORO37" s="118"/>
      <c r="ORP37" s="118"/>
      <c r="ORQ37" s="118"/>
      <c r="ORR37" s="118"/>
      <c r="ORS37" s="118"/>
      <c r="ORT37" s="118"/>
      <c r="ORU37" s="118"/>
      <c r="ORV37" s="118"/>
      <c r="ORW37" s="118"/>
      <c r="ORX37" s="118"/>
      <c r="ORY37" s="118"/>
      <c r="ORZ37" s="118"/>
      <c r="OSA37" s="118"/>
      <c r="OSB37" s="118"/>
      <c r="OSC37" s="118"/>
      <c r="OSD37" s="118"/>
      <c r="OSE37" s="118"/>
      <c r="OSF37" s="118"/>
      <c r="OSG37" s="118"/>
      <c r="OSH37" s="118"/>
      <c r="OSI37" s="118"/>
      <c r="OSJ37" s="118"/>
      <c r="OSK37" s="118"/>
      <c r="OSL37" s="118"/>
      <c r="OSM37" s="118"/>
      <c r="OSN37" s="118"/>
      <c r="OSO37" s="118"/>
      <c r="OSP37" s="118"/>
      <c r="OSQ37" s="118"/>
      <c r="OSR37" s="118"/>
      <c r="OSS37" s="118"/>
      <c r="OST37" s="118"/>
      <c r="OSU37" s="118"/>
      <c r="OSV37" s="118"/>
      <c r="OSW37" s="118"/>
      <c r="OSX37" s="118"/>
      <c r="OSY37" s="118"/>
      <c r="OSZ37" s="118"/>
      <c r="OTA37" s="118"/>
      <c r="OTB37" s="118"/>
      <c r="OTC37" s="118"/>
      <c r="OTD37" s="118"/>
      <c r="OTE37" s="118"/>
      <c r="OTF37" s="118"/>
      <c r="OTG37" s="118"/>
      <c r="OTH37" s="118"/>
      <c r="OTI37" s="118"/>
      <c r="OTJ37" s="118"/>
      <c r="OTK37" s="118"/>
      <c r="OTL37" s="118"/>
      <c r="OTM37" s="118"/>
      <c r="OTN37" s="118"/>
      <c r="OTO37" s="118"/>
      <c r="OTP37" s="118"/>
      <c r="OTQ37" s="118"/>
      <c r="OTR37" s="118"/>
      <c r="OTS37" s="118"/>
      <c r="OTT37" s="118"/>
      <c r="OTU37" s="118"/>
      <c r="OTV37" s="118"/>
      <c r="OTW37" s="118"/>
      <c r="OTX37" s="118"/>
      <c r="OTY37" s="118"/>
      <c r="OTZ37" s="118"/>
      <c r="OUA37" s="118"/>
      <c r="OUB37" s="118"/>
      <c r="OUC37" s="118"/>
      <c r="OUD37" s="118"/>
      <c r="OUE37" s="118"/>
      <c r="OUF37" s="118"/>
      <c r="OUG37" s="118"/>
      <c r="OUH37" s="118"/>
      <c r="OUI37" s="118"/>
      <c r="OUJ37" s="118"/>
      <c r="OUK37" s="118"/>
      <c r="OUL37" s="118"/>
      <c r="OUM37" s="118"/>
      <c r="OUN37" s="118"/>
      <c r="OUO37" s="118"/>
      <c r="OUP37" s="118"/>
      <c r="OUQ37" s="118"/>
      <c r="OUR37" s="118"/>
      <c r="OUS37" s="118"/>
      <c r="OUT37" s="118"/>
      <c r="OUU37" s="118"/>
      <c r="OUV37" s="118"/>
      <c r="OUW37" s="118"/>
      <c r="OUX37" s="118"/>
      <c r="OUY37" s="118"/>
      <c r="OUZ37" s="118"/>
      <c r="OVA37" s="118"/>
      <c r="OVB37" s="118"/>
      <c r="OVC37" s="118"/>
      <c r="OVD37" s="118"/>
      <c r="OVE37" s="118"/>
      <c r="OVF37" s="118"/>
      <c r="OVG37" s="118"/>
      <c r="OVH37" s="118"/>
      <c r="OVI37" s="118"/>
      <c r="OVJ37" s="118"/>
      <c r="OVK37" s="118"/>
      <c r="OVL37" s="118"/>
      <c r="OVM37" s="118"/>
      <c r="OVN37" s="118"/>
      <c r="OVO37" s="118"/>
      <c r="OVP37" s="118"/>
      <c r="OVQ37" s="118"/>
      <c r="OVR37" s="118"/>
      <c r="OVS37" s="118"/>
      <c r="OVT37" s="118"/>
      <c r="OVU37" s="118"/>
      <c r="OVV37" s="118"/>
      <c r="OVW37" s="118"/>
      <c r="OVX37" s="118"/>
      <c r="OVY37" s="118"/>
      <c r="OVZ37" s="118"/>
      <c r="OWA37" s="118"/>
      <c r="OWB37" s="118"/>
      <c r="OWC37" s="118"/>
      <c r="OWD37" s="118"/>
      <c r="OWE37" s="118"/>
      <c r="OWF37" s="118"/>
      <c r="OWG37" s="118"/>
      <c r="OWH37" s="118"/>
      <c r="OWI37" s="118"/>
      <c r="OWJ37" s="118"/>
      <c r="OWK37" s="118"/>
      <c r="OWL37" s="118"/>
      <c r="OWM37" s="118"/>
      <c r="OWN37" s="118"/>
      <c r="OWO37" s="118"/>
      <c r="OWP37" s="118"/>
      <c r="OWQ37" s="118"/>
      <c r="OWR37" s="118"/>
      <c r="OWS37" s="118"/>
      <c r="OWT37" s="118"/>
      <c r="OWU37" s="118"/>
      <c r="OWV37" s="118"/>
      <c r="OWW37" s="118"/>
      <c r="OWX37" s="118"/>
      <c r="OWY37" s="118"/>
      <c r="OWZ37" s="118"/>
      <c r="OXA37" s="118"/>
      <c r="OXB37" s="118"/>
      <c r="OXC37" s="118"/>
      <c r="OXD37" s="118"/>
      <c r="OXE37" s="118"/>
      <c r="OXF37" s="118"/>
      <c r="OXG37" s="118"/>
      <c r="OXH37" s="118"/>
      <c r="OXI37" s="118"/>
      <c r="OXJ37" s="118"/>
      <c r="OXK37" s="118"/>
      <c r="OXL37" s="118"/>
      <c r="OXM37" s="118"/>
      <c r="OXN37" s="118"/>
      <c r="OXO37" s="118"/>
      <c r="OXP37" s="118"/>
      <c r="OXQ37" s="118"/>
      <c r="OXR37" s="118"/>
      <c r="OXS37" s="118"/>
      <c r="OXT37" s="118"/>
      <c r="OXU37" s="118"/>
      <c r="OXV37" s="118"/>
      <c r="OXW37" s="118"/>
      <c r="OXX37" s="118"/>
      <c r="OXY37" s="118"/>
      <c r="OXZ37" s="118"/>
      <c r="OYA37" s="118"/>
      <c r="OYB37" s="118"/>
      <c r="OYC37" s="118"/>
      <c r="OYD37" s="118"/>
      <c r="OYE37" s="118"/>
      <c r="OYF37" s="118"/>
      <c r="OYG37" s="118"/>
      <c r="OYH37" s="118"/>
      <c r="OYI37" s="118"/>
      <c r="OYJ37" s="118"/>
      <c r="OYK37" s="118"/>
      <c r="OYL37" s="118"/>
      <c r="OYM37" s="118"/>
      <c r="OYN37" s="118"/>
      <c r="OYO37" s="118"/>
      <c r="OYP37" s="118"/>
      <c r="OYQ37" s="118"/>
      <c r="OYR37" s="118"/>
      <c r="OYS37" s="118"/>
      <c r="OYT37" s="118"/>
      <c r="OYU37" s="118"/>
      <c r="OYV37" s="118"/>
      <c r="OYW37" s="118"/>
      <c r="OYX37" s="118"/>
      <c r="OYY37" s="118"/>
      <c r="OYZ37" s="118"/>
      <c r="OZA37" s="118"/>
      <c r="OZB37" s="118"/>
      <c r="OZC37" s="118"/>
      <c r="OZD37" s="118"/>
      <c r="OZE37" s="118"/>
      <c r="OZF37" s="118"/>
      <c r="OZG37" s="118"/>
      <c r="OZH37" s="118"/>
      <c r="OZI37" s="118"/>
      <c r="OZJ37" s="118"/>
      <c r="OZK37" s="118"/>
      <c r="OZL37" s="118"/>
      <c r="OZM37" s="118"/>
      <c r="OZN37" s="118"/>
      <c r="OZO37" s="118"/>
      <c r="OZP37" s="118"/>
      <c r="OZQ37" s="118"/>
      <c r="OZR37" s="118"/>
      <c r="OZS37" s="118"/>
      <c r="OZT37" s="118"/>
      <c r="OZU37" s="118"/>
      <c r="OZV37" s="118"/>
      <c r="OZW37" s="118"/>
      <c r="OZX37" s="118"/>
      <c r="OZY37" s="118"/>
      <c r="OZZ37" s="118"/>
      <c r="PAA37" s="118"/>
      <c r="PAB37" s="118"/>
      <c r="PAC37" s="118"/>
      <c r="PAD37" s="118"/>
      <c r="PAE37" s="118"/>
      <c r="PAF37" s="118"/>
      <c r="PAG37" s="118"/>
      <c r="PAH37" s="118"/>
      <c r="PAI37" s="118"/>
      <c r="PAJ37" s="118"/>
      <c r="PAK37" s="118"/>
      <c r="PAL37" s="118"/>
      <c r="PAM37" s="118"/>
      <c r="PAN37" s="118"/>
      <c r="PAO37" s="118"/>
      <c r="PAP37" s="118"/>
      <c r="PAQ37" s="118"/>
      <c r="PAR37" s="118"/>
      <c r="PAS37" s="118"/>
      <c r="PAT37" s="118"/>
      <c r="PAU37" s="118"/>
      <c r="PAV37" s="118"/>
      <c r="PAW37" s="118"/>
      <c r="PAX37" s="118"/>
      <c r="PAY37" s="118"/>
      <c r="PAZ37" s="118"/>
      <c r="PBA37" s="118"/>
      <c r="PBB37" s="118"/>
      <c r="PBC37" s="118"/>
      <c r="PBD37" s="118"/>
      <c r="PBE37" s="118"/>
      <c r="PBF37" s="118"/>
      <c r="PBG37" s="118"/>
      <c r="PBH37" s="118"/>
      <c r="PBI37" s="118"/>
      <c r="PBJ37" s="118"/>
      <c r="PBK37" s="118"/>
      <c r="PBL37" s="118"/>
      <c r="PBM37" s="118"/>
      <c r="PBN37" s="118"/>
      <c r="PBO37" s="118"/>
      <c r="PBP37" s="118"/>
      <c r="PBQ37" s="118"/>
      <c r="PBR37" s="118"/>
      <c r="PBS37" s="118"/>
      <c r="PBT37" s="118"/>
      <c r="PBU37" s="118"/>
      <c r="PBV37" s="118"/>
      <c r="PBW37" s="118"/>
      <c r="PBX37" s="118"/>
      <c r="PBY37" s="118"/>
      <c r="PBZ37" s="118"/>
      <c r="PCA37" s="118"/>
      <c r="PCB37" s="118"/>
      <c r="PCC37" s="118"/>
      <c r="PCD37" s="118"/>
      <c r="PCE37" s="118"/>
      <c r="PCF37" s="118"/>
      <c r="PCG37" s="118"/>
      <c r="PCH37" s="118"/>
      <c r="PCI37" s="118"/>
      <c r="PCJ37" s="118"/>
      <c r="PCK37" s="118"/>
      <c r="PCL37" s="118"/>
      <c r="PCM37" s="118"/>
      <c r="PCN37" s="118"/>
      <c r="PCO37" s="118"/>
      <c r="PCP37" s="118"/>
      <c r="PCQ37" s="118"/>
      <c r="PCR37" s="118"/>
      <c r="PCS37" s="118"/>
      <c r="PCT37" s="118"/>
      <c r="PCU37" s="118"/>
      <c r="PCV37" s="118"/>
      <c r="PCW37" s="118"/>
      <c r="PCX37" s="118"/>
      <c r="PCY37" s="118"/>
      <c r="PCZ37" s="118"/>
      <c r="PDA37" s="118"/>
      <c r="PDB37" s="118"/>
      <c r="PDC37" s="118"/>
      <c r="PDD37" s="118"/>
      <c r="PDE37" s="118"/>
      <c r="PDF37" s="118"/>
      <c r="PDG37" s="118"/>
      <c r="PDH37" s="118"/>
      <c r="PDI37" s="118"/>
      <c r="PDJ37" s="118"/>
      <c r="PDK37" s="118"/>
      <c r="PDL37" s="118"/>
      <c r="PDM37" s="118"/>
      <c r="PDN37" s="118"/>
      <c r="PDO37" s="118"/>
      <c r="PDP37" s="118"/>
      <c r="PDQ37" s="118"/>
      <c r="PDR37" s="118"/>
      <c r="PDS37" s="118"/>
      <c r="PDT37" s="118"/>
      <c r="PDU37" s="118"/>
      <c r="PDV37" s="118"/>
      <c r="PDW37" s="118"/>
      <c r="PDX37" s="118"/>
      <c r="PDY37" s="118"/>
      <c r="PDZ37" s="118"/>
      <c r="PEA37" s="118"/>
      <c r="PEB37" s="118"/>
      <c r="PEC37" s="118"/>
      <c r="PED37" s="118"/>
      <c r="PEE37" s="118"/>
      <c r="PEF37" s="118"/>
      <c r="PEG37" s="118"/>
      <c r="PEH37" s="118"/>
      <c r="PEI37" s="118"/>
      <c r="PEJ37" s="118"/>
      <c r="PEK37" s="118"/>
      <c r="PEL37" s="118"/>
      <c r="PEM37" s="118"/>
      <c r="PEN37" s="118"/>
      <c r="PEO37" s="118"/>
      <c r="PEP37" s="118"/>
      <c r="PEQ37" s="118"/>
      <c r="PER37" s="118"/>
      <c r="PES37" s="118"/>
      <c r="PET37" s="118"/>
      <c r="PEU37" s="118"/>
      <c r="PEV37" s="118"/>
      <c r="PEW37" s="118"/>
      <c r="PEX37" s="118"/>
      <c r="PEY37" s="118"/>
      <c r="PEZ37" s="118"/>
      <c r="PFA37" s="118"/>
      <c r="PFB37" s="118"/>
      <c r="PFC37" s="118"/>
      <c r="PFD37" s="118"/>
      <c r="PFE37" s="118"/>
      <c r="PFF37" s="118"/>
      <c r="PFG37" s="118"/>
      <c r="PFH37" s="118"/>
      <c r="PFI37" s="118"/>
      <c r="PFJ37" s="118"/>
      <c r="PFK37" s="118"/>
      <c r="PFL37" s="118"/>
      <c r="PFM37" s="118"/>
      <c r="PFN37" s="118"/>
      <c r="PFO37" s="118"/>
      <c r="PFP37" s="118"/>
      <c r="PFQ37" s="118"/>
      <c r="PFR37" s="118"/>
      <c r="PFS37" s="118"/>
      <c r="PFT37" s="118"/>
      <c r="PFU37" s="118"/>
      <c r="PFV37" s="118"/>
      <c r="PFW37" s="118"/>
      <c r="PFX37" s="118"/>
      <c r="PFY37" s="118"/>
      <c r="PFZ37" s="118"/>
      <c r="PGA37" s="118"/>
      <c r="PGB37" s="118"/>
      <c r="PGC37" s="118"/>
      <c r="PGD37" s="118"/>
      <c r="PGE37" s="118"/>
      <c r="PGF37" s="118"/>
      <c r="PGG37" s="118"/>
      <c r="PGH37" s="118"/>
      <c r="PGI37" s="118"/>
      <c r="PGJ37" s="118"/>
      <c r="PGK37" s="118"/>
      <c r="PGL37" s="118"/>
      <c r="PGM37" s="118"/>
      <c r="PGN37" s="118"/>
      <c r="PGO37" s="118"/>
      <c r="PGP37" s="118"/>
      <c r="PGQ37" s="118"/>
      <c r="PGR37" s="118"/>
      <c r="PGS37" s="118"/>
      <c r="PGT37" s="118"/>
      <c r="PGU37" s="118"/>
      <c r="PGV37" s="118"/>
      <c r="PGW37" s="118"/>
      <c r="PGX37" s="118"/>
      <c r="PGY37" s="118"/>
      <c r="PGZ37" s="118"/>
      <c r="PHA37" s="118"/>
      <c r="PHB37" s="118"/>
      <c r="PHC37" s="118"/>
      <c r="PHD37" s="118"/>
      <c r="PHE37" s="118"/>
      <c r="PHF37" s="118"/>
      <c r="PHG37" s="118"/>
      <c r="PHH37" s="118"/>
      <c r="PHI37" s="118"/>
      <c r="PHJ37" s="118"/>
      <c r="PHK37" s="118"/>
      <c r="PHL37" s="118"/>
      <c r="PHM37" s="118"/>
      <c r="PHN37" s="118"/>
      <c r="PHO37" s="118"/>
      <c r="PHP37" s="118"/>
      <c r="PHQ37" s="118"/>
      <c r="PHR37" s="118"/>
      <c r="PHS37" s="118"/>
      <c r="PHT37" s="118"/>
      <c r="PHU37" s="118"/>
      <c r="PHV37" s="118"/>
      <c r="PHW37" s="118"/>
      <c r="PHX37" s="118"/>
      <c r="PHY37" s="118"/>
      <c r="PHZ37" s="118"/>
      <c r="PIA37" s="118"/>
      <c r="PIB37" s="118"/>
      <c r="PIC37" s="118"/>
      <c r="PID37" s="118"/>
      <c r="PIE37" s="118"/>
      <c r="PIF37" s="118"/>
      <c r="PIG37" s="118"/>
      <c r="PIH37" s="118"/>
      <c r="PII37" s="118"/>
      <c r="PIJ37" s="118"/>
      <c r="PIK37" s="118"/>
      <c r="PIL37" s="118"/>
      <c r="PIM37" s="118"/>
      <c r="PIN37" s="118"/>
      <c r="PIO37" s="118"/>
      <c r="PIP37" s="118"/>
      <c r="PIQ37" s="118"/>
      <c r="PIR37" s="118"/>
      <c r="PIS37" s="118"/>
      <c r="PIT37" s="118"/>
      <c r="PIU37" s="118"/>
      <c r="PIV37" s="118"/>
      <c r="PIW37" s="118"/>
      <c r="PIX37" s="118"/>
      <c r="PIY37" s="118"/>
      <c r="PIZ37" s="118"/>
      <c r="PJA37" s="118"/>
      <c r="PJB37" s="118"/>
      <c r="PJC37" s="118"/>
      <c r="PJD37" s="118"/>
      <c r="PJE37" s="118"/>
      <c r="PJF37" s="118"/>
      <c r="PJG37" s="118"/>
      <c r="PJH37" s="118"/>
      <c r="PJI37" s="118"/>
      <c r="PJJ37" s="118"/>
      <c r="PJK37" s="118"/>
      <c r="PJL37" s="118"/>
      <c r="PJM37" s="118"/>
      <c r="PJN37" s="118"/>
      <c r="PJO37" s="118"/>
      <c r="PJP37" s="118"/>
      <c r="PJQ37" s="118"/>
      <c r="PJR37" s="118"/>
      <c r="PJS37" s="118"/>
      <c r="PJT37" s="118"/>
      <c r="PJU37" s="118"/>
      <c r="PJV37" s="118"/>
      <c r="PJW37" s="118"/>
      <c r="PJX37" s="118"/>
      <c r="PJY37" s="118"/>
      <c r="PJZ37" s="118"/>
      <c r="PKA37" s="118"/>
      <c r="PKB37" s="118"/>
      <c r="PKC37" s="118"/>
      <c r="PKD37" s="118"/>
      <c r="PKE37" s="118"/>
      <c r="PKF37" s="118"/>
      <c r="PKG37" s="118"/>
      <c r="PKH37" s="118"/>
      <c r="PKI37" s="118"/>
      <c r="PKJ37" s="118"/>
      <c r="PKK37" s="118"/>
      <c r="PKL37" s="118"/>
      <c r="PKM37" s="118"/>
      <c r="PKN37" s="118"/>
      <c r="PKO37" s="118"/>
      <c r="PKP37" s="118"/>
      <c r="PKQ37" s="118"/>
      <c r="PKR37" s="118"/>
      <c r="PKS37" s="118"/>
      <c r="PKT37" s="118"/>
      <c r="PKU37" s="118"/>
      <c r="PKV37" s="118"/>
      <c r="PKW37" s="118"/>
      <c r="PKX37" s="118"/>
      <c r="PKY37" s="118"/>
      <c r="PKZ37" s="118"/>
      <c r="PLA37" s="118"/>
      <c r="PLB37" s="118"/>
      <c r="PLC37" s="118"/>
      <c r="PLD37" s="118"/>
      <c r="PLE37" s="118"/>
      <c r="PLF37" s="118"/>
      <c r="PLG37" s="118"/>
      <c r="PLH37" s="118"/>
      <c r="PLI37" s="118"/>
      <c r="PLJ37" s="118"/>
      <c r="PLK37" s="118"/>
      <c r="PLL37" s="118"/>
      <c r="PLM37" s="118"/>
      <c r="PLN37" s="118"/>
      <c r="PLO37" s="118"/>
      <c r="PLP37" s="118"/>
      <c r="PLQ37" s="118"/>
      <c r="PLR37" s="118"/>
      <c r="PLS37" s="118"/>
      <c r="PLT37" s="118"/>
      <c r="PLU37" s="118"/>
      <c r="PLV37" s="118"/>
      <c r="PLW37" s="118"/>
      <c r="PLX37" s="118"/>
      <c r="PLY37" s="118"/>
      <c r="PLZ37" s="118"/>
      <c r="PMA37" s="118"/>
      <c r="PMB37" s="118"/>
      <c r="PMC37" s="118"/>
      <c r="PMD37" s="118"/>
      <c r="PME37" s="118"/>
      <c r="PMF37" s="118"/>
      <c r="PMG37" s="118"/>
      <c r="PMH37" s="118"/>
      <c r="PMI37" s="118"/>
      <c r="PMJ37" s="118"/>
      <c r="PMK37" s="118"/>
      <c r="PML37" s="118"/>
      <c r="PMM37" s="118"/>
      <c r="PMN37" s="118"/>
      <c r="PMO37" s="118"/>
      <c r="PMP37" s="118"/>
      <c r="PMQ37" s="118"/>
      <c r="PMR37" s="118"/>
      <c r="PMS37" s="118"/>
      <c r="PMT37" s="118"/>
      <c r="PMU37" s="118"/>
      <c r="PMV37" s="118"/>
      <c r="PMW37" s="118"/>
      <c r="PMX37" s="118"/>
      <c r="PMY37" s="118"/>
      <c r="PMZ37" s="118"/>
      <c r="PNA37" s="118"/>
      <c r="PNB37" s="118"/>
      <c r="PNC37" s="118"/>
      <c r="PND37" s="118"/>
      <c r="PNE37" s="118"/>
      <c r="PNF37" s="118"/>
      <c r="PNG37" s="118"/>
      <c r="PNH37" s="118"/>
      <c r="PNI37" s="118"/>
      <c r="PNJ37" s="118"/>
      <c r="PNK37" s="118"/>
      <c r="PNL37" s="118"/>
      <c r="PNM37" s="118"/>
      <c r="PNN37" s="118"/>
      <c r="PNO37" s="118"/>
      <c r="PNP37" s="118"/>
      <c r="PNQ37" s="118"/>
      <c r="PNR37" s="118"/>
      <c r="PNS37" s="118"/>
      <c r="PNT37" s="118"/>
      <c r="PNU37" s="118"/>
      <c r="PNV37" s="118"/>
      <c r="PNW37" s="118"/>
      <c r="PNX37" s="118"/>
      <c r="PNY37" s="118"/>
      <c r="PNZ37" s="118"/>
      <c r="POA37" s="118"/>
      <c r="POB37" s="118"/>
      <c r="POC37" s="118"/>
      <c r="POD37" s="118"/>
      <c r="POE37" s="118"/>
      <c r="POF37" s="118"/>
      <c r="POG37" s="118"/>
      <c r="POH37" s="118"/>
      <c r="POI37" s="118"/>
      <c r="POJ37" s="118"/>
      <c r="POK37" s="118"/>
      <c r="POL37" s="118"/>
      <c r="POM37" s="118"/>
      <c r="PON37" s="118"/>
      <c r="POO37" s="118"/>
      <c r="POP37" s="118"/>
      <c r="POQ37" s="118"/>
      <c r="POR37" s="118"/>
      <c r="POS37" s="118"/>
      <c r="POT37" s="118"/>
      <c r="POU37" s="118"/>
      <c r="POV37" s="118"/>
      <c r="POW37" s="118"/>
      <c r="POX37" s="118"/>
      <c r="POY37" s="118"/>
      <c r="POZ37" s="118"/>
      <c r="PPA37" s="118"/>
      <c r="PPB37" s="118"/>
      <c r="PPC37" s="118"/>
      <c r="PPD37" s="118"/>
      <c r="PPE37" s="118"/>
      <c r="PPF37" s="118"/>
      <c r="PPG37" s="118"/>
      <c r="PPH37" s="118"/>
      <c r="PPI37" s="118"/>
      <c r="PPJ37" s="118"/>
      <c r="PPK37" s="118"/>
      <c r="PPL37" s="118"/>
      <c r="PPM37" s="118"/>
      <c r="PPN37" s="118"/>
      <c r="PPO37" s="118"/>
      <c r="PPP37" s="118"/>
      <c r="PPQ37" s="118"/>
      <c r="PPR37" s="118"/>
      <c r="PPS37" s="118"/>
      <c r="PPT37" s="118"/>
      <c r="PPU37" s="118"/>
      <c r="PPV37" s="118"/>
      <c r="PPW37" s="118"/>
      <c r="PPX37" s="118"/>
      <c r="PPY37" s="118"/>
      <c r="PPZ37" s="118"/>
      <c r="PQA37" s="118"/>
      <c r="PQB37" s="118"/>
      <c r="PQC37" s="118"/>
      <c r="PQD37" s="118"/>
      <c r="PQE37" s="118"/>
      <c r="PQF37" s="118"/>
      <c r="PQG37" s="118"/>
      <c r="PQH37" s="118"/>
      <c r="PQI37" s="118"/>
      <c r="PQJ37" s="118"/>
      <c r="PQK37" s="118"/>
      <c r="PQL37" s="118"/>
      <c r="PQM37" s="118"/>
      <c r="PQN37" s="118"/>
      <c r="PQO37" s="118"/>
      <c r="PQP37" s="118"/>
      <c r="PQQ37" s="118"/>
      <c r="PQR37" s="118"/>
      <c r="PQS37" s="118"/>
      <c r="PQT37" s="118"/>
      <c r="PQU37" s="118"/>
      <c r="PQV37" s="118"/>
      <c r="PQW37" s="118"/>
      <c r="PQX37" s="118"/>
      <c r="PQY37" s="118"/>
      <c r="PQZ37" s="118"/>
      <c r="PRA37" s="118"/>
      <c r="PRB37" s="118"/>
      <c r="PRC37" s="118"/>
      <c r="PRD37" s="118"/>
      <c r="PRE37" s="118"/>
      <c r="PRF37" s="118"/>
      <c r="PRG37" s="118"/>
      <c r="PRH37" s="118"/>
      <c r="PRI37" s="118"/>
      <c r="PRJ37" s="118"/>
      <c r="PRK37" s="118"/>
      <c r="PRL37" s="118"/>
      <c r="PRM37" s="118"/>
      <c r="PRN37" s="118"/>
      <c r="PRO37" s="118"/>
      <c r="PRP37" s="118"/>
      <c r="PRQ37" s="118"/>
      <c r="PRR37" s="118"/>
      <c r="PRS37" s="118"/>
      <c r="PRT37" s="118"/>
      <c r="PRU37" s="118"/>
      <c r="PRV37" s="118"/>
      <c r="PRW37" s="118"/>
      <c r="PRX37" s="118"/>
      <c r="PRY37" s="118"/>
      <c r="PRZ37" s="118"/>
      <c r="PSA37" s="118"/>
      <c r="PSB37" s="118"/>
      <c r="PSC37" s="118"/>
      <c r="PSD37" s="118"/>
      <c r="PSE37" s="118"/>
      <c r="PSF37" s="118"/>
      <c r="PSG37" s="118"/>
      <c r="PSH37" s="118"/>
      <c r="PSI37" s="118"/>
      <c r="PSJ37" s="118"/>
      <c r="PSK37" s="118"/>
      <c r="PSL37" s="118"/>
      <c r="PSM37" s="118"/>
      <c r="PSN37" s="118"/>
      <c r="PSO37" s="118"/>
      <c r="PSP37" s="118"/>
      <c r="PSQ37" s="118"/>
      <c r="PSR37" s="118"/>
      <c r="PSS37" s="118"/>
      <c r="PST37" s="118"/>
      <c r="PSU37" s="118"/>
      <c r="PSV37" s="118"/>
      <c r="PSW37" s="118"/>
      <c r="PSX37" s="118"/>
      <c r="PSY37" s="118"/>
      <c r="PSZ37" s="118"/>
      <c r="PTA37" s="118"/>
      <c r="PTB37" s="118"/>
      <c r="PTC37" s="118"/>
      <c r="PTD37" s="118"/>
      <c r="PTE37" s="118"/>
      <c r="PTF37" s="118"/>
      <c r="PTG37" s="118"/>
      <c r="PTH37" s="118"/>
      <c r="PTI37" s="118"/>
      <c r="PTJ37" s="118"/>
      <c r="PTK37" s="118"/>
      <c r="PTL37" s="118"/>
      <c r="PTM37" s="118"/>
      <c r="PTN37" s="118"/>
      <c r="PTO37" s="118"/>
      <c r="PTP37" s="118"/>
      <c r="PTQ37" s="118"/>
      <c r="PTR37" s="118"/>
      <c r="PTS37" s="118"/>
      <c r="PTT37" s="118"/>
      <c r="PTU37" s="118"/>
      <c r="PTV37" s="118"/>
      <c r="PTW37" s="118"/>
      <c r="PTX37" s="118"/>
      <c r="PTY37" s="118"/>
      <c r="PTZ37" s="118"/>
      <c r="PUA37" s="118"/>
      <c r="PUB37" s="118"/>
      <c r="PUC37" s="118"/>
      <c r="PUD37" s="118"/>
      <c r="PUE37" s="118"/>
      <c r="PUF37" s="118"/>
      <c r="PUG37" s="118"/>
      <c r="PUH37" s="118"/>
      <c r="PUI37" s="118"/>
      <c r="PUJ37" s="118"/>
      <c r="PUK37" s="118"/>
      <c r="PUL37" s="118"/>
      <c r="PUM37" s="118"/>
      <c r="PUN37" s="118"/>
      <c r="PUO37" s="118"/>
      <c r="PUP37" s="118"/>
      <c r="PUQ37" s="118"/>
      <c r="PUR37" s="118"/>
      <c r="PUS37" s="118"/>
      <c r="PUT37" s="118"/>
      <c r="PUU37" s="118"/>
      <c r="PUV37" s="118"/>
      <c r="PUW37" s="118"/>
      <c r="PUX37" s="118"/>
      <c r="PUY37" s="118"/>
      <c r="PUZ37" s="118"/>
      <c r="PVA37" s="118"/>
      <c r="PVB37" s="118"/>
      <c r="PVC37" s="118"/>
      <c r="PVD37" s="118"/>
      <c r="PVE37" s="118"/>
      <c r="PVF37" s="118"/>
      <c r="PVG37" s="118"/>
      <c r="PVH37" s="118"/>
      <c r="PVI37" s="118"/>
      <c r="PVJ37" s="118"/>
      <c r="PVK37" s="118"/>
      <c r="PVL37" s="118"/>
      <c r="PVM37" s="118"/>
      <c r="PVN37" s="118"/>
      <c r="PVO37" s="118"/>
      <c r="PVP37" s="118"/>
      <c r="PVQ37" s="118"/>
      <c r="PVR37" s="118"/>
      <c r="PVS37" s="118"/>
      <c r="PVT37" s="118"/>
      <c r="PVU37" s="118"/>
      <c r="PVV37" s="118"/>
      <c r="PVW37" s="118"/>
      <c r="PVX37" s="118"/>
      <c r="PVY37" s="118"/>
      <c r="PVZ37" s="118"/>
      <c r="PWA37" s="118"/>
      <c r="PWB37" s="118"/>
      <c r="PWC37" s="118"/>
      <c r="PWD37" s="118"/>
      <c r="PWE37" s="118"/>
      <c r="PWF37" s="118"/>
      <c r="PWG37" s="118"/>
      <c r="PWH37" s="118"/>
      <c r="PWI37" s="118"/>
      <c r="PWJ37" s="118"/>
      <c r="PWK37" s="118"/>
      <c r="PWL37" s="118"/>
      <c r="PWM37" s="118"/>
      <c r="PWN37" s="118"/>
      <c r="PWO37" s="118"/>
      <c r="PWP37" s="118"/>
      <c r="PWQ37" s="118"/>
      <c r="PWR37" s="118"/>
      <c r="PWS37" s="118"/>
      <c r="PWT37" s="118"/>
      <c r="PWU37" s="118"/>
      <c r="PWV37" s="118"/>
      <c r="PWW37" s="118"/>
      <c r="PWX37" s="118"/>
      <c r="PWY37" s="118"/>
      <c r="PWZ37" s="118"/>
      <c r="PXA37" s="118"/>
      <c r="PXB37" s="118"/>
      <c r="PXC37" s="118"/>
      <c r="PXD37" s="118"/>
      <c r="PXE37" s="118"/>
      <c r="PXF37" s="118"/>
      <c r="PXG37" s="118"/>
      <c r="PXH37" s="118"/>
      <c r="PXI37" s="118"/>
      <c r="PXJ37" s="118"/>
      <c r="PXK37" s="118"/>
      <c r="PXL37" s="118"/>
      <c r="PXM37" s="118"/>
      <c r="PXN37" s="118"/>
      <c r="PXO37" s="118"/>
      <c r="PXP37" s="118"/>
      <c r="PXQ37" s="118"/>
      <c r="PXR37" s="118"/>
      <c r="PXS37" s="118"/>
      <c r="PXT37" s="118"/>
      <c r="PXU37" s="118"/>
      <c r="PXV37" s="118"/>
      <c r="PXW37" s="118"/>
      <c r="PXX37" s="118"/>
      <c r="PXY37" s="118"/>
      <c r="PXZ37" s="118"/>
      <c r="PYA37" s="118"/>
      <c r="PYB37" s="118"/>
      <c r="PYC37" s="118"/>
      <c r="PYD37" s="118"/>
      <c r="PYE37" s="118"/>
      <c r="PYF37" s="118"/>
      <c r="PYG37" s="118"/>
      <c r="PYH37" s="118"/>
      <c r="PYI37" s="118"/>
      <c r="PYJ37" s="118"/>
      <c r="PYK37" s="118"/>
      <c r="PYL37" s="118"/>
      <c r="PYM37" s="118"/>
      <c r="PYN37" s="118"/>
      <c r="PYO37" s="118"/>
      <c r="PYP37" s="118"/>
      <c r="PYQ37" s="118"/>
      <c r="PYR37" s="118"/>
      <c r="PYS37" s="118"/>
      <c r="PYT37" s="118"/>
      <c r="PYU37" s="118"/>
      <c r="PYV37" s="118"/>
      <c r="PYW37" s="118"/>
      <c r="PYX37" s="118"/>
      <c r="PYY37" s="118"/>
      <c r="PYZ37" s="118"/>
      <c r="PZA37" s="118"/>
      <c r="PZB37" s="118"/>
      <c r="PZC37" s="118"/>
      <c r="PZD37" s="118"/>
      <c r="PZE37" s="118"/>
      <c r="PZF37" s="118"/>
      <c r="PZG37" s="118"/>
      <c r="PZH37" s="118"/>
      <c r="PZI37" s="118"/>
      <c r="PZJ37" s="118"/>
      <c r="PZK37" s="118"/>
      <c r="PZL37" s="118"/>
      <c r="PZM37" s="118"/>
      <c r="PZN37" s="118"/>
      <c r="PZO37" s="118"/>
      <c r="PZP37" s="118"/>
      <c r="PZQ37" s="118"/>
      <c r="PZR37" s="118"/>
      <c r="PZS37" s="118"/>
      <c r="PZT37" s="118"/>
      <c r="PZU37" s="118"/>
      <c r="PZV37" s="118"/>
      <c r="PZW37" s="118"/>
      <c r="PZX37" s="118"/>
      <c r="PZY37" s="118"/>
      <c r="PZZ37" s="118"/>
      <c r="QAA37" s="118"/>
      <c r="QAB37" s="118"/>
      <c r="QAC37" s="118"/>
      <c r="QAD37" s="118"/>
      <c r="QAE37" s="118"/>
      <c r="QAF37" s="118"/>
      <c r="QAG37" s="118"/>
      <c r="QAH37" s="118"/>
      <c r="QAI37" s="118"/>
      <c r="QAJ37" s="118"/>
      <c r="QAK37" s="118"/>
      <c r="QAL37" s="118"/>
      <c r="QAM37" s="118"/>
      <c r="QAN37" s="118"/>
      <c r="QAO37" s="118"/>
      <c r="QAP37" s="118"/>
      <c r="QAQ37" s="118"/>
      <c r="QAR37" s="118"/>
      <c r="QAS37" s="118"/>
      <c r="QAT37" s="118"/>
      <c r="QAU37" s="118"/>
      <c r="QAV37" s="118"/>
      <c r="QAW37" s="118"/>
      <c r="QAX37" s="118"/>
      <c r="QAY37" s="118"/>
      <c r="QAZ37" s="118"/>
      <c r="QBA37" s="118"/>
      <c r="QBB37" s="118"/>
      <c r="QBC37" s="118"/>
      <c r="QBD37" s="118"/>
      <c r="QBE37" s="118"/>
      <c r="QBF37" s="118"/>
      <c r="QBG37" s="118"/>
      <c r="QBH37" s="118"/>
      <c r="QBI37" s="118"/>
      <c r="QBJ37" s="118"/>
      <c r="QBK37" s="118"/>
      <c r="QBL37" s="118"/>
      <c r="QBM37" s="118"/>
      <c r="QBN37" s="118"/>
      <c r="QBO37" s="118"/>
      <c r="QBP37" s="118"/>
      <c r="QBQ37" s="118"/>
      <c r="QBR37" s="118"/>
      <c r="QBS37" s="118"/>
      <c r="QBT37" s="118"/>
      <c r="QBU37" s="118"/>
      <c r="QBV37" s="118"/>
      <c r="QBW37" s="118"/>
      <c r="QBX37" s="118"/>
      <c r="QBY37" s="118"/>
      <c r="QBZ37" s="118"/>
      <c r="QCA37" s="118"/>
      <c r="QCB37" s="118"/>
      <c r="QCC37" s="118"/>
      <c r="QCD37" s="118"/>
      <c r="QCE37" s="118"/>
      <c r="QCF37" s="118"/>
      <c r="QCG37" s="118"/>
      <c r="QCH37" s="118"/>
      <c r="QCI37" s="118"/>
      <c r="QCJ37" s="118"/>
      <c r="QCK37" s="118"/>
      <c r="QCL37" s="118"/>
      <c r="QCM37" s="118"/>
      <c r="QCN37" s="118"/>
      <c r="QCO37" s="118"/>
      <c r="QCP37" s="118"/>
      <c r="QCQ37" s="118"/>
      <c r="QCR37" s="118"/>
      <c r="QCS37" s="118"/>
      <c r="QCT37" s="118"/>
      <c r="QCU37" s="118"/>
      <c r="QCV37" s="118"/>
      <c r="QCW37" s="118"/>
      <c r="QCX37" s="118"/>
      <c r="QCY37" s="118"/>
      <c r="QCZ37" s="118"/>
      <c r="QDA37" s="118"/>
      <c r="QDB37" s="118"/>
      <c r="QDC37" s="118"/>
      <c r="QDD37" s="118"/>
      <c r="QDE37" s="118"/>
      <c r="QDF37" s="118"/>
      <c r="QDG37" s="118"/>
      <c r="QDH37" s="118"/>
      <c r="QDI37" s="118"/>
      <c r="QDJ37" s="118"/>
      <c r="QDK37" s="118"/>
      <c r="QDL37" s="118"/>
      <c r="QDM37" s="118"/>
      <c r="QDN37" s="118"/>
      <c r="QDO37" s="118"/>
      <c r="QDP37" s="118"/>
      <c r="QDQ37" s="118"/>
      <c r="QDR37" s="118"/>
      <c r="QDS37" s="118"/>
      <c r="QDT37" s="118"/>
      <c r="QDU37" s="118"/>
      <c r="QDV37" s="118"/>
      <c r="QDW37" s="118"/>
      <c r="QDX37" s="118"/>
      <c r="QDY37" s="118"/>
      <c r="QDZ37" s="118"/>
      <c r="QEA37" s="118"/>
      <c r="QEB37" s="118"/>
      <c r="QEC37" s="118"/>
      <c r="QED37" s="118"/>
      <c r="QEE37" s="118"/>
      <c r="QEF37" s="118"/>
      <c r="QEG37" s="118"/>
      <c r="QEH37" s="118"/>
      <c r="QEI37" s="118"/>
      <c r="QEJ37" s="118"/>
      <c r="QEK37" s="118"/>
      <c r="QEL37" s="118"/>
      <c r="QEM37" s="118"/>
      <c r="QEN37" s="118"/>
      <c r="QEO37" s="118"/>
      <c r="QEP37" s="118"/>
      <c r="QEQ37" s="118"/>
      <c r="QER37" s="118"/>
      <c r="QES37" s="118"/>
      <c r="QET37" s="118"/>
      <c r="QEU37" s="118"/>
      <c r="QEV37" s="118"/>
      <c r="QEW37" s="118"/>
      <c r="QEX37" s="118"/>
      <c r="QEY37" s="118"/>
      <c r="QEZ37" s="118"/>
      <c r="QFA37" s="118"/>
      <c r="QFB37" s="118"/>
      <c r="QFC37" s="118"/>
      <c r="QFD37" s="118"/>
      <c r="QFE37" s="118"/>
      <c r="QFF37" s="118"/>
      <c r="QFG37" s="118"/>
      <c r="QFH37" s="118"/>
      <c r="QFI37" s="118"/>
      <c r="QFJ37" s="118"/>
      <c r="QFK37" s="118"/>
      <c r="QFL37" s="118"/>
      <c r="QFM37" s="118"/>
      <c r="QFN37" s="118"/>
      <c r="QFO37" s="118"/>
      <c r="QFP37" s="118"/>
      <c r="QFQ37" s="118"/>
      <c r="QFR37" s="118"/>
      <c r="QFS37" s="118"/>
      <c r="QFT37" s="118"/>
      <c r="QFU37" s="118"/>
      <c r="QFV37" s="118"/>
      <c r="QFW37" s="118"/>
      <c r="QFX37" s="118"/>
      <c r="QFY37" s="118"/>
      <c r="QFZ37" s="118"/>
      <c r="QGA37" s="118"/>
      <c r="QGB37" s="118"/>
      <c r="QGC37" s="118"/>
      <c r="QGD37" s="118"/>
      <c r="QGE37" s="118"/>
      <c r="QGF37" s="118"/>
      <c r="QGG37" s="118"/>
      <c r="QGH37" s="118"/>
      <c r="QGI37" s="118"/>
      <c r="QGJ37" s="118"/>
      <c r="QGK37" s="118"/>
      <c r="QGL37" s="118"/>
      <c r="QGM37" s="118"/>
      <c r="QGN37" s="118"/>
      <c r="QGO37" s="118"/>
      <c r="QGP37" s="118"/>
      <c r="QGQ37" s="118"/>
      <c r="QGR37" s="118"/>
      <c r="QGS37" s="118"/>
      <c r="QGT37" s="118"/>
      <c r="QGU37" s="118"/>
      <c r="QGV37" s="118"/>
      <c r="QGW37" s="118"/>
      <c r="QGX37" s="118"/>
      <c r="QGY37" s="118"/>
      <c r="QGZ37" s="118"/>
      <c r="QHA37" s="118"/>
      <c r="QHB37" s="118"/>
      <c r="QHC37" s="118"/>
      <c r="QHD37" s="118"/>
      <c r="QHE37" s="118"/>
      <c r="QHF37" s="118"/>
      <c r="QHG37" s="118"/>
      <c r="QHH37" s="118"/>
      <c r="QHI37" s="118"/>
      <c r="QHJ37" s="118"/>
      <c r="QHK37" s="118"/>
      <c r="QHL37" s="118"/>
      <c r="QHM37" s="118"/>
      <c r="QHN37" s="118"/>
      <c r="QHO37" s="118"/>
      <c r="QHP37" s="118"/>
      <c r="QHQ37" s="118"/>
      <c r="QHR37" s="118"/>
      <c r="QHS37" s="118"/>
      <c r="QHT37" s="118"/>
      <c r="QHU37" s="118"/>
      <c r="QHV37" s="118"/>
      <c r="QHW37" s="118"/>
      <c r="QHX37" s="118"/>
      <c r="QHY37" s="118"/>
      <c r="QHZ37" s="118"/>
      <c r="QIA37" s="118"/>
      <c r="QIB37" s="118"/>
      <c r="QIC37" s="118"/>
      <c r="QID37" s="118"/>
      <c r="QIE37" s="118"/>
      <c r="QIF37" s="118"/>
      <c r="QIG37" s="118"/>
      <c r="QIH37" s="118"/>
      <c r="QII37" s="118"/>
      <c r="QIJ37" s="118"/>
      <c r="QIK37" s="118"/>
      <c r="QIL37" s="118"/>
      <c r="QIM37" s="118"/>
      <c r="QIN37" s="118"/>
      <c r="QIO37" s="118"/>
      <c r="QIP37" s="118"/>
      <c r="QIQ37" s="118"/>
      <c r="QIR37" s="118"/>
      <c r="QIS37" s="118"/>
      <c r="QIT37" s="118"/>
      <c r="QIU37" s="118"/>
      <c r="QIV37" s="118"/>
      <c r="QIW37" s="118"/>
      <c r="QIX37" s="118"/>
      <c r="QIY37" s="118"/>
      <c r="QIZ37" s="118"/>
      <c r="QJA37" s="118"/>
      <c r="QJB37" s="118"/>
      <c r="QJC37" s="118"/>
      <c r="QJD37" s="118"/>
      <c r="QJE37" s="118"/>
      <c r="QJF37" s="118"/>
      <c r="QJG37" s="118"/>
      <c r="QJH37" s="118"/>
      <c r="QJI37" s="118"/>
      <c r="QJJ37" s="118"/>
      <c r="QJK37" s="118"/>
      <c r="QJL37" s="118"/>
      <c r="QJM37" s="118"/>
      <c r="QJN37" s="118"/>
      <c r="QJO37" s="118"/>
      <c r="QJP37" s="118"/>
      <c r="QJQ37" s="118"/>
      <c r="QJR37" s="118"/>
      <c r="QJS37" s="118"/>
      <c r="QJT37" s="118"/>
      <c r="QJU37" s="118"/>
      <c r="QJV37" s="118"/>
      <c r="QJW37" s="118"/>
      <c r="QJX37" s="118"/>
      <c r="QJY37" s="118"/>
      <c r="QJZ37" s="118"/>
      <c r="QKA37" s="118"/>
      <c r="QKB37" s="118"/>
      <c r="QKC37" s="118"/>
      <c r="QKD37" s="118"/>
      <c r="QKE37" s="118"/>
      <c r="QKF37" s="118"/>
      <c r="QKG37" s="118"/>
      <c r="QKH37" s="118"/>
      <c r="QKI37" s="118"/>
      <c r="QKJ37" s="118"/>
      <c r="QKK37" s="118"/>
      <c r="QKL37" s="118"/>
      <c r="QKM37" s="118"/>
      <c r="QKN37" s="118"/>
      <c r="QKO37" s="118"/>
      <c r="QKP37" s="118"/>
      <c r="QKQ37" s="118"/>
      <c r="QKR37" s="118"/>
      <c r="QKS37" s="118"/>
      <c r="QKT37" s="118"/>
      <c r="QKU37" s="118"/>
      <c r="QKV37" s="118"/>
      <c r="QKW37" s="118"/>
      <c r="QKX37" s="118"/>
      <c r="QKY37" s="118"/>
      <c r="QKZ37" s="118"/>
      <c r="QLA37" s="118"/>
      <c r="QLB37" s="118"/>
      <c r="QLC37" s="118"/>
      <c r="QLD37" s="118"/>
      <c r="QLE37" s="118"/>
      <c r="QLF37" s="118"/>
      <c r="QLG37" s="118"/>
      <c r="QLH37" s="118"/>
      <c r="QLI37" s="118"/>
      <c r="QLJ37" s="118"/>
      <c r="QLK37" s="118"/>
      <c r="QLL37" s="118"/>
      <c r="QLM37" s="118"/>
      <c r="QLN37" s="118"/>
      <c r="QLO37" s="118"/>
      <c r="QLP37" s="118"/>
      <c r="QLQ37" s="118"/>
      <c r="QLR37" s="118"/>
      <c r="QLS37" s="118"/>
      <c r="QLT37" s="118"/>
      <c r="QLU37" s="118"/>
      <c r="QLV37" s="118"/>
      <c r="QLW37" s="118"/>
      <c r="QLX37" s="118"/>
      <c r="QLY37" s="118"/>
      <c r="QLZ37" s="118"/>
      <c r="QMA37" s="118"/>
      <c r="QMB37" s="118"/>
      <c r="QMC37" s="118"/>
      <c r="QMD37" s="118"/>
      <c r="QME37" s="118"/>
      <c r="QMF37" s="118"/>
      <c r="QMG37" s="118"/>
      <c r="QMH37" s="118"/>
      <c r="QMI37" s="118"/>
      <c r="QMJ37" s="118"/>
      <c r="QMK37" s="118"/>
      <c r="QML37" s="118"/>
      <c r="QMM37" s="118"/>
      <c r="QMN37" s="118"/>
      <c r="QMO37" s="118"/>
      <c r="QMP37" s="118"/>
      <c r="QMQ37" s="118"/>
      <c r="QMR37" s="118"/>
      <c r="QMS37" s="118"/>
      <c r="QMT37" s="118"/>
      <c r="QMU37" s="118"/>
      <c r="QMV37" s="118"/>
      <c r="QMW37" s="118"/>
      <c r="QMX37" s="118"/>
      <c r="QMY37" s="118"/>
      <c r="QMZ37" s="118"/>
      <c r="QNA37" s="118"/>
      <c r="QNB37" s="118"/>
      <c r="QNC37" s="118"/>
      <c r="QND37" s="118"/>
      <c r="QNE37" s="118"/>
      <c r="QNF37" s="118"/>
      <c r="QNG37" s="118"/>
      <c r="QNH37" s="118"/>
      <c r="QNI37" s="118"/>
      <c r="QNJ37" s="118"/>
      <c r="QNK37" s="118"/>
      <c r="QNL37" s="118"/>
      <c r="QNM37" s="118"/>
      <c r="QNN37" s="118"/>
      <c r="QNO37" s="118"/>
      <c r="QNP37" s="118"/>
      <c r="QNQ37" s="118"/>
      <c r="QNR37" s="118"/>
      <c r="QNS37" s="118"/>
      <c r="QNT37" s="118"/>
      <c r="QNU37" s="118"/>
      <c r="QNV37" s="118"/>
      <c r="QNW37" s="118"/>
      <c r="QNX37" s="118"/>
      <c r="QNY37" s="118"/>
      <c r="QNZ37" s="118"/>
      <c r="QOA37" s="118"/>
      <c r="QOB37" s="118"/>
      <c r="QOC37" s="118"/>
      <c r="QOD37" s="118"/>
      <c r="QOE37" s="118"/>
      <c r="QOF37" s="118"/>
      <c r="QOG37" s="118"/>
      <c r="QOH37" s="118"/>
      <c r="QOI37" s="118"/>
      <c r="QOJ37" s="118"/>
      <c r="QOK37" s="118"/>
      <c r="QOL37" s="118"/>
      <c r="QOM37" s="118"/>
      <c r="QON37" s="118"/>
      <c r="QOO37" s="118"/>
      <c r="QOP37" s="118"/>
      <c r="QOQ37" s="118"/>
      <c r="QOR37" s="118"/>
      <c r="QOS37" s="118"/>
      <c r="QOT37" s="118"/>
      <c r="QOU37" s="118"/>
      <c r="QOV37" s="118"/>
      <c r="QOW37" s="118"/>
      <c r="QOX37" s="118"/>
      <c r="QOY37" s="118"/>
      <c r="QOZ37" s="118"/>
      <c r="QPA37" s="118"/>
      <c r="QPB37" s="118"/>
      <c r="QPC37" s="118"/>
      <c r="QPD37" s="118"/>
      <c r="QPE37" s="118"/>
      <c r="QPF37" s="118"/>
      <c r="QPG37" s="118"/>
      <c r="QPH37" s="118"/>
      <c r="QPI37" s="118"/>
      <c r="QPJ37" s="118"/>
      <c r="QPK37" s="118"/>
      <c r="QPL37" s="118"/>
      <c r="QPM37" s="118"/>
      <c r="QPN37" s="118"/>
      <c r="QPO37" s="118"/>
      <c r="QPP37" s="118"/>
      <c r="QPQ37" s="118"/>
      <c r="QPR37" s="118"/>
      <c r="QPS37" s="118"/>
      <c r="QPT37" s="118"/>
      <c r="QPU37" s="118"/>
      <c r="QPV37" s="118"/>
      <c r="QPW37" s="118"/>
      <c r="QPX37" s="118"/>
      <c r="QPY37" s="118"/>
      <c r="QPZ37" s="118"/>
      <c r="QQA37" s="118"/>
      <c r="QQB37" s="118"/>
      <c r="QQC37" s="118"/>
      <c r="QQD37" s="118"/>
      <c r="QQE37" s="118"/>
      <c r="QQF37" s="118"/>
      <c r="QQG37" s="118"/>
      <c r="QQH37" s="118"/>
      <c r="QQI37" s="118"/>
      <c r="QQJ37" s="118"/>
      <c r="QQK37" s="118"/>
      <c r="QQL37" s="118"/>
      <c r="QQM37" s="118"/>
      <c r="QQN37" s="118"/>
      <c r="QQO37" s="118"/>
      <c r="QQP37" s="118"/>
      <c r="QQQ37" s="118"/>
      <c r="QQR37" s="118"/>
      <c r="QQS37" s="118"/>
      <c r="QQT37" s="118"/>
      <c r="QQU37" s="118"/>
      <c r="QQV37" s="118"/>
      <c r="QQW37" s="118"/>
      <c r="QQX37" s="118"/>
      <c r="QQY37" s="118"/>
      <c r="QQZ37" s="118"/>
      <c r="QRA37" s="118"/>
      <c r="QRB37" s="118"/>
      <c r="QRC37" s="118"/>
      <c r="QRD37" s="118"/>
      <c r="QRE37" s="118"/>
      <c r="QRF37" s="118"/>
      <c r="QRG37" s="118"/>
      <c r="QRH37" s="118"/>
      <c r="QRI37" s="118"/>
      <c r="QRJ37" s="118"/>
      <c r="QRK37" s="118"/>
      <c r="QRL37" s="118"/>
      <c r="QRM37" s="118"/>
      <c r="QRN37" s="118"/>
      <c r="QRO37" s="118"/>
      <c r="QRP37" s="118"/>
      <c r="QRQ37" s="118"/>
      <c r="QRR37" s="118"/>
      <c r="QRS37" s="118"/>
      <c r="QRT37" s="118"/>
      <c r="QRU37" s="118"/>
      <c r="QRV37" s="118"/>
      <c r="QRW37" s="118"/>
      <c r="QRX37" s="118"/>
      <c r="QRY37" s="118"/>
      <c r="QRZ37" s="118"/>
      <c r="QSA37" s="118"/>
      <c r="QSB37" s="118"/>
      <c r="QSC37" s="118"/>
      <c r="QSD37" s="118"/>
      <c r="QSE37" s="118"/>
      <c r="QSF37" s="118"/>
      <c r="QSG37" s="118"/>
      <c r="QSH37" s="118"/>
      <c r="QSI37" s="118"/>
      <c r="QSJ37" s="118"/>
      <c r="QSK37" s="118"/>
      <c r="QSL37" s="118"/>
      <c r="QSM37" s="118"/>
      <c r="QSN37" s="118"/>
      <c r="QSO37" s="118"/>
      <c r="QSP37" s="118"/>
      <c r="QSQ37" s="118"/>
      <c r="QSR37" s="118"/>
      <c r="QSS37" s="118"/>
      <c r="QST37" s="118"/>
      <c r="QSU37" s="118"/>
      <c r="QSV37" s="118"/>
      <c r="QSW37" s="118"/>
      <c r="QSX37" s="118"/>
      <c r="QSY37" s="118"/>
      <c r="QSZ37" s="118"/>
      <c r="QTA37" s="118"/>
      <c r="QTB37" s="118"/>
      <c r="QTC37" s="118"/>
      <c r="QTD37" s="118"/>
      <c r="QTE37" s="118"/>
      <c r="QTF37" s="118"/>
      <c r="QTG37" s="118"/>
      <c r="QTH37" s="118"/>
      <c r="QTI37" s="118"/>
      <c r="QTJ37" s="118"/>
      <c r="QTK37" s="118"/>
      <c r="QTL37" s="118"/>
      <c r="QTM37" s="118"/>
      <c r="QTN37" s="118"/>
      <c r="QTO37" s="118"/>
      <c r="QTP37" s="118"/>
      <c r="QTQ37" s="118"/>
      <c r="QTR37" s="118"/>
      <c r="QTS37" s="118"/>
      <c r="QTT37" s="118"/>
      <c r="QTU37" s="118"/>
      <c r="QTV37" s="118"/>
      <c r="QTW37" s="118"/>
      <c r="QTX37" s="118"/>
      <c r="QTY37" s="118"/>
      <c r="QTZ37" s="118"/>
      <c r="QUA37" s="118"/>
      <c r="QUB37" s="118"/>
      <c r="QUC37" s="118"/>
      <c r="QUD37" s="118"/>
      <c r="QUE37" s="118"/>
      <c r="QUF37" s="118"/>
      <c r="QUG37" s="118"/>
      <c r="QUH37" s="118"/>
      <c r="QUI37" s="118"/>
      <c r="QUJ37" s="118"/>
      <c r="QUK37" s="118"/>
      <c r="QUL37" s="118"/>
      <c r="QUM37" s="118"/>
      <c r="QUN37" s="118"/>
      <c r="QUO37" s="118"/>
      <c r="QUP37" s="118"/>
      <c r="QUQ37" s="118"/>
      <c r="QUR37" s="118"/>
      <c r="QUS37" s="118"/>
      <c r="QUT37" s="118"/>
      <c r="QUU37" s="118"/>
      <c r="QUV37" s="118"/>
      <c r="QUW37" s="118"/>
      <c r="QUX37" s="118"/>
      <c r="QUY37" s="118"/>
      <c r="QUZ37" s="118"/>
      <c r="QVA37" s="118"/>
      <c r="QVB37" s="118"/>
      <c r="QVC37" s="118"/>
      <c r="QVD37" s="118"/>
      <c r="QVE37" s="118"/>
      <c r="QVF37" s="118"/>
      <c r="QVG37" s="118"/>
      <c r="QVH37" s="118"/>
      <c r="QVI37" s="118"/>
      <c r="QVJ37" s="118"/>
      <c r="QVK37" s="118"/>
      <c r="QVL37" s="118"/>
      <c r="QVM37" s="118"/>
      <c r="QVN37" s="118"/>
      <c r="QVO37" s="118"/>
      <c r="QVP37" s="118"/>
      <c r="QVQ37" s="118"/>
      <c r="QVR37" s="118"/>
      <c r="QVS37" s="118"/>
      <c r="QVT37" s="118"/>
      <c r="QVU37" s="118"/>
      <c r="QVV37" s="118"/>
      <c r="QVW37" s="118"/>
      <c r="QVX37" s="118"/>
      <c r="QVY37" s="118"/>
      <c r="QVZ37" s="118"/>
      <c r="QWA37" s="118"/>
      <c r="QWB37" s="118"/>
      <c r="QWC37" s="118"/>
      <c r="QWD37" s="118"/>
      <c r="QWE37" s="118"/>
      <c r="QWF37" s="118"/>
      <c r="QWG37" s="118"/>
      <c r="QWH37" s="118"/>
      <c r="QWI37" s="118"/>
      <c r="QWJ37" s="118"/>
      <c r="QWK37" s="118"/>
      <c r="QWL37" s="118"/>
      <c r="QWM37" s="118"/>
      <c r="QWN37" s="118"/>
      <c r="QWO37" s="118"/>
      <c r="QWP37" s="118"/>
      <c r="QWQ37" s="118"/>
      <c r="QWR37" s="118"/>
      <c r="QWS37" s="118"/>
      <c r="QWT37" s="118"/>
      <c r="QWU37" s="118"/>
      <c r="QWV37" s="118"/>
      <c r="QWW37" s="118"/>
      <c r="QWX37" s="118"/>
      <c r="QWY37" s="118"/>
      <c r="QWZ37" s="118"/>
      <c r="QXA37" s="118"/>
      <c r="QXB37" s="118"/>
      <c r="QXC37" s="118"/>
      <c r="QXD37" s="118"/>
      <c r="QXE37" s="118"/>
      <c r="QXF37" s="118"/>
      <c r="QXG37" s="118"/>
      <c r="QXH37" s="118"/>
      <c r="QXI37" s="118"/>
      <c r="QXJ37" s="118"/>
      <c r="QXK37" s="118"/>
      <c r="QXL37" s="118"/>
      <c r="QXM37" s="118"/>
      <c r="QXN37" s="118"/>
      <c r="QXO37" s="118"/>
      <c r="QXP37" s="118"/>
      <c r="QXQ37" s="118"/>
      <c r="QXR37" s="118"/>
      <c r="QXS37" s="118"/>
      <c r="QXT37" s="118"/>
      <c r="QXU37" s="118"/>
      <c r="QXV37" s="118"/>
      <c r="QXW37" s="118"/>
      <c r="QXX37" s="118"/>
      <c r="QXY37" s="118"/>
      <c r="QXZ37" s="118"/>
      <c r="QYA37" s="118"/>
      <c r="QYB37" s="118"/>
      <c r="QYC37" s="118"/>
      <c r="QYD37" s="118"/>
      <c r="QYE37" s="118"/>
      <c r="QYF37" s="118"/>
      <c r="QYG37" s="118"/>
      <c r="QYH37" s="118"/>
      <c r="QYI37" s="118"/>
      <c r="QYJ37" s="118"/>
      <c r="QYK37" s="118"/>
      <c r="QYL37" s="118"/>
      <c r="QYM37" s="118"/>
      <c r="QYN37" s="118"/>
      <c r="QYO37" s="118"/>
      <c r="QYP37" s="118"/>
      <c r="QYQ37" s="118"/>
      <c r="QYR37" s="118"/>
      <c r="QYS37" s="118"/>
      <c r="QYT37" s="118"/>
      <c r="QYU37" s="118"/>
      <c r="QYV37" s="118"/>
      <c r="QYW37" s="118"/>
      <c r="QYX37" s="118"/>
      <c r="QYY37" s="118"/>
      <c r="QYZ37" s="118"/>
      <c r="QZA37" s="118"/>
      <c r="QZB37" s="118"/>
      <c r="QZC37" s="118"/>
      <c r="QZD37" s="118"/>
      <c r="QZE37" s="118"/>
      <c r="QZF37" s="118"/>
      <c r="QZG37" s="118"/>
      <c r="QZH37" s="118"/>
      <c r="QZI37" s="118"/>
      <c r="QZJ37" s="118"/>
      <c r="QZK37" s="118"/>
      <c r="QZL37" s="118"/>
      <c r="QZM37" s="118"/>
      <c r="QZN37" s="118"/>
      <c r="QZO37" s="118"/>
      <c r="QZP37" s="118"/>
      <c r="QZQ37" s="118"/>
      <c r="QZR37" s="118"/>
      <c r="QZS37" s="118"/>
      <c r="QZT37" s="118"/>
      <c r="QZU37" s="118"/>
      <c r="QZV37" s="118"/>
      <c r="QZW37" s="118"/>
      <c r="QZX37" s="118"/>
      <c r="QZY37" s="118"/>
      <c r="QZZ37" s="118"/>
      <c r="RAA37" s="118"/>
      <c r="RAB37" s="118"/>
      <c r="RAC37" s="118"/>
      <c r="RAD37" s="118"/>
      <c r="RAE37" s="118"/>
      <c r="RAF37" s="118"/>
      <c r="RAG37" s="118"/>
      <c r="RAH37" s="118"/>
      <c r="RAI37" s="118"/>
      <c r="RAJ37" s="118"/>
      <c r="RAK37" s="118"/>
      <c r="RAL37" s="118"/>
      <c r="RAM37" s="118"/>
      <c r="RAN37" s="118"/>
      <c r="RAO37" s="118"/>
      <c r="RAP37" s="118"/>
      <c r="RAQ37" s="118"/>
      <c r="RAR37" s="118"/>
      <c r="RAS37" s="118"/>
      <c r="RAT37" s="118"/>
      <c r="RAU37" s="118"/>
      <c r="RAV37" s="118"/>
      <c r="RAW37" s="118"/>
      <c r="RAX37" s="118"/>
      <c r="RAY37" s="118"/>
      <c r="RAZ37" s="118"/>
      <c r="RBA37" s="118"/>
      <c r="RBB37" s="118"/>
      <c r="RBC37" s="118"/>
      <c r="RBD37" s="118"/>
      <c r="RBE37" s="118"/>
      <c r="RBF37" s="118"/>
      <c r="RBG37" s="118"/>
      <c r="RBH37" s="118"/>
      <c r="RBI37" s="118"/>
      <c r="RBJ37" s="118"/>
      <c r="RBK37" s="118"/>
      <c r="RBL37" s="118"/>
      <c r="RBM37" s="118"/>
      <c r="RBN37" s="118"/>
      <c r="RBO37" s="118"/>
      <c r="RBP37" s="118"/>
      <c r="RBQ37" s="118"/>
      <c r="RBR37" s="118"/>
      <c r="RBS37" s="118"/>
      <c r="RBT37" s="118"/>
      <c r="RBU37" s="118"/>
      <c r="RBV37" s="118"/>
      <c r="RBW37" s="118"/>
      <c r="RBX37" s="118"/>
      <c r="RBY37" s="118"/>
      <c r="RBZ37" s="118"/>
      <c r="RCA37" s="118"/>
      <c r="RCB37" s="118"/>
      <c r="RCC37" s="118"/>
      <c r="RCD37" s="118"/>
      <c r="RCE37" s="118"/>
      <c r="RCF37" s="118"/>
      <c r="RCG37" s="118"/>
      <c r="RCH37" s="118"/>
      <c r="RCI37" s="118"/>
      <c r="RCJ37" s="118"/>
      <c r="RCK37" s="118"/>
      <c r="RCL37" s="118"/>
      <c r="RCM37" s="118"/>
      <c r="RCN37" s="118"/>
      <c r="RCO37" s="118"/>
      <c r="RCP37" s="118"/>
      <c r="RCQ37" s="118"/>
      <c r="RCR37" s="118"/>
      <c r="RCS37" s="118"/>
      <c r="RCT37" s="118"/>
      <c r="RCU37" s="118"/>
      <c r="RCV37" s="118"/>
      <c r="RCW37" s="118"/>
      <c r="RCX37" s="118"/>
      <c r="RCY37" s="118"/>
      <c r="RCZ37" s="118"/>
      <c r="RDA37" s="118"/>
      <c r="RDB37" s="118"/>
      <c r="RDC37" s="118"/>
      <c r="RDD37" s="118"/>
      <c r="RDE37" s="118"/>
      <c r="RDF37" s="118"/>
      <c r="RDG37" s="118"/>
      <c r="RDH37" s="118"/>
      <c r="RDI37" s="118"/>
      <c r="RDJ37" s="118"/>
      <c r="RDK37" s="118"/>
      <c r="RDL37" s="118"/>
      <c r="RDM37" s="118"/>
      <c r="RDN37" s="118"/>
      <c r="RDO37" s="118"/>
      <c r="RDP37" s="118"/>
      <c r="RDQ37" s="118"/>
      <c r="RDR37" s="118"/>
      <c r="RDS37" s="118"/>
      <c r="RDT37" s="118"/>
      <c r="RDU37" s="118"/>
      <c r="RDV37" s="118"/>
      <c r="RDW37" s="118"/>
      <c r="RDX37" s="118"/>
      <c r="RDY37" s="118"/>
      <c r="RDZ37" s="118"/>
      <c r="REA37" s="118"/>
      <c r="REB37" s="118"/>
      <c r="REC37" s="118"/>
      <c r="RED37" s="118"/>
      <c r="REE37" s="118"/>
      <c r="REF37" s="118"/>
      <c r="REG37" s="118"/>
      <c r="REH37" s="118"/>
      <c r="REI37" s="118"/>
      <c r="REJ37" s="118"/>
      <c r="REK37" s="118"/>
      <c r="REL37" s="118"/>
      <c r="REM37" s="118"/>
      <c r="REN37" s="118"/>
      <c r="REO37" s="118"/>
      <c r="REP37" s="118"/>
      <c r="REQ37" s="118"/>
      <c r="RER37" s="118"/>
      <c r="RES37" s="118"/>
      <c r="RET37" s="118"/>
      <c r="REU37" s="118"/>
      <c r="REV37" s="118"/>
      <c r="REW37" s="118"/>
      <c r="REX37" s="118"/>
      <c r="REY37" s="118"/>
      <c r="REZ37" s="118"/>
      <c r="RFA37" s="118"/>
      <c r="RFB37" s="118"/>
      <c r="RFC37" s="118"/>
      <c r="RFD37" s="118"/>
      <c r="RFE37" s="118"/>
      <c r="RFF37" s="118"/>
      <c r="RFG37" s="118"/>
      <c r="RFH37" s="118"/>
      <c r="RFI37" s="118"/>
      <c r="RFJ37" s="118"/>
      <c r="RFK37" s="118"/>
      <c r="RFL37" s="118"/>
      <c r="RFM37" s="118"/>
      <c r="RFN37" s="118"/>
      <c r="RFO37" s="118"/>
      <c r="RFP37" s="118"/>
      <c r="RFQ37" s="118"/>
      <c r="RFR37" s="118"/>
      <c r="RFS37" s="118"/>
      <c r="RFT37" s="118"/>
      <c r="RFU37" s="118"/>
      <c r="RFV37" s="118"/>
      <c r="RFW37" s="118"/>
      <c r="RFX37" s="118"/>
      <c r="RFY37" s="118"/>
      <c r="RFZ37" s="118"/>
      <c r="RGA37" s="118"/>
      <c r="RGB37" s="118"/>
      <c r="RGC37" s="118"/>
      <c r="RGD37" s="118"/>
      <c r="RGE37" s="118"/>
      <c r="RGF37" s="118"/>
      <c r="RGG37" s="118"/>
      <c r="RGH37" s="118"/>
      <c r="RGI37" s="118"/>
      <c r="RGJ37" s="118"/>
      <c r="RGK37" s="118"/>
      <c r="RGL37" s="118"/>
      <c r="RGM37" s="118"/>
      <c r="RGN37" s="118"/>
      <c r="RGO37" s="118"/>
      <c r="RGP37" s="118"/>
      <c r="RGQ37" s="118"/>
      <c r="RGR37" s="118"/>
      <c r="RGS37" s="118"/>
      <c r="RGT37" s="118"/>
      <c r="RGU37" s="118"/>
      <c r="RGV37" s="118"/>
      <c r="RGW37" s="118"/>
      <c r="RGX37" s="118"/>
      <c r="RGY37" s="118"/>
      <c r="RGZ37" s="118"/>
      <c r="RHA37" s="118"/>
      <c r="RHB37" s="118"/>
      <c r="RHC37" s="118"/>
      <c r="RHD37" s="118"/>
      <c r="RHE37" s="118"/>
      <c r="RHF37" s="118"/>
      <c r="RHG37" s="118"/>
      <c r="RHH37" s="118"/>
      <c r="RHI37" s="118"/>
      <c r="RHJ37" s="118"/>
      <c r="RHK37" s="118"/>
      <c r="RHL37" s="118"/>
      <c r="RHM37" s="118"/>
      <c r="RHN37" s="118"/>
      <c r="RHO37" s="118"/>
      <c r="RHP37" s="118"/>
      <c r="RHQ37" s="118"/>
      <c r="RHR37" s="118"/>
      <c r="RHS37" s="118"/>
      <c r="RHT37" s="118"/>
      <c r="RHU37" s="118"/>
      <c r="RHV37" s="118"/>
      <c r="RHW37" s="118"/>
      <c r="RHX37" s="118"/>
      <c r="RHY37" s="118"/>
      <c r="RHZ37" s="118"/>
      <c r="RIA37" s="118"/>
      <c r="RIB37" s="118"/>
      <c r="RIC37" s="118"/>
      <c r="RID37" s="118"/>
      <c r="RIE37" s="118"/>
      <c r="RIF37" s="118"/>
      <c r="RIG37" s="118"/>
      <c r="RIH37" s="118"/>
      <c r="RII37" s="118"/>
      <c r="RIJ37" s="118"/>
      <c r="RIK37" s="118"/>
      <c r="RIL37" s="118"/>
      <c r="RIM37" s="118"/>
      <c r="RIN37" s="118"/>
      <c r="RIO37" s="118"/>
      <c r="RIP37" s="118"/>
      <c r="RIQ37" s="118"/>
      <c r="RIR37" s="118"/>
      <c r="RIS37" s="118"/>
      <c r="RIT37" s="118"/>
      <c r="RIU37" s="118"/>
      <c r="RIV37" s="118"/>
      <c r="RIW37" s="118"/>
      <c r="RIX37" s="118"/>
      <c r="RIY37" s="118"/>
      <c r="RIZ37" s="118"/>
      <c r="RJA37" s="118"/>
      <c r="RJB37" s="118"/>
      <c r="RJC37" s="118"/>
      <c r="RJD37" s="118"/>
      <c r="RJE37" s="118"/>
      <c r="RJF37" s="118"/>
      <c r="RJG37" s="118"/>
      <c r="RJH37" s="118"/>
      <c r="RJI37" s="118"/>
      <c r="RJJ37" s="118"/>
      <c r="RJK37" s="118"/>
      <c r="RJL37" s="118"/>
      <c r="RJM37" s="118"/>
      <c r="RJN37" s="118"/>
      <c r="RJO37" s="118"/>
      <c r="RJP37" s="118"/>
      <c r="RJQ37" s="118"/>
      <c r="RJR37" s="118"/>
      <c r="RJS37" s="118"/>
      <c r="RJT37" s="118"/>
      <c r="RJU37" s="118"/>
      <c r="RJV37" s="118"/>
      <c r="RJW37" s="118"/>
      <c r="RJX37" s="118"/>
      <c r="RJY37" s="118"/>
      <c r="RJZ37" s="118"/>
      <c r="RKA37" s="118"/>
      <c r="RKB37" s="118"/>
      <c r="RKC37" s="118"/>
      <c r="RKD37" s="118"/>
      <c r="RKE37" s="118"/>
      <c r="RKF37" s="118"/>
      <c r="RKG37" s="118"/>
      <c r="RKH37" s="118"/>
      <c r="RKI37" s="118"/>
      <c r="RKJ37" s="118"/>
      <c r="RKK37" s="118"/>
      <c r="RKL37" s="118"/>
      <c r="RKM37" s="118"/>
      <c r="RKN37" s="118"/>
      <c r="RKO37" s="118"/>
      <c r="RKP37" s="118"/>
      <c r="RKQ37" s="118"/>
      <c r="RKR37" s="118"/>
      <c r="RKS37" s="118"/>
      <c r="RKT37" s="118"/>
      <c r="RKU37" s="118"/>
      <c r="RKV37" s="118"/>
      <c r="RKW37" s="118"/>
      <c r="RKX37" s="118"/>
      <c r="RKY37" s="118"/>
      <c r="RKZ37" s="118"/>
      <c r="RLA37" s="118"/>
      <c r="RLB37" s="118"/>
      <c r="RLC37" s="118"/>
      <c r="RLD37" s="118"/>
      <c r="RLE37" s="118"/>
      <c r="RLF37" s="118"/>
      <c r="RLG37" s="118"/>
      <c r="RLH37" s="118"/>
      <c r="RLI37" s="118"/>
      <c r="RLJ37" s="118"/>
      <c r="RLK37" s="118"/>
      <c r="RLL37" s="118"/>
      <c r="RLM37" s="118"/>
      <c r="RLN37" s="118"/>
      <c r="RLO37" s="118"/>
      <c r="RLP37" s="118"/>
      <c r="RLQ37" s="118"/>
      <c r="RLR37" s="118"/>
      <c r="RLS37" s="118"/>
      <c r="RLT37" s="118"/>
      <c r="RLU37" s="118"/>
      <c r="RLV37" s="118"/>
      <c r="RLW37" s="118"/>
      <c r="RLX37" s="118"/>
      <c r="RLY37" s="118"/>
      <c r="RLZ37" s="118"/>
      <c r="RMA37" s="118"/>
      <c r="RMB37" s="118"/>
      <c r="RMC37" s="118"/>
      <c r="RMD37" s="118"/>
      <c r="RME37" s="118"/>
      <c r="RMF37" s="118"/>
      <c r="RMG37" s="118"/>
      <c r="RMH37" s="118"/>
      <c r="RMI37" s="118"/>
      <c r="RMJ37" s="118"/>
      <c r="RMK37" s="118"/>
      <c r="RML37" s="118"/>
      <c r="RMM37" s="118"/>
      <c r="RMN37" s="118"/>
      <c r="RMO37" s="118"/>
      <c r="RMP37" s="118"/>
      <c r="RMQ37" s="118"/>
      <c r="RMR37" s="118"/>
      <c r="RMS37" s="118"/>
      <c r="RMT37" s="118"/>
      <c r="RMU37" s="118"/>
      <c r="RMV37" s="118"/>
      <c r="RMW37" s="118"/>
      <c r="RMX37" s="118"/>
      <c r="RMY37" s="118"/>
      <c r="RMZ37" s="118"/>
      <c r="RNA37" s="118"/>
      <c r="RNB37" s="118"/>
      <c r="RNC37" s="118"/>
      <c r="RND37" s="118"/>
      <c r="RNE37" s="118"/>
      <c r="RNF37" s="118"/>
      <c r="RNG37" s="118"/>
      <c r="RNH37" s="118"/>
      <c r="RNI37" s="118"/>
      <c r="RNJ37" s="118"/>
      <c r="RNK37" s="118"/>
      <c r="RNL37" s="118"/>
      <c r="RNM37" s="118"/>
      <c r="RNN37" s="118"/>
      <c r="RNO37" s="118"/>
      <c r="RNP37" s="118"/>
      <c r="RNQ37" s="118"/>
      <c r="RNR37" s="118"/>
      <c r="RNS37" s="118"/>
      <c r="RNT37" s="118"/>
      <c r="RNU37" s="118"/>
      <c r="RNV37" s="118"/>
      <c r="RNW37" s="118"/>
      <c r="RNX37" s="118"/>
      <c r="RNY37" s="118"/>
      <c r="RNZ37" s="118"/>
      <c r="ROA37" s="118"/>
      <c r="ROB37" s="118"/>
      <c r="ROC37" s="118"/>
      <c r="ROD37" s="118"/>
      <c r="ROE37" s="118"/>
      <c r="ROF37" s="118"/>
      <c r="ROG37" s="118"/>
      <c r="ROH37" s="118"/>
      <c r="ROI37" s="118"/>
      <c r="ROJ37" s="118"/>
      <c r="ROK37" s="118"/>
      <c r="ROL37" s="118"/>
      <c r="ROM37" s="118"/>
      <c r="RON37" s="118"/>
      <c r="ROO37" s="118"/>
      <c r="ROP37" s="118"/>
      <c r="ROQ37" s="118"/>
      <c r="ROR37" s="118"/>
      <c r="ROS37" s="118"/>
      <c r="ROT37" s="118"/>
      <c r="ROU37" s="118"/>
      <c r="ROV37" s="118"/>
      <c r="ROW37" s="118"/>
      <c r="ROX37" s="118"/>
      <c r="ROY37" s="118"/>
      <c r="ROZ37" s="118"/>
      <c r="RPA37" s="118"/>
      <c r="RPB37" s="118"/>
      <c r="RPC37" s="118"/>
      <c r="RPD37" s="118"/>
      <c r="RPE37" s="118"/>
      <c r="RPF37" s="118"/>
      <c r="RPG37" s="118"/>
      <c r="RPH37" s="118"/>
      <c r="RPI37" s="118"/>
      <c r="RPJ37" s="118"/>
      <c r="RPK37" s="118"/>
      <c r="RPL37" s="118"/>
      <c r="RPM37" s="118"/>
      <c r="RPN37" s="118"/>
      <c r="RPO37" s="118"/>
      <c r="RPP37" s="118"/>
      <c r="RPQ37" s="118"/>
      <c r="RPR37" s="118"/>
      <c r="RPS37" s="118"/>
      <c r="RPT37" s="118"/>
      <c r="RPU37" s="118"/>
      <c r="RPV37" s="118"/>
      <c r="RPW37" s="118"/>
      <c r="RPX37" s="118"/>
      <c r="RPY37" s="118"/>
      <c r="RPZ37" s="118"/>
      <c r="RQA37" s="118"/>
      <c r="RQB37" s="118"/>
      <c r="RQC37" s="118"/>
      <c r="RQD37" s="118"/>
      <c r="RQE37" s="118"/>
      <c r="RQF37" s="118"/>
      <c r="RQG37" s="118"/>
      <c r="RQH37" s="118"/>
      <c r="RQI37" s="118"/>
      <c r="RQJ37" s="118"/>
      <c r="RQK37" s="118"/>
      <c r="RQL37" s="118"/>
      <c r="RQM37" s="118"/>
      <c r="RQN37" s="118"/>
      <c r="RQO37" s="118"/>
      <c r="RQP37" s="118"/>
      <c r="RQQ37" s="118"/>
      <c r="RQR37" s="118"/>
      <c r="RQS37" s="118"/>
      <c r="RQT37" s="118"/>
      <c r="RQU37" s="118"/>
      <c r="RQV37" s="118"/>
      <c r="RQW37" s="118"/>
      <c r="RQX37" s="118"/>
      <c r="RQY37" s="118"/>
      <c r="RQZ37" s="118"/>
      <c r="RRA37" s="118"/>
      <c r="RRB37" s="118"/>
      <c r="RRC37" s="118"/>
      <c r="RRD37" s="118"/>
      <c r="RRE37" s="118"/>
      <c r="RRF37" s="118"/>
      <c r="RRG37" s="118"/>
      <c r="RRH37" s="118"/>
      <c r="RRI37" s="118"/>
      <c r="RRJ37" s="118"/>
      <c r="RRK37" s="118"/>
      <c r="RRL37" s="118"/>
      <c r="RRM37" s="118"/>
      <c r="RRN37" s="118"/>
      <c r="RRO37" s="118"/>
      <c r="RRP37" s="118"/>
      <c r="RRQ37" s="118"/>
      <c r="RRR37" s="118"/>
      <c r="RRS37" s="118"/>
      <c r="RRT37" s="118"/>
      <c r="RRU37" s="118"/>
      <c r="RRV37" s="118"/>
      <c r="RRW37" s="118"/>
      <c r="RRX37" s="118"/>
      <c r="RRY37" s="118"/>
      <c r="RRZ37" s="118"/>
      <c r="RSA37" s="118"/>
      <c r="RSB37" s="118"/>
      <c r="RSC37" s="118"/>
      <c r="RSD37" s="118"/>
      <c r="RSE37" s="118"/>
      <c r="RSF37" s="118"/>
      <c r="RSG37" s="118"/>
      <c r="RSH37" s="118"/>
      <c r="RSI37" s="118"/>
      <c r="RSJ37" s="118"/>
      <c r="RSK37" s="118"/>
      <c r="RSL37" s="118"/>
      <c r="RSM37" s="118"/>
      <c r="RSN37" s="118"/>
      <c r="RSO37" s="118"/>
      <c r="RSP37" s="118"/>
      <c r="RSQ37" s="118"/>
      <c r="RSR37" s="118"/>
      <c r="RSS37" s="118"/>
      <c r="RST37" s="118"/>
      <c r="RSU37" s="118"/>
      <c r="RSV37" s="118"/>
      <c r="RSW37" s="118"/>
      <c r="RSX37" s="118"/>
      <c r="RSY37" s="118"/>
      <c r="RSZ37" s="118"/>
      <c r="RTA37" s="118"/>
      <c r="RTB37" s="118"/>
      <c r="RTC37" s="118"/>
      <c r="RTD37" s="118"/>
      <c r="RTE37" s="118"/>
      <c r="RTF37" s="118"/>
      <c r="RTG37" s="118"/>
      <c r="RTH37" s="118"/>
      <c r="RTI37" s="118"/>
      <c r="RTJ37" s="118"/>
      <c r="RTK37" s="118"/>
      <c r="RTL37" s="118"/>
      <c r="RTM37" s="118"/>
      <c r="RTN37" s="118"/>
      <c r="RTO37" s="118"/>
      <c r="RTP37" s="118"/>
      <c r="RTQ37" s="118"/>
      <c r="RTR37" s="118"/>
      <c r="RTS37" s="118"/>
      <c r="RTT37" s="118"/>
      <c r="RTU37" s="118"/>
      <c r="RTV37" s="118"/>
      <c r="RTW37" s="118"/>
      <c r="RTX37" s="118"/>
      <c r="RTY37" s="118"/>
      <c r="RTZ37" s="118"/>
      <c r="RUA37" s="118"/>
      <c r="RUB37" s="118"/>
      <c r="RUC37" s="118"/>
      <c r="RUD37" s="118"/>
      <c r="RUE37" s="118"/>
      <c r="RUF37" s="118"/>
      <c r="RUG37" s="118"/>
      <c r="RUH37" s="118"/>
      <c r="RUI37" s="118"/>
      <c r="RUJ37" s="118"/>
      <c r="RUK37" s="118"/>
      <c r="RUL37" s="118"/>
      <c r="RUM37" s="118"/>
      <c r="RUN37" s="118"/>
      <c r="RUO37" s="118"/>
      <c r="RUP37" s="118"/>
      <c r="RUQ37" s="118"/>
      <c r="RUR37" s="118"/>
      <c r="RUS37" s="118"/>
      <c r="RUT37" s="118"/>
      <c r="RUU37" s="118"/>
      <c r="RUV37" s="118"/>
      <c r="RUW37" s="118"/>
      <c r="RUX37" s="118"/>
      <c r="RUY37" s="118"/>
      <c r="RUZ37" s="118"/>
      <c r="RVA37" s="118"/>
      <c r="RVB37" s="118"/>
      <c r="RVC37" s="118"/>
      <c r="RVD37" s="118"/>
      <c r="RVE37" s="118"/>
      <c r="RVF37" s="118"/>
      <c r="RVG37" s="118"/>
      <c r="RVH37" s="118"/>
      <c r="RVI37" s="118"/>
      <c r="RVJ37" s="118"/>
      <c r="RVK37" s="118"/>
      <c r="RVL37" s="118"/>
      <c r="RVM37" s="118"/>
      <c r="RVN37" s="118"/>
      <c r="RVO37" s="118"/>
      <c r="RVP37" s="118"/>
      <c r="RVQ37" s="118"/>
      <c r="RVR37" s="118"/>
      <c r="RVS37" s="118"/>
      <c r="RVT37" s="118"/>
      <c r="RVU37" s="118"/>
      <c r="RVV37" s="118"/>
      <c r="RVW37" s="118"/>
      <c r="RVX37" s="118"/>
      <c r="RVY37" s="118"/>
      <c r="RVZ37" s="118"/>
      <c r="RWA37" s="118"/>
      <c r="RWB37" s="118"/>
      <c r="RWC37" s="118"/>
      <c r="RWD37" s="118"/>
      <c r="RWE37" s="118"/>
      <c r="RWF37" s="118"/>
      <c r="RWG37" s="118"/>
      <c r="RWH37" s="118"/>
      <c r="RWI37" s="118"/>
      <c r="RWJ37" s="118"/>
      <c r="RWK37" s="118"/>
      <c r="RWL37" s="118"/>
      <c r="RWM37" s="118"/>
      <c r="RWN37" s="118"/>
      <c r="RWO37" s="118"/>
      <c r="RWP37" s="118"/>
      <c r="RWQ37" s="118"/>
      <c r="RWR37" s="118"/>
      <c r="RWS37" s="118"/>
      <c r="RWT37" s="118"/>
      <c r="RWU37" s="118"/>
      <c r="RWV37" s="118"/>
      <c r="RWW37" s="118"/>
      <c r="RWX37" s="118"/>
      <c r="RWY37" s="118"/>
      <c r="RWZ37" s="118"/>
      <c r="RXA37" s="118"/>
      <c r="RXB37" s="118"/>
      <c r="RXC37" s="118"/>
      <c r="RXD37" s="118"/>
      <c r="RXE37" s="118"/>
      <c r="RXF37" s="118"/>
      <c r="RXG37" s="118"/>
      <c r="RXH37" s="118"/>
      <c r="RXI37" s="118"/>
      <c r="RXJ37" s="118"/>
      <c r="RXK37" s="118"/>
      <c r="RXL37" s="118"/>
      <c r="RXM37" s="118"/>
      <c r="RXN37" s="118"/>
      <c r="RXO37" s="118"/>
      <c r="RXP37" s="118"/>
      <c r="RXQ37" s="118"/>
      <c r="RXR37" s="118"/>
      <c r="RXS37" s="118"/>
      <c r="RXT37" s="118"/>
      <c r="RXU37" s="118"/>
      <c r="RXV37" s="118"/>
      <c r="RXW37" s="118"/>
      <c r="RXX37" s="118"/>
      <c r="RXY37" s="118"/>
      <c r="RXZ37" s="118"/>
      <c r="RYA37" s="118"/>
      <c r="RYB37" s="118"/>
      <c r="RYC37" s="118"/>
      <c r="RYD37" s="118"/>
      <c r="RYE37" s="118"/>
      <c r="RYF37" s="118"/>
      <c r="RYG37" s="118"/>
      <c r="RYH37" s="118"/>
      <c r="RYI37" s="118"/>
      <c r="RYJ37" s="118"/>
      <c r="RYK37" s="118"/>
      <c r="RYL37" s="118"/>
      <c r="RYM37" s="118"/>
      <c r="RYN37" s="118"/>
      <c r="RYO37" s="118"/>
      <c r="RYP37" s="118"/>
      <c r="RYQ37" s="118"/>
      <c r="RYR37" s="118"/>
      <c r="RYS37" s="118"/>
      <c r="RYT37" s="118"/>
      <c r="RYU37" s="118"/>
      <c r="RYV37" s="118"/>
      <c r="RYW37" s="118"/>
      <c r="RYX37" s="118"/>
      <c r="RYY37" s="118"/>
      <c r="RYZ37" s="118"/>
      <c r="RZA37" s="118"/>
      <c r="RZB37" s="118"/>
      <c r="RZC37" s="118"/>
      <c r="RZD37" s="118"/>
      <c r="RZE37" s="118"/>
      <c r="RZF37" s="118"/>
      <c r="RZG37" s="118"/>
      <c r="RZH37" s="118"/>
      <c r="RZI37" s="118"/>
      <c r="RZJ37" s="118"/>
      <c r="RZK37" s="118"/>
      <c r="RZL37" s="118"/>
      <c r="RZM37" s="118"/>
      <c r="RZN37" s="118"/>
      <c r="RZO37" s="118"/>
      <c r="RZP37" s="118"/>
      <c r="RZQ37" s="118"/>
      <c r="RZR37" s="118"/>
      <c r="RZS37" s="118"/>
      <c r="RZT37" s="118"/>
      <c r="RZU37" s="118"/>
      <c r="RZV37" s="118"/>
      <c r="RZW37" s="118"/>
      <c r="RZX37" s="118"/>
      <c r="RZY37" s="118"/>
      <c r="RZZ37" s="118"/>
      <c r="SAA37" s="118"/>
      <c r="SAB37" s="118"/>
      <c r="SAC37" s="118"/>
      <c r="SAD37" s="118"/>
      <c r="SAE37" s="118"/>
      <c r="SAF37" s="118"/>
      <c r="SAG37" s="118"/>
      <c r="SAH37" s="118"/>
      <c r="SAI37" s="118"/>
      <c r="SAJ37" s="118"/>
      <c r="SAK37" s="118"/>
      <c r="SAL37" s="118"/>
      <c r="SAM37" s="118"/>
      <c r="SAN37" s="118"/>
      <c r="SAO37" s="118"/>
      <c r="SAP37" s="118"/>
      <c r="SAQ37" s="118"/>
      <c r="SAR37" s="118"/>
      <c r="SAS37" s="118"/>
      <c r="SAT37" s="118"/>
      <c r="SAU37" s="118"/>
      <c r="SAV37" s="118"/>
      <c r="SAW37" s="118"/>
      <c r="SAX37" s="118"/>
      <c r="SAY37" s="118"/>
      <c r="SAZ37" s="118"/>
      <c r="SBA37" s="118"/>
      <c r="SBB37" s="118"/>
      <c r="SBC37" s="118"/>
      <c r="SBD37" s="118"/>
      <c r="SBE37" s="118"/>
      <c r="SBF37" s="118"/>
      <c r="SBG37" s="118"/>
      <c r="SBH37" s="118"/>
      <c r="SBI37" s="118"/>
      <c r="SBJ37" s="118"/>
      <c r="SBK37" s="118"/>
      <c r="SBL37" s="118"/>
      <c r="SBM37" s="118"/>
      <c r="SBN37" s="118"/>
      <c r="SBO37" s="118"/>
      <c r="SBP37" s="118"/>
      <c r="SBQ37" s="118"/>
      <c r="SBR37" s="118"/>
      <c r="SBS37" s="118"/>
      <c r="SBT37" s="118"/>
      <c r="SBU37" s="118"/>
      <c r="SBV37" s="118"/>
      <c r="SBW37" s="118"/>
      <c r="SBX37" s="118"/>
      <c r="SBY37" s="118"/>
      <c r="SBZ37" s="118"/>
      <c r="SCA37" s="118"/>
      <c r="SCB37" s="118"/>
      <c r="SCC37" s="118"/>
      <c r="SCD37" s="118"/>
      <c r="SCE37" s="118"/>
      <c r="SCF37" s="118"/>
      <c r="SCG37" s="118"/>
      <c r="SCH37" s="118"/>
      <c r="SCI37" s="118"/>
      <c r="SCJ37" s="118"/>
      <c r="SCK37" s="118"/>
      <c r="SCL37" s="118"/>
      <c r="SCM37" s="118"/>
      <c r="SCN37" s="118"/>
      <c r="SCO37" s="118"/>
      <c r="SCP37" s="118"/>
      <c r="SCQ37" s="118"/>
      <c r="SCR37" s="118"/>
      <c r="SCS37" s="118"/>
      <c r="SCT37" s="118"/>
      <c r="SCU37" s="118"/>
      <c r="SCV37" s="118"/>
      <c r="SCW37" s="118"/>
      <c r="SCX37" s="118"/>
      <c r="SCY37" s="118"/>
      <c r="SCZ37" s="118"/>
      <c r="SDA37" s="118"/>
      <c r="SDB37" s="118"/>
      <c r="SDC37" s="118"/>
      <c r="SDD37" s="118"/>
      <c r="SDE37" s="118"/>
      <c r="SDF37" s="118"/>
      <c r="SDG37" s="118"/>
      <c r="SDH37" s="118"/>
      <c r="SDI37" s="118"/>
      <c r="SDJ37" s="118"/>
      <c r="SDK37" s="118"/>
      <c r="SDL37" s="118"/>
      <c r="SDM37" s="118"/>
      <c r="SDN37" s="118"/>
      <c r="SDO37" s="118"/>
      <c r="SDP37" s="118"/>
      <c r="SDQ37" s="118"/>
      <c r="SDR37" s="118"/>
      <c r="SDS37" s="118"/>
      <c r="SDT37" s="118"/>
      <c r="SDU37" s="118"/>
      <c r="SDV37" s="118"/>
      <c r="SDW37" s="118"/>
      <c r="SDX37" s="118"/>
      <c r="SDY37" s="118"/>
      <c r="SDZ37" s="118"/>
      <c r="SEA37" s="118"/>
      <c r="SEB37" s="118"/>
      <c r="SEC37" s="118"/>
      <c r="SED37" s="118"/>
      <c r="SEE37" s="118"/>
      <c r="SEF37" s="118"/>
      <c r="SEG37" s="118"/>
      <c r="SEH37" s="118"/>
      <c r="SEI37" s="118"/>
      <c r="SEJ37" s="118"/>
      <c r="SEK37" s="118"/>
      <c r="SEL37" s="118"/>
      <c r="SEM37" s="118"/>
      <c r="SEN37" s="118"/>
      <c r="SEO37" s="118"/>
      <c r="SEP37" s="118"/>
      <c r="SEQ37" s="118"/>
      <c r="SER37" s="118"/>
      <c r="SES37" s="118"/>
      <c r="SET37" s="118"/>
      <c r="SEU37" s="118"/>
      <c r="SEV37" s="118"/>
      <c r="SEW37" s="118"/>
      <c r="SEX37" s="118"/>
      <c r="SEY37" s="118"/>
      <c r="SEZ37" s="118"/>
      <c r="SFA37" s="118"/>
      <c r="SFB37" s="118"/>
      <c r="SFC37" s="118"/>
      <c r="SFD37" s="118"/>
      <c r="SFE37" s="118"/>
      <c r="SFF37" s="118"/>
      <c r="SFG37" s="118"/>
      <c r="SFH37" s="118"/>
      <c r="SFI37" s="118"/>
      <c r="SFJ37" s="118"/>
      <c r="SFK37" s="118"/>
      <c r="SFL37" s="118"/>
      <c r="SFM37" s="118"/>
      <c r="SFN37" s="118"/>
      <c r="SFO37" s="118"/>
      <c r="SFP37" s="118"/>
      <c r="SFQ37" s="118"/>
      <c r="SFR37" s="118"/>
      <c r="SFS37" s="118"/>
      <c r="SFT37" s="118"/>
      <c r="SFU37" s="118"/>
      <c r="SFV37" s="118"/>
      <c r="SFW37" s="118"/>
      <c r="SFX37" s="118"/>
      <c r="SFY37" s="118"/>
      <c r="SFZ37" s="118"/>
      <c r="SGA37" s="118"/>
      <c r="SGB37" s="118"/>
      <c r="SGC37" s="118"/>
      <c r="SGD37" s="118"/>
      <c r="SGE37" s="118"/>
      <c r="SGF37" s="118"/>
      <c r="SGG37" s="118"/>
      <c r="SGH37" s="118"/>
      <c r="SGI37" s="118"/>
      <c r="SGJ37" s="118"/>
      <c r="SGK37" s="118"/>
      <c r="SGL37" s="118"/>
      <c r="SGM37" s="118"/>
      <c r="SGN37" s="118"/>
      <c r="SGO37" s="118"/>
      <c r="SGP37" s="118"/>
      <c r="SGQ37" s="118"/>
      <c r="SGR37" s="118"/>
      <c r="SGS37" s="118"/>
      <c r="SGT37" s="118"/>
      <c r="SGU37" s="118"/>
      <c r="SGV37" s="118"/>
      <c r="SGW37" s="118"/>
      <c r="SGX37" s="118"/>
      <c r="SGY37" s="118"/>
      <c r="SGZ37" s="118"/>
      <c r="SHA37" s="118"/>
      <c r="SHB37" s="118"/>
      <c r="SHC37" s="118"/>
      <c r="SHD37" s="118"/>
      <c r="SHE37" s="118"/>
      <c r="SHF37" s="118"/>
      <c r="SHG37" s="118"/>
      <c r="SHH37" s="118"/>
      <c r="SHI37" s="118"/>
      <c r="SHJ37" s="118"/>
      <c r="SHK37" s="118"/>
      <c r="SHL37" s="118"/>
      <c r="SHM37" s="118"/>
      <c r="SHN37" s="118"/>
      <c r="SHO37" s="118"/>
      <c r="SHP37" s="118"/>
      <c r="SHQ37" s="118"/>
      <c r="SHR37" s="118"/>
      <c r="SHS37" s="118"/>
      <c r="SHT37" s="118"/>
      <c r="SHU37" s="118"/>
      <c r="SHV37" s="118"/>
      <c r="SHW37" s="118"/>
      <c r="SHX37" s="118"/>
      <c r="SHY37" s="118"/>
      <c r="SHZ37" s="118"/>
      <c r="SIA37" s="118"/>
      <c r="SIB37" s="118"/>
      <c r="SIC37" s="118"/>
      <c r="SID37" s="118"/>
      <c r="SIE37" s="118"/>
      <c r="SIF37" s="118"/>
      <c r="SIG37" s="118"/>
      <c r="SIH37" s="118"/>
      <c r="SII37" s="118"/>
      <c r="SIJ37" s="118"/>
      <c r="SIK37" s="118"/>
      <c r="SIL37" s="118"/>
      <c r="SIM37" s="118"/>
      <c r="SIN37" s="118"/>
      <c r="SIO37" s="118"/>
      <c r="SIP37" s="118"/>
      <c r="SIQ37" s="118"/>
      <c r="SIR37" s="118"/>
      <c r="SIS37" s="118"/>
      <c r="SIT37" s="118"/>
      <c r="SIU37" s="118"/>
      <c r="SIV37" s="118"/>
      <c r="SIW37" s="118"/>
      <c r="SIX37" s="118"/>
      <c r="SIY37" s="118"/>
      <c r="SIZ37" s="118"/>
      <c r="SJA37" s="118"/>
      <c r="SJB37" s="118"/>
      <c r="SJC37" s="118"/>
      <c r="SJD37" s="118"/>
      <c r="SJE37" s="118"/>
      <c r="SJF37" s="118"/>
      <c r="SJG37" s="118"/>
      <c r="SJH37" s="118"/>
      <c r="SJI37" s="118"/>
      <c r="SJJ37" s="118"/>
      <c r="SJK37" s="118"/>
      <c r="SJL37" s="118"/>
      <c r="SJM37" s="118"/>
      <c r="SJN37" s="118"/>
      <c r="SJO37" s="118"/>
      <c r="SJP37" s="118"/>
      <c r="SJQ37" s="118"/>
      <c r="SJR37" s="118"/>
      <c r="SJS37" s="118"/>
      <c r="SJT37" s="118"/>
      <c r="SJU37" s="118"/>
      <c r="SJV37" s="118"/>
      <c r="SJW37" s="118"/>
      <c r="SJX37" s="118"/>
      <c r="SJY37" s="118"/>
      <c r="SJZ37" s="118"/>
      <c r="SKA37" s="118"/>
      <c r="SKB37" s="118"/>
      <c r="SKC37" s="118"/>
      <c r="SKD37" s="118"/>
      <c r="SKE37" s="118"/>
      <c r="SKF37" s="118"/>
      <c r="SKG37" s="118"/>
      <c r="SKH37" s="118"/>
      <c r="SKI37" s="118"/>
      <c r="SKJ37" s="118"/>
      <c r="SKK37" s="118"/>
      <c r="SKL37" s="118"/>
      <c r="SKM37" s="118"/>
      <c r="SKN37" s="118"/>
      <c r="SKO37" s="118"/>
      <c r="SKP37" s="118"/>
      <c r="SKQ37" s="118"/>
      <c r="SKR37" s="118"/>
      <c r="SKS37" s="118"/>
      <c r="SKT37" s="118"/>
      <c r="SKU37" s="118"/>
      <c r="SKV37" s="118"/>
      <c r="SKW37" s="118"/>
      <c r="SKX37" s="118"/>
      <c r="SKY37" s="118"/>
      <c r="SKZ37" s="118"/>
      <c r="SLA37" s="118"/>
      <c r="SLB37" s="118"/>
      <c r="SLC37" s="118"/>
      <c r="SLD37" s="118"/>
      <c r="SLE37" s="118"/>
      <c r="SLF37" s="118"/>
      <c r="SLG37" s="118"/>
      <c r="SLH37" s="118"/>
      <c r="SLI37" s="118"/>
      <c r="SLJ37" s="118"/>
      <c r="SLK37" s="118"/>
      <c r="SLL37" s="118"/>
      <c r="SLM37" s="118"/>
      <c r="SLN37" s="118"/>
      <c r="SLO37" s="118"/>
      <c r="SLP37" s="118"/>
      <c r="SLQ37" s="118"/>
      <c r="SLR37" s="118"/>
      <c r="SLS37" s="118"/>
      <c r="SLT37" s="118"/>
      <c r="SLU37" s="118"/>
      <c r="SLV37" s="118"/>
      <c r="SLW37" s="118"/>
      <c r="SLX37" s="118"/>
      <c r="SLY37" s="118"/>
      <c r="SLZ37" s="118"/>
      <c r="SMA37" s="118"/>
      <c r="SMB37" s="118"/>
      <c r="SMC37" s="118"/>
      <c r="SMD37" s="118"/>
      <c r="SME37" s="118"/>
      <c r="SMF37" s="118"/>
      <c r="SMG37" s="118"/>
      <c r="SMH37" s="118"/>
      <c r="SMI37" s="118"/>
      <c r="SMJ37" s="118"/>
      <c r="SMK37" s="118"/>
      <c r="SML37" s="118"/>
      <c r="SMM37" s="118"/>
      <c r="SMN37" s="118"/>
      <c r="SMO37" s="118"/>
      <c r="SMP37" s="118"/>
      <c r="SMQ37" s="118"/>
      <c r="SMR37" s="118"/>
      <c r="SMS37" s="118"/>
      <c r="SMT37" s="118"/>
      <c r="SMU37" s="118"/>
      <c r="SMV37" s="118"/>
      <c r="SMW37" s="118"/>
      <c r="SMX37" s="118"/>
      <c r="SMY37" s="118"/>
      <c r="SMZ37" s="118"/>
      <c r="SNA37" s="118"/>
      <c r="SNB37" s="118"/>
      <c r="SNC37" s="118"/>
      <c r="SND37" s="118"/>
      <c r="SNE37" s="118"/>
      <c r="SNF37" s="118"/>
      <c r="SNG37" s="118"/>
      <c r="SNH37" s="118"/>
      <c r="SNI37" s="118"/>
      <c r="SNJ37" s="118"/>
      <c r="SNK37" s="118"/>
      <c r="SNL37" s="118"/>
      <c r="SNM37" s="118"/>
      <c r="SNN37" s="118"/>
      <c r="SNO37" s="118"/>
      <c r="SNP37" s="118"/>
      <c r="SNQ37" s="118"/>
      <c r="SNR37" s="118"/>
      <c r="SNS37" s="118"/>
      <c r="SNT37" s="118"/>
      <c r="SNU37" s="118"/>
      <c r="SNV37" s="118"/>
      <c r="SNW37" s="118"/>
      <c r="SNX37" s="118"/>
      <c r="SNY37" s="118"/>
      <c r="SNZ37" s="118"/>
      <c r="SOA37" s="118"/>
      <c r="SOB37" s="118"/>
      <c r="SOC37" s="118"/>
      <c r="SOD37" s="118"/>
      <c r="SOE37" s="118"/>
      <c r="SOF37" s="118"/>
      <c r="SOG37" s="118"/>
      <c r="SOH37" s="118"/>
      <c r="SOI37" s="118"/>
      <c r="SOJ37" s="118"/>
      <c r="SOK37" s="118"/>
      <c r="SOL37" s="118"/>
      <c r="SOM37" s="118"/>
      <c r="SON37" s="118"/>
      <c r="SOO37" s="118"/>
      <c r="SOP37" s="118"/>
      <c r="SOQ37" s="118"/>
      <c r="SOR37" s="118"/>
      <c r="SOS37" s="118"/>
      <c r="SOT37" s="118"/>
      <c r="SOU37" s="118"/>
      <c r="SOV37" s="118"/>
      <c r="SOW37" s="118"/>
      <c r="SOX37" s="118"/>
      <c r="SOY37" s="118"/>
      <c r="SOZ37" s="118"/>
      <c r="SPA37" s="118"/>
      <c r="SPB37" s="118"/>
      <c r="SPC37" s="118"/>
      <c r="SPD37" s="118"/>
      <c r="SPE37" s="118"/>
      <c r="SPF37" s="118"/>
      <c r="SPG37" s="118"/>
      <c r="SPH37" s="118"/>
      <c r="SPI37" s="118"/>
      <c r="SPJ37" s="118"/>
      <c r="SPK37" s="118"/>
      <c r="SPL37" s="118"/>
      <c r="SPM37" s="118"/>
      <c r="SPN37" s="118"/>
      <c r="SPO37" s="118"/>
      <c r="SPP37" s="118"/>
      <c r="SPQ37" s="118"/>
      <c r="SPR37" s="118"/>
      <c r="SPS37" s="118"/>
      <c r="SPT37" s="118"/>
      <c r="SPU37" s="118"/>
      <c r="SPV37" s="118"/>
      <c r="SPW37" s="118"/>
      <c r="SPX37" s="118"/>
      <c r="SPY37" s="118"/>
      <c r="SPZ37" s="118"/>
      <c r="SQA37" s="118"/>
      <c r="SQB37" s="118"/>
      <c r="SQC37" s="118"/>
      <c r="SQD37" s="118"/>
      <c r="SQE37" s="118"/>
      <c r="SQF37" s="118"/>
      <c r="SQG37" s="118"/>
      <c r="SQH37" s="118"/>
      <c r="SQI37" s="118"/>
      <c r="SQJ37" s="118"/>
      <c r="SQK37" s="118"/>
      <c r="SQL37" s="118"/>
      <c r="SQM37" s="118"/>
      <c r="SQN37" s="118"/>
      <c r="SQO37" s="118"/>
      <c r="SQP37" s="118"/>
      <c r="SQQ37" s="118"/>
      <c r="SQR37" s="118"/>
      <c r="SQS37" s="118"/>
      <c r="SQT37" s="118"/>
      <c r="SQU37" s="118"/>
      <c r="SQV37" s="118"/>
      <c r="SQW37" s="118"/>
      <c r="SQX37" s="118"/>
      <c r="SQY37" s="118"/>
      <c r="SQZ37" s="118"/>
      <c r="SRA37" s="118"/>
      <c r="SRB37" s="118"/>
      <c r="SRC37" s="118"/>
      <c r="SRD37" s="118"/>
      <c r="SRE37" s="118"/>
      <c r="SRF37" s="118"/>
      <c r="SRG37" s="118"/>
      <c r="SRH37" s="118"/>
      <c r="SRI37" s="118"/>
      <c r="SRJ37" s="118"/>
      <c r="SRK37" s="118"/>
      <c r="SRL37" s="118"/>
      <c r="SRM37" s="118"/>
      <c r="SRN37" s="118"/>
      <c r="SRO37" s="118"/>
      <c r="SRP37" s="118"/>
      <c r="SRQ37" s="118"/>
      <c r="SRR37" s="118"/>
      <c r="SRS37" s="118"/>
      <c r="SRT37" s="118"/>
      <c r="SRU37" s="118"/>
      <c r="SRV37" s="118"/>
      <c r="SRW37" s="118"/>
      <c r="SRX37" s="118"/>
      <c r="SRY37" s="118"/>
      <c r="SRZ37" s="118"/>
      <c r="SSA37" s="118"/>
      <c r="SSB37" s="118"/>
      <c r="SSC37" s="118"/>
      <c r="SSD37" s="118"/>
      <c r="SSE37" s="118"/>
      <c r="SSF37" s="118"/>
      <c r="SSG37" s="118"/>
      <c r="SSH37" s="118"/>
      <c r="SSI37" s="118"/>
      <c r="SSJ37" s="118"/>
      <c r="SSK37" s="118"/>
      <c r="SSL37" s="118"/>
      <c r="SSM37" s="118"/>
      <c r="SSN37" s="118"/>
      <c r="SSO37" s="118"/>
      <c r="SSP37" s="118"/>
      <c r="SSQ37" s="118"/>
      <c r="SSR37" s="118"/>
      <c r="SSS37" s="118"/>
      <c r="SST37" s="118"/>
      <c r="SSU37" s="118"/>
      <c r="SSV37" s="118"/>
      <c r="SSW37" s="118"/>
      <c r="SSX37" s="118"/>
      <c r="SSY37" s="118"/>
      <c r="SSZ37" s="118"/>
      <c r="STA37" s="118"/>
      <c r="STB37" s="118"/>
      <c r="STC37" s="118"/>
      <c r="STD37" s="118"/>
      <c r="STE37" s="118"/>
      <c r="STF37" s="118"/>
      <c r="STG37" s="118"/>
      <c r="STH37" s="118"/>
      <c r="STI37" s="118"/>
      <c r="STJ37" s="118"/>
      <c r="STK37" s="118"/>
      <c r="STL37" s="118"/>
      <c r="STM37" s="118"/>
      <c r="STN37" s="118"/>
      <c r="STO37" s="118"/>
      <c r="STP37" s="118"/>
      <c r="STQ37" s="118"/>
      <c r="STR37" s="118"/>
      <c r="STS37" s="118"/>
      <c r="STT37" s="118"/>
      <c r="STU37" s="118"/>
      <c r="STV37" s="118"/>
      <c r="STW37" s="118"/>
      <c r="STX37" s="118"/>
      <c r="STY37" s="118"/>
      <c r="STZ37" s="118"/>
      <c r="SUA37" s="118"/>
      <c r="SUB37" s="118"/>
      <c r="SUC37" s="118"/>
      <c r="SUD37" s="118"/>
      <c r="SUE37" s="118"/>
      <c r="SUF37" s="118"/>
      <c r="SUG37" s="118"/>
      <c r="SUH37" s="118"/>
      <c r="SUI37" s="118"/>
      <c r="SUJ37" s="118"/>
      <c r="SUK37" s="118"/>
      <c r="SUL37" s="118"/>
      <c r="SUM37" s="118"/>
      <c r="SUN37" s="118"/>
      <c r="SUO37" s="118"/>
      <c r="SUP37" s="118"/>
      <c r="SUQ37" s="118"/>
      <c r="SUR37" s="118"/>
      <c r="SUS37" s="118"/>
      <c r="SUT37" s="118"/>
      <c r="SUU37" s="118"/>
      <c r="SUV37" s="118"/>
      <c r="SUW37" s="118"/>
      <c r="SUX37" s="118"/>
      <c r="SUY37" s="118"/>
      <c r="SUZ37" s="118"/>
      <c r="SVA37" s="118"/>
      <c r="SVB37" s="118"/>
      <c r="SVC37" s="118"/>
      <c r="SVD37" s="118"/>
      <c r="SVE37" s="118"/>
      <c r="SVF37" s="118"/>
      <c r="SVG37" s="118"/>
      <c r="SVH37" s="118"/>
      <c r="SVI37" s="118"/>
      <c r="SVJ37" s="118"/>
      <c r="SVK37" s="118"/>
      <c r="SVL37" s="118"/>
      <c r="SVM37" s="118"/>
      <c r="SVN37" s="118"/>
      <c r="SVO37" s="118"/>
      <c r="SVP37" s="118"/>
      <c r="SVQ37" s="118"/>
      <c r="SVR37" s="118"/>
      <c r="SVS37" s="118"/>
      <c r="SVT37" s="118"/>
      <c r="SVU37" s="118"/>
      <c r="SVV37" s="118"/>
      <c r="SVW37" s="118"/>
      <c r="SVX37" s="118"/>
      <c r="SVY37" s="118"/>
      <c r="SVZ37" s="118"/>
      <c r="SWA37" s="118"/>
      <c r="SWB37" s="118"/>
      <c r="SWC37" s="118"/>
      <c r="SWD37" s="118"/>
      <c r="SWE37" s="118"/>
      <c r="SWF37" s="118"/>
      <c r="SWG37" s="118"/>
      <c r="SWH37" s="118"/>
      <c r="SWI37" s="118"/>
      <c r="SWJ37" s="118"/>
      <c r="SWK37" s="118"/>
      <c r="SWL37" s="118"/>
      <c r="SWM37" s="118"/>
      <c r="SWN37" s="118"/>
      <c r="SWO37" s="118"/>
      <c r="SWP37" s="118"/>
      <c r="SWQ37" s="118"/>
      <c r="SWR37" s="118"/>
      <c r="SWS37" s="118"/>
      <c r="SWT37" s="118"/>
      <c r="SWU37" s="118"/>
      <c r="SWV37" s="118"/>
      <c r="SWW37" s="118"/>
      <c r="SWX37" s="118"/>
      <c r="SWY37" s="118"/>
      <c r="SWZ37" s="118"/>
      <c r="SXA37" s="118"/>
      <c r="SXB37" s="118"/>
      <c r="SXC37" s="118"/>
      <c r="SXD37" s="118"/>
      <c r="SXE37" s="118"/>
      <c r="SXF37" s="118"/>
      <c r="SXG37" s="118"/>
      <c r="SXH37" s="118"/>
      <c r="SXI37" s="118"/>
      <c r="SXJ37" s="118"/>
      <c r="SXK37" s="118"/>
      <c r="SXL37" s="118"/>
      <c r="SXM37" s="118"/>
      <c r="SXN37" s="118"/>
      <c r="SXO37" s="118"/>
      <c r="SXP37" s="118"/>
      <c r="SXQ37" s="118"/>
      <c r="SXR37" s="118"/>
      <c r="SXS37" s="118"/>
      <c r="SXT37" s="118"/>
      <c r="SXU37" s="118"/>
      <c r="SXV37" s="118"/>
      <c r="SXW37" s="118"/>
      <c r="SXX37" s="118"/>
      <c r="SXY37" s="118"/>
      <c r="SXZ37" s="118"/>
      <c r="SYA37" s="118"/>
      <c r="SYB37" s="118"/>
      <c r="SYC37" s="118"/>
      <c r="SYD37" s="118"/>
      <c r="SYE37" s="118"/>
      <c r="SYF37" s="118"/>
      <c r="SYG37" s="118"/>
      <c r="SYH37" s="118"/>
      <c r="SYI37" s="118"/>
      <c r="SYJ37" s="118"/>
      <c r="SYK37" s="118"/>
      <c r="SYL37" s="118"/>
      <c r="SYM37" s="118"/>
      <c r="SYN37" s="118"/>
      <c r="SYO37" s="118"/>
      <c r="SYP37" s="118"/>
      <c r="SYQ37" s="118"/>
      <c r="SYR37" s="118"/>
      <c r="SYS37" s="118"/>
      <c r="SYT37" s="118"/>
      <c r="SYU37" s="118"/>
      <c r="SYV37" s="118"/>
      <c r="SYW37" s="118"/>
      <c r="SYX37" s="118"/>
      <c r="SYY37" s="118"/>
      <c r="SYZ37" s="118"/>
      <c r="SZA37" s="118"/>
      <c r="SZB37" s="118"/>
      <c r="SZC37" s="118"/>
      <c r="SZD37" s="118"/>
      <c r="SZE37" s="118"/>
      <c r="SZF37" s="118"/>
      <c r="SZG37" s="118"/>
      <c r="SZH37" s="118"/>
      <c r="SZI37" s="118"/>
      <c r="SZJ37" s="118"/>
      <c r="SZK37" s="118"/>
      <c r="SZL37" s="118"/>
      <c r="SZM37" s="118"/>
      <c r="SZN37" s="118"/>
      <c r="SZO37" s="118"/>
      <c r="SZP37" s="118"/>
      <c r="SZQ37" s="118"/>
      <c r="SZR37" s="118"/>
      <c r="SZS37" s="118"/>
      <c r="SZT37" s="118"/>
      <c r="SZU37" s="118"/>
      <c r="SZV37" s="118"/>
      <c r="SZW37" s="118"/>
      <c r="SZX37" s="118"/>
      <c r="SZY37" s="118"/>
      <c r="SZZ37" s="118"/>
      <c r="TAA37" s="118"/>
      <c r="TAB37" s="118"/>
      <c r="TAC37" s="118"/>
      <c r="TAD37" s="118"/>
      <c r="TAE37" s="118"/>
      <c r="TAF37" s="118"/>
      <c r="TAG37" s="118"/>
      <c r="TAH37" s="118"/>
      <c r="TAI37" s="118"/>
      <c r="TAJ37" s="118"/>
      <c r="TAK37" s="118"/>
      <c r="TAL37" s="118"/>
      <c r="TAM37" s="118"/>
      <c r="TAN37" s="118"/>
      <c r="TAO37" s="118"/>
      <c r="TAP37" s="118"/>
      <c r="TAQ37" s="118"/>
      <c r="TAR37" s="118"/>
      <c r="TAS37" s="118"/>
      <c r="TAT37" s="118"/>
      <c r="TAU37" s="118"/>
      <c r="TAV37" s="118"/>
      <c r="TAW37" s="118"/>
      <c r="TAX37" s="118"/>
      <c r="TAY37" s="118"/>
      <c r="TAZ37" s="118"/>
      <c r="TBA37" s="118"/>
      <c r="TBB37" s="118"/>
      <c r="TBC37" s="118"/>
      <c r="TBD37" s="118"/>
      <c r="TBE37" s="118"/>
      <c r="TBF37" s="118"/>
      <c r="TBG37" s="118"/>
      <c r="TBH37" s="118"/>
      <c r="TBI37" s="118"/>
      <c r="TBJ37" s="118"/>
      <c r="TBK37" s="118"/>
      <c r="TBL37" s="118"/>
      <c r="TBM37" s="118"/>
      <c r="TBN37" s="118"/>
      <c r="TBO37" s="118"/>
      <c r="TBP37" s="118"/>
      <c r="TBQ37" s="118"/>
      <c r="TBR37" s="118"/>
      <c r="TBS37" s="118"/>
      <c r="TBT37" s="118"/>
      <c r="TBU37" s="118"/>
      <c r="TBV37" s="118"/>
      <c r="TBW37" s="118"/>
      <c r="TBX37" s="118"/>
      <c r="TBY37" s="118"/>
      <c r="TBZ37" s="118"/>
      <c r="TCA37" s="118"/>
      <c r="TCB37" s="118"/>
      <c r="TCC37" s="118"/>
      <c r="TCD37" s="118"/>
      <c r="TCE37" s="118"/>
      <c r="TCF37" s="118"/>
      <c r="TCG37" s="118"/>
      <c r="TCH37" s="118"/>
      <c r="TCI37" s="118"/>
      <c r="TCJ37" s="118"/>
      <c r="TCK37" s="118"/>
      <c r="TCL37" s="118"/>
      <c r="TCM37" s="118"/>
      <c r="TCN37" s="118"/>
      <c r="TCO37" s="118"/>
      <c r="TCP37" s="118"/>
      <c r="TCQ37" s="118"/>
      <c r="TCR37" s="118"/>
      <c r="TCS37" s="118"/>
      <c r="TCT37" s="118"/>
      <c r="TCU37" s="118"/>
      <c r="TCV37" s="118"/>
      <c r="TCW37" s="118"/>
      <c r="TCX37" s="118"/>
      <c r="TCY37" s="118"/>
      <c r="TCZ37" s="118"/>
      <c r="TDA37" s="118"/>
      <c r="TDB37" s="118"/>
      <c r="TDC37" s="118"/>
      <c r="TDD37" s="118"/>
      <c r="TDE37" s="118"/>
      <c r="TDF37" s="118"/>
      <c r="TDG37" s="118"/>
      <c r="TDH37" s="118"/>
      <c r="TDI37" s="118"/>
      <c r="TDJ37" s="118"/>
      <c r="TDK37" s="118"/>
      <c r="TDL37" s="118"/>
      <c r="TDM37" s="118"/>
      <c r="TDN37" s="118"/>
      <c r="TDO37" s="118"/>
      <c r="TDP37" s="118"/>
      <c r="TDQ37" s="118"/>
      <c r="TDR37" s="118"/>
      <c r="TDS37" s="118"/>
      <c r="TDT37" s="118"/>
      <c r="TDU37" s="118"/>
      <c r="TDV37" s="118"/>
      <c r="TDW37" s="118"/>
      <c r="TDX37" s="118"/>
      <c r="TDY37" s="118"/>
      <c r="TDZ37" s="118"/>
      <c r="TEA37" s="118"/>
      <c r="TEB37" s="118"/>
      <c r="TEC37" s="118"/>
      <c r="TED37" s="118"/>
      <c r="TEE37" s="118"/>
      <c r="TEF37" s="118"/>
      <c r="TEG37" s="118"/>
      <c r="TEH37" s="118"/>
      <c r="TEI37" s="118"/>
      <c r="TEJ37" s="118"/>
      <c r="TEK37" s="118"/>
      <c r="TEL37" s="118"/>
      <c r="TEM37" s="118"/>
      <c r="TEN37" s="118"/>
      <c r="TEO37" s="118"/>
      <c r="TEP37" s="118"/>
      <c r="TEQ37" s="118"/>
      <c r="TER37" s="118"/>
      <c r="TES37" s="118"/>
      <c r="TET37" s="118"/>
      <c r="TEU37" s="118"/>
      <c r="TEV37" s="118"/>
      <c r="TEW37" s="118"/>
      <c r="TEX37" s="118"/>
      <c r="TEY37" s="118"/>
      <c r="TEZ37" s="118"/>
      <c r="TFA37" s="118"/>
      <c r="TFB37" s="118"/>
      <c r="TFC37" s="118"/>
      <c r="TFD37" s="118"/>
      <c r="TFE37" s="118"/>
      <c r="TFF37" s="118"/>
      <c r="TFG37" s="118"/>
      <c r="TFH37" s="118"/>
      <c r="TFI37" s="118"/>
      <c r="TFJ37" s="118"/>
      <c r="TFK37" s="118"/>
      <c r="TFL37" s="118"/>
      <c r="TFM37" s="118"/>
      <c r="TFN37" s="118"/>
      <c r="TFO37" s="118"/>
      <c r="TFP37" s="118"/>
      <c r="TFQ37" s="118"/>
      <c r="TFR37" s="118"/>
      <c r="TFS37" s="118"/>
      <c r="TFT37" s="118"/>
      <c r="TFU37" s="118"/>
      <c r="TFV37" s="118"/>
      <c r="TFW37" s="118"/>
      <c r="TFX37" s="118"/>
      <c r="TFY37" s="118"/>
      <c r="TFZ37" s="118"/>
      <c r="TGA37" s="118"/>
      <c r="TGB37" s="118"/>
      <c r="TGC37" s="118"/>
      <c r="TGD37" s="118"/>
      <c r="TGE37" s="118"/>
      <c r="TGF37" s="118"/>
      <c r="TGG37" s="118"/>
      <c r="TGH37" s="118"/>
      <c r="TGI37" s="118"/>
      <c r="TGJ37" s="118"/>
      <c r="TGK37" s="118"/>
      <c r="TGL37" s="118"/>
      <c r="TGM37" s="118"/>
      <c r="TGN37" s="118"/>
      <c r="TGO37" s="118"/>
      <c r="TGP37" s="118"/>
      <c r="TGQ37" s="118"/>
      <c r="TGR37" s="118"/>
      <c r="TGS37" s="118"/>
      <c r="TGT37" s="118"/>
      <c r="TGU37" s="118"/>
      <c r="TGV37" s="118"/>
      <c r="TGW37" s="118"/>
      <c r="TGX37" s="118"/>
      <c r="TGY37" s="118"/>
      <c r="TGZ37" s="118"/>
      <c r="THA37" s="118"/>
      <c r="THB37" s="118"/>
      <c r="THC37" s="118"/>
      <c r="THD37" s="118"/>
      <c r="THE37" s="118"/>
      <c r="THF37" s="118"/>
      <c r="THG37" s="118"/>
      <c r="THH37" s="118"/>
      <c r="THI37" s="118"/>
      <c r="THJ37" s="118"/>
      <c r="THK37" s="118"/>
      <c r="THL37" s="118"/>
      <c r="THM37" s="118"/>
      <c r="THN37" s="118"/>
      <c r="THO37" s="118"/>
      <c r="THP37" s="118"/>
      <c r="THQ37" s="118"/>
      <c r="THR37" s="118"/>
      <c r="THS37" s="118"/>
      <c r="THT37" s="118"/>
      <c r="THU37" s="118"/>
      <c r="THV37" s="118"/>
      <c r="THW37" s="118"/>
      <c r="THX37" s="118"/>
      <c r="THY37" s="118"/>
      <c r="THZ37" s="118"/>
      <c r="TIA37" s="118"/>
      <c r="TIB37" s="118"/>
      <c r="TIC37" s="118"/>
      <c r="TID37" s="118"/>
      <c r="TIE37" s="118"/>
      <c r="TIF37" s="118"/>
      <c r="TIG37" s="118"/>
      <c r="TIH37" s="118"/>
      <c r="TII37" s="118"/>
      <c r="TIJ37" s="118"/>
      <c r="TIK37" s="118"/>
      <c r="TIL37" s="118"/>
      <c r="TIM37" s="118"/>
      <c r="TIN37" s="118"/>
      <c r="TIO37" s="118"/>
      <c r="TIP37" s="118"/>
      <c r="TIQ37" s="118"/>
      <c r="TIR37" s="118"/>
      <c r="TIS37" s="118"/>
      <c r="TIT37" s="118"/>
      <c r="TIU37" s="118"/>
      <c r="TIV37" s="118"/>
      <c r="TIW37" s="118"/>
      <c r="TIX37" s="118"/>
      <c r="TIY37" s="118"/>
      <c r="TIZ37" s="118"/>
      <c r="TJA37" s="118"/>
      <c r="TJB37" s="118"/>
      <c r="TJC37" s="118"/>
      <c r="TJD37" s="118"/>
      <c r="TJE37" s="118"/>
      <c r="TJF37" s="118"/>
      <c r="TJG37" s="118"/>
      <c r="TJH37" s="118"/>
      <c r="TJI37" s="118"/>
      <c r="TJJ37" s="118"/>
      <c r="TJK37" s="118"/>
      <c r="TJL37" s="118"/>
      <c r="TJM37" s="118"/>
      <c r="TJN37" s="118"/>
      <c r="TJO37" s="118"/>
      <c r="TJP37" s="118"/>
      <c r="TJQ37" s="118"/>
      <c r="TJR37" s="118"/>
      <c r="TJS37" s="118"/>
      <c r="TJT37" s="118"/>
      <c r="TJU37" s="118"/>
      <c r="TJV37" s="118"/>
      <c r="TJW37" s="118"/>
      <c r="TJX37" s="118"/>
      <c r="TJY37" s="118"/>
      <c r="TJZ37" s="118"/>
      <c r="TKA37" s="118"/>
      <c r="TKB37" s="118"/>
      <c r="TKC37" s="118"/>
      <c r="TKD37" s="118"/>
      <c r="TKE37" s="118"/>
      <c r="TKF37" s="118"/>
      <c r="TKG37" s="118"/>
      <c r="TKH37" s="118"/>
      <c r="TKI37" s="118"/>
      <c r="TKJ37" s="118"/>
      <c r="TKK37" s="118"/>
      <c r="TKL37" s="118"/>
      <c r="TKM37" s="118"/>
      <c r="TKN37" s="118"/>
      <c r="TKO37" s="118"/>
      <c r="TKP37" s="118"/>
      <c r="TKQ37" s="118"/>
      <c r="TKR37" s="118"/>
      <c r="TKS37" s="118"/>
      <c r="TKT37" s="118"/>
      <c r="TKU37" s="118"/>
      <c r="TKV37" s="118"/>
      <c r="TKW37" s="118"/>
      <c r="TKX37" s="118"/>
      <c r="TKY37" s="118"/>
      <c r="TKZ37" s="118"/>
      <c r="TLA37" s="118"/>
      <c r="TLB37" s="118"/>
      <c r="TLC37" s="118"/>
      <c r="TLD37" s="118"/>
      <c r="TLE37" s="118"/>
      <c r="TLF37" s="118"/>
      <c r="TLG37" s="118"/>
      <c r="TLH37" s="118"/>
      <c r="TLI37" s="118"/>
      <c r="TLJ37" s="118"/>
      <c r="TLK37" s="118"/>
      <c r="TLL37" s="118"/>
      <c r="TLM37" s="118"/>
      <c r="TLN37" s="118"/>
      <c r="TLO37" s="118"/>
      <c r="TLP37" s="118"/>
      <c r="TLQ37" s="118"/>
      <c r="TLR37" s="118"/>
      <c r="TLS37" s="118"/>
      <c r="TLT37" s="118"/>
      <c r="TLU37" s="118"/>
      <c r="TLV37" s="118"/>
      <c r="TLW37" s="118"/>
      <c r="TLX37" s="118"/>
      <c r="TLY37" s="118"/>
      <c r="TLZ37" s="118"/>
      <c r="TMA37" s="118"/>
      <c r="TMB37" s="118"/>
      <c r="TMC37" s="118"/>
      <c r="TMD37" s="118"/>
      <c r="TME37" s="118"/>
      <c r="TMF37" s="118"/>
      <c r="TMG37" s="118"/>
      <c r="TMH37" s="118"/>
      <c r="TMI37" s="118"/>
      <c r="TMJ37" s="118"/>
      <c r="TMK37" s="118"/>
      <c r="TML37" s="118"/>
      <c r="TMM37" s="118"/>
      <c r="TMN37" s="118"/>
      <c r="TMO37" s="118"/>
      <c r="TMP37" s="118"/>
      <c r="TMQ37" s="118"/>
      <c r="TMR37" s="118"/>
      <c r="TMS37" s="118"/>
      <c r="TMT37" s="118"/>
      <c r="TMU37" s="118"/>
      <c r="TMV37" s="118"/>
      <c r="TMW37" s="118"/>
      <c r="TMX37" s="118"/>
      <c r="TMY37" s="118"/>
      <c r="TMZ37" s="118"/>
      <c r="TNA37" s="118"/>
      <c r="TNB37" s="118"/>
      <c r="TNC37" s="118"/>
      <c r="TND37" s="118"/>
      <c r="TNE37" s="118"/>
      <c r="TNF37" s="118"/>
      <c r="TNG37" s="118"/>
      <c r="TNH37" s="118"/>
      <c r="TNI37" s="118"/>
      <c r="TNJ37" s="118"/>
      <c r="TNK37" s="118"/>
      <c r="TNL37" s="118"/>
      <c r="TNM37" s="118"/>
      <c r="TNN37" s="118"/>
      <c r="TNO37" s="118"/>
      <c r="TNP37" s="118"/>
      <c r="TNQ37" s="118"/>
      <c r="TNR37" s="118"/>
      <c r="TNS37" s="118"/>
      <c r="TNT37" s="118"/>
      <c r="TNU37" s="118"/>
      <c r="TNV37" s="118"/>
      <c r="TNW37" s="118"/>
      <c r="TNX37" s="118"/>
      <c r="TNY37" s="118"/>
      <c r="TNZ37" s="118"/>
      <c r="TOA37" s="118"/>
      <c r="TOB37" s="118"/>
      <c r="TOC37" s="118"/>
      <c r="TOD37" s="118"/>
      <c r="TOE37" s="118"/>
      <c r="TOF37" s="118"/>
      <c r="TOG37" s="118"/>
      <c r="TOH37" s="118"/>
      <c r="TOI37" s="118"/>
      <c r="TOJ37" s="118"/>
      <c r="TOK37" s="118"/>
      <c r="TOL37" s="118"/>
      <c r="TOM37" s="118"/>
      <c r="TON37" s="118"/>
      <c r="TOO37" s="118"/>
      <c r="TOP37" s="118"/>
      <c r="TOQ37" s="118"/>
      <c r="TOR37" s="118"/>
      <c r="TOS37" s="118"/>
      <c r="TOT37" s="118"/>
      <c r="TOU37" s="118"/>
      <c r="TOV37" s="118"/>
      <c r="TOW37" s="118"/>
      <c r="TOX37" s="118"/>
      <c r="TOY37" s="118"/>
      <c r="TOZ37" s="118"/>
      <c r="TPA37" s="118"/>
      <c r="TPB37" s="118"/>
      <c r="TPC37" s="118"/>
      <c r="TPD37" s="118"/>
      <c r="TPE37" s="118"/>
      <c r="TPF37" s="118"/>
      <c r="TPG37" s="118"/>
      <c r="TPH37" s="118"/>
      <c r="TPI37" s="118"/>
      <c r="TPJ37" s="118"/>
      <c r="TPK37" s="118"/>
      <c r="TPL37" s="118"/>
      <c r="TPM37" s="118"/>
      <c r="TPN37" s="118"/>
      <c r="TPO37" s="118"/>
      <c r="TPP37" s="118"/>
      <c r="TPQ37" s="118"/>
      <c r="TPR37" s="118"/>
      <c r="TPS37" s="118"/>
      <c r="TPT37" s="118"/>
      <c r="TPU37" s="118"/>
      <c r="TPV37" s="118"/>
      <c r="TPW37" s="118"/>
      <c r="TPX37" s="118"/>
      <c r="TPY37" s="118"/>
      <c r="TPZ37" s="118"/>
      <c r="TQA37" s="118"/>
      <c r="TQB37" s="118"/>
      <c r="TQC37" s="118"/>
      <c r="TQD37" s="118"/>
      <c r="TQE37" s="118"/>
      <c r="TQF37" s="118"/>
      <c r="TQG37" s="118"/>
      <c r="TQH37" s="118"/>
      <c r="TQI37" s="118"/>
      <c r="TQJ37" s="118"/>
      <c r="TQK37" s="118"/>
      <c r="TQL37" s="118"/>
      <c r="TQM37" s="118"/>
      <c r="TQN37" s="118"/>
      <c r="TQO37" s="118"/>
      <c r="TQP37" s="118"/>
      <c r="TQQ37" s="118"/>
      <c r="TQR37" s="118"/>
      <c r="TQS37" s="118"/>
      <c r="TQT37" s="118"/>
      <c r="TQU37" s="118"/>
      <c r="TQV37" s="118"/>
      <c r="TQW37" s="118"/>
      <c r="TQX37" s="118"/>
      <c r="TQY37" s="118"/>
      <c r="TQZ37" s="118"/>
      <c r="TRA37" s="118"/>
      <c r="TRB37" s="118"/>
      <c r="TRC37" s="118"/>
      <c r="TRD37" s="118"/>
      <c r="TRE37" s="118"/>
      <c r="TRF37" s="118"/>
      <c r="TRG37" s="118"/>
      <c r="TRH37" s="118"/>
      <c r="TRI37" s="118"/>
      <c r="TRJ37" s="118"/>
      <c r="TRK37" s="118"/>
      <c r="TRL37" s="118"/>
      <c r="TRM37" s="118"/>
      <c r="TRN37" s="118"/>
      <c r="TRO37" s="118"/>
      <c r="TRP37" s="118"/>
      <c r="TRQ37" s="118"/>
      <c r="TRR37" s="118"/>
      <c r="TRS37" s="118"/>
      <c r="TRT37" s="118"/>
      <c r="TRU37" s="118"/>
      <c r="TRV37" s="118"/>
      <c r="TRW37" s="118"/>
      <c r="TRX37" s="118"/>
      <c r="TRY37" s="118"/>
      <c r="TRZ37" s="118"/>
      <c r="TSA37" s="118"/>
      <c r="TSB37" s="118"/>
      <c r="TSC37" s="118"/>
      <c r="TSD37" s="118"/>
      <c r="TSE37" s="118"/>
      <c r="TSF37" s="118"/>
      <c r="TSG37" s="118"/>
      <c r="TSH37" s="118"/>
      <c r="TSI37" s="118"/>
      <c r="TSJ37" s="118"/>
      <c r="TSK37" s="118"/>
      <c r="TSL37" s="118"/>
      <c r="TSM37" s="118"/>
      <c r="TSN37" s="118"/>
      <c r="TSO37" s="118"/>
      <c r="TSP37" s="118"/>
      <c r="TSQ37" s="118"/>
      <c r="TSR37" s="118"/>
      <c r="TSS37" s="118"/>
      <c r="TST37" s="118"/>
      <c r="TSU37" s="118"/>
      <c r="TSV37" s="118"/>
      <c r="TSW37" s="118"/>
      <c r="TSX37" s="118"/>
      <c r="TSY37" s="118"/>
      <c r="TSZ37" s="118"/>
      <c r="TTA37" s="118"/>
      <c r="TTB37" s="118"/>
      <c r="TTC37" s="118"/>
      <c r="TTD37" s="118"/>
      <c r="TTE37" s="118"/>
      <c r="TTF37" s="118"/>
      <c r="TTG37" s="118"/>
      <c r="TTH37" s="118"/>
      <c r="TTI37" s="118"/>
      <c r="TTJ37" s="118"/>
      <c r="TTK37" s="118"/>
      <c r="TTL37" s="118"/>
      <c r="TTM37" s="118"/>
      <c r="TTN37" s="118"/>
      <c r="TTO37" s="118"/>
      <c r="TTP37" s="118"/>
      <c r="TTQ37" s="118"/>
      <c r="TTR37" s="118"/>
      <c r="TTS37" s="118"/>
      <c r="TTT37" s="118"/>
      <c r="TTU37" s="118"/>
      <c r="TTV37" s="118"/>
      <c r="TTW37" s="118"/>
      <c r="TTX37" s="118"/>
      <c r="TTY37" s="118"/>
      <c r="TTZ37" s="118"/>
      <c r="TUA37" s="118"/>
      <c r="TUB37" s="118"/>
      <c r="TUC37" s="118"/>
      <c r="TUD37" s="118"/>
      <c r="TUE37" s="118"/>
      <c r="TUF37" s="118"/>
      <c r="TUG37" s="118"/>
      <c r="TUH37" s="118"/>
      <c r="TUI37" s="118"/>
      <c r="TUJ37" s="118"/>
      <c r="TUK37" s="118"/>
      <c r="TUL37" s="118"/>
      <c r="TUM37" s="118"/>
      <c r="TUN37" s="118"/>
      <c r="TUO37" s="118"/>
      <c r="TUP37" s="118"/>
      <c r="TUQ37" s="118"/>
      <c r="TUR37" s="118"/>
      <c r="TUS37" s="118"/>
      <c r="TUT37" s="118"/>
      <c r="TUU37" s="118"/>
      <c r="TUV37" s="118"/>
      <c r="TUW37" s="118"/>
      <c r="TUX37" s="118"/>
      <c r="TUY37" s="118"/>
      <c r="TUZ37" s="118"/>
      <c r="TVA37" s="118"/>
      <c r="TVB37" s="118"/>
      <c r="TVC37" s="118"/>
      <c r="TVD37" s="118"/>
      <c r="TVE37" s="118"/>
      <c r="TVF37" s="118"/>
      <c r="TVG37" s="118"/>
      <c r="TVH37" s="118"/>
      <c r="TVI37" s="118"/>
      <c r="TVJ37" s="118"/>
      <c r="TVK37" s="118"/>
      <c r="TVL37" s="118"/>
      <c r="TVM37" s="118"/>
      <c r="TVN37" s="118"/>
      <c r="TVO37" s="118"/>
      <c r="TVP37" s="118"/>
      <c r="TVQ37" s="118"/>
      <c r="TVR37" s="118"/>
      <c r="TVS37" s="118"/>
      <c r="TVT37" s="118"/>
      <c r="TVU37" s="118"/>
      <c r="TVV37" s="118"/>
      <c r="TVW37" s="118"/>
      <c r="TVX37" s="118"/>
      <c r="TVY37" s="118"/>
      <c r="TVZ37" s="118"/>
      <c r="TWA37" s="118"/>
      <c r="TWB37" s="118"/>
      <c r="TWC37" s="118"/>
      <c r="TWD37" s="118"/>
      <c r="TWE37" s="118"/>
      <c r="TWF37" s="118"/>
      <c r="TWG37" s="118"/>
      <c r="TWH37" s="118"/>
      <c r="TWI37" s="118"/>
      <c r="TWJ37" s="118"/>
      <c r="TWK37" s="118"/>
      <c r="TWL37" s="118"/>
      <c r="TWM37" s="118"/>
      <c r="TWN37" s="118"/>
      <c r="TWO37" s="118"/>
      <c r="TWP37" s="118"/>
      <c r="TWQ37" s="118"/>
      <c r="TWR37" s="118"/>
      <c r="TWS37" s="118"/>
      <c r="TWT37" s="118"/>
      <c r="TWU37" s="118"/>
      <c r="TWV37" s="118"/>
      <c r="TWW37" s="118"/>
      <c r="TWX37" s="118"/>
      <c r="TWY37" s="118"/>
      <c r="TWZ37" s="118"/>
      <c r="TXA37" s="118"/>
      <c r="TXB37" s="118"/>
      <c r="TXC37" s="118"/>
      <c r="TXD37" s="118"/>
      <c r="TXE37" s="118"/>
      <c r="TXF37" s="118"/>
      <c r="TXG37" s="118"/>
      <c r="TXH37" s="118"/>
      <c r="TXI37" s="118"/>
      <c r="TXJ37" s="118"/>
      <c r="TXK37" s="118"/>
      <c r="TXL37" s="118"/>
      <c r="TXM37" s="118"/>
      <c r="TXN37" s="118"/>
      <c r="TXO37" s="118"/>
      <c r="TXP37" s="118"/>
      <c r="TXQ37" s="118"/>
      <c r="TXR37" s="118"/>
      <c r="TXS37" s="118"/>
      <c r="TXT37" s="118"/>
      <c r="TXU37" s="118"/>
      <c r="TXV37" s="118"/>
      <c r="TXW37" s="118"/>
      <c r="TXX37" s="118"/>
      <c r="TXY37" s="118"/>
      <c r="TXZ37" s="118"/>
      <c r="TYA37" s="118"/>
      <c r="TYB37" s="118"/>
      <c r="TYC37" s="118"/>
      <c r="TYD37" s="118"/>
      <c r="TYE37" s="118"/>
      <c r="TYF37" s="118"/>
      <c r="TYG37" s="118"/>
      <c r="TYH37" s="118"/>
      <c r="TYI37" s="118"/>
      <c r="TYJ37" s="118"/>
      <c r="TYK37" s="118"/>
      <c r="TYL37" s="118"/>
      <c r="TYM37" s="118"/>
      <c r="TYN37" s="118"/>
      <c r="TYO37" s="118"/>
      <c r="TYP37" s="118"/>
      <c r="TYQ37" s="118"/>
      <c r="TYR37" s="118"/>
      <c r="TYS37" s="118"/>
      <c r="TYT37" s="118"/>
      <c r="TYU37" s="118"/>
      <c r="TYV37" s="118"/>
      <c r="TYW37" s="118"/>
      <c r="TYX37" s="118"/>
      <c r="TYY37" s="118"/>
      <c r="TYZ37" s="118"/>
      <c r="TZA37" s="118"/>
      <c r="TZB37" s="118"/>
      <c r="TZC37" s="118"/>
      <c r="TZD37" s="118"/>
      <c r="TZE37" s="118"/>
      <c r="TZF37" s="118"/>
      <c r="TZG37" s="118"/>
      <c r="TZH37" s="118"/>
      <c r="TZI37" s="118"/>
      <c r="TZJ37" s="118"/>
      <c r="TZK37" s="118"/>
      <c r="TZL37" s="118"/>
      <c r="TZM37" s="118"/>
      <c r="TZN37" s="118"/>
      <c r="TZO37" s="118"/>
      <c r="TZP37" s="118"/>
      <c r="TZQ37" s="118"/>
      <c r="TZR37" s="118"/>
      <c r="TZS37" s="118"/>
      <c r="TZT37" s="118"/>
      <c r="TZU37" s="118"/>
      <c r="TZV37" s="118"/>
      <c r="TZW37" s="118"/>
      <c r="TZX37" s="118"/>
      <c r="TZY37" s="118"/>
      <c r="TZZ37" s="118"/>
      <c r="UAA37" s="118"/>
      <c r="UAB37" s="118"/>
      <c r="UAC37" s="118"/>
      <c r="UAD37" s="118"/>
      <c r="UAE37" s="118"/>
      <c r="UAF37" s="118"/>
      <c r="UAG37" s="118"/>
      <c r="UAH37" s="118"/>
      <c r="UAI37" s="118"/>
      <c r="UAJ37" s="118"/>
      <c r="UAK37" s="118"/>
      <c r="UAL37" s="118"/>
      <c r="UAM37" s="118"/>
      <c r="UAN37" s="118"/>
      <c r="UAO37" s="118"/>
      <c r="UAP37" s="118"/>
      <c r="UAQ37" s="118"/>
      <c r="UAR37" s="118"/>
      <c r="UAS37" s="118"/>
      <c r="UAT37" s="118"/>
      <c r="UAU37" s="118"/>
      <c r="UAV37" s="118"/>
      <c r="UAW37" s="118"/>
      <c r="UAX37" s="118"/>
      <c r="UAY37" s="118"/>
      <c r="UAZ37" s="118"/>
      <c r="UBA37" s="118"/>
      <c r="UBB37" s="118"/>
      <c r="UBC37" s="118"/>
      <c r="UBD37" s="118"/>
      <c r="UBE37" s="118"/>
      <c r="UBF37" s="118"/>
      <c r="UBG37" s="118"/>
      <c r="UBH37" s="118"/>
      <c r="UBI37" s="118"/>
      <c r="UBJ37" s="118"/>
      <c r="UBK37" s="118"/>
      <c r="UBL37" s="118"/>
      <c r="UBM37" s="118"/>
      <c r="UBN37" s="118"/>
      <c r="UBO37" s="118"/>
      <c r="UBP37" s="118"/>
      <c r="UBQ37" s="118"/>
      <c r="UBR37" s="118"/>
      <c r="UBS37" s="118"/>
      <c r="UBT37" s="118"/>
      <c r="UBU37" s="118"/>
      <c r="UBV37" s="118"/>
      <c r="UBW37" s="118"/>
      <c r="UBX37" s="118"/>
      <c r="UBY37" s="118"/>
      <c r="UBZ37" s="118"/>
      <c r="UCA37" s="118"/>
      <c r="UCB37" s="118"/>
      <c r="UCC37" s="118"/>
      <c r="UCD37" s="118"/>
      <c r="UCE37" s="118"/>
      <c r="UCF37" s="118"/>
      <c r="UCG37" s="118"/>
      <c r="UCH37" s="118"/>
      <c r="UCI37" s="118"/>
      <c r="UCJ37" s="118"/>
      <c r="UCK37" s="118"/>
      <c r="UCL37" s="118"/>
      <c r="UCM37" s="118"/>
      <c r="UCN37" s="118"/>
      <c r="UCO37" s="118"/>
      <c r="UCP37" s="118"/>
      <c r="UCQ37" s="118"/>
      <c r="UCR37" s="118"/>
      <c r="UCS37" s="118"/>
      <c r="UCT37" s="118"/>
      <c r="UCU37" s="118"/>
      <c r="UCV37" s="118"/>
      <c r="UCW37" s="118"/>
      <c r="UCX37" s="118"/>
      <c r="UCY37" s="118"/>
      <c r="UCZ37" s="118"/>
      <c r="UDA37" s="118"/>
      <c r="UDB37" s="118"/>
      <c r="UDC37" s="118"/>
      <c r="UDD37" s="118"/>
      <c r="UDE37" s="118"/>
      <c r="UDF37" s="118"/>
      <c r="UDG37" s="118"/>
      <c r="UDH37" s="118"/>
      <c r="UDI37" s="118"/>
      <c r="UDJ37" s="118"/>
      <c r="UDK37" s="118"/>
      <c r="UDL37" s="118"/>
      <c r="UDM37" s="118"/>
      <c r="UDN37" s="118"/>
      <c r="UDO37" s="118"/>
      <c r="UDP37" s="118"/>
      <c r="UDQ37" s="118"/>
      <c r="UDR37" s="118"/>
      <c r="UDS37" s="118"/>
      <c r="UDT37" s="118"/>
      <c r="UDU37" s="118"/>
      <c r="UDV37" s="118"/>
      <c r="UDW37" s="118"/>
      <c r="UDX37" s="118"/>
      <c r="UDY37" s="118"/>
      <c r="UDZ37" s="118"/>
      <c r="UEA37" s="118"/>
      <c r="UEB37" s="118"/>
      <c r="UEC37" s="118"/>
      <c r="UED37" s="118"/>
      <c r="UEE37" s="118"/>
      <c r="UEF37" s="118"/>
      <c r="UEG37" s="118"/>
      <c r="UEH37" s="118"/>
      <c r="UEI37" s="118"/>
      <c r="UEJ37" s="118"/>
      <c r="UEK37" s="118"/>
      <c r="UEL37" s="118"/>
      <c r="UEM37" s="118"/>
      <c r="UEN37" s="118"/>
      <c r="UEO37" s="118"/>
      <c r="UEP37" s="118"/>
      <c r="UEQ37" s="118"/>
      <c r="UER37" s="118"/>
      <c r="UES37" s="118"/>
      <c r="UET37" s="118"/>
      <c r="UEU37" s="118"/>
      <c r="UEV37" s="118"/>
      <c r="UEW37" s="118"/>
      <c r="UEX37" s="118"/>
      <c r="UEY37" s="118"/>
      <c r="UEZ37" s="118"/>
      <c r="UFA37" s="118"/>
      <c r="UFB37" s="118"/>
      <c r="UFC37" s="118"/>
      <c r="UFD37" s="118"/>
      <c r="UFE37" s="118"/>
      <c r="UFF37" s="118"/>
      <c r="UFG37" s="118"/>
      <c r="UFH37" s="118"/>
      <c r="UFI37" s="118"/>
      <c r="UFJ37" s="118"/>
      <c r="UFK37" s="118"/>
      <c r="UFL37" s="118"/>
      <c r="UFM37" s="118"/>
      <c r="UFN37" s="118"/>
      <c r="UFO37" s="118"/>
      <c r="UFP37" s="118"/>
      <c r="UFQ37" s="118"/>
      <c r="UFR37" s="118"/>
      <c r="UFS37" s="118"/>
      <c r="UFT37" s="118"/>
      <c r="UFU37" s="118"/>
      <c r="UFV37" s="118"/>
      <c r="UFW37" s="118"/>
      <c r="UFX37" s="118"/>
      <c r="UFY37" s="118"/>
      <c r="UFZ37" s="118"/>
      <c r="UGA37" s="118"/>
      <c r="UGB37" s="118"/>
      <c r="UGC37" s="118"/>
      <c r="UGD37" s="118"/>
      <c r="UGE37" s="118"/>
      <c r="UGF37" s="118"/>
      <c r="UGG37" s="118"/>
      <c r="UGH37" s="118"/>
      <c r="UGI37" s="118"/>
      <c r="UGJ37" s="118"/>
      <c r="UGK37" s="118"/>
      <c r="UGL37" s="118"/>
      <c r="UGM37" s="118"/>
      <c r="UGN37" s="118"/>
      <c r="UGO37" s="118"/>
      <c r="UGP37" s="118"/>
      <c r="UGQ37" s="118"/>
      <c r="UGR37" s="118"/>
      <c r="UGS37" s="118"/>
      <c r="UGT37" s="118"/>
      <c r="UGU37" s="118"/>
      <c r="UGV37" s="118"/>
      <c r="UGW37" s="118"/>
      <c r="UGX37" s="118"/>
      <c r="UGY37" s="118"/>
      <c r="UGZ37" s="118"/>
      <c r="UHA37" s="118"/>
      <c r="UHB37" s="118"/>
      <c r="UHC37" s="118"/>
      <c r="UHD37" s="118"/>
      <c r="UHE37" s="118"/>
      <c r="UHF37" s="118"/>
      <c r="UHG37" s="118"/>
      <c r="UHH37" s="118"/>
      <c r="UHI37" s="118"/>
      <c r="UHJ37" s="118"/>
      <c r="UHK37" s="118"/>
      <c r="UHL37" s="118"/>
      <c r="UHM37" s="118"/>
      <c r="UHN37" s="118"/>
      <c r="UHO37" s="118"/>
      <c r="UHP37" s="118"/>
      <c r="UHQ37" s="118"/>
      <c r="UHR37" s="118"/>
      <c r="UHS37" s="118"/>
      <c r="UHT37" s="118"/>
      <c r="UHU37" s="118"/>
      <c r="UHV37" s="118"/>
      <c r="UHW37" s="118"/>
      <c r="UHX37" s="118"/>
      <c r="UHY37" s="118"/>
      <c r="UHZ37" s="118"/>
      <c r="UIA37" s="118"/>
      <c r="UIB37" s="118"/>
      <c r="UIC37" s="118"/>
      <c r="UID37" s="118"/>
      <c r="UIE37" s="118"/>
      <c r="UIF37" s="118"/>
      <c r="UIG37" s="118"/>
      <c r="UIH37" s="118"/>
      <c r="UII37" s="118"/>
      <c r="UIJ37" s="118"/>
      <c r="UIK37" s="118"/>
      <c r="UIL37" s="118"/>
      <c r="UIM37" s="118"/>
      <c r="UIN37" s="118"/>
      <c r="UIO37" s="118"/>
      <c r="UIP37" s="118"/>
      <c r="UIQ37" s="118"/>
      <c r="UIR37" s="118"/>
      <c r="UIS37" s="118"/>
      <c r="UIT37" s="118"/>
      <c r="UIU37" s="118"/>
      <c r="UIV37" s="118"/>
      <c r="UIW37" s="118"/>
      <c r="UIX37" s="118"/>
      <c r="UIY37" s="118"/>
      <c r="UIZ37" s="118"/>
      <c r="UJA37" s="118"/>
      <c r="UJB37" s="118"/>
      <c r="UJC37" s="118"/>
      <c r="UJD37" s="118"/>
      <c r="UJE37" s="118"/>
      <c r="UJF37" s="118"/>
      <c r="UJG37" s="118"/>
      <c r="UJH37" s="118"/>
      <c r="UJI37" s="118"/>
      <c r="UJJ37" s="118"/>
      <c r="UJK37" s="118"/>
      <c r="UJL37" s="118"/>
      <c r="UJM37" s="118"/>
      <c r="UJN37" s="118"/>
      <c r="UJO37" s="118"/>
      <c r="UJP37" s="118"/>
      <c r="UJQ37" s="118"/>
      <c r="UJR37" s="118"/>
      <c r="UJS37" s="118"/>
      <c r="UJT37" s="118"/>
      <c r="UJU37" s="118"/>
      <c r="UJV37" s="118"/>
      <c r="UJW37" s="118"/>
      <c r="UJX37" s="118"/>
      <c r="UJY37" s="118"/>
      <c r="UJZ37" s="118"/>
      <c r="UKA37" s="118"/>
      <c r="UKB37" s="118"/>
      <c r="UKC37" s="118"/>
      <c r="UKD37" s="118"/>
      <c r="UKE37" s="118"/>
      <c r="UKF37" s="118"/>
      <c r="UKG37" s="118"/>
      <c r="UKH37" s="118"/>
      <c r="UKI37" s="118"/>
      <c r="UKJ37" s="118"/>
      <c r="UKK37" s="118"/>
      <c r="UKL37" s="118"/>
      <c r="UKM37" s="118"/>
      <c r="UKN37" s="118"/>
      <c r="UKO37" s="118"/>
      <c r="UKP37" s="118"/>
      <c r="UKQ37" s="118"/>
      <c r="UKR37" s="118"/>
      <c r="UKS37" s="118"/>
      <c r="UKT37" s="118"/>
      <c r="UKU37" s="118"/>
      <c r="UKV37" s="118"/>
      <c r="UKW37" s="118"/>
      <c r="UKX37" s="118"/>
      <c r="UKY37" s="118"/>
      <c r="UKZ37" s="118"/>
      <c r="ULA37" s="118"/>
      <c r="ULB37" s="118"/>
      <c r="ULC37" s="118"/>
      <c r="ULD37" s="118"/>
      <c r="ULE37" s="118"/>
      <c r="ULF37" s="118"/>
      <c r="ULG37" s="118"/>
      <c r="ULH37" s="118"/>
      <c r="ULI37" s="118"/>
      <c r="ULJ37" s="118"/>
      <c r="ULK37" s="118"/>
      <c r="ULL37" s="118"/>
      <c r="ULM37" s="118"/>
      <c r="ULN37" s="118"/>
      <c r="ULO37" s="118"/>
      <c r="ULP37" s="118"/>
      <c r="ULQ37" s="118"/>
      <c r="ULR37" s="118"/>
      <c r="ULS37" s="118"/>
      <c r="ULT37" s="118"/>
      <c r="ULU37" s="118"/>
      <c r="ULV37" s="118"/>
      <c r="ULW37" s="118"/>
      <c r="ULX37" s="118"/>
      <c r="ULY37" s="118"/>
      <c r="ULZ37" s="118"/>
      <c r="UMA37" s="118"/>
      <c r="UMB37" s="118"/>
      <c r="UMC37" s="118"/>
      <c r="UMD37" s="118"/>
      <c r="UME37" s="118"/>
      <c r="UMF37" s="118"/>
      <c r="UMG37" s="118"/>
      <c r="UMH37" s="118"/>
      <c r="UMI37" s="118"/>
      <c r="UMJ37" s="118"/>
      <c r="UMK37" s="118"/>
      <c r="UML37" s="118"/>
      <c r="UMM37" s="118"/>
      <c r="UMN37" s="118"/>
      <c r="UMO37" s="118"/>
      <c r="UMP37" s="118"/>
      <c r="UMQ37" s="118"/>
      <c r="UMR37" s="118"/>
      <c r="UMS37" s="118"/>
      <c r="UMT37" s="118"/>
      <c r="UMU37" s="118"/>
      <c r="UMV37" s="118"/>
      <c r="UMW37" s="118"/>
      <c r="UMX37" s="118"/>
      <c r="UMY37" s="118"/>
      <c r="UMZ37" s="118"/>
      <c r="UNA37" s="118"/>
      <c r="UNB37" s="118"/>
      <c r="UNC37" s="118"/>
      <c r="UND37" s="118"/>
      <c r="UNE37" s="118"/>
      <c r="UNF37" s="118"/>
      <c r="UNG37" s="118"/>
      <c r="UNH37" s="118"/>
      <c r="UNI37" s="118"/>
      <c r="UNJ37" s="118"/>
      <c r="UNK37" s="118"/>
      <c r="UNL37" s="118"/>
      <c r="UNM37" s="118"/>
      <c r="UNN37" s="118"/>
      <c r="UNO37" s="118"/>
      <c r="UNP37" s="118"/>
      <c r="UNQ37" s="118"/>
      <c r="UNR37" s="118"/>
      <c r="UNS37" s="118"/>
      <c r="UNT37" s="118"/>
      <c r="UNU37" s="118"/>
      <c r="UNV37" s="118"/>
      <c r="UNW37" s="118"/>
      <c r="UNX37" s="118"/>
      <c r="UNY37" s="118"/>
      <c r="UNZ37" s="118"/>
      <c r="UOA37" s="118"/>
      <c r="UOB37" s="118"/>
      <c r="UOC37" s="118"/>
      <c r="UOD37" s="118"/>
      <c r="UOE37" s="118"/>
      <c r="UOF37" s="118"/>
      <c r="UOG37" s="118"/>
      <c r="UOH37" s="118"/>
      <c r="UOI37" s="118"/>
      <c r="UOJ37" s="118"/>
      <c r="UOK37" s="118"/>
      <c r="UOL37" s="118"/>
      <c r="UOM37" s="118"/>
      <c r="UON37" s="118"/>
      <c r="UOO37" s="118"/>
      <c r="UOP37" s="118"/>
      <c r="UOQ37" s="118"/>
      <c r="UOR37" s="118"/>
      <c r="UOS37" s="118"/>
      <c r="UOT37" s="118"/>
      <c r="UOU37" s="118"/>
      <c r="UOV37" s="118"/>
      <c r="UOW37" s="118"/>
      <c r="UOX37" s="118"/>
      <c r="UOY37" s="118"/>
      <c r="UOZ37" s="118"/>
      <c r="UPA37" s="118"/>
      <c r="UPB37" s="118"/>
      <c r="UPC37" s="118"/>
      <c r="UPD37" s="118"/>
      <c r="UPE37" s="118"/>
      <c r="UPF37" s="118"/>
      <c r="UPG37" s="118"/>
      <c r="UPH37" s="118"/>
      <c r="UPI37" s="118"/>
      <c r="UPJ37" s="118"/>
      <c r="UPK37" s="118"/>
      <c r="UPL37" s="118"/>
      <c r="UPM37" s="118"/>
      <c r="UPN37" s="118"/>
      <c r="UPO37" s="118"/>
      <c r="UPP37" s="118"/>
      <c r="UPQ37" s="118"/>
      <c r="UPR37" s="118"/>
      <c r="UPS37" s="118"/>
      <c r="UPT37" s="118"/>
      <c r="UPU37" s="118"/>
      <c r="UPV37" s="118"/>
      <c r="UPW37" s="118"/>
      <c r="UPX37" s="118"/>
      <c r="UPY37" s="118"/>
      <c r="UPZ37" s="118"/>
      <c r="UQA37" s="118"/>
      <c r="UQB37" s="118"/>
      <c r="UQC37" s="118"/>
      <c r="UQD37" s="118"/>
      <c r="UQE37" s="118"/>
      <c r="UQF37" s="118"/>
      <c r="UQG37" s="118"/>
      <c r="UQH37" s="118"/>
      <c r="UQI37" s="118"/>
      <c r="UQJ37" s="118"/>
      <c r="UQK37" s="118"/>
      <c r="UQL37" s="118"/>
      <c r="UQM37" s="118"/>
      <c r="UQN37" s="118"/>
      <c r="UQO37" s="118"/>
      <c r="UQP37" s="118"/>
      <c r="UQQ37" s="118"/>
      <c r="UQR37" s="118"/>
      <c r="UQS37" s="118"/>
      <c r="UQT37" s="118"/>
      <c r="UQU37" s="118"/>
      <c r="UQV37" s="118"/>
      <c r="UQW37" s="118"/>
      <c r="UQX37" s="118"/>
      <c r="UQY37" s="118"/>
      <c r="UQZ37" s="118"/>
      <c r="URA37" s="118"/>
      <c r="URB37" s="118"/>
      <c r="URC37" s="118"/>
      <c r="URD37" s="118"/>
      <c r="URE37" s="118"/>
      <c r="URF37" s="118"/>
      <c r="URG37" s="118"/>
      <c r="URH37" s="118"/>
      <c r="URI37" s="118"/>
      <c r="URJ37" s="118"/>
      <c r="URK37" s="118"/>
      <c r="URL37" s="118"/>
      <c r="URM37" s="118"/>
      <c r="URN37" s="118"/>
      <c r="URO37" s="118"/>
      <c r="URP37" s="118"/>
      <c r="URQ37" s="118"/>
      <c r="URR37" s="118"/>
      <c r="URS37" s="118"/>
      <c r="URT37" s="118"/>
      <c r="URU37" s="118"/>
      <c r="URV37" s="118"/>
      <c r="URW37" s="118"/>
      <c r="URX37" s="118"/>
      <c r="URY37" s="118"/>
      <c r="URZ37" s="118"/>
      <c r="USA37" s="118"/>
      <c r="USB37" s="118"/>
      <c r="USC37" s="118"/>
      <c r="USD37" s="118"/>
      <c r="USE37" s="118"/>
      <c r="USF37" s="118"/>
      <c r="USG37" s="118"/>
      <c r="USH37" s="118"/>
      <c r="USI37" s="118"/>
      <c r="USJ37" s="118"/>
      <c r="USK37" s="118"/>
      <c r="USL37" s="118"/>
      <c r="USM37" s="118"/>
      <c r="USN37" s="118"/>
      <c r="USO37" s="118"/>
      <c r="USP37" s="118"/>
      <c r="USQ37" s="118"/>
      <c r="USR37" s="118"/>
      <c r="USS37" s="118"/>
      <c r="UST37" s="118"/>
      <c r="USU37" s="118"/>
      <c r="USV37" s="118"/>
      <c r="USW37" s="118"/>
      <c r="USX37" s="118"/>
      <c r="USY37" s="118"/>
      <c r="USZ37" s="118"/>
      <c r="UTA37" s="118"/>
      <c r="UTB37" s="118"/>
      <c r="UTC37" s="118"/>
      <c r="UTD37" s="118"/>
      <c r="UTE37" s="118"/>
      <c r="UTF37" s="118"/>
      <c r="UTG37" s="118"/>
      <c r="UTH37" s="118"/>
      <c r="UTI37" s="118"/>
      <c r="UTJ37" s="118"/>
      <c r="UTK37" s="118"/>
      <c r="UTL37" s="118"/>
      <c r="UTM37" s="118"/>
      <c r="UTN37" s="118"/>
      <c r="UTO37" s="118"/>
      <c r="UTP37" s="118"/>
      <c r="UTQ37" s="118"/>
      <c r="UTR37" s="118"/>
      <c r="UTS37" s="118"/>
      <c r="UTT37" s="118"/>
      <c r="UTU37" s="118"/>
      <c r="UTV37" s="118"/>
      <c r="UTW37" s="118"/>
      <c r="UTX37" s="118"/>
      <c r="UTY37" s="118"/>
      <c r="UTZ37" s="118"/>
      <c r="UUA37" s="118"/>
      <c r="UUB37" s="118"/>
      <c r="UUC37" s="118"/>
      <c r="UUD37" s="118"/>
      <c r="UUE37" s="118"/>
      <c r="UUF37" s="118"/>
      <c r="UUG37" s="118"/>
      <c r="UUH37" s="118"/>
      <c r="UUI37" s="118"/>
      <c r="UUJ37" s="118"/>
      <c r="UUK37" s="118"/>
      <c r="UUL37" s="118"/>
      <c r="UUM37" s="118"/>
      <c r="UUN37" s="118"/>
      <c r="UUO37" s="118"/>
      <c r="UUP37" s="118"/>
      <c r="UUQ37" s="118"/>
      <c r="UUR37" s="118"/>
      <c r="UUS37" s="118"/>
      <c r="UUT37" s="118"/>
      <c r="UUU37" s="118"/>
      <c r="UUV37" s="118"/>
      <c r="UUW37" s="118"/>
      <c r="UUX37" s="118"/>
      <c r="UUY37" s="118"/>
      <c r="UUZ37" s="118"/>
      <c r="UVA37" s="118"/>
      <c r="UVB37" s="118"/>
      <c r="UVC37" s="118"/>
      <c r="UVD37" s="118"/>
      <c r="UVE37" s="118"/>
      <c r="UVF37" s="118"/>
      <c r="UVG37" s="118"/>
      <c r="UVH37" s="118"/>
      <c r="UVI37" s="118"/>
      <c r="UVJ37" s="118"/>
      <c r="UVK37" s="118"/>
      <c r="UVL37" s="118"/>
      <c r="UVM37" s="118"/>
      <c r="UVN37" s="118"/>
      <c r="UVO37" s="118"/>
      <c r="UVP37" s="118"/>
      <c r="UVQ37" s="118"/>
      <c r="UVR37" s="118"/>
      <c r="UVS37" s="118"/>
      <c r="UVT37" s="118"/>
      <c r="UVU37" s="118"/>
      <c r="UVV37" s="118"/>
      <c r="UVW37" s="118"/>
      <c r="UVX37" s="118"/>
      <c r="UVY37" s="118"/>
      <c r="UVZ37" s="118"/>
      <c r="UWA37" s="118"/>
      <c r="UWB37" s="118"/>
      <c r="UWC37" s="118"/>
      <c r="UWD37" s="118"/>
      <c r="UWE37" s="118"/>
      <c r="UWF37" s="118"/>
      <c r="UWG37" s="118"/>
      <c r="UWH37" s="118"/>
      <c r="UWI37" s="118"/>
      <c r="UWJ37" s="118"/>
      <c r="UWK37" s="118"/>
      <c r="UWL37" s="118"/>
      <c r="UWM37" s="118"/>
      <c r="UWN37" s="118"/>
      <c r="UWO37" s="118"/>
      <c r="UWP37" s="118"/>
      <c r="UWQ37" s="118"/>
      <c r="UWR37" s="118"/>
      <c r="UWS37" s="118"/>
      <c r="UWT37" s="118"/>
      <c r="UWU37" s="118"/>
      <c r="UWV37" s="118"/>
      <c r="UWW37" s="118"/>
      <c r="UWX37" s="118"/>
      <c r="UWY37" s="118"/>
      <c r="UWZ37" s="118"/>
      <c r="UXA37" s="118"/>
      <c r="UXB37" s="118"/>
      <c r="UXC37" s="118"/>
      <c r="UXD37" s="118"/>
      <c r="UXE37" s="118"/>
      <c r="UXF37" s="118"/>
      <c r="UXG37" s="118"/>
      <c r="UXH37" s="118"/>
      <c r="UXI37" s="118"/>
      <c r="UXJ37" s="118"/>
      <c r="UXK37" s="118"/>
      <c r="UXL37" s="118"/>
      <c r="UXM37" s="118"/>
      <c r="UXN37" s="118"/>
      <c r="UXO37" s="118"/>
      <c r="UXP37" s="118"/>
      <c r="UXQ37" s="118"/>
      <c r="UXR37" s="118"/>
      <c r="UXS37" s="118"/>
      <c r="UXT37" s="118"/>
      <c r="UXU37" s="118"/>
      <c r="UXV37" s="118"/>
      <c r="UXW37" s="118"/>
      <c r="UXX37" s="118"/>
      <c r="UXY37" s="118"/>
      <c r="UXZ37" s="118"/>
      <c r="UYA37" s="118"/>
      <c r="UYB37" s="118"/>
      <c r="UYC37" s="118"/>
      <c r="UYD37" s="118"/>
      <c r="UYE37" s="118"/>
      <c r="UYF37" s="118"/>
      <c r="UYG37" s="118"/>
      <c r="UYH37" s="118"/>
      <c r="UYI37" s="118"/>
      <c r="UYJ37" s="118"/>
      <c r="UYK37" s="118"/>
      <c r="UYL37" s="118"/>
      <c r="UYM37" s="118"/>
      <c r="UYN37" s="118"/>
      <c r="UYO37" s="118"/>
      <c r="UYP37" s="118"/>
      <c r="UYQ37" s="118"/>
      <c r="UYR37" s="118"/>
      <c r="UYS37" s="118"/>
      <c r="UYT37" s="118"/>
      <c r="UYU37" s="118"/>
      <c r="UYV37" s="118"/>
      <c r="UYW37" s="118"/>
      <c r="UYX37" s="118"/>
      <c r="UYY37" s="118"/>
      <c r="UYZ37" s="118"/>
      <c r="UZA37" s="118"/>
      <c r="UZB37" s="118"/>
      <c r="UZC37" s="118"/>
      <c r="UZD37" s="118"/>
      <c r="UZE37" s="118"/>
      <c r="UZF37" s="118"/>
      <c r="UZG37" s="118"/>
      <c r="UZH37" s="118"/>
      <c r="UZI37" s="118"/>
      <c r="UZJ37" s="118"/>
      <c r="UZK37" s="118"/>
      <c r="UZL37" s="118"/>
      <c r="UZM37" s="118"/>
      <c r="UZN37" s="118"/>
      <c r="UZO37" s="118"/>
      <c r="UZP37" s="118"/>
      <c r="UZQ37" s="118"/>
      <c r="UZR37" s="118"/>
      <c r="UZS37" s="118"/>
      <c r="UZT37" s="118"/>
      <c r="UZU37" s="118"/>
      <c r="UZV37" s="118"/>
      <c r="UZW37" s="118"/>
      <c r="UZX37" s="118"/>
      <c r="UZY37" s="118"/>
      <c r="UZZ37" s="118"/>
      <c r="VAA37" s="118"/>
      <c r="VAB37" s="118"/>
      <c r="VAC37" s="118"/>
      <c r="VAD37" s="118"/>
      <c r="VAE37" s="118"/>
      <c r="VAF37" s="118"/>
      <c r="VAG37" s="118"/>
      <c r="VAH37" s="118"/>
      <c r="VAI37" s="118"/>
      <c r="VAJ37" s="118"/>
      <c r="VAK37" s="118"/>
      <c r="VAL37" s="118"/>
      <c r="VAM37" s="118"/>
      <c r="VAN37" s="118"/>
      <c r="VAO37" s="118"/>
      <c r="VAP37" s="118"/>
      <c r="VAQ37" s="118"/>
      <c r="VAR37" s="118"/>
      <c r="VAS37" s="118"/>
      <c r="VAT37" s="118"/>
      <c r="VAU37" s="118"/>
      <c r="VAV37" s="118"/>
      <c r="VAW37" s="118"/>
      <c r="VAX37" s="118"/>
      <c r="VAY37" s="118"/>
      <c r="VAZ37" s="118"/>
      <c r="VBA37" s="118"/>
      <c r="VBB37" s="118"/>
      <c r="VBC37" s="118"/>
      <c r="VBD37" s="118"/>
      <c r="VBE37" s="118"/>
      <c r="VBF37" s="118"/>
      <c r="VBG37" s="118"/>
      <c r="VBH37" s="118"/>
      <c r="VBI37" s="118"/>
      <c r="VBJ37" s="118"/>
      <c r="VBK37" s="118"/>
      <c r="VBL37" s="118"/>
      <c r="VBM37" s="118"/>
      <c r="VBN37" s="118"/>
      <c r="VBO37" s="118"/>
      <c r="VBP37" s="118"/>
      <c r="VBQ37" s="118"/>
      <c r="VBR37" s="118"/>
      <c r="VBS37" s="118"/>
      <c r="VBT37" s="118"/>
      <c r="VBU37" s="118"/>
      <c r="VBV37" s="118"/>
      <c r="VBW37" s="118"/>
      <c r="VBX37" s="118"/>
      <c r="VBY37" s="118"/>
      <c r="VBZ37" s="118"/>
      <c r="VCA37" s="118"/>
      <c r="VCB37" s="118"/>
      <c r="VCC37" s="118"/>
      <c r="VCD37" s="118"/>
      <c r="VCE37" s="118"/>
      <c r="VCF37" s="118"/>
      <c r="VCG37" s="118"/>
      <c r="VCH37" s="118"/>
      <c r="VCI37" s="118"/>
      <c r="VCJ37" s="118"/>
      <c r="VCK37" s="118"/>
      <c r="VCL37" s="118"/>
      <c r="VCM37" s="118"/>
      <c r="VCN37" s="118"/>
      <c r="VCO37" s="118"/>
      <c r="VCP37" s="118"/>
      <c r="VCQ37" s="118"/>
      <c r="VCR37" s="118"/>
      <c r="VCS37" s="118"/>
      <c r="VCT37" s="118"/>
      <c r="VCU37" s="118"/>
      <c r="VCV37" s="118"/>
      <c r="VCW37" s="118"/>
      <c r="VCX37" s="118"/>
      <c r="VCY37" s="118"/>
      <c r="VCZ37" s="118"/>
      <c r="VDA37" s="118"/>
      <c r="VDB37" s="118"/>
      <c r="VDC37" s="118"/>
      <c r="VDD37" s="118"/>
      <c r="VDE37" s="118"/>
      <c r="VDF37" s="118"/>
      <c r="VDG37" s="118"/>
      <c r="VDH37" s="118"/>
      <c r="VDI37" s="118"/>
      <c r="VDJ37" s="118"/>
      <c r="VDK37" s="118"/>
      <c r="VDL37" s="118"/>
      <c r="VDM37" s="118"/>
      <c r="VDN37" s="118"/>
      <c r="VDO37" s="118"/>
      <c r="VDP37" s="118"/>
      <c r="VDQ37" s="118"/>
      <c r="VDR37" s="118"/>
      <c r="VDS37" s="118"/>
      <c r="VDT37" s="118"/>
      <c r="VDU37" s="118"/>
      <c r="VDV37" s="118"/>
      <c r="VDW37" s="118"/>
      <c r="VDX37" s="118"/>
      <c r="VDY37" s="118"/>
      <c r="VDZ37" s="118"/>
      <c r="VEA37" s="118"/>
      <c r="VEB37" s="118"/>
      <c r="VEC37" s="118"/>
      <c r="VED37" s="118"/>
      <c r="VEE37" s="118"/>
      <c r="VEF37" s="118"/>
      <c r="VEG37" s="118"/>
      <c r="VEH37" s="118"/>
      <c r="VEI37" s="118"/>
      <c r="VEJ37" s="118"/>
      <c r="VEK37" s="118"/>
      <c r="VEL37" s="118"/>
      <c r="VEM37" s="118"/>
      <c r="VEN37" s="118"/>
      <c r="VEO37" s="118"/>
      <c r="VEP37" s="118"/>
      <c r="VEQ37" s="118"/>
      <c r="VER37" s="118"/>
      <c r="VES37" s="118"/>
      <c r="VET37" s="118"/>
      <c r="VEU37" s="118"/>
      <c r="VEV37" s="118"/>
      <c r="VEW37" s="118"/>
      <c r="VEX37" s="118"/>
      <c r="VEY37" s="118"/>
      <c r="VEZ37" s="118"/>
      <c r="VFA37" s="118"/>
      <c r="VFB37" s="118"/>
      <c r="VFC37" s="118"/>
      <c r="VFD37" s="118"/>
      <c r="VFE37" s="118"/>
      <c r="VFF37" s="118"/>
      <c r="VFG37" s="118"/>
      <c r="VFH37" s="118"/>
      <c r="VFI37" s="118"/>
      <c r="VFJ37" s="118"/>
      <c r="VFK37" s="118"/>
      <c r="VFL37" s="118"/>
      <c r="VFM37" s="118"/>
      <c r="VFN37" s="118"/>
      <c r="VFO37" s="118"/>
      <c r="VFP37" s="118"/>
      <c r="VFQ37" s="118"/>
      <c r="VFR37" s="118"/>
      <c r="VFS37" s="118"/>
      <c r="VFT37" s="118"/>
      <c r="VFU37" s="118"/>
      <c r="VFV37" s="118"/>
      <c r="VFW37" s="118"/>
      <c r="VFX37" s="118"/>
      <c r="VFY37" s="118"/>
      <c r="VFZ37" s="118"/>
      <c r="VGA37" s="118"/>
      <c r="VGB37" s="118"/>
      <c r="VGC37" s="118"/>
      <c r="VGD37" s="118"/>
      <c r="VGE37" s="118"/>
      <c r="VGF37" s="118"/>
      <c r="VGG37" s="118"/>
      <c r="VGH37" s="118"/>
      <c r="VGI37" s="118"/>
      <c r="VGJ37" s="118"/>
      <c r="VGK37" s="118"/>
      <c r="VGL37" s="118"/>
      <c r="VGM37" s="118"/>
      <c r="VGN37" s="118"/>
      <c r="VGO37" s="118"/>
      <c r="VGP37" s="118"/>
      <c r="VGQ37" s="118"/>
      <c r="VGR37" s="118"/>
      <c r="VGS37" s="118"/>
      <c r="VGT37" s="118"/>
      <c r="VGU37" s="118"/>
      <c r="VGV37" s="118"/>
      <c r="VGW37" s="118"/>
      <c r="VGX37" s="118"/>
      <c r="VGY37" s="118"/>
      <c r="VGZ37" s="118"/>
      <c r="VHA37" s="118"/>
      <c r="VHB37" s="118"/>
      <c r="VHC37" s="118"/>
      <c r="VHD37" s="118"/>
      <c r="VHE37" s="118"/>
      <c r="VHF37" s="118"/>
      <c r="VHG37" s="118"/>
      <c r="VHH37" s="118"/>
      <c r="VHI37" s="118"/>
      <c r="VHJ37" s="118"/>
      <c r="VHK37" s="118"/>
      <c r="VHL37" s="118"/>
      <c r="VHM37" s="118"/>
      <c r="VHN37" s="118"/>
      <c r="VHO37" s="118"/>
      <c r="VHP37" s="118"/>
      <c r="VHQ37" s="118"/>
      <c r="VHR37" s="118"/>
      <c r="VHS37" s="118"/>
      <c r="VHT37" s="118"/>
      <c r="VHU37" s="118"/>
      <c r="VHV37" s="118"/>
      <c r="VHW37" s="118"/>
      <c r="VHX37" s="118"/>
      <c r="VHY37" s="118"/>
      <c r="VHZ37" s="118"/>
      <c r="VIA37" s="118"/>
      <c r="VIB37" s="118"/>
      <c r="VIC37" s="118"/>
      <c r="VID37" s="118"/>
      <c r="VIE37" s="118"/>
      <c r="VIF37" s="118"/>
      <c r="VIG37" s="118"/>
      <c r="VIH37" s="118"/>
      <c r="VII37" s="118"/>
      <c r="VIJ37" s="118"/>
      <c r="VIK37" s="118"/>
      <c r="VIL37" s="118"/>
      <c r="VIM37" s="118"/>
      <c r="VIN37" s="118"/>
      <c r="VIO37" s="118"/>
      <c r="VIP37" s="118"/>
      <c r="VIQ37" s="118"/>
      <c r="VIR37" s="118"/>
      <c r="VIS37" s="118"/>
      <c r="VIT37" s="118"/>
      <c r="VIU37" s="118"/>
      <c r="VIV37" s="118"/>
      <c r="VIW37" s="118"/>
      <c r="VIX37" s="118"/>
      <c r="VIY37" s="118"/>
      <c r="VIZ37" s="118"/>
      <c r="VJA37" s="118"/>
      <c r="VJB37" s="118"/>
      <c r="VJC37" s="118"/>
      <c r="VJD37" s="118"/>
      <c r="VJE37" s="118"/>
      <c r="VJF37" s="118"/>
      <c r="VJG37" s="118"/>
      <c r="VJH37" s="118"/>
      <c r="VJI37" s="118"/>
      <c r="VJJ37" s="118"/>
      <c r="VJK37" s="118"/>
      <c r="VJL37" s="118"/>
      <c r="VJM37" s="118"/>
      <c r="VJN37" s="118"/>
      <c r="VJO37" s="118"/>
      <c r="VJP37" s="118"/>
      <c r="VJQ37" s="118"/>
      <c r="VJR37" s="118"/>
      <c r="VJS37" s="118"/>
      <c r="VJT37" s="118"/>
      <c r="VJU37" s="118"/>
      <c r="VJV37" s="118"/>
      <c r="VJW37" s="118"/>
      <c r="VJX37" s="118"/>
      <c r="VJY37" s="118"/>
      <c r="VJZ37" s="118"/>
      <c r="VKA37" s="118"/>
      <c r="VKB37" s="118"/>
      <c r="VKC37" s="118"/>
      <c r="VKD37" s="118"/>
      <c r="VKE37" s="118"/>
      <c r="VKF37" s="118"/>
      <c r="VKG37" s="118"/>
      <c r="VKH37" s="118"/>
      <c r="VKI37" s="118"/>
      <c r="VKJ37" s="118"/>
      <c r="VKK37" s="118"/>
      <c r="VKL37" s="118"/>
      <c r="VKM37" s="118"/>
      <c r="VKN37" s="118"/>
      <c r="VKO37" s="118"/>
      <c r="VKP37" s="118"/>
      <c r="VKQ37" s="118"/>
      <c r="VKR37" s="118"/>
      <c r="VKS37" s="118"/>
      <c r="VKT37" s="118"/>
      <c r="VKU37" s="118"/>
      <c r="VKV37" s="118"/>
      <c r="VKW37" s="118"/>
      <c r="VKX37" s="118"/>
      <c r="VKY37" s="118"/>
      <c r="VKZ37" s="118"/>
      <c r="VLA37" s="118"/>
      <c r="VLB37" s="118"/>
      <c r="VLC37" s="118"/>
      <c r="VLD37" s="118"/>
      <c r="VLE37" s="118"/>
      <c r="VLF37" s="118"/>
      <c r="VLG37" s="118"/>
      <c r="VLH37" s="118"/>
      <c r="VLI37" s="118"/>
      <c r="VLJ37" s="118"/>
      <c r="VLK37" s="118"/>
      <c r="VLL37" s="118"/>
      <c r="VLM37" s="118"/>
      <c r="VLN37" s="118"/>
      <c r="VLO37" s="118"/>
      <c r="VLP37" s="118"/>
      <c r="VLQ37" s="118"/>
      <c r="VLR37" s="118"/>
      <c r="VLS37" s="118"/>
      <c r="VLT37" s="118"/>
      <c r="VLU37" s="118"/>
      <c r="VLV37" s="118"/>
      <c r="VLW37" s="118"/>
      <c r="VLX37" s="118"/>
      <c r="VLY37" s="118"/>
      <c r="VLZ37" s="118"/>
      <c r="VMA37" s="118"/>
      <c r="VMB37" s="118"/>
      <c r="VMC37" s="118"/>
      <c r="VMD37" s="118"/>
      <c r="VME37" s="118"/>
      <c r="VMF37" s="118"/>
      <c r="VMG37" s="118"/>
      <c r="VMH37" s="118"/>
      <c r="VMI37" s="118"/>
      <c r="VMJ37" s="118"/>
      <c r="VMK37" s="118"/>
      <c r="VML37" s="118"/>
      <c r="VMM37" s="118"/>
      <c r="VMN37" s="118"/>
      <c r="VMO37" s="118"/>
      <c r="VMP37" s="118"/>
      <c r="VMQ37" s="118"/>
      <c r="VMR37" s="118"/>
      <c r="VMS37" s="118"/>
      <c r="VMT37" s="118"/>
      <c r="VMU37" s="118"/>
      <c r="VMV37" s="118"/>
      <c r="VMW37" s="118"/>
      <c r="VMX37" s="118"/>
      <c r="VMY37" s="118"/>
      <c r="VMZ37" s="118"/>
      <c r="VNA37" s="118"/>
      <c r="VNB37" s="118"/>
      <c r="VNC37" s="118"/>
      <c r="VND37" s="118"/>
      <c r="VNE37" s="118"/>
      <c r="VNF37" s="118"/>
      <c r="VNG37" s="118"/>
      <c r="VNH37" s="118"/>
      <c r="VNI37" s="118"/>
      <c r="VNJ37" s="118"/>
      <c r="VNK37" s="118"/>
      <c r="VNL37" s="118"/>
      <c r="VNM37" s="118"/>
      <c r="VNN37" s="118"/>
      <c r="VNO37" s="118"/>
      <c r="VNP37" s="118"/>
      <c r="VNQ37" s="118"/>
      <c r="VNR37" s="118"/>
      <c r="VNS37" s="118"/>
      <c r="VNT37" s="118"/>
      <c r="VNU37" s="118"/>
      <c r="VNV37" s="118"/>
      <c r="VNW37" s="118"/>
      <c r="VNX37" s="118"/>
      <c r="VNY37" s="118"/>
      <c r="VNZ37" s="118"/>
      <c r="VOA37" s="118"/>
      <c r="VOB37" s="118"/>
      <c r="VOC37" s="118"/>
      <c r="VOD37" s="118"/>
      <c r="VOE37" s="118"/>
      <c r="VOF37" s="118"/>
      <c r="VOG37" s="118"/>
      <c r="VOH37" s="118"/>
      <c r="VOI37" s="118"/>
      <c r="VOJ37" s="118"/>
      <c r="VOK37" s="118"/>
      <c r="VOL37" s="118"/>
      <c r="VOM37" s="118"/>
      <c r="VON37" s="118"/>
      <c r="VOO37" s="118"/>
      <c r="VOP37" s="118"/>
      <c r="VOQ37" s="118"/>
      <c r="VOR37" s="118"/>
      <c r="VOS37" s="118"/>
      <c r="VOT37" s="118"/>
      <c r="VOU37" s="118"/>
      <c r="VOV37" s="118"/>
      <c r="VOW37" s="118"/>
      <c r="VOX37" s="118"/>
      <c r="VOY37" s="118"/>
      <c r="VOZ37" s="118"/>
      <c r="VPA37" s="118"/>
      <c r="VPB37" s="118"/>
      <c r="VPC37" s="118"/>
      <c r="VPD37" s="118"/>
      <c r="VPE37" s="118"/>
      <c r="VPF37" s="118"/>
      <c r="VPG37" s="118"/>
      <c r="VPH37" s="118"/>
      <c r="VPI37" s="118"/>
      <c r="VPJ37" s="118"/>
      <c r="VPK37" s="118"/>
      <c r="VPL37" s="118"/>
      <c r="VPM37" s="118"/>
      <c r="VPN37" s="118"/>
      <c r="VPO37" s="118"/>
      <c r="VPP37" s="118"/>
      <c r="VPQ37" s="118"/>
      <c r="VPR37" s="118"/>
      <c r="VPS37" s="118"/>
      <c r="VPT37" s="118"/>
      <c r="VPU37" s="118"/>
      <c r="VPV37" s="118"/>
      <c r="VPW37" s="118"/>
      <c r="VPX37" s="118"/>
      <c r="VPY37" s="118"/>
      <c r="VPZ37" s="118"/>
      <c r="VQA37" s="118"/>
      <c r="VQB37" s="118"/>
      <c r="VQC37" s="118"/>
      <c r="VQD37" s="118"/>
      <c r="VQE37" s="118"/>
      <c r="VQF37" s="118"/>
      <c r="VQG37" s="118"/>
      <c r="VQH37" s="118"/>
      <c r="VQI37" s="118"/>
      <c r="VQJ37" s="118"/>
      <c r="VQK37" s="118"/>
      <c r="VQL37" s="118"/>
      <c r="VQM37" s="118"/>
      <c r="VQN37" s="118"/>
      <c r="VQO37" s="118"/>
      <c r="VQP37" s="118"/>
      <c r="VQQ37" s="118"/>
      <c r="VQR37" s="118"/>
      <c r="VQS37" s="118"/>
      <c r="VQT37" s="118"/>
      <c r="VQU37" s="118"/>
      <c r="VQV37" s="118"/>
      <c r="VQW37" s="118"/>
      <c r="VQX37" s="118"/>
      <c r="VQY37" s="118"/>
      <c r="VQZ37" s="118"/>
      <c r="VRA37" s="118"/>
      <c r="VRB37" s="118"/>
      <c r="VRC37" s="118"/>
      <c r="VRD37" s="118"/>
      <c r="VRE37" s="118"/>
      <c r="VRF37" s="118"/>
      <c r="VRG37" s="118"/>
      <c r="VRH37" s="118"/>
      <c r="VRI37" s="118"/>
      <c r="VRJ37" s="118"/>
      <c r="VRK37" s="118"/>
      <c r="VRL37" s="118"/>
      <c r="VRM37" s="118"/>
      <c r="VRN37" s="118"/>
      <c r="VRO37" s="118"/>
      <c r="VRP37" s="118"/>
      <c r="VRQ37" s="118"/>
      <c r="VRR37" s="118"/>
      <c r="VRS37" s="118"/>
      <c r="VRT37" s="118"/>
      <c r="VRU37" s="118"/>
      <c r="VRV37" s="118"/>
      <c r="VRW37" s="118"/>
      <c r="VRX37" s="118"/>
      <c r="VRY37" s="118"/>
      <c r="VRZ37" s="118"/>
      <c r="VSA37" s="118"/>
      <c r="VSB37" s="118"/>
      <c r="VSC37" s="118"/>
      <c r="VSD37" s="118"/>
      <c r="VSE37" s="118"/>
      <c r="VSF37" s="118"/>
      <c r="VSG37" s="118"/>
      <c r="VSH37" s="118"/>
      <c r="VSI37" s="118"/>
      <c r="VSJ37" s="118"/>
      <c r="VSK37" s="118"/>
      <c r="VSL37" s="118"/>
      <c r="VSM37" s="118"/>
      <c r="VSN37" s="118"/>
      <c r="VSO37" s="118"/>
      <c r="VSP37" s="118"/>
      <c r="VSQ37" s="118"/>
      <c r="VSR37" s="118"/>
      <c r="VSS37" s="118"/>
      <c r="VST37" s="118"/>
      <c r="VSU37" s="118"/>
      <c r="VSV37" s="118"/>
      <c r="VSW37" s="118"/>
      <c r="VSX37" s="118"/>
      <c r="VSY37" s="118"/>
      <c r="VSZ37" s="118"/>
      <c r="VTA37" s="118"/>
      <c r="VTB37" s="118"/>
      <c r="VTC37" s="118"/>
      <c r="VTD37" s="118"/>
      <c r="VTE37" s="118"/>
      <c r="VTF37" s="118"/>
      <c r="VTG37" s="118"/>
      <c r="VTH37" s="118"/>
      <c r="VTI37" s="118"/>
      <c r="VTJ37" s="118"/>
      <c r="VTK37" s="118"/>
      <c r="VTL37" s="118"/>
      <c r="VTM37" s="118"/>
      <c r="VTN37" s="118"/>
      <c r="VTO37" s="118"/>
      <c r="VTP37" s="118"/>
      <c r="VTQ37" s="118"/>
      <c r="VTR37" s="118"/>
      <c r="VTS37" s="118"/>
      <c r="VTT37" s="118"/>
      <c r="VTU37" s="118"/>
      <c r="VTV37" s="118"/>
      <c r="VTW37" s="118"/>
      <c r="VTX37" s="118"/>
      <c r="VTY37" s="118"/>
      <c r="VTZ37" s="118"/>
      <c r="VUA37" s="118"/>
      <c r="VUB37" s="118"/>
      <c r="VUC37" s="118"/>
      <c r="VUD37" s="118"/>
      <c r="VUE37" s="118"/>
      <c r="VUF37" s="118"/>
      <c r="VUG37" s="118"/>
      <c r="VUH37" s="118"/>
      <c r="VUI37" s="118"/>
      <c r="VUJ37" s="118"/>
      <c r="VUK37" s="118"/>
      <c r="VUL37" s="118"/>
      <c r="VUM37" s="118"/>
      <c r="VUN37" s="118"/>
      <c r="VUO37" s="118"/>
      <c r="VUP37" s="118"/>
      <c r="VUQ37" s="118"/>
      <c r="VUR37" s="118"/>
      <c r="VUS37" s="118"/>
      <c r="VUT37" s="118"/>
      <c r="VUU37" s="118"/>
      <c r="VUV37" s="118"/>
      <c r="VUW37" s="118"/>
      <c r="VUX37" s="118"/>
      <c r="VUY37" s="118"/>
      <c r="VUZ37" s="118"/>
      <c r="VVA37" s="118"/>
      <c r="VVB37" s="118"/>
      <c r="VVC37" s="118"/>
      <c r="VVD37" s="118"/>
      <c r="VVE37" s="118"/>
      <c r="VVF37" s="118"/>
      <c r="VVG37" s="118"/>
      <c r="VVH37" s="118"/>
      <c r="VVI37" s="118"/>
      <c r="VVJ37" s="118"/>
      <c r="VVK37" s="118"/>
      <c r="VVL37" s="118"/>
      <c r="VVM37" s="118"/>
      <c r="VVN37" s="118"/>
      <c r="VVO37" s="118"/>
      <c r="VVP37" s="118"/>
      <c r="VVQ37" s="118"/>
      <c r="VVR37" s="118"/>
      <c r="VVS37" s="118"/>
      <c r="VVT37" s="118"/>
      <c r="VVU37" s="118"/>
      <c r="VVV37" s="118"/>
      <c r="VVW37" s="118"/>
      <c r="VVX37" s="118"/>
      <c r="VVY37" s="118"/>
      <c r="VVZ37" s="118"/>
      <c r="VWA37" s="118"/>
      <c r="VWB37" s="118"/>
      <c r="VWC37" s="118"/>
      <c r="VWD37" s="118"/>
      <c r="VWE37" s="118"/>
      <c r="VWF37" s="118"/>
      <c r="VWG37" s="118"/>
      <c r="VWH37" s="118"/>
      <c r="VWI37" s="118"/>
      <c r="VWJ37" s="118"/>
      <c r="VWK37" s="118"/>
      <c r="VWL37" s="118"/>
      <c r="VWM37" s="118"/>
      <c r="VWN37" s="118"/>
      <c r="VWO37" s="118"/>
      <c r="VWP37" s="118"/>
      <c r="VWQ37" s="118"/>
      <c r="VWR37" s="118"/>
      <c r="VWS37" s="118"/>
      <c r="VWT37" s="118"/>
      <c r="VWU37" s="118"/>
      <c r="VWV37" s="118"/>
      <c r="VWW37" s="118"/>
      <c r="VWX37" s="118"/>
      <c r="VWY37" s="118"/>
      <c r="VWZ37" s="118"/>
      <c r="VXA37" s="118"/>
      <c r="VXB37" s="118"/>
      <c r="VXC37" s="118"/>
      <c r="VXD37" s="118"/>
      <c r="VXE37" s="118"/>
      <c r="VXF37" s="118"/>
      <c r="VXG37" s="118"/>
      <c r="VXH37" s="118"/>
      <c r="VXI37" s="118"/>
      <c r="VXJ37" s="118"/>
      <c r="VXK37" s="118"/>
      <c r="VXL37" s="118"/>
      <c r="VXM37" s="118"/>
      <c r="VXN37" s="118"/>
      <c r="VXO37" s="118"/>
      <c r="VXP37" s="118"/>
      <c r="VXQ37" s="118"/>
      <c r="VXR37" s="118"/>
      <c r="VXS37" s="118"/>
      <c r="VXT37" s="118"/>
      <c r="VXU37" s="118"/>
      <c r="VXV37" s="118"/>
      <c r="VXW37" s="118"/>
      <c r="VXX37" s="118"/>
      <c r="VXY37" s="118"/>
      <c r="VXZ37" s="118"/>
      <c r="VYA37" s="118"/>
      <c r="VYB37" s="118"/>
      <c r="VYC37" s="118"/>
      <c r="VYD37" s="118"/>
      <c r="VYE37" s="118"/>
      <c r="VYF37" s="118"/>
      <c r="VYG37" s="118"/>
      <c r="VYH37" s="118"/>
      <c r="VYI37" s="118"/>
      <c r="VYJ37" s="118"/>
      <c r="VYK37" s="118"/>
      <c r="VYL37" s="118"/>
      <c r="VYM37" s="118"/>
      <c r="VYN37" s="118"/>
      <c r="VYO37" s="118"/>
      <c r="VYP37" s="118"/>
      <c r="VYQ37" s="118"/>
      <c r="VYR37" s="118"/>
      <c r="VYS37" s="118"/>
      <c r="VYT37" s="118"/>
      <c r="VYU37" s="118"/>
      <c r="VYV37" s="118"/>
      <c r="VYW37" s="118"/>
      <c r="VYX37" s="118"/>
      <c r="VYY37" s="118"/>
      <c r="VYZ37" s="118"/>
      <c r="VZA37" s="118"/>
      <c r="VZB37" s="118"/>
      <c r="VZC37" s="118"/>
      <c r="VZD37" s="118"/>
      <c r="VZE37" s="118"/>
      <c r="VZF37" s="118"/>
      <c r="VZG37" s="118"/>
      <c r="VZH37" s="118"/>
      <c r="VZI37" s="118"/>
      <c r="VZJ37" s="118"/>
      <c r="VZK37" s="118"/>
      <c r="VZL37" s="118"/>
      <c r="VZM37" s="118"/>
      <c r="VZN37" s="118"/>
      <c r="VZO37" s="118"/>
      <c r="VZP37" s="118"/>
      <c r="VZQ37" s="118"/>
      <c r="VZR37" s="118"/>
      <c r="VZS37" s="118"/>
      <c r="VZT37" s="118"/>
      <c r="VZU37" s="118"/>
      <c r="VZV37" s="118"/>
      <c r="VZW37" s="118"/>
      <c r="VZX37" s="118"/>
      <c r="VZY37" s="118"/>
      <c r="VZZ37" s="118"/>
      <c r="WAA37" s="118"/>
      <c r="WAB37" s="118"/>
      <c r="WAC37" s="118"/>
      <c r="WAD37" s="118"/>
      <c r="WAE37" s="118"/>
      <c r="WAF37" s="118"/>
      <c r="WAG37" s="118"/>
      <c r="WAH37" s="118"/>
      <c r="WAI37" s="118"/>
      <c r="WAJ37" s="118"/>
      <c r="WAK37" s="118"/>
      <c r="WAL37" s="118"/>
      <c r="WAM37" s="118"/>
      <c r="WAN37" s="118"/>
      <c r="WAO37" s="118"/>
      <c r="WAP37" s="118"/>
      <c r="WAQ37" s="118"/>
      <c r="WAR37" s="118"/>
      <c r="WAS37" s="118"/>
      <c r="WAT37" s="118"/>
      <c r="WAU37" s="118"/>
      <c r="WAV37" s="118"/>
      <c r="WAW37" s="118"/>
      <c r="WAX37" s="118"/>
      <c r="WAY37" s="118"/>
      <c r="WAZ37" s="118"/>
      <c r="WBA37" s="118"/>
      <c r="WBB37" s="118"/>
      <c r="WBC37" s="118"/>
      <c r="WBD37" s="118"/>
      <c r="WBE37" s="118"/>
      <c r="WBF37" s="118"/>
      <c r="WBG37" s="118"/>
      <c r="WBH37" s="118"/>
      <c r="WBI37" s="118"/>
      <c r="WBJ37" s="118"/>
      <c r="WBK37" s="118"/>
      <c r="WBL37" s="118"/>
      <c r="WBM37" s="118"/>
      <c r="WBN37" s="118"/>
      <c r="WBO37" s="118"/>
      <c r="WBP37" s="118"/>
      <c r="WBQ37" s="118"/>
      <c r="WBR37" s="118"/>
      <c r="WBS37" s="118"/>
      <c r="WBT37" s="118"/>
      <c r="WBU37" s="118"/>
      <c r="WBV37" s="118"/>
      <c r="WBW37" s="118"/>
      <c r="WBX37" s="118"/>
      <c r="WBY37" s="118"/>
      <c r="WBZ37" s="118"/>
      <c r="WCA37" s="118"/>
      <c r="WCB37" s="118"/>
      <c r="WCC37" s="118"/>
      <c r="WCD37" s="118"/>
      <c r="WCE37" s="118"/>
      <c r="WCF37" s="118"/>
      <c r="WCG37" s="118"/>
      <c r="WCH37" s="118"/>
      <c r="WCI37" s="118"/>
      <c r="WCJ37" s="118"/>
      <c r="WCK37" s="118"/>
      <c r="WCL37" s="118"/>
      <c r="WCM37" s="118"/>
      <c r="WCN37" s="118"/>
      <c r="WCO37" s="118"/>
      <c r="WCP37" s="118"/>
      <c r="WCQ37" s="118"/>
      <c r="WCR37" s="118"/>
      <c r="WCS37" s="118"/>
      <c r="WCT37" s="118"/>
      <c r="WCU37" s="118"/>
      <c r="WCV37" s="118"/>
      <c r="WCW37" s="118"/>
      <c r="WCX37" s="118"/>
      <c r="WCY37" s="118"/>
      <c r="WCZ37" s="118"/>
      <c r="WDA37" s="118"/>
      <c r="WDB37" s="118"/>
      <c r="WDC37" s="118"/>
      <c r="WDD37" s="118"/>
      <c r="WDE37" s="118"/>
      <c r="WDF37" s="118"/>
      <c r="WDG37" s="118"/>
      <c r="WDH37" s="118"/>
      <c r="WDI37" s="118"/>
      <c r="WDJ37" s="118"/>
      <c r="WDK37" s="118"/>
      <c r="WDL37" s="118"/>
      <c r="WDM37" s="118"/>
      <c r="WDN37" s="118"/>
      <c r="WDO37" s="118"/>
      <c r="WDP37" s="118"/>
      <c r="WDQ37" s="118"/>
      <c r="WDR37" s="118"/>
      <c r="WDS37" s="118"/>
      <c r="WDT37" s="118"/>
      <c r="WDU37" s="118"/>
      <c r="WDV37" s="118"/>
      <c r="WDW37" s="118"/>
      <c r="WDX37" s="118"/>
      <c r="WDY37" s="118"/>
      <c r="WDZ37" s="118"/>
      <c r="WEA37" s="118"/>
      <c r="WEB37" s="118"/>
      <c r="WEC37" s="118"/>
      <c r="WED37" s="118"/>
      <c r="WEE37" s="118"/>
      <c r="WEF37" s="118"/>
      <c r="WEG37" s="118"/>
      <c r="WEH37" s="118"/>
      <c r="WEI37" s="118"/>
      <c r="WEJ37" s="118"/>
      <c r="WEK37" s="118"/>
      <c r="WEL37" s="118"/>
      <c r="WEM37" s="118"/>
      <c r="WEN37" s="118"/>
      <c r="WEO37" s="118"/>
      <c r="WEP37" s="118"/>
      <c r="WEQ37" s="118"/>
      <c r="WER37" s="118"/>
      <c r="WES37" s="118"/>
      <c r="WET37" s="118"/>
      <c r="WEU37" s="118"/>
      <c r="WEV37" s="118"/>
      <c r="WEW37" s="118"/>
      <c r="WEX37" s="118"/>
      <c r="WEY37" s="118"/>
      <c r="WEZ37" s="118"/>
      <c r="WFA37" s="118"/>
      <c r="WFB37" s="118"/>
      <c r="WFC37" s="118"/>
      <c r="WFD37" s="118"/>
      <c r="WFE37" s="118"/>
      <c r="WFF37" s="118"/>
      <c r="WFG37" s="118"/>
      <c r="WFH37" s="118"/>
      <c r="WFI37" s="118"/>
      <c r="WFJ37" s="118"/>
      <c r="WFK37" s="118"/>
      <c r="WFL37" s="118"/>
      <c r="WFM37" s="118"/>
      <c r="WFN37" s="118"/>
      <c r="WFO37" s="118"/>
      <c r="WFP37" s="118"/>
      <c r="WFQ37" s="118"/>
      <c r="WFR37" s="118"/>
      <c r="WFS37" s="118"/>
      <c r="WFT37" s="118"/>
      <c r="WFU37" s="118"/>
      <c r="WFV37" s="118"/>
      <c r="WFW37" s="118"/>
      <c r="WFX37" s="118"/>
      <c r="WFY37" s="118"/>
      <c r="WFZ37" s="118"/>
      <c r="WGA37" s="118"/>
      <c r="WGB37" s="118"/>
      <c r="WGC37" s="118"/>
      <c r="WGD37" s="118"/>
      <c r="WGE37" s="118"/>
      <c r="WGF37" s="118"/>
      <c r="WGG37" s="118"/>
      <c r="WGH37" s="118"/>
      <c r="WGI37" s="118"/>
      <c r="WGJ37" s="118"/>
      <c r="WGK37" s="118"/>
      <c r="WGL37" s="118"/>
      <c r="WGM37" s="118"/>
      <c r="WGN37" s="118"/>
      <c r="WGO37" s="118"/>
      <c r="WGP37" s="118"/>
      <c r="WGQ37" s="118"/>
      <c r="WGR37" s="118"/>
      <c r="WGS37" s="118"/>
      <c r="WGT37" s="118"/>
      <c r="WGU37" s="118"/>
      <c r="WGV37" s="118"/>
      <c r="WGW37" s="118"/>
      <c r="WGX37" s="118"/>
      <c r="WGY37" s="118"/>
      <c r="WGZ37" s="118"/>
      <c r="WHA37" s="118"/>
      <c r="WHB37" s="118"/>
      <c r="WHC37" s="118"/>
      <c r="WHD37" s="118"/>
      <c r="WHE37" s="118"/>
      <c r="WHF37" s="118"/>
      <c r="WHG37" s="118"/>
      <c r="WHH37" s="118"/>
      <c r="WHI37" s="118"/>
      <c r="WHJ37" s="118"/>
      <c r="WHK37" s="118"/>
      <c r="WHL37" s="118"/>
      <c r="WHM37" s="118"/>
      <c r="WHN37" s="118"/>
      <c r="WHO37" s="118"/>
      <c r="WHP37" s="118"/>
      <c r="WHQ37" s="118"/>
      <c r="WHR37" s="118"/>
      <c r="WHS37" s="118"/>
      <c r="WHT37" s="118"/>
      <c r="WHU37" s="118"/>
      <c r="WHV37" s="118"/>
      <c r="WHW37" s="118"/>
      <c r="WHX37" s="118"/>
      <c r="WHY37" s="118"/>
      <c r="WHZ37" s="118"/>
      <c r="WIA37" s="118"/>
      <c r="WIB37" s="118"/>
      <c r="WIC37" s="118"/>
      <c r="WID37" s="118"/>
      <c r="WIE37" s="118"/>
      <c r="WIF37" s="118"/>
      <c r="WIG37" s="118"/>
      <c r="WIH37" s="118"/>
      <c r="WII37" s="118"/>
      <c r="WIJ37" s="118"/>
      <c r="WIK37" s="118"/>
      <c r="WIL37" s="118"/>
      <c r="WIM37" s="118"/>
      <c r="WIN37" s="118"/>
      <c r="WIO37" s="118"/>
      <c r="WIP37" s="118"/>
      <c r="WIQ37" s="118"/>
      <c r="WIR37" s="118"/>
      <c r="WIS37" s="118"/>
      <c r="WIT37" s="118"/>
      <c r="WIU37" s="118"/>
      <c r="WIV37" s="118"/>
      <c r="WIW37" s="118"/>
      <c r="WIX37" s="118"/>
      <c r="WIY37" s="118"/>
      <c r="WIZ37" s="118"/>
      <c r="WJA37" s="118"/>
      <c r="WJB37" s="118"/>
      <c r="WJC37" s="118"/>
      <c r="WJD37" s="118"/>
      <c r="WJE37" s="118"/>
      <c r="WJF37" s="118"/>
      <c r="WJG37" s="118"/>
      <c r="WJH37" s="118"/>
      <c r="WJI37" s="118"/>
      <c r="WJJ37" s="118"/>
      <c r="WJK37" s="118"/>
      <c r="WJL37" s="118"/>
      <c r="WJM37" s="118"/>
      <c r="WJN37" s="118"/>
      <c r="WJO37" s="118"/>
      <c r="WJP37" s="118"/>
      <c r="WJQ37" s="118"/>
      <c r="WJR37" s="118"/>
      <c r="WJS37" s="118"/>
      <c r="WJT37" s="118"/>
      <c r="WJU37" s="118"/>
      <c r="WJV37" s="118"/>
      <c r="WJW37" s="118"/>
      <c r="WJX37" s="118"/>
      <c r="WJY37" s="118"/>
      <c r="WJZ37" s="118"/>
      <c r="WKA37" s="118"/>
      <c r="WKB37" s="118"/>
      <c r="WKC37" s="118"/>
      <c r="WKD37" s="118"/>
      <c r="WKE37" s="118"/>
      <c r="WKF37" s="118"/>
      <c r="WKG37" s="118"/>
      <c r="WKH37" s="118"/>
      <c r="WKI37" s="118"/>
      <c r="WKJ37" s="118"/>
      <c r="WKK37" s="118"/>
      <c r="WKL37" s="118"/>
      <c r="WKM37" s="118"/>
      <c r="WKN37" s="118"/>
      <c r="WKO37" s="118"/>
      <c r="WKP37" s="118"/>
      <c r="WKQ37" s="118"/>
      <c r="WKR37" s="118"/>
      <c r="WKS37" s="118"/>
      <c r="WKT37" s="118"/>
      <c r="WKU37" s="118"/>
      <c r="WKV37" s="118"/>
      <c r="WKW37" s="118"/>
      <c r="WKX37" s="118"/>
      <c r="WKY37" s="118"/>
      <c r="WKZ37" s="118"/>
      <c r="WLA37" s="118"/>
      <c r="WLB37" s="118"/>
      <c r="WLC37" s="118"/>
      <c r="WLD37" s="118"/>
      <c r="WLE37" s="118"/>
      <c r="WLF37" s="118"/>
      <c r="WLG37" s="118"/>
      <c r="WLH37" s="118"/>
      <c r="WLI37" s="118"/>
      <c r="WLJ37" s="118"/>
      <c r="WLK37" s="118"/>
      <c r="WLL37" s="118"/>
      <c r="WLM37" s="118"/>
      <c r="WLN37" s="118"/>
      <c r="WLO37" s="118"/>
      <c r="WLP37" s="118"/>
      <c r="WLQ37" s="118"/>
      <c r="WLR37" s="118"/>
      <c r="WLS37" s="118"/>
      <c r="WLT37" s="118"/>
      <c r="WLU37" s="118"/>
      <c r="WLV37" s="118"/>
      <c r="WLW37" s="118"/>
      <c r="WLX37" s="118"/>
      <c r="WLY37" s="118"/>
      <c r="WLZ37" s="118"/>
      <c r="WMA37" s="118"/>
      <c r="WMB37" s="118"/>
      <c r="WMC37" s="118"/>
      <c r="WMD37" s="118"/>
      <c r="WME37" s="118"/>
      <c r="WMF37" s="118"/>
      <c r="WMG37" s="118"/>
      <c r="WMH37" s="118"/>
      <c r="WMI37" s="118"/>
      <c r="WMJ37" s="118"/>
      <c r="WMK37" s="118"/>
      <c r="WML37" s="118"/>
      <c r="WMM37" s="118"/>
      <c r="WMN37" s="118"/>
      <c r="WMO37" s="118"/>
      <c r="WMP37" s="118"/>
      <c r="WMQ37" s="118"/>
      <c r="WMR37" s="118"/>
      <c r="WMS37" s="118"/>
      <c r="WMT37" s="118"/>
      <c r="WMU37" s="118"/>
      <c r="WMV37" s="118"/>
      <c r="WMW37" s="118"/>
      <c r="WMX37" s="118"/>
      <c r="WMY37" s="118"/>
      <c r="WMZ37" s="118"/>
      <c r="WNA37" s="118"/>
      <c r="WNB37" s="118"/>
      <c r="WNC37" s="118"/>
      <c r="WND37" s="118"/>
      <c r="WNE37" s="118"/>
      <c r="WNF37" s="118"/>
      <c r="WNG37" s="118"/>
      <c r="WNH37" s="118"/>
      <c r="WNI37" s="118"/>
      <c r="WNJ37" s="118"/>
      <c r="WNK37" s="118"/>
      <c r="WNL37" s="118"/>
      <c r="WNM37" s="118"/>
      <c r="WNN37" s="118"/>
      <c r="WNO37" s="118"/>
      <c r="WNP37" s="118"/>
      <c r="WNQ37" s="118"/>
      <c r="WNR37" s="118"/>
      <c r="WNS37" s="118"/>
      <c r="WNT37" s="118"/>
      <c r="WNU37" s="118"/>
      <c r="WNV37" s="118"/>
      <c r="WNW37" s="118"/>
      <c r="WNX37" s="118"/>
      <c r="WNY37" s="118"/>
      <c r="WNZ37" s="118"/>
      <c r="WOA37" s="118"/>
      <c r="WOB37" s="118"/>
      <c r="WOC37" s="118"/>
      <c r="WOD37" s="118"/>
      <c r="WOE37" s="118"/>
      <c r="WOF37" s="118"/>
      <c r="WOG37" s="118"/>
      <c r="WOH37" s="118"/>
      <c r="WOI37" s="118"/>
      <c r="WOJ37" s="118"/>
      <c r="WOK37" s="118"/>
      <c r="WOL37" s="118"/>
      <c r="WOM37" s="118"/>
      <c r="WON37" s="118"/>
      <c r="WOO37" s="118"/>
      <c r="WOP37" s="118"/>
      <c r="WOQ37" s="118"/>
      <c r="WOR37" s="118"/>
      <c r="WOS37" s="118"/>
      <c r="WOT37" s="118"/>
      <c r="WOU37" s="118"/>
      <c r="WOV37" s="118"/>
      <c r="WOW37" s="118"/>
      <c r="WOX37" s="118"/>
      <c r="WOY37" s="118"/>
      <c r="WOZ37" s="118"/>
      <c r="WPA37" s="118"/>
      <c r="WPB37" s="118"/>
      <c r="WPC37" s="118"/>
      <c r="WPD37" s="118"/>
      <c r="WPE37" s="118"/>
      <c r="WPF37" s="118"/>
      <c r="WPG37" s="118"/>
      <c r="WPH37" s="118"/>
      <c r="WPI37" s="118"/>
      <c r="WPJ37" s="118"/>
      <c r="WPK37" s="118"/>
      <c r="WPL37" s="118"/>
      <c r="WPM37" s="118"/>
      <c r="WPN37" s="118"/>
      <c r="WPO37" s="118"/>
      <c r="WPP37" s="118"/>
      <c r="WPQ37" s="118"/>
      <c r="WPR37" s="118"/>
      <c r="WPS37" s="118"/>
      <c r="WPT37" s="118"/>
      <c r="WPU37" s="118"/>
      <c r="WPV37" s="118"/>
      <c r="WPW37" s="118"/>
      <c r="WPX37" s="118"/>
      <c r="WPY37" s="118"/>
      <c r="WPZ37" s="118"/>
      <c r="WQA37" s="118"/>
      <c r="WQB37" s="118"/>
      <c r="WQC37" s="118"/>
      <c r="WQD37" s="118"/>
      <c r="WQE37" s="118"/>
      <c r="WQF37" s="118"/>
      <c r="WQG37" s="118"/>
      <c r="WQH37" s="118"/>
      <c r="WQI37" s="118"/>
      <c r="WQJ37" s="118"/>
      <c r="WQK37" s="118"/>
      <c r="WQL37" s="118"/>
      <c r="WQM37" s="118"/>
      <c r="WQN37" s="118"/>
      <c r="WQO37" s="118"/>
      <c r="WQP37" s="118"/>
      <c r="WQQ37" s="118"/>
      <c r="WQR37" s="118"/>
      <c r="WQS37" s="118"/>
      <c r="WQT37" s="118"/>
      <c r="WQU37" s="118"/>
      <c r="WQV37" s="118"/>
      <c r="WQW37" s="118"/>
      <c r="WQX37" s="118"/>
      <c r="WQY37" s="118"/>
      <c r="WQZ37" s="118"/>
      <c r="WRA37" s="118"/>
      <c r="WRB37" s="118"/>
      <c r="WRC37" s="118"/>
      <c r="WRD37" s="118"/>
      <c r="WRE37" s="118"/>
      <c r="WRF37" s="118"/>
      <c r="WRG37" s="118"/>
      <c r="WRH37" s="118"/>
      <c r="WRI37" s="118"/>
      <c r="WRJ37" s="118"/>
      <c r="WRK37" s="118"/>
      <c r="WRL37" s="118"/>
      <c r="WRM37" s="118"/>
      <c r="WRN37" s="118"/>
      <c r="WRO37" s="118"/>
      <c r="WRP37" s="118"/>
      <c r="WRQ37" s="118"/>
      <c r="WRR37" s="118"/>
      <c r="WRS37" s="118"/>
      <c r="WRT37" s="118"/>
      <c r="WRU37" s="118"/>
      <c r="WRV37" s="118"/>
      <c r="WRW37" s="118"/>
      <c r="WRX37" s="118"/>
      <c r="WRY37" s="118"/>
      <c r="WRZ37" s="118"/>
      <c r="WSA37" s="118"/>
      <c r="WSB37" s="118"/>
      <c r="WSC37" s="118"/>
      <c r="WSD37" s="118"/>
      <c r="WSE37" s="118"/>
      <c r="WSF37" s="118"/>
      <c r="WSG37" s="118"/>
      <c r="WSH37" s="118"/>
      <c r="WSI37" s="118"/>
      <c r="WSJ37" s="118"/>
      <c r="WSK37" s="118"/>
      <c r="WSL37" s="118"/>
      <c r="WSM37" s="118"/>
      <c r="WSN37" s="118"/>
      <c r="WSO37" s="118"/>
      <c r="WSP37" s="118"/>
      <c r="WSQ37" s="118"/>
      <c r="WSR37" s="118"/>
      <c r="WSS37" s="118"/>
      <c r="WST37" s="118"/>
      <c r="WSU37" s="118"/>
      <c r="WSV37" s="118"/>
      <c r="WSW37" s="118"/>
      <c r="WSX37" s="118"/>
      <c r="WSY37" s="118"/>
      <c r="WSZ37" s="118"/>
      <c r="WTA37" s="118"/>
      <c r="WTB37" s="118"/>
      <c r="WTC37" s="118"/>
      <c r="WTD37" s="118"/>
      <c r="WTE37" s="118"/>
      <c r="WTF37" s="118"/>
      <c r="WTG37" s="118"/>
      <c r="WTH37" s="118"/>
      <c r="WTI37" s="118"/>
      <c r="WTJ37" s="118"/>
      <c r="WTK37" s="118"/>
      <c r="WTL37" s="118"/>
      <c r="WTM37" s="118"/>
      <c r="WTN37" s="118"/>
      <c r="WTO37" s="118"/>
      <c r="WTP37" s="118"/>
      <c r="WTQ37" s="118"/>
      <c r="WTR37" s="118"/>
      <c r="WTS37" s="118"/>
      <c r="WTT37" s="118"/>
      <c r="WTU37" s="118"/>
      <c r="WTV37" s="118"/>
      <c r="WTW37" s="118"/>
      <c r="WTX37" s="118"/>
      <c r="WTY37" s="118"/>
      <c r="WTZ37" s="118"/>
      <c r="WUA37" s="118"/>
      <c r="WUB37" s="118"/>
      <c r="WUC37" s="118"/>
      <c r="WUD37" s="118"/>
      <c r="WUE37" s="118"/>
      <c r="WUF37" s="118"/>
      <c r="WUG37" s="118"/>
      <c r="WUH37" s="118"/>
      <c r="WUI37" s="118"/>
      <c r="WUJ37" s="118"/>
      <c r="WUK37" s="118"/>
      <c r="WUL37" s="118"/>
      <c r="WUM37" s="118"/>
      <c r="WUN37" s="118"/>
      <c r="WUO37" s="118"/>
      <c r="WUP37" s="118"/>
      <c r="WUQ37" s="118"/>
      <c r="WUR37" s="118"/>
      <c r="WUS37" s="118"/>
      <c r="WUT37" s="118"/>
      <c r="WUU37" s="118"/>
      <c r="WUV37" s="118"/>
      <c r="WUW37" s="118"/>
      <c r="WUX37" s="118"/>
      <c r="WUY37" s="118"/>
      <c r="WUZ37" s="118"/>
      <c r="WVA37" s="118"/>
      <c r="WVB37" s="118"/>
      <c r="WVC37" s="118"/>
      <c r="WVD37" s="118"/>
      <c r="WVE37" s="118"/>
      <c r="WVF37" s="118"/>
      <c r="WVG37" s="118"/>
      <c r="WVH37" s="118"/>
      <c r="WVI37" s="118"/>
      <c r="WVJ37" s="118"/>
      <c r="WVK37" s="118"/>
      <c r="WVL37" s="118"/>
      <c r="WVM37" s="118"/>
      <c r="WVN37" s="118"/>
      <c r="WVO37" s="118"/>
      <c r="WVP37" s="118"/>
      <c r="WVQ37" s="118"/>
      <c r="WVR37" s="118"/>
      <c r="WVS37" s="118"/>
      <c r="WVT37" s="118"/>
      <c r="WVU37" s="118"/>
      <c r="WVV37" s="118"/>
      <c r="WVW37" s="118"/>
      <c r="WVX37" s="118"/>
      <c r="WVY37" s="118"/>
      <c r="WVZ37" s="118"/>
      <c r="WWA37" s="118"/>
      <c r="WWB37" s="118"/>
      <c r="WWC37" s="118"/>
      <c r="WWD37" s="118"/>
      <c r="WWE37" s="118"/>
      <c r="WWF37" s="118"/>
      <c r="WWG37" s="118"/>
      <c r="WWH37" s="118"/>
      <c r="WWI37" s="118"/>
      <c r="WWJ37" s="118"/>
      <c r="WWK37" s="118"/>
      <c r="WWL37" s="118"/>
      <c r="WWM37" s="118"/>
      <c r="WWN37" s="118"/>
      <c r="WWO37" s="118"/>
      <c r="WWP37" s="118"/>
      <c r="WWQ37" s="118"/>
      <c r="WWR37" s="118"/>
      <c r="WWS37" s="118"/>
      <c r="WWT37" s="118"/>
      <c r="WWU37" s="118"/>
      <c r="WWV37" s="118"/>
      <c r="WWW37" s="118"/>
      <c r="WWX37" s="118"/>
      <c r="WWY37" s="118"/>
      <c r="WWZ37" s="118"/>
      <c r="WXA37" s="118"/>
      <c r="WXB37" s="118"/>
      <c r="WXC37" s="118"/>
      <c r="WXD37" s="118"/>
      <c r="WXE37" s="118"/>
      <c r="WXF37" s="118"/>
      <c r="WXG37" s="118"/>
      <c r="WXH37" s="118"/>
      <c r="WXI37" s="118"/>
      <c r="WXJ37" s="118"/>
      <c r="WXK37" s="118"/>
      <c r="WXL37" s="118"/>
      <c r="WXM37" s="118"/>
      <c r="WXN37" s="118"/>
      <c r="WXO37" s="118"/>
      <c r="WXP37" s="118"/>
      <c r="WXQ37" s="118"/>
      <c r="WXR37" s="118"/>
      <c r="WXS37" s="118"/>
      <c r="WXT37" s="118"/>
      <c r="WXU37" s="118"/>
      <c r="WXV37" s="118"/>
      <c r="WXW37" s="118"/>
      <c r="WXX37" s="118"/>
      <c r="WXY37" s="118"/>
      <c r="WXZ37" s="118"/>
      <c r="WYA37" s="118"/>
      <c r="WYB37" s="118"/>
      <c r="WYC37" s="118"/>
      <c r="WYD37" s="118"/>
      <c r="WYE37" s="118"/>
      <c r="WYF37" s="118"/>
      <c r="WYG37" s="118"/>
      <c r="WYH37" s="118"/>
      <c r="WYI37" s="118"/>
      <c r="WYJ37" s="118"/>
      <c r="WYK37" s="118"/>
      <c r="WYL37" s="118"/>
      <c r="WYM37" s="118"/>
      <c r="WYN37" s="118"/>
      <c r="WYO37" s="118"/>
      <c r="WYP37" s="118"/>
      <c r="WYQ37" s="118"/>
      <c r="WYR37" s="118"/>
      <c r="WYS37" s="118"/>
      <c r="WYT37" s="118"/>
      <c r="WYU37" s="118"/>
      <c r="WYV37" s="118"/>
      <c r="WYW37" s="118"/>
      <c r="WYX37" s="118"/>
      <c r="WYY37" s="118"/>
      <c r="WYZ37" s="118"/>
      <c r="WZA37" s="118"/>
      <c r="WZB37" s="118"/>
      <c r="WZC37" s="118"/>
      <c r="WZD37" s="118"/>
      <c r="WZE37" s="118"/>
      <c r="WZF37" s="118"/>
      <c r="WZG37" s="118"/>
      <c r="WZH37" s="118"/>
      <c r="WZI37" s="118"/>
      <c r="WZJ37" s="118"/>
      <c r="WZK37" s="118"/>
      <c r="WZL37" s="118"/>
      <c r="WZM37" s="118"/>
      <c r="WZN37" s="118"/>
      <c r="WZO37" s="118"/>
      <c r="WZP37" s="118"/>
      <c r="WZQ37" s="118"/>
      <c r="WZR37" s="118"/>
      <c r="WZS37" s="118"/>
      <c r="WZT37" s="118"/>
      <c r="WZU37" s="118"/>
      <c r="WZV37" s="118"/>
      <c r="WZW37" s="118"/>
      <c r="WZX37" s="118"/>
      <c r="WZY37" s="118"/>
      <c r="WZZ37" s="118"/>
      <c r="XAA37" s="118"/>
      <c r="XAB37" s="118"/>
      <c r="XAC37" s="118"/>
      <c r="XAD37" s="118"/>
      <c r="XAE37" s="118"/>
      <c r="XAF37" s="118"/>
      <c r="XAG37" s="118"/>
      <c r="XAH37" s="118"/>
      <c r="XAI37" s="118"/>
      <c r="XAJ37" s="118"/>
      <c r="XAK37" s="118"/>
      <c r="XAL37" s="118"/>
      <c r="XAM37" s="118"/>
      <c r="XAN37" s="118"/>
      <c r="XAO37" s="118"/>
      <c r="XAP37" s="118"/>
      <c r="XAQ37" s="118"/>
      <c r="XAR37" s="118"/>
      <c r="XAS37" s="118"/>
      <c r="XAT37" s="118"/>
      <c r="XAU37" s="118"/>
      <c r="XAV37" s="118"/>
      <c r="XAW37" s="118"/>
      <c r="XAX37" s="118"/>
      <c r="XAY37" s="118"/>
      <c r="XAZ37" s="118"/>
      <c r="XBA37" s="118"/>
      <c r="XBB37" s="118"/>
      <c r="XBC37" s="118"/>
      <c r="XBD37" s="118"/>
      <c r="XBE37" s="118"/>
      <c r="XBF37" s="118"/>
      <c r="XBG37" s="118"/>
      <c r="XBH37" s="118"/>
      <c r="XBI37" s="118"/>
      <c r="XBJ37" s="118"/>
      <c r="XBK37" s="118"/>
      <c r="XBL37" s="118"/>
      <c r="XBM37" s="118"/>
      <c r="XBN37" s="118"/>
      <c r="XBO37" s="118"/>
      <c r="XBP37" s="118"/>
      <c r="XBQ37" s="118"/>
      <c r="XBR37" s="118"/>
      <c r="XBS37" s="118"/>
      <c r="XBT37" s="118"/>
      <c r="XBU37" s="118"/>
      <c r="XBV37" s="118"/>
      <c r="XBW37" s="118"/>
      <c r="XBX37" s="118"/>
      <c r="XBY37" s="118"/>
      <c r="XBZ37" s="118"/>
      <c r="XCA37" s="118"/>
      <c r="XCB37" s="118"/>
      <c r="XCC37" s="118"/>
      <c r="XCD37" s="118"/>
      <c r="XCE37" s="118"/>
      <c r="XCF37" s="118"/>
      <c r="XCG37" s="118"/>
      <c r="XCH37" s="118"/>
      <c r="XCI37" s="118"/>
      <c r="XCJ37" s="118"/>
      <c r="XCK37" s="118"/>
      <c r="XCL37" s="118"/>
      <c r="XCM37" s="118"/>
      <c r="XCN37" s="118"/>
      <c r="XCO37" s="118"/>
      <c r="XCP37" s="118"/>
      <c r="XCQ37" s="118"/>
      <c r="XCR37" s="118"/>
      <c r="XCS37" s="118"/>
      <c r="XCT37" s="118"/>
      <c r="XCU37" s="118"/>
      <c r="XCV37" s="118"/>
      <c r="XCW37" s="118"/>
      <c r="XCX37" s="118"/>
      <c r="XCY37" s="118"/>
      <c r="XCZ37" s="118"/>
      <c r="XDA37" s="118"/>
      <c r="XDB37" s="118"/>
      <c r="XDC37" s="118"/>
      <c r="XDD37" s="118"/>
      <c r="XDE37" s="118"/>
      <c r="XDF37" s="118"/>
      <c r="XDG37" s="118"/>
      <c r="XDH37" s="118"/>
      <c r="XDI37" s="118"/>
      <c r="XDJ37" s="118"/>
      <c r="XDK37" s="118"/>
      <c r="XDL37" s="118"/>
      <c r="XDM37" s="118"/>
      <c r="XDN37" s="118"/>
      <c r="XDO37" s="118"/>
      <c r="XDP37" s="118"/>
      <c r="XDQ37" s="118"/>
      <c r="XDR37" s="118"/>
      <c r="XDS37" s="118"/>
      <c r="XDT37" s="118"/>
      <c r="XDU37" s="118"/>
      <c r="XDV37" s="118"/>
      <c r="XDW37" s="118"/>
      <c r="XDX37" s="118"/>
      <c r="XDY37" s="118"/>
      <c r="XDZ37" s="118"/>
      <c r="XEA37" s="118"/>
      <c r="XEB37" s="118"/>
      <c r="XEC37" s="118"/>
      <c r="XED37" s="118"/>
      <c r="XEE37" s="118"/>
      <c r="XEF37" s="118"/>
      <c r="XEG37" s="118"/>
      <c r="XEH37" s="118"/>
      <c r="XEI37" s="118"/>
      <c r="XEJ37" s="118"/>
      <c r="XEK37" s="118"/>
      <c r="XEL37" s="118"/>
      <c r="XEM37" s="118"/>
      <c r="XEN37" s="118"/>
      <c r="XEO37" s="118"/>
      <c r="XEP37" s="118"/>
      <c r="XEQ37" s="118"/>
      <c r="XER37" s="118"/>
      <c r="XES37" s="118"/>
      <c r="XET37" s="118"/>
      <c r="XEU37" s="118"/>
      <c r="XEV37" s="118"/>
      <c r="XEW37" s="118"/>
      <c r="XEX37" s="118"/>
      <c r="XEY37" s="118"/>
      <c r="XEZ37" s="118"/>
      <c r="XFA37" s="118"/>
    </row>
    <row r="39" spans="1:16381" x14ac:dyDescent="0.15">
      <c r="B39" s="2" t="s">
        <v>113</v>
      </c>
      <c r="C39" s="2">
        <f t="shared" ref="C39:AH39" si="44">BowlSplit(C5:C37,RunsConceded)</f>
        <v>167</v>
      </c>
      <c r="D39" s="2">
        <f t="shared" si="44"/>
        <v>183</v>
      </c>
      <c r="E39" s="2">
        <f t="shared" si="44"/>
        <v>173</v>
      </c>
      <c r="F39" s="2">
        <f t="shared" si="44"/>
        <v>140</v>
      </c>
      <c r="G39" s="2">
        <f t="shared" si="44"/>
        <v>134</v>
      </c>
      <c r="H39" s="2">
        <f t="shared" si="44"/>
        <v>118</v>
      </c>
      <c r="I39" s="2">
        <f t="shared" si="44"/>
        <v>181</v>
      </c>
      <c r="J39" s="2">
        <f t="shared" si="44"/>
        <v>201</v>
      </c>
      <c r="K39" s="2">
        <f t="shared" si="44"/>
        <v>171</v>
      </c>
      <c r="L39" s="2">
        <f t="shared" si="44"/>
        <v>243</v>
      </c>
      <c r="M39" s="2">
        <f t="shared" si="44"/>
        <v>133</v>
      </c>
      <c r="N39" s="2">
        <f t="shared" si="44"/>
        <v>103</v>
      </c>
      <c r="O39" s="2">
        <f t="shared" si="44"/>
        <v>142</v>
      </c>
      <c r="P39" s="2">
        <f t="shared" si="44"/>
        <v>146</v>
      </c>
      <c r="Q39" s="2">
        <f t="shared" si="44"/>
        <v>226</v>
      </c>
      <c r="R39" s="2">
        <f t="shared" si="44"/>
        <v>202</v>
      </c>
      <c r="S39" s="2">
        <f t="shared" si="44"/>
        <v>163</v>
      </c>
      <c r="T39" s="2">
        <f t="shared" si="44"/>
        <v>0</v>
      </c>
      <c r="U39" s="2">
        <f t="shared" si="44"/>
        <v>0</v>
      </c>
      <c r="V39" s="2">
        <f t="shared" si="44"/>
        <v>0</v>
      </c>
      <c r="W39" s="2">
        <f t="shared" si="44"/>
        <v>0</v>
      </c>
      <c r="X39" s="2">
        <f t="shared" si="44"/>
        <v>0</v>
      </c>
      <c r="Y39" s="2">
        <f t="shared" si="44"/>
        <v>0</v>
      </c>
      <c r="Z39" s="2">
        <f t="shared" si="44"/>
        <v>0</v>
      </c>
      <c r="AA39" s="2">
        <f t="shared" si="44"/>
        <v>0</v>
      </c>
      <c r="AB39" s="2">
        <f t="shared" si="44"/>
        <v>0</v>
      </c>
      <c r="AC39" s="2">
        <f t="shared" si="44"/>
        <v>0</v>
      </c>
      <c r="AD39" s="2">
        <f t="shared" si="44"/>
        <v>0</v>
      </c>
      <c r="AE39" s="2">
        <f t="shared" si="44"/>
        <v>0</v>
      </c>
      <c r="AF39" s="2">
        <f t="shared" si="44"/>
        <v>0</v>
      </c>
      <c r="AG39" s="2">
        <f t="shared" si="44"/>
        <v>0</v>
      </c>
      <c r="AH39" s="2">
        <f t="shared" si="44"/>
        <v>0</v>
      </c>
      <c r="AI39" s="2">
        <f t="shared" ref="AI39:BF39" si="45">BowlSplit(AI5:AI37,RunsConceded)</f>
        <v>0</v>
      </c>
      <c r="AJ39" s="2">
        <f t="shared" si="45"/>
        <v>0</v>
      </c>
      <c r="AK39" s="2">
        <f t="shared" si="45"/>
        <v>0</v>
      </c>
      <c r="AL39" s="2">
        <f t="shared" si="45"/>
        <v>0</v>
      </c>
      <c r="AM39" s="2">
        <f t="shared" si="45"/>
        <v>0</v>
      </c>
      <c r="AN39" s="2">
        <f t="shared" si="45"/>
        <v>0</v>
      </c>
      <c r="AO39" s="2">
        <f t="shared" si="45"/>
        <v>0</v>
      </c>
      <c r="AP39" s="2">
        <f t="shared" si="45"/>
        <v>0</v>
      </c>
      <c r="AQ39" s="2">
        <f t="shared" si="45"/>
        <v>0</v>
      </c>
      <c r="AR39" s="2">
        <f t="shared" si="45"/>
        <v>0</v>
      </c>
      <c r="AS39" s="2">
        <f t="shared" si="45"/>
        <v>0</v>
      </c>
      <c r="AT39" s="2">
        <f t="shared" si="45"/>
        <v>0</v>
      </c>
      <c r="AU39" s="2">
        <f t="shared" si="45"/>
        <v>0</v>
      </c>
      <c r="AV39" s="2">
        <f t="shared" si="45"/>
        <v>0</v>
      </c>
      <c r="AW39" s="2">
        <f t="shared" si="45"/>
        <v>0</v>
      </c>
      <c r="AX39" s="2">
        <f t="shared" si="45"/>
        <v>0</v>
      </c>
      <c r="AY39" s="2">
        <f t="shared" si="45"/>
        <v>0</v>
      </c>
      <c r="AZ39" s="2">
        <f t="shared" si="45"/>
        <v>0</v>
      </c>
      <c r="BA39" s="2">
        <f t="shared" si="45"/>
        <v>0</v>
      </c>
      <c r="BB39" s="2">
        <f t="shared" si="45"/>
        <v>0</v>
      </c>
      <c r="BC39" s="2">
        <f t="shared" si="45"/>
        <v>0</v>
      </c>
      <c r="BD39" s="2">
        <f t="shared" si="45"/>
        <v>0</v>
      </c>
      <c r="BE39" s="2">
        <f t="shared" si="45"/>
        <v>0</v>
      </c>
      <c r="BF39" s="2">
        <f t="shared" si="45"/>
        <v>0</v>
      </c>
      <c r="CE39" s="51">
        <f>SUM(C39:BF39)</f>
        <v>2826</v>
      </c>
      <c r="CF39" s="51">
        <f>SUM(CF5:CF37)</f>
        <v>3749</v>
      </c>
      <c r="CJ39" s="188">
        <f>SUM(CJ5:CJ37)</f>
        <v>129</v>
      </c>
    </row>
    <row r="40" spans="1:16381" x14ac:dyDescent="0.15">
      <c r="B40" s="2" t="s">
        <v>114</v>
      </c>
      <c r="C40" s="2">
        <f t="array" ref="C40:BE41">TRANSPOSE(Matches!S5:T59)</f>
        <v>4</v>
      </c>
      <c r="D40" s="2">
        <v>2</v>
      </c>
      <c r="E40" s="2">
        <v>4</v>
      </c>
      <c r="F40" s="2">
        <v>11</v>
      </c>
      <c r="G40" s="2">
        <v>2</v>
      </c>
      <c r="H40" s="2">
        <v>7</v>
      </c>
      <c r="I40" s="2">
        <v>14</v>
      </c>
      <c r="J40" s="2">
        <v>8</v>
      </c>
      <c r="K40" s="2">
        <v>11</v>
      </c>
      <c r="L40" s="2">
        <v>7</v>
      </c>
      <c r="M40" s="2">
        <v>19</v>
      </c>
      <c r="N40" s="2">
        <v>1</v>
      </c>
      <c r="O40" s="2">
        <v>5</v>
      </c>
      <c r="P40" s="2">
        <v>0</v>
      </c>
      <c r="Q40" s="2">
        <v>0</v>
      </c>
      <c r="R40" s="2">
        <v>4</v>
      </c>
      <c r="S40" s="2">
        <v>7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CE40" s="51">
        <f>SUM(C40:BF40)</f>
        <v>106</v>
      </c>
    </row>
    <row r="41" spans="1:16381" x14ac:dyDescent="0.15">
      <c r="B41" s="2" t="s">
        <v>115</v>
      </c>
      <c r="C41" s="2">
        <v>2</v>
      </c>
      <c r="D41" s="2">
        <v>3</v>
      </c>
      <c r="E41" s="2">
        <v>2</v>
      </c>
      <c r="F41" s="2">
        <v>3</v>
      </c>
      <c r="G41" s="2">
        <v>0</v>
      </c>
      <c r="H41" s="2">
        <v>1</v>
      </c>
      <c r="I41" s="2">
        <v>3</v>
      </c>
      <c r="J41" s="2">
        <v>1</v>
      </c>
      <c r="K41" s="2">
        <v>2</v>
      </c>
      <c r="L41" s="2">
        <v>0</v>
      </c>
      <c r="M41" s="2">
        <v>3</v>
      </c>
      <c r="N41" s="2">
        <v>2</v>
      </c>
      <c r="O41" s="2">
        <v>6</v>
      </c>
      <c r="P41" s="2">
        <v>2</v>
      </c>
      <c r="Q41" s="2">
        <v>5</v>
      </c>
      <c r="R41" s="2">
        <v>4</v>
      </c>
      <c r="S41" s="2">
        <v>2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CE41" s="51">
        <f>SUM(C41:BF41)</f>
        <v>41</v>
      </c>
      <c r="CG41" s="188" t="s">
        <v>147</v>
      </c>
      <c r="CH41" s="188" t="s">
        <v>148</v>
      </c>
    </row>
    <row r="42" spans="1:16381" s="52" customFormat="1" x14ac:dyDescent="0.15">
      <c r="B42" s="52" t="s">
        <v>112</v>
      </c>
      <c r="C42" s="52">
        <f>SUM(C39:C41)</f>
        <v>173</v>
      </c>
      <c r="D42" s="52">
        <f t="shared" ref="D42:BE42" si="46">SUM(D39:D41)</f>
        <v>188</v>
      </c>
      <c r="E42" s="52">
        <f t="shared" si="46"/>
        <v>179</v>
      </c>
      <c r="F42" s="52">
        <f t="shared" si="46"/>
        <v>154</v>
      </c>
      <c r="G42" s="52">
        <f t="shared" si="46"/>
        <v>136</v>
      </c>
      <c r="H42" s="52">
        <f t="shared" si="46"/>
        <v>126</v>
      </c>
      <c r="I42" s="52">
        <f t="shared" si="46"/>
        <v>198</v>
      </c>
      <c r="J42" s="52">
        <f t="shared" si="46"/>
        <v>210</v>
      </c>
      <c r="K42" s="52">
        <f t="shared" si="46"/>
        <v>184</v>
      </c>
      <c r="L42" s="52">
        <f t="shared" si="46"/>
        <v>250</v>
      </c>
      <c r="M42" s="52">
        <f t="shared" si="46"/>
        <v>155</v>
      </c>
      <c r="N42" s="52">
        <f t="shared" si="46"/>
        <v>106</v>
      </c>
      <c r="O42" s="52">
        <f t="shared" si="46"/>
        <v>153</v>
      </c>
      <c r="P42" s="52">
        <f t="shared" si="46"/>
        <v>148</v>
      </c>
      <c r="Q42" s="52">
        <f t="shared" si="46"/>
        <v>231</v>
      </c>
      <c r="R42" s="52">
        <f t="shared" si="46"/>
        <v>210</v>
      </c>
      <c r="S42" s="52">
        <f t="shared" si="46"/>
        <v>172</v>
      </c>
      <c r="T42" s="52">
        <f t="shared" si="46"/>
        <v>0</v>
      </c>
      <c r="U42" s="52">
        <f t="shared" si="46"/>
        <v>0</v>
      </c>
      <c r="V42" s="52">
        <f t="shared" si="46"/>
        <v>0</v>
      </c>
      <c r="W42" s="52">
        <f t="shared" si="46"/>
        <v>0</v>
      </c>
      <c r="X42" s="52">
        <f t="shared" si="46"/>
        <v>0</v>
      </c>
      <c r="Y42" s="52">
        <f t="shared" si="46"/>
        <v>0</v>
      </c>
      <c r="Z42" s="52">
        <f t="shared" si="46"/>
        <v>0</v>
      </c>
      <c r="AA42" s="52">
        <f t="shared" si="46"/>
        <v>0</v>
      </c>
      <c r="AB42" s="52">
        <f t="shared" si="46"/>
        <v>0</v>
      </c>
      <c r="AC42" s="52">
        <f t="shared" si="46"/>
        <v>0</v>
      </c>
      <c r="AD42" s="52">
        <f t="shared" si="46"/>
        <v>0</v>
      </c>
      <c r="AE42" s="52">
        <f t="shared" si="46"/>
        <v>0</v>
      </c>
      <c r="AF42" s="52">
        <f t="shared" si="46"/>
        <v>0</v>
      </c>
      <c r="AG42" s="52">
        <f t="shared" si="46"/>
        <v>0</v>
      </c>
      <c r="AH42" s="52">
        <f t="shared" si="46"/>
        <v>0</v>
      </c>
      <c r="AI42" s="52">
        <f t="shared" si="46"/>
        <v>0</v>
      </c>
      <c r="AJ42" s="52">
        <f t="shared" si="46"/>
        <v>0</v>
      </c>
      <c r="AK42" s="52">
        <f t="shared" si="46"/>
        <v>0</v>
      </c>
      <c r="AL42" s="52">
        <f t="shared" si="46"/>
        <v>0</v>
      </c>
      <c r="AM42" s="52">
        <f t="shared" si="46"/>
        <v>0</v>
      </c>
      <c r="AN42" s="52">
        <f t="shared" si="46"/>
        <v>0</v>
      </c>
      <c r="AO42" s="52">
        <f t="shared" si="46"/>
        <v>0</v>
      </c>
      <c r="AP42" s="52">
        <f t="shared" si="46"/>
        <v>0</v>
      </c>
      <c r="AQ42" s="52">
        <f t="shared" si="46"/>
        <v>0</v>
      </c>
      <c r="AR42" s="52">
        <f t="shared" si="46"/>
        <v>0</v>
      </c>
      <c r="AS42" s="52">
        <f t="shared" si="46"/>
        <v>0</v>
      </c>
      <c r="AT42" s="52">
        <f t="shared" si="46"/>
        <v>0</v>
      </c>
      <c r="AU42" s="52">
        <f t="shared" si="46"/>
        <v>0</v>
      </c>
      <c r="AV42" s="52">
        <f t="shared" si="46"/>
        <v>0</v>
      </c>
      <c r="AW42" s="52">
        <f t="shared" si="46"/>
        <v>0</v>
      </c>
      <c r="AX42" s="52">
        <f t="shared" si="46"/>
        <v>0</v>
      </c>
      <c r="AY42" s="52">
        <f t="shared" si="46"/>
        <v>0</v>
      </c>
      <c r="AZ42" s="52">
        <f t="shared" si="46"/>
        <v>0</v>
      </c>
      <c r="BA42" s="52">
        <f t="shared" si="46"/>
        <v>0</v>
      </c>
      <c r="BB42" s="52">
        <f t="shared" si="46"/>
        <v>0</v>
      </c>
      <c r="BC42" s="52">
        <f t="shared" si="46"/>
        <v>0</v>
      </c>
      <c r="BD42" s="52">
        <f t="shared" si="46"/>
        <v>0</v>
      </c>
      <c r="BE42" s="52">
        <f t="shared" si="46"/>
        <v>0</v>
      </c>
      <c r="CE42" s="52">
        <f>SUM(C42:BF42)</f>
        <v>2973</v>
      </c>
      <c r="CG42" s="191">
        <f>MAX(C42:CB42)</f>
        <v>250</v>
      </c>
      <c r="CH42" s="191">
        <f t="array" ref="CH42">MIN(IF(C42:CB42&gt;0,C42:CB42,9999))</f>
        <v>106</v>
      </c>
      <c r="CI42" s="191"/>
      <c r="CJ42" s="191"/>
      <c r="CN42" s="56"/>
    </row>
    <row r="43" spans="1:16381" x14ac:dyDescent="0.15">
      <c r="B43" s="2" t="s">
        <v>30</v>
      </c>
      <c r="C43" s="2">
        <f t="shared" ref="C43:AH43" si="47">BowlSplit(C5:C37,OversBowled)</f>
        <v>40</v>
      </c>
      <c r="D43" s="2">
        <f t="shared" si="47"/>
        <v>38.299999999999997</v>
      </c>
      <c r="E43" s="2">
        <f t="shared" si="47"/>
        <v>33.4</v>
      </c>
      <c r="F43" s="2">
        <f t="shared" si="47"/>
        <v>29</v>
      </c>
      <c r="G43" s="2">
        <f t="shared" si="47"/>
        <v>33.4</v>
      </c>
      <c r="H43" s="2">
        <f t="shared" si="47"/>
        <v>35</v>
      </c>
      <c r="I43" s="2">
        <f t="shared" si="47"/>
        <v>40</v>
      </c>
      <c r="J43" s="2">
        <f t="shared" si="47"/>
        <v>40</v>
      </c>
      <c r="K43" s="2">
        <f t="shared" si="47"/>
        <v>38.299999999999997</v>
      </c>
      <c r="L43" s="2">
        <f t="shared" si="47"/>
        <v>40</v>
      </c>
      <c r="M43" s="2">
        <f t="shared" si="47"/>
        <v>34</v>
      </c>
      <c r="N43" s="2">
        <f t="shared" si="47"/>
        <v>32.4</v>
      </c>
      <c r="O43" s="2">
        <f t="shared" si="47"/>
        <v>39.200000000000003</v>
      </c>
      <c r="P43" s="2">
        <f t="shared" si="47"/>
        <v>35</v>
      </c>
      <c r="Q43" s="2">
        <f t="shared" si="47"/>
        <v>37</v>
      </c>
      <c r="R43" s="2">
        <f t="shared" si="47"/>
        <v>40</v>
      </c>
      <c r="S43" s="2">
        <f t="shared" si="47"/>
        <v>38.299999999999997</v>
      </c>
      <c r="T43" s="2">
        <f t="shared" si="47"/>
        <v>0</v>
      </c>
      <c r="U43" s="2">
        <f t="shared" si="47"/>
        <v>0</v>
      </c>
      <c r="V43" s="2">
        <f t="shared" si="47"/>
        <v>0</v>
      </c>
      <c r="W43" s="2">
        <f t="shared" si="47"/>
        <v>0</v>
      </c>
      <c r="X43" s="2">
        <f t="shared" si="47"/>
        <v>0</v>
      </c>
      <c r="Y43" s="2">
        <f t="shared" si="47"/>
        <v>0</v>
      </c>
      <c r="Z43" s="2">
        <f t="shared" si="47"/>
        <v>0</v>
      </c>
      <c r="AA43" s="2">
        <f t="shared" si="47"/>
        <v>0</v>
      </c>
      <c r="AB43" s="2">
        <f t="shared" si="47"/>
        <v>0</v>
      </c>
      <c r="AC43" s="2">
        <f t="shared" si="47"/>
        <v>0</v>
      </c>
      <c r="AD43" s="2">
        <f t="shared" si="47"/>
        <v>0</v>
      </c>
      <c r="AE43" s="2">
        <f t="shared" si="47"/>
        <v>0</v>
      </c>
      <c r="AF43" s="2">
        <f t="shared" si="47"/>
        <v>0</v>
      </c>
      <c r="AG43" s="2">
        <f t="shared" si="47"/>
        <v>0</v>
      </c>
      <c r="AH43" s="2">
        <f t="shared" si="47"/>
        <v>0</v>
      </c>
      <c r="AI43" s="2">
        <f t="shared" ref="AI43:BF43" si="48">BowlSplit(AI5:AI37,OversBowled)</f>
        <v>0</v>
      </c>
      <c r="AJ43" s="2">
        <f t="shared" si="48"/>
        <v>0</v>
      </c>
      <c r="AK43" s="2">
        <f t="shared" si="48"/>
        <v>0</v>
      </c>
      <c r="AL43" s="2">
        <f t="shared" si="48"/>
        <v>0</v>
      </c>
      <c r="AM43" s="2">
        <f t="shared" si="48"/>
        <v>0</v>
      </c>
      <c r="AN43" s="2">
        <f t="shared" si="48"/>
        <v>0</v>
      </c>
      <c r="AO43" s="2">
        <f t="shared" si="48"/>
        <v>0</v>
      </c>
      <c r="AP43" s="2">
        <f t="shared" si="48"/>
        <v>0</v>
      </c>
      <c r="AQ43" s="2">
        <f t="shared" si="48"/>
        <v>0</v>
      </c>
      <c r="AR43" s="2">
        <f t="shared" si="48"/>
        <v>0</v>
      </c>
      <c r="AS43" s="2">
        <f t="shared" si="48"/>
        <v>0</v>
      </c>
      <c r="AT43" s="2">
        <f t="shared" si="48"/>
        <v>0</v>
      </c>
      <c r="AU43" s="2">
        <f t="shared" si="48"/>
        <v>0</v>
      </c>
      <c r="AV43" s="2">
        <f t="shared" si="48"/>
        <v>0</v>
      </c>
      <c r="AW43" s="2">
        <f t="shared" si="48"/>
        <v>0</v>
      </c>
      <c r="AX43" s="2">
        <f t="shared" si="48"/>
        <v>0</v>
      </c>
      <c r="AY43" s="2">
        <f t="shared" si="48"/>
        <v>0</v>
      </c>
      <c r="AZ43" s="2">
        <f t="shared" si="48"/>
        <v>0</v>
      </c>
      <c r="BA43" s="2">
        <f t="shared" si="48"/>
        <v>0</v>
      </c>
      <c r="BB43" s="2">
        <f t="shared" si="48"/>
        <v>0</v>
      </c>
      <c r="BC43" s="2">
        <f t="shared" si="48"/>
        <v>0</v>
      </c>
      <c r="BD43" s="2">
        <f t="shared" si="48"/>
        <v>0</v>
      </c>
      <c r="BE43" s="2">
        <f t="shared" si="48"/>
        <v>0</v>
      </c>
      <c r="BF43" s="2">
        <f t="shared" si="48"/>
        <v>0</v>
      </c>
      <c r="CE43" s="51">
        <f>MAX(C43:CC43)</f>
        <v>40</v>
      </c>
    </row>
    <row r="44" spans="1:16381" x14ac:dyDescent="0.15">
      <c r="B44" s="2" t="s">
        <v>29</v>
      </c>
      <c r="C44" s="2">
        <f t="shared" ref="C44:N44" si="49">BowlSplit(C5:C37,BallsBowled)</f>
        <v>240</v>
      </c>
      <c r="D44" s="2">
        <f t="shared" si="49"/>
        <v>231</v>
      </c>
      <c r="E44" s="2">
        <f t="shared" si="49"/>
        <v>202</v>
      </c>
      <c r="F44" s="2">
        <f t="shared" si="49"/>
        <v>174</v>
      </c>
      <c r="G44" s="2">
        <f t="shared" si="49"/>
        <v>202</v>
      </c>
      <c r="H44" s="2">
        <f t="shared" si="49"/>
        <v>210</v>
      </c>
      <c r="I44" s="2">
        <f t="shared" si="49"/>
        <v>240</v>
      </c>
      <c r="J44" s="2">
        <f t="shared" si="49"/>
        <v>240</v>
      </c>
      <c r="K44" s="2">
        <f t="shared" si="49"/>
        <v>231</v>
      </c>
      <c r="L44" s="2">
        <f t="shared" si="49"/>
        <v>240</v>
      </c>
      <c r="M44" s="2">
        <f t="shared" si="49"/>
        <v>204</v>
      </c>
      <c r="N44" s="2">
        <f t="shared" si="49"/>
        <v>196</v>
      </c>
      <c r="O44" s="2">
        <f>BowlSplit(T5:T37,BallsBowled)</f>
        <v>0</v>
      </c>
      <c r="P44" s="2">
        <f t="shared" ref="P44:BF44" si="50">BowlSplit(P5:P37,BallsBowled)</f>
        <v>210</v>
      </c>
      <c r="Q44" s="2">
        <f t="shared" si="50"/>
        <v>222</v>
      </c>
      <c r="R44" s="2">
        <f t="shared" si="50"/>
        <v>240</v>
      </c>
      <c r="S44" s="2">
        <f t="shared" si="50"/>
        <v>231</v>
      </c>
      <c r="T44" s="2">
        <f t="shared" si="50"/>
        <v>0</v>
      </c>
      <c r="U44" s="2">
        <f t="shared" si="50"/>
        <v>0</v>
      </c>
      <c r="V44" s="2">
        <f t="shared" si="50"/>
        <v>0</v>
      </c>
      <c r="W44" s="2">
        <f t="shared" si="50"/>
        <v>0</v>
      </c>
      <c r="X44" s="2">
        <f t="shared" si="50"/>
        <v>0</v>
      </c>
      <c r="Y44" s="2">
        <f t="shared" si="50"/>
        <v>0</v>
      </c>
      <c r="Z44" s="2">
        <f t="shared" si="50"/>
        <v>0</v>
      </c>
      <c r="AA44" s="2">
        <f t="shared" si="50"/>
        <v>0</v>
      </c>
      <c r="AB44" s="2">
        <f t="shared" si="50"/>
        <v>0</v>
      </c>
      <c r="AC44" s="2">
        <f t="shared" si="50"/>
        <v>0</v>
      </c>
      <c r="AD44" s="2">
        <f t="shared" si="50"/>
        <v>0</v>
      </c>
      <c r="AE44" s="2">
        <f t="shared" si="50"/>
        <v>0</v>
      </c>
      <c r="AF44" s="2">
        <f t="shared" si="50"/>
        <v>0</v>
      </c>
      <c r="AG44" s="2">
        <f t="shared" si="50"/>
        <v>0</v>
      </c>
      <c r="AH44" s="2">
        <f t="shared" si="50"/>
        <v>0</v>
      </c>
      <c r="AI44" s="2">
        <f t="shared" si="50"/>
        <v>0</v>
      </c>
      <c r="AJ44" s="2">
        <f t="shared" si="50"/>
        <v>0</v>
      </c>
      <c r="AK44" s="2">
        <f t="shared" si="50"/>
        <v>0</v>
      </c>
      <c r="AL44" s="2">
        <f t="shared" si="50"/>
        <v>0</v>
      </c>
      <c r="AM44" s="2">
        <f t="shared" si="50"/>
        <v>0</v>
      </c>
      <c r="AN44" s="2">
        <f t="shared" si="50"/>
        <v>0</v>
      </c>
      <c r="AO44" s="2">
        <f t="shared" si="50"/>
        <v>0</v>
      </c>
      <c r="AP44" s="2">
        <f t="shared" si="50"/>
        <v>0</v>
      </c>
      <c r="AQ44" s="2">
        <f t="shared" si="50"/>
        <v>0</v>
      </c>
      <c r="AR44" s="2">
        <f t="shared" si="50"/>
        <v>0</v>
      </c>
      <c r="AS44" s="2">
        <f t="shared" si="50"/>
        <v>0</v>
      </c>
      <c r="AT44" s="2">
        <f t="shared" si="50"/>
        <v>0</v>
      </c>
      <c r="AU44" s="2">
        <f t="shared" si="50"/>
        <v>0</v>
      </c>
      <c r="AV44" s="2">
        <f t="shared" si="50"/>
        <v>0</v>
      </c>
      <c r="AW44" s="2">
        <f t="shared" si="50"/>
        <v>0</v>
      </c>
      <c r="AX44" s="2">
        <f t="shared" si="50"/>
        <v>0</v>
      </c>
      <c r="AY44" s="2">
        <f t="shared" si="50"/>
        <v>0</v>
      </c>
      <c r="AZ44" s="2">
        <f t="shared" si="50"/>
        <v>0</v>
      </c>
      <c r="BA44" s="2">
        <f t="shared" si="50"/>
        <v>0</v>
      </c>
      <c r="BB44" s="2">
        <f t="shared" si="50"/>
        <v>0</v>
      </c>
      <c r="BC44" s="2">
        <f t="shared" si="50"/>
        <v>0</v>
      </c>
      <c r="BD44" s="2">
        <f t="shared" si="50"/>
        <v>0</v>
      </c>
      <c r="BE44" s="2">
        <f t="shared" si="50"/>
        <v>0</v>
      </c>
      <c r="BF44" s="2">
        <f t="shared" si="50"/>
        <v>0</v>
      </c>
      <c r="CE44" s="51">
        <f>SUM(C44:BF44)</f>
        <v>3513</v>
      </c>
      <c r="CF44" s="51">
        <f>INT(CE44/6)</f>
        <v>585</v>
      </c>
      <c r="CG44" s="188">
        <f>CE44-CF44*6</f>
        <v>3</v>
      </c>
      <c r="CH44" s="188">
        <f>CF44+CG44/10</f>
        <v>585.29999999999995</v>
      </c>
    </row>
    <row r="45" spans="1:16381" x14ac:dyDescent="0.15">
      <c r="B45" s="2" t="s">
        <v>155</v>
      </c>
      <c r="C45" s="2">
        <f t="array" ref="C45:CC45">TRANSPOSE(Matches!P5:P59)</f>
        <v>40</v>
      </c>
      <c r="D45" s="2">
        <v>38.299999999999997</v>
      </c>
      <c r="E45" s="2">
        <v>33.4</v>
      </c>
      <c r="F45" s="2">
        <v>29</v>
      </c>
      <c r="G45" s="2">
        <v>33.4</v>
      </c>
      <c r="H45" s="2">
        <v>35</v>
      </c>
      <c r="I45" s="2">
        <v>40</v>
      </c>
      <c r="J45" s="2">
        <v>40</v>
      </c>
      <c r="K45" s="2">
        <v>38.299999999999997</v>
      </c>
      <c r="L45" s="2">
        <v>40</v>
      </c>
      <c r="M45" s="2">
        <v>34</v>
      </c>
      <c r="N45" s="2">
        <v>32.4</v>
      </c>
      <c r="O45" s="2">
        <v>39.200000000000003</v>
      </c>
      <c r="P45" s="2">
        <v>35</v>
      </c>
      <c r="Q45" s="2">
        <v>37</v>
      </c>
      <c r="R45" s="2">
        <v>40</v>
      </c>
      <c r="S45" s="2">
        <v>38.299999999999997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  <c r="AQ45" s="2">
        <v>0</v>
      </c>
      <c r="AR45" s="2">
        <v>0</v>
      </c>
      <c r="AS45" s="2">
        <v>0</v>
      </c>
      <c r="AT45" s="2">
        <v>0</v>
      </c>
      <c r="AU45" s="2">
        <v>0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2">
        <v>0</v>
      </c>
      <c r="BD45" s="2">
        <v>0</v>
      </c>
      <c r="BE45" s="2">
        <v>0</v>
      </c>
      <c r="BF45" s="2" t="e">
        <v>#N/A</v>
      </c>
      <c r="BG45" s="2" t="e">
        <v>#N/A</v>
      </c>
      <c r="BH45" s="2" t="e">
        <v>#N/A</v>
      </c>
      <c r="BI45" s="2" t="e">
        <v>#N/A</v>
      </c>
      <c r="BJ45" s="2" t="e">
        <v>#N/A</v>
      </c>
      <c r="BK45" s="2" t="e">
        <v>#N/A</v>
      </c>
      <c r="BL45" s="2" t="e">
        <v>#N/A</v>
      </c>
      <c r="BM45" s="2" t="e">
        <v>#N/A</v>
      </c>
      <c r="BN45" s="2" t="e">
        <v>#N/A</v>
      </c>
      <c r="BO45" s="2" t="e">
        <v>#N/A</v>
      </c>
      <c r="BP45" s="2" t="e">
        <v>#N/A</v>
      </c>
      <c r="BQ45" s="2" t="e">
        <v>#N/A</v>
      </c>
      <c r="BR45" s="2" t="e">
        <v>#N/A</v>
      </c>
      <c r="BS45" s="2" t="e">
        <v>#N/A</v>
      </c>
      <c r="BT45" s="2" t="e">
        <v>#N/A</v>
      </c>
      <c r="BU45" s="2" t="e">
        <v>#N/A</v>
      </c>
      <c r="BV45" s="2" t="e">
        <v>#N/A</v>
      </c>
      <c r="BW45" s="2" t="e">
        <v>#N/A</v>
      </c>
      <c r="BX45" s="2" t="e">
        <v>#N/A</v>
      </c>
      <c r="BY45" s="2" t="e">
        <v>#N/A</v>
      </c>
      <c r="BZ45" s="2" t="e">
        <v>#N/A</v>
      </c>
      <c r="CA45" s="2" t="e">
        <v>#N/A</v>
      </c>
      <c r="CB45" s="2" t="e">
        <v>#N/A</v>
      </c>
      <c r="CC45" s="2" t="e">
        <v>#N/A</v>
      </c>
    </row>
    <row r="47" spans="1:16381" x14ac:dyDescent="0.15">
      <c r="B47" s="2">
        <f>MAX(C47:X82)</f>
        <v>56</v>
      </c>
      <c r="C47" s="2">
        <f t="shared" ref="C47:X47" si="51">BowlSplit(C5,RunsConceded)</f>
        <v>0</v>
      </c>
      <c r="D47" s="2">
        <f t="shared" si="51"/>
        <v>0</v>
      </c>
      <c r="E47" s="2">
        <f t="shared" si="51"/>
        <v>0</v>
      </c>
      <c r="F47" s="2">
        <f t="shared" si="51"/>
        <v>0</v>
      </c>
      <c r="G47" s="2">
        <f t="shared" si="51"/>
        <v>0</v>
      </c>
      <c r="H47" s="2">
        <f t="shared" si="51"/>
        <v>0</v>
      </c>
      <c r="I47" s="2">
        <f t="shared" si="51"/>
        <v>0</v>
      </c>
      <c r="J47" s="2">
        <f t="shared" si="51"/>
        <v>0</v>
      </c>
      <c r="K47" s="2">
        <f t="shared" si="51"/>
        <v>0</v>
      </c>
      <c r="L47" s="2">
        <f t="shared" si="51"/>
        <v>0</v>
      </c>
      <c r="M47" s="2">
        <f t="shared" si="51"/>
        <v>0</v>
      </c>
      <c r="N47" s="2">
        <f t="shared" si="51"/>
        <v>28</v>
      </c>
      <c r="O47" s="2">
        <f t="shared" si="51"/>
        <v>0</v>
      </c>
      <c r="P47" s="2">
        <f t="shared" si="51"/>
        <v>0</v>
      </c>
      <c r="Q47" s="2">
        <f t="shared" si="51"/>
        <v>0</v>
      </c>
      <c r="R47" s="2">
        <f t="shared" si="51"/>
        <v>0</v>
      </c>
      <c r="S47" s="2">
        <f t="shared" si="51"/>
        <v>0</v>
      </c>
      <c r="T47" s="2">
        <f t="shared" si="51"/>
        <v>0</v>
      </c>
      <c r="U47" s="2">
        <f t="shared" si="51"/>
        <v>0</v>
      </c>
      <c r="V47" s="2">
        <f t="shared" si="51"/>
        <v>0</v>
      </c>
      <c r="W47" s="2">
        <f t="shared" si="51"/>
        <v>0</v>
      </c>
      <c r="X47" s="2">
        <f t="shared" si="51"/>
        <v>0</v>
      </c>
    </row>
    <row r="48" spans="1:16381" x14ac:dyDescent="0.15">
      <c r="C48" s="2">
        <f t="shared" ref="C48:X48" si="52">BowlSplit(C6,RunsConceded)</f>
        <v>0</v>
      </c>
      <c r="D48" s="2">
        <f t="shared" si="52"/>
        <v>24</v>
      </c>
      <c r="E48" s="2">
        <f t="shared" si="52"/>
        <v>0</v>
      </c>
      <c r="F48" s="2">
        <f t="shared" si="52"/>
        <v>0</v>
      </c>
      <c r="G48" s="2">
        <f t="shared" si="52"/>
        <v>13</v>
      </c>
      <c r="H48" s="2">
        <f t="shared" si="52"/>
        <v>21</v>
      </c>
      <c r="I48" s="2">
        <f t="shared" si="52"/>
        <v>25</v>
      </c>
      <c r="J48" s="2">
        <f t="shared" si="52"/>
        <v>29</v>
      </c>
      <c r="K48" s="2">
        <f t="shared" si="52"/>
        <v>12</v>
      </c>
      <c r="L48" s="2">
        <f t="shared" si="52"/>
        <v>11</v>
      </c>
      <c r="M48" s="2">
        <f t="shared" si="52"/>
        <v>20</v>
      </c>
      <c r="N48" s="2">
        <f t="shared" si="52"/>
        <v>1</v>
      </c>
      <c r="O48" s="2">
        <f t="shared" si="52"/>
        <v>29</v>
      </c>
      <c r="P48" s="2">
        <f t="shared" si="52"/>
        <v>24</v>
      </c>
      <c r="Q48" s="2">
        <f t="shared" si="52"/>
        <v>33</v>
      </c>
      <c r="R48" s="2">
        <f t="shared" si="52"/>
        <v>35</v>
      </c>
      <c r="S48" s="2">
        <f t="shared" si="52"/>
        <v>27</v>
      </c>
      <c r="T48" s="2">
        <f t="shared" si="52"/>
        <v>0</v>
      </c>
      <c r="U48" s="2">
        <f t="shared" si="52"/>
        <v>0</v>
      </c>
      <c r="V48" s="2">
        <f t="shared" si="52"/>
        <v>0</v>
      </c>
      <c r="W48" s="2">
        <f t="shared" si="52"/>
        <v>0</v>
      </c>
      <c r="X48" s="2">
        <f t="shared" si="52"/>
        <v>0</v>
      </c>
    </row>
    <row r="49" spans="3:90" x14ac:dyDescent="0.15">
      <c r="C49" s="2">
        <f t="shared" ref="C49:X49" si="53">BowlSplit(C7,RunsConceded)</f>
        <v>0</v>
      </c>
      <c r="D49" s="2">
        <f t="shared" si="53"/>
        <v>0</v>
      </c>
      <c r="E49" s="2">
        <f t="shared" si="53"/>
        <v>0</v>
      </c>
      <c r="F49" s="2">
        <f t="shared" si="53"/>
        <v>0</v>
      </c>
      <c r="G49" s="2">
        <f t="shared" si="53"/>
        <v>0</v>
      </c>
      <c r="H49" s="2">
        <f t="shared" si="53"/>
        <v>15</v>
      </c>
      <c r="I49" s="2">
        <f t="shared" si="53"/>
        <v>0</v>
      </c>
      <c r="J49" s="2">
        <f t="shared" si="53"/>
        <v>0</v>
      </c>
      <c r="K49" s="2">
        <f t="shared" si="53"/>
        <v>0</v>
      </c>
      <c r="L49" s="2">
        <f t="shared" si="53"/>
        <v>0</v>
      </c>
      <c r="M49" s="2">
        <f t="shared" si="53"/>
        <v>0</v>
      </c>
      <c r="N49" s="2">
        <f t="shared" si="53"/>
        <v>0</v>
      </c>
      <c r="O49" s="2">
        <f t="shared" si="53"/>
        <v>0</v>
      </c>
      <c r="P49" s="2">
        <f t="shared" si="53"/>
        <v>0</v>
      </c>
      <c r="Q49" s="2">
        <f t="shared" si="53"/>
        <v>31</v>
      </c>
      <c r="R49" s="2">
        <f t="shared" si="53"/>
        <v>22</v>
      </c>
      <c r="S49" s="2">
        <f t="shared" si="53"/>
        <v>0</v>
      </c>
      <c r="T49" s="2">
        <f t="shared" si="53"/>
        <v>0</v>
      </c>
      <c r="U49" s="2">
        <f t="shared" si="53"/>
        <v>0</v>
      </c>
      <c r="V49" s="2">
        <f t="shared" si="53"/>
        <v>0</v>
      </c>
      <c r="W49" s="2">
        <f t="shared" si="53"/>
        <v>0</v>
      </c>
      <c r="X49" s="2">
        <f t="shared" si="53"/>
        <v>0</v>
      </c>
    </row>
    <row r="50" spans="3:90" x14ac:dyDescent="0.15">
      <c r="C50" s="2">
        <f t="shared" ref="C50:X50" si="54">BowlSplit(C8,RunsConceded)</f>
        <v>0</v>
      </c>
      <c r="D50" s="2">
        <f t="shared" si="54"/>
        <v>0</v>
      </c>
      <c r="E50" s="2">
        <f t="shared" si="54"/>
        <v>0</v>
      </c>
      <c r="F50" s="2">
        <f t="shared" si="54"/>
        <v>0</v>
      </c>
      <c r="G50" s="2">
        <f t="shared" si="54"/>
        <v>0</v>
      </c>
      <c r="H50" s="2">
        <f t="shared" si="54"/>
        <v>0</v>
      </c>
      <c r="I50" s="2">
        <f t="shared" si="54"/>
        <v>0</v>
      </c>
      <c r="J50" s="2">
        <f t="shared" si="54"/>
        <v>0</v>
      </c>
      <c r="K50" s="2">
        <f t="shared" si="54"/>
        <v>0</v>
      </c>
      <c r="L50" s="2">
        <f t="shared" si="54"/>
        <v>0</v>
      </c>
      <c r="M50" s="2">
        <f t="shared" si="54"/>
        <v>0</v>
      </c>
      <c r="N50" s="2">
        <f t="shared" si="54"/>
        <v>0</v>
      </c>
      <c r="O50" s="2">
        <f t="shared" si="54"/>
        <v>0</v>
      </c>
      <c r="P50" s="2">
        <f t="shared" si="54"/>
        <v>0</v>
      </c>
      <c r="Q50" s="2">
        <f t="shared" si="54"/>
        <v>0</v>
      </c>
      <c r="R50" s="2">
        <f t="shared" si="54"/>
        <v>0</v>
      </c>
      <c r="S50" s="2">
        <f t="shared" si="54"/>
        <v>0</v>
      </c>
      <c r="T50" s="2">
        <f t="shared" si="54"/>
        <v>0</v>
      </c>
      <c r="U50" s="2">
        <f t="shared" si="54"/>
        <v>0</v>
      </c>
      <c r="V50" s="2">
        <f t="shared" si="54"/>
        <v>0</v>
      </c>
      <c r="W50" s="2">
        <f t="shared" si="54"/>
        <v>0</v>
      </c>
      <c r="X50" s="2">
        <f t="shared" si="54"/>
        <v>0</v>
      </c>
    </row>
    <row r="51" spans="3:90" x14ac:dyDescent="0.15">
      <c r="C51" s="2">
        <f t="shared" ref="C51:X51" si="55">BowlSplit(C9,RunsConceded)</f>
        <v>0</v>
      </c>
      <c r="D51" s="2">
        <f t="shared" si="55"/>
        <v>0</v>
      </c>
      <c r="E51" s="2">
        <f t="shared" si="55"/>
        <v>0</v>
      </c>
      <c r="F51" s="2">
        <f t="shared" si="55"/>
        <v>0</v>
      </c>
      <c r="G51" s="2">
        <f t="shared" si="55"/>
        <v>21</v>
      </c>
      <c r="H51" s="2">
        <f t="shared" si="55"/>
        <v>0</v>
      </c>
      <c r="I51" s="2">
        <f t="shared" si="55"/>
        <v>0</v>
      </c>
      <c r="J51" s="2">
        <f t="shared" si="55"/>
        <v>32</v>
      </c>
      <c r="K51" s="2">
        <f t="shared" si="55"/>
        <v>0</v>
      </c>
      <c r="L51" s="2">
        <f t="shared" si="55"/>
        <v>0</v>
      </c>
      <c r="M51" s="2">
        <f t="shared" si="55"/>
        <v>0</v>
      </c>
      <c r="N51" s="2">
        <f t="shared" si="55"/>
        <v>0</v>
      </c>
      <c r="O51" s="2">
        <f t="shared" si="55"/>
        <v>0</v>
      </c>
      <c r="P51" s="2">
        <f t="shared" si="55"/>
        <v>0</v>
      </c>
      <c r="Q51" s="2">
        <f t="shared" si="55"/>
        <v>0</v>
      </c>
      <c r="R51" s="2">
        <f t="shared" si="55"/>
        <v>0</v>
      </c>
      <c r="S51" s="2">
        <f t="shared" si="55"/>
        <v>0</v>
      </c>
      <c r="T51" s="2">
        <f t="shared" si="55"/>
        <v>0</v>
      </c>
      <c r="U51" s="2">
        <f t="shared" si="55"/>
        <v>0</v>
      </c>
      <c r="V51" s="2">
        <f t="shared" si="55"/>
        <v>0</v>
      </c>
      <c r="W51" s="2">
        <f t="shared" si="55"/>
        <v>0</v>
      </c>
      <c r="X51" s="2">
        <f t="shared" si="55"/>
        <v>0</v>
      </c>
    </row>
    <row r="52" spans="3:90" x14ac:dyDescent="0.15">
      <c r="C52" s="2">
        <f t="shared" ref="C52:X52" si="56">BowlSplit(C10,RunsConceded)</f>
        <v>20</v>
      </c>
      <c r="D52" s="2">
        <f t="shared" si="56"/>
        <v>15</v>
      </c>
      <c r="E52" s="2">
        <f t="shared" si="56"/>
        <v>0</v>
      </c>
      <c r="F52" s="2">
        <f t="shared" si="56"/>
        <v>0</v>
      </c>
      <c r="G52" s="2">
        <f t="shared" si="56"/>
        <v>0</v>
      </c>
      <c r="H52" s="2">
        <f t="shared" si="56"/>
        <v>0</v>
      </c>
      <c r="I52" s="2">
        <f t="shared" si="56"/>
        <v>54</v>
      </c>
      <c r="J52" s="2">
        <f t="shared" si="56"/>
        <v>0</v>
      </c>
      <c r="K52" s="2">
        <f t="shared" si="56"/>
        <v>0</v>
      </c>
      <c r="L52" s="2">
        <f t="shared" si="56"/>
        <v>27</v>
      </c>
      <c r="M52" s="2">
        <f t="shared" si="56"/>
        <v>19</v>
      </c>
      <c r="N52" s="2">
        <f t="shared" si="56"/>
        <v>0</v>
      </c>
      <c r="O52" s="2">
        <f t="shared" si="56"/>
        <v>15</v>
      </c>
      <c r="P52" s="2">
        <f t="shared" si="56"/>
        <v>13</v>
      </c>
      <c r="Q52" s="2">
        <f t="shared" si="56"/>
        <v>0</v>
      </c>
      <c r="R52" s="2">
        <f t="shared" si="56"/>
        <v>21</v>
      </c>
      <c r="S52" s="2">
        <f t="shared" si="56"/>
        <v>29</v>
      </c>
      <c r="T52" s="2">
        <f t="shared" si="56"/>
        <v>0</v>
      </c>
      <c r="U52" s="2">
        <f t="shared" si="56"/>
        <v>0</v>
      </c>
      <c r="V52" s="2">
        <f t="shared" si="56"/>
        <v>0</v>
      </c>
      <c r="W52" s="2">
        <f t="shared" si="56"/>
        <v>0</v>
      </c>
      <c r="X52" s="2">
        <f t="shared" si="56"/>
        <v>0</v>
      </c>
    </row>
    <row r="53" spans="3:90" x14ac:dyDescent="0.15">
      <c r="C53" s="2">
        <f t="shared" ref="C53:X53" si="57">BowlSplit(C11,RunsConceded)</f>
        <v>0</v>
      </c>
      <c r="D53" s="2">
        <f t="shared" si="57"/>
        <v>0</v>
      </c>
      <c r="E53" s="2">
        <f t="shared" si="57"/>
        <v>0</v>
      </c>
      <c r="F53" s="2">
        <f t="shared" si="57"/>
        <v>0</v>
      </c>
      <c r="G53" s="2">
        <f t="shared" si="57"/>
        <v>0</v>
      </c>
      <c r="H53" s="2">
        <f t="shared" si="57"/>
        <v>0</v>
      </c>
      <c r="I53" s="2">
        <f t="shared" si="57"/>
        <v>0</v>
      </c>
      <c r="J53" s="2">
        <f t="shared" si="57"/>
        <v>28</v>
      </c>
      <c r="K53" s="2">
        <f t="shared" si="57"/>
        <v>30</v>
      </c>
      <c r="L53" s="2">
        <f t="shared" si="57"/>
        <v>0</v>
      </c>
      <c r="M53" s="2">
        <f t="shared" si="57"/>
        <v>22</v>
      </c>
      <c r="N53" s="2">
        <f t="shared" si="57"/>
        <v>0</v>
      </c>
      <c r="O53" s="2">
        <f t="shared" si="57"/>
        <v>0</v>
      </c>
      <c r="P53" s="2">
        <f t="shared" si="57"/>
        <v>21</v>
      </c>
      <c r="Q53" s="2">
        <f t="shared" si="57"/>
        <v>0</v>
      </c>
      <c r="R53" s="2">
        <f t="shared" si="57"/>
        <v>0</v>
      </c>
      <c r="S53" s="2">
        <f t="shared" si="57"/>
        <v>0</v>
      </c>
      <c r="T53" s="2">
        <f t="shared" si="57"/>
        <v>0</v>
      </c>
      <c r="U53" s="2">
        <f t="shared" si="57"/>
        <v>0</v>
      </c>
      <c r="V53" s="2">
        <f t="shared" si="57"/>
        <v>0</v>
      </c>
      <c r="W53" s="2">
        <f t="shared" si="57"/>
        <v>0</v>
      </c>
      <c r="X53" s="2">
        <f t="shared" si="57"/>
        <v>0</v>
      </c>
      <c r="CL53" s="51">
        <f>6/29</f>
        <v>0.20689655172413793</v>
      </c>
    </row>
    <row r="54" spans="3:90" x14ac:dyDescent="0.15">
      <c r="C54" s="2">
        <f t="shared" ref="C54:X54" si="58">BowlSplit(C12,RunsConceded)</f>
        <v>0</v>
      </c>
      <c r="D54" s="2">
        <f t="shared" si="58"/>
        <v>0</v>
      </c>
      <c r="E54" s="2">
        <f t="shared" si="58"/>
        <v>0</v>
      </c>
      <c r="F54" s="2">
        <f t="shared" si="58"/>
        <v>0</v>
      </c>
      <c r="G54" s="2">
        <f t="shared" si="58"/>
        <v>0</v>
      </c>
      <c r="H54" s="2">
        <f t="shared" si="58"/>
        <v>0</v>
      </c>
      <c r="I54" s="2">
        <f t="shared" si="58"/>
        <v>0</v>
      </c>
      <c r="J54" s="2">
        <f t="shared" si="58"/>
        <v>0</v>
      </c>
      <c r="K54" s="2">
        <f t="shared" si="58"/>
        <v>0</v>
      </c>
      <c r="L54" s="2">
        <f t="shared" si="58"/>
        <v>0</v>
      </c>
      <c r="M54" s="2">
        <f t="shared" si="58"/>
        <v>0</v>
      </c>
      <c r="N54" s="2">
        <f t="shared" si="58"/>
        <v>0</v>
      </c>
      <c r="O54" s="2">
        <f t="shared" si="58"/>
        <v>0</v>
      </c>
      <c r="P54" s="2">
        <f t="shared" si="58"/>
        <v>0</v>
      </c>
      <c r="Q54" s="2">
        <f t="shared" si="58"/>
        <v>0</v>
      </c>
      <c r="R54" s="2">
        <f t="shared" si="58"/>
        <v>0</v>
      </c>
      <c r="S54" s="2">
        <f t="shared" si="58"/>
        <v>0</v>
      </c>
      <c r="T54" s="2">
        <f t="shared" si="58"/>
        <v>0</v>
      </c>
      <c r="U54" s="2">
        <f t="shared" si="58"/>
        <v>0</v>
      </c>
      <c r="V54" s="2">
        <f t="shared" si="58"/>
        <v>0</v>
      </c>
      <c r="W54" s="2">
        <f t="shared" si="58"/>
        <v>0</v>
      </c>
      <c r="X54" s="2">
        <f t="shared" si="58"/>
        <v>0</v>
      </c>
      <c r="CL54" s="51">
        <f>9/44</f>
        <v>0.20454545454545456</v>
      </c>
    </row>
    <row r="55" spans="3:90" x14ac:dyDescent="0.15">
      <c r="C55" s="2">
        <f t="shared" ref="C55:X55" si="59">BowlSplit(C13,RunsConceded)</f>
        <v>0</v>
      </c>
      <c r="D55" s="2">
        <f t="shared" si="59"/>
        <v>0</v>
      </c>
      <c r="E55" s="2">
        <f t="shared" si="59"/>
        <v>0</v>
      </c>
      <c r="F55" s="2">
        <f t="shared" si="59"/>
        <v>18</v>
      </c>
      <c r="G55" s="2">
        <f t="shared" si="59"/>
        <v>0</v>
      </c>
      <c r="H55" s="2">
        <f t="shared" si="59"/>
        <v>0</v>
      </c>
      <c r="I55" s="2">
        <f t="shared" si="59"/>
        <v>0</v>
      </c>
      <c r="J55" s="2">
        <f t="shared" si="59"/>
        <v>0</v>
      </c>
      <c r="K55" s="2">
        <f t="shared" si="59"/>
        <v>0</v>
      </c>
      <c r="L55" s="2">
        <f t="shared" si="59"/>
        <v>0</v>
      </c>
      <c r="M55" s="2">
        <f t="shared" si="59"/>
        <v>0</v>
      </c>
      <c r="N55" s="2">
        <f t="shared" si="59"/>
        <v>0</v>
      </c>
      <c r="O55" s="2">
        <f t="shared" si="59"/>
        <v>0</v>
      </c>
      <c r="P55" s="2">
        <f t="shared" si="59"/>
        <v>0</v>
      </c>
      <c r="Q55" s="2">
        <f t="shared" si="59"/>
        <v>0</v>
      </c>
      <c r="R55" s="2">
        <f t="shared" si="59"/>
        <v>0</v>
      </c>
      <c r="S55" s="2">
        <f t="shared" si="59"/>
        <v>0</v>
      </c>
      <c r="T55" s="2">
        <f t="shared" si="59"/>
        <v>0</v>
      </c>
      <c r="U55" s="2">
        <f t="shared" si="59"/>
        <v>0</v>
      </c>
      <c r="V55" s="2">
        <f t="shared" si="59"/>
        <v>0</v>
      </c>
      <c r="W55" s="2">
        <f t="shared" si="59"/>
        <v>0</v>
      </c>
      <c r="X55" s="2">
        <f t="shared" si="59"/>
        <v>0</v>
      </c>
    </row>
    <row r="56" spans="3:90" x14ac:dyDescent="0.15">
      <c r="C56" s="2">
        <f t="shared" ref="C56:X56" si="60">BowlSplit(C14,RunsConceded)</f>
        <v>21</v>
      </c>
      <c r="D56" s="2">
        <f t="shared" si="60"/>
        <v>21</v>
      </c>
      <c r="E56" s="2">
        <f t="shared" si="60"/>
        <v>0</v>
      </c>
      <c r="F56" s="2">
        <f t="shared" si="60"/>
        <v>0</v>
      </c>
      <c r="G56" s="2">
        <f t="shared" si="60"/>
        <v>0</v>
      </c>
      <c r="H56" s="2">
        <f t="shared" si="60"/>
        <v>0</v>
      </c>
      <c r="I56" s="2">
        <f t="shared" si="60"/>
        <v>0</v>
      </c>
      <c r="J56" s="2">
        <f t="shared" si="60"/>
        <v>0</v>
      </c>
      <c r="K56" s="2">
        <f t="shared" si="60"/>
        <v>0</v>
      </c>
      <c r="L56" s="2">
        <f t="shared" si="60"/>
        <v>0</v>
      </c>
      <c r="M56" s="2">
        <f t="shared" si="60"/>
        <v>0</v>
      </c>
      <c r="N56" s="2">
        <f t="shared" si="60"/>
        <v>26</v>
      </c>
      <c r="O56" s="2">
        <f t="shared" si="60"/>
        <v>0</v>
      </c>
      <c r="P56" s="2">
        <f t="shared" si="60"/>
        <v>0</v>
      </c>
      <c r="Q56" s="2">
        <f t="shared" si="60"/>
        <v>0</v>
      </c>
      <c r="R56" s="2">
        <f t="shared" si="60"/>
        <v>0</v>
      </c>
      <c r="S56" s="2">
        <f t="shared" si="60"/>
        <v>0</v>
      </c>
      <c r="T56" s="2">
        <f t="shared" si="60"/>
        <v>0</v>
      </c>
      <c r="U56" s="2">
        <f t="shared" si="60"/>
        <v>0</v>
      </c>
      <c r="V56" s="2">
        <f t="shared" si="60"/>
        <v>0</v>
      </c>
      <c r="W56" s="2">
        <f t="shared" si="60"/>
        <v>0</v>
      </c>
      <c r="X56" s="2">
        <f t="shared" si="60"/>
        <v>0</v>
      </c>
    </row>
    <row r="57" spans="3:90" x14ac:dyDescent="0.15">
      <c r="C57" s="2">
        <f t="shared" ref="C57:X57" si="61">BowlSplit(C15,RunsConceded)</f>
        <v>0</v>
      </c>
      <c r="D57" s="2">
        <f t="shared" si="61"/>
        <v>0</v>
      </c>
      <c r="E57" s="2">
        <f t="shared" si="61"/>
        <v>0</v>
      </c>
      <c r="F57" s="2">
        <f t="shared" si="61"/>
        <v>0</v>
      </c>
      <c r="G57" s="2">
        <f t="shared" si="61"/>
        <v>0</v>
      </c>
      <c r="H57" s="2">
        <f t="shared" si="61"/>
        <v>0</v>
      </c>
      <c r="I57" s="2">
        <f t="shared" si="61"/>
        <v>21</v>
      </c>
      <c r="J57" s="2">
        <f t="shared" si="61"/>
        <v>0</v>
      </c>
      <c r="K57" s="2">
        <f t="shared" si="61"/>
        <v>0</v>
      </c>
      <c r="L57" s="2">
        <f t="shared" si="61"/>
        <v>0</v>
      </c>
      <c r="M57" s="2">
        <f t="shared" si="61"/>
        <v>0</v>
      </c>
      <c r="N57" s="2">
        <f t="shared" si="61"/>
        <v>0</v>
      </c>
      <c r="O57" s="2">
        <f t="shared" si="61"/>
        <v>0</v>
      </c>
      <c r="P57" s="2">
        <f t="shared" si="61"/>
        <v>0</v>
      </c>
      <c r="Q57" s="2">
        <f t="shared" si="61"/>
        <v>0</v>
      </c>
      <c r="R57" s="2">
        <f t="shared" si="61"/>
        <v>0</v>
      </c>
      <c r="S57" s="2">
        <f t="shared" si="61"/>
        <v>0</v>
      </c>
      <c r="T57" s="2">
        <f t="shared" si="61"/>
        <v>0</v>
      </c>
      <c r="U57" s="2">
        <f t="shared" si="61"/>
        <v>0</v>
      </c>
      <c r="V57" s="2">
        <f t="shared" si="61"/>
        <v>0</v>
      </c>
      <c r="W57" s="2">
        <f t="shared" si="61"/>
        <v>0</v>
      </c>
      <c r="X57" s="2">
        <f t="shared" si="61"/>
        <v>0</v>
      </c>
    </row>
    <row r="58" spans="3:90" x14ac:dyDescent="0.15">
      <c r="C58" s="2">
        <f t="shared" ref="C58:X58" si="62">BowlSplit(C16,RunsConceded)</f>
        <v>0</v>
      </c>
      <c r="D58" s="2">
        <f t="shared" si="62"/>
        <v>0</v>
      </c>
      <c r="E58" s="2">
        <f t="shared" si="62"/>
        <v>0</v>
      </c>
      <c r="F58" s="2">
        <f t="shared" si="62"/>
        <v>0</v>
      </c>
      <c r="G58" s="2">
        <f t="shared" si="62"/>
        <v>0</v>
      </c>
      <c r="H58" s="2">
        <f t="shared" si="62"/>
        <v>0</v>
      </c>
      <c r="I58" s="2">
        <f t="shared" si="62"/>
        <v>0</v>
      </c>
      <c r="J58" s="2">
        <f t="shared" si="62"/>
        <v>0</v>
      </c>
      <c r="K58" s="2">
        <f t="shared" si="62"/>
        <v>0</v>
      </c>
      <c r="L58" s="2">
        <f t="shared" si="62"/>
        <v>38</v>
      </c>
      <c r="M58" s="2">
        <f t="shared" si="62"/>
        <v>0</v>
      </c>
      <c r="N58" s="2">
        <f t="shared" si="62"/>
        <v>29</v>
      </c>
      <c r="O58" s="2">
        <f t="shared" si="62"/>
        <v>0</v>
      </c>
      <c r="P58" s="2">
        <f t="shared" si="62"/>
        <v>0</v>
      </c>
      <c r="Q58" s="2">
        <f t="shared" si="62"/>
        <v>0</v>
      </c>
      <c r="R58" s="2">
        <f t="shared" si="62"/>
        <v>0</v>
      </c>
      <c r="S58" s="2">
        <f t="shared" si="62"/>
        <v>0</v>
      </c>
      <c r="T58" s="2">
        <f t="shared" si="62"/>
        <v>0</v>
      </c>
      <c r="U58" s="2">
        <f t="shared" si="62"/>
        <v>0</v>
      </c>
      <c r="V58" s="2">
        <f t="shared" si="62"/>
        <v>0</v>
      </c>
      <c r="W58" s="2">
        <f t="shared" si="62"/>
        <v>0</v>
      </c>
      <c r="X58" s="2">
        <f t="shared" si="62"/>
        <v>0</v>
      </c>
    </row>
    <row r="59" spans="3:90" x14ac:dyDescent="0.15">
      <c r="C59" s="2">
        <f t="shared" ref="C59:X59" si="63">BowlSplit(C17,RunsConceded)</f>
        <v>0</v>
      </c>
      <c r="D59" s="2">
        <f t="shared" si="63"/>
        <v>0</v>
      </c>
      <c r="E59" s="2">
        <f t="shared" si="63"/>
        <v>41</v>
      </c>
      <c r="F59" s="2">
        <f t="shared" si="63"/>
        <v>0</v>
      </c>
      <c r="G59" s="2">
        <f t="shared" si="63"/>
        <v>0</v>
      </c>
      <c r="H59" s="2">
        <f t="shared" si="63"/>
        <v>0</v>
      </c>
      <c r="I59" s="2">
        <f t="shared" si="63"/>
        <v>0</v>
      </c>
      <c r="J59" s="2">
        <f t="shared" si="63"/>
        <v>0</v>
      </c>
      <c r="K59" s="2">
        <f t="shared" si="63"/>
        <v>0</v>
      </c>
      <c r="L59" s="2">
        <f t="shared" si="63"/>
        <v>0</v>
      </c>
      <c r="M59" s="2">
        <f t="shared" si="63"/>
        <v>0</v>
      </c>
      <c r="N59" s="2">
        <f t="shared" si="63"/>
        <v>0</v>
      </c>
      <c r="O59" s="2">
        <f t="shared" si="63"/>
        <v>0</v>
      </c>
      <c r="P59" s="2">
        <f t="shared" si="63"/>
        <v>0</v>
      </c>
      <c r="Q59" s="2">
        <f t="shared" si="63"/>
        <v>0</v>
      </c>
      <c r="R59" s="2">
        <f t="shared" si="63"/>
        <v>0</v>
      </c>
      <c r="S59" s="2">
        <f t="shared" si="63"/>
        <v>0</v>
      </c>
      <c r="T59" s="2">
        <f t="shared" si="63"/>
        <v>0</v>
      </c>
      <c r="U59" s="2">
        <f t="shared" si="63"/>
        <v>0</v>
      </c>
      <c r="V59" s="2">
        <f t="shared" si="63"/>
        <v>0</v>
      </c>
      <c r="W59" s="2">
        <f t="shared" si="63"/>
        <v>0</v>
      </c>
      <c r="X59" s="2">
        <f t="shared" si="63"/>
        <v>0</v>
      </c>
    </row>
    <row r="60" spans="3:90" x14ac:dyDescent="0.15">
      <c r="C60" s="2">
        <f t="shared" ref="C60:X60" si="64">BowlSplit(C18,RunsConceded)</f>
        <v>22</v>
      </c>
      <c r="D60" s="2">
        <f t="shared" si="64"/>
        <v>0</v>
      </c>
      <c r="E60" s="2">
        <f t="shared" si="64"/>
        <v>0</v>
      </c>
      <c r="F60" s="2">
        <f t="shared" si="64"/>
        <v>0</v>
      </c>
      <c r="G60" s="2">
        <f t="shared" si="64"/>
        <v>0</v>
      </c>
      <c r="H60" s="2">
        <f t="shared" si="64"/>
        <v>0</v>
      </c>
      <c r="I60" s="2">
        <f t="shared" si="64"/>
        <v>0</v>
      </c>
      <c r="J60" s="2">
        <f t="shared" si="64"/>
        <v>0</v>
      </c>
      <c r="K60" s="2">
        <f t="shared" si="64"/>
        <v>27</v>
      </c>
      <c r="L60" s="2">
        <f t="shared" si="64"/>
        <v>0</v>
      </c>
      <c r="M60" s="2">
        <f t="shared" si="64"/>
        <v>0</v>
      </c>
      <c r="N60" s="2">
        <f t="shared" si="64"/>
        <v>0</v>
      </c>
      <c r="O60" s="2">
        <f t="shared" si="64"/>
        <v>0</v>
      </c>
      <c r="P60" s="2">
        <f t="shared" si="64"/>
        <v>0</v>
      </c>
      <c r="Q60" s="2">
        <f t="shared" si="64"/>
        <v>0</v>
      </c>
      <c r="R60" s="2">
        <f t="shared" si="64"/>
        <v>0</v>
      </c>
      <c r="S60" s="2">
        <f t="shared" si="64"/>
        <v>0</v>
      </c>
      <c r="T60" s="2">
        <f t="shared" si="64"/>
        <v>0</v>
      </c>
      <c r="U60" s="2">
        <f t="shared" si="64"/>
        <v>0</v>
      </c>
      <c r="V60" s="2">
        <f t="shared" si="64"/>
        <v>0</v>
      </c>
      <c r="W60" s="2">
        <f t="shared" si="64"/>
        <v>0</v>
      </c>
      <c r="X60" s="2">
        <f t="shared" si="64"/>
        <v>0</v>
      </c>
    </row>
    <row r="61" spans="3:90" x14ac:dyDescent="0.15">
      <c r="C61" s="2">
        <f t="shared" ref="C61:X61" si="65">BowlSplit(C19,RunsConceded)</f>
        <v>0</v>
      </c>
      <c r="D61" s="2">
        <f t="shared" si="65"/>
        <v>0</v>
      </c>
      <c r="E61" s="2">
        <f t="shared" si="65"/>
        <v>0</v>
      </c>
      <c r="F61" s="2">
        <f t="shared" si="65"/>
        <v>0</v>
      </c>
      <c r="G61" s="2">
        <f t="shared" si="65"/>
        <v>0</v>
      </c>
      <c r="H61" s="2">
        <f t="shared" si="65"/>
        <v>0</v>
      </c>
      <c r="I61" s="2">
        <f t="shared" si="65"/>
        <v>0</v>
      </c>
      <c r="J61" s="2">
        <f t="shared" si="65"/>
        <v>0</v>
      </c>
      <c r="K61" s="2">
        <f t="shared" si="65"/>
        <v>0</v>
      </c>
      <c r="L61" s="2">
        <f t="shared" si="65"/>
        <v>0</v>
      </c>
      <c r="M61" s="2">
        <f t="shared" si="65"/>
        <v>0</v>
      </c>
      <c r="N61" s="2">
        <f t="shared" si="65"/>
        <v>0</v>
      </c>
      <c r="O61" s="2">
        <f t="shared" si="65"/>
        <v>0</v>
      </c>
      <c r="P61" s="2">
        <f t="shared" si="65"/>
        <v>0</v>
      </c>
      <c r="Q61" s="2">
        <f t="shared" si="65"/>
        <v>0</v>
      </c>
      <c r="R61" s="2">
        <f t="shared" si="65"/>
        <v>0</v>
      </c>
      <c r="S61" s="2">
        <f t="shared" si="65"/>
        <v>0</v>
      </c>
      <c r="T61" s="2">
        <f t="shared" si="65"/>
        <v>0</v>
      </c>
      <c r="U61" s="2">
        <f t="shared" si="65"/>
        <v>0</v>
      </c>
      <c r="V61" s="2">
        <f t="shared" si="65"/>
        <v>0</v>
      </c>
      <c r="W61" s="2">
        <f t="shared" si="65"/>
        <v>0</v>
      </c>
      <c r="X61" s="2">
        <f t="shared" si="65"/>
        <v>0</v>
      </c>
    </row>
    <row r="62" spans="3:90" x14ac:dyDescent="0.15">
      <c r="C62" s="2">
        <f t="shared" ref="C62:X62" si="66">BowlSplit(C20,RunsConceded)</f>
        <v>0</v>
      </c>
      <c r="D62" s="2">
        <f t="shared" si="66"/>
        <v>0</v>
      </c>
      <c r="E62" s="2">
        <f t="shared" si="66"/>
        <v>0</v>
      </c>
      <c r="F62" s="2">
        <f t="shared" si="66"/>
        <v>14</v>
      </c>
      <c r="G62" s="2">
        <f t="shared" si="66"/>
        <v>13</v>
      </c>
      <c r="H62" s="2">
        <f t="shared" si="66"/>
        <v>23</v>
      </c>
      <c r="I62" s="2">
        <f t="shared" si="66"/>
        <v>0</v>
      </c>
      <c r="J62" s="2">
        <f t="shared" si="66"/>
        <v>0</v>
      </c>
      <c r="K62" s="2">
        <f t="shared" si="66"/>
        <v>0</v>
      </c>
      <c r="L62" s="2">
        <f t="shared" si="66"/>
        <v>0</v>
      </c>
      <c r="M62" s="2">
        <f t="shared" si="66"/>
        <v>0</v>
      </c>
      <c r="N62" s="2">
        <f t="shared" si="66"/>
        <v>9</v>
      </c>
      <c r="O62" s="2">
        <f t="shared" si="66"/>
        <v>32</v>
      </c>
      <c r="P62" s="2">
        <f t="shared" si="66"/>
        <v>0</v>
      </c>
      <c r="Q62" s="2">
        <f t="shared" si="66"/>
        <v>0</v>
      </c>
      <c r="R62" s="2">
        <f t="shared" si="66"/>
        <v>0</v>
      </c>
      <c r="S62" s="2">
        <f t="shared" si="66"/>
        <v>21</v>
      </c>
      <c r="T62" s="2">
        <f t="shared" si="66"/>
        <v>0</v>
      </c>
      <c r="U62" s="2">
        <f t="shared" si="66"/>
        <v>0</v>
      </c>
      <c r="V62" s="2">
        <f t="shared" si="66"/>
        <v>0</v>
      </c>
      <c r="W62" s="2">
        <f t="shared" si="66"/>
        <v>0</v>
      </c>
      <c r="X62" s="2">
        <f t="shared" si="66"/>
        <v>0</v>
      </c>
    </row>
    <row r="63" spans="3:90" x14ac:dyDescent="0.15">
      <c r="C63" s="2">
        <f t="shared" ref="C63:X63" si="67">BowlSplit(C21,RunsConceded)</f>
        <v>16</v>
      </c>
      <c r="D63" s="2">
        <f t="shared" si="67"/>
        <v>16</v>
      </c>
      <c r="E63" s="2">
        <f t="shared" si="67"/>
        <v>24</v>
      </c>
      <c r="F63" s="2">
        <f t="shared" si="67"/>
        <v>16</v>
      </c>
      <c r="G63" s="2">
        <f t="shared" si="67"/>
        <v>10</v>
      </c>
      <c r="H63" s="2">
        <f t="shared" si="67"/>
        <v>13</v>
      </c>
      <c r="I63" s="2">
        <f t="shared" si="67"/>
        <v>22</v>
      </c>
      <c r="J63" s="2">
        <f t="shared" si="67"/>
        <v>32</v>
      </c>
      <c r="K63" s="2">
        <f t="shared" si="67"/>
        <v>40</v>
      </c>
      <c r="L63" s="2">
        <f t="shared" si="67"/>
        <v>22</v>
      </c>
      <c r="M63" s="2">
        <f t="shared" si="67"/>
        <v>0</v>
      </c>
      <c r="N63" s="2">
        <f t="shared" si="67"/>
        <v>0</v>
      </c>
      <c r="O63" s="2">
        <f t="shared" si="67"/>
        <v>11</v>
      </c>
      <c r="P63" s="2">
        <f t="shared" si="67"/>
        <v>0</v>
      </c>
      <c r="Q63" s="2">
        <f t="shared" si="67"/>
        <v>43</v>
      </c>
      <c r="R63" s="2">
        <f t="shared" si="67"/>
        <v>36</v>
      </c>
      <c r="S63" s="2">
        <f t="shared" si="67"/>
        <v>0</v>
      </c>
      <c r="T63" s="2">
        <f t="shared" si="67"/>
        <v>0</v>
      </c>
      <c r="U63" s="2">
        <f t="shared" si="67"/>
        <v>0</v>
      </c>
      <c r="V63" s="2">
        <f t="shared" si="67"/>
        <v>0</v>
      </c>
      <c r="W63" s="2">
        <f t="shared" si="67"/>
        <v>0</v>
      </c>
      <c r="X63" s="2">
        <f t="shared" si="67"/>
        <v>0</v>
      </c>
    </row>
    <row r="64" spans="3:90" x14ac:dyDescent="0.15">
      <c r="C64" s="2">
        <f t="shared" ref="C64:X64" si="68">BowlSplit(C22,RunsConceded)</f>
        <v>0</v>
      </c>
      <c r="D64" s="2">
        <f t="shared" si="68"/>
        <v>0</v>
      </c>
      <c r="E64" s="2">
        <f t="shared" si="68"/>
        <v>41</v>
      </c>
      <c r="F64" s="2">
        <f t="shared" si="68"/>
        <v>19</v>
      </c>
      <c r="G64" s="2">
        <f t="shared" si="68"/>
        <v>0</v>
      </c>
      <c r="H64" s="2">
        <f t="shared" si="68"/>
        <v>0</v>
      </c>
      <c r="I64" s="2">
        <f t="shared" si="68"/>
        <v>0</v>
      </c>
      <c r="J64" s="2">
        <f t="shared" si="68"/>
        <v>0</v>
      </c>
      <c r="K64" s="2">
        <f t="shared" si="68"/>
        <v>0</v>
      </c>
      <c r="L64" s="2">
        <f t="shared" si="68"/>
        <v>0</v>
      </c>
      <c r="M64" s="2">
        <f t="shared" si="68"/>
        <v>0</v>
      </c>
      <c r="N64" s="2">
        <f t="shared" si="68"/>
        <v>0</v>
      </c>
      <c r="O64" s="2">
        <f t="shared" si="68"/>
        <v>0</v>
      </c>
      <c r="P64" s="2">
        <f t="shared" si="68"/>
        <v>0</v>
      </c>
      <c r="Q64" s="2">
        <f t="shared" si="68"/>
        <v>28</v>
      </c>
      <c r="R64" s="2">
        <f t="shared" si="68"/>
        <v>0</v>
      </c>
      <c r="S64" s="2">
        <f t="shared" si="68"/>
        <v>0</v>
      </c>
      <c r="T64" s="2">
        <f t="shared" si="68"/>
        <v>0</v>
      </c>
      <c r="U64" s="2">
        <f t="shared" si="68"/>
        <v>0</v>
      </c>
      <c r="V64" s="2">
        <f t="shared" si="68"/>
        <v>0</v>
      </c>
      <c r="W64" s="2">
        <f t="shared" si="68"/>
        <v>0</v>
      </c>
      <c r="X64" s="2">
        <f t="shared" si="68"/>
        <v>0</v>
      </c>
    </row>
    <row r="65" spans="3:24" x14ac:dyDescent="0.15">
      <c r="C65" s="2">
        <f t="shared" ref="C65:X65" si="69">BowlSplit(C23,RunsConceded)</f>
        <v>0</v>
      </c>
      <c r="D65" s="2">
        <f t="shared" si="69"/>
        <v>0</v>
      </c>
      <c r="E65" s="2">
        <f t="shared" si="69"/>
        <v>0</v>
      </c>
      <c r="F65" s="2">
        <f t="shared" si="69"/>
        <v>23</v>
      </c>
      <c r="G65" s="2">
        <f t="shared" si="69"/>
        <v>0</v>
      </c>
      <c r="H65" s="2">
        <f t="shared" si="69"/>
        <v>19</v>
      </c>
      <c r="I65" s="2">
        <f t="shared" si="69"/>
        <v>0</v>
      </c>
      <c r="J65" s="2">
        <f t="shared" si="69"/>
        <v>0</v>
      </c>
      <c r="K65" s="2">
        <f t="shared" si="69"/>
        <v>0</v>
      </c>
      <c r="L65" s="2">
        <f t="shared" si="69"/>
        <v>0</v>
      </c>
      <c r="M65" s="2">
        <f t="shared" si="69"/>
        <v>0</v>
      </c>
      <c r="N65" s="2">
        <f t="shared" si="69"/>
        <v>0</v>
      </c>
      <c r="O65" s="2">
        <f t="shared" si="69"/>
        <v>0</v>
      </c>
      <c r="P65" s="2">
        <f t="shared" si="69"/>
        <v>0</v>
      </c>
      <c r="Q65" s="2">
        <f t="shared" si="69"/>
        <v>0</v>
      </c>
      <c r="R65" s="2">
        <f t="shared" si="69"/>
        <v>0</v>
      </c>
      <c r="S65" s="2">
        <f t="shared" si="69"/>
        <v>0</v>
      </c>
      <c r="T65" s="2">
        <f t="shared" si="69"/>
        <v>0</v>
      </c>
      <c r="U65" s="2">
        <f t="shared" si="69"/>
        <v>0</v>
      </c>
      <c r="V65" s="2">
        <f t="shared" si="69"/>
        <v>0</v>
      </c>
      <c r="W65" s="2">
        <f t="shared" si="69"/>
        <v>0</v>
      </c>
      <c r="X65" s="2">
        <f t="shared" si="69"/>
        <v>0</v>
      </c>
    </row>
    <row r="66" spans="3:24" x14ac:dyDescent="0.15">
      <c r="C66" s="2">
        <f t="shared" ref="C66:X66" si="70">BowlSplit(C24,RunsConceded)</f>
        <v>0</v>
      </c>
      <c r="D66" s="2">
        <f t="shared" si="70"/>
        <v>0</v>
      </c>
      <c r="E66" s="2">
        <f t="shared" si="70"/>
        <v>0</v>
      </c>
      <c r="F66" s="2">
        <f t="shared" si="70"/>
        <v>0</v>
      </c>
      <c r="G66" s="2">
        <f t="shared" si="70"/>
        <v>0</v>
      </c>
      <c r="H66" s="2">
        <f t="shared" si="70"/>
        <v>0</v>
      </c>
      <c r="I66" s="2">
        <f t="shared" si="70"/>
        <v>0</v>
      </c>
      <c r="J66" s="2">
        <f t="shared" si="70"/>
        <v>0</v>
      </c>
      <c r="K66" s="2">
        <f t="shared" si="70"/>
        <v>0</v>
      </c>
      <c r="L66" s="2">
        <f t="shared" si="70"/>
        <v>0</v>
      </c>
      <c r="M66" s="2">
        <f t="shared" si="70"/>
        <v>0</v>
      </c>
      <c r="N66" s="2">
        <f t="shared" si="70"/>
        <v>0</v>
      </c>
      <c r="O66" s="2">
        <f t="shared" si="70"/>
        <v>0</v>
      </c>
      <c r="P66" s="2">
        <f t="shared" si="70"/>
        <v>0</v>
      </c>
      <c r="Q66" s="2">
        <f t="shared" si="70"/>
        <v>0</v>
      </c>
      <c r="R66" s="2">
        <f t="shared" si="70"/>
        <v>0</v>
      </c>
      <c r="S66" s="2">
        <f t="shared" si="70"/>
        <v>0</v>
      </c>
      <c r="T66" s="2">
        <f t="shared" si="70"/>
        <v>0</v>
      </c>
      <c r="U66" s="2">
        <f t="shared" si="70"/>
        <v>0</v>
      </c>
      <c r="V66" s="2">
        <f t="shared" si="70"/>
        <v>0</v>
      </c>
      <c r="W66" s="2">
        <f t="shared" si="70"/>
        <v>0</v>
      </c>
      <c r="X66" s="2">
        <f t="shared" si="70"/>
        <v>0</v>
      </c>
    </row>
    <row r="67" spans="3:24" x14ac:dyDescent="0.15">
      <c r="C67" s="2">
        <f t="shared" ref="C67:X67" si="71">BowlSplit(C25,RunsConceded)</f>
        <v>0</v>
      </c>
      <c r="D67" s="2">
        <f t="shared" si="71"/>
        <v>0</v>
      </c>
      <c r="E67" s="2">
        <f t="shared" si="71"/>
        <v>0</v>
      </c>
      <c r="F67" s="2">
        <f t="shared" si="71"/>
        <v>0</v>
      </c>
      <c r="G67" s="2">
        <f t="shared" si="71"/>
        <v>0</v>
      </c>
      <c r="H67" s="2">
        <f t="shared" si="71"/>
        <v>0</v>
      </c>
      <c r="I67" s="2">
        <f t="shared" si="71"/>
        <v>0</v>
      </c>
      <c r="J67" s="2">
        <f t="shared" si="71"/>
        <v>0</v>
      </c>
      <c r="K67" s="2">
        <f t="shared" si="71"/>
        <v>0</v>
      </c>
      <c r="L67" s="2">
        <f t="shared" si="71"/>
        <v>0</v>
      </c>
      <c r="M67" s="2">
        <f t="shared" si="71"/>
        <v>0</v>
      </c>
      <c r="N67" s="2">
        <f t="shared" si="71"/>
        <v>0</v>
      </c>
      <c r="O67" s="2">
        <f t="shared" si="71"/>
        <v>0</v>
      </c>
      <c r="P67" s="2">
        <f t="shared" si="71"/>
        <v>0</v>
      </c>
      <c r="Q67" s="2">
        <f t="shared" si="71"/>
        <v>0</v>
      </c>
      <c r="R67" s="2">
        <f t="shared" si="71"/>
        <v>14</v>
      </c>
      <c r="S67" s="2">
        <f t="shared" si="71"/>
        <v>0</v>
      </c>
      <c r="T67" s="2">
        <f t="shared" si="71"/>
        <v>0</v>
      </c>
      <c r="U67" s="2">
        <f t="shared" si="71"/>
        <v>0</v>
      </c>
      <c r="V67" s="2">
        <f t="shared" si="71"/>
        <v>0</v>
      </c>
      <c r="W67" s="2">
        <f t="shared" si="71"/>
        <v>0</v>
      </c>
      <c r="X67" s="2">
        <f t="shared" si="71"/>
        <v>0</v>
      </c>
    </row>
    <row r="68" spans="3:24" x14ac:dyDescent="0.15">
      <c r="C68" s="2">
        <f t="shared" ref="C68:X68" si="72">BowlSplit(C26,RunsConceded)</f>
        <v>0</v>
      </c>
      <c r="D68" s="2">
        <f t="shared" si="72"/>
        <v>0</v>
      </c>
      <c r="E68" s="2">
        <f t="shared" si="72"/>
        <v>0</v>
      </c>
      <c r="F68" s="2">
        <f t="shared" si="72"/>
        <v>0</v>
      </c>
      <c r="G68" s="2">
        <f t="shared" si="72"/>
        <v>30</v>
      </c>
      <c r="H68" s="2">
        <f t="shared" si="72"/>
        <v>0</v>
      </c>
      <c r="I68" s="2">
        <f t="shared" si="72"/>
        <v>0</v>
      </c>
      <c r="J68" s="2">
        <f t="shared" si="72"/>
        <v>0</v>
      </c>
      <c r="K68" s="2">
        <f t="shared" si="72"/>
        <v>0</v>
      </c>
      <c r="L68" s="2">
        <f t="shared" si="72"/>
        <v>0</v>
      </c>
      <c r="M68" s="2">
        <f t="shared" si="72"/>
        <v>0</v>
      </c>
      <c r="N68" s="2">
        <f t="shared" si="72"/>
        <v>0</v>
      </c>
      <c r="O68" s="2">
        <f t="shared" si="72"/>
        <v>0</v>
      </c>
      <c r="P68" s="2">
        <f t="shared" si="72"/>
        <v>0</v>
      </c>
      <c r="Q68" s="2">
        <f t="shared" si="72"/>
        <v>0</v>
      </c>
      <c r="R68" s="2">
        <f t="shared" si="72"/>
        <v>0</v>
      </c>
      <c r="S68" s="2">
        <f t="shared" si="72"/>
        <v>0</v>
      </c>
      <c r="T68" s="2">
        <f t="shared" si="72"/>
        <v>0</v>
      </c>
      <c r="U68" s="2">
        <f t="shared" si="72"/>
        <v>0</v>
      </c>
      <c r="V68" s="2">
        <f t="shared" si="72"/>
        <v>0</v>
      </c>
      <c r="W68" s="2">
        <f t="shared" si="72"/>
        <v>0</v>
      </c>
      <c r="X68" s="2">
        <f t="shared" si="72"/>
        <v>0</v>
      </c>
    </row>
    <row r="69" spans="3:24" x14ac:dyDescent="0.15">
      <c r="C69" s="2">
        <f t="shared" ref="C69:X69" si="73">BowlSplit(C27,RunsConceded)</f>
        <v>14</v>
      </c>
      <c r="D69" s="2">
        <f t="shared" si="73"/>
        <v>0</v>
      </c>
      <c r="E69" s="2">
        <f t="shared" si="73"/>
        <v>0</v>
      </c>
      <c r="F69" s="2">
        <f t="shared" si="73"/>
        <v>0</v>
      </c>
      <c r="G69" s="2">
        <f t="shared" si="73"/>
        <v>0</v>
      </c>
      <c r="H69" s="2">
        <f t="shared" si="73"/>
        <v>0</v>
      </c>
      <c r="I69" s="2">
        <f t="shared" si="73"/>
        <v>0</v>
      </c>
      <c r="J69" s="2">
        <f t="shared" si="73"/>
        <v>0</v>
      </c>
      <c r="K69" s="2">
        <f t="shared" si="73"/>
        <v>0</v>
      </c>
      <c r="L69" s="2">
        <f t="shared" si="73"/>
        <v>0</v>
      </c>
      <c r="M69" s="2">
        <f t="shared" si="73"/>
        <v>0</v>
      </c>
      <c r="N69" s="2">
        <f t="shared" si="73"/>
        <v>0</v>
      </c>
      <c r="O69" s="2">
        <f t="shared" si="73"/>
        <v>0</v>
      </c>
      <c r="P69" s="2">
        <f t="shared" si="73"/>
        <v>0</v>
      </c>
      <c r="Q69" s="2">
        <f t="shared" si="73"/>
        <v>0</v>
      </c>
      <c r="R69" s="2">
        <f t="shared" si="73"/>
        <v>0</v>
      </c>
      <c r="S69" s="2">
        <f t="shared" si="73"/>
        <v>0</v>
      </c>
      <c r="T69" s="2">
        <f t="shared" si="73"/>
        <v>0</v>
      </c>
      <c r="U69" s="2">
        <f t="shared" si="73"/>
        <v>0</v>
      </c>
      <c r="V69" s="2">
        <f t="shared" si="73"/>
        <v>0</v>
      </c>
      <c r="W69" s="2">
        <f t="shared" si="73"/>
        <v>0</v>
      </c>
      <c r="X69" s="2">
        <f t="shared" si="73"/>
        <v>0</v>
      </c>
    </row>
    <row r="70" spans="3:24" x14ac:dyDescent="0.15">
      <c r="C70" s="2">
        <f t="shared" ref="C70:X70" si="74">BowlSplit(C28,RunsConceded)</f>
        <v>34</v>
      </c>
      <c r="D70" s="2">
        <f t="shared" si="74"/>
        <v>32</v>
      </c>
      <c r="E70" s="2">
        <f t="shared" si="74"/>
        <v>41</v>
      </c>
      <c r="F70" s="2">
        <f t="shared" si="74"/>
        <v>21</v>
      </c>
      <c r="G70" s="2">
        <f t="shared" si="74"/>
        <v>12</v>
      </c>
      <c r="H70" s="2">
        <f t="shared" si="74"/>
        <v>22</v>
      </c>
      <c r="I70" s="2">
        <f t="shared" si="74"/>
        <v>16</v>
      </c>
      <c r="J70" s="2">
        <f t="shared" si="74"/>
        <v>49</v>
      </c>
      <c r="K70" s="2">
        <f t="shared" si="74"/>
        <v>19</v>
      </c>
      <c r="L70" s="2">
        <f t="shared" si="74"/>
        <v>36</v>
      </c>
      <c r="M70" s="2">
        <f t="shared" si="74"/>
        <v>23</v>
      </c>
      <c r="N70" s="2">
        <f t="shared" si="74"/>
        <v>10</v>
      </c>
      <c r="O70" s="2">
        <f t="shared" si="74"/>
        <v>29</v>
      </c>
      <c r="P70" s="2">
        <f t="shared" si="74"/>
        <v>24</v>
      </c>
      <c r="Q70" s="2">
        <f t="shared" si="74"/>
        <v>35</v>
      </c>
      <c r="R70" s="2">
        <f t="shared" si="74"/>
        <v>25</v>
      </c>
      <c r="S70" s="2">
        <f t="shared" si="74"/>
        <v>38</v>
      </c>
      <c r="T70" s="2">
        <f t="shared" si="74"/>
        <v>0</v>
      </c>
      <c r="U70" s="2">
        <f t="shared" si="74"/>
        <v>0</v>
      </c>
      <c r="V70" s="2">
        <f t="shared" si="74"/>
        <v>0</v>
      </c>
      <c r="W70" s="2">
        <f t="shared" si="74"/>
        <v>0</v>
      </c>
      <c r="X70" s="2">
        <f t="shared" si="74"/>
        <v>0</v>
      </c>
    </row>
    <row r="71" spans="3:24" x14ac:dyDescent="0.15">
      <c r="C71" s="2">
        <f t="shared" ref="C71:X71" si="75">BowlSplit(C29,RunsConceded)</f>
        <v>0</v>
      </c>
      <c r="D71" s="2">
        <f t="shared" si="75"/>
        <v>0</v>
      </c>
      <c r="E71" s="2">
        <f t="shared" si="75"/>
        <v>0</v>
      </c>
      <c r="F71" s="2">
        <f t="shared" si="75"/>
        <v>0</v>
      </c>
      <c r="G71" s="2">
        <f t="shared" si="75"/>
        <v>0</v>
      </c>
      <c r="H71" s="2">
        <f t="shared" si="75"/>
        <v>0</v>
      </c>
      <c r="I71" s="2">
        <f t="shared" si="75"/>
        <v>0</v>
      </c>
      <c r="J71" s="2">
        <f t="shared" si="75"/>
        <v>0</v>
      </c>
      <c r="K71" s="2">
        <f t="shared" si="75"/>
        <v>0</v>
      </c>
      <c r="L71" s="2">
        <f t="shared" si="75"/>
        <v>0</v>
      </c>
      <c r="M71" s="2">
        <f t="shared" si="75"/>
        <v>0</v>
      </c>
      <c r="N71" s="2">
        <f t="shared" si="75"/>
        <v>0</v>
      </c>
      <c r="O71" s="2">
        <f t="shared" si="75"/>
        <v>0</v>
      </c>
      <c r="P71" s="2">
        <f t="shared" si="75"/>
        <v>0</v>
      </c>
      <c r="Q71" s="2">
        <f t="shared" si="75"/>
        <v>0</v>
      </c>
      <c r="R71" s="2">
        <f t="shared" si="75"/>
        <v>0</v>
      </c>
      <c r="S71" s="2">
        <f t="shared" si="75"/>
        <v>0</v>
      </c>
      <c r="T71" s="2">
        <f t="shared" si="75"/>
        <v>0</v>
      </c>
      <c r="U71" s="2">
        <f t="shared" si="75"/>
        <v>0</v>
      </c>
      <c r="V71" s="2">
        <f t="shared" si="75"/>
        <v>0</v>
      </c>
      <c r="W71" s="2">
        <f t="shared" si="75"/>
        <v>0</v>
      </c>
      <c r="X71" s="2">
        <f t="shared" si="75"/>
        <v>0</v>
      </c>
    </row>
    <row r="72" spans="3:24" x14ac:dyDescent="0.15">
      <c r="C72" s="2">
        <f t="shared" ref="C72:X72" si="76">BowlSplit(C30,RunsConceded)</f>
        <v>22</v>
      </c>
      <c r="D72" s="2">
        <f t="shared" si="76"/>
        <v>50</v>
      </c>
      <c r="E72" s="2">
        <f t="shared" si="76"/>
        <v>0</v>
      </c>
      <c r="F72" s="2">
        <f t="shared" si="76"/>
        <v>21</v>
      </c>
      <c r="G72" s="2">
        <f t="shared" si="76"/>
        <v>0</v>
      </c>
      <c r="H72" s="2">
        <f t="shared" si="76"/>
        <v>0</v>
      </c>
      <c r="I72" s="2">
        <f t="shared" si="76"/>
        <v>0</v>
      </c>
      <c r="J72" s="2">
        <f t="shared" si="76"/>
        <v>0</v>
      </c>
      <c r="K72" s="2">
        <f t="shared" si="76"/>
        <v>0</v>
      </c>
      <c r="L72" s="2">
        <f t="shared" si="76"/>
        <v>33</v>
      </c>
      <c r="M72" s="2">
        <f t="shared" si="76"/>
        <v>0</v>
      </c>
      <c r="N72" s="2">
        <f t="shared" si="76"/>
        <v>0</v>
      </c>
      <c r="O72" s="2">
        <f t="shared" si="76"/>
        <v>0</v>
      </c>
      <c r="P72" s="2">
        <f t="shared" si="76"/>
        <v>35</v>
      </c>
      <c r="Q72" s="2">
        <f t="shared" si="76"/>
        <v>0</v>
      </c>
      <c r="R72" s="2">
        <f t="shared" si="76"/>
        <v>0</v>
      </c>
      <c r="S72" s="2">
        <f t="shared" si="76"/>
        <v>0</v>
      </c>
      <c r="T72" s="2">
        <f t="shared" si="76"/>
        <v>0</v>
      </c>
      <c r="U72" s="2">
        <f t="shared" si="76"/>
        <v>0</v>
      </c>
      <c r="V72" s="2">
        <f t="shared" si="76"/>
        <v>0</v>
      </c>
      <c r="W72" s="2">
        <f t="shared" si="76"/>
        <v>0</v>
      </c>
      <c r="X72" s="2">
        <f t="shared" si="76"/>
        <v>0</v>
      </c>
    </row>
    <row r="73" spans="3:24" x14ac:dyDescent="0.15">
      <c r="C73" s="2">
        <f t="shared" ref="C73:X73" si="77">BowlSplit(C31,RunsConceded)</f>
        <v>0</v>
      </c>
      <c r="D73" s="2">
        <f t="shared" si="77"/>
        <v>0</v>
      </c>
      <c r="E73" s="2">
        <f t="shared" si="77"/>
        <v>0</v>
      </c>
      <c r="F73" s="2">
        <f t="shared" si="77"/>
        <v>0</v>
      </c>
      <c r="G73" s="2">
        <f t="shared" si="77"/>
        <v>0</v>
      </c>
      <c r="H73" s="2">
        <f t="shared" si="77"/>
        <v>0</v>
      </c>
      <c r="I73" s="2">
        <f t="shared" si="77"/>
        <v>0</v>
      </c>
      <c r="J73" s="2">
        <f t="shared" si="77"/>
        <v>0</v>
      </c>
      <c r="K73" s="2">
        <f t="shared" si="77"/>
        <v>0</v>
      </c>
      <c r="L73" s="2">
        <f t="shared" si="77"/>
        <v>0</v>
      </c>
      <c r="M73" s="2">
        <f t="shared" si="77"/>
        <v>0</v>
      </c>
      <c r="N73" s="2">
        <f t="shared" si="77"/>
        <v>0</v>
      </c>
      <c r="O73" s="2">
        <f t="shared" si="77"/>
        <v>0</v>
      </c>
      <c r="P73" s="2">
        <f t="shared" si="77"/>
        <v>0</v>
      </c>
      <c r="Q73" s="2">
        <f t="shared" si="77"/>
        <v>0</v>
      </c>
      <c r="R73" s="2">
        <f t="shared" si="77"/>
        <v>0</v>
      </c>
      <c r="S73" s="2">
        <f t="shared" si="77"/>
        <v>0</v>
      </c>
      <c r="T73" s="2">
        <f t="shared" si="77"/>
        <v>0</v>
      </c>
      <c r="U73" s="2">
        <f t="shared" si="77"/>
        <v>0</v>
      </c>
      <c r="V73" s="2">
        <f t="shared" si="77"/>
        <v>0</v>
      </c>
      <c r="W73" s="2">
        <f t="shared" si="77"/>
        <v>0</v>
      </c>
      <c r="X73" s="2">
        <f t="shared" si="77"/>
        <v>0</v>
      </c>
    </row>
    <row r="74" spans="3:24" x14ac:dyDescent="0.15">
      <c r="C74" s="2">
        <f t="shared" ref="C74:X74" si="78">BowlSplit(C32,RunsConceded)</f>
        <v>0</v>
      </c>
      <c r="D74" s="2">
        <f t="shared" si="78"/>
        <v>0</v>
      </c>
      <c r="E74" s="2">
        <f t="shared" si="78"/>
        <v>0</v>
      </c>
      <c r="F74" s="2">
        <f t="shared" si="78"/>
        <v>0</v>
      </c>
      <c r="G74" s="2">
        <f t="shared" si="78"/>
        <v>0</v>
      </c>
      <c r="H74" s="2">
        <f t="shared" si="78"/>
        <v>0</v>
      </c>
      <c r="I74" s="2">
        <f t="shared" si="78"/>
        <v>0</v>
      </c>
      <c r="J74" s="2">
        <f t="shared" si="78"/>
        <v>0</v>
      </c>
      <c r="K74" s="2">
        <f t="shared" si="78"/>
        <v>26</v>
      </c>
      <c r="L74" s="2">
        <f t="shared" si="78"/>
        <v>0</v>
      </c>
      <c r="M74" s="2">
        <f t="shared" si="78"/>
        <v>0</v>
      </c>
      <c r="N74" s="2">
        <f t="shared" si="78"/>
        <v>0</v>
      </c>
      <c r="O74" s="2">
        <f t="shared" si="78"/>
        <v>0</v>
      </c>
      <c r="P74" s="2">
        <f t="shared" si="78"/>
        <v>0</v>
      </c>
      <c r="Q74" s="2">
        <f t="shared" si="78"/>
        <v>0</v>
      </c>
      <c r="R74" s="2">
        <f t="shared" si="78"/>
        <v>4</v>
      </c>
      <c r="S74" s="2">
        <f t="shared" si="78"/>
        <v>0</v>
      </c>
      <c r="T74" s="2">
        <f t="shared" si="78"/>
        <v>0</v>
      </c>
      <c r="U74" s="2">
        <f t="shared" si="78"/>
        <v>0</v>
      </c>
      <c r="V74" s="2">
        <f t="shared" si="78"/>
        <v>0</v>
      </c>
      <c r="W74" s="2">
        <f t="shared" si="78"/>
        <v>0</v>
      </c>
      <c r="X74" s="2">
        <f t="shared" si="78"/>
        <v>0</v>
      </c>
    </row>
    <row r="75" spans="3:24" x14ac:dyDescent="0.15">
      <c r="C75" s="2">
        <f t="shared" ref="C75:X75" si="79">BowlSplit(C33,RunsConceded)</f>
        <v>18</v>
      </c>
      <c r="D75" s="2">
        <f t="shared" si="79"/>
        <v>25</v>
      </c>
      <c r="E75" s="2">
        <f t="shared" si="79"/>
        <v>26</v>
      </c>
      <c r="F75" s="2">
        <f t="shared" si="79"/>
        <v>8</v>
      </c>
      <c r="G75" s="2">
        <f t="shared" si="79"/>
        <v>35</v>
      </c>
      <c r="H75" s="2">
        <f t="shared" si="79"/>
        <v>5</v>
      </c>
      <c r="I75" s="2">
        <f t="shared" si="79"/>
        <v>43</v>
      </c>
      <c r="J75" s="2">
        <f t="shared" si="79"/>
        <v>31</v>
      </c>
      <c r="K75" s="2">
        <f t="shared" si="79"/>
        <v>17</v>
      </c>
      <c r="L75" s="2">
        <f t="shared" si="79"/>
        <v>35</v>
      </c>
      <c r="M75" s="2">
        <f t="shared" si="79"/>
        <v>10</v>
      </c>
      <c r="N75" s="2">
        <f t="shared" si="79"/>
        <v>0</v>
      </c>
      <c r="O75" s="2">
        <f t="shared" si="79"/>
        <v>26</v>
      </c>
      <c r="P75" s="2">
        <f t="shared" si="79"/>
        <v>29</v>
      </c>
      <c r="Q75" s="2">
        <f t="shared" si="79"/>
        <v>56</v>
      </c>
      <c r="R75" s="2">
        <f t="shared" si="79"/>
        <v>45</v>
      </c>
      <c r="S75" s="2">
        <f t="shared" si="79"/>
        <v>11</v>
      </c>
      <c r="T75" s="2">
        <f t="shared" si="79"/>
        <v>0</v>
      </c>
      <c r="U75" s="2">
        <f t="shared" si="79"/>
        <v>0</v>
      </c>
      <c r="V75" s="2">
        <f t="shared" si="79"/>
        <v>0</v>
      </c>
      <c r="W75" s="2">
        <f t="shared" si="79"/>
        <v>0</v>
      </c>
      <c r="X75" s="2">
        <f t="shared" si="79"/>
        <v>0</v>
      </c>
    </row>
    <row r="76" spans="3:24" x14ac:dyDescent="0.15">
      <c r="C76" s="2">
        <f t="shared" ref="C76:X76" si="80">BowlSplit(C34,RunsConceded)</f>
        <v>0</v>
      </c>
      <c r="D76" s="2">
        <f t="shared" si="80"/>
        <v>0</v>
      </c>
      <c r="E76" s="2">
        <f t="shared" si="80"/>
        <v>0</v>
      </c>
      <c r="F76" s="2">
        <f t="shared" si="80"/>
        <v>0</v>
      </c>
      <c r="G76" s="2">
        <f t="shared" si="80"/>
        <v>0</v>
      </c>
      <c r="H76" s="2">
        <f t="shared" si="80"/>
        <v>0</v>
      </c>
      <c r="I76" s="2">
        <f t="shared" si="80"/>
        <v>0</v>
      </c>
      <c r="J76" s="2">
        <f t="shared" si="80"/>
        <v>0</v>
      </c>
      <c r="K76" s="2">
        <f t="shared" si="80"/>
        <v>0</v>
      </c>
      <c r="L76" s="2">
        <f t="shared" si="80"/>
        <v>0</v>
      </c>
      <c r="M76" s="2">
        <f t="shared" si="80"/>
        <v>0</v>
      </c>
      <c r="N76" s="2">
        <f t="shared" si="80"/>
        <v>0</v>
      </c>
      <c r="O76" s="2">
        <f t="shared" si="80"/>
        <v>0</v>
      </c>
      <c r="P76" s="2">
        <f t="shared" si="80"/>
        <v>0</v>
      </c>
      <c r="Q76" s="2">
        <f t="shared" si="80"/>
        <v>0</v>
      </c>
      <c r="R76" s="2">
        <f t="shared" si="80"/>
        <v>0</v>
      </c>
      <c r="S76" s="2">
        <f t="shared" si="80"/>
        <v>0</v>
      </c>
      <c r="T76" s="2">
        <f t="shared" si="80"/>
        <v>0</v>
      </c>
      <c r="U76" s="2">
        <f t="shared" si="80"/>
        <v>0</v>
      </c>
      <c r="V76" s="2">
        <f t="shared" si="80"/>
        <v>0</v>
      </c>
      <c r="W76" s="2">
        <f t="shared" si="80"/>
        <v>0</v>
      </c>
      <c r="X76" s="2">
        <f t="shared" si="80"/>
        <v>0</v>
      </c>
    </row>
    <row r="77" spans="3:24" x14ac:dyDescent="0.15">
      <c r="C77" s="2">
        <f t="shared" ref="C77:X77" si="81">BowlSplit(C35,RunsConceded)</f>
        <v>0</v>
      </c>
      <c r="D77" s="2">
        <f t="shared" si="81"/>
        <v>0</v>
      </c>
      <c r="E77" s="2">
        <f t="shared" si="81"/>
        <v>0</v>
      </c>
      <c r="F77" s="2">
        <f t="shared" si="81"/>
        <v>0</v>
      </c>
      <c r="G77" s="2">
        <f t="shared" si="81"/>
        <v>0</v>
      </c>
      <c r="H77" s="2">
        <f t="shared" si="81"/>
        <v>0</v>
      </c>
      <c r="I77" s="2">
        <f t="shared" si="81"/>
        <v>0</v>
      </c>
      <c r="J77" s="2">
        <f t="shared" si="81"/>
        <v>0</v>
      </c>
      <c r="K77" s="2">
        <f t="shared" si="81"/>
        <v>0</v>
      </c>
      <c r="L77" s="2">
        <f t="shared" si="81"/>
        <v>0</v>
      </c>
      <c r="M77" s="2">
        <f t="shared" si="81"/>
        <v>27</v>
      </c>
      <c r="N77" s="2">
        <f t="shared" si="81"/>
        <v>0</v>
      </c>
      <c r="O77" s="2">
        <f t="shared" si="81"/>
        <v>0</v>
      </c>
      <c r="P77" s="2">
        <f t="shared" si="81"/>
        <v>0</v>
      </c>
      <c r="Q77" s="2">
        <f t="shared" si="81"/>
        <v>0</v>
      </c>
      <c r="R77" s="2">
        <f t="shared" si="81"/>
        <v>0</v>
      </c>
      <c r="S77" s="2">
        <f t="shared" si="81"/>
        <v>0</v>
      </c>
      <c r="T77" s="2">
        <f t="shared" si="81"/>
        <v>0</v>
      </c>
      <c r="U77" s="2">
        <f t="shared" si="81"/>
        <v>0</v>
      </c>
      <c r="V77" s="2">
        <f t="shared" si="81"/>
        <v>0</v>
      </c>
      <c r="W77" s="2">
        <f t="shared" si="81"/>
        <v>0</v>
      </c>
      <c r="X77" s="2">
        <f t="shared" si="81"/>
        <v>0</v>
      </c>
    </row>
    <row r="78" spans="3:24" x14ac:dyDescent="0.15">
      <c r="C78" s="2">
        <f t="shared" ref="C78:X78" si="82">BowlSplit(C36,RunsConceded)</f>
        <v>0</v>
      </c>
      <c r="D78" s="2">
        <f t="shared" si="82"/>
        <v>0</v>
      </c>
      <c r="E78" s="2">
        <f t="shared" si="82"/>
        <v>0</v>
      </c>
      <c r="F78" s="2">
        <f t="shared" si="82"/>
        <v>0</v>
      </c>
      <c r="G78" s="2">
        <f t="shared" si="82"/>
        <v>0</v>
      </c>
      <c r="H78" s="2">
        <f t="shared" si="82"/>
        <v>0</v>
      </c>
      <c r="I78" s="2">
        <f t="shared" si="82"/>
        <v>0</v>
      </c>
      <c r="J78" s="2">
        <f t="shared" si="82"/>
        <v>0</v>
      </c>
      <c r="K78" s="2">
        <f t="shared" si="82"/>
        <v>0</v>
      </c>
      <c r="L78" s="2">
        <f t="shared" si="82"/>
        <v>41</v>
      </c>
      <c r="M78" s="2">
        <f t="shared" si="82"/>
        <v>12</v>
      </c>
      <c r="N78" s="2">
        <f t="shared" si="82"/>
        <v>0</v>
      </c>
      <c r="O78" s="2">
        <f t="shared" si="82"/>
        <v>0</v>
      </c>
      <c r="P78" s="2">
        <f t="shared" si="82"/>
        <v>0</v>
      </c>
      <c r="Q78" s="2">
        <f t="shared" si="82"/>
        <v>0</v>
      </c>
      <c r="R78" s="2">
        <f t="shared" si="82"/>
        <v>0</v>
      </c>
      <c r="S78" s="2">
        <f t="shared" si="82"/>
        <v>37</v>
      </c>
      <c r="T78" s="2">
        <f t="shared" si="82"/>
        <v>0</v>
      </c>
      <c r="U78" s="2">
        <f t="shared" si="82"/>
        <v>0</v>
      </c>
      <c r="V78" s="2">
        <f t="shared" si="82"/>
        <v>0</v>
      </c>
      <c r="W78" s="2">
        <f t="shared" si="82"/>
        <v>0</v>
      </c>
      <c r="X78" s="2">
        <f t="shared" si="82"/>
        <v>0</v>
      </c>
    </row>
    <row r="79" spans="3:24" x14ac:dyDescent="0.15">
      <c r="C79" s="2">
        <f t="shared" ref="C79:X79" si="83">BowlSplit(C37,RunsConceded)</f>
        <v>0</v>
      </c>
      <c r="D79" s="2">
        <f t="shared" si="83"/>
        <v>0</v>
      </c>
      <c r="E79" s="2">
        <f t="shared" si="83"/>
        <v>0</v>
      </c>
      <c r="F79" s="2">
        <f t="shared" si="83"/>
        <v>0</v>
      </c>
      <c r="G79" s="2">
        <f t="shared" si="83"/>
        <v>0</v>
      </c>
      <c r="H79" s="2">
        <f t="shared" si="83"/>
        <v>0</v>
      </c>
      <c r="I79" s="2">
        <f t="shared" si="83"/>
        <v>0</v>
      </c>
      <c r="J79" s="2">
        <f t="shared" si="83"/>
        <v>0</v>
      </c>
      <c r="K79" s="2">
        <f t="shared" si="83"/>
        <v>0</v>
      </c>
      <c r="L79" s="2">
        <f t="shared" si="83"/>
        <v>0</v>
      </c>
      <c r="M79" s="2">
        <f t="shared" si="83"/>
        <v>0</v>
      </c>
      <c r="N79" s="2">
        <f t="shared" si="83"/>
        <v>0</v>
      </c>
      <c r="O79" s="2">
        <f t="shared" si="83"/>
        <v>0</v>
      </c>
      <c r="P79" s="2">
        <f t="shared" si="83"/>
        <v>0</v>
      </c>
      <c r="Q79" s="2">
        <f t="shared" si="83"/>
        <v>0</v>
      </c>
      <c r="R79" s="2">
        <f t="shared" si="83"/>
        <v>0</v>
      </c>
      <c r="S79" s="2">
        <f t="shared" si="83"/>
        <v>0</v>
      </c>
      <c r="T79" s="2">
        <f t="shared" si="83"/>
        <v>0</v>
      </c>
      <c r="U79" s="2">
        <f t="shared" si="83"/>
        <v>0</v>
      </c>
      <c r="V79" s="2">
        <f t="shared" si="83"/>
        <v>0</v>
      </c>
      <c r="W79" s="2">
        <f t="shared" si="83"/>
        <v>0</v>
      </c>
      <c r="X79" s="2">
        <f t="shared" si="83"/>
        <v>0</v>
      </c>
    </row>
    <row r="84" spans="3:24" x14ac:dyDescent="0.15">
      <c r="C84" s="2">
        <f>MAX(C47:C82)</f>
        <v>34</v>
      </c>
      <c r="D84" s="2">
        <f t="shared" ref="D84:X84" si="84">MAX(D47:D82)</f>
        <v>50</v>
      </c>
      <c r="E84" s="2">
        <f t="shared" si="84"/>
        <v>41</v>
      </c>
      <c r="F84" s="2">
        <f t="shared" si="84"/>
        <v>23</v>
      </c>
      <c r="G84" s="2">
        <f t="shared" si="84"/>
        <v>35</v>
      </c>
      <c r="H84" s="2">
        <f t="shared" si="84"/>
        <v>23</v>
      </c>
      <c r="I84" s="2">
        <f t="shared" si="84"/>
        <v>54</v>
      </c>
      <c r="J84" s="2">
        <f t="shared" si="84"/>
        <v>49</v>
      </c>
      <c r="K84" s="2">
        <f t="shared" si="84"/>
        <v>40</v>
      </c>
      <c r="L84" s="2">
        <f t="shared" si="84"/>
        <v>41</v>
      </c>
      <c r="M84" s="2">
        <f t="shared" si="84"/>
        <v>27</v>
      </c>
      <c r="N84" s="2">
        <f t="shared" si="84"/>
        <v>29</v>
      </c>
      <c r="O84" s="2">
        <f t="shared" si="84"/>
        <v>32</v>
      </c>
      <c r="P84" s="2">
        <f t="shared" si="84"/>
        <v>35</v>
      </c>
      <c r="Q84" s="2">
        <f t="shared" si="84"/>
        <v>56</v>
      </c>
      <c r="R84" s="2">
        <f t="shared" si="84"/>
        <v>45</v>
      </c>
      <c r="S84" s="2">
        <f t="shared" si="84"/>
        <v>38</v>
      </c>
      <c r="T84" s="2">
        <f t="shared" si="84"/>
        <v>0</v>
      </c>
      <c r="U84" s="2">
        <f t="shared" si="84"/>
        <v>0</v>
      </c>
      <c r="V84" s="2">
        <f t="shared" si="84"/>
        <v>0</v>
      </c>
      <c r="W84" s="2">
        <f t="shared" si="84"/>
        <v>0</v>
      </c>
      <c r="X84" s="2">
        <f t="shared" si="84"/>
        <v>0</v>
      </c>
    </row>
  </sheetData>
  <phoneticPr fontId="0" type="noConversion"/>
  <conditionalFormatting sqref="AG78:AG87 AU47:BB64 AS47:AT75 AT47:AT77">
    <cfRule type="cellIs" dxfId="2" priority="19" operator="greaterThan">
      <formula>5</formula>
    </cfRule>
  </conditionalFormatting>
  <conditionalFormatting sqref="C45:CC45">
    <cfRule type="cellIs" dxfId="1" priority="20" stopIfTrue="1" operator="notEqual">
      <formula>C43</formula>
    </cfRule>
  </conditionalFormatting>
  <conditionalFormatting sqref="C47:X82">
    <cfRule type="cellIs" dxfId="0" priority="6" operator="greaterThan">
      <formula>50</formula>
    </cfRule>
  </conditionalFormatting>
  <conditionalFormatting sqref="CR5:CR24 CR26:CR37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{0F99F990-BA3F-420A-BF97-256AB6A8393D}</x14:id>
        </ext>
      </extLst>
    </cfRule>
  </conditionalFormatting>
  <conditionalFormatting sqref="CR2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{E1E6468E-E923-4358-8D22-F41DC5B3A51F}</x14:id>
        </ext>
      </extLst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99F990-BA3F-420A-BF97-256AB6A83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CR5:CR24 CR26:CR37</xm:sqref>
        </x14:conditionalFormatting>
        <x14:conditionalFormatting xmlns:xm="http://schemas.microsoft.com/office/excel/2006/main">
          <x14:cfRule type="dataBar" id="{E1E6468E-E923-4358-8D22-F41DC5B3A5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CR25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abSelected="1" workbookViewId="0">
      <selection activeCell="G26" sqref="G26"/>
    </sheetView>
  </sheetViews>
  <sheetFormatPr defaultRowHeight="10.5" x14ac:dyDescent="0.15"/>
  <cols>
    <col min="1" max="1" width="17.28515625" style="65" bestFit="1" customWidth="1"/>
    <col min="2" max="2" width="12.7109375" style="65" bestFit="1" customWidth="1"/>
    <col min="3" max="3" width="7.5703125" style="69" bestFit="1" customWidth="1"/>
    <col min="4" max="4" width="5.28515625" style="69" bestFit="1" customWidth="1"/>
    <col min="5" max="5" width="7.140625" style="69" bestFit="1" customWidth="1"/>
    <col min="6" max="7" width="5.28515625" style="69" bestFit="1" customWidth="1"/>
    <col min="8" max="8" width="8.85546875" style="74" bestFit="1" customWidth="1"/>
    <col min="9" max="9" width="5.28515625" style="65" bestFit="1" customWidth="1"/>
    <col min="10" max="11" width="9.140625" style="65"/>
    <col min="12" max="12" width="21.5703125" style="65" bestFit="1" customWidth="1"/>
    <col min="13" max="13" width="9.140625" style="65"/>
    <col min="14" max="14" width="12.7109375" style="120" bestFit="1" customWidth="1"/>
    <col min="15" max="15" width="13.140625" style="122" bestFit="1" customWidth="1"/>
    <col min="16" max="16" width="4.5703125" style="120" bestFit="1" customWidth="1"/>
    <col min="17" max="17" width="7.140625" style="120" bestFit="1" customWidth="1"/>
    <col min="18" max="18" width="5" style="123" bestFit="1" customWidth="1"/>
    <col min="19" max="19" width="5" style="120" bestFit="1" customWidth="1"/>
    <col min="20" max="20" width="8.85546875" style="121" bestFit="1" customWidth="1"/>
    <col min="21" max="21" width="9.140625" style="65"/>
    <col min="22" max="22" width="19.5703125" style="65" bestFit="1" customWidth="1"/>
    <col min="23" max="16384" width="9.140625" style="65"/>
  </cols>
  <sheetData>
    <row r="1" spans="1:23" ht="12.75" x14ac:dyDescent="0.15">
      <c r="A1" s="57" t="s">
        <v>131</v>
      </c>
      <c r="C1" s="69" t="s">
        <v>5</v>
      </c>
      <c r="D1" s="69" t="s">
        <v>7</v>
      </c>
      <c r="E1" s="69" t="s">
        <v>8</v>
      </c>
      <c r="F1" s="69" t="s">
        <v>132</v>
      </c>
      <c r="G1" s="69" t="s">
        <v>9</v>
      </c>
      <c r="H1" s="74" t="s">
        <v>10</v>
      </c>
      <c r="J1" s="69"/>
      <c r="L1" s="118" t="s">
        <v>254</v>
      </c>
      <c r="M1" s="65">
        <f t="array" aca="1" ref="M1" ca="1">SUM(IF(NOT(ISNA(B2:B60)),1,0))</f>
        <v>42</v>
      </c>
      <c r="N1" s="124"/>
      <c r="O1" s="127" t="s">
        <v>76</v>
      </c>
      <c r="P1" s="125" t="s">
        <v>7</v>
      </c>
      <c r="Q1" s="125" t="s">
        <v>208</v>
      </c>
      <c r="R1" s="125" t="s">
        <v>132</v>
      </c>
      <c r="S1" s="125" t="s">
        <v>9</v>
      </c>
      <c r="T1" s="125" t="s">
        <v>33</v>
      </c>
    </row>
    <row r="2" spans="1:23" ht="12.75" x14ac:dyDescent="0.15">
      <c r="A2" s="65">
        <v>1</v>
      </c>
      <c r="B2" s="65" t="str">
        <f ca="1">OFFSET(Batting!$C$4,BatAves!$I2,0)</f>
        <v>Sharpe D</v>
      </c>
      <c r="C2" s="69">
        <f ca="1">OFFSET(Batting!$CF$4,BatAves!$I2,0)</f>
        <v>10</v>
      </c>
      <c r="D2" s="69">
        <f ca="1">OFFSET(Batting!$CH$4,BatAves!$I2,0)</f>
        <v>10</v>
      </c>
      <c r="E2" s="69">
        <f ca="1">OFFSET(Batting!$CI$4,BatAves!$I2,0)</f>
        <v>2</v>
      </c>
      <c r="F2" s="69">
        <f ca="1">OFFSET(Batting!$CK$4,BatAves!$I2,0)</f>
        <v>100</v>
      </c>
      <c r="G2" s="69">
        <f ca="1">OFFSET(Batting!$CL$4,BatAves!$I2,0)</f>
        <v>565</v>
      </c>
      <c r="H2" s="73">
        <f ca="1">OFFSET(Batting!$CM$4,BatAves!$I2,0)</f>
        <v>70.625</v>
      </c>
      <c r="I2" s="65">
        <f>MATCH(A2,Batting!$DG$5:$DG$46,0)</f>
        <v>34</v>
      </c>
      <c r="J2" s="65">
        <f t="shared" ref="J2:J33" ca="1" si="0">IF(D2&gt;=5,A2,1000+A2)</f>
        <v>1</v>
      </c>
      <c r="K2" s="65">
        <f ca="1">RANK(J2,OFFSET($J$2,0,0,$M$1,1),-1)</f>
        <v>1</v>
      </c>
      <c r="L2" s="65" t="str">
        <f t="shared" ref="L2:L33" ca="1" si="1">IF(D2&lt;5,B2&amp;" "&amp;D2&amp;"-"&amp;E2&amp;"-"&amp;F2&amp;"-"&amp;G2,"")</f>
        <v/>
      </c>
      <c r="M2" s="65">
        <f ca="1">MATCH(N2,OFFSET($K$2,0,0,$M$1,1),0)</f>
        <v>1</v>
      </c>
      <c r="N2" s="170">
        <v>1</v>
      </c>
      <c r="O2" s="170" t="str">
        <f t="shared" ref="O2:O43" ca="1" si="2">OFFSET(B$1,$M2,0)</f>
        <v>Sharpe D</v>
      </c>
      <c r="P2" s="170">
        <f t="shared" ref="P2:P43" ca="1" si="3">OFFSET(D$1,$M2,0)</f>
        <v>10</v>
      </c>
      <c r="Q2" s="170">
        <f t="shared" ref="Q2:Q43" ca="1" si="4">OFFSET(E$1,$M2,0)</f>
        <v>2</v>
      </c>
      <c r="R2" s="170">
        <f t="shared" ref="R2:R43" ca="1" si="5">OFFSET(F$1,$M2,0)</f>
        <v>100</v>
      </c>
      <c r="S2" s="170">
        <f t="shared" ref="S2:S43" ca="1" si="6">OFFSET(G$1,$M2,0)</f>
        <v>565</v>
      </c>
      <c r="T2" s="171">
        <f t="shared" ref="T2:T43" ca="1" si="7">OFFSET(H$1,$M2,0)</f>
        <v>70.625</v>
      </c>
      <c r="U2" s="69"/>
      <c r="V2" s="65" t="s">
        <v>198</v>
      </c>
      <c r="W2" s="65" t="s">
        <v>198</v>
      </c>
    </row>
    <row r="3" spans="1:23" ht="12.75" x14ac:dyDescent="0.15">
      <c r="A3" s="65">
        <v>2</v>
      </c>
      <c r="B3" s="65" t="str">
        <f ca="1">OFFSET(Batting!$C$4,BatAves!$I3,0)</f>
        <v>O'Rourke</v>
      </c>
      <c r="C3" s="69">
        <f ca="1">OFFSET(Batting!$CF$4,BatAves!$I3,0)</f>
        <v>1</v>
      </c>
      <c r="D3" s="69">
        <f ca="1">OFFSET(Batting!$CH$4,BatAves!$I3,0)</f>
        <v>1</v>
      </c>
      <c r="E3" s="69">
        <f ca="1">OFFSET(Batting!$CI$4,BatAves!$I3,0)</f>
        <v>0</v>
      </c>
      <c r="F3" s="69">
        <f ca="1">OFFSET(Batting!$CK$4,BatAves!$I3,0)</f>
        <v>53</v>
      </c>
      <c r="G3" s="69">
        <f ca="1">OFFSET(Batting!$CL$4,BatAves!$I3,0)</f>
        <v>53</v>
      </c>
      <c r="H3" s="73">
        <f ca="1">OFFSET(Batting!$CM$4,BatAves!$I3,0)</f>
        <v>53</v>
      </c>
      <c r="I3" s="65">
        <f>MATCH(A3,Batting!$DG$5:$DG$46,0)</f>
        <v>29</v>
      </c>
      <c r="J3" s="65">
        <f t="shared" ca="1" si="0"/>
        <v>1002</v>
      </c>
      <c r="K3" s="65">
        <f t="shared" ref="K3:K60" ca="1" si="8">RANK(J3,OFFSET($J$2,0,0,$M$1,1),-1)</f>
        <v>13</v>
      </c>
      <c r="L3" s="65" t="str">
        <f t="shared" ca="1" si="1"/>
        <v>O'Rourke 1-0-53-53</v>
      </c>
      <c r="M3" s="65">
        <f ca="1">MATCH(N3,OFFSET($K$2,0,0,$M$1,1),0)</f>
        <v>4</v>
      </c>
      <c r="N3" s="170">
        <v>2</v>
      </c>
      <c r="O3" s="170" t="str">
        <f t="shared" ca="1" si="2"/>
        <v>Springer T</v>
      </c>
      <c r="P3" s="170">
        <f t="shared" ca="1" si="3"/>
        <v>17</v>
      </c>
      <c r="Q3" s="170">
        <f t="shared" ca="1" si="4"/>
        <v>3</v>
      </c>
      <c r="R3" s="170">
        <f t="shared" ca="1" si="5"/>
        <v>99</v>
      </c>
      <c r="S3" s="170">
        <f t="shared" ca="1" si="6"/>
        <v>517</v>
      </c>
      <c r="T3" s="171">
        <f t="shared" ca="1" si="7"/>
        <v>36.928571428571431</v>
      </c>
      <c r="V3" s="65" t="s">
        <v>198</v>
      </c>
      <c r="W3" s="65" t="s">
        <v>198</v>
      </c>
    </row>
    <row r="4" spans="1:23" ht="12.75" x14ac:dyDescent="0.15">
      <c r="A4" s="65">
        <v>3</v>
      </c>
      <c r="B4" s="65" t="str">
        <f ca="1">OFFSET(Batting!$C$4,BatAves!$I4,0)</f>
        <v>Greenall D</v>
      </c>
      <c r="C4" s="69">
        <f ca="1">OFFSET(Batting!$CF$4,BatAves!$I4,0)</f>
        <v>4</v>
      </c>
      <c r="D4" s="69">
        <f ca="1">OFFSET(Batting!$CH$4,BatAves!$I4,0)</f>
        <v>4</v>
      </c>
      <c r="E4" s="69">
        <f ca="1">OFFSET(Batting!$CI$4,BatAves!$I4,0)</f>
        <v>1</v>
      </c>
      <c r="F4" s="69" t="str">
        <f ca="1">OFFSET(Batting!$CK$4,BatAves!$I4,0)</f>
        <v>80*</v>
      </c>
      <c r="G4" s="69">
        <f ca="1">OFFSET(Batting!$CL$4,BatAves!$I4,0)</f>
        <v>151</v>
      </c>
      <c r="H4" s="73">
        <f ca="1">OFFSET(Batting!$CM$4,BatAves!$I4,0)</f>
        <v>50.333333333333336</v>
      </c>
      <c r="I4" s="65">
        <f>MATCH(A4,Batting!$DG$5:$DG$46,0)</f>
        <v>14</v>
      </c>
      <c r="J4" s="65">
        <f t="shared" ca="1" si="0"/>
        <v>1003</v>
      </c>
      <c r="K4" s="65">
        <f t="shared" ca="1" si="8"/>
        <v>14</v>
      </c>
      <c r="L4" s="65" t="str">
        <f t="shared" ca="1" si="1"/>
        <v>Greenall D 4-1-80*-151</v>
      </c>
      <c r="M4" s="65">
        <f t="shared" ref="M4:M43" ca="1" si="9">MATCH(N4,OFFSET($K$2,0,0,$M$1,1),0)</f>
        <v>5</v>
      </c>
      <c r="N4" s="170">
        <v>3</v>
      </c>
      <c r="O4" s="170" t="str">
        <f t="shared" ca="1" si="2"/>
        <v>Viveganandan M</v>
      </c>
      <c r="P4" s="170">
        <f t="shared" ca="1" si="3"/>
        <v>5</v>
      </c>
      <c r="Q4" s="170">
        <f t="shared" ca="1" si="4"/>
        <v>2</v>
      </c>
      <c r="R4" s="170" t="str">
        <f t="shared" ca="1" si="5"/>
        <v>35*</v>
      </c>
      <c r="S4" s="170">
        <f t="shared" ca="1" si="6"/>
        <v>88</v>
      </c>
      <c r="T4" s="171">
        <f t="shared" ca="1" si="7"/>
        <v>29.333333333333332</v>
      </c>
      <c r="V4" s="65" t="s">
        <v>198</v>
      </c>
      <c r="W4" s="65" t="s">
        <v>198</v>
      </c>
    </row>
    <row r="5" spans="1:23" ht="12.75" x14ac:dyDescent="0.15">
      <c r="A5" s="65">
        <v>4</v>
      </c>
      <c r="B5" s="65" t="str">
        <f ca="1">OFFSET(Batting!$C$4,BatAves!$I5,0)</f>
        <v>Springer T</v>
      </c>
      <c r="C5" s="69">
        <f ca="1">OFFSET(Batting!$CF$4,BatAves!$I5,0)</f>
        <v>17</v>
      </c>
      <c r="D5" s="69">
        <f ca="1">OFFSET(Batting!$CH$4,BatAves!$I5,0)</f>
        <v>17</v>
      </c>
      <c r="E5" s="69">
        <f ca="1">OFFSET(Batting!$CI$4,BatAves!$I5,0)</f>
        <v>3</v>
      </c>
      <c r="F5" s="69">
        <f ca="1">OFFSET(Batting!$CK$4,BatAves!$I5,0)</f>
        <v>99</v>
      </c>
      <c r="G5" s="69">
        <f ca="1">OFFSET(Batting!$CL$4,BatAves!$I5,0)</f>
        <v>517</v>
      </c>
      <c r="H5" s="73">
        <f ca="1">OFFSET(Batting!$CM$4,BatAves!$I5,0)</f>
        <v>36.928571428571431</v>
      </c>
      <c r="I5" s="65">
        <f>MATCH(A5,Batting!$DG$5:$DG$46,0)</f>
        <v>37</v>
      </c>
      <c r="J5" s="65">
        <f t="shared" ca="1" si="0"/>
        <v>4</v>
      </c>
      <c r="K5" s="65">
        <f t="shared" ca="1" si="8"/>
        <v>2</v>
      </c>
      <c r="L5" s="65" t="str">
        <f t="shared" ca="1" si="1"/>
        <v/>
      </c>
      <c r="M5" s="65">
        <f t="shared" ca="1" si="9"/>
        <v>7</v>
      </c>
      <c r="N5" s="170">
        <v>4</v>
      </c>
      <c r="O5" s="170" t="str">
        <f t="shared" ca="1" si="2"/>
        <v>Niran S</v>
      </c>
      <c r="P5" s="170">
        <f t="shared" ca="1" si="3"/>
        <v>9</v>
      </c>
      <c r="Q5" s="170">
        <f t="shared" ca="1" si="4"/>
        <v>1</v>
      </c>
      <c r="R5" s="170" t="str">
        <f t="shared" ca="1" si="5"/>
        <v>75*</v>
      </c>
      <c r="S5" s="170">
        <f t="shared" ca="1" si="6"/>
        <v>212</v>
      </c>
      <c r="T5" s="171">
        <f t="shared" ca="1" si="7"/>
        <v>26.5</v>
      </c>
      <c r="V5" s="65" t="s">
        <v>198</v>
      </c>
      <c r="W5" s="65" t="s">
        <v>198</v>
      </c>
    </row>
    <row r="6" spans="1:23" ht="12.75" x14ac:dyDescent="0.15">
      <c r="A6" s="65">
        <v>5</v>
      </c>
      <c r="B6" s="65" t="str">
        <f ca="1">OFFSET(Batting!$C$4,BatAves!$I6,0)</f>
        <v>Viveganandan M</v>
      </c>
      <c r="C6" s="69">
        <f ca="1">OFFSET(Batting!$CF$4,BatAves!$I6,0)</f>
        <v>7</v>
      </c>
      <c r="D6" s="69">
        <f ca="1">OFFSET(Batting!$CH$4,BatAves!$I6,0)</f>
        <v>5</v>
      </c>
      <c r="E6" s="69">
        <f ca="1">OFFSET(Batting!$CI$4,BatAves!$I6,0)</f>
        <v>2</v>
      </c>
      <c r="F6" s="69" t="str">
        <f ca="1">OFFSET(Batting!$CK$4,BatAves!$I6,0)</f>
        <v>35*</v>
      </c>
      <c r="G6" s="69">
        <f ca="1">OFFSET(Batting!$CL$4,BatAves!$I6,0)</f>
        <v>88</v>
      </c>
      <c r="H6" s="73">
        <f ca="1">OFFSET(Batting!$CM$4,BatAves!$I6,0)</f>
        <v>29.333333333333332</v>
      </c>
      <c r="I6" s="65">
        <f>MATCH(A6,Batting!$DG$5:$DG$46,0)</f>
        <v>40</v>
      </c>
      <c r="J6" s="65">
        <f t="shared" ca="1" si="0"/>
        <v>5</v>
      </c>
      <c r="K6" s="65">
        <f t="shared" ca="1" si="8"/>
        <v>3</v>
      </c>
      <c r="L6" s="65" t="str">
        <f t="shared" ca="1" si="1"/>
        <v/>
      </c>
      <c r="M6" s="65">
        <f t="shared" ca="1" si="9"/>
        <v>8</v>
      </c>
      <c r="N6" s="170">
        <v>5</v>
      </c>
      <c r="O6" s="170" t="str">
        <f t="shared" ca="1" si="2"/>
        <v>Shome G</v>
      </c>
      <c r="P6" s="170">
        <f t="shared" ca="1" si="3"/>
        <v>6</v>
      </c>
      <c r="Q6" s="170">
        <f t="shared" ca="1" si="4"/>
        <v>0</v>
      </c>
      <c r="R6" s="170">
        <f t="shared" ca="1" si="5"/>
        <v>77</v>
      </c>
      <c r="S6" s="170">
        <f t="shared" ca="1" si="6"/>
        <v>144</v>
      </c>
      <c r="T6" s="171">
        <f t="shared" ca="1" si="7"/>
        <v>24</v>
      </c>
      <c r="V6" s="65" t="s">
        <v>198</v>
      </c>
      <c r="W6" s="65" t="s">
        <v>198</v>
      </c>
    </row>
    <row r="7" spans="1:23" ht="12.75" x14ac:dyDescent="0.15">
      <c r="A7" s="65">
        <v>6</v>
      </c>
      <c r="B7" s="65" t="str">
        <f ca="1">OFFSET(Batting!$C$4,BatAves!$I7,0)</f>
        <v>Chima R</v>
      </c>
      <c r="C7" s="69">
        <f ca="1">OFFSET(Batting!$CF$4,BatAves!$I7,0)</f>
        <v>2</v>
      </c>
      <c r="D7" s="69">
        <f ca="1">OFFSET(Batting!$CH$4,BatAves!$I7,0)</f>
        <v>2</v>
      </c>
      <c r="E7" s="69">
        <f ca="1">OFFSET(Batting!$CI$4,BatAves!$I7,0)</f>
        <v>1</v>
      </c>
      <c r="F7" s="69">
        <f ca="1">OFFSET(Batting!$CK$4,BatAves!$I7,0)</f>
        <v>19</v>
      </c>
      <c r="G7" s="69">
        <f ca="1">OFFSET(Batting!$CL$4,BatAves!$I7,0)</f>
        <v>29</v>
      </c>
      <c r="H7" s="73">
        <f ca="1">OFFSET(Batting!$CM$4,BatAves!$I7,0)</f>
        <v>29</v>
      </c>
      <c r="I7" s="65">
        <f>MATCH(A7,Batting!$DG$5:$DG$46,0)</f>
        <v>7</v>
      </c>
      <c r="J7" s="65">
        <f t="shared" ca="1" si="0"/>
        <v>1006</v>
      </c>
      <c r="K7" s="65">
        <f t="shared" ca="1" si="8"/>
        <v>15</v>
      </c>
      <c r="L7" s="65" t="str">
        <f t="shared" ca="1" si="1"/>
        <v>Chima R 2-1-19-29</v>
      </c>
      <c r="M7" s="65">
        <f t="shared" ca="1" si="9"/>
        <v>9</v>
      </c>
      <c r="N7" s="170">
        <v>6</v>
      </c>
      <c r="O7" s="170" t="str">
        <f t="shared" ca="1" si="2"/>
        <v>Middleton J</v>
      </c>
      <c r="P7" s="170">
        <f t="shared" ca="1" si="3"/>
        <v>14</v>
      </c>
      <c r="Q7" s="170">
        <f t="shared" ca="1" si="4"/>
        <v>4</v>
      </c>
      <c r="R7" s="170" t="str">
        <f t="shared" ca="1" si="5"/>
        <v>58*</v>
      </c>
      <c r="S7" s="170">
        <f t="shared" ca="1" si="6"/>
        <v>210</v>
      </c>
      <c r="T7" s="171">
        <f t="shared" ca="1" si="7"/>
        <v>21</v>
      </c>
      <c r="V7" s="65" t="s">
        <v>198</v>
      </c>
      <c r="W7" s="65" t="s">
        <v>198</v>
      </c>
    </row>
    <row r="8" spans="1:23" ht="12.75" x14ac:dyDescent="0.15">
      <c r="A8" s="65">
        <v>7</v>
      </c>
      <c r="B8" s="65" t="str">
        <f ca="1">OFFSET(Batting!$C$4,BatAves!$I8,0)</f>
        <v>Niran S</v>
      </c>
      <c r="C8" s="69">
        <f ca="1">OFFSET(Batting!$CF$4,BatAves!$I8,0)</f>
        <v>9</v>
      </c>
      <c r="D8" s="69">
        <f ca="1">OFFSET(Batting!$CH$4,BatAves!$I8,0)</f>
        <v>9</v>
      </c>
      <c r="E8" s="69">
        <f ca="1">OFFSET(Batting!$CI$4,BatAves!$I8,0)</f>
        <v>1</v>
      </c>
      <c r="F8" s="69" t="str">
        <f ca="1">OFFSET(Batting!$CK$4,BatAves!$I8,0)</f>
        <v>75*</v>
      </c>
      <c r="G8" s="69">
        <f ca="1">OFFSET(Batting!$CL$4,BatAves!$I8,0)</f>
        <v>212</v>
      </c>
      <c r="H8" s="73">
        <f ca="1">OFFSET(Batting!$CM$4,BatAves!$I8,0)</f>
        <v>26.5</v>
      </c>
      <c r="I8" s="65">
        <f>MATCH(A8,Batting!$DG$5:$DG$46,0)</f>
        <v>28</v>
      </c>
      <c r="J8" s="65">
        <f t="shared" ca="1" si="0"/>
        <v>7</v>
      </c>
      <c r="K8" s="65">
        <f t="shared" ca="1" si="8"/>
        <v>4</v>
      </c>
      <c r="L8" s="65" t="str">
        <f t="shared" ca="1" si="1"/>
        <v/>
      </c>
      <c r="M8" s="65">
        <f t="shared" ca="1" si="9"/>
        <v>10</v>
      </c>
      <c r="N8" s="170">
        <v>7</v>
      </c>
      <c r="O8" s="170" t="str">
        <f t="shared" ca="1" si="2"/>
        <v>Bhatt P</v>
      </c>
      <c r="P8" s="170">
        <f t="shared" ca="1" si="3"/>
        <v>12</v>
      </c>
      <c r="Q8" s="170">
        <f t="shared" ca="1" si="4"/>
        <v>3</v>
      </c>
      <c r="R8" s="170">
        <f t="shared" ca="1" si="5"/>
        <v>34</v>
      </c>
      <c r="S8" s="170">
        <f t="shared" ca="1" si="6"/>
        <v>184</v>
      </c>
      <c r="T8" s="171">
        <f t="shared" ca="1" si="7"/>
        <v>20.444444444444443</v>
      </c>
      <c r="V8" s="99" t="s">
        <v>198</v>
      </c>
      <c r="W8" s="65" t="s">
        <v>198</v>
      </c>
    </row>
    <row r="9" spans="1:23" ht="12.75" x14ac:dyDescent="0.15">
      <c r="A9" s="65">
        <v>8</v>
      </c>
      <c r="B9" s="65" t="str">
        <f ca="1">OFFSET(Batting!$C$4,BatAves!$I9,0)</f>
        <v>Shome G</v>
      </c>
      <c r="C9" s="69">
        <f ca="1">OFFSET(Batting!$CF$4,BatAves!$I9,0)</f>
        <v>6</v>
      </c>
      <c r="D9" s="69">
        <f ca="1">OFFSET(Batting!$CH$4,BatAves!$I9,0)</f>
        <v>6</v>
      </c>
      <c r="E9" s="69">
        <f ca="1">OFFSET(Batting!$CI$4,BatAves!$I9,0)</f>
        <v>0</v>
      </c>
      <c r="F9" s="69">
        <f ca="1">OFFSET(Batting!$CK$4,BatAves!$I9,0)</f>
        <v>77</v>
      </c>
      <c r="G9" s="69">
        <f ca="1">OFFSET(Batting!$CL$4,BatAves!$I9,0)</f>
        <v>144</v>
      </c>
      <c r="H9" s="73">
        <f ca="1">OFFSET(Batting!$CM$4,BatAves!$I9,0)</f>
        <v>24</v>
      </c>
      <c r="I9" s="65">
        <f>MATCH(A9,Batting!$DG$5:$DG$46,0)</f>
        <v>35</v>
      </c>
      <c r="J9" s="65">
        <f t="shared" ca="1" si="0"/>
        <v>8</v>
      </c>
      <c r="K9" s="65">
        <f t="shared" ca="1" si="8"/>
        <v>5</v>
      </c>
      <c r="L9" s="65" t="str">
        <f t="shared" ca="1" si="1"/>
        <v/>
      </c>
      <c r="M9" s="65">
        <f t="shared" ca="1" si="9"/>
        <v>11</v>
      </c>
      <c r="N9" s="170">
        <v>8</v>
      </c>
      <c r="O9" s="170" t="str">
        <f t="shared" ca="1" si="2"/>
        <v>Seymour C</v>
      </c>
      <c r="P9" s="170">
        <f t="shared" ca="1" si="3"/>
        <v>15</v>
      </c>
      <c r="Q9" s="170">
        <f t="shared" ca="1" si="4"/>
        <v>1</v>
      </c>
      <c r="R9" s="170">
        <f t="shared" ca="1" si="5"/>
        <v>64</v>
      </c>
      <c r="S9" s="170">
        <f t="shared" ca="1" si="6"/>
        <v>267</v>
      </c>
      <c r="T9" s="171">
        <f t="shared" ca="1" si="7"/>
        <v>19.071428571428573</v>
      </c>
      <c r="V9" s="99" t="s">
        <v>198</v>
      </c>
      <c r="W9" s="65" t="s">
        <v>198</v>
      </c>
    </row>
    <row r="10" spans="1:23" ht="12.75" x14ac:dyDescent="0.15">
      <c r="A10" s="65">
        <v>9</v>
      </c>
      <c r="B10" s="65" t="str">
        <f ca="1">OFFSET(Batting!$C$4,BatAves!$I10,0)</f>
        <v>Middleton J</v>
      </c>
      <c r="C10" s="69">
        <f ca="1">OFFSET(Batting!$CF$4,BatAves!$I10,0)</f>
        <v>15</v>
      </c>
      <c r="D10" s="69">
        <f ca="1">OFFSET(Batting!$CH$4,BatAves!$I10,0)</f>
        <v>14</v>
      </c>
      <c r="E10" s="69">
        <f ca="1">OFFSET(Batting!$CI$4,BatAves!$I10,0)</f>
        <v>4</v>
      </c>
      <c r="F10" s="69" t="str">
        <f ca="1">OFFSET(Batting!$CK$4,BatAves!$I10,0)</f>
        <v>58*</v>
      </c>
      <c r="G10" s="69">
        <f ca="1">OFFSET(Batting!$CL$4,BatAves!$I10,0)</f>
        <v>210</v>
      </c>
      <c r="H10" s="73">
        <f ca="1">OFFSET(Batting!$CM$4,BatAves!$I10,0)</f>
        <v>21</v>
      </c>
      <c r="I10" s="65">
        <f>MATCH(A10,Batting!$DG$5:$DG$46,0)</f>
        <v>25</v>
      </c>
      <c r="J10" s="65">
        <f t="shared" ca="1" si="0"/>
        <v>9</v>
      </c>
      <c r="K10" s="65">
        <f t="shared" ca="1" si="8"/>
        <v>6</v>
      </c>
      <c r="L10" s="65" t="str">
        <f t="shared" ca="1" si="1"/>
        <v/>
      </c>
      <c r="M10" s="65">
        <f t="shared" ca="1" si="9"/>
        <v>17</v>
      </c>
      <c r="N10" s="170">
        <v>9</v>
      </c>
      <c r="O10" s="170" t="str">
        <f t="shared" ca="1" si="2"/>
        <v>Clarkson M</v>
      </c>
      <c r="P10" s="170">
        <f t="shared" ca="1" si="3"/>
        <v>5</v>
      </c>
      <c r="Q10" s="170">
        <f t="shared" ca="1" si="4"/>
        <v>1</v>
      </c>
      <c r="R10" s="170" t="str">
        <f t="shared" ca="1" si="5"/>
        <v>19*</v>
      </c>
      <c r="S10" s="170">
        <f t="shared" ca="1" si="6"/>
        <v>36</v>
      </c>
      <c r="T10" s="171">
        <f t="shared" ca="1" si="7"/>
        <v>9</v>
      </c>
      <c r="V10" s="99" t="s">
        <v>198</v>
      </c>
    </row>
    <row r="11" spans="1:23" ht="12.75" x14ac:dyDescent="0.15">
      <c r="A11" s="65">
        <v>10</v>
      </c>
      <c r="B11" s="65" t="str">
        <f ca="1">OFFSET(Batting!$C$4,BatAves!$I11,0)</f>
        <v>Bhatt P</v>
      </c>
      <c r="C11" s="69">
        <f ca="1">OFFSET(Batting!$CF$4,BatAves!$I11,0)</f>
        <v>14</v>
      </c>
      <c r="D11" s="69">
        <f ca="1">OFFSET(Batting!$CH$4,BatAves!$I11,0)</f>
        <v>12</v>
      </c>
      <c r="E11" s="69">
        <f ca="1">OFFSET(Batting!$CI$4,BatAves!$I11,0)</f>
        <v>3</v>
      </c>
      <c r="F11" s="69">
        <f ca="1">OFFSET(Batting!$CK$4,BatAves!$I11,0)</f>
        <v>34</v>
      </c>
      <c r="G11" s="69">
        <f ca="1">OFFSET(Batting!$CL$4,BatAves!$I11,0)</f>
        <v>184</v>
      </c>
      <c r="H11" s="73">
        <f ca="1">OFFSET(Batting!$CM$4,BatAves!$I11,0)</f>
        <v>20.444444444444443</v>
      </c>
      <c r="I11" s="65">
        <f>MATCH(A11,Batting!$DG$5:$DG$46,0)</f>
        <v>2</v>
      </c>
      <c r="J11" s="65">
        <f t="shared" ca="1" si="0"/>
        <v>10</v>
      </c>
      <c r="K11" s="65">
        <f t="shared" ca="1" si="8"/>
        <v>7</v>
      </c>
      <c r="L11" s="65" t="str">
        <f t="shared" ca="1" si="1"/>
        <v/>
      </c>
      <c r="M11" s="65">
        <f t="shared" ca="1" si="9"/>
        <v>18</v>
      </c>
      <c r="N11" s="170">
        <v>10</v>
      </c>
      <c r="O11" s="170" t="str">
        <f t="shared" ca="1" si="2"/>
        <v>Foxworthy P</v>
      </c>
      <c r="P11" s="170">
        <f t="shared" ca="1" si="3"/>
        <v>6</v>
      </c>
      <c r="Q11" s="170">
        <f t="shared" ca="1" si="4"/>
        <v>1</v>
      </c>
      <c r="R11" s="170">
        <f t="shared" ca="1" si="5"/>
        <v>18</v>
      </c>
      <c r="S11" s="170">
        <f t="shared" ca="1" si="6"/>
        <v>44</v>
      </c>
      <c r="T11" s="171">
        <f t="shared" ca="1" si="7"/>
        <v>8.8000000000000007</v>
      </c>
      <c r="V11" s="99" t="s">
        <v>198</v>
      </c>
    </row>
    <row r="12" spans="1:23" ht="12.75" x14ac:dyDescent="0.15">
      <c r="A12" s="65">
        <v>11</v>
      </c>
      <c r="B12" s="65" t="str">
        <f ca="1">OFFSET(Batting!$C$4,BatAves!$I12,0)</f>
        <v>Seymour C</v>
      </c>
      <c r="C12" s="69">
        <f ca="1">OFFSET(Batting!$CF$4,BatAves!$I12,0)</f>
        <v>17</v>
      </c>
      <c r="D12" s="69">
        <f ca="1">OFFSET(Batting!$CH$4,BatAves!$I12,0)</f>
        <v>15</v>
      </c>
      <c r="E12" s="69">
        <f ca="1">OFFSET(Batting!$CI$4,BatAves!$I12,0)</f>
        <v>1</v>
      </c>
      <c r="F12" s="69">
        <f ca="1">OFFSET(Batting!$CK$4,BatAves!$I12,0)</f>
        <v>64</v>
      </c>
      <c r="G12" s="69">
        <f ca="1">OFFSET(Batting!$CL$4,BatAves!$I12,0)</f>
        <v>267</v>
      </c>
      <c r="H12" s="73">
        <f ca="1">OFFSET(Batting!$CM$4,BatAves!$I12,0)</f>
        <v>19.071428571428573</v>
      </c>
      <c r="I12" s="65">
        <f>MATCH(A12,Batting!$DG$5:$DG$46,0)</f>
        <v>33</v>
      </c>
      <c r="J12" s="65">
        <f t="shared" ca="1" si="0"/>
        <v>11</v>
      </c>
      <c r="K12" s="65">
        <f t="shared" ca="1" si="8"/>
        <v>8</v>
      </c>
      <c r="L12" s="65" t="str">
        <f t="shared" ca="1" si="1"/>
        <v/>
      </c>
      <c r="M12" s="65">
        <f t="shared" ca="1" si="9"/>
        <v>22</v>
      </c>
      <c r="N12" s="170">
        <v>11</v>
      </c>
      <c r="O12" s="170" t="str">
        <f t="shared" ca="1" si="2"/>
        <v>Woodhouse M</v>
      </c>
      <c r="P12" s="170">
        <f t="shared" ca="1" si="3"/>
        <v>6</v>
      </c>
      <c r="Q12" s="170">
        <f t="shared" ca="1" si="4"/>
        <v>0</v>
      </c>
      <c r="R12" s="170">
        <f t="shared" ca="1" si="5"/>
        <v>12</v>
      </c>
      <c r="S12" s="170">
        <f t="shared" ca="1" si="6"/>
        <v>26</v>
      </c>
      <c r="T12" s="171">
        <f t="shared" ca="1" si="7"/>
        <v>4.333333333333333</v>
      </c>
      <c r="V12" s="99" t="s">
        <v>198</v>
      </c>
    </row>
    <row r="13" spans="1:23" ht="12.75" x14ac:dyDescent="0.15">
      <c r="A13" s="65">
        <v>12</v>
      </c>
      <c r="B13" s="65" t="str">
        <f ca="1">OFFSET(Batting!$C$4,BatAves!$I13,0)</f>
        <v>Foster E</v>
      </c>
      <c r="C13" s="69">
        <f ca="1">OFFSET(Batting!$CF$4,BatAves!$I13,0)</f>
        <v>2</v>
      </c>
      <c r="D13" s="69">
        <f ca="1">OFFSET(Batting!$CH$4,BatAves!$I13,0)</f>
        <v>2</v>
      </c>
      <c r="E13" s="69">
        <f ca="1">OFFSET(Batting!$CI$4,BatAves!$I13,0)</f>
        <v>0</v>
      </c>
      <c r="F13" s="69">
        <f ca="1">OFFSET(Batting!$CK$4,BatAves!$I13,0)</f>
        <v>28</v>
      </c>
      <c r="G13" s="69">
        <f ca="1">OFFSET(Batting!$CL$4,BatAves!$I13,0)</f>
        <v>29</v>
      </c>
      <c r="H13" s="73">
        <f ca="1">OFFSET(Batting!$CM$4,BatAves!$I13,0)</f>
        <v>14.5</v>
      </c>
      <c r="I13" s="65">
        <f>MATCH(A13,Batting!$DG$5:$DG$46,0)</f>
        <v>12</v>
      </c>
      <c r="J13" s="65">
        <f t="shared" ca="1" si="0"/>
        <v>1012</v>
      </c>
      <c r="K13" s="65">
        <f t="shared" ca="1" si="8"/>
        <v>16</v>
      </c>
      <c r="L13" s="65" t="str">
        <f t="shared" ca="1" si="1"/>
        <v>Foster E 2-0-28-29</v>
      </c>
      <c r="M13" s="65">
        <f t="shared" ca="1" si="9"/>
        <v>28</v>
      </c>
      <c r="N13" s="124">
        <v>12</v>
      </c>
      <c r="O13" s="124" t="str">
        <f t="shared" ca="1" si="2"/>
        <v>Wilson A</v>
      </c>
      <c r="P13" s="124">
        <f t="shared" ca="1" si="3"/>
        <v>9</v>
      </c>
      <c r="Q13" s="124">
        <f t="shared" ca="1" si="4"/>
        <v>0</v>
      </c>
      <c r="R13" s="124">
        <f t="shared" ca="1" si="5"/>
        <v>7</v>
      </c>
      <c r="S13" s="124">
        <f t="shared" ca="1" si="6"/>
        <v>15</v>
      </c>
      <c r="T13" s="126">
        <f t="shared" ca="1" si="7"/>
        <v>1.6666666666666667</v>
      </c>
      <c r="V13" s="99" t="s">
        <v>198</v>
      </c>
    </row>
    <row r="14" spans="1:23" ht="12.75" x14ac:dyDescent="0.15">
      <c r="A14" s="65">
        <v>13</v>
      </c>
      <c r="B14" s="65" t="str">
        <f ca="1">OFFSET(Batting!$C$4,BatAves!$I14,0)</f>
        <v>Castle I</v>
      </c>
      <c r="C14" s="69">
        <f ca="1">OFFSET(Batting!$CF$4,BatAves!$I14,0)</f>
        <v>3</v>
      </c>
      <c r="D14" s="69">
        <f ca="1">OFFSET(Batting!$CH$4,BatAves!$I14,0)</f>
        <v>2</v>
      </c>
      <c r="E14" s="69">
        <f ca="1">OFFSET(Batting!$CI$4,BatAves!$I14,0)</f>
        <v>0</v>
      </c>
      <c r="F14" s="69">
        <f ca="1">OFFSET(Batting!$CK$4,BatAves!$I14,0)</f>
        <v>19</v>
      </c>
      <c r="G14" s="69">
        <f ca="1">OFFSET(Batting!$CL$4,BatAves!$I14,0)</f>
        <v>28</v>
      </c>
      <c r="H14" s="73">
        <f ca="1">OFFSET(Batting!$CM$4,BatAves!$I14,0)</f>
        <v>14</v>
      </c>
      <c r="I14" s="65">
        <f>MATCH(A14,Batting!$DG$5:$DG$46,0)</f>
        <v>6</v>
      </c>
      <c r="J14" s="65">
        <f t="shared" ca="1" si="0"/>
        <v>1013</v>
      </c>
      <c r="K14" s="65">
        <f t="shared" ca="1" si="8"/>
        <v>17</v>
      </c>
      <c r="L14" s="65" t="str">
        <f t="shared" ca="1" si="1"/>
        <v>Castle I 2-0-19-28</v>
      </c>
      <c r="M14" s="65">
        <f t="shared" ca="1" si="9"/>
        <v>2</v>
      </c>
      <c r="N14" s="124">
        <v>13</v>
      </c>
      <c r="O14" s="124" t="str">
        <f t="shared" ca="1" si="2"/>
        <v>O'Rourke</v>
      </c>
      <c r="P14" s="124">
        <f t="shared" ca="1" si="3"/>
        <v>1</v>
      </c>
      <c r="Q14" s="124">
        <f t="shared" ca="1" si="4"/>
        <v>0</v>
      </c>
      <c r="R14" s="124">
        <f t="shared" ca="1" si="5"/>
        <v>53</v>
      </c>
      <c r="S14" s="124">
        <f t="shared" ca="1" si="6"/>
        <v>53</v>
      </c>
      <c r="T14" s="126">
        <f t="shared" ca="1" si="7"/>
        <v>53</v>
      </c>
      <c r="V14" s="99" t="s">
        <v>198</v>
      </c>
    </row>
    <row r="15" spans="1:23" ht="12.75" x14ac:dyDescent="0.15">
      <c r="A15" s="65">
        <v>14</v>
      </c>
      <c r="B15" s="65" t="str">
        <f ca="1">OFFSET(Batting!$C$4,BatAves!$I15,0)</f>
        <v>Driver S</v>
      </c>
      <c r="C15" s="69">
        <f ca="1">OFFSET(Batting!$CF$4,BatAves!$I15,0)</f>
        <v>4</v>
      </c>
      <c r="D15" s="69">
        <f ca="1">OFFSET(Batting!$CH$4,BatAves!$I15,0)</f>
        <v>3</v>
      </c>
      <c r="E15" s="69">
        <f ca="1">OFFSET(Batting!$CI$4,BatAves!$I15,0)</f>
        <v>0</v>
      </c>
      <c r="F15" s="69">
        <f ca="1">OFFSET(Batting!$CK$4,BatAves!$I15,0)</f>
        <v>16</v>
      </c>
      <c r="G15" s="69">
        <f ca="1">OFFSET(Batting!$CL$4,BatAves!$I15,0)</f>
        <v>41</v>
      </c>
      <c r="H15" s="73">
        <f ca="1">OFFSET(Batting!$CM$4,BatAves!$I15,0)</f>
        <v>13.666666666666666</v>
      </c>
      <c r="I15" s="65">
        <f>MATCH(A15,Batting!$DG$5:$DG$46,0)</f>
        <v>10</v>
      </c>
      <c r="J15" s="65">
        <f t="shared" ca="1" si="0"/>
        <v>1014</v>
      </c>
      <c r="K15" s="65">
        <f t="shared" ca="1" si="8"/>
        <v>18</v>
      </c>
      <c r="L15" s="65" t="str">
        <f t="shared" ca="1" si="1"/>
        <v>Driver S 3-0-16-41</v>
      </c>
      <c r="M15" s="65">
        <f t="shared" ca="1" si="9"/>
        <v>3</v>
      </c>
      <c r="N15" s="124">
        <v>14</v>
      </c>
      <c r="O15" s="124" t="str">
        <f t="shared" ca="1" si="2"/>
        <v>Greenall D</v>
      </c>
      <c r="P15" s="124">
        <f t="shared" ca="1" si="3"/>
        <v>4</v>
      </c>
      <c r="Q15" s="124">
        <f t="shared" ca="1" si="4"/>
        <v>1</v>
      </c>
      <c r="R15" s="124" t="str">
        <f t="shared" ca="1" si="5"/>
        <v>80*</v>
      </c>
      <c r="S15" s="124">
        <f t="shared" ca="1" si="6"/>
        <v>151</v>
      </c>
      <c r="T15" s="126">
        <f t="shared" ca="1" si="7"/>
        <v>50.333333333333336</v>
      </c>
      <c r="V15" s="99" t="s">
        <v>198</v>
      </c>
      <c r="W15" s="128"/>
    </row>
    <row r="16" spans="1:23" ht="12.75" x14ac:dyDescent="0.15">
      <c r="A16" s="65">
        <v>15</v>
      </c>
      <c r="B16" s="65" t="str">
        <f ca="1">OFFSET(Batting!$C$4,BatAves!$I16,0)</f>
        <v>Mander A</v>
      </c>
      <c r="C16" s="69">
        <f ca="1">OFFSET(Batting!$CF$4,BatAves!$I16,0)</f>
        <v>6</v>
      </c>
      <c r="D16" s="69">
        <f ca="1">OFFSET(Batting!$CH$4,BatAves!$I16,0)</f>
        <v>4</v>
      </c>
      <c r="E16" s="69">
        <f ca="1">OFFSET(Batting!$CI$4,BatAves!$I16,0)</f>
        <v>2</v>
      </c>
      <c r="F16" s="69">
        <f ca="1">OFFSET(Batting!$CK$4,BatAves!$I16,0)</f>
        <v>17</v>
      </c>
      <c r="G16" s="69">
        <f ca="1">OFFSET(Batting!$CL$4,BatAves!$I16,0)</f>
        <v>26</v>
      </c>
      <c r="H16" s="73">
        <f ca="1">OFFSET(Batting!$CM$4,BatAves!$I16,0)</f>
        <v>13</v>
      </c>
      <c r="I16" s="65">
        <f>MATCH(A16,Batting!$DG$5:$DG$46,0)</f>
        <v>24</v>
      </c>
      <c r="J16" s="65">
        <f t="shared" ca="1" si="0"/>
        <v>1015</v>
      </c>
      <c r="K16" s="65">
        <f t="shared" ca="1" si="8"/>
        <v>19</v>
      </c>
      <c r="L16" s="65" t="str">
        <f t="shared" ca="1" si="1"/>
        <v>Mander A 4-2-17-26</v>
      </c>
      <c r="M16" s="65">
        <f t="shared" ca="1" si="9"/>
        <v>6</v>
      </c>
      <c r="N16" s="124">
        <v>15</v>
      </c>
      <c r="O16" s="124" t="str">
        <f t="shared" ca="1" si="2"/>
        <v>Chima R</v>
      </c>
      <c r="P16" s="124">
        <f t="shared" ca="1" si="3"/>
        <v>2</v>
      </c>
      <c r="Q16" s="124">
        <f t="shared" ca="1" si="4"/>
        <v>1</v>
      </c>
      <c r="R16" s="124">
        <f t="shared" ca="1" si="5"/>
        <v>19</v>
      </c>
      <c r="S16" s="124">
        <f t="shared" ca="1" si="6"/>
        <v>29</v>
      </c>
      <c r="T16" s="126">
        <f t="shared" ca="1" si="7"/>
        <v>29</v>
      </c>
      <c r="V16" s="65" t="s">
        <v>198</v>
      </c>
      <c r="W16" s="128"/>
    </row>
    <row r="17" spans="1:23" ht="12.75" x14ac:dyDescent="0.15">
      <c r="A17" s="65">
        <v>16</v>
      </c>
      <c r="B17" s="65" t="str">
        <f ca="1">OFFSET(Batting!$C$4,BatAves!$I17,0)</f>
        <v>Nair S</v>
      </c>
      <c r="C17" s="69">
        <f ca="1">OFFSET(Batting!$CF$4,BatAves!$I17,0)</f>
        <v>3</v>
      </c>
      <c r="D17" s="69">
        <f ca="1">OFFSET(Batting!$CH$4,BatAves!$I17,0)</f>
        <v>2</v>
      </c>
      <c r="E17" s="69">
        <f ca="1">OFFSET(Batting!$CI$4,BatAves!$I17,0)</f>
        <v>1</v>
      </c>
      <c r="F17" s="69">
        <f ca="1">OFFSET(Batting!$CK$4,BatAves!$I17,0)</f>
        <v>13</v>
      </c>
      <c r="G17" s="69">
        <f ca="1">OFFSET(Batting!$CL$4,BatAves!$I17,0)</f>
        <v>13</v>
      </c>
      <c r="H17" s="73">
        <f ca="1">OFFSET(Batting!$CM$4,BatAves!$I17,0)</f>
        <v>13</v>
      </c>
      <c r="I17" s="65">
        <f>MATCH(A17,Batting!$DG$5:$DG$46,0)</f>
        <v>26</v>
      </c>
      <c r="J17" s="65">
        <f t="shared" ca="1" si="0"/>
        <v>1016</v>
      </c>
      <c r="K17" s="65">
        <f t="shared" ca="1" si="8"/>
        <v>20</v>
      </c>
      <c r="L17" s="65" t="str">
        <f t="shared" ca="1" si="1"/>
        <v>Nair S 2-1-13-13</v>
      </c>
      <c r="M17" s="65">
        <f t="shared" ca="1" si="9"/>
        <v>12</v>
      </c>
      <c r="N17" s="124">
        <v>16</v>
      </c>
      <c r="O17" s="124" t="str">
        <f t="shared" ca="1" si="2"/>
        <v>Foster E</v>
      </c>
      <c r="P17" s="124">
        <f t="shared" ca="1" si="3"/>
        <v>2</v>
      </c>
      <c r="Q17" s="124">
        <f t="shared" ca="1" si="4"/>
        <v>0</v>
      </c>
      <c r="R17" s="124">
        <f t="shared" ca="1" si="5"/>
        <v>28</v>
      </c>
      <c r="S17" s="124">
        <f t="shared" ca="1" si="6"/>
        <v>29</v>
      </c>
      <c r="T17" s="126">
        <f t="shared" ca="1" si="7"/>
        <v>14.5</v>
      </c>
      <c r="V17" s="65" t="s">
        <v>198</v>
      </c>
      <c r="W17" s="128"/>
    </row>
    <row r="18" spans="1:23" ht="12.75" x14ac:dyDescent="0.15">
      <c r="A18" s="65">
        <v>17</v>
      </c>
      <c r="B18" s="65" t="str">
        <f ca="1">OFFSET(Batting!$C$4,BatAves!$I18,0)</f>
        <v>Clarkson M</v>
      </c>
      <c r="C18" s="69">
        <f ca="1">OFFSET(Batting!$CF$4,BatAves!$I18,0)</f>
        <v>9</v>
      </c>
      <c r="D18" s="69">
        <f ca="1">OFFSET(Batting!$CH$4,BatAves!$I18,0)</f>
        <v>5</v>
      </c>
      <c r="E18" s="69">
        <f ca="1">OFFSET(Batting!$CI$4,BatAves!$I18,0)</f>
        <v>1</v>
      </c>
      <c r="F18" s="69" t="str">
        <f ca="1">OFFSET(Batting!$CK$4,BatAves!$I18,0)</f>
        <v>19*</v>
      </c>
      <c r="G18" s="69">
        <f ca="1">OFFSET(Batting!$CL$4,BatAves!$I18,0)</f>
        <v>36</v>
      </c>
      <c r="H18" s="73">
        <f ca="1">OFFSET(Batting!$CM$4,BatAves!$I18,0)</f>
        <v>9</v>
      </c>
      <c r="I18" s="65">
        <f>MATCH(A18,Batting!$DG$5:$DG$46,0)</f>
        <v>8</v>
      </c>
      <c r="J18" s="65">
        <f t="shared" ca="1" si="0"/>
        <v>17</v>
      </c>
      <c r="K18" s="65">
        <f t="shared" ca="1" si="8"/>
        <v>9</v>
      </c>
      <c r="L18" s="65" t="str">
        <f t="shared" ca="1" si="1"/>
        <v/>
      </c>
      <c r="M18" s="65">
        <f t="shared" ca="1" si="9"/>
        <v>13</v>
      </c>
      <c r="N18" s="124">
        <v>17</v>
      </c>
      <c r="O18" s="124" t="str">
        <f t="shared" ca="1" si="2"/>
        <v>Castle I</v>
      </c>
      <c r="P18" s="124">
        <f t="shared" ca="1" si="3"/>
        <v>2</v>
      </c>
      <c r="Q18" s="124">
        <f t="shared" ca="1" si="4"/>
        <v>0</v>
      </c>
      <c r="R18" s="124">
        <f t="shared" ca="1" si="5"/>
        <v>19</v>
      </c>
      <c r="S18" s="124">
        <f t="shared" ca="1" si="6"/>
        <v>28</v>
      </c>
      <c r="T18" s="126">
        <f t="shared" ca="1" si="7"/>
        <v>14</v>
      </c>
      <c r="V18" s="155"/>
      <c r="W18" s="128"/>
    </row>
    <row r="19" spans="1:23" ht="12.75" x14ac:dyDescent="0.15">
      <c r="A19" s="65">
        <v>18</v>
      </c>
      <c r="B19" s="65" t="str">
        <f ca="1">OFFSET(Batting!$C$4,BatAves!$I19,0)</f>
        <v>Foxworthy P</v>
      </c>
      <c r="C19" s="69">
        <f ca="1">OFFSET(Batting!$CF$4,BatAves!$I19,0)</f>
        <v>6</v>
      </c>
      <c r="D19" s="69">
        <f ca="1">OFFSET(Batting!$CH$4,BatAves!$I19,0)</f>
        <v>6</v>
      </c>
      <c r="E19" s="69">
        <f ca="1">OFFSET(Batting!$CI$4,BatAves!$I19,0)</f>
        <v>1</v>
      </c>
      <c r="F19" s="69">
        <f ca="1">OFFSET(Batting!$CK$4,BatAves!$I19,0)</f>
        <v>18</v>
      </c>
      <c r="G19" s="69">
        <f ca="1">OFFSET(Batting!$CL$4,BatAves!$I19,0)</f>
        <v>44</v>
      </c>
      <c r="H19" s="73">
        <f ca="1">OFFSET(Batting!$CM$4,BatAves!$I19,0)</f>
        <v>8.8000000000000007</v>
      </c>
      <c r="I19" s="65">
        <f>MATCH(A19,Batting!$DG$5:$DG$46,0)</f>
        <v>13</v>
      </c>
      <c r="J19" s="65">
        <f t="shared" ca="1" si="0"/>
        <v>18</v>
      </c>
      <c r="K19" s="65">
        <f t="shared" ca="1" si="8"/>
        <v>10</v>
      </c>
      <c r="L19" s="65" t="str">
        <f t="shared" ca="1" si="1"/>
        <v/>
      </c>
      <c r="M19" s="65">
        <f t="shared" ca="1" si="9"/>
        <v>14</v>
      </c>
      <c r="N19" s="124">
        <v>18</v>
      </c>
      <c r="O19" s="124" t="str">
        <f t="shared" ca="1" si="2"/>
        <v>Driver S</v>
      </c>
      <c r="P19" s="124">
        <f t="shared" ca="1" si="3"/>
        <v>3</v>
      </c>
      <c r="Q19" s="124">
        <f t="shared" ca="1" si="4"/>
        <v>0</v>
      </c>
      <c r="R19" s="124">
        <f t="shared" ca="1" si="5"/>
        <v>16</v>
      </c>
      <c r="S19" s="124">
        <f t="shared" ca="1" si="6"/>
        <v>41</v>
      </c>
      <c r="T19" s="126">
        <f t="shared" ca="1" si="7"/>
        <v>13.666666666666666</v>
      </c>
      <c r="V19" s="155"/>
      <c r="W19" s="128" t="s">
        <v>198</v>
      </c>
    </row>
    <row r="20" spans="1:23" ht="12.75" x14ac:dyDescent="0.15">
      <c r="A20" s="65">
        <v>19</v>
      </c>
      <c r="B20" s="65" t="str">
        <f ca="1">OFFSET(Batting!$C$4,BatAves!$I20,0)</f>
        <v>Smith C</v>
      </c>
      <c r="C20" s="69">
        <f ca="1">OFFSET(Batting!$CF$4,BatAves!$I20,0)</f>
        <v>8</v>
      </c>
      <c r="D20" s="69">
        <f ca="1">OFFSET(Batting!$CH$4,BatAves!$I20,0)</f>
        <v>4</v>
      </c>
      <c r="E20" s="69">
        <f ca="1">OFFSET(Batting!$CI$4,BatAves!$I20,0)</f>
        <v>1</v>
      </c>
      <c r="F20" s="69" t="str">
        <f ca="1">OFFSET(Batting!$CK$4,BatAves!$I20,0)</f>
        <v>12*</v>
      </c>
      <c r="G20" s="69">
        <f ca="1">OFFSET(Batting!$CL$4,BatAves!$I20,0)</f>
        <v>21</v>
      </c>
      <c r="H20" s="73">
        <f ca="1">OFFSET(Batting!$CM$4,BatAves!$I20,0)</f>
        <v>7</v>
      </c>
      <c r="I20" s="65">
        <f>MATCH(A20,Batting!$DG$5:$DG$46,0)</f>
        <v>36</v>
      </c>
      <c r="J20" s="65">
        <f t="shared" ca="1" si="0"/>
        <v>1019</v>
      </c>
      <c r="K20" s="65">
        <f t="shared" ca="1" si="8"/>
        <v>21</v>
      </c>
      <c r="L20" s="65" t="str">
        <f t="shared" ca="1" si="1"/>
        <v>Smith C 4-1-12*-21</v>
      </c>
      <c r="M20" s="65">
        <f t="shared" ca="1" si="9"/>
        <v>15</v>
      </c>
      <c r="N20" s="124">
        <v>19</v>
      </c>
      <c r="O20" s="124" t="str">
        <f t="shared" ca="1" si="2"/>
        <v>Mander A</v>
      </c>
      <c r="P20" s="124">
        <f t="shared" ca="1" si="3"/>
        <v>4</v>
      </c>
      <c r="Q20" s="124">
        <f t="shared" ca="1" si="4"/>
        <v>2</v>
      </c>
      <c r="R20" s="124">
        <f t="shared" ca="1" si="5"/>
        <v>17</v>
      </c>
      <c r="S20" s="124">
        <f t="shared" ca="1" si="6"/>
        <v>26</v>
      </c>
      <c r="T20" s="126">
        <f t="shared" ca="1" si="7"/>
        <v>13</v>
      </c>
      <c r="V20" s="155"/>
      <c r="W20" s="65" t="s">
        <v>198</v>
      </c>
    </row>
    <row r="21" spans="1:23" ht="12.75" x14ac:dyDescent="0.15">
      <c r="A21" s="65">
        <v>20</v>
      </c>
      <c r="B21" s="65" t="str">
        <f ca="1">OFFSET(Batting!$C$4,BatAves!$I21,0)</f>
        <v>Naish J</v>
      </c>
      <c r="C21" s="69">
        <f ca="1">OFFSET(Batting!$CF$4,BatAves!$I21,0)</f>
        <v>2</v>
      </c>
      <c r="D21" s="69">
        <f ca="1">OFFSET(Batting!$CH$4,BatAves!$I21,0)</f>
        <v>2</v>
      </c>
      <c r="E21" s="69">
        <f ca="1">OFFSET(Batting!$CI$4,BatAves!$I21,0)</f>
        <v>0</v>
      </c>
      <c r="F21" s="69">
        <f ca="1">OFFSET(Batting!$CK$4,BatAves!$I21,0)</f>
        <v>12</v>
      </c>
      <c r="G21" s="69">
        <f ca="1">OFFSET(Batting!$CL$4,BatAves!$I21,0)</f>
        <v>12</v>
      </c>
      <c r="H21" s="73">
        <f ca="1">OFFSET(Batting!$CM$4,BatAves!$I21,0)</f>
        <v>6</v>
      </c>
      <c r="I21" s="65">
        <f>MATCH(A21,Batting!$DG$5:$DG$46,0)</f>
        <v>27</v>
      </c>
      <c r="J21" s="65">
        <f t="shared" ca="1" si="0"/>
        <v>1020</v>
      </c>
      <c r="K21" s="65">
        <f t="shared" ca="1" si="8"/>
        <v>22</v>
      </c>
      <c r="L21" s="65" t="str">
        <f t="shared" ca="1" si="1"/>
        <v>Naish J 2-0-12-12</v>
      </c>
      <c r="M21" s="65">
        <f t="shared" ca="1" si="9"/>
        <v>16</v>
      </c>
      <c r="N21" s="124">
        <v>20</v>
      </c>
      <c r="O21" s="124" t="str">
        <f t="shared" ca="1" si="2"/>
        <v>Nair S</v>
      </c>
      <c r="P21" s="124">
        <f t="shared" ca="1" si="3"/>
        <v>2</v>
      </c>
      <c r="Q21" s="124">
        <f t="shared" ca="1" si="4"/>
        <v>1</v>
      </c>
      <c r="R21" s="124">
        <f t="shared" ca="1" si="5"/>
        <v>13</v>
      </c>
      <c r="S21" s="124">
        <f t="shared" ca="1" si="6"/>
        <v>13</v>
      </c>
      <c r="T21" s="126">
        <f t="shared" ca="1" si="7"/>
        <v>13</v>
      </c>
      <c r="V21" s="155"/>
      <c r="W21" s="65" t="s">
        <v>198</v>
      </c>
    </row>
    <row r="22" spans="1:23" ht="12.75" x14ac:dyDescent="0.15">
      <c r="A22" s="65">
        <v>21</v>
      </c>
      <c r="B22" s="65" t="str">
        <f ca="1">OFFSET(Batting!$C$4,BatAves!$I22,0)</f>
        <v>Lewis I</v>
      </c>
      <c r="C22" s="69">
        <f ca="1">OFFSET(Batting!$CF$4,BatAves!$I22,0)</f>
        <v>1</v>
      </c>
      <c r="D22" s="69">
        <f ca="1">OFFSET(Batting!$CH$4,BatAves!$I22,0)</f>
        <v>1</v>
      </c>
      <c r="E22" s="69">
        <f ca="1">OFFSET(Batting!$CI$4,BatAves!$I22,0)</f>
        <v>0</v>
      </c>
      <c r="F22" s="69">
        <f ca="1">OFFSET(Batting!$CK$4,BatAves!$I22,0)</f>
        <v>5</v>
      </c>
      <c r="G22" s="69">
        <f ca="1">OFFSET(Batting!$CL$4,BatAves!$I22,0)</f>
        <v>5</v>
      </c>
      <c r="H22" s="73">
        <f ca="1">OFFSET(Batting!$CM$4,BatAves!$I22,0)</f>
        <v>5</v>
      </c>
      <c r="I22" s="65">
        <f>MATCH(A22,Batting!$DG$5:$DG$46,0)</f>
        <v>22</v>
      </c>
      <c r="J22" s="65">
        <f t="shared" ca="1" si="0"/>
        <v>1021</v>
      </c>
      <c r="K22" s="65">
        <f t="shared" ca="1" si="8"/>
        <v>23</v>
      </c>
      <c r="L22" s="65" t="str">
        <f t="shared" ca="1" si="1"/>
        <v>Lewis I 1-0-5-5</v>
      </c>
      <c r="M22" s="65">
        <f t="shared" ca="1" si="9"/>
        <v>19</v>
      </c>
      <c r="N22" s="124">
        <v>21</v>
      </c>
      <c r="O22" s="124" t="str">
        <f t="shared" ca="1" si="2"/>
        <v>Smith C</v>
      </c>
      <c r="P22" s="124">
        <f t="shared" ca="1" si="3"/>
        <v>4</v>
      </c>
      <c r="Q22" s="124">
        <f t="shared" ca="1" si="4"/>
        <v>1</v>
      </c>
      <c r="R22" s="124" t="str">
        <f t="shared" ca="1" si="5"/>
        <v>12*</v>
      </c>
      <c r="S22" s="124">
        <f t="shared" ca="1" si="6"/>
        <v>21</v>
      </c>
      <c r="T22" s="126">
        <f t="shared" ca="1" si="7"/>
        <v>7</v>
      </c>
      <c r="V22" s="155"/>
      <c r="W22" s="65" t="s">
        <v>198</v>
      </c>
    </row>
    <row r="23" spans="1:23" ht="12.75" x14ac:dyDescent="0.15">
      <c r="A23" s="65">
        <v>22</v>
      </c>
      <c r="B23" s="65" t="str">
        <f ca="1">OFFSET(Batting!$C$4,BatAves!$I23,0)</f>
        <v>Woodhouse M</v>
      </c>
      <c r="C23" s="69">
        <f ca="1">OFFSET(Batting!$CF$4,BatAves!$I23,0)</f>
        <v>6</v>
      </c>
      <c r="D23" s="69">
        <f ca="1">OFFSET(Batting!$CH$4,BatAves!$I23,0)</f>
        <v>6</v>
      </c>
      <c r="E23" s="69">
        <f ca="1">OFFSET(Batting!$CI$4,BatAves!$I23,0)</f>
        <v>0</v>
      </c>
      <c r="F23" s="69">
        <f ca="1">OFFSET(Batting!$CK$4,BatAves!$I23,0)</f>
        <v>12</v>
      </c>
      <c r="G23" s="69">
        <f ca="1">OFFSET(Batting!$CL$4,BatAves!$I23,0)</f>
        <v>26</v>
      </c>
      <c r="H23" s="73">
        <f ca="1">OFFSET(Batting!$CM$4,BatAves!$I23,0)</f>
        <v>4.333333333333333</v>
      </c>
      <c r="I23" s="65">
        <f>MATCH(A23,Batting!$DG$5:$DG$46,0)</f>
        <v>42</v>
      </c>
      <c r="J23" s="65">
        <f t="shared" ca="1" si="0"/>
        <v>22</v>
      </c>
      <c r="K23" s="65">
        <f t="shared" ca="1" si="8"/>
        <v>11</v>
      </c>
      <c r="L23" s="65" t="str">
        <f t="shared" ca="1" si="1"/>
        <v/>
      </c>
      <c r="M23" s="65">
        <f t="shared" ca="1" si="9"/>
        <v>20</v>
      </c>
      <c r="N23" s="124">
        <v>22</v>
      </c>
      <c r="O23" s="124" t="str">
        <f t="shared" ca="1" si="2"/>
        <v>Naish J</v>
      </c>
      <c r="P23" s="124">
        <f t="shared" ca="1" si="3"/>
        <v>2</v>
      </c>
      <c r="Q23" s="124">
        <f t="shared" ca="1" si="4"/>
        <v>0</v>
      </c>
      <c r="R23" s="124">
        <f t="shared" ca="1" si="5"/>
        <v>12</v>
      </c>
      <c r="S23" s="124">
        <f t="shared" ca="1" si="6"/>
        <v>12</v>
      </c>
      <c r="T23" s="126">
        <f t="shared" ca="1" si="7"/>
        <v>6</v>
      </c>
      <c r="V23" s="155"/>
      <c r="W23" s="128"/>
    </row>
    <row r="24" spans="1:23" ht="12.75" x14ac:dyDescent="0.15">
      <c r="A24" s="65">
        <v>23</v>
      </c>
      <c r="B24" s="65" t="str">
        <f ca="1">OFFSET(Batting!$C$4,BatAves!$I24,0)</f>
        <v>Seymour D</v>
      </c>
      <c r="C24" s="69">
        <f ca="1">OFFSET(Batting!$CF$4,BatAves!$I24,0)</f>
        <v>1</v>
      </c>
      <c r="D24" s="69">
        <f ca="1">OFFSET(Batting!$CH$4,BatAves!$I24,0)</f>
        <v>1</v>
      </c>
      <c r="E24" s="69">
        <f ca="1">OFFSET(Batting!$CI$4,BatAves!$I24,0)</f>
        <v>0</v>
      </c>
      <c r="F24" s="69">
        <f ca="1">OFFSET(Batting!$CK$4,BatAves!$I24,0)</f>
        <v>4</v>
      </c>
      <c r="G24" s="69">
        <f ca="1">OFFSET(Batting!$CL$4,BatAves!$I24,0)</f>
        <v>4</v>
      </c>
      <c r="H24" s="73">
        <f ca="1">OFFSET(Batting!$CM$4,BatAves!$I24,0)</f>
        <v>4</v>
      </c>
      <c r="I24" s="65">
        <f>MATCH(A24,Batting!$DG$5:$DG$46,0)</f>
        <v>20</v>
      </c>
      <c r="J24" s="65">
        <f t="shared" ca="1" si="0"/>
        <v>1023</v>
      </c>
      <c r="K24" s="65">
        <f t="shared" ca="1" si="8"/>
        <v>24</v>
      </c>
      <c r="L24" s="65" t="str">
        <f t="shared" ca="1" si="1"/>
        <v>Seymour D 1-0-4-4</v>
      </c>
      <c r="M24" s="65">
        <f t="shared" ca="1" si="9"/>
        <v>21</v>
      </c>
      <c r="N24" s="124">
        <v>23</v>
      </c>
      <c r="O24" s="124" t="str">
        <f t="shared" ca="1" si="2"/>
        <v>Lewis I</v>
      </c>
      <c r="P24" s="124">
        <f t="shared" ca="1" si="3"/>
        <v>1</v>
      </c>
      <c r="Q24" s="124">
        <f t="shared" ca="1" si="4"/>
        <v>0</v>
      </c>
      <c r="R24" s="124">
        <f t="shared" ca="1" si="5"/>
        <v>5</v>
      </c>
      <c r="S24" s="124">
        <f t="shared" ca="1" si="6"/>
        <v>5</v>
      </c>
      <c r="T24" s="126">
        <f t="shared" ca="1" si="7"/>
        <v>5</v>
      </c>
      <c r="V24" s="155"/>
      <c r="W24" s="128"/>
    </row>
    <row r="25" spans="1:23" ht="12.75" x14ac:dyDescent="0.15">
      <c r="A25" s="65">
        <v>24</v>
      </c>
      <c r="B25" s="65" t="str">
        <f ca="1">OFFSET(Batting!$C$4,BatAves!$I25,0)</f>
        <v>Seev J</v>
      </c>
      <c r="C25" s="69">
        <f ca="1">OFFSET(Batting!$CF$4,BatAves!$I25,0)</f>
        <v>2</v>
      </c>
      <c r="D25" s="69">
        <f ca="1">OFFSET(Batting!$CH$4,BatAves!$I25,0)</f>
        <v>2</v>
      </c>
      <c r="E25" s="69">
        <f ca="1">OFFSET(Batting!$CI$4,BatAves!$I25,0)</f>
        <v>0</v>
      </c>
      <c r="F25" s="69">
        <f ca="1">OFFSET(Batting!$CK$4,BatAves!$I25,0)</f>
        <v>7</v>
      </c>
      <c r="G25" s="69">
        <f ca="1">OFFSET(Batting!$CL$4,BatAves!$I25,0)</f>
        <v>7</v>
      </c>
      <c r="H25" s="73">
        <f ca="1">OFFSET(Batting!$CM$4,BatAves!$I25,0)</f>
        <v>3.5</v>
      </c>
      <c r="I25" s="65">
        <f>MATCH(A25,Batting!$DG$5:$DG$46,0)</f>
        <v>32</v>
      </c>
      <c r="J25" s="65">
        <f t="shared" ca="1" si="0"/>
        <v>1024</v>
      </c>
      <c r="K25" s="65">
        <f t="shared" ca="1" si="8"/>
        <v>25</v>
      </c>
      <c r="L25" s="65" t="str">
        <f t="shared" ca="1" si="1"/>
        <v>Seev J 2-0-7-7</v>
      </c>
      <c r="M25" s="65">
        <f t="shared" ca="1" si="9"/>
        <v>23</v>
      </c>
      <c r="N25" s="124">
        <v>24</v>
      </c>
      <c r="O25" s="124" t="str">
        <f t="shared" ca="1" si="2"/>
        <v>Seymour D</v>
      </c>
      <c r="P25" s="124">
        <f t="shared" ca="1" si="3"/>
        <v>1</v>
      </c>
      <c r="Q25" s="124">
        <f t="shared" ca="1" si="4"/>
        <v>0</v>
      </c>
      <c r="R25" s="124">
        <f t="shared" ca="1" si="5"/>
        <v>4</v>
      </c>
      <c r="S25" s="124">
        <f t="shared" ca="1" si="6"/>
        <v>4</v>
      </c>
      <c r="T25" s="126">
        <f t="shared" ca="1" si="7"/>
        <v>4</v>
      </c>
      <c r="V25" s="155"/>
      <c r="W25" s="65" t="s">
        <v>198</v>
      </c>
    </row>
    <row r="26" spans="1:23" ht="12.75" x14ac:dyDescent="0.15">
      <c r="A26" s="65">
        <v>25</v>
      </c>
      <c r="B26" s="65" t="str">
        <f ca="1">OFFSET(Batting!$C$4,BatAves!$I26,0)</f>
        <v>Parboo R</v>
      </c>
      <c r="C26" s="69">
        <f ca="1">OFFSET(Batting!$CF$4,BatAves!$I26,0)</f>
        <v>1</v>
      </c>
      <c r="D26" s="69">
        <f ca="1">OFFSET(Batting!$CH$4,BatAves!$I26,0)</f>
        <v>1</v>
      </c>
      <c r="E26" s="69">
        <f ca="1">OFFSET(Batting!$CI$4,BatAves!$I26,0)</f>
        <v>0</v>
      </c>
      <c r="F26" s="69">
        <f ca="1">OFFSET(Batting!$CK$4,BatAves!$I26,0)</f>
        <v>3</v>
      </c>
      <c r="G26" s="69">
        <f ca="1">OFFSET(Batting!$CL$4,BatAves!$I26,0)</f>
        <v>3</v>
      </c>
      <c r="H26" s="73">
        <f ca="1">OFFSET(Batting!$CM$4,BatAves!$I26,0)</f>
        <v>3</v>
      </c>
      <c r="I26" s="65">
        <f>MATCH(A26,Batting!$DG$5:$DG$46,0)</f>
        <v>30</v>
      </c>
      <c r="J26" s="65">
        <f t="shared" ca="1" si="0"/>
        <v>1025</v>
      </c>
      <c r="K26" s="65">
        <f t="shared" ca="1" si="8"/>
        <v>26</v>
      </c>
      <c r="L26" s="65" t="str">
        <f t="shared" ca="1" si="1"/>
        <v>Parboo R 1-0-3-3</v>
      </c>
      <c r="M26" s="65">
        <f t="shared" ca="1" si="9"/>
        <v>24</v>
      </c>
      <c r="N26" s="124">
        <v>25</v>
      </c>
      <c r="O26" s="124" t="str">
        <f t="shared" ca="1" si="2"/>
        <v>Seev J</v>
      </c>
      <c r="P26" s="124">
        <f t="shared" ca="1" si="3"/>
        <v>2</v>
      </c>
      <c r="Q26" s="124">
        <f t="shared" ca="1" si="4"/>
        <v>0</v>
      </c>
      <c r="R26" s="124">
        <f t="shared" ca="1" si="5"/>
        <v>7</v>
      </c>
      <c r="S26" s="124">
        <f t="shared" ca="1" si="6"/>
        <v>7</v>
      </c>
      <c r="T26" s="126">
        <f t="shared" ca="1" si="7"/>
        <v>3.5</v>
      </c>
      <c r="V26" s="155"/>
      <c r="W26" s="128"/>
    </row>
    <row r="27" spans="1:23" ht="12.75" x14ac:dyDescent="0.15">
      <c r="A27" s="65">
        <v>26</v>
      </c>
      <c r="B27" s="65" t="str">
        <f ca="1">OFFSET(Batting!$C$4,BatAves!$I27,0)</f>
        <v>Lestrelle A</v>
      </c>
      <c r="C27" s="69">
        <f ca="1">OFFSET(Batting!$CF$4,BatAves!$I27,0)</f>
        <v>2</v>
      </c>
      <c r="D27" s="69">
        <f ca="1">OFFSET(Batting!$CH$4,BatAves!$I27,0)</f>
        <v>2</v>
      </c>
      <c r="E27" s="69">
        <f ca="1">OFFSET(Batting!$CI$4,BatAves!$I27,0)</f>
        <v>0</v>
      </c>
      <c r="F27" s="69">
        <f ca="1">OFFSET(Batting!$CK$4,BatAves!$I27,0)</f>
        <v>4</v>
      </c>
      <c r="G27" s="69">
        <f ca="1">OFFSET(Batting!$CL$4,BatAves!$I27,0)</f>
        <v>4</v>
      </c>
      <c r="H27" s="73">
        <f ca="1">OFFSET(Batting!$CM$4,BatAves!$I27,0)</f>
        <v>2</v>
      </c>
      <c r="I27" s="65">
        <f>MATCH(A27,Batting!$DG$5:$DG$46,0)</f>
        <v>21</v>
      </c>
      <c r="J27" s="65">
        <f t="shared" ca="1" si="0"/>
        <v>1026</v>
      </c>
      <c r="K27" s="65">
        <f t="shared" ca="1" si="8"/>
        <v>27</v>
      </c>
      <c r="L27" s="65" t="str">
        <f t="shared" ca="1" si="1"/>
        <v>Lestrelle A 2-0-4-4</v>
      </c>
      <c r="M27" s="65">
        <f t="shared" ca="1" si="9"/>
        <v>25</v>
      </c>
      <c r="N27" s="124">
        <v>26</v>
      </c>
      <c r="O27" s="124" t="str">
        <f t="shared" ca="1" si="2"/>
        <v>Parboo R</v>
      </c>
      <c r="P27" s="124">
        <f t="shared" ca="1" si="3"/>
        <v>1</v>
      </c>
      <c r="Q27" s="124">
        <f t="shared" ca="1" si="4"/>
        <v>0</v>
      </c>
      <c r="R27" s="124">
        <f t="shared" ca="1" si="5"/>
        <v>3</v>
      </c>
      <c r="S27" s="124">
        <f t="shared" ca="1" si="6"/>
        <v>3</v>
      </c>
      <c r="T27" s="126">
        <f t="shared" ca="1" si="7"/>
        <v>3</v>
      </c>
      <c r="V27" s="155"/>
      <c r="W27" s="65" t="s">
        <v>198</v>
      </c>
    </row>
    <row r="28" spans="1:23" ht="12.75" x14ac:dyDescent="0.15">
      <c r="A28" s="65">
        <v>27</v>
      </c>
      <c r="B28" s="65" t="str">
        <f ca="1">OFFSET(Batting!$C$4,BatAves!$I28,0)</f>
        <v>Madaan A</v>
      </c>
      <c r="C28" s="69">
        <f ca="1">OFFSET(Batting!$CF$4,BatAves!$I28,0)</f>
        <v>1</v>
      </c>
      <c r="D28" s="69">
        <f ca="1">OFFSET(Batting!$CH$4,BatAves!$I28,0)</f>
        <v>1</v>
      </c>
      <c r="E28" s="69">
        <f ca="1">OFFSET(Batting!$CI$4,BatAves!$I28,0)</f>
        <v>0</v>
      </c>
      <c r="F28" s="69">
        <f ca="1">OFFSET(Batting!$CK$4,BatAves!$I28,0)</f>
        <v>2</v>
      </c>
      <c r="G28" s="69">
        <f ca="1">OFFSET(Batting!$CL$4,BatAves!$I28,0)</f>
        <v>2</v>
      </c>
      <c r="H28" s="73">
        <f ca="1">OFFSET(Batting!$CM$4,BatAves!$I28,0)</f>
        <v>2</v>
      </c>
      <c r="I28" s="65">
        <f>MATCH(A28,Batting!$DG$5:$DG$46,0)</f>
        <v>23</v>
      </c>
      <c r="J28" s="65">
        <f t="shared" ca="1" si="0"/>
        <v>1027</v>
      </c>
      <c r="K28" s="65">
        <f t="shared" ca="1" si="8"/>
        <v>28</v>
      </c>
      <c r="L28" s="65" t="str">
        <f t="shared" ca="1" si="1"/>
        <v>Madaan A 1-0-2-2</v>
      </c>
      <c r="M28" s="65">
        <f t="shared" ca="1" si="9"/>
        <v>26</v>
      </c>
      <c r="N28" s="124">
        <v>27</v>
      </c>
      <c r="O28" s="124" t="str">
        <f t="shared" ca="1" si="2"/>
        <v>Lestrelle A</v>
      </c>
      <c r="P28" s="124">
        <f t="shared" ca="1" si="3"/>
        <v>2</v>
      </c>
      <c r="Q28" s="124">
        <f t="shared" ca="1" si="4"/>
        <v>0</v>
      </c>
      <c r="R28" s="124">
        <f t="shared" ca="1" si="5"/>
        <v>4</v>
      </c>
      <c r="S28" s="124">
        <f t="shared" ca="1" si="6"/>
        <v>4</v>
      </c>
      <c r="T28" s="126">
        <f t="shared" ca="1" si="7"/>
        <v>2</v>
      </c>
      <c r="V28" s="155"/>
    </row>
    <row r="29" spans="1:23" ht="12.75" x14ac:dyDescent="0.15">
      <c r="A29" s="65">
        <v>28</v>
      </c>
      <c r="B29" s="65" t="str">
        <f ca="1">OFFSET(Batting!$C$4,BatAves!$I29,0)</f>
        <v>Wilson A</v>
      </c>
      <c r="C29" s="69">
        <f ca="1">OFFSET(Batting!$CF$4,BatAves!$I29,0)</f>
        <v>12</v>
      </c>
      <c r="D29" s="69">
        <f ca="1">OFFSET(Batting!$CH$4,BatAves!$I29,0)</f>
        <v>9</v>
      </c>
      <c r="E29" s="69">
        <f ca="1">OFFSET(Batting!$CI$4,BatAves!$I29,0)</f>
        <v>0</v>
      </c>
      <c r="F29" s="69">
        <f ca="1">OFFSET(Batting!$CK$4,BatAves!$I29,0)</f>
        <v>7</v>
      </c>
      <c r="G29" s="69">
        <f ca="1">OFFSET(Batting!$CL$4,BatAves!$I29,0)</f>
        <v>15</v>
      </c>
      <c r="H29" s="73">
        <f ca="1">OFFSET(Batting!$CM$4,BatAves!$I29,0)</f>
        <v>1.6666666666666667</v>
      </c>
      <c r="I29" s="65">
        <f>MATCH(A29,Batting!$DG$5:$DG$46,0)</f>
        <v>41</v>
      </c>
      <c r="J29" s="65">
        <f t="shared" ca="1" si="0"/>
        <v>28</v>
      </c>
      <c r="K29" s="65">
        <f t="shared" ca="1" si="8"/>
        <v>12</v>
      </c>
      <c r="L29" s="65" t="str">
        <f t="shared" ca="1" si="1"/>
        <v/>
      </c>
      <c r="M29" s="65">
        <f t="shared" ca="1" si="9"/>
        <v>27</v>
      </c>
      <c r="N29" s="124">
        <v>28</v>
      </c>
      <c r="O29" s="124" t="str">
        <f t="shared" ca="1" si="2"/>
        <v>Madaan A</v>
      </c>
      <c r="P29" s="124">
        <f t="shared" ca="1" si="3"/>
        <v>1</v>
      </c>
      <c r="Q29" s="124">
        <f t="shared" ca="1" si="4"/>
        <v>0</v>
      </c>
      <c r="R29" s="124">
        <f t="shared" ca="1" si="5"/>
        <v>2</v>
      </c>
      <c r="S29" s="124">
        <f t="shared" ca="1" si="6"/>
        <v>2</v>
      </c>
      <c r="T29" s="126">
        <f t="shared" ca="1" si="7"/>
        <v>2</v>
      </c>
      <c r="V29" s="155"/>
    </row>
    <row r="30" spans="1:23" ht="12.75" x14ac:dyDescent="0.15">
      <c r="A30" s="65">
        <v>29</v>
      </c>
      <c r="B30" s="65" t="str">
        <f ca="1">OFFSET(Batting!$C$4,BatAves!$I30,0)</f>
        <v>Bowers M</v>
      </c>
      <c r="C30" s="69">
        <f ca="1">OFFSET(Batting!$CF$4,BatAves!$I30,0)</f>
        <v>5</v>
      </c>
      <c r="D30" s="69">
        <f ca="1">OFFSET(Batting!$CH$4,BatAves!$I30,0)</f>
        <v>2</v>
      </c>
      <c r="E30" s="69">
        <f ca="1">OFFSET(Batting!$CI$4,BatAves!$I30,0)</f>
        <v>0</v>
      </c>
      <c r="F30" s="69">
        <f ca="1">OFFSET(Batting!$CK$4,BatAves!$I30,0)</f>
        <v>1</v>
      </c>
      <c r="G30" s="69">
        <f ca="1">OFFSET(Batting!$CL$4,BatAves!$I30,0)</f>
        <v>1</v>
      </c>
      <c r="H30" s="73">
        <f ca="1">OFFSET(Batting!$CM$4,BatAves!$I30,0)</f>
        <v>0.5</v>
      </c>
      <c r="I30" s="65">
        <f>MATCH(A30,Batting!$DG$5:$DG$46,0)</f>
        <v>3</v>
      </c>
      <c r="J30" s="65">
        <f t="shared" ca="1" si="0"/>
        <v>1029</v>
      </c>
      <c r="K30" s="65">
        <f t="shared" ca="1" si="8"/>
        <v>29</v>
      </c>
      <c r="L30" s="65" t="str">
        <f t="shared" ca="1" si="1"/>
        <v>Bowers M 2-0-1-1</v>
      </c>
      <c r="M30" s="65">
        <f t="shared" ca="1" si="9"/>
        <v>29</v>
      </c>
      <c r="N30" s="124">
        <v>29</v>
      </c>
      <c r="O30" s="124" t="str">
        <f t="shared" ca="1" si="2"/>
        <v>Bowers M</v>
      </c>
      <c r="P30" s="124">
        <f t="shared" ca="1" si="3"/>
        <v>2</v>
      </c>
      <c r="Q30" s="124">
        <f t="shared" ca="1" si="4"/>
        <v>0</v>
      </c>
      <c r="R30" s="124">
        <f t="shared" ca="1" si="5"/>
        <v>1</v>
      </c>
      <c r="S30" s="124">
        <f t="shared" ca="1" si="6"/>
        <v>1</v>
      </c>
      <c r="T30" s="126">
        <f t="shared" ca="1" si="7"/>
        <v>0.5</v>
      </c>
      <c r="V30" s="155"/>
      <c r="W30" s="65" t="s">
        <v>198</v>
      </c>
    </row>
    <row r="31" spans="1:23" ht="12.75" x14ac:dyDescent="0.15">
      <c r="A31" s="65">
        <v>30</v>
      </c>
      <c r="B31" s="65" t="str">
        <f ca="1">OFFSET(Batting!$C$4,BatAves!$I31,0)</f>
        <v>Jenkins D</v>
      </c>
      <c r="C31" s="69">
        <f ca="1">OFFSET(Batting!$CF$4,BatAves!$I31,0)</f>
        <v>2</v>
      </c>
      <c r="D31" s="69">
        <f ca="1">OFFSET(Batting!$CH$4,BatAves!$I31,0)</f>
        <v>2</v>
      </c>
      <c r="E31" s="69">
        <f ca="1">OFFSET(Batting!$CI$4,BatAves!$I31,0)</f>
        <v>0</v>
      </c>
      <c r="F31" s="69">
        <f ca="1">OFFSET(Batting!$CK$4,BatAves!$I31,0)</f>
        <v>0</v>
      </c>
      <c r="G31" s="69">
        <f ca="1">OFFSET(Batting!$CL$4,BatAves!$I31,0)</f>
        <v>0</v>
      </c>
      <c r="H31" s="73">
        <f ca="1">OFFSET(Batting!$CM$4,BatAves!$I31,0)</f>
        <v>0</v>
      </c>
      <c r="I31" s="65">
        <f>MATCH(A31,Batting!$DG$5:$DG$46,0)</f>
        <v>16</v>
      </c>
      <c r="J31" s="65">
        <f t="shared" ca="1" si="0"/>
        <v>1030</v>
      </c>
      <c r="K31" s="65">
        <f t="shared" ca="1" si="8"/>
        <v>30</v>
      </c>
      <c r="L31" s="65" t="str">
        <f t="shared" ca="1" si="1"/>
        <v>Jenkins D 2-0-0-0</v>
      </c>
      <c r="M31" s="65">
        <f t="shared" ca="1" si="9"/>
        <v>30</v>
      </c>
      <c r="N31" s="124">
        <v>30</v>
      </c>
      <c r="O31" s="124" t="str">
        <f t="shared" ca="1" si="2"/>
        <v>Jenkins D</v>
      </c>
      <c r="P31" s="124">
        <f t="shared" ca="1" si="3"/>
        <v>2</v>
      </c>
      <c r="Q31" s="124">
        <f t="shared" ca="1" si="4"/>
        <v>0</v>
      </c>
      <c r="R31" s="124">
        <f t="shared" ca="1" si="5"/>
        <v>0</v>
      </c>
      <c r="S31" s="124">
        <f t="shared" ca="1" si="6"/>
        <v>0</v>
      </c>
      <c r="T31" s="126">
        <f t="shared" ca="1" si="7"/>
        <v>0</v>
      </c>
      <c r="V31" s="155"/>
      <c r="W31" s="65" t="s">
        <v>198</v>
      </c>
    </row>
    <row r="32" spans="1:23" ht="12.75" x14ac:dyDescent="0.15">
      <c r="A32" s="65">
        <v>31</v>
      </c>
      <c r="B32" s="65" t="str">
        <f ca="1">OFFSET(Batting!$C$4,BatAves!$I32,0)</f>
        <v>Mahajan A</v>
      </c>
      <c r="C32" s="69">
        <f ca="1">OFFSET(Batting!$CF$4,BatAves!$I32,0)</f>
        <v>2</v>
      </c>
      <c r="D32" s="69">
        <f ca="1">OFFSET(Batting!$CH$4,BatAves!$I32,0)</f>
        <v>1</v>
      </c>
      <c r="E32" s="69">
        <f ca="1">OFFSET(Batting!$CI$4,BatAves!$I32,0)</f>
        <v>1</v>
      </c>
      <c r="F32" s="69" t="str">
        <f ca="1">OFFSET(Batting!$CK$4,BatAves!$I32,0)</f>
        <v>10*</v>
      </c>
      <c r="G32" s="69">
        <f ca="1">OFFSET(Batting!$CL$4,BatAves!$I32,0)</f>
        <v>10</v>
      </c>
      <c r="H32" s="73">
        <f ca="1">OFFSET(Batting!$CM$4,BatAves!$I32,0)</f>
        <v>0</v>
      </c>
      <c r="I32" s="65">
        <f>MATCH(A32,Batting!$DG$5:$DG$46,0)</f>
        <v>17</v>
      </c>
      <c r="J32" s="65">
        <f t="shared" ca="1" si="0"/>
        <v>1031</v>
      </c>
      <c r="K32" s="65">
        <f t="shared" ca="1" si="8"/>
        <v>31</v>
      </c>
      <c r="L32" s="65" t="str">
        <f t="shared" ca="1" si="1"/>
        <v>Mahajan A 1-1-10*-10</v>
      </c>
      <c r="M32" s="65">
        <f t="shared" ca="1" si="9"/>
        <v>31</v>
      </c>
      <c r="N32" s="124">
        <v>31</v>
      </c>
      <c r="O32" s="124" t="str">
        <f t="shared" ca="1" si="2"/>
        <v>Mahajan A</v>
      </c>
      <c r="P32" s="124">
        <f t="shared" ca="1" si="3"/>
        <v>1</v>
      </c>
      <c r="Q32" s="124">
        <f t="shared" ca="1" si="4"/>
        <v>1</v>
      </c>
      <c r="R32" s="124" t="str">
        <f t="shared" ca="1" si="5"/>
        <v>10*</v>
      </c>
      <c r="S32" s="124">
        <f t="shared" ca="1" si="6"/>
        <v>10</v>
      </c>
      <c r="T32" s="126">
        <f t="shared" ca="1" si="7"/>
        <v>0</v>
      </c>
      <c r="V32" s="155"/>
    </row>
    <row r="33" spans="1:23" ht="12.75" x14ac:dyDescent="0.15">
      <c r="A33" s="65">
        <v>32</v>
      </c>
      <c r="B33" s="65" t="str">
        <f ca="1">OFFSET(Batting!$C$4,BatAves!$I33,0)</f>
        <v>Khan W</v>
      </c>
      <c r="C33" s="69">
        <f ca="1">OFFSET(Batting!$CF$4,BatAves!$I33,0)</f>
        <v>1</v>
      </c>
      <c r="D33" s="69">
        <f ca="1">OFFSET(Batting!$CH$4,BatAves!$I33,0)</f>
        <v>1</v>
      </c>
      <c r="E33" s="69">
        <f ca="1">OFFSET(Batting!$CI$4,BatAves!$I33,0)</f>
        <v>1</v>
      </c>
      <c r="F33" s="69">
        <f ca="1">OFFSET(Batting!$CK$4,BatAves!$I33,0)</f>
        <v>0</v>
      </c>
      <c r="G33" s="69">
        <f ca="1">OFFSET(Batting!$CL$4,BatAves!$I33,0)</f>
        <v>0</v>
      </c>
      <c r="H33" s="73">
        <f ca="1">OFFSET(Batting!$CM$4,BatAves!$I33,0)</f>
        <v>0</v>
      </c>
      <c r="I33" s="65">
        <f>MATCH(A33,Batting!$DG$5:$DG$46,0)</f>
        <v>18</v>
      </c>
      <c r="J33" s="65">
        <f t="shared" ca="1" si="0"/>
        <v>1032</v>
      </c>
      <c r="K33" s="65">
        <f t="shared" ca="1" si="8"/>
        <v>32</v>
      </c>
      <c r="L33" s="65" t="str">
        <f t="shared" ca="1" si="1"/>
        <v>Khan W 1-1-0-0</v>
      </c>
      <c r="M33" s="65">
        <f t="shared" ca="1" si="9"/>
        <v>32</v>
      </c>
      <c r="N33" s="124">
        <v>32</v>
      </c>
      <c r="O33" s="124" t="str">
        <f t="shared" ca="1" si="2"/>
        <v>Khan W</v>
      </c>
      <c r="P33" s="124">
        <f t="shared" ca="1" si="3"/>
        <v>1</v>
      </c>
      <c r="Q33" s="124">
        <f t="shared" ca="1" si="4"/>
        <v>1</v>
      </c>
      <c r="R33" s="124">
        <f t="shared" ca="1" si="5"/>
        <v>0</v>
      </c>
      <c r="S33" s="124">
        <f t="shared" ca="1" si="6"/>
        <v>0</v>
      </c>
      <c r="T33" s="126">
        <f t="shared" ca="1" si="7"/>
        <v>0</v>
      </c>
      <c r="V33" s="155"/>
    </row>
    <row r="34" spans="1:23" ht="12.75" x14ac:dyDescent="0.15">
      <c r="A34" s="65">
        <v>33</v>
      </c>
      <c r="B34" s="65" t="str">
        <f ca="1">OFFSET(Batting!$C$4,BatAves!$I34,0)</f>
        <v>Hayes J</v>
      </c>
      <c r="C34" s="69">
        <f ca="1">OFFSET(Batting!$CF$4,BatAves!$I34,0)</f>
        <v>1</v>
      </c>
      <c r="D34" s="69">
        <f ca="1">OFFSET(Batting!$CH$4,BatAves!$I34,0)</f>
        <v>1</v>
      </c>
      <c r="E34" s="69">
        <f ca="1">OFFSET(Batting!$CI$4,BatAves!$I34,0)</f>
        <v>1</v>
      </c>
      <c r="F34" s="69">
        <f ca="1">OFFSET(Batting!$CK$4,BatAves!$I34,0)</f>
        <v>0</v>
      </c>
      <c r="G34" s="69">
        <f ca="1">OFFSET(Batting!$CL$4,BatAves!$I34,0)</f>
        <v>0</v>
      </c>
      <c r="H34" s="73">
        <f ca="1">OFFSET(Batting!$CM$4,BatAves!$I34,0)</f>
        <v>0</v>
      </c>
      <c r="I34" s="65">
        <f>MATCH(A34,Batting!$DG$5:$DG$46,0)</f>
        <v>15</v>
      </c>
      <c r="J34" s="65">
        <f t="shared" ref="J34:J60" ca="1" si="10">IF(D34&gt;=5,A34,1000+A34)</f>
        <v>1033</v>
      </c>
      <c r="K34" s="65">
        <f t="shared" ca="1" si="8"/>
        <v>33</v>
      </c>
      <c r="L34" s="65" t="str">
        <f t="shared" ref="L34:L60" ca="1" si="11">IF(D34&lt;5,B34&amp;" "&amp;D34&amp;"-"&amp;E34&amp;"-"&amp;F34&amp;"-"&amp;G34,"")</f>
        <v>Hayes J 1-1-0-0</v>
      </c>
      <c r="M34" s="65">
        <f t="shared" ca="1" si="9"/>
        <v>33</v>
      </c>
      <c r="N34" s="124">
        <v>33</v>
      </c>
      <c r="O34" s="124" t="str">
        <f t="shared" ca="1" si="2"/>
        <v>Hayes J</v>
      </c>
      <c r="P34" s="124">
        <f t="shared" ca="1" si="3"/>
        <v>1</v>
      </c>
      <c r="Q34" s="124">
        <f t="shared" ca="1" si="4"/>
        <v>1</v>
      </c>
      <c r="R34" s="124">
        <f t="shared" ca="1" si="5"/>
        <v>0</v>
      </c>
      <c r="S34" s="124">
        <f t="shared" ca="1" si="6"/>
        <v>0</v>
      </c>
      <c r="T34" s="126">
        <f t="shared" ca="1" si="7"/>
        <v>0</v>
      </c>
      <c r="V34" s="155"/>
    </row>
    <row r="35" spans="1:23" ht="12.75" x14ac:dyDescent="0.15">
      <c r="A35" s="65">
        <v>34</v>
      </c>
      <c r="B35" s="65" t="str">
        <f ca="1">OFFSET(Batting!$C$4,BatAves!$I35,0)</f>
        <v>Brocks D</v>
      </c>
      <c r="C35" s="69">
        <f ca="1">OFFSET(Batting!$CF$4,BatAves!$I35,0)</f>
        <v>1</v>
      </c>
      <c r="D35" s="69">
        <f ca="1">OFFSET(Batting!$CH$4,BatAves!$I35,0)</f>
        <v>1</v>
      </c>
      <c r="E35" s="69">
        <f ca="1">OFFSET(Batting!$CI$4,BatAves!$I35,0)</f>
        <v>0</v>
      </c>
      <c r="F35" s="69">
        <f ca="1">OFFSET(Batting!$CK$4,BatAves!$I35,0)</f>
        <v>0</v>
      </c>
      <c r="G35" s="69">
        <f ca="1">OFFSET(Batting!$CL$4,BatAves!$I35,0)</f>
        <v>0</v>
      </c>
      <c r="H35" s="73">
        <f ca="1">OFFSET(Batting!$CM$4,BatAves!$I35,0)</f>
        <v>0</v>
      </c>
      <c r="I35" s="65">
        <f>MATCH(A35,Batting!$DG$5:$DG$46,0)</f>
        <v>4</v>
      </c>
      <c r="J35" s="65">
        <f t="shared" ca="1" si="10"/>
        <v>1034</v>
      </c>
      <c r="K35" s="65">
        <f t="shared" ca="1" si="8"/>
        <v>34</v>
      </c>
      <c r="L35" s="65" t="str">
        <f t="shared" ca="1" si="11"/>
        <v>Brocks D 1-0-0-0</v>
      </c>
      <c r="M35" s="65">
        <f t="shared" ca="1" si="9"/>
        <v>34</v>
      </c>
      <c r="N35" s="124">
        <v>34</v>
      </c>
      <c r="O35" s="124" t="str">
        <f t="shared" ca="1" si="2"/>
        <v>Brocks D</v>
      </c>
      <c r="P35" s="124">
        <f t="shared" ca="1" si="3"/>
        <v>1</v>
      </c>
      <c r="Q35" s="124">
        <f t="shared" ca="1" si="4"/>
        <v>0</v>
      </c>
      <c r="R35" s="124">
        <f t="shared" ca="1" si="5"/>
        <v>0</v>
      </c>
      <c r="S35" s="124">
        <f t="shared" ca="1" si="6"/>
        <v>0</v>
      </c>
      <c r="T35" s="126">
        <f t="shared" ca="1" si="7"/>
        <v>0</v>
      </c>
      <c r="V35" s="155"/>
    </row>
    <row r="36" spans="1:23" ht="12.75" x14ac:dyDescent="0.15">
      <c r="A36" s="65">
        <v>35</v>
      </c>
      <c r="B36" s="65" t="str">
        <f ca="1">OFFSET(Batting!$C$4,BatAves!$I36,0)</f>
        <v>"Tareq"</v>
      </c>
      <c r="C36" s="69">
        <f ca="1">OFFSET(Batting!$CF$4,BatAves!$I36,0)</f>
        <v>1</v>
      </c>
      <c r="D36" s="69">
        <f ca="1">OFFSET(Batting!$CH$4,BatAves!$I36,0)</f>
        <v>0</v>
      </c>
      <c r="E36" s="69">
        <f ca="1">OFFSET(Batting!$CI$4,BatAves!$I36,0)</f>
        <v>0</v>
      </c>
      <c r="F36" s="69">
        <f ca="1">OFFSET(Batting!$CK$4,BatAves!$I36,0)</f>
        <v>0</v>
      </c>
      <c r="G36" s="69">
        <f ca="1">OFFSET(Batting!$CL$4,BatAves!$I36,0)</f>
        <v>0</v>
      </c>
      <c r="H36" s="73">
        <f ca="1">OFFSET(Batting!$CM$4,BatAves!$I36,0)</f>
        <v>0</v>
      </c>
      <c r="I36" s="65">
        <f>MATCH(A36,Batting!$DG$5:$DG$46,0)</f>
        <v>39</v>
      </c>
      <c r="J36" s="65">
        <f t="shared" ca="1" si="10"/>
        <v>1035</v>
      </c>
      <c r="K36" s="65">
        <f t="shared" ca="1" si="8"/>
        <v>35</v>
      </c>
      <c r="L36" s="65" t="str">
        <f t="shared" ca="1" si="11"/>
        <v>"Tareq" 0-0-0-0</v>
      </c>
      <c r="M36" s="65">
        <f t="shared" ca="1" si="9"/>
        <v>35</v>
      </c>
      <c r="N36" s="124">
        <v>35</v>
      </c>
      <c r="O36" s="124" t="str">
        <f t="shared" ca="1" si="2"/>
        <v>"Tareq"</v>
      </c>
      <c r="P36" s="124">
        <f t="shared" ca="1" si="3"/>
        <v>0</v>
      </c>
      <c r="Q36" s="124">
        <f t="shared" ca="1" si="4"/>
        <v>0</v>
      </c>
      <c r="R36" s="124">
        <f t="shared" ca="1" si="5"/>
        <v>0</v>
      </c>
      <c r="S36" s="124">
        <f t="shared" ca="1" si="6"/>
        <v>0</v>
      </c>
      <c r="T36" s="126">
        <f t="shared" ca="1" si="7"/>
        <v>0</v>
      </c>
      <c r="V36" s="155"/>
      <c r="W36" s="128"/>
    </row>
    <row r="37" spans="1:23" ht="12.75" x14ac:dyDescent="0.15">
      <c r="A37" s="65">
        <v>36</v>
      </c>
      <c r="B37" s="65" t="str">
        <f ca="1">OFFSET(Batting!$C$4,BatAves!$I37,0)</f>
        <v>Crawford S</v>
      </c>
      <c r="C37" s="69">
        <f ca="1">OFFSET(Batting!$CF$4,BatAves!$I37,0)</f>
        <v>1</v>
      </c>
      <c r="D37" s="69">
        <f ca="1">OFFSET(Batting!$CH$4,BatAves!$I37,0)</f>
        <v>0</v>
      </c>
      <c r="E37" s="69">
        <f ca="1">OFFSET(Batting!$CI$4,BatAves!$I37,0)</f>
        <v>0</v>
      </c>
      <c r="F37" s="69">
        <f ca="1">OFFSET(Batting!$CK$4,BatAves!$I37,0)</f>
        <v>0</v>
      </c>
      <c r="G37" s="69">
        <f ca="1">OFFSET(Batting!$CL$4,BatAves!$I37,0)</f>
        <v>0</v>
      </c>
      <c r="H37" s="73">
        <f ca="1">OFFSET(Batting!$CM$4,BatAves!$I37,0)</f>
        <v>0</v>
      </c>
      <c r="I37" s="65">
        <f>MATCH(A37,Batting!$DG$5:$DG$46,0)</f>
        <v>9</v>
      </c>
      <c r="J37" s="65">
        <f t="shared" ca="1" si="10"/>
        <v>1036</v>
      </c>
      <c r="K37" s="65">
        <f t="shared" ca="1" si="8"/>
        <v>36</v>
      </c>
      <c r="L37" s="65" t="str">
        <f t="shared" ca="1" si="11"/>
        <v>Crawford S 0-0-0-0</v>
      </c>
      <c r="M37" s="65">
        <f t="shared" ca="1" si="9"/>
        <v>36</v>
      </c>
      <c r="N37" s="124">
        <v>36</v>
      </c>
      <c r="O37" s="124" t="str">
        <f t="shared" ca="1" si="2"/>
        <v>Crawford S</v>
      </c>
      <c r="P37" s="124">
        <f t="shared" ca="1" si="3"/>
        <v>0</v>
      </c>
      <c r="Q37" s="124">
        <f t="shared" ca="1" si="4"/>
        <v>0</v>
      </c>
      <c r="R37" s="124">
        <f t="shared" ca="1" si="5"/>
        <v>0</v>
      </c>
      <c r="S37" s="124">
        <f t="shared" ca="1" si="6"/>
        <v>0</v>
      </c>
      <c r="T37" s="126">
        <f t="shared" ca="1" si="7"/>
        <v>0</v>
      </c>
      <c r="V37" s="155"/>
      <c r="W37" s="128"/>
    </row>
    <row r="38" spans="1:23" ht="12.75" x14ac:dyDescent="0.15">
      <c r="A38" s="65">
        <v>37</v>
      </c>
      <c r="B38" s="65" t="str">
        <f ca="1">OFFSET(Batting!$C$4,BatAves!$I38,0)</f>
        <v>Ahmed</v>
      </c>
      <c r="C38" s="69">
        <f ca="1">OFFSET(Batting!$CF$4,BatAves!$I38,0)</f>
        <v>1</v>
      </c>
      <c r="D38" s="69">
        <f ca="1">OFFSET(Batting!$CH$4,BatAves!$I38,0)</f>
        <v>0</v>
      </c>
      <c r="E38" s="69">
        <f ca="1">OFFSET(Batting!$CI$4,BatAves!$I38,0)</f>
        <v>0</v>
      </c>
      <c r="F38" s="69">
        <f ca="1">OFFSET(Batting!$CK$4,BatAves!$I38,0)</f>
        <v>0</v>
      </c>
      <c r="G38" s="69">
        <f ca="1">OFFSET(Batting!$CL$4,BatAves!$I38,0)</f>
        <v>0</v>
      </c>
      <c r="H38" s="73">
        <f ca="1">OFFSET(Batting!$CM$4,BatAves!$I38,0)</f>
        <v>0</v>
      </c>
      <c r="I38" s="65">
        <f>MATCH(A38,Batting!$DG$5:$DG$46,0)</f>
        <v>1</v>
      </c>
      <c r="J38" s="65">
        <f t="shared" ca="1" si="10"/>
        <v>1037</v>
      </c>
      <c r="K38" s="65">
        <f t="shared" ca="1" si="8"/>
        <v>37</v>
      </c>
      <c r="L38" s="65" t="str">
        <f t="shared" ca="1" si="11"/>
        <v>Ahmed 0-0-0-0</v>
      </c>
      <c r="M38" s="65">
        <f t="shared" ca="1" si="9"/>
        <v>37</v>
      </c>
      <c r="N38" s="124">
        <v>37</v>
      </c>
      <c r="O38" s="124" t="str">
        <f t="shared" ca="1" si="2"/>
        <v>Ahmed</v>
      </c>
      <c r="P38" s="124">
        <f t="shared" ca="1" si="3"/>
        <v>0</v>
      </c>
      <c r="Q38" s="124">
        <f t="shared" ca="1" si="4"/>
        <v>0</v>
      </c>
      <c r="R38" s="124">
        <f t="shared" ca="1" si="5"/>
        <v>0</v>
      </c>
      <c r="S38" s="124">
        <f t="shared" ca="1" si="6"/>
        <v>0</v>
      </c>
      <c r="T38" s="126">
        <f t="shared" ca="1" si="7"/>
        <v>0</v>
      </c>
    </row>
    <row r="39" spans="1:23" ht="12.75" x14ac:dyDescent="0.15">
      <c r="A39" s="65">
        <v>38</v>
      </c>
      <c r="B39" s="65" t="str">
        <f ca="1">OFFSET(Batting!$C$4,BatAves!$I39,0)</f>
        <v>Sunkara C</v>
      </c>
      <c r="C39" s="69">
        <f ca="1">OFFSET(Batting!$CF$4,BatAves!$I39,0)</f>
        <v>0</v>
      </c>
      <c r="D39" s="69">
        <f ca="1">OFFSET(Batting!$CH$4,BatAves!$I39,0)</f>
        <v>0</v>
      </c>
      <c r="E39" s="69">
        <f ca="1">OFFSET(Batting!$CI$4,BatAves!$I39,0)</f>
        <v>0</v>
      </c>
      <c r="F39" s="69">
        <f ca="1">OFFSET(Batting!$CK$4,BatAves!$I39,0)</f>
        <v>0</v>
      </c>
      <c r="G39" s="69">
        <f ca="1">OFFSET(Batting!$CL$4,BatAves!$I39,0)</f>
        <v>0</v>
      </c>
      <c r="H39" s="73">
        <f ca="1">OFFSET(Batting!$CM$4,BatAves!$I39,0)</f>
        <v>0</v>
      </c>
      <c r="I39" s="65">
        <f>MATCH(A39,Batting!$DG$5:$DG$46,0)</f>
        <v>38</v>
      </c>
      <c r="J39" s="65">
        <f t="shared" ca="1" si="10"/>
        <v>1038</v>
      </c>
      <c r="K39" s="65">
        <f t="shared" ca="1" si="8"/>
        <v>38</v>
      </c>
      <c r="L39" s="65" t="str">
        <f t="shared" ca="1" si="11"/>
        <v>Sunkara C 0-0-0-0</v>
      </c>
      <c r="M39" s="65">
        <f t="shared" ca="1" si="9"/>
        <v>38</v>
      </c>
      <c r="N39" s="124">
        <v>38</v>
      </c>
      <c r="O39" s="124" t="str">
        <f t="shared" ca="1" si="2"/>
        <v>Sunkara C</v>
      </c>
      <c r="P39" s="124">
        <f t="shared" ca="1" si="3"/>
        <v>0</v>
      </c>
      <c r="Q39" s="124">
        <f t="shared" ca="1" si="4"/>
        <v>0</v>
      </c>
      <c r="R39" s="124">
        <f t="shared" ca="1" si="5"/>
        <v>0</v>
      </c>
      <c r="S39" s="124">
        <f t="shared" ca="1" si="6"/>
        <v>0</v>
      </c>
      <c r="T39" s="126">
        <f t="shared" ca="1" si="7"/>
        <v>0</v>
      </c>
    </row>
    <row r="40" spans="1:23" ht="12.75" x14ac:dyDescent="0.15">
      <c r="A40" s="65">
        <v>39</v>
      </c>
      <c r="B40" s="65" t="str">
        <f ca="1">OFFSET(Batting!$C$4,BatAves!$I40,0)</f>
        <v>Rathi N</v>
      </c>
      <c r="C40" s="69">
        <f ca="1">OFFSET(Batting!$CF$4,BatAves!$I40,0)</f>
        <v>0</v>
      </c>
      <c r="D40" s="69">
        <f ca="1">OFFSET(Batting!$CH$4,BatAves!$I40,0)</f>
        <v>0</v>
      </c>
      <c r="E40" s="69">
        <f ca="1">OFFSET(Batting!$CI$4,BatAves!$I40,0)</f>
        <v>0</v>
      </c>
      <c r="F40" s="69">
        <f ca="1">OFFSET(Batting!$CK$4,BatAves!$I40,0)</f>
        <v>0</v>
      </c>
      <c r="G40" s="69">
        <f ca="1">OFFSET(Batting!$CL$4,BatAves!$I40,0)</f>
        <v>0</v>
      </c>
      <c r="H40" s="73">
        <f ca="1">OFFSET(Batting!$CM$4,BatAves!$I40,0)</f>
        <v>0</v>
      </c>
      <c r="I40" s="65">
        <f>MATCH(A40,Batting!$DG$5:$DG$46,0)</f>
        <v>31</v>
      </c>
      <c r="J40" s="65">
        <f t="shared" ca="1" si="10"/>
        <v>1039</v>
      </c>
      <c r="K40" s="65">
        <f t="shared" ca="1" si="8"/>
        <v>39</v>
      </c>
      <c r="L40" s="65" t="str">
        <f t="shared" ca="1" si="11"/>
        <v>Rathi N 0-0-0-0</v>
      </c>
      <c r="M40" s="65">
        <f t="shared" ca="1" si="9"/>
        <v>39</v>
      </c>
      <c r="N40" s="124">
        <v>39</v>
      </c>
      <c r="O40" s="124" t="str">
        <f t="shared" ca="1" si="2"/>
        <v>Rathi N</v>
      </c>
      <c r="P40" s="124">
        <f t="shared" ca="1" si="3"/>
        <v>0</v>
      </c>
      <c r="Q40" s="124">
        <f t="shared" ca="1" si="4"/>
        <v>0</v>
      </c>
      <c r="R40" s="124">
        <f t="shared" ca="1" si="5"/>
        <v>0</v>
      </c>
      <c r="S40" s="124">
        <f t="shared" ca="1" si="6"/>
        <v>0</v>
      </c>
      <c r="T40" s="126">
        <f t="shared" ca="1" si="7"/>
        <v>0</v>
      </c>
    </row>
    <row r="41" spans="1:23" ht="12.75" x14ac:dyDescent="0.15">
      <c r="A41" s="65">
        <v>40</v>
      </c>
      <c r="B41" s="65" t="str">
        <f ca="1">OFFSET(Batting!$C$4,BatAves!$I41,0)</f>
        <v>Kiernan M</v>
      </c>
      <c r="C41" s="69">
        <f ca="1">OFFSET(Batting!$CF$4,BatAves!$I41,0)</f>
        <v>0</v>
      </c>
      <c r="D41" s="69">
        <f ca="1">OFFSET(Batting!$CH$4,BatAves!$I41,0)</f>
        <v>0</v>
      </c>
      <c r="E41" s="69">
        <f ca="1">OFFSET(Batting!$CI$4,BatAves!$I41,0)</f>
        <v>0</v>
      </c>
      <c r="F41" s="69">
        <f ca="1">OFFSET(Batting!$CK$4,BatAves!$I41,0)</f>
        <v>0</v>
      </c>
      <c r="G41" s="69">
        <f ca="1">OFFSET(Batting!$CL$4,BatAves!$I41,0)</f>
        <v>0</v>
      </c>
      <c r="H41" s="73">
        <f ca="1">OFFSET(Batting!$CM$4,BatAves!$I41,0)</f>
        <v>0</v>
      </c>
      <c r="I41" s="65">
        <f>MATCH(A41,Batting!$DG$5:$DG$46,0)</f>
        <v>19</v>
      </c>
      <c r="J41" s="65">
        <f t="shared" ca="1" si="10"/>
        <v>1040</v>
      </c>
      <c r="K41" s="65">
        <f t="shared" ca="1" si="8"/>
        <v>40</v>
      </c>
      <c r="L41" s="65" t="str">
        <f t="shared" ca="1" si="11"/>
        <v>Kiernan M 0-0-0-0</v>
      </c>
      <c r="M41" s="65">
        <f t="shared" ca="1" si="9"/>
        <v>40</v>
      </c>
      <c r="N41" s="124">
        <v>40</v>
      </c>
      <c r="O41" s="124" t="str">
        <f t="shared" ca="1" si="2"/>
        <v>Kiernan M</v>
      </c>
      <c r="P41" s="124">
        <f t="shared" ca="1" si="3"/>
        <v>0</v>
      </c>
      <c r="Q41" s="124">
        <f t="shared" ca="1" si="4"/>
        <v>0</v>
      </c>
      <c r="R41" s="124">
        <f t="shared" ca="1" si="5"/>
        <v>0</v>
      </c>
      <c r="S41" s="124">
        <f t="shared" ca="1" si="6"/>
        <v>0</v>
      </c>
      <c r="T41" s="126">
        <f t="shared" ca="1" si="7"/>
        <v>0</v>
      </c>
      <c r="V41" s="65" t="s">
        <v>198</v>
      </c>
    </row>
    <row r="42" spans="1:23" x14ac:dyDescent="0.15">
      <c r="A42" s="65">
        <v>41</v>
      </c>
      <c r="B42" s="65" t="str">
        <f ca="1">OFFSET(Batting!$C$4,BatAves!$I42,0)</f>
        <v>Edghill C</v>
      </c>
      <c r="C42" s="69">
        <f ca="1">OFFSET(Batting!$CF$4,BatAves!$I42,0)</f>
        <v>0</v>
      </c>
      <c r="D42" s="69">
        <f ca="1">OFFSET(Batting!$CH$4,BatAves!$I42,0)</f>
        <v>0</v>
      </c>
      <c r="E42" s="69">
        <f ca="1">OFFSET(Batting!$CI$4,BatAves!$I42,0)</f>
        <v>0</v>
      </c>
      <c r="F42" s="69">
        <f ca="1">OFFSET(Batting!$CK$4,BatAves!$I42,0)</f>
        <v>0</v>
      </c>
      <c r="G42" s="69">
        <f ca="1">OFFSET(Batting!$CL$4,BatAves!$I42,0)</f>
        <v>0</v>
      </c>
      <c r="H42" s="73">
        <f ca="1">OFFSET(Batting!$CM$4,BatAves!$I42,0)</f>
        <v>0</v>
      </c>
      <c r="I42" s="65">
        <f>MATCH(A42,Batting!$DG$5:$DG$46,0)</f>
        <v>11</v>
      </c>
      <c r="J42" s="65">
        <f t="shared" ca="1" si="10"/>
        <v>1041</v>
      </c>
      <c r="K42" s="65">
        <f t="shared" ca="1" si="8"/>
        <v>41</v>
      </c>
      <c r="L42" s="65" t="str">
        <f t="shared" ca="1" si="11"/>
        <v>Edghill C 0-0-0-0</v>
      </c>
      <c r="M42" s="65">
        <f t="shared" ca="1" si="9"/>
        <v>41</v>
      </c>
      <c r="N42" s="120">
        <v>41</v>
      </c>
      <c r="O42" s="120" t="str">
        <f t="shared" ca="1" si="2"/>
        <v>Edghill C</v>
      </c>
      <c r="P42" s="120">
        <f t="shared" ca="1" si="3"/>
        <v>0</v>
      </c>
      <c r="Q42" s="120">
        <f t="shared" ca="1" si="4"/>
        <v>0</v>
      </c>
      <c r="R42" s="120">
        <f t="shared" ca="1" si="5"/>
        <v>0</v>
      </c>
      <c r="S42" s="120">
        <f t="shared" ca="1" si="6"/>
        <v>0</v>
      </c>
      <c r="T42" s="121">
        <f t="shared" ca="1" si="7"/>
        <v>0</v>
      </c>
      <c r="V42" s="65" t="s">
        <v>198</v>
      </c>
    </row>
    <row r="43" spans="1:23" x14ac:dyDescent="0.15">
      <c r="A43" s="65">
        <v>42</v>
      </c>
      <c r="B43" s="65" t="str">
        <f ca="1">OFFSET(Batting!$C$4,BatAves!$I43,0)</f>
        <v>Castle D</v>
      </c>
      <c r="C43" s="69">
        <f ca="1">OFFSET(Batting!$CF$4,BatAves!$I43,0)</f>
        <v>0</v>
      </c>
      <c r="D43" s="69">
        <f ca="1">OFFSET(Batting!$CH$4,BatAves!$I43,0)</f>
        <v>0</v>
      </c>
      <c r="E43" s="69">
        <f ca="1">OFFSET(Batting!$CI$4,BatAves!$I43,0)</f>
        <v>0</v>
      </c>
      <c r="F43" s="69">
        <f ca="1">OFFSET(Batting!$CK$4,BatAves!$I43,0)</f>
        <v>0</v>
      </c>
      <c r="G43" s="69">
        <f ca="1">OFFSET(Batting!$CL$4,BatAves!$I43,0)</f>
        <v>0</v>
      </c>
      <c r="H43" s="73">
        <f ca="1">OFFSET(Batting!$CM$4,BatAves!$I43,0)</f>
        <v>0</v>
      </c>
      <c r="I43" s="65">
        <f>MATCH(A43,Batting!$DG$5:$DG$46,0)</f>
        <v>5</v>
      </c>
      <c r="J43" s="65">
        <f t="shared" ca="1" si="10"/>
        <v>1042</v>
      </c>
      <c r="K43" s="65">
        <f t="shared" ca="1" si="8"/>
        <v>42</v>
      </c>
      <c r="L43" s="65" t="str">
        <f t="shared" ca="1" si="11"/>
        <v>Castle D 0-0-0-0</v>
      </c>
      <c r="M43" s="65">
        <f t="shared" ca="1" si="9"/>
        <v>42</v>
      </c>
      <c r="N43" s="120">
        <v>42</v>
      </c>
      <c r="O43" s="120" t="str">
        <f t="shared" ca="1" si="2"/>
        <v>Castle D</v>
      </c>
      <c r="P43" s="120">
        <f t="shared" ca="1" si="3"/>
        <v>0</v>
      </c>
      <c r="Q43" s="120">
        <f t="shared" ca="1" si="4"/>
        <v>0</v>
      </c>
      <c r="R43" s="120">
        <f t="shared" ca="1" si="5"/>
        <v>0</v>
      </c>
      <c r="S43" s="120">
        <f t="shared" ca="1" si="6"/>
        <v>0</v>
      </c>
      <c r="T43" s="121">
        <f t="shared" ca="1" si="7"/>
        <v>0</v>
      </c>
      <c r="V43" s="65" t="s">
        <v>198</v>
      </c>
    </row>
    <row r="44" spans="1:23" x14ac:dyDescent="0.15">
      <c r="A44" s="65">
        <v>43</v>
      </c>
      <c r="B44" s="65" t="e">
        <f ca="1">OFFSET(Batting!$C$4,BatAves!$I44,0)</f>
        <v>#N/A</v>
      </c>
      <c r="C44" s="69" t="e">
        <f ca="1">OFFSET(Batting!$CF$4,BatAves!$I44,0)</f>
        <v>#N/A</v>
      </c>
      <c r="D44" s="69" t="e">
        <f ca="1">OFFSET(Batting!$CH$4,BatAves!$I44,0)</f>
        <v>#N/A</v>
      </c>
      <c r="E44" s="69" t="e">
        <f ca="1">OFFSET(Batting!$CI$4,BatAves!$I44,0)</f>
        <v>#N/A</v>
      </c>
      <c r="F44" s="69" t="e">
        <f ca="1">OFFSET(Batting!$CK$4,BatAves!$I44,0)</f>
        <v>#N/A</v>
      </c>
      <c r="G44" s="69" t="e">
        <f ca="1">OFFSET(Batting!$CL$4,BatAves!$I44,0)</f>
        <v>#N/A</v>
      </c>
      <c r="H44" s="73" t="e">
        <f ca="1">OFFSET(Batting!$CM$4,BatAves!$I44,0)</f>
        <v>#N/A</v>
      </c>
      <c r="I44" s="65" t="e">
        <f>MATCH(A44,Batting!$DG$5:$DG$46,0)</f>
        <v>#N/A</v>
      </c>
      <c r="J44" s="65" t="e">
        <f t="shared" ca="1" si="10"/>
        <v>#N/A</v>
      </c>
      <c r="K44" s="65" t="e">
        <f t="shared" ca="1" si="8"/>
        <v>#N/A</v>
      </c>
      <c r="L44" s="65" t="e">
        <f t="shared" ca="1" si="11"/>
        <v>#N/A</v>
      </c>
      <c r="V44" s="65" t="s">
        <v>198</v>
      </c>
    </row>
    <row r="45" spans="1:23" x14ac:dyDescent="0.15">
      <c r="A45" s="65">
        <v>44</v>
      </c>
      <c r="B45" s="65" t="e">
        <f ca="1">OFFSET(Batting!$C$4,BatAves!$I45,0)</f>
        <v>#N/A</v>
      </c>
      <c r="C45" s="69" t="e">
        <f ca="1">OFFSET(Batting!$CF$4,BatAves!$I45,0)</f>
        <v>#N/A</v>
      </c>
      <c r="D45" s="69" t="e">
        <f ca="1">OFFSET(Batting!$CH$4,BatAves!$I45,0)</f>
        <v>#N/A</v>
      </c>
      <c r="E45" s="69" t="e">
        <f ca="1">OFFSET(Batting!$CI$4,BatAves!$I45,0)</f>
        <v>#N/A</v>
      </c>
      <c r="F45" s="69" t="e">
        <f ca="1">OFFSET(Batting!$CK$4,BatAves!$I45,0)</f>
        <v>#N/A</v>
      </c>
      <c r="G45" s="69" t="e">
        <f ca="1">OFFSET(Batting!$CL$4,BatAves!$I45,0)</f>
        <v>#N/A</v>
      </c>
      <c r="H45" s="73" t="e">
        <f ca="1">OFFSET(Batting!$CM$4,BatAves!$I45,0)</f>
        <v>#N/A</v>
      </c>
      <c r="I45" s="65" t="e">
        <f>MATCH(A45,Batting!$DG$5:$DG$46,0)</f>
        <v>#N/A</v>
      </c>
      <c r="J45" s="65" t="e">
        <f t="shared" ca="1" si="10"/>
        <v>#N/A</v>
      </c>
      <c r="K45" s="65" t="e">
        <f t="shared" ca="1" si="8"/>
        <v>#N/A</v>
      </c>
      <c r="L45" s="65" t="e">
        <f t="shared" ca="1" si="11"/>
        <v>#N/A</v>
      </c>
      <c r="V45" s="65" t="s">
        <v>198</v>
      </c>
    </row>
    <row r="46" spans="1:23" x14ac:dyDescent="0.15">
      <c r="A46" s="65">
        <v>45</v>
      </c>
      <c r="B46" s="65" t="e">
        <f ca="1">OFFSET(Batting!$C$4,BatAves!$I46,0)</f>
        <v>#N/A</v>
      </c>
      <c r="C46" s="69" t="e">
        <f ca="1">OFFSET(Batting!$CF$4,BatAves!$I46,0)</f>
        <v>#N/A</v>
      </c>
      <c r="D46" s="69" t="e">
        <f ca="1">OFFSET(Batting!$CH$4,BatAves!$I46,0)</f>
        <v>#N/A</v>
      </c>
      <c r="E46" s="69" t="e">
        <f ca="1">OFFSET(Batting!$CI$4,BatAves!$I46,0)</f>
        <v>#N/A</v>
      </c>
      <c r="F46" s="69" t="e">
        <f ca="1">OFFSET(Batting!$CK$4,BatAves!$I46,0)</f>
        <v>#N/A</v>
      </c>
      <c r="G46" s="69" t="e">
        <f ca="1">OFFSET(Batting!$CL$4,BatAves!$I46,0)</f>
        <v>#N/A</v>
      </c>
      <c r="H46" s="73" t="e">
        <f ca="1">OFFSET(Batting!$CM$4,BatAves!$I46,0)</f>
        <v>#N/A</v>
      </c>
      <c r="I46" s="65" t="e">
        <f>MATCH(A46,Batting!$DG$5:$DG$46,0)</f>
        <v>#N/A</v>
      </c>
      <c r="J46" s="65" t="e">
        <f t="shared" ca="1" si="10"/>
        <v>#N/A</v>
      </c>
      <c r="K46" s="65" t="e">
        <f t="shared" ca="1" si="8"/>
        <v>#N/A</v>
      </c>
      <c r="L46" s="65" t="e">
        <f t="shared" ca="1" si="11"/>
        <v>#N/A</v>
      </c>
      <c r="N46" s="120" t="s">
        <v>198</v>
      </c>
      <c r="V46" s="65" t="s">
        <v>198</v>
      </c>
    </row>
    <row r="47" spans="1:23" x14ac:dyDescent="0.15">
      <c r="A47" s="65">
        <v>46</v>
      </c>
      <c r="B47" s="65" t="e">
        <f ca="1">OFFSET(Batting!$C$4,BatAves!$I47,0)</f>
        <v>#N/A</v>
      </c>
      <c r="C47" s="69" t="e">
        <f ca="1">OFFSET(Batting!$CF$4,BatAves!$I47,0)</f>
        <v>#N/A</v>
      </c>
      <c r="D47" s="69" t="e">
        <f ca="1">OFFSET(Batting!$CH$4,BatAves!$I47,0)</f>
        <v>#N/A</v>
      </c>
      <c r="E47" s="69" t="e">
        <f ca="1">OFFSET(Batting!$CI$4,BatAves!$I47,0)</f>
        <v>#N/A</v>
      </c>
      <c r="F47" s="69" t="e">
        <f ca="1">OFFSET(Batting!$CK$4,BatAves!$I47,0)</f>
        <v>#N/A</v>
      </c>
      <c r="G47" s="69" t="e">
        <f ca="1">OFFSET(Batting!$CL$4,BatAves!$I47,0)</f>
        <v>#N/A</v>
      </c>
      <c r="H47" s="73" t="e">
        <f ca="1">OFFSET(Batting!$CM$4,BatAves!$I47,0)</f>
        <v>#N/A</v>
      </c>
      <c r="I47" s="65" t="e">
        <f>MATCH(A47,Batting!$DG$5:$DG$46,0)</f>
        <v>#N/A</v>
      </c>
      <c r="J47" s="65" t="e">
        <f t="shared" ca="1" si="10"/>
        <v>#N/A</v>
      </c>
      <c r="K47" s="65" t="e">
        <f t="shared" ca="1" si="8"/>
        <v>#N/A</v>
      </c>
      <c r="L47" s="65" t="e">
        <f t="shared" ca="1" si="11"/>
        <v>#N/A</v>
      </c>
      <c r="N47" s="120" t="s">
        <v>198</v>
      </c>
      <c r="V47" s="65" t="s">
        <v>198</v>
      </c>
    </row>
    <row r="48" spans="1:23" x14ac:dyDescent="0.15">
      <c r="A48" s="65">
        <v>47</v>
      </c>
      <c r="B48" s="65" t="e">
        <f ca="1">OFFSET(Batting!$C$4,BatAves!$I48,0)</f>
        <v>#N/A</v>
      </c>
      <c r="C48" s="69" t="e">
        <f ca="1">OFFSET(Batting!$CF$4,BatAves!$I48,0)</f>
        <v>#N/A</v>
      </c>
      <c r="D48" s="69" t="e">
        <f ca="1">OFFSET(Batting!$CH$4,BatAves!$I48,0)</f>
        <v>#N/A</v>
      </c>
      <c r="E48" s="69" t="e">
        <f ca="1">OFFSET(Batting!$CI$4,BatAves!$I48,0)</f>
        <v>#N/A</v>
      </c>
      <c r="F48" s="69" t="e">
        <f ca="1">OFFSET(Batting!$CK$4,BatAves!$I48,0)</f>
        <v>#N/A</v>
      </c>
      <c r="G48" s="69" t="e">
        <f ca="1">OFFSET(Batting!$CL$4,BatAves!$I48,0)</f>
        <v>#N/A</v>
      </c>
      <c r="H48" s="73" t="e">
        <f ca="1">OFFSET(Batting!$CM$4,BatAves!$I48,0)</f>
        <v>#N/A</v>
      </c>
      <c r="I48" s="65" t="e">
        <f>MATCH(A48,Batting!$DG$5:$DG$46,0)</f>
        <v>#N/A</v>
      </c>
      <c r="J48" s="65" t="e">
        <f t="shared" ca="1" si="10"/>
        <v>#N/A</v>
      </c>
      <c r="K48" s="65" t="e">
        <f t="shared" ca="1" si="8"/>
        <v>#N/A</v>
      </c>
      <c r="L48" s="65" t="e">
        <f t="shared" ca="1" si="11"/>
        <v>#N/A</v>
      </c>
      <c r="N48" s="120" t="s">
        <v>198</v>
      </c>
    </row>
    <row r="49" spans="1:15" x14ac:dyDescent="0.15">
      <c r="A49" s="65">
        <v>48</v>
      </c>
      <c r="B49" s="65" t="e">
        <f ca="1">OFFSET(Batting!$C$4,BatAves!$I49,0)</f>
        <v>#N/A</v>
      </c>
      <c r="C49" s="69" t="e">
        <f ca="1">OFFSET(Batting!$CF$4,BatAves!$I49,0)</f>
        <v>#N/A</v>
      </c>
      <c r="D49" s="69" t="e">
        <f ca="1">OFFSET(Batting!$CH$4,BatAves!$I49,0)</f>
        <v>#N/A</v>
      </c>
      <c r="E49" s="69" t="e">
        <f ca="1">OFFSET(Batting!$CI$4,BatAves!$I49,0)</f>
        <v>#N/A</v>
      </c>
      <c r="F49" s="69" t="e">
        <f ca="1">OFFSET(Batting!$CK$4,BatAves!$I49,0)</f>
        <v>#N/A</v>
      </c>
      <c r="G49" s="69" t="e">
        <f ca="1">OFFSET(Batting!$CL$4,BatAves!$I49,0)</f>
        <v>#N/A</v>
      </c>
      <c r="H49" s="73" t="e">
        <f ca="1">OFFSET(Batting!$CM$4,BatAves!$I49,0)</f>
        <v>#N/A</v>
      </c>
      <c r="I49" s="65" t="e">
        <f>MATCH(A49,Batting!$DG$5:$DG$46,0)</f>
        <v>#N/A</v>
      </c>
      <c r="J49" s="65" t="e">
        <f t="shared" ca="1" si="10"/>
        <v>#N/A</v>
      </c>
      <c r="K49" s="65" t="e">
        <f t="shared" ca="1" si="8"/>
        <v>#N/A</v>
      </c>
      <c r="L49" s="65" t="e">
        <f t="shared" ca="1" si="11"/>
        <v>#N/A</v>
      </c>
      <c r="N49" s="120" t="s">
        <v>198</v>
      </c>
      <c r="O49" s="122" t="s">
        <v>198</v>
      </c>
    </row>
    <row r="50" spans="1:15" x14ac:dyDescent="0.15">
      <c r="A50" s="65">
        <v>49</v>
      </c>
      <c r="B50" s="65" t="e">
        <f ca="1">OFFSET(Batting!$C$4,BatAves!$I50,0)</f>
        <v>#N/A</v>
      </c>
      <c r="C50" s="69" t="e">
        <f ca="1">OFFSET(Batting!$CF$4,BatAves!$I50,0)</f>
        <v>#N/A</v>
      </c>
      <c r="D50" s="69" t="e">
        <f ca="1">OFFSET(Batting!$CH$4,BatAves!$I50,0)</f>
        <v>#N/A</v>
      </c>
      <c r="E50" s="69" t="e">
        <f ca="1">OFFSET(Batting!$CI$4,BatAves!$I50,0)</f>
        <v>#N/A</v>
      </c>
      <c r="F50" s="69" t="e">
        <f ca="1">OFFSET(Batting!$CK$4,BatAves!$I50,0)</f>
        <v>#N/A</v>
      </c>
      <c r="G50" s="69" t="e">
        <f ca="1">OFFSET(Batting!$CL$4,BatAves!$I50,0)</f>
        <v>#N/A</v>
      </c>
      <c r="H50" s="73" t="e">
        <f ca="1">OFFSET(Batting!$CM$4,BatAves!$I50,0)</f>
        <v>#N/A</v>
      </c>
      <c r="I50" s="65" t="e">
        <f>MATCH(A50,Batting!$DG$5:$DG$46,0)</f>
        <v>#N/A</v>
      </c>
      <c r="J50" s="65" t="e">
        <f t="shared" ca="1" si="10"/>
        <v>#N/A</v>
      </c>
      <c r="K50" s="65" t="e">
        <f t="shared" ca="1" si="8"/>
        <v>#N/A</v>
      </c>
      <c r="L50" s="65" t="e">
        <f t="shared" ca="1" si="11"/>
        <v>#N/A</v>
      </c>
      <c r="N50" s="120" t="s">
        <v>198</v>
      </c>
      <c r="O50" s="122" t="s">
        <v>198</v>
      </c>
    </row>
    <row r="51" spans="1:15" x14ac:dyDescent="0.15">
      <c r="A51" s="65">
        <v>50</v>
      </c>
      <c r="B51" s="65" t="e">
        <f ca="1">OFFSET(Batting!$C$4,BatAves!$I51,0)</f>
        <v>#N/A</v>
      </c>
      <c r="C51" s="69" t="e">
        <f ca="1">OFFSET(Batting!$CF$4,BatAves!$I51,0)</f>
        <v>#N/A</v>
      </c>
      <c r="D51" s="69" t="e">
        <f ca="1">OFFSET(Batting!$CH$4,BatAves!$I51,0)</f>
        <v>#N/A</v>
      </c>
      <c r="E51" s="69" t="e">
        <f ca="1">OFFSET(Batting!$CI$4,BatAves!$I51,0)</f>
        <v>#N/A</v>
      </c>
      <c r="F51" s="69" t="e">
        <f ca="1">OFFSET(Batting!$CK$4,BatAves!$I51,0)</f>
        <v>#N/A</v>
      </c>
      <c r="G51" s="69" t="e">
        <f ca="1">OFFSET(Batting!$CL$4,BatAves!$I51,0)</f>
        <v>#N/A</v>
      </c>
      <c r="H51" s="73" t="e">
        <f ca="1">OFFSET(Batting!$CM$4,BatAves!$I51,0)</f>
        <v>#N/A</v>
      </c>
      <c r="I51" s="65" t="e">
        <f>MATCH(A51,Batting!$DG$5:$DG$46,0)</f>
        <v>#N/A</v>
      </c>
      <c r="J51" s="65" t="e">
        <f t="shared" ca="1" si="10"/>
        <v>#N/A</v>
      </c>
      <c r="K51" s="65" t="e">
        <f t="shared" ca="1" si="8"/>
        <v>#N/A</v>
      </c>
      <c r="L51" s="65" t="e">
        <f t="shared" ca="1" si="11"/>
        <v>#N/A</v>
      </c>
      <c r="N51" s="120" t="s">
        <v>198</v>
      </c>
      <c r="O51" s="122" t="s">
        <v>198</v>
      </c>
    </row>
    <row r="52" spans="1:15" x14ac:dyDescent="0.15">
      <c r="A52" s="65">
        <v>51</v>
      </c>
      <c r="B52" s="65" t="e">
        <f ca="1">OFFSET(Batting!$C$4,BatAves!$I52,0)</f>
        <v>#N/A</v>
      </c>
      <c r="C52" s="69" t="e">
        <f ca="1">OFFSET(Batting!$CF$4,BatAves!$I52,0)</f>
        <v>#N/A</v>
      </c>
      <c r="D52" s="69" t="e">
        <f ca="1">OFFSET(Batting!$CH$4,BatAves!$I52,0)</f>
        <v>#N/A</v>
      </c>
      <c r="E52" s="69" t="e">
        <f ca="1">OFFSET(Batting!$CI$4,BatAves!$I52,0)</f>
        <v>#N/A</v>
      </c>
      <c r="F52" s="69" t="e">
        <f ca="1">OFFSET(Batting!$CK$4,BatAves!$I52,0)</f>
        <v>#N/A</v>
      </c>
      <c r="G52" s="69" t="e">
        <f ca="1">OFFSET(Batting!$CL$4,BatAves!$I52,0)</f>
        <v>#N/A</v>
      </c>
      <c r="H52" s="73" t="e">
        <f ca="1">OFFSET(Batting!$CM$4,BatAves!$I52,0)</f>
        <v>#N/A</v>
      </c>
      <c r="I52" s="65" t="e">
        <f>MATCH(A52,Batting!$DG$5:$DG$46,0)</f>
        <v>#N/A</v>
      </c>
      <c r="J52" s="65" t="e">
        <f t="shared" ca="1" si="10"/>
        <v>#N/A</v>
      </c>
      <c r="K52" s="65" t="e">
        <f t="shared" ca="1" si="8"/>
        <v>#N/A</v>
      </c>
      <c r="L52" s="65" t="e">
        <f t="shared" ca="1" si="11"/>
        <v>#N/A</v>
      </c>
      <c r="N52" s="120" t="s">
        <v>198</v>
      </c>
      <c r="O52" s="122" t="s">
        <v>198</v>
      </c>
    </row>
    <row r="53" spans="1:15" x14ac:dyDescent="0.15">
      <c r="A53" s="65">
        <v>52</v>
      </c>
      <c r="B53" s="65" t="e">
        <f ca="1">OFFSET(Batting!$C$4,BatAves!$I53,0)</f>
        <v>#N/A</v>
      </c>
      <c r="C53" s="69" t="e">
        <f ca="1">OFFSET(Batting!$CF$4,BatAves!$I53,0)</f>
        <v>#N/A</v>
      </c>
      <c r="D53" s="69" t="e">
        <f ca="1">OFFSET(Batting!$CH$4,BatAves!$I53,0)</f>
        <v>#N/A</v>
      </c>
      <c r="E53" s="69" t="e">
        <f ca="1">OFFSET(Batting!$CI$4,BatAves!$I53,0)</f>
        <v>#N/A</v>
      </c>
      <c r="F53" s="69" t="e">
        <f ca="1">OFFSET(Batting!$CK$4,BatAves!$I53,0)</f>
        <v>#N/A</v>
      </c>
      <c r="G53" s="69" t="e">
        <f ca="1">OFFSET(Batting!$CL$4,BatAves!$I53,0)</f>
        <v>#N/A</v>
      </c>
      <c r="H53" s="73" t="e">
        <f ca="1">OFFSET(Batting!$CM$4,BatAves!$I53,0)</f>
        <v>#N/A</v>
      </c>
      <c r="I53" s="65" t="e">
        <f>MATCH(A53,Batting!$DG$5:$DG$46,0)</f>
        <v>#N/A</v>
      </c>
      <c r="J53" s="65" t="e">
        <f t="shared" ca="1" si="10"/>
        <v>#N/A</v>
      </c>
      <c r="K53" s="65" t="e">
        <f t="shared" ca="1" si="8"/>
        <v>#N/A</v>
      </c>
      <c r="L53" s="65" t="e">
        <f t="shared" ca="1" si="11"/>
        <v>#N/A</v>
      </c>
      <c r="N53" s="120" t="s">
        <v>198</v>
      </c>
      <c r="O53" s="122" t="s">
        <v>198</v>
      </c>
    </row>
    <row r="54" spans="1:15" x14ac:dyDescent="0.15">
      <c r="A54" s="65">
        <v>53</v>
      </c>
      <c r="B54" s="65" t="e">
        <f ca="1">OFFSET(Batting!$C$4,BatAves!$I54,0)</f>
        <v>#N/A</v>
      </c>
      <c r="C54" s="69" t="e">
        <f ca="1">OFFSET(Batting!$CF$4,BatAves!$I54,0)</f>
        <v>#N/A</v>
      </c>
      <c r="D54" s="69" t="e">
        <f ca="1">OFFSET(Batting!$CH$4,BatAves!$I54,0)</f>
        <v>#N/A</v>
      </c>
      <c r="E54" s="69" t="e">
        <f ca="1">OFFSET(Batting!$CI$4,BatAves!$I54,0)</f>
        <v>#N/A</v>
      </c>
      <c r="F54" s="69" t="e">
        <f ca="1">OFFSET(Batting!$CK$4,BatAves!$I54,0)</f>
        <v>#N/A</v>
      </c>
      <c r="G54" s="69" t="e">
        <f ca="1">OFFSET(Batting!$CL$4,BatAves!$I54,0)</f>
        <v>#N/A</v>
      </c>
      <c r="H54" s="73" t="e">
        <f ca="1">OFFSET(Batting!$CM$4,BatAves!$I54,0)</f>
        <v>#N/A</v>
      </c>
      <c r="I54" s="65" t="e">
        <f>MATCH(A54,Batting!$DG$5:$DG$46,0)</f>
        <v>#N/A</v>
      </c>
      <c r="J54" s="65" t="e">
        <f t="shared" ca="1" si="10"/>
        <v>#N/A</v>
      </c>
      <c r="K54" s="65" t="e">
        <f t="shared" ca="1" si="8"/>
        <v>#N/A</v>
      </c>
      <c r="L54" s="65" t="e">
        <f t="shared" ca="1" si="11"/>
        <v>#N/A</v>
      </c>
      <c r="N54" s="120" t="s">
        <v>198</v>
      </c>
      <c r="O54" s="122" t="s">
        <v>198</v>
      </c>
    </row>
    <row r="55" spans="1:15" x14ac:dyDescent="0.15">
      <c r="A55" s="65">
        <v>54</v>
      </c>
      <c r="B55" s="65" t="e">
        <f ca="1">OFFSET(Batting!$C$4,BatAves!$I55,0)</f>
        <v>#N/A</v>
      </c>
      <c r="C55" s="69" t="e">
        <f ca="1">OFFSET(Batting!$CF$4,BatAves!$I55,0)</f>
        <v>#N/A</v>
      </c>
      <c r="D55" s="69" t="e">
        <f ca="1">OFFSET(Batting!$CH$4,BatAves!$I55,0)</f>
        <v>#N/A</v>
      </c>
      <c r="E55" s="69" t="e">
        <f ca="1">OFFSET(Batting!$CI$4,BatAves!$I55,0)</f>
        <v>#N/A</v>
      </c>
      <c r="F55" s="69" t="e">
        <f ca="1">OFFSET(Batting!$CK$4,BatAves!$I55,0)</f>
        <v>#N/A</v>
      </c>
      <c r="G55" s="69" t="e">
        <f ca="1">OFFSET(Batting!$CL$4,BatAves!$I55,0)</f>
        <v>#N/A</v>
      </c>
      <c r="H55" s="73" t="e">
        <f ca="1">OFFSET(Batting!$CM$4,BatAves!$I55,0)</f>
        <v>#N/A</v>
      </c>
      <c r="I55" s="65" t="e">
        <f>MATCH(A55,Batting!$DG$5:$DG$46,0)</f>
        <v>#N/A</v>
      </c>
      <c r="J55" s="65" t="e">
        <f t="shared" ca="1" si="10"/>
        <v>#N/A</v>
      </c>
      <c r="K55" s="65" t="e">
        <f t="shared" ca="1" si="8"/>
        <v>#N/A</v>
      </c>
      <c r="L55" s="65" t="e">
        <f t="shared" ca="1" si="11"/>
        <v>#N/A</v>
      </c>
      <c r="N55" s="120" t="s">
        <v>198</v>
      </c>
      <c r="O55" s="122" t="s">
        <v>198</v>
      </c>
    </row>
    <row r="56" spans="1:15" x14ac:dyDescent="0.15">
      <c r="A56" s="65">
        <v>55</v>
      </c>
      <c r="B56" s="65" t="e">
        <f ca="1">OFFSET(Batting!$C$4,BatAves!$I56,0)</f>
        <v>#N/A</v>
      </c>
      <c r="C56" s="69" t="e">
        <f ca="1">OFFSET(Batting!$CF$4,BatAves!$I56,0)</f>
        <v>#N/A</v>
      </c>
      <c r="D56" s="69" t="e">
        <f ca="1">OFFSET(Batting!$CH$4,BatAves!$I56,0)</f>
        <v>#N/A</v>
      </c>
      <c r="E56" s="69" t="e">
        <f ca="1">OFFSET(Batting!$CI$4,BatAves!$I56,0)</f>
        <v>#N/A</v>
      </c>
      <c r="F56" s="69" t="e">
        <f ca="1">OFFSET(Batting!$CK$4,BatAves!$I56,0)</f>
        <v>#N/A</v>
      </c>
      <c r="G56" s="69" t="e">
        <f ca="1">OFFSET(Batting!$CL$4,BatAves!$I56,0)</f>
        <v>#N/A</v>
      </c>
      <c r="H56" s="73" t="e">
        <f ca="1">OFFSET(Batting!$CM$4,BatAves!$I56,0)</f>
        <v>#N/A</v>
      </c>
      <c r="I56" s="65" t="e">
        <f>MATCH(A56,Batting!$DG$5:$DG$46,0)</f>
        <v>#N/A</v>
      </c>
      <c r="J56" s="65" t="e">
        <f t="shared" ca="1" si="10"/>
        <v>#N/A</v>
      </c>
      <c r="K56" s="65" t="e">
        <f t="shared" ca="1" si="8"/>
        <v>#N/A</v>
      </c>
      <c r="L56" s="65" t="e">
        <f t="shared" ca="1" si="11"/>
        <v>#N/A</v>
      </c>
      <c r="N56" s="120" t="s">
        <v>198</v>
      </c>
      <c r="O56" s="122" t="s">
        <v>198</v>
      </c>
    </row>
    <row r="57" spans="1:15" x14ac:dyDescent="0.15">
      <c r="A57" s="65">
        <v>56</v>
      </c>
      <c r="B57" s="65" t="e">
        <f ca="1">OFFSET(Batting!$C$4,BatAves!$I57,0)</f>
        <v>#N/A</v>
      </c>
      <c r="C57" s="69" t="e">
        <f ca="1">OFFSET(Batting!$CF$4,BatAves!$I57,0)</f>
        <v>#N/A</v>
      </c>
      <c r="D57" s="69" t="e">
        <f ca="1">OFFSET(Batting!$CH$4,BatAves!$I57,0)</f>
        <v>#N/A</v>
      </c>
      <c r="E57" s="69" t="e">
        <f ca="1">OFFSET(Batting!$CI$4,BatAves!$I57,0)</f>
        <v>#N/A</v>
      </c>
      <c r="F57" s="69" t="e">
        <f ca="1">OFFSET(Batting!$CK$4,BatAves!$I57,0)</f>
        <v>#N/A</v>
      </c>
      <c r="G57" s="69" t="e">
        <f ca="1">OFFSET(Batting!$CL$4,BatAves!$I57,0)</f>
        <v>#N/A</v>
      </c>
      <c r="H57" s="73" t="e">
        <f ca="1">OFFSET(Batting!$CM$4,BatAves!$I57,0)</f>
        <v>#N/A</v>
      </c>
      <c r="I57" s="65" t="e">
        <f>MATCH(A57,Batting!$DG$5:$DG$46,0)</f>
        <v>#N/A</v>
      </c>
      <c r="J57" s="65" t="e">
        <f t="shared" ca="1" si="10"/>
        <v>#N/A</v>
      </c>
      <c r="K57" s="65" t="e">
        <f t="shared" ca="1" si="8"/>
        <v>#N/A</v>
      </c>
      <c r="L57" s="65" t="e">
        <f t="shared" ca="1" si="11"/>
        <v>#N/A</v>
      </c>
      <c r="O57" s="122" t="s">
        <v>198</v>
      </c>
    </row>
    <row r="58" spans="1:15" x14ac:dyDescent="0.15">
      <c r="A58" s="65">
        <v>57</v>
      </c>
      <c r="B58" s="65" t="e">
        <f ca="1">OFFSET(Batting!$C$4,BatAves!$I58,0)</f>
        <v>#N/A</v>
      </c>
      <c r="C58" s="69" t="e">
        <f ca="1">OFFSET(Batting!$CF$4,BatAves!$I58,0)</f>
        <v>#N/A</v>
      </c>
      <c r="D58" s="69" t="e">
        <f ca="1">OFFSET(Batting!$CH$4,BatAves!$I58,0)</f>
        <v>#N/A</v>
      </c>
      <c r="E58" s="69" t="e">
        <f ca="1">OFFSET(Batting!$CI$4,BatAves!$I58,0)</f>
        <v>#N/A</v>
      </c>
      <c r="F58" s="69" t="e">
        <f ca="1">OFFSET(Batting!$CK$4,BatAves!$I58,0)</f>
        <v>#N/A</v>
      </c>
      <c r="G58" s="69" t="e">
        <f ca="1">OFFSET(Batting!$CL$4,BatAves!$I58,0)</f>
        <v>#N/A</v>
      </c>
      <c r="H58" s="73" t="e">
        <f ca="1">OFFSET(Batting!$CM$4,BatAves!$I58,0)</f>
        <v>#N/A</v>
      </c>
      <c r="I58" s="65" t="e">
        <f>MATCH(A58,Batting!$DG$5:$DG$46,0)</f>
        <v>#N/A</v>
      </c>
      <c r="J58" s="65" t="e">
        <f t="shared" ca="1" si="10"/>
        <v>#N/A</v>
      </c>
      <c r="K58" s="65" t="e">
        <f t="shared" ca="1" si="8"/>
        <v>#N/A</v>
      </c>
      <c r="L58" s="65" t="e">
        <f t="shared" ca="1" si="11"/>
        <v>#N/A</v>
      </c>
      <c r="O58" s="122" t="s">
        <v>198</v>
      </c>
    </row>
    <row r="59" spans="1:15" x14ac:dyDescent="0.15">
      <c r="A59" s="65">
        <v>58</v>
      </c>
      <c r="B59" s="65" t="e">
        <f ca="1">OFFSET(Batting!$C$4,BatAves!$I59,0)</f>
        <v>#N/A</v>
      </c>
      <c r="C59" s="69" t="e">
        <f ca="1">OFFSET(Batting!$CF$4,BatAves!$I59,0)</f>
        <v>#N/A</v>
      </c>
      <c r="D59" s="69" t="e">
        <f ca="1">OFFSET(Batting!$CH$4,BatAves!$I59,0)</f>
        <v>#N/A</v>
      </c>
      <c r="E59" s="69" t="e">
        <f ca="1">OFFSET(Batting!$CI$4,BatAves!$I59,0)</f>
        <v>#N/A</v>
      </c>
      <c r="F59" s="69" t="e">
        <f ca="1">OFFSET(Batting!$CK$4,BatAves!$I59,0)</f>
        <v>#N/A</v>
      </c>
      <c r="G59" s="69" t="e">
        <f ca="1">OFFSET(Batting!$CL$4,BatAves!$I59,0)</f>
        <v>#N/A</v>
      </c>
      <c r="H59" s="73" t="e">
        <f ca="1">OFFSET(Batting!$CM$4,BatAves!$I59,0)</f>
        <v>#N/A</v>
      </c>
      <c r="I59" s="65" t="e">
        <f>MATCH(A59,Batting!$DG$5:$DG$46,0)</f>
        <v>#N/A</v>
      </c>
      <c r="J59" s="65" t="e">
        <f t="shared" ca="1" si="10"/>
        <v>#N/A</v>
      </c>
      <c r="K59" s="65" t="e">
        <f t="shared" ca="1" si="8"/>
        <v>#N/A</v>
      </c>
      <c r="L59" s="65" t="e">
        <f t="shared" ca="1" si="11"/>
        <v>#N/A</v>
      </c>
      <c r="O59" s="122" t="s">
        <v>198</v>
      </c>
    </row>
    <row r="60" spans="1:15" x14ac:dyDescent="0.15">
      <c r="A60" s="65">
        <v>59</v>
      </c>
      <c r="B60" s="65" t="e">
        <f ca="1">OFFSET(Batting!$C$4,BatAves!$I60,0)</f>
        <v>#N/A</v>
      </c>
      <c r="C60" s="69" t="e">
        <f ca="1">OFFSET(Batting!$CF$4,BatAves!$I60,0)</f>
        <v>#N/A</v>
      </c>
      <c r="D60" s="69" t="e">
        <f ca="1">OFFSET(Batting!$CH$4,BatAves!$I60,0)</f>
        <v>#N/A</v>
      </c>
      <c r="E60" s="69" t="e">
        <f ca="1">OFFSET(Batting!$CI$4,BatAves!$I60,0)</f>
        <v>#N/A</v>
      </c>
      <c r="F60" s="69" t="e">
        <f ca="1">OFFSET(Batting!$CK$4,BatAves!$I60,0)</f>
        <v>#N/A</v>
      </c>
      <c r="G60" s="69" t="e">
        <f ca="1">OFFSET(Batting!$CL$4,BatAves!$I60,0)</f>
        <v>#N/A</v>
      </c>
      <c r="H60" s="73" t="e">
        <f ca="1">OFFSET(Batting!$CM$4,BatAves!$I60,0)</f>
        <v>#N/A</v>
      </c>
      <c r="I60" s="65" t="e">
        <f>MATCH(A60,Batting!$DG$5:$DG$46,0)</f>
        <v>#N/A</v>
      </c>
      <c r="J60" s="65" t="e">
        <f t="shared" ca="1" si="10"/>
        <v>#N/A</v>
      </c>
      <c r="K60" s="65" t="e">
        <f t="shared" ca="1" si="8"/>
        <v>#N/A</v>
      </c>
      <c r="L60" s="65" t="e">
        <f t="shared" ca="1" si="11"/>
        <v>#N/A</v>
      </c>
      <c r="O60" s="122" t="s">
        <v>198</v>
      </c>
    </row>
    <row r="61" spans="1:15" x14ac:dyDescent="0.15">
      <c r="O61" s="122" t="s">
        <v>198</v>
      </c>
    </row>
    <row r="62" spans="1:15" x14ac:dyDescent="0.15">
      <c r="O62" s="122" t="s">
        <v>631</v>
      </c>
    </row>
    <row r="63" spans="1:15" x14ac:dyDescent="0.15">
      <c r="O63" s="122" t="s">
        <v>619</v>
      </c>
    </row>
    <row r="64" spans="1:15" x14ac:dyDescent="0.15">
      <c r="O64" s="122" t="s">
        <v>617</v>
      </c>
    </row>
    <row r="65" spans="12:15" x14ac:dyDescent="0.15">
      <c r="O65" s="122" t="s">
        <v>620</v>
      </c>
    </row>
    <row r="66" spans="12:15" x14ac:dyDescent="0.15">
      <c r="L66" s="65" t="s">
        <v>198</v>
      </c>
      <c r="O66" s="122" t="s">
        <v>618</v>
      </c>
    </row>
    <row r="67" spans="12:15" x14ac:dyDescent="0.15">
      <c r="L67" s="65" t="s">
        <v>198</v>
      </c>
      <c r="O67" s="122" t="s">
        <v>616</v>
      </c>
    </row>
    <row r="68" spans="12:15" x14ac:dyDescent="0.15">
      <c r="L68" s="65" t="s">
        <v>198</v>
      </c>
      <c r="O68" s="122" t="s">
        <v>635</v>
      </c>
    </row>
    <row r="69" spans="12:15" x14ac:dyDescent="0.15">
      <c r="L69" s="65" t="s">
        <v>198</v>
      </c>
      <c r="O69" s="122" t="s">
        <v>632</v>
      </c>
    </row>
    <row r="70" spans="12:15" x14ac:dyDescent="0.15">
      <c r="L70" s="65" t="s">
        <v>198</v>
      </c>
      <c r="O70" s="122" t="s">
        <v>634</v>
      </c>
    </row>
    <row r="71" spans="12:15" x14ac:dyDescent="0.15">
      <c r="L71" s="65" t="s">
        <v>198</v>
      </c>
      <c r="O71" s="122" t="s">
        <v>629</v>
      </c>
    </row>
    <row r="72" spans="12:15" x14ac:dyDescent="0.15">
      <c r="L72" s="65" t="s">
        <v>198</v>
      </c>
      <c r="O72" s="122" t="s">
        <v>625</v>
      </c>
    </row>
    <row r="73" spans="12:15" x14ac:dyDescent="0.15">
      <c r="L73" s="65" t="s">
        <v>198</v>
      </c>
      <c r="O73" s="122" t="s">
        <v>630</v>
      </c>
    </row>
    <row r="74" spans="12:15" x14ac:dyDescent="0.15">
      <c r="L74" s="65" t="s">
        <v>198</v>
      </c>
      <c r="O74" s="122" t="s">
        <v>633</v>
      </c>
    </row>
    <row r="75" spans="12:15" x14ac:dyDescent="0.15">
      <c r="L75" s="65" t="s">
        <v>198</v>
      </c>
      <c r="O75" s="122" t="s">
        <v>621</v>
      </c>
    </row>
    <row r="76" spans="12:15" x14ac:dyDescent="0.15">
      <c r="L76" s="65" t="s">
        <v>198</v>
      </c>
      <c r="O76" s="122" t="s">
        <v>622</v>
      </c>
    </row>
    <row r="77" spans="12:15" x14ac:dyDescent="0.15">
      <c r="L77" s="65" t="s">
        <v>198</v>
      </c>
      <c r="O77" s="122" t="s">
        <v>624</v>
      </c>
    </row>
    <row r="78" spans="12:15" x14ac:dyDescent="0.15">
      <c r="L78" s="65" t="s">
        <v>198</v>
      </c>
      <c r="O78" s="122" t="s">
        <v>615</v>
      </c>
    </row>
    <row r="79" spans="12:15" x14ac:dyDescent="0.15">
      <c r="L79" s="65" t="s">
        <v>198</v>
      </c>
      <c r="O79" s="122" t="s">
        <v>628</v>
      </c>
    </row>
    <row r="80" spans="12:15" x14ac:dyDescent="0.15">
      <c r="L80" s="65" t="s">
        <v>198</v>
      </c>
      <c r="O80" s="122" t="s">
        <v>627</v>
      </c>
    </row>
    <row r="81" spans="12:15" x14ac:dyDescent="0.15">
      <c r="L81" s="65" t="s">
        <v>198</v>
      </c>
      <c r="O81" s="122" t="s">
        <v>626</v>
      </c>
    </row>
    <row r="82" spans="12:15" x14ac:dyDescent="0.15">
      <c r="L82" s="65" t="s">
        <v>198</v>
      </c>
      <c r="O82" s="122" t="s">
        <v>623</v>
      </c>
    </row>
    <row r="83" spans="12:15" x14ac:dyDescent="0.15">
      <c r="O83" s="122" t="s">
        <v>198</v>
      </c>
    </row>
    <row r="84" spans="12:15" x14ac:dyDescent="0.15">
      <c r="O84" s="122" t="s">
        <v>198</v>
      </c>
    </row>
    <row r="85" spans="12:15" x14ac:dyDescent="0.15">
      <c r="O85" s="122" t="s">
        <v>198</v>
      </c>
    </row>
  </sheetData>
  <sortState ref="O51:O82">
    <sortCondition ref="O51:O82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90"/>
  <sheetViews>
    <sheetView workbookViewId="0"/>
  </sheetViews>
  <sheetFormatPr defaultRowHeight="10.5" x14ac:dyDescent="0.15"/>
  <cols>
    <col min="1" max="1" width="4.42578125" style="118" customWidth="1"/>
    <col min="2" max="2" width="3" style="118" hidden="1" customWidth="1"/>
    <col min="3" max="3" width="12.5703125" style="118" bestFit="1" customWidth="1"/>
    <col min="4" max="4" width="5.85546875" style="145" bestFit="1" customWidth="1"/>
    <col min="5" max="5" width="5.140625" style="146" bestFit="1" customWidth="1"/>
    <col min="6" max="6" width="5" style="146" bestFit="1" customWidth="1"/>
    <col min="7" max="7" width="7.28515625" style="146" bestFit="1" customWidth="1"/>
    <col min="8" max="8" width="7.28515625" style="73" bestFit="1" customWidth="1"/>
    <col min="9" max="9" width="6.5703125" style="150" bestFit="1" customWidth="1"/>
    <col min="10" max="10" width="5.5703125" style="150" bestFit="1" customWidth="1"/>
    <col min="11" max="11" width="4.7109375" style="146" bestFit="1" customWidth="1"/>
    <col min="12" max="12" width="5.28515625" style="146" bestFit="1" customWidth="1"/>
    <col min="13" max="13" width="5.85546875" style="146" bestFit="1" customWidth="1"/>
    <col min="14" max="14" width="23.5703125" style="118" bestFit="1" customWidth="1"/>
    <col min="15" max="15" width="9.85546875" style="118" bestFit="1" customWidth="1"/>
    <col min="16" max="16" width="9.140625" style="118"/>
    <col min="17" max="17" width="10.85546875" style="118" bestFit="1" customWidth="1"/>
    <col min="18" max="18" width="13.140625" style="118" bestFit="1" customWidth="1"/>
    <col min="19" max="19" width="9.140625" style="149"/>
    <col min="20" max="21" width="9.140625" style="118"/>
    <col min="22" max="22" width="9.140625" style="57"/>
    <col min="23" max="16384" width="9.140625" style="118"/>
  </cols>
  <sheetData>
    <row r="1" spans="1:28" x14ac:dyDescent="0.15">
      <c r="A1" s="57" t="s">
        <v>133</v>
      </c>
      <c r="D1" s="145" t="s">
        <v>30</v>
      </c>
      <c r="E1" s="146" t="s">
        <v>31</v>
      </c>
      <c r="F1" s="146" t="s">
        <v>9</v>
      </c>
      <c r="G1" s="146" t="s">
        <v>135</v>
      </c>
      <c r="H1" s="72" t="s">
        <v>33</v>
      </c>
      <c r="I1" s="147" t="s">
        <v>34</v>
      </c>
      <c r="J1" s="147" t="s">
        <v>35</v>
      </c>
      <c r="K1" s="148" t="s">
        <v>90</v>
      </c>
      <c r="L1" s="148"/>
      <c r="M1" s="148"/>
      <c r="O1" s="118" t="s">
        <v>196</v>
      </c>
      <c r="P1" s="118">
        <f t="array" aca="1" ref="P1" ca="1">SUM(IF(NOT(ISNA(C2:C51)),1,0))</f>
        <v>33</v>
      </c>
      <c r="Q1" s="118" t="s">
        <v>197</v>
      </c>
      <c r="R1" s="118">
        <f t="array" aca="1" ref="R1" ca="1">SUM(IF(OFFSET(G2,0,0,P1,1)&gt;=10,1,0))</f>
        <v>6</v>
      </c>
    </row>
    <row r="2" spans="1:28" x14ac:dyDescent="0.15">
      <c r="A2" s="118">
        <v>1</v>
      </c>
      <c r="B2" s="118">
        <f>MATCH(A2,Bowling!$CP$5:$CP$37,0)</f>
        <v>16</v>
      </c>
      <c r="C2" s="118" t="str">
        <f ca="1">OFFSET(Bowling!$B$4,BowlAves!B2,0)</f>
        <v>Mander A</v>
      </c>
      <c r="D2" s="145">
        <f t="array" aca="1" ref="D2:K2" ca="1">OFFSET(Bowling!$CG$4,BowlAves!B2,0,1,8)</f>
        <v>44</v>
      </c>
      <c r="E2" s="146">
        <f ca="1"/>
        <v>9</v>
      </c>
      <c r="F2" s="146">
        <f ca="1"/>
        <v>112</v>
      </c>
      <c r="G2" s="146">
        <f ca="1"/>
        <v>14</v>
      </c>
      <c r="H2" s="73">
        <f ca="1"/>
        <v>8</v>
      </c>
      <c r="I2" s="150">
        <f ca="1"/>
        <v>18.857142857142858</v>
      </c>
      <c r="J2" s="150">
        <f ca="1"/>
        <v>2.5454545454545454</v>
      </c>
      <c r="K2" s="151" t="str">
        <f ca="1"/>
        <v>4-13</v>
      </c>
      <c r="L2" s="151">
        <f ca="1">IF(G2&gt;=10,A2,1000+A2)</f>
        <v>1</v>
      </c>
      <c r="M2" s="151">
        <f ca="1">RANK(L2,OFFSET($L$2,0,0,$P$1,1),-1)</f>
        <v>1</v>
      </c>
      <c r="N2" s="118" t="str">
        <f ca="1">IF(G2&gt;=10,"",C2&amp;" "&amp;D2&amp;"-"&amp;E2&amp;"-"&amp;F2&amp;"-"&amp;G2)</f>
        <v/>
      </c>
      <c r="Q2" s="152" t="s">
        <v>76</v>
      </c>
      <c r="R2" s="153" t="s">
        <v>30</v>
      </c>
      <c r="S2" s="154" t="s">
        <v>31</v>
      </c>
      <c r="T2" s="153" t="s">
        <v>9</v>
      </c>
      <c r="U2" s="153" t="s">
        <v>135</v>
      </c>
      <c r="V2" s="153" t="s">
        <v>33</v>
      </c>
      <c r="W2" s="153" t="s">
        <v>34</v>
      </c>
      <c r="X2" s="153" t="s">
        <v>35</v>
      </c>
      <c r="Y2" s="153" t="s">
        <v>90</v>
      </c>
      <c r="Z2" s="153" t="s">
        <v>223</v>
      </c>
    </row>
    <row r="3" spans="1:28" ht="11.25" x14ac:dyDescent="0.2">
      <c r="A3" s="118">
        <v>2</v>
      </c>
      <c r="B3" s="118">
        <f>MATCH(A3,Bowling!$CP$5:$CP$37,0)</f>
        <v>6</v>
      </c>
      <c r="C3" s="118" t="str">
        <f ca="1">OFFSET(Bowling!$B$4,BowlAves!B3,0)</f>
        <v>Clarkson M</v>
      </c>
      <c r="D3" s="145">
        <f t="array" aca="1" ref="D3:K3" ca="1">OFFSET(Bowling!$CG$4,BowlAves!B3,0,1,8)</f>
        <v>47.2</v>
      </c>
      <c r="E3" s="146">
        <f ca="1"/>
        <v>3</v>
      </c>
      <c r="F3" s="146">
        <f ca="1"/>
        <v>213</v>
      </c>
      <c r="G3" s="146">
        <f ca="1"/>
        <v>18</v>
      </c>
      <c r="H3" s="73">
        <f ca="1"/>
        <v>11.83</v>
      </c>
      <c r="I3" s="150">
        <f ca="1"/>
        <v>15.777777777777779</v>
      </c>
      <c r="J3" s="150">
        <f ca="1"/>
        <v>4.5</v>
      </c>
      <c r="K3" s="151" t="str">
        <f ca="1"/>
        <v>4-29</v>
      </c>
      <c r="L3" s="151">
        <f t="shared" ref="L3:L51" ca="1" si="0">IF(G3&gt;=10,A3,1000+A3)</f>
        <v>2</v>
      </c>
      <c r="M3" s="151">
        <f t="shared" ref="M3:M51" ca="1" si="1">RANK(L3,OFFSET($L$2,0,0,$P$1,1),-1)</f>
        <v>2</v>
      </c>
      <c r="N3" s="118" t="str">
        <f t="shared" ref="N3:N51" ca="1" si="2">IF(G3&gt;=10,"",C3&amp;" "&amp;D3&amp;"-"&amp;E3&amp;"-"&amp;F3&amp;"-"&amp;G3)</f>
        <v/>
      </c>
      <c r="P3" s="155">
        <v>1</v>
      </c>
      <c r="Q3" s="156" t="str">
        <f t="array" aca="1" ref="Q3:Y3" ca="1">OFFSET($C$2,MATCH(P3,$M$2:$M$51,0)-1,0,1,9)</f>
        <v>Mander A</v>
      </c>
      <c r="R3" s="157">
        <f ca="1"/>
        <v>44</v>
      </c>
      <c r="S3" s="158">
        <f ca="1"/>
        <v>9</v>
      </c>
      <c r="T3" s="157">
        <f ca="1"/>
        <v>112</v>
      </c>
      <c r="U3" s="157">
        <f ca="1"/>
        <v>14</v>
      </c>
      <c r="V3" s="159">
        <f ca="1"/>
        <v>8</v>
      </c>
      <c r="W3" s="160">
        <f ca="1"/>
        <v>18.857142857142858</v>
      </c>
      <c r="X3" s="160">
        <f ca="1"/>
        <v>2.5454545454545454</v>
      </c>
      <c r="Y3" s="160" t="str">
        <f ca="1"/>
        <v>4-13</v>
      </c>
      <c r="Z3" s="172">
        <f ca="1">S3/R3</f>
        <v>0.20454545454545456</v>
      </c>
      <c r="AA3" s="172">
        <f ca="1">IF(R3&gt;=20,Z3,"")</f>
        <v>0.20454545454545456</v>
      </c>
      <c r="AB3" s="118" t="s">
        <v>198</v>
      </c>
    </row>
    <row r="4" spans="1:28" ht="11.25" x14ac:dyDescent="0.2">
      <c r="A4" s="118">
        <v>3</v>
      </c>
      <c r="B4" s="118">
        <f>MATCH(A4,Bowling!$CP$5:$CP$37,0)</f>
        <v>2</v>
      </c>
      <c r="C4" s="118" t="str">
        <f ca="1">OFFSET(Bowling!$B$4,BowlAves!B4,0)</f>
        <v>Bhatt P</v>
      </c>
      <c r="D4" s="145">
        <f t="array" aca="1" ref="D4:K4" ca="1">OFFSET(Bowling!$CG$4,BowlAves!B4,0,1,8)</f>
        <v>94</v>
      </c>
      <c r="E4" s="146">
        <f ca="1"/>
        <v>15</v>
      </c>
      <c r="F4" s="146">
        <f ca="1"/>
        <v>304</v>
      </c>
      <c r="G4" s="146">
        <f ca="1"/>
        <v>23</v>
      </c>
      <c r="H4" s="73">
        <f ca="1"/>
        <v>13.22</v>
      </c>
      <c r="I4" s="150">
        <f ca="1"/>
        <v>24.521739130434781</v>
      </c>
      <c r="J4" s="150">
        <f ca="1"/>
        <v>3.2340425531914891</v>
      </c>
      <c r="K4" s="151" t="str">
        <f ca="1"/>
        <v>5-29</v>
      </c>
      <c r="L4" s="151">
        <f t="shared" ca="1" si="0"/>
        <v>3</v>
      </c>
      <c r="M4" s="151">
        <f t="shared" ca="1" si="1"/>
        <v>3</v>
      </c>
      <c r="N4" s="118" t="str">
        <f t="shared" ca="1" si="2"/>
        <v/>
      </c>
      <c r="P4" s="155">
        <v>2</v>
      </c>
      <c r="Q4" s="156" t="str">
        <f t="array" aca="1" ref="Q4:Y4" ca="1">OFFSET($C$2,MATCH(P4,$M$2:$M$51,0)-1,0,1,9)</f>
        <v>Clarkson M</v>
      </c>
      <c r="R4" s="157">
        <f ca="1"/>
        <v>47.2</v>
      </c>
      <c r="S4" s="158">
        <f ca="1"/>
        <v>3</v>
      </c>
      <c r="T4" s="157">
        <f ca="1"/>
        <v>213</v>
      </c>
      <c r="U4" s="157">
        <f ca="1"/>
        <v>18</v>
      </c>
      <c r="V4" s="159">
        <f ca="1"/>
        <v>11.83</v>
      </c>
      <c r="W4" s="160">
        <f ca="1"/>
        <v>15.777777777777779</v>
      </c>
      <c r="X4" s="160">
        <f ca="1"/>
        <v>4.5</v>
      </c>
      <c r="Y4" s="160" t="str">
        <f ca="1"/>
        <v>4-29</v>
      </c>
      <c r="Z4" s="172">
        <f t="shared" ref="Z4:Z25" ca="1" si="3">S4/R4</f>
        <v>6.3559322033898302E-2</v>
      </c>
      <c r="AA4" s="172">
        <f t="shared" ref="AA4:AA25" ca="1" si="4">IF(R4&gt;=20,Z4,"")</f>
        <v>6.3559322033898302E-2</v>
      </c>
      <c r="AB4" s="118" t="s">
        <v>198</v>
      </c>
    </row>
    <row r="5" spans="1:28" ht="11.25" x14ac:dyDescent="0.2">
      <c r="A5" s="118">
        <v>4</v>
      </c>
      <c r="B5" s="118">
        <f>MATCH(A5,Bowling!$CP$5:$CP$37,0)</f>
        <v>14</v>
      </c>
      <c r="C5" s="118" t="str">
        <f ca="1">OFFSET(Bowling!$B$4,BowlAves!B5,0)</f>
        <v>Lestrelle A</v>
      </c>
      <c r="D5" s="145">
        <f t="array" aca="1" ref="D5:K5" ca="1">OFFSET(Bowling!$CG$4,BowlAves!B5,0,1,8)</f>
        <v>7</v>
      </c>
      <c r="E5" s="146">
        <f ca="1"/>
        <v>1</v>
      </c>
      <c r="F5" s="146">
        <f ca="1"/>
        <v>49</v>
      </c>
      <c r="G5" s="146">
        <f ca="1"/>
        <v>3</v>
      </c>
      <c r="H5" s="73">
        <f ca="1"/>
        <v>16.329999999999998</v>
      </c>
      <c r="I5" s="150">
        <f ca="1"/>
        <v>14</v>
      </c>
      <c r="J5" s="150">
        <f ca="1"/>
        <v>7</v>
      </c>
      <c r="K5" s="151" t="str">
        <f ca="1"/>
        <v>3-27</v>
      </c>
      <c r="L5" s="151">
        <f t="shared" ca="1" si="0"/>
        <v>1004</v>
      </c>
      <c r="M5" s="151">
        <f t="shared" ca="1" si="1"/>
        <v>7</v>
      </c>
      <c r="N5" s="118" t="str">
        <f t="shared" ca="1" si="2"/>
        <v>Lestrelle A 7-1-49-3</v>
      </c>
      <c r="P5" s="155">
        <v>3</v>
      </c>
      <c r="Q5" s="156" t="str">
        <f t="array" aca="1" ref="Q5:Y5" ca="1">OFFSET($C$2,MATCH(P5,$M$2:$M$51,0)-1,0,1,9)</f>
        <v>Bhatt P</v>
      </c>
      <c r="R5" s="157">
        <f ca="1"/>
        <v>94</v>
      </c>
      <c r="S5" s="158">
        <f ca="1"/>
        <v>15</v>
      </c>
      <c r="T5" s="157">
        <f ca="1"/>
        <v>304</v>
      </c>
      <c r="U5" s="157">
        <f ca="1"/>
        <v>23</v>
      </c>
      <c r="V5" s="159">
        <f ca="1"/>
        <v>13.22</v>
      </c>
      <c r="W5" s="160">
        <f ca="1"/>
        <v>24.521739130434781</v>
      </c>
      <c r="X5" s="160">
        <f ca="1"/>
        <v>3.2340425531914891</v>
      </c>
      <c r="Y5" s="160" t="str">
        <f ca="1"/>
        <v>5-29</v>
      </c>
      <c r="Z5" s="172">
        <f t="shared" ca="1" si="3"/>
        <v>0.15957446808510639</v>
      </c>
      <c r="AA5" s="172">
        <f t="shared" ca="1" si="4"/>
        <v>0.15957446808510639</v>
      </c>
      <c r="AB5" s="118" t="s">
        <v>198</v>
      </c>
    </row>
    <row r="6" spans="1:28" ht="11.25" x14ac:dyDescent="0.2">
      <c r="A6" s="118">
        <v>5</v>
      </c>
      <c r="B6" s="118">
        <f>MATCH(A6,Bowling!$CP$5:$CP$37,0)</f>
        <v>17</v>
      </c>
      <c r="C6" s="118" t="str">
        <f ca="1">OFFSET(Bowling!$B$4,BowlAves!B6,0)</f>
        <v>Middleton J</v>
      </c>
      <c r="D6" s="145">
        <f t="array" aca="1" ref="D6:K6" ca="1">OFFSET(Bowling!$CG$4,BowlAves!B6,0,1,8)</f>
        <v>72.099999999999994</v>
      </c>
      <c r="E6" s="146">
        <f ca="1"/>
        <v>5</v>
      </c>
      <c r="F6" s="146">
        <f ca="1"/>
        <v>301</v>
      </c>
      <c r="G6" s="146">
        <f ca="1"/>
        <v>17</v>
      </c>
      <c r="H6" s="73">
        <f ca="1"/>
        <v>17.71</v>
      </c>
      <c r="I6" s="150">
        <f ca="1"/>
        <v>25.470588235294116</v>
      </c>
      <c r="J6" s="150">
        <f ca="1"/>
        <v>4.1709006928406467</v>
      </c>
      <c r="K6" s="151" t="str">
        <f ca="1"/>
        <v>5-24</v>
      </c>
      <c r="L6" s="151">
        <f t="shared" ca="1" si="0"/>
        <v>5</v>
      </c>
      <c r="M6" s="151">
        <f t="shared" ca="1" si="1"/>
        <v>4</v>
      </c>
      <c r="N6" s="118" t="str">
        <f t="shared" ca="1" si="2"/>
        <v/>
      </c>
      <c r="P6" s="155">
        <v>4</v>
      </c>
      <c r="Q6" s="156" t="str">
        <f t="array" aca="1" ref="Q6:Y6" ca="1">OFFSET($C$2,MATCH(P6,$M$2:$M$51,0)-1,0,1,9)</f>
        <v>Middleton J</v>
      </c>
      <c r="R6" s="157">
        <f ca="1"/>
        <v>72.099999999999994</v>
      </c>
      <c r="S6" s="158">
        <f ca="1"/>
        <v>5</v>
      </c>
      <c r="T6" s="157">
        <f ca="1"/>
        <v>301</v>
      </c>
      <c r="U6" s="157">
        <f ca="1"/>
        <v>17</v>
      </c>
      <c r="V6" s="159">
        <f ca="1"/>
        <v>17.71</v>
      </c>
      <c r="W6" s="160">
        <f ca="1"/>
        <v>25.470588235294116</v>
      </c>
      <c r="X6" s="160">
        <f ca="1"/>
        <v>4.1709006928406467</v>
      </c>
      <c r="Y6" s="160" t="str">
        <f ca="1"/>
        <v>5-24</v>
      </c>
      <c r="Z6" s="172">
        <f t="shared" ca="1" si="3"/>
        <v>6.9348127600554796E-2</v>
      </c>
      <c r="AA6" s="172">
        <f t="shared" ca="1" si="4"/>
        <v>6.9348127600554796E-2</v>
      </c>
      <c r="AB6" s="118" t="s">
        <v>198</v>
      </c>
    </row>
    <row r="7" spans="1:28" ht="11.25" x14ac:dyDescent="0.2">
      <c r="A7" s="118">
        <v>6</v>
      </c>
      <c r="B7" s="118">
        <f>MATCH(A7,Bowling!$CP$5:$CP$37,0)</f>
        <v>7</v>
      </c>
      <c r="C7" s="118" t="str">
        <f ca="1">OFFSET(Bowling!$B$4,BowlAves!B7,0)</f>
        <v>Driver S</v>
      </c>
      <c r="D7" s="145">
        <f t="array" aca="1" ref="D7:K7" ca="1">OFFSET(Bowling!$CG$4,BowlAves!B7,0,1,8)</f>
        <v>29.3</v>
      </c>
      <c r="E7" s="146">
        <f ca="1"/>
        <v>6</v>
      </c>
      <c r="F7" s="146">
        <f ca="1"/>
        <v>101</v>
      </c>
      <c r="G7" s="146">
        <f ca="1"/>
        <v>5</v>
      </c>
      <c r="H7" s="73">
        <f ca="1"/>
        <v>20.2</v>
      </c>
      <c r="I7" s="150">
        <f ca="1"/>
        <v>35.4</v>
      </c>
      <c r="J7" s="150">
        <f ca="1"/>
        <v>3.4237288135593222</v>
      </c>
      <c r="K7" s="151" t="str">
        <f ca="1"/>
        <v>3-30</v>
      </c>
      <c r="L7" s="151">
        <f t="shared" ca="1" si="0"/>
        <v>1006</v>
      </c>
      <c r="M7" s="151">
        <f t="shared" ca="1" si="1"/>
        <v>8</v>
      </c>
      <c r="N7" s="118" t="str">
        <f t="shared" ca="1" si="2"/>
        <v>Driver S 29.3-6-101-5</v>
      </c>
      <c r="P7" s="155">
        <v>5</v>
      </c>
      <c r="Q7" s="156" t="str">
        <f t="array" aca="1" ref="Q7:Y7" ca="1">OFFSET($C$2,MATCH(P7,$M$2:$M$51,0)-1,0,1,9)</f>
        <v>Seymour C</v>
      </c>
      <c r="R7" s="157">
        <f ca="1"/>
        <v>99.4</v>
      </c>
      <c r="S7" s="158">
        <f ca="1"/>
        <v>5</v>
      </c>
      <c r="T7" s="157">
        <f ca="1"/>
        <v>466</v>
      </c>
      <c r="U7" s="157">
        <f ca="1"/>
        <v>19</v>
      </c>
      <c r="V7" s="159">
        <f ca="1"/>
        <v>24.53</v>
      </c>
      <c r="W7" s="160">
        <f ca="1"/>
        <v>31.473684210526315</v>
      </c>
      <c r="X7" s="160">
        <f ca="1"/>
        <v>4.6755852842809364</v>
      </c>
      <c r="Y7" s="160" t="str">
        <f ca="1"/>
        <v>4-19</v>
      </c>
      <c r="Z7" s="172">
        <f t="shared" ca="1" si="3"/>
        <v>5.0301810865191143E-2</v>
      </c>
      <c r="AA7" s="172">
        <f t="shared" ca="1" si="4"/>
        <v>5.0301810865191143E-2</v>
      </c>
      <c r="AB7" s="118" t="s">
        <v>198</v>
      </c>
    </row>
    <row r="8" spans="1:28" ht="12.75" x14ac:dyDescent="0.2">
      <c r="A8" s="118">
        <v>7</v>
      </c>
      <c r="B8" s="118">
        <f>MATCH(A8,Bowling!$CP$5:$CP$37,0)</f>
        <v>11</v>
      </c>
      <c r="C8" s="118" t="str">
        <f ca="1">OFFSET(Bowling!$B$4,BowlAves!B8,0)</f>
        <v>Hayes J</v>
      </c>
      <c r="D8" s="145">
        <f t="array" aca="1" ref="D8:K8" ca="1">OFFSET(Bowling!$CG$4,BowlAves!B8,0,1,8)</f>
        <v>4</v>
      </c>
      <c r="E8" s="146">
        <f ca="1"/>
        <v>0</v>
      </c>
      <c r="F8" s="146">
        <f ca="1"/>
        <v>21</v>
      </c>
      <c r="G8" s="146">
        <f ca="1"/>
        <v>1</v>
      </c>
      <c r="H8" s="73">
        <f ca="1"/>
        <v>21</v>
      </c>
      <c r="I8" s="150">
        <f ca="1"/>
        <v>24</v>
      </c>
      <c r="J8" s="150">
        <f ca="1"/>
        <v>5.25</v>
      </c>
      <c r="K8" s="151" t="str">
        <f ca="1"/>
        <v>1-21</v>
      </c>
      <c r="L8" s="151">
        <f t="shared" ca="1" si="0"/>
        <v>1007</v>
      </c>
      <c r="M8" s="151">
        <f t="shared" ca="1" si="1"/>
        <v>9</v>
      </c>
      <c r="N8" s="118" t="str">
        <f t="shared" ca="1" si="2"/>
        <v>Hayes J 4-0-21-1</v>
      </c>
      <c r="P8" s="155">
        <v>6</v>
      </c>
      <c r="Q8" s="156" t="str">
        <f t="array" aca="1" ref="Q8:Y8" ca="1">OFFSET($C$2,MATCH(P8,$M$2:$M$51,0)-1,0,1,9)</f>
        <v>Springer T</v>
      </c>
      <c r="R8" s="157">
        <f ca="1"/>
        <v>80.3</v>
      </c>
      <c r="S8" s="158">
        <f ca="1"/>
        <v>7</v>
      </c>
      <c r="T8" s="157">
        <f ca="1"/>
        <v>420</v>
      </c>
      <c r="U8" s="157">
        <f ca="1"/>
        <v>12</v>
      </c>
      <c r="V8" s="159">
        <f ca="1"/>
        <v>35</v>
      </c>
      <c r="W8" s="160">
        <f ca="1"/>
        <v>40.25</v>
      </c>
      <c r="X8" s="160">
        <f ca="1"/>
        <v>5.2173913043478262</v>
      </c>
      <c r="Y8" s="160" t="str">
        <f ca="1"/>
        <v>2-10</v>
      </c>
      <c r="Z8" s="172">
        <f t="shared" ca="1" si="3"/>
        <v>8.717310087173101E-2</v>
      </c>
      <c r="AA8" s="172">
        <f t="shared" ca="1" si="4"/>
        <v>8.717310087173101E-2</v>
      </c>
      <c r="AB8" s="99"/>
    </row>
    <row r="9" spans="1:28" ht="12.75" x14ac:dyDescent="0.2">
      <c r="A9" s="118">
        <v>8</v>
      </c>
      <c r="B9" s="118">
        <f>MATCH(A9,Bowling!$CP$5:$CP$37,0)</f>
        <v>18</v>
      </c>
      <c r="C9" s="118" t="str">
        <f ca="1">OFFSET(Bowling!$B$4,BowlAves!B9,0)</f>
        <v>Nair S</v>
      </c>
      <c r="D9" s="145">
        <f t="array" aca="1" ref="D9:K9" ca="1">OFFSET(Bowling!$CG$4,BowlAves!B9,0,1,8)</f>
        <v>20</v>
      </c>
      <c r="E9" s="146">
        <f ca="1"/>
        <v>3</v>
      </c>
      <c r="F9" s="146">
        <f ca="1"/>
        <v>88</v>
      </c>
      <c r="G9" s="146">
        <f ca="1"/>
        <v>4</v>
      </c>
      <c r="H9" s="73">
        <f ca="1"/>
        <v>22</v>
      </c>
      <c r="I9" s="150">
        <f ca="1"/>
        <v>30</v>
      </c>
      <c r="J9" s="150">
        <f ca="1"/>
        <v>4.4000000000000004</v>
      </c>
      <c r="K9" s="151" t="str">
        <f ca="1"/>
        <v>2-19</v>
      </c>
      <c r="L9" s="151">
        <f t="shared" ca="1" si="0"/>
        <v>1008</v>
      </c>
      <c r="M9" s="151">
        <f t="shared" ca="1" si="1"/>
        <v>10</v>
      </c>
      <c r="N9" s="118" t="str">
        <f t="shared" ca="1" si="2"/>
        <v>Nair S 20-3-88-4</v>
      </c>
      <c r="P9" s="155">
        <v>7</v>
      </c>
      <c r="Q9" s="156" t="str">
        <f t="array" aca="1" ref="Q9:Y9" ca="1">OFFSET($C$2,MATCH(P9,$M$2:$M$51,0)-1,0,1,9)</f>
        <v>Lestrelle A</v>
      </c>
      <c r="R9" s="157">
        <f ca="1"/>
        <v>7</v>
      </c>
      <c r="S9" s="158">
        <f ca="1"/>
        <v>1</v>
      </c>
      <c r="T9" s="157">
        <f ca="1"/>
        <v>49</v>
      </c>
      <c r="U9" s="157">
        <f ca="1"/>
        <v>3</v>
      </c>
      <c r="V9" s="159">
        <f ca="1"/>
        <v>16.329999999999998</v>
      </c>
      <c r="W9" s="160">
        <f ca="1"/>
        <v>14</v>
      </c>
      <c r="X9" s="160">
        <f ca="1"/>
        <v>7</v>
      </c>
      <c r="Y9" s="160" t="str">
        <f ca="1"/>
        <v>3-27</v>
      </c>
      <c r="Z9" s="172">
        <f t="shared" ca="1" si="3"/>
        <v>0.14285714285714285</v>
      </c>
      <c r="AA9" s="172" t="str">
        <f t="shared" ca="1" si="4"/>
        <v/>
      </c>
      <c r="AB9" s="99"/>
    </row>
    <row r="10" spans="1:28" ht="12.75" x14ac:dyDescent="0.2">
      <c r="A10" s="118">
        <v>9</v>
      </c>
      <c r="B10" s="118">
        <f>MATCH(A10,Bowling!$CP$5:$CP$37,0)</f>
        <v>10</v>
      </c>
      <c r="C10" s="118" t="str">
        <f ca="1">OFFSET(Bowling!$B$4,BowlAves!B10,0)</f>
        <v>Foxworthy P</v>
      </c>
      <c r="D10" s="145">
        <f t="array" aca="1" ref="D10:K10" ca="1">OFFSET(Bowling!$CG$4,BowlAves!B10,0,1,8)</f>
        <v>14</v>
      </c>
      <c r="E10" s="146">
        <f ca="1"/>
        <v>1</v>
      </c>
      <c r="F10" s="146">
        <f ca="1"/>
        <v>68</v>
      </c>
      <c r="G10" s="146">
        <f ca="1"/>
        <v>3</v>
      </c>
      <c r="H10" s="73">
        <f ca="1"/>
        <v>22.67</v>
      </c>
      <c r="I10" s="150">
        <f ca="1"/>
        <v>28</v>
      </c>
      <c r="J10" s="150">
        <f ca="1"/>
        <v>4.8571428571428568</v>
      </c>
      <c r="K10" s="151" t="str">
        <f ca="1"/>
        <v>2-26</v>
      </c>
      <c r="L10" s="151">
        <f t="shared" ca="1" si="0"/>
        <v>1009</v>
      </c>
      <c r="M10" s="151">
        <f t="shared" ca="1" si="1"/>
        <v>11</v>
      </c>
      <c r="N10" s="118" t="str">
        <f t="shared" ca="1" si="2"/>
        <v>Foxworthy P 14-1-68-3</v>
      </c>
      <c r="P10" s="155">
        <v>8</v>
      </c>
      <c r="Q10" s="156" t="str">
        <f t="array" aca="1" ref="Q10:Y10" ca="1">OFFSET($C$2,MATCH(P10,$M$2:$M$51,0)-1,0,1,9)</f>
        <v>Driver S</v>
      </c>
      <c r="R10" s="157">
        <f ca="1"/>
        <v>29.3</v>
      </c>
      <c r="S10" s="158">
        <f ca="1"/>
        <v>6</v>
      </c>
      <c r="T10" s="157">
        <f ca="1"/>
        <v>101</v>
      </c>
      <c r="U10" s="157">
        <f ca="1"/>
        <v>5</v>
      </c>
      <c r="V10" s="159">
        <f ca="1"/>
        <v>20.2</v>
      </c>
      <c r="W10" s="160">
        <f ca="1"/>
        <v>35.4</v>
      </c>
      <c r="X10" s="160">
        <f ca="1"/>
        <v>3.4237288135593222</v>
      </c>
      <c r="Y10" s="160" t="str">
        <f ca="1"/>
        <v>3-30</v>
      </c>
      <c r="Z10" s="172">
        <f t="shared" ca="1" si="3"/>
        <v>0.20477815699658702</v>
      </c>
      <c r="AA10" s="172">
        <f t="shared" ca="1" si="4"/>
        <v>0.20477815699658702</v>
      </c>
      <c r="AB10" s="99"/>
    </row>
    <row r="11" spans="1:28" ht="12.75" x14ac:dyDescent="0.2">
      <c r="A11" s="118">
        <v>10</v>
      </c>
      <c r="B11" s="118">
        <f>MATCH(A11,Bowling!$CP$5:$CP$37,0)</f>
        <v>24</v>
      </c>
      <c r="C11" s="118" t="str">
        <f ca="1">OFFSET(Bowling!$B$4,BowlAves!B11,0)</f>
        <v>Seymour C</v>
      </c>
      <c r="D11" s="145">
        <f t="array" aca="1" ref="D11:K11" ca="1">OFFSET(Bowling!$CG$4,BowlAves!B11,0,1,8)</f>
        <v>99.4</v>
      </c>
      <c r="E11" s="146">
        <f ca="1"/>
        <v>5</v>
      </c>
      <c r="F11" s="146">
        <f ca="1"/>
        <v>466</v>
      </c>
      <c r="G11" s="146">
        <f ca="1"/>
        <v>19</v>
      </c>
      <c r="H11" s="73">
        <f ca="1"/>
        <v>24.53</v>
      </c>
      <c r="I11" s="150">
        <f ca="1"/>
        <v>31.473684210526315</v>
      </c>
      <c r="J11" s="150">
        <f ca="1"/>
        <v>4.6755852842809364</v>
      </c>
      <c r="K11" s="151" t="str">
        <f ca="1"/>
        <v>4-19</v>
      </c>
      <c r="L11" s="151">
        <f t="shared" ca="1" si="0"/>
        <v>10</v>
      </c>
      <c r="M11" s="151">
        <f t="shared" ca="1" si="1"/>
        <v>5</v>
      </c>
      <c r="N11" s="118" t="str">
        <f t="shared" ca="1" si="2"/>
        <v/>
      </c>
      <c r="P11" s="155">
        <v>9</v>
      </c>
      <c r="Q11" s="156" t="str">
        <f t="array" aca="1" ref="Q11:Y11" ca="1">OFFSET($C$2,MATCH(P11,$M$2:$M$51,0)-1,0,1,9)</f>
        <v>Hayes J</v>
      </c>
      <c r="R11" s="157">
        <f ca="1"/>
        <v>4</v>
      </c>
      <c r="S11" s="158">
        <f ca="1"/>
        <v>0</v>
      </c>
      <c r="T11" s="157">
        <f ca="1"/>
        <v>21</v>
      </c>
      <c r="U11" s="157">
        <f ca="1"/>
        <v>1</v>
      </c>
      <c r="V11" s="159">
        <f ca="1"/>
        <v>21</v>
      </c>
      <c r="W11" s="160">
        <f ca="1"/>
        <v>24</v>
      </c>
      <c r="X11" s="160">
        <f ca="1"/>
        <v>5.25</v>
      </c>
      <c r="Y11" s="160" t="str">
        <f ca="1"/>
        <v>1-21</v>
      </c>
      <c r="Z11" s="172">
        <f t="shared" ca="1" si="3"/>
        <v>0</v>
      </c>
      <c r="AA11" s="172" t="str">
        <f t="shared" ca="1" si="4"/>
        <v/>
      </c>
      <c r="AB11" s="99"/>
    </row>
    <row r="12" spans="1:28" ht="12.75" x14ac:dyDescent="0.2">
      <c r="A12" s="118">
        <v>11</v>
      </c>
      <c r="B12" s="118">
        <f>MATCH(A12,Bowling!$CP$5:$CP$37,0)</f>
        <v>31</v>
      </c>
      <c r="C12" s="118" t="str">
        <f ca="1">OFFSET(Bowling!$B$4,BowlAves!B12,0)</f>
        <v>"Tareq"</v>
      </c>
      <c r="D12" s="145">
        <f t="array" aca="1" ref="D12:K12" ca="1">OFFSET(Bowling!$CG$4,BowlAves!B12,0,1,8)</f>
        <v>3</v>
      </c>
      <c r="E12" s="146">
        <f ca="1"/>
        <v>0</v>
      </c>
      <c r="F12" s="146">
        <f ca="1"/>
        <v>27</v>
      </c>
      <c r="G12" s="146">
        <f ca="1"/>
        <v>1</v>
      </c>
      <c r="H12" s="73">
        <f ca="1"/>
        <v>27</v>
      </c>
      <c r="I12" s="150">
        <f ca="1"/>
        <v>18</v>
      </c>
      <c r="J12" s="150">
        <f ca="1"/>
        <v>9</v>
      </c>
      <c r="K12" s="151" t="str">
        <f ca="1"/>
        <v>1-27</v>
      </c>
      <c r="L12" s="151">
        <f t="shared" ca="1" si="0"/>
        <v>1011</v>
      </c>
      <c r="M12" s="151">
        <f t="shared" ca="1" si="1"/>
        <v>12</v>
      </c>
      <c r="N12" s="118" t="str">
        <f t="shared" ca="1" si="2"/>
        <v>"Tareq" 3-0-27-1</v>
      </c>
      <c r="P12" s="155">
        <v>10</v>
      </c>
      <c r="Q12" s="156" t="str">
        <f t="array" aca="1" ref="Q12:Y12" ca="1">OFFSET($C$2,MATCH(P12,$M$2:$M$51,0)-1,0,1,9)</f>
        <v>Nair S</v>
      </c>
      <c r="R12" s="157">
        <f ca="1"/>
        <v>20</v>
      </c>
      <c r="S12" s="158">
        <f ca="1"/>
        <v>3</v>
      </c>
      <c r="T12" s="157">
        <f ca="1"/>
        <v>88</v>
      </c>
      <c r="U12" s="157">
        <f ca="1"/>
        <v>4</v>
      </c>
      <c r="V12" s="159">
        <f ca="1"/>
        <v>22</v>
      </c>
      <c r="W12" s="160">
        <f ca="1"/>
        <v>30</v>
      </c>
      <c r="X12" s="160">
        <f ca="1"/>
        <v>4.4000000000000004</v>
      </c>
      <c r="Y12" s="160" t="str">
        <f ca="1"/>
        <v>2-19</v>
      </c>
      <c r="Z12" s="172">
        <f t="shared" ca="1" si="3"/>
        <v>0.15</v>
      </c>
      <c r="AA12" s="172">
        <f t="shared" ca="1" si="4"/>
        <v>0.15</v>
      </c>
      <c r="AB12" s="99"/>
    </row>
    <row r="13" spans="1:28" ht="12.75" x14ac:dyDescent="0.2">
      <c r="A13" s="118">
        <v>12</v>
      </c>
      <c r="B13" s="118">
        <f>MATCH(A13,Bowling!$CP$5:$CP$37,0)</f>
        <v>1</v>
      </c>
      <c r="C13" s="118" t="str">
        <f ca="1">OFFSET(Bowling!$B$4,BowlAves!B13,0)</f>
        <v>Ahmed M</v>
      </c>
      <c r="D13" s="145">
        <f t="array" aca="1" ref="D13:K13" ca="1">OFFSET(Bowling!$CG$4,BowlAves!B13,0,1,8)</f>
        <v>6</v>
      </c>
      <c r="E13" s="146">
        <f ca="1"/>
        <v>1</v>
      </c>
      <c r="F13" s="146">
        <f ca="1"/>
        <v>28</v>
      </c>
      <c r="G13" s="146">
        <f ca="1"/>
        <v>1</v>
      </c>
      <c r="H13" s="73">
        <f ca="1"/>
        <v>28</v>
      </c>
      <c r="I13" s="150">
        <f ca="1"/>
        <v>36</v>
      </c>
      <c r="J13" s="150">
        <f ca="1"/>
        <v>4.666666666666667</v>
      </c>
      <c r="K13" s="151" t="str">
        <f ca="1"/>
        <v>1-28</v>
      </c>
      <c r="L13" s="151">
        <f t="shared" ca="1" si="0"/>
        <v>1012</v>
      </c>
      <c r="M13" s="151">
        <f t="shared" ca="1" si="1"/>
        <v>13</v>
      </c>
      <c r="N13" s="118" t="str">
        <f t="shared" ca="1" si="2"/>
        <v>Ahmed M 6-1-28-1</v>
      </c>
      <c r="P13" s="155">
        <v>11</v>
      </c>
      <c r="Q13" s="156" t="str">
        <f t="array" aca="1" ref="Q13:Y13" ca="1">OFFSET($C$2,MATCH(P13,$M$2:$M$51,0)-1,0,1,9)</f>
        <v>Foxworthy P</v>
      </c>
      <c r="R13" s="157">
        <f ca="1"/>
        <v>14</v>
      </c>
      <c r="S13" s="158">
        <f ca="1"/>
        <v>1</v>
      </c>
      <c r="T13" s="157">
        <f ca="1"/>
        <v>68</v>
      </c>
      <c r="U13" s="157">
        <f ca="1"/>
        <v>3</v>
      </c>
      <c r="V13" s="159">
        <f ca="1"/>
        <v>22.67</v>
      </c>
      <c r="W13" s="160">
        <f ca="1"/>
        <v>28</v>
      </c>
      <c r="X13" s="160">
        <f ca="1"/>
        <v>4.8571428571428568</v>
      </c>
      <c r="Y13" s="160" t="str">
        <f ca="1"/>
        <v>2-26</v>
      </c>
      <c r="Z13" s="172">
        <f t="shared" ca="1" si="3"/>
        <v>7.1428571428571425E-2</v>
      </c>
      <c r="AA13" s="172" t="str">
        <f t="shared" ca="1" si="4"/>
        <v/>
      </c>
      <c r="AB13" s="99"/>
    </row>
    <row r="14" spans="1:28" ht="12.75" x14ac:dyDescent="0.2">
      <c r="A14" s="118">
        <v>13</v>
      </c>
      <c r="B14" s="118">
        <f>MATCH(A14,Bowling!$CP$5:$CP$37,0)</f>
        <v>29</v>
      </c>
      <c r="C14" s="118" t="str">
        <f ca="1">OFFSET(Bowling!$B$4,BowlAves!B14,0)</f>
        <v>Springer T</v>
      </c>
      <c r="D14" s="145">
        <f t="array" aca="1" ref="D14:K14" ca="1">OFFSET(Bowling!$CG$4,BowlAves!B14,0,1,8)</f>
        <v>80.3</v>
      </c>
      <c r="E14" s="146">
        <f ca="1"/>
        <v>7</v>
      </c>
      <c r="F14" s="146">
        <f ca="1"/>
        <v>420</v>
      </c>
      <c r="G14" s="146">
        <f ca="1"/>
        <v>12</v>
      </c>
      <c r="H14" s="73">
        <f ca="1"/>
        <v>35</v>
      </c>
      <c r="I14" s="150">
        <f ca="1"/>
        <v>40.25</v>
      </c>
      <c r="J14" s="150">
        <f ca="1"/>
        <v>5.2173913043478262</v>
      </c>
      <c r="K14" s="151" t="str">
        <f ca="1"/>
        <v>2-10</v>
      </c>
      <c r="L14" s="151">
        <f t="shared" ca="1" si="0"/>
        <v>13</v>
      </c>
      <c r="M14" s="151">
        <f t="shared" ca="1" si="1"/>
        <v>6</v>
      </c>
      <c r="N14" s="118" t="str">
        <f t="shared" ca="1" si="2"/>
        <v/>
      </c>
      <c r="P14" s="155">
        <v>12</v>
      </c>
      <c r="Q14" s="156" t="str">
        <f t="array" aca="1" ref="Q14:Y14" ca="1">OFFSET($C$2,MATCH(P14,$M$2:$M$51,0)-1,0,1,9)</f>
        <v>"Tareq"</v>
      </c>
      <c r="R14" s="157">
        <f ca="1"/>
        <v>3</v>
      </c>
      <c r="S14" s="158">
        <f ca="1"/>
        <v>0</v>
      </c>
      <c r="T14" s="157">
        <f ca="1"/>
        <v>27</v>
      </c>
      <c r="U14" s="157">
        <f ca="1"/>
        <v>1</v>
      </c>
      <c r="V14" s="159">
        <f ca="1"/>
        <v>27</v>
      </c>
      <c r="W14" s="160">
        <f ca="1"/>
        <v>18</v>
      </c>
      <c r="X14" s="160">
        <f ca="1"/>
        <v>9</v>
      </c>
      <c r="Y14" s="160" t="str">
        <f ca="1"/>
        <v>1-27</v>
      </c>
      <c r="Z14" s="172">
        <f t="shared" ca="1" si="3"/>
        <v>0</v>
      </c>
      <c r="AA14" s="172" t="str">
        <f t="shared" ca="1" si="4"/>
        <v/>
      </c>
      <c r="AB14" s="99"/>
    </row>
    <row r="15" spans="1:28" ht="12.75" x14ac:dyDescent="0.2">
      <c r="A15" s="118">
        <v>14</v>
      </c>
      <c r="B15" s="118">
        <f>MATCH(A15,Bowling!$CP$5:$CP$37,0)</f>
        <v>13</v>
      </c>
      <c r="C15" s="118" t="str">
        <f ca="1">OFFSET(Bowling!$B$4,BowlAves!B15,0)</f>
        <v>Khan W</v>
      </c>
      <c r="D15" s="145">
        <f t="array" aca="1" ref="D15:K15" ca="1">OFFSET(Bowling!$CG$4,BowlAves!B15,0,1,8)</f>
        <v>8</v>
      </c>
      <c r="E15" s="146">
        <f ca="1"/>
        <v>0</v>
      </c>
      <c r="F15" s="146">
        <f ca="1"/>
        <v>41</v>
      </c>
      <c r="G15" s="146">
        <f ca="1"/>
        <v>1</v>
      </c>
      <c r="H15" s="73">
        <f ca="1"/>
        <v>41</v>
      </c>
      <c r="I15" s="150">
        <f ca="1"/>
        <v>48</v>
      </c>
      <c r="J15" s="150">
        <f ca="1"/>
        <v>5.125</v>
      </c>
      <c r="K15" s="151" t="str">
        <f ca="1"/>
        <v>1-41</v>
      </c>
      <c r="L15" s="151">
        <f t="shared" ca="1" si="0"/>
        <v>1014</v>
      </c>
      <c r="M15" s="151">
        <f t="shared" ca="1" si="1"/>
        <v>14</v>
      </c>
      <c r="N15" s="118" t="str">
        <f t="shared" ca="1" si="2"/>
        <v>Khan W 8-0-41-1</v>
      </c>
      <c r="P15" s="155">
        <v>13</v>
      </c>
      <c r="Q15" s="156" t="str">
        <f t="array" aca="1" ref="Q15:Y15" ca="1">OFFSET($C$2,MATCH(P15,$M$2:$M$51,0)-1,0,1,9)</f>
        <v>Ahmed M</v>
      </c>
      <c r="R15" s="157">
        <f ca="1"/>
        <v>6</v>
      </c>
      <c r="S15" s="158">
        <f ca="1"/>
        <v>1</v>
      </c>
      <c r="T15" s="157">
        <f ca="1"/>
        <v>28</v>
      </c>
      <c r="U15" s="157">
        <f ca="1"/>
        <v>1</v>
      </c>
      <c r="V15" s="159">
        <f ca="1"/>
        <v>28</v>
      </c>
      <c r="W15" s="160">
        <f ca="1"/>
        <v>36</v>
      </c>
      <c r="X15" s="160">
        <f ca="1"/>
        <v>4.666666666666667</v>
      </c>
      <c r="Y15" s="160" t="str">
        <f ca="1"/>
        <v>1-28</v>
      </c>
      <c r="Z15" s="172">
        <f t="shared" ca="1" si="3"/>
        <v>0.16666666666666666</v>
      </c>
      <c r="AA15" s="172" t="str">
        <f t="shared" ca="1" si="4"/>
        <v/>
      </c>
      <c r="AB15" s="99"/>
    </row>
    <row r="16" spans="1:28" ht="12.75" x14ac:dyDescent="0.2">
      <c r="A16" s="118">
        <v>15</v>
      </c>
      <c r="B16" s="118">
        <f>MATCH(A16,Bowling!$CP$5:$CP$37,0)</f>
        <v>19</v>
      </c>
      <c r="C16" s="118" t="str">
        <f ca="1">OFFSET(Bowling!$B$4,BowlAves!B16,0)</f>
        <v>Naish J</v>
      </c>
      <c r="D16" s="145">
        <f t="array" aca="1" ref="D16:K16" ca="1">OFFSET(Bowling!$CG$4,BowlAves!B16,0,1,8)</f>
        <v>9</v>
      </c>
      <c r="E16" s="146">
        <f ca="1"/>
        <v>2</v>
      </c>
      <c r="F16" s="146">
        <f ca="1"/>
        <v>42</v>
      </c>
      <c r="G16" s="146">
        <f ca="1"/>
        <v>1</v>
      </c>
      <c r="H16" s="73">
        <f ca="1"/>
        <v>42</v>
      </c>
      <c r="I16" s="150">
        <f ca="1"/>
        <v>54</v>
      </c>
      <c r="J16" s="150">
        <f ca="1"/>
        <v>4.666666666666667</v>
      </c>
      <c r="K16" s="151" t="str">
        <f ca="1"/>
        <v>1-19</v>
      </c>
      <c r="L16" s="151">
        <f t="shared" ca="1" si="0"/>
        <v>1015</v>
      </c>
      <c r="M16" s="151">
        <f t="shared" ca="1" si="1"/>
        <v>15</v>
      </c>
      <c r="N16" s="118" t="str">
        <f t="shared" ca="1" si="2"/>
        <v>Naish J 9-2-42-1</v>
      </c>
      <c r="P16" s="155">
        <v>14</v>
      </c>
      <c r="Q16" s="156" t="str">
        <f t="array" aca="1" ref="Q16:Y16" ca="1">OFFSET($C$2,MATCH(P16,$M$2:$M$51,0)-1,0,1,9)</f>
        <v>Khan W</v>
      </c>
      <c r="R16" s="157">
        <f ca="1"/>
        <v>8</v>
      </c>
      <c r="S16" s="158">
        <f ca="1"/>
        <v>0</v>
      </c>
      <c r="T16" s="157">
        <f ca="1"/>
        <v>41</v>
      </c>
      <c r="U16" s="157">
        <f ca="1"/>
        <v>1</v>
      </c>
      <c r="V16" s="159">
        <f ca="1"/>
        <v>41</v>
      </c>
      <c r="W16" s="160">
        <f ca="1"/>
        <v>48</v>
      </c>
      <c r="X16" s="160">
        <f ca="1"/>
        <v>5.125</v>
      </c>
      <c r="Y16" s="160" t="str">
        <f ca="1"/>
        <v>1-41</v>
      </c>
      <c r="Z16" s="172">
        <f t="shared" ca="1" si="3"/>
        <v>0</v>
      </c>
      <c r="AA16" s="172" t="str">
        <f t="shared" ca="1" si="4"/>
        <v/>
      </c>
      <c r="AB16" s="99"/>
    </row>
    <row r="17" spans="1:28" ht="12.75" x14ac:dyDescent="0.2">
      <c r="A17" s="118">
        <v>16</v>
      </c>
      <c r="B17" s="118">
        <f>MATCH(A17,Bowling!$CP$5:$CP$37,0)</f>
        <v>26</v>
      </c>
      <c r="C17" s="118" t="str">
        <f ca="1">OFFSET(Bowling!$B$4,BowlAves!B17,0)</f>
        <v>Sharpe D</v>
      </c>
      <c r="D17" s="145">
        <f t="array" aca="1" ref="D17:K17" ca="1">OFFSET(Bowling!$CG$4,BowlAves!B17,0,1,8)</f>
        <v>26</v>
      </c>
      <c r="E17" s="146">
        <f ca="1"/>
        <v>2</v>
      </c>
      <c r="F17" s="146">
        <f ca="1"/>
        <v>161</v>
      </c>
      <c r="G17" s="146">
        <f ca="1"/>
        <v>3</v>
      </c>
      <c r="H17" s="73">
        <f ca="1"/>
        <v>53.67</v>
      </c>
      <c r="I17" s="150">
        <f ca="1"/>
        <v>52</v>
      </c>
      <c r="J17" s="150">
        <f ca="1"/>
        <v>6.1923076923076925</v>
      </c>
      <c r="K17" s="151" t="str">
        <f ca="1"/>
        <v>3-22</v>
      </c>
      <c r="L17" s="151">
        <f t="shared" ca="1" si="0"/>
        <v>1016</v>
      </c>
      <c r="M17" s="151">
        <f t="shared" ca="1" si="1"/>
        <v>16</v>
      </c>
      <c r="N17" s="118" t="str">
        <f t="shared" ca="1" si="2"/>
        <v>Sharpe D 26-2-161-3</v>
      </c>
      <c r="P17" s="155">
        <v>15</v>
      </c>
      <c r="Q17" s="156" t="str">
        <f t="array" aca="1" ref="Q17:Y17" ca="1">OFFSET($C$2,MATCH(P17,$M$2:$M$51,0)-1,0,1,9)</f>
        <v>Naish J</v>
      </c>
      <c r="R17" s="157">
        <f ca="1"/>
        <v>9</v>
      </c>
      <c r="S17" s="158">
        <f ca="1"/>
        <v>2</v>
      </c>
      <c r="T17" s="157">
        <f ca="1"/>
        <v>42</v>
      </c>
      <c r="U17" s="157">
        <f ca="1"/>
        <v>1</v>
      </c>
      <c r="V17" s="159">
        <f ca="1"/>
        <v>42</v>
      </c>
      <c r="W17" s="160">
        <f ca="1"/>
        <v>54</v>
      </c>
      <c r="X17" s="160">
        <f ca="1"/>
        <v>4.666666666666667</v>
      </c>
      <c r="Y17" s="160" t="str">
        <f ca="1"/>
        <v>1-19</v>
      </c>
      <c r="Z17" s="172">
        <f t="shared" ca="1" si="3"/>
        <v>0.22222222222222221</v>
      </c>
      <c r="AA17" s="172" t="str">
        <f t="shared" ca="1" si="4"/>
        <v/>
      </c>
      <c r="AB17" s="99"/>
    </row>
    <row r="18" spans="1:28" ht="12.75" x14ac:dyDescent="0.2">
      <c r="A18" s="118">
        <v>17</v>
      </c>
      <c r="B18" s="118">
        <f>MATCH(A18,Bowling!$CP$5:$CP$37,0)</f>
        <v>12</v>
      </c>
      <c r="C18" s="118" t="str">
        <f ca="1">OFFSET(Bowling!$B$4,BowlAves!B18,0)</f>
        <v>Mahajan A</v>
      </c>
      <c r="D18" s="145">
        <f t="array" aca="1" ref="D18:K18" ca="1">OFFSET(Bowling!$CG$4,BowlAves!B18,0,1,8)</f>
        <v>12</v>
      </c>
      <c r="E18" s="146">
        <f ca="1"/>
        <v>2</v>
      </c>
      <c r="F18" s="146">
        <f ca="1"/>
        <v>67</v>
      </c>
      <c r="G18" s="146">
        <f ca="1"/>
        <v>1</v>
      </c>
      <c r="H18" s="73">
        <f ca="1"/>
        <v>67</v>
      </c>
      <c r="I18" s="150">
        <f ca="1"/>
        <v>72</v>
      </c>
      <c r="J18" s="150">
        <f ca="1"/>
        <v>5.583333333333333</v>
      </c>
      <c r="K18" s="151" t="str">
        <f ca="1"/>
        <v>1-29</v>
      </c>
      <c r="L18" s="151">
        <f t="shared" ca="1" si="0"/>
        <v>1017</v>
      </c>
      <c r="M18" s="151">
        <f t="shared" ca="1" si="1"/>
        <v>17</v>
      </c>
      <c r="N18" s="118" t="str">
        <f t="shared" ca="1" si="2"/>
        <v>Mahajan A 12-2-67-1</v>
      </c>
      <c r="P18" s="155">
        <v>16</v>
      </c>
      <c r="Q18" s="156" t="str">
        <f t="array" aca="1" ref="Q18:Y18" ca="1">OFFSET($C$2,MATCH(P18,$M$2:$M$51,0)-1,0,1,9)</f>
        <v>Sharpe D</v>
      </c>
      <c r="R18" s="157">
        <f ca="1"/>
        <v>26</v>
      </c>
      <c r="S18" s="158">
        <f ca="1"/>
        <v>2</v>
      </c>
      <c r="T18" s="157">
        <f ca="1"/>
        <v>161</v>
      </c>
      <c r="U18" s="157">
        <f ca="1"/>
        <v>3</v>
      </c>
      <c r="V18" s="159">
        <f ca="1"/>
        <v>53.67</v>
      </c>
      <c r="W18" s="160">
        <f ca="1"/>
        <v>52</v>
      </c>
      <c r="X18" s="160">
        <f ca="1"/>
        <v>6.1923076923076925</v>
      </c>
      <c r="Y18" s="160" t="str">
        <f ca="1"/>
        <v>3-22</v>
      </c>
      <c r="Z18" s="172">
        <f t="shared" ca="1" si="3"/>
        <v>7.6923076923076927E-2</v>
      </c>
      <c r="AA18" s="172">
        <f t="shared" ca="1" si="4"/>
        <v>7.6923076923076927E-2</v>
      </c>
      <c r="AB18" s="99"/>
    </row>
    <row r="19" spans="1:28" ht="12.75" x14ac:dyDescent="0.2">
      <c r="A19" s="118">
        <v>18</v>
      </c>
      <c r="B19" s="118">
        <f>MATCH(A19,Bowling!$CP$5:$CP$37,0)</f>
        <v>3</v>
      </c>
      <c r="C19" s="118" t="str">
        <f ca="1">OFFSET(Bowling!$B$4,BowlAves!B19,0)</f>
        <v>Bowers M</v>
      </c>
      <c r="D19" s="145">
        <f t="array" aca="1" ref="D19:K19" ca="1">OFFSET(Bowling!$CG$4,BowlAves!B19,0,1,8)</f>
        <v>9.4</v>
      </c>
      <c r="E19" s="146">
        <f ca="1"/>
        <v>0</v>
      </c>
      <c r="F19" s="146">
        <f ca="1"/>
        <v>68</v>
      </c>
      <c r="G19" s="146">
        <f ca="1"/>
        <v>1</v>
      </c>
      <c r="H19" s="73">
        <f ca="1"/>
        <v>68</v>
      </c>
      <c r="I19" s="150">
        <f ca="1"/>
        <v>58</v>
      </c>
      <c r="J19" s="150">
        <f ca="1"/>
        <v>7.0344827586206895</v>
      </c>
      <c r="K19" s="151" t="str">
        <f ca="1"/>
        <v>1-15</v>
      </c>
      <c r="L19" s="151">
        <f t="shared" ca="1" si="0"/>
        <v>1018</v>
      </c>
      <c r="M19" s="151">
        <f t="shared" ca="1" si="1"/>
        <v>18</v>
      </c>
      <c r="N19" s="118" t="str">
        <f t="shared" ca="1" si="2"/>
        <v>Bowers M 9.4-0-68-1</v>
      </c>
      <c r="P19" s="155">
        <v>17</v>
      </c>
      <c r="Q19" s="156" t="str">
        <f t="array" aca="1" ref="Q19:Y19" ca="1">OFFSET($C$2,MATCH(P19,$M$2:$M$51,0)-1,0,1,9)</f>
        <v>Mahajan A</v>
      </c>
      <c r="R19" s="157">
        <f ca="1"/>
        <v>12</v>
      </c>
      <c r="S19" s="158">
        <f ca="1"/>
        <v>2</v>
      </c>
      <c r="T19" s="157">
        <f ca="1"/>
        <v>67</v>
      </c>
      <c r="U19" s="157">
        <f ca="1"/>
        <v>1</v>
      </c>
      <c r="V19" s="159">
        <f ca="1"/>
        <v>67</v>
      </c>
      <c r="W19" s="160">
        <f ca="1"/>
        <v>72</v>
      </c>
      <c r="X19" s="160">
        <f ca="1"/>
        <v>5.583333333333333</v>
      </c>
      <c r="Y19" s="160" t="str">
        <f ca="1"/>
        <v>1-29</v>
      </c>
      <c r="Z19" s="172">
        <f t="shared" ca="1" si="3"/>
        <v>0.16666666666666666</v>
      </c>
      <c r="AA19" s="172" t="str">
        <f t="shared" ca="1" si="4"/>
        <v/>
      </c>
      <c r="AB19" s="99"/>
    </row>
    <row r="20" spans="1:28" ht="12.75" x14ac:dyDescent="0.2">
      <c r="A20" s="118">
        <v>19</v>
      </c>
      <c r="B20" s="118">
        <f>MATCH(A20,Bowling!$CP$5:$CP$37,0)</f>
        <v>32</v>
      </c>
      <c r="C20" s="118" t="str">
        <f ca="1">OFFSET(Bowling!$B$4,BowlAves!B20,0)</f>
        <v>Viveganandan M</v>
      </c>
      <c r="D20" s="145">
        <f t="array" aca="1" ref="D20:K20" ca="1">OFFSET(Bowling!$CG$4,BowlAves!B20,0,1,8)</f>
        <v>13</v>
      </c>
      <c r="E20" s="146">
        <f ca="1"/>
        <v>0</v>
      </c>
      <c r="F20" s="146">
        <f ca="1"/>
        <v>90</v>
      </c>
      <c r="G20" s="146">
        <f ca="1"/>
        <v>1</v>
      </c>
      <c r="H20" s="73">
        <f ca="1"/>
        <v>90</v>
      </c>
      <c r="I20" s="150">
        <f ca="1"/>
        <v>78</v>
      </c>
      <c r="J20" s="150">
        <f ca="1"/>
        <v>6.9230769230769234</v>
      </c>
      <c r="K20" s="151" t="str">
        <f ca="1"/>
        <v>1-37</v>
      </c>
      <c r="L20" s="151">
        <f t="shared" ca="1" si="0"/>
        <v>1019</v>
      </c>
      <c r="M20" s="151">
        <f t="shared" ca="1" si="1"/>
        <v>19</v>
      </c>
      <c r="N20" s="118" t="str">
        <f t="shared" ca="1" si="2"/>
        <v>Viveganandan M 13-0-90-1</v>
      </c>
      <c r="P20" s="155">
        <v>18</v>
      </c>
      <c r="Q20" s="156" t="str">
        <f t="array" aca="1" ref="Q20:Y20" ca="1">OFFSET($C$2,MATCH(P20,$M$2:$M$51,0)-1,0,1,9)</f>
        <v>Bowers M</v>
      </c>
      <c r="R20" s="157">
        <f ca="1"/>
        <v>9.4</v>
      </c>
      <c r="S20" s="158">
        <f ca="1"/>
        <v>0</v>
      </c>
      <c r="T20" s="157">
        <f ca="1"/>
        <v>68</v>
      </c>
      <c r="U20" s="157">
        <f ca="1"/>
        <v>1</v>
      </c>
      <c r="V20" s="159">
        <f ca="1"/>
        <v>68</v>
      </c>
      <c r="W20" s="160">
        <f ca="1"/>
        <v>58</v>
      </c>
      <c r="X20" s="160">
        <f ca="1"/>
        <v>7.0344827586206895</v>
      </c>
      <c r="Y20" s="160" t="str">
        <f ca="1"/>
        <v>1-15</v>
      </c>
      <c r="Z20" s="172">
        <f t="shared" ca="1" si="3"/>
        <v>0</v>
      </c>
      <c r="AA20" s="172" t="str">
        <f t="shared" ca="1" si="4"/>
        <v/>
      </c>
      <c r="AB20" s="99"/>
    </row>
    <row r="21" spans="1:28" ht="12.75" x14ac:dyDescent="0.2">
      <c r="A21" s="118">
        <v>20</v>
      </c>
      <c r="B21" s="118">
        <f>MATCH(A21,Bowling!$CP$5:$CP$37,0)</f>
        <v>9</v>
      </c>
      <c r="C21" s="118" t="str">
        <f ca="1">OFFSET(Bowling!$B$4,BowlAves!B21,0)</f>
        <v>Foster E</v>
      </c>
      <c r="D21" s="145">
        <f t="array" aca="1" ref="D21:K21" ca="1">OFFSET(Bowling!$CG$4,BowlAves!B21,0,1,8)</f>
        <v>3</v>
      </c>
      <c r="E21" s="146">
        <f ca="1"/>
        <v>0</v>
      </c>
      <c r="F21" s="146">
        <f ca="1"/>
        <v>18</v>
      </c>
      <c r="G21" s="146">
        <f ca="1"/>
        <v>0</v>
      </c>
      <c r="H21" s="73" t="str">
        <f ca="1"/>
        <v/>
      </c>
      <c r="I21" s="150" t="str">
        <f ca="1"/>
        <v/>
      </c>
      <c r="J21" s="150">
        <f ca="1"/>
        <v>6</v>
      </c>
      <c r="K21" s="151" t="str">
        <f ca="1"/>
        <v>0-18</v>
      </c>
      <c r="L21" s="151">
        <f t="shared" ca="1" si="0"/>
        <v>1020</v>
      </c>
      <c r="M21" s="151">
        <f t="shared" ca="1" si="1"/>
        <v>20</v>
      </c>
      <c r="N21" s="118" t="str">
        <f t="shared" ca="1" si="2"/>
        <v>Foster E 3-0-18-0</v>
      </c>
      <c r="P21" s="155">
        <v>19</v>
      </c>
      <c r="Q21" s="156" t="str">
        <f t="array" aca="1" ref="Q21:Y21" ca="1">OFFSET($C$2,MATCH(P21,$M$2:$M$51,0)-1,0,1,9)</f>
        <v>Viveganandan M</v>
      </c>
      <c r="R21" s="157">
        <f ca="1"/>
        <v>13</v>
      </c>
      <c r="S21" s="158">
        <f ca="1"/>
        <v>0</v>
      </c>
      <c r="T21" s="157">
        <f ca="1"/>
        <v>90</v>
      </c>
      <c r="U21" s="157">
        <f ca="1"/>
        <v>1</v>
      </c>
      <c r="V21" s="159">
        <f ca="1"/>
        <v>90</v>
      </c>
      <c r="W21" s="160">
        <f ca="1"/>
        <v>78</v>
      </c>
      <c r="X21" s="160">
        <f ca="1"/>
        <v>6.9230769230769234</v>
      </c>
      <c r="Y21" s="160" t="str">
        <f ca="1"/>
        <v>1-37</v>
      </c>
      <c r="Z21" s="172">
        <f t="shared" ca="1" si="3"/>
        <v>0</v>
      </c>
      <c r="AA21" s="172" t="str">
        <f t="shared" ca="1" si="4"/>
        <v/>
      </c>
      <c r="AB21" s="99"/>
    </row>
    <row r="22" spans="1:28" ht="12.75" x14ac:dyDescent="0.2">
      <c r="A22" s="118">
        <v>21</v>
      </c>
      <c r="B22" s="118">
        <f>MATCH(A22,Bowling!$CP$5:$CP$37,0)</f>
        <v>21</v>
      </c>
      <c r="C22" s="118" t="str">
        <f ca="1">OFFSET(Bowling!$B$4,BowlAves!B22,0)</f>
        <v>O'Rourke P</v>
      </c>
      <c r="D22" s="145">
        <f t="array" aca="1" ref="D22:K22" ca="1">OFFSET(Bowling!$CG$4,BowlAves!B22,0,1,8)</f>
        <v>3</v>
      </c>
      <c r="E22" s="146">
        <f ca="1"/>
        <v>0</v>
      </c>
      <c r="F22" s="146">
        <f ca="1"/>
        <v>14</v>
      </c>
      <c r="G22" s="146">
        <f ca="1"/>
        <v>0</v>
      </c>
      <c r="H22" s="73" t="str">
        <f ca="1"/>
        <v/>
      </c>
      <c r="I22" s="150" t="str">
        <f ca="1"/>
        <v/>
      </c>
      <c r="J22" s="150">
        <f ca="1"/>
        <v>4.666666666666667</v>
      </c>
      <c r="K22" s="151" t="str">
        <f ca="1"/>
        <v>0-14</v>
      </c>
      <c r="L22" s="151">
        <f t="shared" ca="1" si="0"/>
        <v>1021</v>
      </c>
      <c r="M22" s="151">
        <f t="shared" ca="1" si="1"/>
        <v>21</v>
      </c>
      <c r="N22" s="118" t="str">
        <f t="shared" ca="1" si="2"/>
        <v>O'Rourke P 3-0-14-0</v>
      </c>
      <c r="P22" s="155">
        <v>20</v>
      </c>
      <c r="Q22" s="156" t="str">
        <f t="array" aca="1" ref="Q22:Y22" ca="1">OFFSET($C$2,MATCH(P22,$M$2:$M$51,0)-1,0,1,9)</f>
        <v>Foster E</v>
      </c>
      <c r="R22" s="157">
        <f ca="1"/>
        <v>3</v>
      </c>
      <c r="S22" s="158">
        <f ca="1"/>
        <v>0</v>
      </c>
      <c r="T22" s="157">
        <f ca="1"/>
        <v>18</v>
      </c>
      <c r="U22" s="157">
        <f ca="1"/>
        <v>0</v>
      </c>
      <c r="V22" s="159" t="str">
        <f ca="1"/>
        <v/>
      </c>
      <c r="W22" s="160" t="str">
        <f ca="1"/>
        <v/>
      </c>
      <c r="X22" s="160">
        <f ca="1"/>
        <v>6</v>
      </c>
      <c r="Y22" s="160" t="str">
        <f ca="1"/>
        <v>0-18</v>
      </c>
      <c r="Z22" s="172">
        <f t="shared" ca="1" si="3"/>
        <v>0</v>
      </c>
      <c r="AA22" s="172" t="str">
        <f t="shared" ca="1" si="4"/>
        <v/>
      </c>
      <c r="AB22" s="99"/>
    </row>
    <row r="23" spans="1:28" ht="11.25" x14ac:dyDescent="0.2">
      <c r="A23" s="118">
        <v>22</v>
      </c>
      <c r="B23" s="118">
        <f>MATCH(A23,Bowling!$CP$5:$CP$37,0)</f>
        <v>23</v>
      </c>
      <c r="C23" s="118" t="str">
        <f ca="1">OFFSET(Bowling!$B$4,BowlAves!B23,0)</f>
        <v>Seev J</v>
      </c>
      <c r="D23" s="145">
        <f t="array" aca="1" ref="D23:K23" ca="1">OFFSET(Bowling!$CG$4,BowlAves!B23,0,1,8)</f>
        <v>3</v>
      </c>
      <c r="E23" s="146">
        <f ca="1"/>
        <v>0</v>
      </c>
      <c r="F23" s="146">
        <f ca="1"/>
        <v>14</v>
      </c>
      <c r="G23" s="146">
        <f ca="1"/>
        <v>0</v>
      </c>
      <c r="H23" s="73" t="str">
        <f ca="1"/>
        <v/>
      </c>
      <c r="I23" s="150" t="str">
        <f ca="1"/>
        <v/>
      </c>
      <c r="J23" s="150">
        <f ca="1"/>
        <v>4.666666666666667</v>
      </c>
      <c r="K23" s="151" t="str">
        <f ca="1"/>
        <v>0-14</v>
      </c>
      <c r="L23" s="151">
        <f t="shared" ca="1" si="0"/>
        <v>1022</v>
      </c>
      <c r="M23" s="151">
        <f t="shared" ca="1" si="1"/>
        <v>22</v>
      </c>
      <c r="N23" s="118" t="str">
        <f t="shared" ca="1" si="2"/>
        <v>Seev J 3-0-14-0</v>
      </c>
      <c r="P23" s="155">
        <v>21</v>
      </c>
      <c r="Q23" s="156" t="str">
        <f t="array" aca="1" ref="Q23:Y23" ca="1">OFFSET($C$2,MATCH(P23,$M$2:$M$51,0)-1,0,1,9)</f>
        <v>O'Rourke P</v>
      </c>
      <c r="R23" s="157">
        <f ca="1"/>
        <v>3</v>
      </c>
      <c r="S23" s="158">
        <f ca="1"/>
        <v>0</v>
      </c>
      <c r="T23" s="157">
        <f ca="1"/>
        <v>14</v>
      </c>
      <c r="U23" s="157">
        <f ca="1"/>
        <v>0</v>
      </c>
      <c r="V23" s="159" t="str">
        <f ca="1"/>
        <v/>
      </c>
      <c r="W23" s="160" t="str">
        <f ca="1"/>
        <v/>
      </c>
      <c r="X23" s="160">
        <f ca="1"/>
        <v>4.666666666666667</v>
      </c>
      <c r="Y23" s="160" t="str">
        <f ca="1"/>
        <v>0-14</v>
      </c>
      <c r="Z23" s="172">
        <f t="shared" ca="1" si="3"/>
        <v>0</v>
      </c>
      <c r="AA23" s="172" t="str">
        <f t="shared" ca="1" si="4"/>
        <v/>
      </c>
    </row>
    <row r="24" spans="1:28" ht="11.25" x14ac:dyDescent="0.2">
      <c r="A24" s="118">
        <v>23</v>
      </c>
      <c r="B24" s="118">
        <f>MATCH(A24,Bowling!$CP$5:$CP$37,0)</f>
        <v>28</v>
      </c>
      <c r="C24" s="118" t="str">
        <f ca="1">OFFSET(Bowling!$B$4,BowlAves!B24,0)</f>
        <v>Smith C</v>
      </c>
      <c r="D24" s="145">
        <f t="array" aca="1" ref="D24:K24" ca="1">OFFSET(Bowling!$CG$4,BowlAves!B24,0,1,8)</f>
        <v>3.2</v>
      </c>
      <c r="E24" s="146">
        <f ca="1"/>
        <v>0</v>
      </c>
      <c r="F24" s="146">
        <f ca="1"/>
        <v>30</v>
      </c>
      <c r="G24" s="146">
        <f ca="1"/>
        <v>0</v>
      </c>
      <c r="H24" s="73" t="str">
        <f ca="1"/>
        <v/>
      </c>
      <c r="I24" s="150" t="str">
        <f ca="1"/>
        <v/>
      </c>
      <c r="J24" s="150">
        <f ca="1"/>
        <v>9</v>
      </c>
      <c r="K24" s="151" t="str">
        <f ca="1"/>
        <v>0-4</v>
      </c>
      <c r="L24" s="151">
        <f t="shared" ca="1" si="0"/>
        <v>1023</v>
      </c>
      <c r="M24" s="151">
        <f t="shared" ca="1" si="1"/>
        <v>23</v>
      </c>
      <c r="N24" s="118" t="str">
        <f t="shared" ca="1" si="2"/>
        <v>Smith C 3.2-0-30-0</v>
      </c>
      <c r="P24" s="155">
        <v>22</v>
      </c>
      <c r="Q24" s="156" t="str">
        <f t="array" aca="1" ref="Q24:Y24" ca="1">OFFSET($C$2,MATCH(P24,$M$2:$M$51,0)-1,0,1,9)</f>
        <v>Seev J</v>
      </c>
      <c r="R24" s="157">
        <f ca="1"/>
        <v>3</v>
      </c>
      <c r="S24" s="158">
        <f ca="1"/>
        <v>0</v>
      </c>
      <c r="T24" s="157">
        <f ca="1"/>
        <v>14</v>
      </c>
      <c r="U24" s="157">
        <f ca="1"/>
        <v>0</v>
      </c>
      <c r="V24" s="159" t="str">
        <f ca="1"/>
        <v/>
      </c>
      <c r="W24" s="160" t="str">
        <f ca="1"/>
        <v/>
      </c>
      <c r="X24" s="160">
        <f ca="1"/>
        <v>4.666666666666667</v>
      </c>
      <c r="Y24" s="160" t="str">
        <f ca="1"/>
        <v>0-14</v>
      </c>
      <c r="Z24" s="172">
        <f t="shared" ca="1" si="3"/>
        <v>0</v>
      </c>
      <c r="AA24" s="172" t="str">
        <f t="shared" ca="1" si="4"/>
        <v/>
      </c>
    </row>
    <row r="25" spans="1:28" ht="11.25" x14ac:dyDescent="0.2">
      <c r="A25" s="118">
        <v>24</v>
      </c>
      <c r="B25" s="118">
        <f>MATCH(A25,Bowling!$CP$5:$CP$37,0)</f>
        <v>5</v>
      </c>
      <c r="C25" s="118" t="str">
        <f ca="1">OFFSET(Bowling!$B$4,BowlAves!B25,0)</f>
        <v>Chima R</v>
      </c>
      <c r="D25" s="145">
        <f t="array" aca="1" ref="D25:K25" ca="1">OFFSET(Bowling!$CG$4,BowlAves!B25,0,1,8)</f>
        <v>6.4</v>
      </c>
      <c r="E25" s="146">
        <f ca="1"/>
        <v>0</v>
      </c>
      <c r="F25" s="146">
        <f ca="1"/>
        <v>53</v>
      </c>
      <c r="G25" s="146">
        <f ca="1"/>
        <v>0</v>
      </c>
      <c r="H25" s="73" t="str">
        <f ca="1"/>
        <v/>
      </c>
      <c r="I25" s="150" t="str">
        <f ca="1"/>
        <v/>
      </c>
      <c r="J25" s="150">
        <f ca="1"/>
        <v>7.95</v>
      </c>
      <c r="K25" s="151" t="str">
        <f ca="1"/>
        <v>0-21</v>
      </c>
      <c r="L25" s="151">
        <f t="shared" ca="1" si="0"/>
        <v>1024</v>
      </c>
      <c r="M25" s="151">
        <f t="shared" ca="1" si="1"/>
        <v>24</v>
      </c>
      <c r="N25" s="118" t="str">
        <f t="shared" ca="1" si="2"/>
        <v>Chima R 6.4-0-53-0</v>
      </c>
      <c r="P25" s="155">
        <v>23</v>
      </c>
      <c r="Q25" s="156" t="str">
        <f t="array" aca="1" ref="Q25:Y25" ca="1">OFFSET($C$2,MATCH(P25,$M$2:$M$51,0)-1,0,1,9)</f>
        <v>Smith C</v>
      </c>
      <c r="R25" s="157">
        <f ca="1"/>
        <v>3.2</v>
      </c>
      <c r="S25" s="158">
        <f ca="1"/>
        <v>0</v>
      </c>
      <c r="T25" s="157">
        <f ca="1"/>
        <v>30</v>
      </c>
      <c r="U25" s="157">
        <f ca="1"/>
        <v>0</v>
      </c>
      <c r="V25" s="159" t="str">
        <f ca="1"/>
        <v/>
      </c>
      <c r="W25" s="160" t="str">
        <f ca="1"/>
        <v/>
      </c>
      <c r="X25" s="160">
        <f ca="1"/>
        <v>9</v>
      </c>
      <c r="Y25" s="160" t="str">
        <f ca="1"/>
        <v>0-4</v>
      </c>
      <c r="Z25" s="172">
        <f t="shared" ca="1" si="3"/>
        <v>0</v>
      </c>
      <c r="AA25" s="172" t="str">
        <f t="shared" ca="1" si="4"/>
        <v/>
      </c>
    </row>
    <row r="26" spans="1:28" ht="11.25" x14ac:dyDescent="0.2">
      <c r="A26" s="118">
        <v>25</v>
      </c>
      <c r="B26" s="118">
        <f>MATCH(A26,Bowling!$CP$5:$CP$37,0)</f>
        <v>22</v>
      </c>
      <c r="C26" s="118" t="str">
        <f ca="1">OFFSET(Bowling!$B$4,BowlAves!B26,0)</f>
        <v>Parboo R</v>
      </c>
      <c r="D26" s="145">
        <f t="array" aca="1" ref="D26:K26" ca="1">OFFSET(Bowling!$CG$4,BowlAves!B26,0,1,8)</f>
        <v>7</v>
      </c>
      <c r="E26" s="146">
        <f ca="1"/>
        <v>0</v>
      </c>
      <c r="F26" s="146">
        <f ca="1"/>
        <v>30</v>
      </c>
      <c r="G26" s="146">
        <f ca="1"/>
        <v>0</v>
      </c>
      <c r="H26" s="73" t="str">
        <f ca="1"/>
        <v/>
      </c>
      <c r="I26" s="150" t="str">
        <f ca="1"/>
        <v/>
      </c>
      <c r="J26" s="150">
        <f ca="1"/>
        <v>4.2857142857142856</v>
      </c>
      <c r="K26" s="151" t="str">
        <f ca="1"/>
        <v>0-30</v>
      </c>
      <c r="L26" s="151">
        <f t="shared" ca="1" si="0"/>
        <v>1025</v>
      </c>
      <c r="M26" s="151">
        <f t="shared" ca="1" si="1"/>
        <v>25</v>
      </c>
      <c r="N26" s="118" t="str">
        <f t="shared" ca="1" si="2"/>
        <v>Parboo R 7-0-30-0</v>
      </c>
      <c r="P26" s="155">
        <v>24</v>
      </c>
      <c r="Q26" s="156" t="str">
        <f t="array" aca="1" ref="Q26:Y26" ca="1">OFFSET($C$2,MATCH(P26,$M$2:$M$51,0)-1,0,1,9)</f>
        <v>Chima R</v>
      </c>
      <c r="R26" s="157">
        <f ca="1"/>
        <v>6.4</v>
      </c>
      <c r="S26" s="158">
        <f ca="1"/>
        <v>0</v>
      </c>
      <c r="T26" s="157">
        <f ca="1"/>
        <v>53</v>
      </c>
      <c r="U26" s="157">
        <f ca="1"/>
        <v>0</v>
      </c>
      <c r="V26" s="159" t="str">
        <f ca="1"/>
        <v/>
      </c>
      <c r="W26" s="160" t="str">
        <f ca="1"/>
        <v/>
      </c>
      <c r="X26" s="160">
        <f ca="1"/>
        <v>7.95</v>
      </c>
      <c r="Y26" s="160" t="str">
        <f ca="1"/>
        <v>0-21</v>
      </c>
      <c r="Z26" s="172">
        <f t="shared" ref="Z26:Z31" ca="1" si="5">S26/R26</f>
        <v>0</v>
      </c>
      <c r="AA26" s="172" t="str">
        <f t="shared" ref="AA26:AA31" ca="1" si="6">IF(R26&gt;=20,Z26,"")</f>
        <v/>
      </c>
    </row>
    <row r="27" spans="1:28" ht="11.25" x14ac:dyDescent="0.2">
      <c r="A27" s="118">
        <v>26</v>
      </c>
      <c r="B27" s="118">
        <f>MATCH(A27,Bowling!$CP$5:$CP$37,0)</f>
        <v>4</v>
      </c>
      <c r="C27" s="118" t="str">
        <f ca="1">OFFSET(Bowling!$B$4,BowlAves!B27,0)</f>
        <v>Brocks D</v>
      </c>
      <c r="D27" s="145">
        <f t="array" aca="1" ref="D27:K27" ca="1">OFFSET(Bowling!$CG$4,BowlAves!B27,0,1,8)</f>
        <v>0</v>
      </c>
      <c r="E27" s="146">
        <f ca="1"/>
        <v>0</v>
      </c>
      <c r="F27" s="146">
        <f ca="1"/>
        <v>0</v>
      </c>
      <c r="G27" s="146">
        <f ca="1"/>
        <v>0</v>
      </c>
      <c r="H27" s="73" t="str">
        <f ca="1"/>
        <v/>
      </c>
      <c r="I27" s="150" t="str">
        <f ca="1"/>
        <v/>
      </c>
      <c r="J27" s="150" t="str">
        <f ca="1"/>
        <v/>
      </c>
      <c r="K27" s="151" t="str">
        <f ca="1"/>
        <v/>
      </c>
      <c r="L27" s="151">
        <f t="shared" ca="1" si="0"/>
        <v>1026</v>
      </c>
      <c r="M27" s="151">
        <f t="shared" ca="1" si="1"/>
        <v>26</v>
      </c>
      <c r="N27" s="118" t="str">
        <f t="shared" ca="1" si="2"/>
        <v>Brocks D 0-0-0-0</v>
      </c>
      <c r="P27" s="155">
        <v>25</v>
      </c>
      <c r="Q27" s="156" t="str">
        <f t="array" aca="1" ref="Q27:Y27" ca="1">OFFSET($C$2,MATCH(P27,$M$2:$M$51,0)-1,0,1,9)</f>
        <v>Parboo R</v>
      </c>
      <c r="R27" s="157">
        <f ca="1"/>
        <v>7</v>
      </c>
      <c r="S27" s="158">
        <f ca="1"/>
        <v>0</v>
      </c>
      <c r="T27" s="157">
        <f ca="1"/>
        <v>30</v>
      </c>
      <c r="U27" s="157">
        <f ca="1"/>
        <v>0</v>
      </c>
      <c r="V27" s="159" t="str">
        <f ca="1"/>
        <v/>
      </c>
      <c r="W27" s="160" t="str">
        <f ca="1"/>
        <v/>
      </c>
      <c r="X27" s="160">
        <f ca="1"/>
        <v>4.2857142857142856</v>
      </c>
      <c r="Y27" s="160" t="str">
        <f ca="1"/>
        <v>0-30</v>
      </c>
      <c r="Z27" s="172">
        <f t="shared" ca="1" si="5"/>
        <v>0</v>
      </c>
      <c r="AA27" s="172" t="str">
        <f t="shared" ca="1" si="6"/>
        <v/>
      </c>
    </row>
    <row r="28" spans="1:28" ht="11.25" x14ac:dyDescent="0.2">
      <c r="A28" s="118">
        <v>27</v>
      </c>
      <c r="B28" s="118">
        <f>MATCH(A28,Bowling!$CP$5:$CP$37,0)</f>
        <v>8</v>
      </c>
      <c r="C28" s="118" t="str">
        <f ca="1">OFFSET(Bowling!$B$4,BowlAves!B28,0)</f>
        <v>Edghill C</v>
      </c>
      <c r="D28" s="145">
        <f t="array" aca="1" ref="D28:K28" ca="1">OFFSET(Bowling!$CG$4,BowlAves!B28,0,1,8)</f>
        <v>0</v>
      </c>
      <c r="E28" s="146">
        <f ca="1"/>
        <v>0</v>
      </c>
      <c r="F28" s="146">
        <f ca="1"/>
        <v>0</v>
      </c>
      <c r="G28" s="146">
        <f ca="1"/>
        <v>0</v>
      </c>
      <c r="H28" s="73" t="str">
        <f ca="1"/>
        <v/>
      </c>
      <c r="I28" s="150" t="str">
        <f ca="1"/>
        <v/>
      </c>
      <c r="J28" s="150" t="str">
        <f ca="1"/>
        <v/>
      </c>
      <c r="K28" s="151" t="str">
        <f ca="1"/>
        <v/>
      </c>
      <c r="L28" s="151">
        <f t="shared" ca="1" si="0"/>
        <v>1027</v>
      </c>
      <c r="M28" s="151">
        <f t="shared" ca="1" si="1"/>
        <v>27</v>
      </c>
      <c r="N28" s="118" t="str">
        <f t="shared" ca="1" si="2"/>
        <v>Edghill C 0-0-0-0</v>
      </c>
      <c r="P28" s="155">
        <v>26</v>
      </c>
      <c r="Q28" s="156" t="str">
        <f t="array" aca="1" ref="Q28:Y28" ca="1">OFFSET($C$2,MATCH(P28,$M$2:$M$51,0)-1,0,1,9)</f>
        <v>Brocks D</v>
      </c>
      <c r="R28" s="157">
        <f ca="1"/>
        <v>0</v>
      </c>
      <c r="S28" s="158">
        <f ca="1"/>
        <v>0</v>
      </c>
      <c r="T28" s="157">
        <f ca="1"/>
        <v>0</v>
      </c>
      <c r="U28" s="157">
        <f ca="1"/>
        <v>0</v>
      </c>
      <c r="V28" s="159" t="str">
        <f ca="1"/>
        <v/>
      </c>
      <c r="W28" s="160" t="str">
        <f ca="1"/>
        <v/>
      </c>
      <c r="X28" s="160" t="str">
        <f ca="1"/>
        <v/>
      </c>
      <c r="Y28" s="160" t="str">
        <f ca="1"/>
        <v/>
      </c>
      <c r="Z28" s="172" t="e">
        <f t="shared" ca="1" si="5"/>
        <v>#DIV/0!</v>
      </c>
      <c r="AA28" s="172" t="str">
        <f t="shared" ca="1" si="6"/>
        <v/>
      </c>
    </row>
    <row r="29" spans="1:28" ht="11.25" x14ac:dyDescent="0.2">
      <c r="A29" s="118">
        <v>28</v>
      </c>
      <c r="B29" s="118">
        <f>MATCH(A29,Bowling!$CP$5:$CP$37,0)</f>
        <v>15</v>
      </c>
      <c r="C29" s="118" t="str">
        <f ca="1">OFFSET(Bowling!$B$4,BowlAves!B29,0)</f>
        <v>Lewis I</v>
      </c>
      <c r="D29" s="145">
        <f t="array" aca="1" ref="D29:K29" ca="1">OFFSET(Bowling!$CG$4,BowlAves!B29,0,1,8)</f>
        <v>0</v>
      </c>
      <c r="E29" s="146">
        <f ca="1"/>
        <v>0</v>
      </c>
      <c r="F29" s="146">
        <f ca="1"/>
        <v>0</v>
      </c>
      <c r="G29" s="146">
        <f ca="1"/>
        <v>0</v>
      </c>
      <c r="H29" s="73" t="str">
        <f ca="1"/>
        <v/>
      </c>
      <c r="I29" s="150" t="str">
        <f ca="1"/>
        <v/>
      </c>
      <c r="J29" s="150" t="str">
        <f ca="1"/>
        <v/>
      </c>
      <c r="K29" s="151" t="str">
        <f ca="1"/>
        <v/>
      </c>
      <c r="L29" s="151">
        <f t="shared" ca="1" si="0"/>
        <v>1028</v>
      </c>
      <c r="M29" s="151">
        <f t="shared" ca="1" si="1"/>
        <v>28</v>
      </c>
      <c r="N29" s="118" t="str">
        <f t="shared" ca="1" si="2"/>
        <v>Lewis I 0-0-0-0</v>
      </c>
      <c r="P29" s="155">
        <v>27</v>
      </c>
      <c r="Q29" s="156" t="str">
        <f t="array" aca="1" ref="Q29:Y29" ca="1">OFFSET($C$2,MATCH(P29,$M$2:$M$51,0)-1,0,1,9)</f>
        <v>Edghill C</v>
      </c>
      <c r="R29" s="157">
        <f ca="1"/>
        <v>0</v>
      </c>
      <c r="S29" s="158">
        <f ca="1"/>
        <v>0</v>
      </c>
      <c r="T29" s="157">
        <f ca="1"/>
        <v>0</v>
      </c>
      <c r="U29" s="157">
        <f ca="1"/>
        <v>0</v>
      </c>
      <c r="V29" s="159" t="str">
        <f ca="1"/>
        <v/>
      </c>
      <c r="W29" s="160" t="str">
        <f ca="1"/>
        <v/>
      </c>
      <c r="X29" s="160" t="str">
        <f ca="1"/>
        <v/>
      </c>
      <c r="Y29" s="160" t="str">
        <f ca="1"/>
        <v/>
      </c>
      <c r="Z29" s="172" t="e">
        <f t="shared" ca="1" si="5"/>
        <v>#DIV/0!</v>
      </c>
      <c r="AA29" s="172" t="str">
        <f t="shared" ca="1" si="6"/>
        <v/>
      </c>
    </row>
    <row r="30" spans="1:28" ht="11.25" x14ac:dyDescent="0.2">
      <c r="A30" s="118">
        <v>29</v>
      </c>
      <c r="B30" s="118">
        <f>MATCH(A30,Bowling!$CP$5:$CP$37,0)</f>
        <v>20</v>
      </c>
      <c r="C30" s="118" t="str">
        <f ca="1">OFFSET(Bowling!$B$4,BowlAves!B30,0)</f>
        <v>Niran S</v>
      </c>
      <c r="D30" s="145">
        <f t="array" aca="1" ref="D30:K30" ca="1">OFFSET(Bowling!$CG$4,BowlAves!B30,0,1,8)</f>
        <v>0</v>
      </c>
      <c r="E30" s="146">
        <f ca="1"/>
        <v>0</v>
      </c>
      <c r="F30" s="146">
        <f ca="1"/>
        <v>0</v>
      </c>
      <c r="G30" s="146">
        <f ca="1"/>
        <v>0</v>
      </c>
      <c r="H30" s="73" t="str">
        <f ca="1"/>
        <v/>
      </c>
      <c r="I30" s="150" t="str">
        <f ca="1"/>
        <v/>
      </c>
      <c r="J30" s="150" t="str">
        <f ca="1"/>
        <v/>
      </c>
      <c r="K30" s="151" t="str">
        <f ca="1"/>
        <v/>
      </c>
      <c r="L30" s="151">
        <f t="shared" ca="1" si="0"/>
        <v>1029</v>
      </c>
      <c r="M30" s="151">
        <f t="shared" ca="1" si="1"/>
        <v>29</v>
      </c>
      <c r="N30" s="118" t="str">
        <f t="shared" ca="1" si="2"/>
        <v>Niran S 0-0-0-0</v>
      </c>
      <c r="P30" s="155">
        <v>28</v>
      </c>
      <c r="Q30" s="156" t="str">
        <f t="array" aca="1" ref="Q30:Y30" ca="1">OFFSET($C$2,MATCH(P30,$M$2:$M$51,0)-1,0,1,9)</f>
        <v>Lewis I</v>
      </c>
      <c r="R30" s="157">
        <f ca="1"/>
        <v>0</v>
      </c>
      <c r="S30" s="158">
        <f ca="1"/>
        <v>0</v>
      </c>
      <c r="T30" s="157">
        <f ca="1"/>
        <v>0</v>
      </c>
      <c r="U30" s="157">
        <f ca="1"/>
        <v>0</v>
      </c>
      <c r="V30" s="159" t="str">
        <f ca="1"/>
        <v/>
      </c>
      <c r="W30" s="160" t="str">
        <f ca="1"/>
        <v/>
      </c>
      <c r="X30" s="160" t="str">
        <f ca="1"/>
        <v/>
      </c>
      <c r="Y30" s="160" t="str">
        <f ca="1"/>
        <v/>
      </c>
      <c r="Z30" s="172" t="e">
        <f t="shared" ca="1" si="5"/>
        <v>#DIV/0!</v>
      </c>
      <c r="AA30" s="172" t="str">
        <f t="shared" ca="1" si="6"/>
        <v/>
      </c>
    </row>
    <row r="31" spans="1:28" ht="11.25" x14ac:dyDescent="0.2">
      <c r="A31" s="118">
        <v>30</v>
      </c>
      <c r="B31" s="118">
        <f>MATCH(A31,Bowling!$CP$5:$CP$37,0)</f>
        <v>25</v>
      </c>
      <c r="C31" s="118" t="str">
        <f ca="1">OFFSET(Bowling!$B$4,BowlAves!B31,0)</f>
        <v>Sharma R</v>
      </c>
      <c r="D31" s="145">
        <f t="array" aca="1" ref="D31:K31" ca="1">OFFSET(Bowling!$CG$4,BowlAves!B31,0,1,8)</f>
        <v>0</v>
      </c>
      <c r="E31" s="146">
        <f ca="1"/>
        <v>0</v>
      </c>
      <c r="F31" s="146">
        <f ca="1"/>
        <v>0</v>
      </c>
      <c r="G31" s="146">
        <f ca="1"/>
        <v>0</v>
      </c>
      <c r="H31" s="73" t="str">
        <f ca="1"/>
        <v/>
      </c>
      <c r="I31" s="150" t="str">
        <f ca="1"/>
        <v/>
      </c>
      <c r="J31" s="150" t="str">
        <f ca="1"/>
        <v/>
      </c>
      <c r="K31" s="151" t="str">
        <f ca="1"/>
        <v/>
      </c>
      <c r="L31" s="151">
        <f t="shared" ca="1" si="0"/>
        <v>1030</v>
      </c>
      <c r="M31" s="151">
        <f t="shared" ca="1" si="1"/>
        <v>30</v>
      </c>
      <c r="N31" s="118" t="str">
        <f t="shared" ca="1" si="2"/>
        <v>Sharma R 0-0-0-0</v>
      </c>
      <c r="P31" s="155">
        <v>29</v>
      </c>
      <c r="Q31" s="156" t="str">
        <f t="array" aca="1" ref="Q31:Y31" ca="1">OFFSET($C$2,MATCH(P31,$M$2:$M$51,0)-1,0,1,9)</f>
        <v>Niran S</v>
      </c>
      <c r="R31" s="157">
        <f ca="1"/>
        <v>0</v>
      </c>
      <c r="S31" s="158">
        <f ca="1"/>
        <v>0</v>
      </c>
      <c r="T31" s="157">
        <f ca="1"/>
        <v>0</v>
      </c>
      <c r="U31" s="157">
        <f ca="1"/>
        <v>0</v>
      </c>
      <c r="V31" s="159" t="str">
        <f ca="1"/>
        <v/>
      </c>
      <c r="W31" s="160" t="str">
        <f ca="1"/>
        <v/>
      </c>
      <c r="X31" s="160" t="str">
        <f ca="1"/>
        <v/>
      </c>
      <c r="Y31" s="160" t="str">
        <f ca="1"/>
        <v/>
      </c>
      <c r="Z31" s="172" t="e">
        <f t="shared" ca="1" si="5"/>
        <v>#DIV/0!</v>
      </c>
      <c r="AA31" s="172" t="str">
        <f t="shared" ca="1" si="6"/>
        <v/>
      </c>
    </row>
    <row r="32" spans="1:28" ht="11.25" x14ac:dyDescent="0.2">
      <c r="A32" s="118">
        <v>31</v>
      </c>
      <c r="B32" s="118">
        <f>MATCH(A32,Bowling!$CP$5:$CP$37,0)</f>
        <v>27</v>
      </c>
      <c r="C32" s="118" t="str">
        <f ca="1">OFFSET(Bowling!$B$4,BowlAves!B32,0)</f>
        <v>Shome G</v>
      </c>
      <c r="D32" s="145">
        <f t="array" aca="1" ref="D32:K32" ca="1">OFFSET(Bowling!$CG$4,BowlAves!B32,0,1,8)</f>
        <v>0</v>
      </c>
      <c r="E32" s="146">
        <f ca="1"/>
        <v>0</v>
      </c>
      <c r="F32" s="146">
        <f ca="1"/>
        <v>0</v>
      </c>
      <c r="G32" s="146">
        <f ca="1"/>
        <v>0</v>
      </c>
      <c r="H32" s="73" t="str">
        <f ca="1"/>
        <v/>
      </c>
      <c r="I32" s="150" t="str">
        <f ca="1"/>
        <v/>
      </c>
      <c r="J32" s="150" t="str">
        <f ca="1"/>
        <v/>
      </c>
      <c r="K32" s="151" t="str">
        <f ca="1"/>
        <v/>
      </c>
      <c r="L32" s="151">
        <f t="shared" ca="1" si="0"/>
        <v>1031</v>
      </c>
      <c r="M32" s="151">
        <f t="shared" ca="1" si="1"/>
        <v>31</v>
      </c>
      <c r="N32" s="118" t="str">
        <f t="shared" ca="1" si="2"/>
        <v>Shome G 0-0-0-0</v>
      </c>
      <c r="P32" s="155">
        <v>30</v>
      </c>
      <c r="Q32" s="156" t="str">
        <f t="array" aca="1" ref="Q32:Y32" ca="1">OFFSET($C$2,MATCH(P32,$M$2:$M$51,0)-1,0,1,9)</f>
        <v>Sharma R</v>
      </c>
      <c r="R32" s="157">
        <f ca="1"/>
        <v>0</v>
      </c>
      <c r="S32" s="158">
        <f ca="1"/>
        <v>0</v>
      </c>
      <c r="T32" s="157">
        <f ca="1"/>
        <v>0</v>
      </c>
      <c r="U32" s="157">
        <f ca="1"/>
        <v>0</v>
      </c>
      <c r="V32" s="159" t="str">
        <f ca="1"/>
        <v/>
      </c>
      <c r="W32" s="160" t="str">
        <f ca="1"/>
        <v/>
      </c>
      <c r="X32" s="160" t="str">
        <f ca="1"/>
        <v/>
      </c>
      <c r="Y32" s="160" t="str">
        <f ca="1"/>
        <v/>
      </c>
      <c r="Z32" s="172" t="e">
        <f t="shared" ref="Z32:Z36" ca="1" si="7">S32/R32</f>
        <v>#DIV/0!</v>
      </c>
      <c r="AA32" s="172" t="str">
        <f t="shared" ref="AA32:AA36" ca="1" si="8">IF(R32&gt;=20,Z32,"")</f>
        <v/>
      </c>
    </row>
    <row r="33" spans="1:27" ht="11.25" x14ac:dyDescent="0.2">
      <c r="A33" s="118">
        <v>32</v>
      </c>
      <c r="B33" s="118">
        <f>MATCH(A33,Bowling!$CP$5:$CP$37,0)</f>
        <v>30</v>
      </c>
      <c r="C33" s="118" t="str">
        <f ca="1">OFFSET(Bowling!$B$4,BowlAves!B33,0)</f>
        <v>Sunkara C</v>
      </c>
      <c r="D33" s="145">
        <f t="array" aca="1" ref="D33:K33" ca="1">OFFSET(Bowling!$CG$4,BowlAves!B33,0,1,8)</f>
        <v>0</v>
      </c>
      <c r="E33" s="146">
        <f ca="1"/>
        <v>0</v>
      </c>
      <c r="F33" s="146">
        <f ca="1"/>
        <v>0</v>
      </c>
      <c r="G33" s="146">
        <f ca="1"/>
        <v>0</v>
      </c>
      <c r="H33" s="73" t="str">
        <f ca="1"/>
        <v/>
      </c>
      <c r="I33" s="150" t="str">
        <f ca="1"/>
        <v/>
      </c>
      <c r="J33" s="150" t="str">
        <f ca="1"/>
        <v/>
      </c>
      <c r="K33" s="151" t="str">
        <f ca="1"/>
        <v/>
      </c>
      <c r="L33" s="151">
        <f t="shared" ca="1" si="0"/>
        <v>1032</v>
      </c>
      <c r="M33" s="151">
        <f t="shared" ca="1" si="1"/>
        <v>32</v>
      </c>
      <c r="N33" s="118" t="str">
        <f t="shared" ca="1" si="2"/>
        <v>Sunkara C 0-0-0-0</v>
      </c>
      <c r="P33" s="155">
        <v>31</v>
      </c>
      <c r="Q33" s="156" t="str">
        <f t="array" aca="1" ref="Q33:Y33" ca="1">OFFSET($C$2,MATCH(P33,$M$2:$M$51,0)-1,0,1,9)</f>
        <v>Shome G</v>
      </c>
      <c r="R33" s="157">
        <f ca="1"/>
        <v>0</v>
      </c>
      <c r="S33" s="158">
        <f ca="1"/>
        <v>0</v>
      </c>
      <c r="T33" s="157">
        <f ca="1"/>
        <v>0</v>
      </c>
      <c r="U33" s="157">
        <f ca="1"/>
        <v>0</v>
      </c>
      <c r="V33" s="159" t="str">
        <f ca="1"/>
        <v/>
      </c>
      <c r="W33" s="160" t="str">
        <f ca="1"/>
        <v/>
      </c>
      <c r="X33" s="160" t="str">
        <f ca="1"/>
        <v/>
      </c>
      <c r="Y33" s="160" t="str">
        <f ca="1"/>
        <v/>
      </c>
      <c r="Z33" s="172" t="e">
        <f t="shared" ca="1" si="7"/>
        <v>#DIV/0!</v>
      </c>
      <c r="AA33" s="172" t="str">
        <f t="shared" ca="1" si="8"/>
        <v/>
      </c>
    </row>
    <row r="34" spans="1:27" ht="11.25" x14ac:dyDescent="0.2">
      <c r="A34" s="118">
        <v>33</v>
      </c>
      <c r="B34" s="118">
        <f>MATCH(A34,Bowling!$CP$5:$CP$37,0)</f>
        <v>33</v>
      </c>
      <c r="C34" s="118" t="str">
        <f ca="1">OFFSET(Bowling!$B$4,BowlAves!B34,0)</f>
        <v>Wilson A</v>
      </c>
      <c r="D34" s="145">
        <f t="array" aca="1" ref="D34:K34" ca="1">OFFSET(Bowling!$CG$4,BowlAves!B34,0,1,8)</f>
        <v>0</v>
      </c>
      <c r="E34" s="146">
        <f ca="1"/>
        <v>0</v>
      </c>
      <c r="F34" s="146">
        <f ca="1"/>
        <v>0</v>
      </c>
      <c r="G34" s="146">
        <f ca="1"/>
        <v>0</v>
      </c>
      <c r="H34" s="73" t="str">
        <f ca="1"/>
        <v/>
      </c>
      <c r="I34" s="150" t="str">
        <f ca="1"/>
        <v/>
      </c>
      <c r="J34" s="150" t="str">
        <f ca="1"/>
        <v/>
      </c>
      <c r="K34" s="151" t="str">
        <f ca="1"/>
        <v/>
      </c>
      <c r="L34" s="151">
        <f t="shared" ca="1" si="0"/>
        <v>1033</v>
      </c>
      <c r="M34" s="151">
        <f t="shared" ca="1" si="1"/>
        <v>33</v>
      </c>
      <c r="N34" s="118" t="str">
        <f t="shared" ca="1" si="2"/>
        <v>Wilson A 0-0-0-0</v>
      </c>
      <c r="P34" s="155">
        <v>32</v>
      </c>
      <c r="Q34" s="156" t="str">
        <f t="array" aca="1" ref="Q34:Y34" ca="1">OFFSET($C$2,MATCH(P34,$M$2:$M$51,0)-1,0,1,9)</f>
        <v>Sunkara C</v>
      </c>
      <c r="R34" s="157">
        <f ca="1"/>
        <v>0</v>
      </c>
      <c r="S34" s="158">
        <f ca="1"/>
        <v>0</v>
      </c>
      <c r="T34" s="157">
        <f ca="1"/>
        <v>0</v>
      </c>
      <c r="U34" s="157">
        <f ca="1"/>
        <v>0</v>
      </c>
      <c r="V34" s="159" t="str">
        <f ca="1"/>
        <v/>
      </c>
      <c r="W34" s="160" t="str">
        <f ca="1"/>
        <v/>
      </c>
      <c r="X34" s="160" t="str">
        <f ca="1"/>
        <v/>
      </c>
      <c r="Y34" s="160" t="str">
        <f ca="1"/>
        <v/>
      </c>
      <c r="Z34" s="172" t="e">
        <f t="shared" ca="1" si="7"/>
        <v>#DIV/0!</v>
      </c>
      <c r="AA34" s="172" t="str">
        <f t="shared" ca="1" si="8"/>
        <v/>
      </c>
    </row>
    <row r="35" spans="1:27" ht="11.25" x14ac:dyDescent="0.2">
      <c r="A35" s="118">
        <v>34</v>
      </c>
      <c r="B35" s="118" t="e">
        <f>MATCH(A35,Bowling!$CP$5:$CP$37,0)</f>
        <v>#N/A</v>
      </c>
      <c r="C35" s="118" t="e">
        <f ca="1">OFFSET(Bowling!$B$4,BowlAves!B35,0)</f>
        <v>#N/A</v>
      </c>
      <c r="D35" s="145" t="e">
        <f t="array" aca="1" ref="D35:K35" ca="1">OFFSET(Bowling!$CG$4,BowlAves!B35,0,1,8)</f>
        <v>#N/A</v>
      </c>
      <c r="E35" s="146" t="e">
        <f ca="1"/>
        <v>#N/A</v>
      </c>
      <c r="F35" s="146" t="e">
        <f ca="1"/>
        <v>#N/A</v>
      </c>
      <c r="G35" s="146" t="e">
        <f ca="1"/>
        <v>#N/A</v>
      </c>
      <c r="H35" s="73" t="e">
        <f ca="1"/>
        <v>#N/A</v>
      </c>
      <c r="I35" s="150" t="e">
        <f ca="1"/>
        <v>#N/A</v>
      </c>
      <c r="J35" s="150" t="e">
        <f ca="1"/>
        <v>#N/A</v>
      </c>
      <c r="K35" s="151" t="e">
        <f ca="1"/>
        <v>#N/A</v>
      </c>
      <c r="L35" s="151" t="e">
        <f t="shared" ca="1" si="0"/>
        <v>#N/A</v>
      </c>
      <c r="M35" s="151" t="e">
        <f t="shared" ca="1" si="1"/>
        <v>#N/A</v>
      </c>
      <c r="N35" s="118" t="e">
        <f t="shared" ca="1" si="2"/>
        <v>#N/A</v>
      </c>
      <c r="P35" s="155">
        <v>33</v>
      </c>
      <c r="Q35" s="156" t="str">
        <f t="array" aca="1" ref="Q35:Y35" ca="1">OFFSET($C$2,MATCH(P35,$M$2:$M$51,0)-1,0,1,9)</f>
        <v>Wilson A</v>
      </c>
      <c r="R35" s="157">
        <f ca="1"/>
        <v>0</v>
      </c>
      <c r="S35" s="158">
        <f ca="1"/>
        <v>0</v>
      </c>
      <c r="T35" s="157">
        <f ca="1"/>
        <v>0</v>
      </c>
      <c r="U35" s="157">
        <f ca="1"/>
        <v>0</v>
      </c>
      <c r="V35" s="159" t="str">
        <f ca="1"/>
        <v/>
      </c>
      <c r="W35" s="160" t="str">
        <f ca="1"/>
        <v/>
      </c>
      <c r="X35" s="160" t="str">
        <f ca="1"/>
        <v/>
      </c>
      <c r="Y35" s="160" t="str">
        <f ca="1"/>
        <v/>
      </c>
      <c r="Z35" s="172" t="e">
        <f t="shared" ca="1" si="7"/>
        <v>#DIV/0!</v>
      </c>
      <c r="AA35" s="172" t="str">
        <f t="shared" ca="1" si="8"/>
        <v/>
      </c>
    </row>
    <row r="36" spans="1:27" ht="11.25" x14ac:dyDescent="0.2">
      <c r="A36" s="118">
        <v>35</v>
      </c>
      <c r="B36" s="118" t="e">
        <f>MATCH(A36,Bowling!$CP$5:$CP$37,0)</f>
        <v>#N/A</v>
      </c>
      <c r="C36" s="118" t="e">
        <f ca="1">OFFSET(Bowling!$B$4,BowlAves!B36,0)</f>
        <v>#N/A</v>
      </c>
      <c r="D36" s="145" t="e">
        <f t="array" aca="1" ref="D36:K36" ca="1">OFFSET(Bowling!$CG$4,BowlAves!B36,0,1,8)</f>
        <v>#N/A</v>
      </c>
      <c r="E36" s="146" t="e">
        <f ca="1"/>
        <v>#N/A</v>
      </c>
      <c r="F36" s="146" t="e">
        <f ca="1"/>
        <v>#N/A</v>
      </c>
      <c r="G36" s="146" t="e">
        <f ca="1"/>
        <v>#N/A</v>
      </c>
      <c r="H36" s="73" t="e">
        <f ca="1"/>
        <v>#N/A</v>
      </c>
      <c r="I36" s="150" t="e">
        <f ca="1"/>
        <v>#N/A</v>
      </c>
      <c r="J36" s="150" t="e">
        <f ca="1"/>
        <v>#N/A</v>
      </c>
      <c r="K36" s="151" t="e">
        <f ca="1"/>
        <v>#N/A</v>
      </c>
      <c r="L36" s="151" t="e">
        <f t="shared" ca="1" si="0"/>
        <v>#N/A</v>
      </c>
      <c r="M36" s="151" t="e">
        <f t="shared" ca="1" si="1"/>
        <v>#N/A</v>
      </c>
      <c r="N36" s="118" t="e">
        <f t="shared" ca="1" si="2"/>
        <v>#N/A</v>
      </c>
      <c r="P36" s="155">
        <v>34</v>
      </c>
      <c r="Q36" s="156" t="e">
        <f t="array" aca="1" ref="Q36:Y36" ca="1">OFFSET($C$2,MATCH(P36,$M$2:$M$51,0)-1,0,1,9)</f>
        <v>#N/A</v>
      </c>
      <c r="R36" s="157" t="e">
        <f ca="1"/>
        <v>#N/A</v>
      </c>
      <c r="S36" s="158" t="e">
        <f ca="1"/>
        <v>#N/A</v>
      </c>
      <c r="T36" s="157" t="e">
        <f ca="1"/>
        <v>#N/A</v>
      </c>
      <c r="U36" s="157" t="e">
        <f ca="1"/>
        <v>#N/A</v>
      </c>
      <c r="V36" s="159" t="e">
        <f ca="1"/>
        <v>#N/A</v>
      </c>
      <c r="W36" s="160" t="e">
        <f ca="1"/>
        <v>#N/A</v>
      </c>
      <c r="X36" s="160" t="e">
        <f ca="1"/>
        <v>#N/A</v>
      </c>
      <c r="Y36" s="160" t="e">
        <f ca="1"/>
        <v>#N/A</v>
      </c>
      <c r="Z36" s="172" t="e">
        <f t="shared" ca="1" si="7"/>
        <v>#N/A</v>
      </c>
      <c r="AA36" s="172" t="e">
        <f t="shared" ca="1" si="8"/>
        <v>#N/A</v>
      </c>
    </row>
    <row r="37" spans="1:27" ht="11.25" x14ac:dyDescent="0.2">
      <c r="A37" s="118">
        <v>36</v>
      </c>
      <c r="B37" s="118" t="e">
        <f>MATCH(A37,Bowling!$CP$5:$CP$37,0)</f>
        <v>#N/A</v>
      </c>
      <c r="C37" s="118" t="e">
        <f ca="1">OFFSET(Bowling!$B$4,BowlAves!B37,0)</f>
        <v>#N/A</v>
      </c>
      <c r="D37" s="145" t="e">
        <f t="array" aca="1" ref="D37:K37" ca="1">OFFSET(Bowling!$CG$4,BowlAves!B37,0,1,8)</f>
        <v>#N/A</v>
      </c>
      <c r="E37" s="146" t="e">
        <f ca="1"/>
        <v>#N/A</v>
      </c>
      <c r="F37" s="146" t="e">
        <f ca="1"/>
        <v>#N/A</v>
      </c>
      <c r="G37" s="146" t="e">
        <f ca="1"/>
        <v>#N/A</v>
      </c>
      <c r="H37" s="73" t="e">
        <f ca="1"/>
        <v>#N/A</v>
      </c>
      <c r="I37" s="150" t="e">
        <f ca="1"/>
        <v>#N/A</v>
      </c>
      <c r="J37" s="150" t="e">
        <f ca="1"/>
        <v>#N/A</v>
      </c>
      <c r="K37" s="151" t="e">
        <f ca="1"/>
        <v>#N/A</v>
      </c>
      <c r="L37" s="151" t="e">
        <f t="shared" ca="1" si="0"/>
        <v>#N/A</v>
      </c>
      <c r="M37" s="151" t="e">
        <f t="shared" ca="1" si="1"/>
        <v>#N/A</v>
      </c>
      <c r="N37" s="118" t="e">
        <f t="shared" ca="1" si="2"/>
        <v>#N/A</v>
      </c>
      <c r="P37" s="155">
        <v>35</v>
      </c>
      <c r="Q37" s="156" t="e">
        <f t="array" aca="1" ref="Q37:Y37" ca="1">OFFSET($C$2,MATCH(P37,$M$2:$M$51,0)-1,0,1,9)</f>
        <v>#N/A</v>
      </c>
      <c r="R37" s="157" t="e">
        <f ca="1"/>
        <v>#N/A</v>
      </c>
      <c r="S37" s="158" t="e">
        <f ca="1"/>
        <v>#N/A</v>
      </c>
      <c r="T37" s="157" t="e">
        <f ca="1"/>
        <v>#N/A</v>
      </c>
      <c r="U37" s="157" t="e">
        <f ca="1"/>
        <v>#N/A</v>
      </c>
      <c r="V37" s="159" t="e">
        <f ca="1"/>
        <v>#N/A</v>
      </c>
      <c r="W37" s="160" t="e">
        <f ca="1"/>
        <v>#N/A</v>
      </c>
      <c r="X37" s="160" t="e">
        <f ca="1"/>
        <v>#N/A</v>
      </c>
      <c r="Y37" s="160" t="e">
        <f ca="1"/>
        <v>#N/A</v>
      </c>
      <c r="Z37" s="172" t="e">
        <f t="shared" ref="Z37:Z38" ca="1" si="9">S37/R37</f>
        <v>#N/A</v>
      </c>
      <c r="AA37" s="172" t="e">
        <f t="shared" ref="AA37:AA38" ca="1" si="10">IF(R37&gt;=20,Z37,"")</f>
        <v>#N/A</v>
      </c>
    </row>
    <row r="38" spans="1:27" ht="11.25" x14ac:dyDescent="0.2">
      <c r="A38" s="118">
        <v>37</v>
      </c>
      <c r="B38" s="118" t="e">
        <f>MATCH(A38,Bowling!$CP$5:$CP$37,0)</f>
        <v>#N/A</v>
      </c>
      <c r="C38" s="118" t="e">
        <f ca="1">OFFSET(Bowling!$B$4,BowlAves!B38,0)</f>
        <v>#N/A</v>
      </c>
      <c r="D38" s="145" t="e">
        <f t="array" aca="1" ref="D38:K38" ca="1">OFFSET(Bowling!$CG$4,BowlAves!B38,0,1,8)</f>
        <v>#N/A</v>
      </c>
      <c r="E38" s="146" t="e">
        <f ca="1"/>
        <v>#N/A</v>
      </c>
      <c r="F38" s="146" t="e">
        <f ca="1"/>
        <v>#N/A</v>
      </c>
      <c r="G38" s="146" t="e">
        <f ca="1"/>
        <v>#N/A</v>
      </c>
      <c r="H38" s="73" t="e">
        <f ca="1"/>
        <v>#N/A</v>
      </c>
      <c r="I38" s="150" t="e">
        <f ca="1"/>
        <v>#N/A</v>
      </c>
      <c r="J38" s="150" t="e">
        <f ca="1"/>
        <v>#N/A</v>
      </c>
      <c r="K38" s="151" t="e">
        <f ca="1"/>
        <v>#N/A</v>
      </c>
      <c r="L38" s="151" t="e">
        <f t="shared" ca="1" si="0"/>
        <v>#N/A</v>
      </c>
      <c r="M38" s="151" t="e">
        <f t="shared" ca="1" si="1"/>
        <v>#N/A</v>
      </c>
      <c r="N38" s="118" t="e">
        <f t="shared" ca="1" si="2"/>
        <v>#N/A</v>
      </c>
      <c r="P38" s="155">
        <v>36</v>
      </c>
      <c r="Q38" s="156" t="e">
        <f t="array" aca="1" ref="Q38:Y38" ca="1">OFFSET($C$2,MATCH(P38,$M$2:$M$51,0)-1,0,1,9)</f>
        <v>#N/A</v>
      </c>
      <c r="R38" s="157" t="e">
        <f ca="1"/>
        <v>#N/A</v>
      </c>
      <c r="S38" s="158" t="e">
        <f ca="1"/>
        <v>#N/A</v>
      </c>
      <c r="T38" s="157" t="e">
        <f ca="1"/>
        <v>#N/A</v>
      </c>
      <c r="U38" s="157" t="e">
        <f ca="1"/>
        <v>#N/A</v>
      </c>
      <c r="V38" s="159" t="e">
        <f ca="1"/>
        <v>#N/A</v>
      </c>
      <c r="W38" s="160" t="e">
        <f ca="1"/>
        <v>#N/A</v>
      </c>
      <c r="X38" s="160" t="e">
        <f ca="1"/>
        <v>#N/A</v>
      </c>
      <c r="Y38" s="160" t="e">
        <f ca="1"/>
        <v>#N/A</v>
      </c>
      <c r="Z38" s="172" t="e">
        <f t="shared" ca="1" si="9"/>
        <v>#N/A</v>
      </c>
      <c r="AA38" s="172" t="e">
        <f t="shared" ca="1" si="10"/>
        <v>#N/A</v>
      </c>
    </row>
    <row r="39" spans="1:27" ht="11.25" x14ac:dyDescent="0.15">
      <c r="A39" s="118">
        <v>38</v>
      </c>
      <c r="B39" s="118" t="e">
        <f>MATCH(A39,Bowling!$CP$5:$CP$37,0)</f>
        <v>#N/A</v>
      </c>
      <c r="C39" s="118" t="e">
        <f ca="1">OFFSET(Bowling!$B$4,BowlAves!B39,0)</f>
        <v>#N/A</v>
      </c>
      <c r="D39" s="145" t="e">
        <f t="array" aca="1" ref="D39:K39" ca="1">OFFSET(Bowling!$CG$4,BowlAves!B39,0,1,8)</f>
        <v>#N/A</v>
      </c>
      <c r="E39" s="146" t="e">
        <f ca="1"/>
        <v>#N/A</v>
      </c>
      <c r="F39" s="146" t="e">
        <f ca="1"/>
        <v>#N/A</v>
      </c>
      <c r="G39" s="146" t="e">
        <f ca="1"/>
        <v>#N/A</v>
      </c>
      <c r="H39" s="73" t="e">
        <f ca="1"/>
        <v>#N/A</v>
      </c>
      <c r="I39" s="150" t="e">
        <f ca="1"/>
        <v>#N/A</v>
      </c>
      <c r="J39" s="150" t="e">
        <f ca="1"/>
        <v>#N/A</v>
      </c>
      <c r="K39" s="151" t="e">
        <f ca="1"/>
        <v>#N/A</v>
      </c>
      <c r="L39" s="151" t="e">
        <f t="shared" ca="1" si="0"/>
        <v>#N/A</v>
      </c>
      <c r="M39" s="151" t="e">
        <f t="shared" ca="1" si="1"/>
        <v>#N/A</v>
      </c>
      <c r="N39" s="118" t="e">
        <f t="shared" ca="1" si="2"/>
        <v>#N/A</v>
      </c>
      <c r="Q39" s="118" t="s">
        <v>198</v>
      </c>
      <c r="W39" s="155"/>
    </row>
    <row r="40" spans="1:27" ht="11.25" x14ac:dyDescent="0.15">
      <c r="A40" s="118">
        <v>39</v>
      </c>
      <c r="B40" s="118" t="e">
        <f>MATCH(A40,Bowling!$CP$5:$CP$37,0)</f>
        <v>#N/A</v>
      </c>
      <c r="C40" s="118" t="e">
        <f ca="1">OFFSET(Bowling!$B$4,BowlAves!B40,0)</f>
        <v>#N/A</v>
      </c>
      <c r="D40" s="145" t="e">
        <f t="array" aca="1" ref="D40:K40" ca="1">OFFSET(Bowling!$CG$4,BowlAves!B40,0,1,8)</f>
        <v>#N/A</v>
      </c>
      <c r="E40" s="146" t="e">
        <f ca="1"/>
        <v>#N/A</v>
      </c>
      <c r="F40" s="146" t="e">
        <f ca="1"/>
        <v>#N/A</v>
      </c>
      <c r="G40" s="146" t="e">
        <f ca="1"/>
        <v>#N/A</v>
      </c>
      <c r="H40" s="73" t="e">
        <f ca="1"/>
        <v>#N/A</v>
      </c>
      <c r="I40" s="150" t="e">
        <f ca="1"/>
        <v>#N/A</v>
      </c>
      <c r="J40" s="150" t="e">
        <f ca="1"/>
        <v>#N/A</v>
      </c>
      <c r="K40" s="151" t="e">
        <f ca="1"/>
        <v>#N/A</v>
      </c>
      <c r="L40" s="151" t="e">
        <f t="shared" ca="1" si="0"/>
        <v>#N/A</v>
      </c>
      <c r="M40" s="151" t="e">
        <f t="shared" ca="1" si="1"/>
        <v>#N/A</v>
      </c>
      <c r="N40" s="118" t="e">
        <f t="shared" ca="1" si="2"/>
        <v>#N/A</v>
      </c>
      <c r="Q40" s="118" t="s">
        <v>198</v>
      </c>
      <c r="W40" s="155"/>
    </row>
    <row r="41" spans="1:27" ht="11.25" x14ac:dyDescent="0.15">
      <c r="A41" s="118">
        <v>40</v>
      </c>
      <c r="B41" s="118" t="e">
        <f>MATCH(A41,Bowling!$CP$5:$CP$37,0)</f>
        <v>#N/A</v>
      </c>
      <c r="C41" s="118" t="e">
        <f ca="1">OFFSET(Bowling!$B$4,BowlAves!B41,0)</f>
        <v>#N/A</v>
      </c>
      <c r="D41" s="145" t="e">
        <f t="array" aca="1" ref="D41:K41" ca="1">OFFSET(Bowling!$CG$4,BowlAves!B41,0,1,8)</f>
        <v>#N/A</v>
      </c>
      <c r="E41" s="146" t="e">
        <f ca="1"/>
        <v>#N/A</v>
      </c>
      <c r="F41" s="146" t="e">
        <f ca="1"/>
        <v>#N/A</v>
      </c>
      <c r="G41" s="146" t="e">
        <f ca="1"/>
        <v>#N/A</v>
      </c>
      <c r="H41" s="73" t="e">
        <f ca="1"/>
        <v>#N/A</v>
      </c>
      <c r="I41" s="150" t="e">
        <f ca="1"/>
        <v>#N/A</v>
      </c>
      <c r="J41" s="150" t="e">
        <f ca="1"/>
        <v>#N/A</v>
      </c>
      <c r="K41" s="151" t="e">
        <f ca="1"/>
        <v>#N/A</v>
      </c>
      <c r="L41" s="151" t="e">
        <f t="shared" ca="1" si="0"/>
        <v>#N/A</v>
      </c>
      <c r="M41" s="151" t="e">
        <f t="shared" ca="1" si="1"/>
        <v>#N/A</v>
      </c>
      <c r="N41" s="118" t="e">
        <f t="shared" ca="1" si="2"/>
        <v>#N/A</v>
      </c>
      <c r="Q41" s="118" t="s">
        <v>198</v>
      </c>
      <c r="W41" s="155"/>
    </row>
    <row r="42" spans="1:27" ht="11.25" x14ac:dyDescent="0.15">
      <c r="A42" s="118">
        <v>41</v>
      </c>
      <c r="B42" s="118" t="e">
        <f>MATCH(A42,Bowling!$CP$5:$CP$37,0)</f>
        <v>#N/A</v>
      </c>
      <c r="C42" s="118" t="e">
        <f ca="1">OFFSET(Bowling!$B$4,BowlAves!B42,0)</f>
        <v>#N/A</v>
      </c>
      <c r="D42" s="145" t="e">
        <f t="array" aca="1" ref="D42:K42" ca="1">OFFSET(Bowling!$CG$4,BowlAves!B42,0,1,8)</f>
        <v>#N/A</v>
      </c>
      <c r="E42" s="146" t="e">
        <f ca="1"/>
        <v>#N/A</v>
      </c>
      <c r="F42" s="146" t="e">
        <f ca="1"/>
        <v>#N/A</v>
      </c>
      <c r="G42" s="146" t="e">
        <f ca="1"/>
        <v>#N/A</v>
      </c>
      <c r="H42" s="73" t="e">
        <f ca="1"/>
        <v>#N/A</v>
      </c>
      <c r="I42" s="150" t="e">
        <f ca="1"/>
        <v>#N/A</v>
      </c>
      <c r="J42" s="150" t="e">
        <f ca="1"/>
        <v>#N/A</v>
      </c>
      <c r="K42" s="151" t="e">
        <f ca="1"/>
        <v>#N/A</v>
      </c>
      <c r="L42" s="151" t="e">
        <f t="shared" ca="1" si="0"/>
        <v>#N/A</v>
      </c>
      <c r="M42" s="151" t="e">
        <f t="shared" ca="1" si="1"/>
        <v>#N/A</v>
      </c>
      <c r="N42" s="118" t="e">
        <f t="shared" ca="1" si="2"/>
        <v>#N/A</v>
      </c>
      <c r="Q42" s="118" t="s">
        <v>198</v>
      </c>
      <c r="W42" s="155"/>
      <c r="X42" s="118" t="s">
        <v>198</v>
      </c>
    </row>
    <row r="43" spans="1:27" ht="11.25" x14ac:dyDescent="0.15">
      <c r="A43" s="118">
        <v>42</v>
      </c>
      <c r="B43" s="118" t="e">
        <f>MATCH(A43,Bowling!$CP$5:$CP$37,0)</f>
        <v>#N/A</v>
      </c>
      <c r="C43" s="118" t="e">
        <f ca="1">OFFSET(Bowling!$B$4,BowlAves!B43,0)</f>
        <v>#N/A</v>
      </c>
      <c r="D43" s="145" t="e">
        <f t="array" aca="1" ref="D43:K43" ca="1">OFFSET(Bowling!$CG$4,BowlAves!B43,0,1,8)</f>
        <v>#N/A</v>
      </c>
      <c r="E43" s="146" t="e">
        <f ca="1"/>
        <v>#N/A</v>
      </c>
      <c r="F43" s="146" t="e">
        <f ca="1"/>
        <v>#N/A</v>
      </c>
      <c r="G43" s="146" t="e">
        <f ca="1"/>
        <v>#N/A</v>
      </c>
      <c r="H43" s="73" t="e">
        <f ca="1"/>
        <v>#N/A</v>
      </c>
      <c r="I43" s="150" t="e">
        <f ca="1"/>
        <v>#N/A</v>
      </c>
      <c r="J43" s="150" t="e">
        <f ca="1"/>
        <v>#N/A</v>
      </c>
      <c r="K43" s="151" t="e">
        <f ca="1"/>
        <v>#N/A</v>
      </c>
      <c r="L43" s="151" t="e">
        <f t="shared" ca="1" si="0"/>
        <v>#N/A</v>
      </c>
      <c r="M43" s="151" t="e">
        <f t="shared" ca="1" si="1"/>
        <v>#N/A</v>
      </c>
      <c r="N43" s="118" t="e">
        <f t="shared" ca="1" si="2"/>
        <v>#N/A</v>
      </c>
      <c r="Q43" s="118" t="s">
        <v>198</v>
      </c>
      <c r="W43" s="155"/>
      <c r="X43" s="118" t="s">
        <v>198</v>
      </c>
    </row>
    <row r="44" spans="1:27" ht="11.25" x14ac:dyDescent="0.15">
      <c r="A44" s="118">
        <v>43</v>
      </c>
      <c r="B44" s="118" t="e">
        <f>MATCH(A44,Bowling!$CP$5:$CP$37,0)</f>
        <v>#N/A</v>
      </c>
      <c r="C44" s="118" t="e">
        <f ca="1">OFFSET(Bowling!$B$4,BowlAves!B44,0)</f>
        <v>#N/A</v>
      </c>
      <c r="D44" s="145" t="e">
        <f t="array" aca="1" ref="D44:K44" ca="1">OFFSET(Bowling!$CG$4,BowlAves!B44,0,1,8)</f>
        <v>#N/A</v>
      </c>
      <c r="E44" s="146" t="e">
        <f ca="1"/>
        <v>#N/A</v>
      </c>
      <c r="F44" s="146" t="e">
        <f ca="1"/>
        <v>#N/A</v>
      </c>
      <c r="G44" s="146" t="e">
        <f ca="1"/>
        <v>#N/A</v>
      </c>
      <c r="H44" s="73" t="e">
        <f ca="1"/>
        <v>#N/A</v>
      </c>
      <c r="I44" s="150" t="e">
        <f ca="1"/>
        <v>#N/A</v>
      </c>
      <c r="J44" s="150" t="e">
        <f ca="1"/>
        <v>#N/A</v>
      </c>
      <c r="K44" s="151" t="e">
        <f ca="1"/>
        <v>#N/A</v>
      </c>
      <c r="L44" s="151" t="e">
        <f t="shared" ca="1" si="0"/>
        <v>#N/A</v>
      </c>
      <c r="M44" s="151" t="e">
        <f t="shared" ca="1" si="1"/>
        <v>#N/A</v>
      </c>
      <c r="N44" s="118" t="e">
        <f t="shared" ca="1" si="2"/>
        <v>#N/A</v>
      </c>
      <c r="Q44" s="118" t="s">
        <v>198</v>
      </c>
      <c r="W44" s="155"/>
      <c r="X44" s="118" t="s">
        <v>198</v>
      </c>
    </row>
    <row r="45" spans="1:27" ht="11.25" x14ac:dyDescent="0.15">
      <c r="A45" s="118">
        <v>44</v>
      </c>
      <c r="B45" s="118" t="e">
        <f>MATCH(A45,Bowling!$CP$5:$CP$37,0)</f>
        <v>#N/A</v>
      </c>
      <c r="C45" s="118" t="e">
        <f ca="1">OFFSET(Bowling!$B$4,BowlAves!B45,0)</f>
        <v>#N/A</v>
      </c>
      <c r="D45" s="145" t="e">
        <f t="array" aca="1" ref="D45:K45" ca="1">OFFSET(Bowling!$CG$4,BowlAves!B45,0,1,8)</f>
        <v>#N/A</v>
      </c>
      <c r="E45" s="146" t="e">
        <f ca="1"/>
        <v>#N/A</v>
      </c>
      <c r="F45" s="146" t="e">
        <f ca="1"/>
        <v>#N/A</v>
      </c>
      <c r="G45" s="146" t="e">
        <f ca="1"/>
        <v>#N/A</v>
      </c>
      <c r="H45" s="73" t="e">
        <f ca="1"/>
        <v>#N/A</v>
      </c>
      <c r="I45" s="150" t="e">
        <f ca="1"/>
        <v>#N/A</v>
      </c>
      <c r="J45" s="150" t="e">
        <f ca="1"/>
        <v>#N/A</v>
      </c>
      <c r="K45" s="151" t="e">
        <f ca="1"/>
        <v>#N/A</v>
      </c>
      <c r="L45" s="151" t="e">
        <f t="shared" ca="1" si="0"/>
        <v>#N/A</v>
      </c>
      <c r="M45" s="151" t="e">
        <f t="shared" ca="1" si="1"/>
        <v>#N/A</v>
      </c>
      <c r="N45" s="118" t="e">
        <f t="shared" ca="1" si="2"/>
        <v>#N/A</v>
      </c>
      <c r="Q45" s="118" t="s">
        <v>198</v>
      </c>
      <c r="W45" s="155"/>
    </row>
    <row r="46" spans="1:27" ht="11.25" x14ac:dyDescent="0.15">
      <c r="A46" s="118">
        <v>45</v>
      </c>
      <c r="B46" s="118" t="e">
        <f>MATCH(A46,Bowling!$CP$5:$CP$37,0)</f>
        <v>#N/A</v>
      </c>
      <c r="C46" s="118" t="e">
        <f ca="1">OFFSET(Bowling!$B$4,BowlAves!B46,0)</f>
        <v>#N/A</v>
      </c>
      <c r="D46" s="145" t="e">
        <f t="array" aca="1" ref="D46:K46" ca="1">OFFSET(Bowling!$CG$4,BowlAves!B46,0,1,8)</f>
        <v>#N/A</v>
      </c>
      <c r="E46" s="146" t="e">
        <f ca="1"/>
        <v>#N/A</v>
      </c>
      <c r="F46" s="146" t="e">
        <f ca="1"/>
        <v>#N/A</v>
      </c>
      <c r="G46" s="146" t="e">
        <f ca="1"/>
        <v>#N/A</v>
      </c>
      <c r="H46" s="73" t="e">
        <f ca="1"/>
        <v>#N/A</v>
      </c>
      <c r="I46" s="150" t="e">
        <f ca="1"/>
        <v>#N/A</v>
      </c>
      <c r="J46" s="150" t="e">
        <f ca="1"/>
        <v>#N/A</v>
      </c>
      <c r="K46" s="151" t="e">
        <f ca="1"/>
        <v>#N/A</v>
      </c>
      <c r="L46" s="151" t="e">
        <f t="shared" ca="1" si="0"/>
        <v>#N/A</v>
      </c>
      <c r="M46" s="151" t="e">
        <f t="shared" ca="1" si="1"/>
        <v>#N/A</v>
      </c>
      <c r="N46" s="118" t="e">
        <f t="shared" ca="1" si="2"/>
        <v>#N/A</v>
      </c>
      <c r="W46" s="155"/>
    </row>
    <row r="47" spans="1:27" ht="11.25" x14ac:dyDescent="0.15">
      <c r="A47" s="118">
        <v>46</v>
      </c>
      <c r="B47" s="118" t="e">
        <f>MATCH(A47,Bowling!$CP$5:$CP$37,0)</f>
        <v>#N/A</v>
      </c>
      <c r="C47" s="118" t="e">
        <f ca="1">OFFSET(Bowling!$B$4,BowlAves!B47,0)</f>
        <v>#N/A</v>
      </c>
      <c r="D47" s="145" t="e">
        <f t="array" aca="1" ref="D47:K47" ca="1">OFFSET(Bowling!$CG$4,BowlAves!B47,0,1,8)</f>
        <v>#N/A</v>
      </c>
      <c r="E47" s="146" t="e">
        <f ca="1"/>
        <v>#N/A</v>
      </c>
      <c r="F47" s="146" t="e">
        <f ca="1"/>
        <v>#N/A</v>
      </c>
      <c r="G47" s="146" t="e">
        <f ca="1"/>
        <v>#N/A</v>
      </c>
      <c r="H47" s="73" t="e">
        <f ca="1"/>
        <v>#N/A</v>
      </c>
      <c r="I47" s="150" t="e">
        <f ca="1"/>
        <v>#N/A</v>
      </c>
      <c r="J47" s="150" t="e">
        <f ca="1"/>
        <v>#N/A</v>
      </c>
      <c r="K47" s="151" t="e">
        <f ca="1"/>
        <v>#N/A</v>
      </c>
      <c r="L47" s="151" t="e">
        <f t="shared" ca="1" si="0"/>
        <v>#N/A</v>
      </c>
      <c r="M47" s="151" t="e">
        <f t="shared" ca="1" si="1"/>
        <v>#N/A</v>
      </c>
      <c r="N47" s="118" t="e">
        <f t="shared" ca="1" si="2"/>
        <v>#N/A</v>
      </c>
      <c r="W47" s="155"/>
    </row>
    <row r="48" spans="1:27" ht="11.25" x14ac:dyDescent="0.15">
      <c r="A48" s="118">
        <v>47</v>
      </c>
      <c r="B48" s="118" t="e">
        <f>MATCH(A48,Bowling!$CP$5:$CP$37,0)</f>
        <v>#N/A</v>
      </c>
      <c r="C48" s="118" t="e">
        <f ca="1">OFFSET(Bowling!$B$4,BowlAves!B48,0)</f>
        <v>#N/A</v>
      </c>
      <c r="D48" s="145" t="e">
        <f t="array" aca="1" ref="D48:K48" ca="1">OFFSET(Bowling!$CG$4,BowlAves!B48,0,1,8)</f>
        <v>#N/A</v>
      </c>
      <c r="E48" s="146" t="e">
        <f ca="1"/>
        <v>#N/A</v>
      </c>
      <c r="F48" s="146" t="e">
        <f ca="1"/>
        <v>#N/A</v>
      </c>
      <c r="G48" s="146" t="e">
        <f ca="1"/>
        <v>#N/A</v>
      </c>
      <c r="H48" s="73" t="e">
        <f ca="1"/>
        <v>#N/A</v>
      </c>
      <c r="I48" s="150" t="e">
        <f ca="1"/>
        <v>#N/A</v>
      </c>
      <c r="J48" s="150" t="e">
        <f ca="1"/>
        <v>#N/A</v>
      </c>
      <c r="K48" s="151" t="e">
        <f ca="1"/>
        <v>#N/A</v>
      </c>
      <c r="L48" s="151" t="e">
        <f t="shared" ca="1" si="0"/>
        <v>#N/A</v>
      </c>
      <c r="M48" s="151" t="e">
        <f t="shared" ca="1" si="1"/>
        <v>#N/A</v>
      </c>
      <c r="N48" s="118" t="e">
        <f t="shared" ca="1" si="2"/>
        <v>#N/A</v>
      </c>
      <c r="W48" s="155"/>
    </row>
    <row r="49" spans="1:23" ht="11.25" x14ac:dyDescent="0.15">
      <c r="A49" s="118">
        <v>48</v>
      </c>
      <c r="B49" s="118" t="e">
        <f>MATCH(A49,Bowling!$CP$5:$CP$37,0)</f>
        <v>#N/A</v>
      </c>
      <c r="C49" s="118" t="e">
        <f ca="1">OFFSET(Bowling!$B$4,BowlAves!B49,0)</f>
        <v>#N/A</v>
      </c>
      <c r="D49" s="145" t="e">
        <f t="array" aca="1" ref="D49:K49" ca="1">OFFSET(Bowling!$CG$4,BowlAves!B49,0,1,8)</f>
        <v>#N/A</v>
      </c>
      <c r="E49" s="146" t="e">
        <f ca="1"/>
        <v>#N/A</v>
      </c>
      <c r="F49" s="146" t="e">
        <f ca="1"/>
        <v>#N/A</v>
      </c>
      <c r="G49" s="146" t="e">
        <f ca="1"/>
        <v>#N/A</v>
      </c>
      <c r="H49" s="73" t="e">
        <f ca="1"/>
        <v>#N/A</v>
      </c>
      <c r="I49" s="150" t="e">
        <f ca="1"/>
        <v>#N/A</v>
      </c>
      <c r="J49" s="150" t="e">
        <f ca="1"/>
        <v>#N/A</v>
      </c>
      <c r="K49" s="151" t="e">
        <f ca="1"/>
        <v>#N/A</v>
      </c>
      <c r="L49" s="151" t="e">
        <f t="shared" ca="1" si="0"/>
        <v>#N/A</v>
      </c>
      <c r="M49" s="151" t="e">
        <f t="shared" ca="1" si="1"/>
        <v>#N/A</v>
      </c>
      <c r="N49" s="118" t="e">
        <f t="shared" ca="1" si="2"/>
        <v>#N/A</v>
      </c>
      <c r="W49" s="155"/>
    </row>
    <row r="50" spans="1:23" ht="11.25" x14ac:dyDescent="0.15">
      <c r="A50" s="118">
        <v>49</v>
      </c>
      <c r="B50" s="118" t="e">
        <f>MATCH(A50,Bowling!$CP$5:$CP$37,0)</f>
        <v>#N/A</v>
      </c>
      <c r="C50" s="118" t="e">
        <f ca="1">OFFSET(Bowling!$B$4,BowlAves!B50,0)</f>
        <v>#N/A</v>
      </c>
      <c r="D50" s="145" t="e">
        <f t="array" aca="1" ref="D50:K50" ca="1">OFFSET(Bowling!$CG$4,BowlAves!B50,0,1,8)</f>
        <v>#N/A</v>
      </c>
      <c r="E50" s="146" t="e">
        <f ca="1"/>
        <v>#N/A</v>
      </c>
      <c r="F50" s="146" t="e">
        <f ca="1"/>
        <v>#N/A</v>
      </c>
      <c r="G50" s="146" t="e">
        <f ca="1"/>
        <v>#N/A</v>
      </c>
      <c r="H50" s="73" t="e">
        <f ca="1"/>
        <v>#N/A</v>
      </c>
      <c r="I50" s="150" t="e">
        <f ca="1"/>
        <v>#N/A</v>
      </c>
      <c r="J50" s="150" t="e">
        <f ca="1"/>
        <v>#N/A</v>
      </c>
      <c r="K50" s="151" t="e">
        <f ca="1"/>
        <v>#N/A</v>
      </c>
      <c r="L50" s="151" t="e">
        <f t="shared" ca="1" si="0"/>
        <v>#N/A</v>
      </c>
      <c r="M50" s="151" t="e">
        <f t="shared" ca="1" si="1"/>
        <v>#N/A</v>
      </c>
      <c r="N50" s="118" t="e">
        <f t="shared" ca="1" si="2"/>
        <v>#N/A</v>
      </c>
      <c r="W50" s="155"/>
    </row>
    <row r="51" spans="1:23" ht="11.25" x14ac:dyDescent="0.15">
      <c r="A51" s="118">
        <v>50</v>
      </c>
      <c r="B51" s="118" t="e">
        <f>MATCH(A51,Bowling!$CP$5:$CP$37,0)</f>
        <v>#N/A</v>
      </c>
      <c r="C51" s="118" t="e">
        <f ca="1">OFFSET(Bowling!$B$4,BowlAves!B51,0)</f>
        <v>#N/A</v>
      </c>
      <c r="D51" s="145" t="e">
        <f t="array" aca="1" ref="D51:K51" ca="1">OFFSET(Bowling!$CG$4,BowlAves!B51,0,1,8)</f>
        <v>#N/A</v>
      </c>
      <c r="E51" s="146" t="e">
        <f ca="1"/>
        <v>#N/A</v>
      </c>
      <c r="F51" s="146" t="e">
        <f ca="1"/>
        <v>#N/A</v>
      </c>
      <c r="G51" s="146" t="e">
        <f ca="1"/>
        <v>#N/A</v>
      </c>
      <c r="H51" s="73" t="e">
        <f ca="1"/>
        <v>#N/A</v>
      </c>
      <c r="I51" s="150" t="e">
        <f ca="1"/>
        <v>#N/A</v>
      </c>
      <c r="J51" s="150" t="e">
        <f ca="1"/>
        <v>#N/A</v>
      </c>
      <c r="K51" s="151" t="e">
        <f ca="1"/>
        <v>#N/A</v>
      </c>
      <c r="L51" s="151" t="e">
        <f t="shared" ca="1" si="0"/>
        <v>#N/A</v>
      </c>
      <c r="M51" s="151" t="e">
        <f t="shared" ca="1" si="1"/>
        <v>#N/A</v>
      </c>
      <c r="N51" s="118" t="e">
        <f t="shared" ca="1" si="2"/>
        <v>#N/A</v>
      </c>
      <c r="W51" s="155"/>
    </row>
    <row r="52" spans="1:23" ht="11.25" x14ac:dyDescent="0.15">
      <c r="W52" s="155"/>
    </row>
    <row r="60" spans="1:23" x14ac:dyDescent="0.15">
      <c r="N60" s="118" t="s">
        <v>198</v>
      </c>
    </row>
    <row r="61" spans="1:23" x14ac:dyDescent="0.15">
      <c r="N61" s="118" t="s">
        <v>198</v>
      </c>
    </row>
    <row r="62" spans="1:23" x14ac:dyDescent="0.15">
      <c r="N62" s="118" t="s">
        <v>198</v>
      </c>
    </row>
    <row r="63" spans="1:23" x14ac:dyDescent="0.15">
      <c r="N63" s="118" t="s">
        <v>198</v>
      </c>
    </row>
    <row r="67" spans="14:15" ht="12.75" x14ac:dyDescent="0.15">
      <c r="O67" s="99"/>
    </row>
    <row r="68" spans="14:15" ht="12.75" x14ac:dyDescent="0.15">
      <c r="N68" s="99"/>
      <c r="O68" s="99"/>
    </row>
    <row r="69" spans="14:15" ht="12.75" x14ac:dyDescent="0.15">
      <c r="N69" s="99"/>
      <c r="O69" s="99"/>
    </row>
    <row r="70" spans="14:15" ht="12.75" x14ac:dyDescent="0.15">
      <c r="N70" s="99"/>
      <c r="O70" s="99"/>
    </row>
    <row r="71" spans="14:15" ht="12.75" x14ac:dyDescent="0.15">
      <c r="N71" s="99"/>
      <c r="O71" s="99"/>
    </row>
    <row r="72" spans="14:15" ht="12.75" x14ac:dyDescent="0.15">
      <c r="O72" s="99"/>
    </row>
    <row r="73" spans="14:15" ht="12.75" x14ac:dyDescent="0.15">
      <c r="O73" s="99"/>
    </row>
    <row r="74" spans="14:15" ht="12.75" x14ac:dyDescent="0.15">
      <c r="O74" s="99"/>
    </row>
    <row r="75" spans="14:15" ht="12.75" x14ac:dyDescent="0.15">
      <c r="N75" s="99"/>
      <c r="O75" s="99"/>
    </row>
    <row r="76" spans="14:15" ht="12.75" x14ac:dyDescent="0.15">
      <c r="N76" s="99"/>
      <c r="O76" s="99"/>
    </row>
    <row r="77" spans="14:15" ht="12.75" x14ac:dyDescent="0.15">
      <c r="O77" s="99"/>
    </row>
    <row r="78" spans="14:15" ht="12.75" x14ac:dyDescent="0.15">
      <c r="N78" s="99"/>
      <c r="O78" s="99"/>
    </row>
    <row r="79" spans="14:15" ht="12.75" x14ac:dyDescent="0.15">
      <c r="N79" s="99"/>
      <c r="O79" s="99"/>
    </row>
    <row r="80" spans="14:15" ht="12.75" x14ac:dyDescent="0.15">
      <c r="O80" s="99"/>
    </row>
    <row r="81" spans="14:15" ht="12.75" x14ac:dyDescent="0.15">
      <c r="N81" s="99"/>
      <c r="O81" s="99"/>
    </row>
    <row r="82" spans="14:15" ht="12.75" x14ac:dyDescent="0.15">
      <c r="N82" s="99"/>
      <c r="O82" s="99"/>
    </row>
    <row r="83" spans="14:15" ht="12.75" x14ac:dyDescent="0.15">
      <c r="O83" s="99"/>
    </row>
    <row r="84" spans="14:15" ht="12.75" x14ac:dyDescent="0.15">
      <c r="N84" s="99"/>
      <c r="O84" s="99"/>
    </row>
    <row r="85" spans="14:15" ht="12.75" x14ac:dyDescent="0.15">
      <c r="O85" s="99"/>
    </row>
    <row r="86" spans="14:15" ht="12.75" x14ac:dyDescent="0.15">
      <c r="O86" s="99"/>
    </row>
    <row r="87" spans="14:15" ht="12.75" x14ac:dyDescent="0.15">
      <c r="O87" s="99"/>
    </row>
    <row r="88" spans="14:15" ht="12.75" x14ac:dyDescent="0.15">
      <c r="O88" s="99"/>
    </row>
    <row r="89" spans="14:15" ht="12.75" x14ac:dyDescent="0.15">
      <c r="O89" s="99"/>
    </row>
    <row r="90" spans="14:15" ht="12.75" x14ac:dyDescent="0.15">
      <c r="O90" s="99"/>
    </row>
  </sheetData>
  <sortState ref="N60:O90">
    <sortCondition ref="N60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79" customFormat="1" x14ac:dyDescent="0.15"/>
    <row r="2" spans="1:41" s="80" customFormat="1" x14ac:dyDescent="0.15"/>
    <row r="13" spans="1:41" s="6" customFormat="1" x14ac:dyDescent="0.15"/>
    <row r="14" spans="1:41" s="95" customFormat="1" x14ac:dyDescent="0.15">
      <c r="K14" s="98"/>
    </row>
    <row r="15" spans="1:41" x14ac:dyDescent="0.15">
      <c r="A15" s="78">
        <f t="array" ref="A15">SUM(IF(ISNA(A16:A26),0,A16:A26))</f>
        <v>0</v>
      </c>
      <c r="B15" s="78" t="e">
        <f t="shared" ref="B15:O15" si="0">SUM(B16:B26)</f>
        <v>#N/A</v>
      </c>
      <c r="C15" s="78" t="e">
        <f t="shared" si="0"/>
        <v>#N/A</v>
      </c>
      <c r="D15" s="78" t="e">
        <f t="shared" si="0"/>
        <v>#N/A</v>
      </c>
      <c r="E15" s="78" t="e">
        <f t="shared" si="0"/>
        <v>#N/A</v>
      </c>
      <c r="F15" s="78" t="e">
        <f t="shared" si="0"/>
        <v>#N/A</v>
      </c>
      <c r="G15" s="78" t="e">
        <f t="shared" si="0"/>
        <v>#N/A</v>
      </c>
      <c r="H15" s="78" t="e">
        <f t="shared" si="0"/>
        <v>#N/A</v>
      </c>
      <c r="I15" s="78" t="e">
        <f t="shared" si="0"/>
        <v>#N/A</v>
      </c>
      <c r="J15" s="78" t="e">
        <f t="shared" si="0"/>
        <v>#N/A</v>
      </c>
      <c r="K15" s="78" t="e">
        <f t="shared" si="0"/>
        <v>#N/A</v>
      </c>
      <c r="L15" s="78" t="e">
        <f t="shared" si="0"/>
        <v>#N/A</v>
      </c>
      <c r="M15" s="78" t="e">
        <f t="shared" si="0"/>
        <v>#N/A</v>
      </c>
      <c r="N15" s="78" t="e">
        <f t="shared" si="0"/>
        <v>#N/A</v>
      </c>
      <c r="O15" s="78" t="e">
        <f t="shared" si="0"/>
        <v>#N/A</v>
      </c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 t="e">
        <f t="shared" ref="Z15:AG15" si="1">SUM(Z16:Z26)</f>
        <v>#N/A</v>
      </c>
      <c r="AA15" s="78" t="e">
        <f t="shared" si="1"/>
        <v>#N/A</v>
      </c>
      <c r="AB15" s="78" t="e">
        <f t="shared" si="1"/>
        <v>#N/A</v>
      </c>
      <c r="AC15" s="78" t="e">
        <f t="shared" si="1"/>
        <v>#N/A</v>
      </c>
      <c r="AD15" s="78" t="e">
        <f t="shared" si="1"/>
        <v>#N/A</v>
      </c>
      <c r="AE15" s="78" t="e">
        <f t="shared" si="1"/>
        <v>#N/A</v>
      </c>
      <c r="AF15" s="78" t="e">
        <f t="shared" si="1"/>
        <v>#N/A</v>
      </c>
      <c r="AG15" s="78" t="e">
        <f t="shared" si="1"/>
        <v>#N/A</v>
      </c>
      <c r="AH15" s="78" t="e">
        <f t="shared" ref="AH15:AO15" si="2">SUM(AH16:AH26)</f>
        <v>#N/A</v>
      </c>
      <c r="AI15" s="78" t="e">
        <f t="shared" si="2"/>
        <v>#N/A</v>
      </c>
      <c r="AJ15" s="78" t="e">
        <f t="shared" si="2"/>
        <v>#N/A</v>
      </c>
      <c r="AK15" s="78" t="e">
        <f t="shared" si="2"/>
        <v>#N/A</v>
      </c>
      <c r="AL15" s="78" t="e">
        <f t="shared" si="2"/>
        <v>#N/A</v>
      </c>
      <c r="AM15" s="78" t="e">
        <f t="shared" si="2"/>
        <v>#N/A</v>
      </c>
      <c r="AN15" s="78" t="e">
        <f t="shared" si="2"/>
        <v>#N/A</v>
      </c>
      <c r="AO15" s="78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1" customFormat="1" x14ac:dyDescent="0.15">
      <c r="A28" s="82">
        <f>83-166</f>
        <v>-83</v>
      </c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>
        <v>-51</v>
      </c>
      <c r="AG28" s="82"/>
      <c r="AH28" s="82"/>
      <c r="AI28" s="82"/>
      <c r="AJ28" s="82"/>
      <c r="AK28" s="82"/>
      <c r="AL28" s="82"/>
      <c r="AM28" s="82"/>
      <c r="AN28" s="82"/>
      <c r="AO28" s="82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5" t="s">
        <v>70</v>
      </c>
      <c r="D44" s="85" t="s">
        <v>142</v>
      </c>
      <c r="E44" s="85" t="s">
        <v>71</v>
      </c>
      <c r="F44" s="85" t="s">
        <v>72</v>
      </c>
      <c r="G44" s="83" t="s">
        <v>73</v>
      </c>
      <c r="H44" s="84">
        <f>COUNTA(1:1)</f>
        <v>0</v>
      </c>
    </row>
    <row r="45" spans="1:41" x14ac:dyDescent="0.15">
      <c r="A45" s="65" t="s">
        <v>169</v>
      </c>
      <c r="B45" t="s">
        <v>172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124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5" t="s">
        <v>170</v>
      </c>
      <c r="B46" t="s">
        <v>178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125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5" t="s">
        <v>121</v>
      </c>
      <c r="B47" t="s">
        <v>162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124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5" t="s">
        <v>41</v>
      </c>
      <c r="B48" t="s">
        <v>64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125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5" t="s">
        <v>51</v>
      </c>
      <c r="B49" t="s">
        <v>63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125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5" t="s">
        <v>91</v>
      </c>
      <c r="B50" t="s">
        <v>145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125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5" t="s">
        <v>168</v>
      </c>
      <c r="B51" t="s">
        <v>173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124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5" t="s">
        <v>42</v>
      </c>
      <c r="B52" t="s">
        <v>92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126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5" t="s">
        <v>140</v>
      </c>
      <c r="B53" t="s">
        <v>157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125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5" t="s">
        <v>43</v>
      </c>
      <c r="B54" t="s">
        <v>62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125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5" t="s">
        <v>36</v>
      </c>
      <c r="B55" t="s">
        <v>93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126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5" t="s">
        <v>45</v>
      </c>
      <c r="B56" t="s">
        <v>65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126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5" t="s">
        <v>47</v>
      </c>
      <c r="B57" t="s">
        <v>58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124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5" t="s">
        <v>46</v>
      </c>
      <c r="B58" t="s">
        <v>60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126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5" t="s">
        <v>37</v>
      </c>
      <c r="B59" t="s">
        <v>59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126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5" t="s">
        <v>156</v>
      </c>
      <c r="B60" t="s">
        <v>174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124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5" t="s">
        <v>67</v>
      </c>
      <c r="B61" t="s">
        <v>94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124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5" t="s">
        <v>153</v>
      </c>
      <c r="B62" t="s">
        <v>152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124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5" t="s">
        <v>127</v>
      </c>
      <c r="B63" t="s">
        <v>128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124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5" t="s">
        <v>39</v>
      </c>
      <c r="B64" t="s">
        <v>95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125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5" t="s">
        <v>40</v>
      </c>
      <c r="B65" t="s">
        <v>57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13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5" t="s">
        <v>50</v>
      </c>
      <c r="B66" t="s">
        <v>96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125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5" t="s">
        <v>171</v>
      </c>
      <c r="B67" t="s">
        <v>175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13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5" t="s">
        <v>150</v>
      </c>
      <c r="B68" t="s">
        <v>151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125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5" t="s">
        <v>53</v>
      </c>
      <c r="B69" t="s">
        <v>56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125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5" t="s">
        <v>69</v>
      </c>
      <c r="B70" t="s">
        <v>66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13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5" t="s">
        <v>52</v>
      </c>
      <c r="B71" t="s">
        <v>61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124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5" t="s">
        <v>68</v>
      </c>
      <c r="B72" t="s">
        <v>158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124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5" t="s">
        <v>122</v>
      </c>
      <c r="B73" t="s">
        <v>123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13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5" t="s">
        <v>49</v>
      </c>
      <c r="B74" t="s">
        <v>97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124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5" t="s">
        <v>161</v>
      </c>
      <c r="B75" t="s">
        <v>176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125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5" t="s">
        <v>149</v>
      </c>
      <c r="B76" t="s">
        <v>159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124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5" t="s">
        <v>160</v>
      </c>
      <c r="B77" t="s">
        <v>177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124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5" t="s">
        <v>38</v>
      </c>
      <c r="B78" t="s">
        <v>54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13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5" t="s">
        <v>48</v>
      </c>
      <c r="B79" t="s">
        <v>98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126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5" t="s">
        <v>44</v>
      </c>
      <c r="B80" t="s">
        <v>55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124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5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5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5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5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5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5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5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126</v>
      </c>
      <c r="H89">
        <f t="array" ref="H89">SUM(IF($G$45:$G$87=G89,1,0))</f>
        <v>6</v>
      </c>
    </row>
    <row r="90" spans="1:15" x14ac:dyDescent="0.15">
      <c r="G90" t="s">
        <v>124</v>
      </c>
      <c r="H90">
        <f t="array" ref="H90">SUM(IF($G$45:$G$87=G90,1,0))</f>
        <v>14</v>
      </c>
    </row>
    <row r="91" spans="1:15" x14ac:dyDescent="0.15">
      <c r="G91" t="s">
        <v>125</v>
      </c>
      <c r="H91">
        <f t="array" ref="H91">SUM(IF($G$45:$G$87=G91,1,0))</f>
        <v>11</v>
      </c>
    </row>
    <row r="92" spans="1:15" x14ac:dyDescent="0.15">
      <c r="G92" t="s">
        <v>13</v>
      </c>
      <c r="H92">
        <f t="array" ref="H92">SUM(IF($G$45:$G$87=G92,1,0))</f>
        <v>5</v>
      </c>
    </row>
    <row r="93" spans="1:15" x14ac:dyDescent="0.15">
      <c r="G93" t="s">
        <v>141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74</v>
      </c>
      <c r="C1" s="9">
        <v>89</v>
      </c>
    </row>
    <row r="2" spans="1:20" x14ac:dyDescent="0.2">
      <c r="A2" s="5" t="s">
        <v>75</v>
      </c>
      <c r="C2" s="9">
        <v>91</v>
      </c>
    </row>
    <row r="4" spans="1:20" ht="22.5" x14ac:dyDescent="0.2">
      <c r="A4" s="8"/>
      <c r="B4" s="8" t="s">
        <v>76</v>
      </c>
      <c r="C4" s="8" t="s">
        <v>77</v>
      </c>
      <c r="D4" s="8" t="s">
        <v>154</v>
      </c>
      <c r="E4" s="8" t="s">
        <v>78</v>
      </c>
      <c r="F4" s="8" t="s">
        <v>79</v>
      </c>
      <c r="G4" s="8" t="s">
        <v>80</v>
      </c>
      <c r="H4" s="8" t="s">
        <v>81</v>
      </c>
      <c r="I4" s="8" t="s">
        <v>82</v>
      </c>
      <c r="J4" s="8" t="s">
        <v>70</v>
      </c>
      <c r="K4" s="8" t="s">
        <v>188</v>
      </c>
      <c r="M4" s="8" t="s">
        <v>83</v>
      </c>
    </row>
    <row r="5" spans="1:20" x14ac:dyDescent="0.2">
      <c r="A5" s="65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IF(NOT(ISNA(E5)),5*OFFSET(Batting!$CF$4,E5,0,1,1),0)</f>
        <v>0</v>
      </c>
      <c r="E5" s="9" t="e">
        <f ca="1">MATCH(A5,Batting!$A$5:$A$58,0)</f>
        <v>#N/A</v>
      </c>
      <c r="F5" s="9">
        <f ca="1">IF(NOT(ISNA(E5)),OFFSET(Batting!$B$4,E5,$C$1,1,1),0)</f>
        <v>0</v>
      </c>
      <c r="G5" s="9" t="e">
        <f ca="1">MATCH(A5,Bowling!$A$5:$A$41,0)</f>
        <v>#N/A</v>
      </c>
      <c r="H5" s="9">
        <f ca="1">IF(NOT(ISNA(G5)),OFFSET(Bowling!#REF!,G5,0,1,1),0)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5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IF(NOT(ISNA(E6)),5*OFFSET(Batting!$CF$4,E6,0,1,1),0)</f>
        <v>0</v>
      </c>
      <c r="E6" s="9" t="e">
        <f ca="1">MATCH(A6,Batting!$A$5:$A$58,0)</f>
        <v>#N/A</v>
      </c>
      <c r="F6" s="9">
        <f ca="1">IF(NOT(ISNA(E6)),OFFSET(Batting!$B$4,E6,$C$1,1,1),0)</f>
        <v>0</v>
      </c>
      <c r="G6" s="9" t="e">
        <f ca="1">MATCH(A6,Bowling!$A$5:$A$41,0)</f>
        <v>#N/A</v>
      </c>
      <c r="H6" s="9">
        <f ca="1">IF(NOT(ISNA(G6)),OFFSET(Bowling!#REF!,G6,0,1,1),0)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5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IF(NOT(ISNA(E7)),5*OFFSET(Batting!$CF$4,E7,0,1,1),0)</f>
        <v>0</v>
      </c>
      <c r="E7" s="9" t="e">
        <f ca="1">MATCH(A7,Batting!$A$5:$A$58,0)</f>
        <v>#N/A</v>
      </c>
      <c r="F7" s="9">
        <f ca="1">IF(NOT(ISNA(E7)),OFFSET(Batting!$B$4,E7,$C$1,1,1),0)</f>
        <v>0</v>
      </c>
      <c r="G7" s="9" t="e">
        <f ca="1">MATCH(A7,Bowling!$A$5:$A$41,0)</f>
        <v>#N/A</v>
      </c>
      <c r="H7" s="9">
        <f ca="1">IF(NOT(ISNA(G7)),OFFSET(Bowling!#REF!,G7,0,1,1),0)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5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IF(NOT(ISNA(E8)),5*OFFSET(Batting!$CF$4,E8,0,1,1),0)</f>
        <v>0</v>
      </c>
      <c r="E8" s="9" t="e">
        <f ca="1">MATCH(A8,Batting!$A$5:$A$58,0)</f>
        <v>#N/A</v>
      </c>
      <c r="F8" s="9">
        <f ca="1">IF(NOT(ISNA(E8)),OFFSET(Batting!$B$4,E8,$C$1,1,1),0)</f>
        <v>0</v>
      </c>
      <c r="G8" s="9" t="e">
        <f ca="1">MATCH(A8,Bowling!$A$5:$A$41,0)</f>
        <v>#N/A</v>
      </c>
      <c r="H8" s="9">
        <f ca="1">IF(NOT(ISNA(G8)),OFFSET(Bowling!#REF!,G8,0,1,1),0)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5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IF(NOT(ISNA(E9)),5*OFFSET(Batting!$CF$4,E9,0,1,1),0)</f>
        <v>0</v>
      </c>
      <c r="E9" s="9" t="e">
        <f ca="1">MATCH(A9,Batting!$A$5:$A$58,0)</f>
        <v>#N/A</v>
      </c>
      <c r="F9" s="9">
        <f ca="1">IF(NOT(ISNA(E9)),OFFSET(Batting!$B$4,E9,$C$1,1,1),0)</f>
        <v>0</v>
      </c>
      <c r="G9" s="9" t="e">
        <f ca="1">MATCH(A9,Bowling!$A$5:$A$41,0)</f>
        <v>#N/A</v>
      </c>
      <c r="H9" s="9">
        <f ca="1">IF(NOT(ISNA(G9)),OFFSET(Bowling!#REF!,G9,0,1,1),0)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5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IF(NOT(ISNA(E10)),5*OFFSET(Batting!$CF$4,E10,0,1,1),0)</f>
        <v>0</v>
      </c>
      <c r="E10" s="9" t="e">
        <f ca="1">MATCH(A10,Batting!$A$5:$A$58,0)</f>
        <v>#N/A</v>
      </c>
      <c r="F10" s="9">
        <f ca="1">IF(NOT(ISNA(E10)),OFFSET(Batting!$B$4,E10,$C$1,1,1),0)</f>
        <v>0</v>
      </c>
      <c r="G10" s="9" t="e">
        <f ca="1">MATCH(A10,Bowling!$A$5:$A$41,0)</f>
        <v>#N/A</v>
      </c>
      <c r="H10" s="9">
        <f ca="1">IF(NOT(ISNA(G10)),OFFSET(Bowling!#REF!,G10,0,1,1),0)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5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IF(NOT(ISNA(E11)),5*OFFSET(Batting!$CF$4,E11,0,1,1),0)</f>
        <v>0</v>
      </c>
      <c r="E11" s="9" t="e">
        <f ca="1">MATCH(A11,Batting!$A$5:$A$58,0)</f>
        <v>#N/A</v>
      </c>
      <c r="F11" s="9">
        <f ca="1">IF(NOT(ISNA(E11)),OFFSET(Batting!$B$4,E11,$C$1,1,1),0)</f>
        <v>0</v>
      </c>
      <c r="G11" s="9" t="e">
        <f ca="1">MATCH(A11,Bowling!$A$5:$A$41,0)</f>
        <v>#N/A</v>
      </c>
      <c r="H11" s="9">
        <f ca="1">IF(NOT(ISNA(G11)),OFFSET(Bowling!#REF!,G11,0,1,1),0)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5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IF(NOT(ISNA(E12)),5*OFFSET(Batting!$CF$4,E12,0,1,1),0)</f>
        <v>0</v>
      </c>
      <c r="E12" s="9" t="e">
        <f ca="1">MATCH(A12,Batting!$A$5:$A$58,0)</f>
        <v>#N/A</v>
      </c>
      <c r="F12" s="9">
        <f ca="1">IF(NOT(ISNA(E12)),OFFSET(Batting!$B$4,E12,$C$1,1,1),0)</f>
        <v>0</v>
      </c>
      <c r="G12" s="9" t="e">
        <f ca="1">MATCH(A12,Bowling!$A$5:$A$41,0)</f>
        <v>#N/A</v>
      </c>
      <c r="H12" s="9">
        <f ca="1">IF(NOT(ISNA(G12)),OFFSET(Bowling!#REF!,G12,0,1,1),0)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5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IF(NOT(ISNA(E13)),5*OFFSET(Batting!$CF$4,E13,0,1,1),0)</f>
        <v>0</v>
      </c>
      <c r="E13" s="9" t="e">
        <f ca="1">MATCH(A13,Batting!$A$5:$A$58,0)</f>
        <v>#N/A</v>
      </c>
      <c r="F13" s="9">
        <f ca="1">IF(NOT(ISNA(E13)),OFFSET(Batting!$B$4,E13,$C$1,1,1),0)</f>
        <v>0</v>
      </c>
      <c r="G13" s="9" t="e">
        <f ca="1">MATCH(A13,Bowling!$A$5:$A$41,0)</f>
        <v>#N/A</v>
      </c>
      <c r="H13" s="9">
        <f ca="1">IF(NOT(ISNA(G13)),OFFSET(Bowling!#REF!,G13,0,1,1),0)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5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IF(NOT(ISNA(E14)),5*OFFSET(Batting!$CF$4,E14,0,1,1),0)</f>
        <v>0</v>
      </c>
      <c r="E14" s="9" t="e">
        <f ca="1">MATCH(A14,Batting!$A$5:$A$58,0)</f>
        <v>#N/A</v>
      </c>
      <c r="F14" s="9">
        <f ca="1">IF(NOT(ISNA(E14)),OFFSET(Batting!$B$4,E14,$C$1,1,1),0)</f>
        <v>0</v>
      </c>
      <c r="G14" s="9" t="e">
        <f ca="1">MATCH(A14,Bowling!$A$5:$A$41,0)</f>
        <v>#N/A</v>
      </c>
      <c r="H14" s="9">
        <f ca="1">IF(NOT(ISNA(G14)),OFFSET(Bowling!#REF!,G14,0,1,1),0)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5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IF(NOT(ISNA(E15)),5*OFFSET(Batting!$CF$4,E15,0,1,1),0)</f>
        <v>0</v>
      </c>
      <c r="E15" s="9" t="e">
        <f ca="1">MATCH(A15,Batting!$A$5:$A$58,0)</f>
        <v>#N/A</v>
      </c>
      <c r="F15" s="9">
        <f ca="1">IF(NOT(ISNA(E15)),OFFSET(Batting!$B$4,E15,$C$1,1,1),0)</f>
        <v>0</v>
      </c>
      <c r="G15" s="9" t="e">
        <f ca="1">MATCH(A15,Bowling!$A$5:$A$41,0)</f>
        <v>#N/A</v>
      </c>
      <c r="H15" s="9">
        <f ca="1">IF(NOT(ISNA(G15)),OFFSET(Bowling!#REF!,G15,0,1,1),0)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100">
        <f t="array" aca="1" ref="T15" ca="1">SUM(Q5:Q15*R5:R15)</f>
        <v>0</v>
      </c>
    </row>
    <row r="16" spans="1:20" x14ac:dyDescent="0.2">
      <c r="A16" s="65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IF(NOT(ISNA(E16)),5*OFFSET(Batting!$CF$4,E16,0,1,1),0)</f>
        <v>0</v>
      </c>
      <c r="E16" s="9" t="e">
        <f ca="1">MATCH(A16,Batting!$A$5:$A$58,0)</f>
        <v>#N/A</v>
      </c>
      <c r="F16" s="9">
        <f ca="1">IF(NOT(ISNA(E16)),OFFSET(Batting!$B$4,E16,$C$1,1,1),0)</f>
        <v>0</v>
      </c>
      <c r="G16" s="9" t="e">
        <f ca="1">MATCH(A16,Bowling!$A$5:$A$41,0)</f>
        <v>#N/A</v>
      </c>
      <c r="H16" s="9">
        <f ca="1">IF(NOT(ISNA(G16)),OFFSET(Bowling!#REF!,G16,0,1,1),0)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5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IF(NOT(ISNA(E17)),5*OFFSET(Batting!$CF$4,E17,0,1,1),0)</f>
        <v>0</v>
      </c>
      <c r="E17" s="9" t="e">
        <f ca="1">MATCH(A17,Batting!$A$5:$A$58,0)</f>
        <v>#N/A</v>
      </c>
      <c r="F17" s="9">
        <f ca="1">IF(NOT(ISNA(E17)),OFFSET(Batting!$B$4,E17,$C$1,1,1),0)</f>
        <v>0</v>
      </c>
      <c r="G17" s="9" t="e">
        <f ca="1">MATCH(A17,Bowling!$A$5:$A$41,0)</f>
        <v>#N/A</v>
      </c>
      <c r="H17" s="9">
        <f ca="1">IF(NOT(ISNA(G17)),OFFSET(Bowling!#REF!,G17,0,1,1),0)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5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IF(NOT(ISNA(E18)),5*OFFSET(Batting!$CF$4,E18,0,1,1),0)</f>
        <v>0</v>
      </c>
      <c r="E18" s="9" t="e">
        <f ca="1">MATCH(A18,Batting!$A$5:$A$58,0)</f>
        <v>#N/A</v>
      </c>
      <c r="F18" s="9">
        <f ca="1">IF(NOT(ISNA(E18)),OFFSET(Batting!$B$4,E18,$C$1,1,1),0)</f>
        <v>0</v>
      </c>
      <c r="G18" s="9" t="e">
        <f ca="1">MATCH(A18,Bowling!$A$5:$A$41,0)</f>
        <v>#N/A</v>
      </c>
      <c r="H18" s="9">
        <f ca="1">IF(NOT(ISNA(G18)),OFFSET(Bowling!#REF!,G18,0,1,1),0)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5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IF(NOT(ISNA(E19)),5*OFFSET(Batting!$CF$4,E19,0,1,1),0)</f>
        <v>0</v>
      </c>
      <c r="E19" s="9" t="e">
        <f ca="1">MATCH(A19,Batting!$A$5:$A$58,0)</f>
        <v>#N/A</v>
      </c>
      <c r="F19" s="9">
        <f ca="1">IF(NOT(ISNA(E19)),OFFSET(Batting!$B$4,E19,$C$1,1,1),0)</f>
        <v>0</v>
      </c>
      <c r="G19" s="9" t="e">
        <f ca="1">MATCH(A19,Bowling!$A$5:$A$41,0)</f>
        <v>#N/A</v>
      </c>
      <c r="H19" s="9">
        <f ca="1">IF(NOT(ISNA(G19)),OFFSET(Bowling!#REF!,G19,0,1,1),0)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5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IF(NOT(ISNA(E20)),5*OFFSET(Batting!$CF$4,E20,0,1,1),0)</f>
        <v>0</v>
      </c>
      <c r="E20" s="9" t="e">
        <f ca="1">MATCH(A20,Batting!$A$5:$A$58,0)</f>
        <v>#N/A</v>
      </c>
      <c r="F20" s="9">
        <f ca="1">IF(NOT(ISNA(E20)),OFFSET(Batting!$B$4,E20,$C$1,1,1),0)</f>
        <v>0</v>
      </c>
      <c r="G20" s="9" t="e">
        <f ca="1">MATCH(A20,Bowling!$A$5:$A$41,0)</f>
        <v>#N/A</v>
      </c>
      <c r="H20" s="9">
        <f ca="1">IF(NOT(ISNA(G20)),OFFSET(Bowling!#REF!,G20,0,1,1),0)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5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IF(NOT(ISNA(E21)),5*OFFSET(Batting!$CF$4,E21,0,1,1),0)</f>
        <v>0</v>
      </c>
      <c r="E21" s="9" t="e">
        <f ca="1">MATCH(A21,Batting!$A$5:$A$58,0)</f>
        <v>#N/A</v>
      </c>
      <c r="F21" s="9">
        <f ca="1">IF(NOT(ISNA(E21)),OFFSET(Batting!$B$4,E21,$C$1,1,1),0)</f>
        <v>0</v>
      </c>
      <c r="G21" s="9" t="e">
        <f ca="1">MATCH(A21,Bowling!$A$5:$A$41,0)</f>
        <v>#N/A</v>
      </c>
      <c r="H21" s="9">
        <f ca="1">IF(NOT(ISNA(G21)),OFFSET(Bowling!#REF!,G21,0,1,1),0)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5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IF(NOT(ISNA(E22)),5*OFFSET(Batting!$CF$4,E22,0,1,1),0)</f>
        <v>0</v>
      </c>
      <c r="E22" s="9" t="e">
        <f ca="1">MATCH(A22,Batting!$A$5:$A$58,0)</f>
        <v>#N/A</v>
      </c>
      <c r="F22" s="9">
        <f ca="1">IF(NOT(ISNA(E22)),OFFSET(Batting!$B$4,E22,$C$1,1,1),0)</f>
        <v>0</v>
      </c>
      <c r="G22" s="9" t="e">
        <f ca="1">MATCH(A22,Bowling!$A$5:$A$41,0)</f>
        <v>#N/A</v>
      </c>
      <c r="H22" s="9">
        <f ca="1">IF(NOT(ISNA(G22)),OFFSET(Bowling!#REF!,G22,0,1,1),0)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5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IF(NOT(ISNA(E23)),5*OFFSET(Batting!$CF$4,E23,0,1,1),0)</f>
        <v>0</v>
      </c>
      <c r="E23" s="9" t="e">
        <f ca="1">MATCH(A23,Batting!$A$5:$A$58,0)</f>
        <v>#N/A</v>
      </c>
      <c r="F23" s="9">
        <f ca="1">IF(NOT(ISNA(E23)),OFFSET(Batting!$B$4,E23,$C$1,1,1),0)</f>
        <v>0</v>
      </c>
      <c r="G23" s="9" t="e">
        <f ca="1">MATCH(A23,Bowling!$A$5:$A$41,0)</f>
        <v>#N/A</v>
      </c>
      <c r="H23" s="9">
        <f ca="1">IF(NOT(ISNA(G23)),OFFSET(Bowling!#REF!,G23,0,1,1),0)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5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IF(NOT(ISNA(E24)),5*OFFSET(Batting!$CF$4,E24,0,1,1),0)</f>
        <v>0</v>
      </c>
      <c r="E24" s="9" t="e">
        <f ca="1">MATCH(A24,Batting!$A$5:$A$58,0)</f>
        <v>#N/A</v>
      </c>
      <c r="F24" s="9">
        <f ca="1">IF(NOT(ISNA(E24)),OFFSET(Batting!$B$4,E24,$C$1,1,1),0)</f>
        <v>0</v>
      </c>
      <c r="G24" s="9" t="e">
        <f ca="1">MATCH(A24,Bowling!$A$5:$A$41,0)</f>
        <v>#N/A</v>
      </c>
      <c r="H24" s="9">
        <f ca="1">IF(NOT(ISNA(G24)),OFFSET(Bowling!#REF!,G24,0,1,1),0)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5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IF(NOT(ISNA(E25)),5*OFFSET(Batting!$CF$4,E25,0,1,1),0)</f>
        <v>0</v>
      </c>
      <c r="E25" s="9" t="e">
        <f ca="1">MATCH(A25,Batting!$A$5:$A$58,0)</f>
        <v>#N/A</v>
      </c>
      <c r="F25" s="9">
        <f ca="1">IF(NOT(ISNA(E25)),OFFSET(Batting!$B$4,E25,$C$1,1,1),0)</f>
        <v>0</v>
      </c>
      <c r="G25" s="9" t="e">
        <f ca="1">MATCH(A25,Bowling!$A$5:$A$41,0)</f>
        <v>#N/A</v>
      </c>
      <c r="H25" s="9">
        <f ca="1">IF(NOT(ISNA(G25)),OFFSET(Bowling!#REF!,G25,0,1,1),0)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5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IF(NOT(ISNA(E26)),5*OFFSET(Batting!$CF$4,E26,0,1,1),0)</f>
        <v>0</v>
      </c>
      <c r="E26" s="9" t="e">
        <f ca="1">MATCH(A26,Batting!$A$5:$A$58,0)</f>
        <v>#N/A</v>
      </c>
      <c r="F26" s="9">
        <f ca="1">IF(NOT(ISNA(E26)),OFFSET(Batting!$B$4,E26,$C$1,1,1),0)</f>
        <v>0</v>
      </c>
      <c r="G26" s="9" t="e">
        <f ca="1">MATCH(A26,Bowling!$A$5:$A$41,0)</f>
        <v>#N/A</v>
      </c>
      <c r="H26" s="9">
        <f ca="1">IF(NOT(ISNA(G26)),OFFSET(Bowling!#REF!,G26,0,1,1),0)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5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IF(NOT(ISNA(E27)),5*OFFSET(Batting!$CF$4,E27,0,1,1),0)</f>
        <v>0</v>
      </c>
      <c r="E27" s="9" t="e">
        <f ca="1">MATCH(A27,Batting!$A$5:$A$58,0)</f>
        <v>#N/A</v>
      </c>
      <c r="F27" s="9">
        <f ca="1">IF(NOT(ISNA(E27)),OFFSET(Batting!$B$4,E27,$C$1,1,1),0)</f>
        <v>0</v>
      </c>
      <c r="G27" s="9" t="e">
        <f ca="1">MATCH(A27,Bowling!$A$5:$A$41,0)</f>
        <v>#N/A</v>
      </c>
      <c r="H27" s="9">
        <f ca="1">IF(NOT(ISNA(G27)),OFFSET(Bowling!#REF!,G27,0,1,1),0)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5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IF(NOT(ISNA(E28)),5*OFFSET(Batting!$CF$4,E28,0,1,1),0)</f>
        <v>0</v>
      </c>
      <c r="E28" s="9" t="e">
        <f ca="1">MATCH(A28,Batting!$A$5:$A$58,0)</f>
        <v>#N/A</v>
      </c>
      <c r="F28" s="9">
        <f ca="1">IF(NOT(ISNA(E28)),OFFSET(Batting!$B$4,E28,$C$1,1,1),0)</f>
        <v>0</v>
      </c>
      <c r="G28" s="9" t="e">
        <f ca="1">MATCH(A28,Bowling!$A$5:$A$41,0)</f>
        <v>#N/A</v>
      </c>
      <c r="H28" s="9">
        <f ca="1">IF(NOT(ISNA(G28)),OFFSET(Bowling!#REF!,G28,0,1,1),0)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5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IF(NOT(ISNA(E29)),5*OFFSET(Batting!$CF$4,E29,0,1,1),0)</f>
        <v>0</v>
      </c>
      <c r="E29" s="9" t="e">
        <f ca="1">MATCH(A29,Batting!$A$5:$A$58,0)</f>
        <v>#N/A</v>
      </c>
      <c r="F29" s="9">
        <f ca="1">IF(NOT(ISNA(E29)),OFFSET(Batting!$B$4,E29,$C$1,1,1),0)</f>
        <v>0</v>
      </c>
      <c r="G29" s="9" t="e">
        <f ca="1">MATCH(A29,Bowling!$A$5:$A$41,0)</f>
        <v>#N/A</v>
      </c>
      <c r="H29" s="9">
        <f ca="1">IF(NOT(ISNA(G29)),OFFSET(Bowling!#REF!,G29,0,1,1),0)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5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IF(NOT(ISNA(E30)),5*OFFSET(Batting!$CF$4,E30,0,1,1),0)</f>
        <v>0</v>
      </c>
      <c r="E30" s="9" t="e">
        <f ca="1">MATCH(A30,Batting!$A$5:$A$58,0)</f>
        <v>#N/A</v>
      </c>
      <c r="F30" s="9">
        <f ca="1">IF(NOT(ISNA(E30)),OFFSET(Batting!$B$4,E30,$C$1,1,1),0)</f>
        <v>0</v>
      </c>
      <c r="G30" s="9" t="e">
        <f ca="1">MATCH(A30,Bowling!$A$5:$A$41,0)</f>
        <v>#N/A</v>
      </c>
      <c r="H30" s="9">
        <f ca="1">IF(NOT(ISNA(G30)),OFFSET(Bowling!#REF!,G30,0,1,1),0)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5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IF(NOT(ISNA(E31)),5*OFFSET(Batting!$CF$4,E31,0,1,1),0)</f>
        <v>0</v>
      </c>
      <c r="E31" s="9" t="e">
        <f ca="1">MATCH(A31,Batting!$A$5:$A$58,0)</f>
        <v>#N/A</v>
      </c>
      <c r="F31" s="9">
        <f ca="1">IF(NOT(ISNA(E31)),OFFSET(Batting!$B$4,E31,$C$1,1,1),0)</f>
        <v>0</v>
      </c>
      <c r="G31" s="9" t="e">
        <f ca="1">MATCH(A31,Bowling!$A$5:$A$41,0)</f>
        <v>#N/A</v>
      </c>
      <c r="H31" s="9">
        <f ca="1">IF(NOT(ISNA(G31)),OFFSET(Bowling!#REF!,G31,0,1,1),0)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5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IF(NOT(ISNA(E32)),5*OFFSET(Batting!$CF$4,E32,0,1,1),0)</f>
        <v>0</v>
      </c>
      <c r="E32" s="9" t="e">
        <f ca="1">MATCH(A32,Batting!$A$5:$A$58,0)</f>
        <v>#N/A</v>
      </c>
      <c r="F32" s="9">
        <f ca="1">IF(NOT(ISNA(E32)),OFFSET(Batting!$B$4,E32,$C$1,1,1),0)</f>
        <v>0</v>
      </c>
      <c r="G32" s="9" t="e">
        <f ca="1">MATCH(A32,Bowling!$A$5:$A$41,0)</f>
        <v>#N/A</v>
      </c>
      <c r="H32" s="9">
        <f ca="1">IF(NOT(ISNA(G32)),OFFSET(Bowling!#REF!,G32,0,1,1),0)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5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IF(NOT(ISNA(E33)),5*OFFSET(Batting!$CF$4,E33,0,1,1),0)</f>
        <v>0</v>
      </c>
      <c r="E33" s="9" t="e">
        <f ca="1">MATCH(A33,Batting!$A$5:$A$58,0)</f>
        <v>#N/A</v>
      </c>
      <c r="F33" s="9">
        <f ca="1">IF(NOT(ISNA(E33)),OFFSET(Batting!$B$4,E33,$C$1,1,1),0)</f>
        <v>0</v>
      </c>
      <c r="G33" s="9" t="e">
        <f ca="1">MATCH(A33,Bowling!$A$5:$A$41,0)</f>
        <v>#N/A</v>
      </c>
      <c r="H33" s="9">
        <f ca="1">IF(NOT(ISNA(G33)),OFFSET(Bowling!#REF!,G33,0,1,1),0)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5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IF(NOT(ISNA(E34)),5*OFFSET(Batting!$CF$4,E34,0,1,1),0)</f>
        <v>0</v>
      </c>
      <c r="E34" s="9" t="e">
        <f ca="1">MATCH(A34,Batting!$A$5:$A$58,0)</f>
        <v>#N/A</v>
      </c>
      <c r="F34" s="9">
        <f ca="1">IF(NOT(ISNA(E34)),OFFSET(Batting!$B$4,E34,$C$1,1,1),0)</f>
        <v>0</v>
      </c>
      <c r="G34" s="9" t="e">
        <f ca="1">MATCH(A34,Bowling!$A$5:$A$41,0)</f>
        <v>#N/A</v>
      </c>
      <c r="H34" s="9">
        <f ca="1">IF(NOT(ISNA(G34)),OFFSET(Bowling!#REF!,G34,0,1,1),0)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5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IF(NOT(ISNA(E35)),5*OFFSET(Batting!$CF$4,E35,0,1,1),0)</f>
        <v>0</v>
      </c>
      <c r="E35" s="9" t="e">
        <f ca="1">MATCH(A35,Batting!$A$5:$A$58,0)</f>
        <v>#N/A</v>
      </c>
      <c r="F35" s="9">
        <f ca="1">IF(NOT(ISNA(E35)),OFFSET(Batting!$B$4,E35,$C$1,1,1),0)</f>
        <v>0</v>
      </c>
      <c r="G35" s="9" t="e">
        <f ca="1">MATCH(A35,Bowling!$A$5:$A$41,0)</f>
        <v>#N/A</v>
      </c>
      <c r="H35" s="9">
        <f ca="1">IF(NOT(ISNA(G35)),OFFSET(Bowling!#REF!,G35,0,1,1),0)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5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IF(NOT(ISNA(E36)),5*OFFSET(Batting!$CF$4,E36,0,1,1),0)</f>
        <v>0</v>
      </c>
      <c r="E36" s="9" t="e">
        <f ca="1">MATCH(A36,Batting!$A$5:$A$58,0)</f>
        <v>#N/A</v>
      </c>
      <c r="F36" s="9">
        <f ca="1">IF(NOT(ISNA(E36)),OFFSET(Batting!$B$4,E36,$C$1,1,1),0)</f>
        <v>0</v>
      </c>
      <c r="G36" s="9" t="e">
        <f ca="1">MATCH(A36,Bowling!$A$5:$A$41,0)</f>
        <v>#N/A</v>
      </c>
      <c r="H36" s="9">
        <f ca="1">IF(NOT(ISNA(G36)),OFFSET(Bowling!#REF!,G36,0,1,1),0)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5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IF(NOT(ISNA(E37)),5*OFFSET(Batting!$CF$4,E37,0,1,1),0)</f>
        <v>0</v>
      </c>
      <c r="E37" s="9" t="e">
        <f ca="1">MATCH(A37,Batting!$A$5:$A$58,0)</f>
        <v>#N/A</v>
      </c>
      <c r="F37" s="9">
        <f ca="1">IF(NOT(ISNA(E37)),OFFSET(Batting!$B$4,E37,$C$1,1,1),0)</f>
        <v>0</v>
      </c>
      <c r="G37" s="9" t="e">
        <f ca="1">MATCH(A37,Bowling!$A$5:$A$41,0)</f>
        <v>#N/A</v>
      </c>
      <c r="H37" s="9">
        <f ca="1">IF(NOT(ISNA(G37)),OFFSET(Bowling!#REF!,G37,0,1,1),0)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5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IF(NOT(ISNA(E38)),5*OFFSET(Batting!$CF$4,E38,0,1,1),0)</f>
        <v>0</v>
      </c>
      <c r="E38" s="9" t="e">
        <f ca="1">MATCH(A38,Batting!$A$5:$A$58,0)</f>
        <v>#N/A</v>
      </c>
      <c r="F38" s="9">
        <f ca="1">IF(NOT(ISNA(E38)),OFFSET(Batting!$B$4,E38,$C$1,1,1),0)</f>
        <v>0</v>
      </c>
      <c r="G38" s="9" t="e">
        <f ca="1">MATCH(A38,Bowling!$A$5:$A$41,0)</f>
        <v>#N/A</v>
      </c>
      <c r="H38" s="9">
        <f ca="1">IF(NOT(ISNA(G38)),OFFSET(Bowling!#REF!,G38,0,1,1),0)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5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IF(NOT(ISNA(E39)),5*OFFSET(Batting!$CF$4,E39,0,1,1),0)</f>
        <v>0</v>
      </c>
      <c r="E39" s="9" t="e">
        <f ca="1">MATCH(A39,Batting!$A$5:$A$58,0)</f>
        <v>#N/A</v>
      </c>
      <c r="F39" s="9">
        <f ca="1">IF(NOT(ISNA(E39)),OFFSET(Batting!$B$4,E39,$C$1,1,1),0)</f>
        <v>0</v>
      </c>
      <c r="G39" s="9" t="e">
        <f ca="1">MATCH(A39,Bowling!$A$5:$A$41,0)</f>
        <v>#N/A</v>
      </c>
      <c r="H39" s="9">
        <f ca="1">IF(NOT(ISNA(G39)),OFFSET(Bowling!#REF!,G39,0,1,1),0)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5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IF(NOT(ISNA(E40)),5*OFFSET(Batting!$CF$4,E40,0,1,1),0)</f>
        <v>0</v>
      </c>
      <c r="E40" s="9" t="e">
        <f ca="1">MATCH(A40,Batting!$A$5:$A$58,0)</f>
        <v>#N/A</v>
      </c>
      <c r="F40" s="9">
        <f ca="1">IF(NOT(ISNA(E40)),OFFSET(Batting!$B$4,E40,$C$1,1,1),0)</f>
        <v>0</v>
      </c>
      <c r="G40" s="9" t="e">
        <f ca="1">MATCH(A40,Bowling!$A$5:$A$41,0)</f>
        <v>#N/A</v>
      </c>
      <c r="H40" s="9">
        <f ca="1">IF(NOT(ISNA(G40)),OFFSET(Bowling!#REF!,G40,0,1,1),0)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5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IF(NOT(ISNA(E41)),5*OFFSET(Batting!$CF$4,E41,0,1,1),0)</f>
        <v>0</v>
      </c>
      <c r="E41" s="9" t="e">
        <f ca="1">MATCH(A41,Batting!$A$5:$A$58,0)</f>
        <v>#N/A</v>
      </c>
      <c r="F41" s="9">
        <f ca="1">IF(NOT(ISNA(E41)),OFFSET(Batting!$B$4,E41,$C$1,1,1),0)</f>
        <v>0</v>
      </c>
      <c r="G41" s="9" t="e">
        <f ca="1">MATCH(A41,Bowling!$A$5:$A$41,0)</f>
        <v>#N/A</v>
      </c>
      <c r="H41" s="9">
        <f ca="1">IF(NOT(ISNA(G41)),OFFSET(Bowling!#REF!,G41,0,1,1),0)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5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IF(NOT(ISNA(E42)),5*OFFSET(Batting!$CF$4,E42,0,1,1),0)</f>
        <v>0</v>
      </c>
      <c r="E42" s="9" t="e">
        <f ca="1">MATCH(A42,Batting!$A$5:$A$58,0)</f>
        <v>#N/A</v>
      </c>
      <c r="F42" s="9">
        <f ca="1">IF(NOT(ISNA(E42)),OFFSET(Batting!$B$4,E42,$C$1,1,1),0)</f>
        <v>0</v>
      </c>
      <c r="G42" s="9" t="e">
        <f ca="1">MATCH(A42,Bowling!$A$5:$A$41,0)</f>
        <v>#N/A</v>
      </c>
      <c r="H42" s="9">
        <f ca="1">IF(NOT(ISNA(G42)),OFFSET(Bowling!#REF!,G42,0,1,1),0)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5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IF(NOT(ISNA(E43)),5*OFFSET(Batting!$CF$4,E43,0,1,1),0)</f>
        <v>0</v>
      </c>
      <c r="E43" s="9" t="e">
        <f ca="1">MATCH(A43,Batting!$A$5:$A$58,0)</f>
        <v>#N/A</v>
      </c>
      <c r="F43" s="9">
        <f ca="1">IF(NOT(ISNA(E43)),OFFSET(Batting!$B$4,E43,$C$1,1,1),0)</f>
        <v>0</v>
      </c>
      <c r="G43" s="9" t="e">
        <f ca="1">MATCH(A43,Bowling!$A$5:$A$41,0)</f>
        <v>#N/A</v>
      </c>
      <c r="H43" s="9">
        <f ca="1">IF(NOT(ISNA(G43)),OFFSET(Bowling!#REF!,G43,0,1,1),0)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5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IF(NOT(ISNA(E44)),5*OFFSET(Batting!$CF$4,E44,0,1,1),0)</f>
        <v>0</v>
      </c>
      <c r="E44" s="9" t="e">
        <f ca="1">MATCH(A44,Batting!$A$5:$A$58,0)</f>
        <v>#N/A</v>
      </c>
      <c r="F44" s="9">
        <f ca="1">IF(NOT(ISNA(E44)),OFFSET(Batting!$B$4,E44,$C$1,1,1),0)</f>
        <v>0</v>
      </c>
      <c r="G44" s="9" t="e">
        <f ca="1">MATCH(A44,Bowling!$A$5:$A$41,0)</f>
        <v>#N/A</v>
      </c>
      <c r="H44" s="9">
        <f ca="1">IF(NOT(ISNA(G44)),OFFSET(Bowling!#REF!,G44,0,1,1),0)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5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IF(NOT(ISNA(E45)),5*OFFSET(Batting!$CF$4,E45,0,1,1),0)</f>
        <v>0</v>
      </c>
      <c r="E45" s="9" t="e">
        <f ca="1">MATCH(A45,Batting!$A$5:$A$58,0)</f>
        <v>#N/A</v>
      </c>
      <c r="F45" s="9">
        <f ca="1">IF(NOT(ISNA(E45)),OFFSET(Batting!$B$4,E45,$C$1,1,1),0)</f>
        <v>0</v>
      </c>
      <c r="G45" s="9" t="e">
        <f ca="1">MATCH(A45,Bowling!$A$5:$A$41,0)</f>
        <v>#N/A</v>
      </c>
      <c r="H45" s="9">
        <f ca="1">IF(NOT(ISNA(G45)),OFFSET(Bowling!#REF!,G45,0,1,1),0)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5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IF(NOT(ISNA(E46)),5*OFFSET(Batting!$CF$4,E46,0,1,1),0)</f>
        <v>0</v>
      </c>
      <c r="E46" s="9" t="e">
        <f ca="1">MATCH(A46,Batting!$A$5:$A$58,0)</f>
        <v>#N/A</v>
      </c>
      <c r="F46" s="9">
        <f ca="1">IF(NOT(ISNA(E46)),OFFSET(Batting!$B$4,E46,$C$1,1,1),0)</f>
        <v>0</v>
      </c>
      <c r="G46" s="9" t="e">
        <f ca="1">MATCH(A46,Bowling!$A$5:$A$41,0)</f>
        <v>#N/A</v>
      </c>
      <c r="H46" s="9">
        <f ca="1">IF(NOT(ISNA(G46)),OFFSET(Bowling!#REF!,G46,0,1,1),0)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97"/>
    <col min="11" max="16384" width="9.140625" style="16"/>
  </cols>
  <sheetData>
    <row r="1" spans="1:10" ht="12.75" customHeight="1" x14ac:dyDescent="0.25">
      <c r="A1" s="13" t="s">
        <v>76</v>
      </c>
      <c r="B1" s="14" t="s">
        <v>84</v>
      </c>
      <c r="C1" s="14" t="s">
        <v>85</v>
      </c>
      <c r="D1" s="14" t="s">
        <v>79</v>
      </c>
      <c r="E1" s="14" t="s">
        <v>81</v>
      </c>
      <c r="F1" s="14" t="s">
        <v>82</v>
      </c>
      <c r="G1" s="14" t="s">
        <v>70</v>
      </c>
      <c r="H1" s="15" t="s">
        <v>86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1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1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1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1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1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1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1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1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1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1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1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1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1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1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1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1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1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1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1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1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1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1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1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1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1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1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1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1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1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1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1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1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1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1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1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1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1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1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1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1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1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77" customWidth="1"/>
    <col min="2" max="2" width="18" style="76" customWidth="1"/>
    <col min="3" max="3" width="40.5703125" style="76" bestFit="1" customWidth="1"/>
    <col min="4" max="4" width="9.7109375" style="77" customWidth="1"/>
    <col min="5" max="8" width="9" style="76" customWidth="1"/>
    <col min="9" max="9" width="12.28515625" style="76" customWidth="1"/>
    <col min="10" max="10" width="9.140625" customWidth="1"/>
    <col min="11" max="15" width="5.85546875" style="76" customWidth="1"/>
    <col min="16" max="16" width="10.5703125" style="76" customWidth="1"/>
    <col min="17" max="17" width="9" style="76" customWidth="1"/>
    <col min="18" max="18" width="11.5703125" style="76" customWidth="1"/>
    <col min="19" max="16384" width="9" style="76"/>
  </cols>
  <sheetData>
    <row r="1" spans="1:27" x14ac:dyDescent="0.25">
      <c r="A1" s="75" t="s">
        <v>187</v>
      </c>
    </row>
    <row r="2" spans="1:27" x14ac:dyDescent="0.25">
      <c r="A2" s="75"/>
    </row>
    <row r="3" spans="1:27" ht="15" x14ac:dyDescent="0.3">
      <c r="A3" s="11" t="s">
        <v>183</v>
      </c>
      <c r="B3" s="12" t="s">
        <v>87</v>
      </c>
      <c r="C3" s="12" t="s">
        <v>88</v>
      </c>
      <c r="D3" s="11" t="s">
        <v>89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99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6"/>
      <c r="D43" s="76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57"/>
  <sheetViews>
    <sheetView workbookViewId="0"/>
  </sheetViews>
  <sheetFormatPr defaultRowHeight="12.75" x14ac:dyDescent="0.15"/>
  <cols>
    <col min="1" max="1" width="4.140625" style="99" bestFit="1" customWidth="1"/>
    <col min="2" max="2" width="5" style="99" bestFit="1" customWidth="1"/>
    <col min="3" max="3" width="5.7109375" style="99" bestFit="1" customWidth="1"/>
    <col min="4" max="4" width="12.7109375" style="99" bestFit="1" customWidth="1"/>
    <col min="5" max="5" width="4" style="99" bestFit="1" customWidth="1"/>
    <col min="6" max="6" width="3.42578125" style="99" bestFit="1" customWidth="1"/>
    <col min="7" max="7" width="13.5703125" style="99" bestFit="1" customWidth="1"/>
    <col min="8" max="8" width="3.7109375" style="99" bestFit="1" customWidth="1"/>
    <col min="9" max="9" width="3.42578125" style="99" bestFit="1" customWidth="1"/>
    <col min="10" max="10" width="3.42578125" style="99" customWidth="1"/>
    <col min="11" max="11" width="7.7109375" style="99" customWidth="1"/>
    <col min="12" max="12" width="17.28515625" style="166" bestFit="1" customWidth="1"/>
    <col min="13" max="13" width="10.42578125" style="167" bestFit="1" customWidth="1"/>
    <col min="14" max="14" width="3.85546875" customWidth="1"/>
    <col min="15" max="16" width="3.85546875" style="99" customWidth="1"/>
    <col min="17" max="17" width="4.28515625" style="99" bestFit="1" customWidth="1"/>
    <col min="18" max="18" width="5" style="99" bestFit="1" customWidth="1"/>
    <col min="19" max="19" width="5.85546875" style="99" bestFit="1" customWidth="1"/>
    <col min="20" max="20" width="10.5703125" style="99" bestFit="1" customWidth="1"/>
    <col min="21" max="21" width="3.7109375" style="99" bestFit="1" customWidth="1"/>
    <col min="22" max="22" width="9" style="99" bestFit="1" customWidth="1"/>
    <col min="23" max="23" width="14.5703125" style="99" bestFit="1" customWidth="1"/>
    <col min="24" max="24" width="12.28515625" style="99" bestFit="1" customWidth="1"/>
    <col min="25" max="25" width="3.5703125" style="99" bestFit="1" customWidth="1"/>
    <col min="26" max="26" width="13.5703125" style="99" customWidth="1"/>
    <col min="27" max="27" width="13.140625" style="173" bestFit="1" customWidth="1"/>
    <col min="28" max="16384" width="9.140625" style="99"/>
  </cols>
  <sheetData>
    <row r="1" spans="1:39" x14ac:dyDescent="0.15">
      <c r="A1" s="99" t="s">
        <v>13</v>
      </c>
      <c r="B1" s="99" t="s">
        <v>77</v>
      </c>
      <c r="C1" s="99" t="s">
        <v>215</v>
      </c>
      <c r="D1" s="99" t="s">
        <v>216</v>
      </c>
      <c r="E1" s="99" t="s">
        <v>217</v>
      </c>
      <c r="F1" s="99" t="s">
        <v>218</v>
      </c>
      <c r="G1" s="99" t="s">
        <v>219</v>
      </c>
      <c r="H1" s="99" t="s">
        <v>220</v>
      </c>
      <c r="I1" s="99" t="s">
        <v>218</v>
      </c>
      <c r="K1" s="99" t="s">
        <v>239</v>
      </c>
      <c r="L1" s="166" t="s">
        <v>1</v>
      </c>
      <c r="M1" s="167" t="s">
        <v>0</v>
      </c>
      <c r="Q1" s="99" t="s">
        <v>13</v>
      </c>
      <c r="R1" s="99" t="s">
        <v>77</v>
      </c>
      <c r="S1" s="99" t="s">
        <v>215</v>
      </c>
      <c r="T1" s="99" t="s">
        <v>216</v>
      </c>
      <c r="U1" s="99" t="s">
        <v>217</v>
      </c>
      <c r="V1" s="99" t="s">
        <v>218</v>
      </c>
      <c r="W1" s="99" t="s">
        <v>219</v>
      </c>
      <c r="X1" s="99" t="s">
        <v>220</v>
      </c>
      <c r="Y1" s="99" t="s">
        <v>218</v>
      </c>
      <c r="Z1" s="99" t="s">
        <v>268</v>
      </c>
      <c r="AA1" s="173" t="s">
        <v>0</v>
      </c>
      <c r="AM1" s="173"/>
    </row>
    <row r="2" spans="1:39" x14ac:dyDescent="0.15">
      <c r="A2" s="99">
        <v>1</v>
      </c>
      <c r="B2" s="99">
        <v>206</v>
      </c>
      <c r="D2" s="99" t="s">
        <v>294</v>
      </c>
      <c r="E2" s="99">
        <v>80</v>
      </c>
      <c r="G2" s="99" t="s">
        <v>138</v>
      </c>
      <c r="H2" s="99">
        <v>100</v>
      </c>
      <c r="K2" s="99">
        <v>15</v>
      </c>
      <c r="L2" s="166" t="str">
        <f ca="1">OFFSET(Matches!$C$4,Partnerships!K2,0)</f>
        <v>HSBC</v>
      </c>
      <c r="M2" s="167">
        <f ca="1">OFFSET(Matches!$B$4,Partnerships!K2,0)</f>
        <v>43345</v>
      </c>
      <c r="P2"/>
      <c r="Q2" s="99">
        <v>1</v>
      </c>
      <c r="R2" s="99">
        <v>206</v>
      </c>
      <c r="T2" s="99" t="s">
        <v>294</v>
      </c>
      <c r="U2" s="99">
        <v>80</v>
      </c>
      <c r="W2" s="99" t="s">
        <v>138</v>
      </c>
      <c r="X2" s="99">
        <v>100</v>
      </c>
      <c r="Z2" s="99" t="s">
        <v>292</v>
      </c>
      <c r="AA2" s="173">
        <v>43345</v>
      </c>
      <c r="AM2" s="173"/>
    </row>
    <row r="3" spans="1:39" x14ac:dyDescent="0.15">
      <c r="A3" s="99">
        <v>1</v>
      </c>
      <c r="B3" s="99">
        <v>87</v>
      </c>
      <c r="D3" s="99" t="s">
        <v>200</v>
      </c>
      <c r="E3" s="99">
        <v>18</v>
      </c>
      <c r="G3" s="99" t="s">
        <v>232</v>
      </c>
      <c r="H3" s="99">
        <v>56</v>
      </c>
      <c r="K3" s="99">
        <v>16</v>
      </c>
      <c r="L3" s="166" t="str">
        <f ca="1">OFFSET(Matches!$C$4,Partnerships!K3,0)</f>
        <v>Richmond Legbreakers</v>
      </c>
      <c r="M3" s="167">
        <f ca="1">OFFSET(Matches!$B$4,Partnerships!K3,0)</f>
        <v>43352</v>
      </c>
      <c r="P3"/>
      <c r="Q3" s="99">
        <v>1</v>
      </c>
      <c r="R3" s="99">
        <v>87</v>
      </c>
      <c r="T3" s="99" t="s">
        <v>200</v>
      </c>
      <c r="U3" s="99">
        <v>18</v>
      </c>
      <c r="W3" s="99" t="s">
        <v>232</v>
      </c>
      <c r="X3" s="99">
        <v>56</v>
      </c>
      <c r="Z3" s="99" t="s">
        <v>258</v>
      </c>
      <c r="AA3" s="173">
        <v>43352</v>
      </c>
      <c r="AM3" s="173"/>
    </row>
    <row r="4" spans="1:39" x14ac:dyDescent="0.15">
      <c r="A4" s="99">
        <v>1</v>
      </c>
      <c r="B4" s="99">
        <v>65</v>
      </c>
      <c r="D4" s="99" t="s">
        <v>200</v>
      </c>
      <c r="E4" s="99">
        <v>21</v>
      </c>
      <c r="G4" s="99" t="s">
        <v>138</v>
      </c>
      <c r="H4" s="99">
        <v>37</v>
      </c>
      <c r="K4" s="99">
        <v>10</v>
      </c>
      <c r="L4" s="166" t="str">
        <f ca="1">OFFSET(Matches!$C$4,Partnerships!K4,0)</f>
        <v>Monty</v>
      </c>
      <c r="M4" s="167">
        <f ca="1">OFFSET(Matches!$B$4,Partnerships!K4,0)</f>
        <v>43282</v>
      </c>
      <c r="P4"/>
      <c r="Q4" s="99">
        <v>1</v>
      </c>
      <c r="R4" s="99">
        <v>65</v>
      </c>
      <c r="T4" s="99" t="s">
        <v>200</v>
      </c>
      <c r="U4" s="99">
        <v>21</v>
      </c>
      <c r="W4" s="99" t="s">
        <v>138</v>
      </c>
      <c r="X4" s="99">
        <v>37</v>
      </c>
      <c r="Z4" s="99" t="s">
        <v>295</v>
      </c>
      <c r="AA4" s="173">
        <v>43282</v>
      </c>
      <c r="AM4" s="173"/>
    </row>
    <row r="5" spans="1:39" x14ac:dyDescent="0.15">
      <c r="A5" s="99">
        <v>1</v>
      </c>
      <c r="B5" s="99">
        <v>64</v>
      </c>
      <c r="D5" s="99" t="s">
        <v>200</v>
      </c>
      <c r="E5" s="99">
        <v>22</v>
      </c>
      <c r="G5" s="99" t="s">
        <v>138</v>
      </c>
      <c r="H5" s="99">
        <v>68</v>
      </c>
      <c r="K5" s="99">
        <v>11</v>
      </c>
      <c r="L5" s="166" t="str">
        <f ca="1">OFFSET(Matches!$C$4,Partnerships!K5,0)</f>
        <v>Beddington</v>
      </c>
      <c r="M5" s="167">
        <f ca="1">OFFSET(Matches!$B$4,Partnerships!K5,0)</f>
        <v>43288</v>
      </c>
      <c r="P5"/>
      <c r="Q5" s="99">
        <v>1</v>
      </c>
      <c r="R5" s="99">
        <v>64</v>
      </c>
      <c r="T5" s="99" t="s">
        <v>200</v>
      </c>
      <c r="U5" s="99">
        <v>22</v>
      </c>
      <c r="W5" s="99" t="s">
        <v>138</v>
      </c>
      <c r="X5" s="99">
        <v>68</v>
      </c>
      <c r="Z5" s="99" t="s">
        <v>458</v>
      </c>
      <c r="AA5" s="173">
        <v>43288</v>
      </c>
      <c r="AM5" s="173"/>
    </row>
    <row r="6" spans="1:39" x14ac:dyDescent="0.15">
      <c r="A6" s="99">
        <v>1</v>
      </c>
      <c r="B6" s="99">
        <v>59</v>
      </c>
      <c r="D6" s="99" t="s">
        <v>200</v>
      </c>
      <c r="E6" s="99">
        <v>12</v>
      </c>
      <c r="G6" s="99" t="s">
        <v>138</v>
      </c>
      <c r="H6" s="99">
        <v>63</v>
      </c>
      <c r="K6" s="99">
        <v>2</v>
      </c>
      <c r="L6" s="166" t="str">
        <f ca="1">OFFSET(Matches!$C$4,Partnerships!K6,0)</f>
        <v>SW United</v>
      </c>
      <c r="M6" s="167">
        <f ca="1">OFFSET(Matches!$B$4,Partnerships!K6,0)</f>
        <v>43233</v>
      </c>
      <c r="P6"/>
      <c r="Q6" s="99">
        <v>1</v>
      </c>
      <c r="R6" s="99">
        <v>59</v>
      </c>
      <c r="T6" s="99" t="s">
        <v>200</v>
      </c>
      <c r="U6" s="99">
        <v>12</v>
      </c>
      <c r="W6" s="99" t="s">
        <v>138</v>
      </c>
      <c r="X6" s="99">
        <v>63</v>
      </c>
      <c r="Z6" s="99" t="s">
        <v>328</v>
      </c>
      <c r="AA6" s="173">
        <v>43233</v>
      </c>
      <c r="AM6" s="173"/>
    </row>
    <row r="7" spans="1:39" x14ac:dyDescent="0.15">
      <c r="A7" s="99">
        <v>2</v>
      </c>
      <c r="B7" s="99">
        <v>137</v>
      </c>
      <c r="D7" s="99" t="s">
        <v>200</v>
      </c>
      <c r="E7" s="99">
        <v>64</v>
      </c>
      <c r="G7" s="99" t="s">
        <v>232</v>
      </c>
      <c r="H7" s="99">
        <v>99</v>
      </c>
      <c r="K7" s="99">
        <v>12</v>
      </c>
      <c r="L7" s="166" t="str">
        <f ca="1">OFFSET(Matches!$C$4,Partnerships!K7,0)</f>
        <v>Morden</v>
      </c>
      <c r="M7" s="167">
        <f ca="1">OFFSET(Matches!$B$4,Partnerships!K7,0)</f>
        <v>43296</v>
      </c>
      <c r="P7"/>
      <c r="Q7" s="99">
        <v>2</v>
      </c>
      <c r="R7" s="99">
        <v>137</v>
      </c>
      <c r="T7" s="99" t="s">
        <v>200</v>
      </c>
      <c r="U7" s="99">
        <v>64</v>
      </c>
      <c r="W7" s="99" t="s">
        <v>232</v>
      </c>
      <c r="X7" s="99">
        <v>99</v>
      </c>
      <c r="Z7" s="99" t="s">
        <v>459</v>
      </c>
      <c r="AA7" s="173">
        <v>43296</v>
      </c>
      <c r="AM7" s="173"/>
    </row>
    <row r="8" spans="1:39" x14ac:dyDescent="0.15">
      <c r="A8" s="99">
        <v>2</v>
      </c>
      <c r="B8" s="99">
        <v>82</v>
      </c>
      <c r="D8" s="99" t="s">
        <v>294</v>
      </c>
      <c r="E8" s="99">
        <v>58</v>
      </c>
      <c r="G8" s="99" t="s">
        <v>138</v>
      </c>
      <c r="H8" s="99">
        <v>54</v>
      </c>
      <c r="I8" s="99" t="s">
        <v>233</v>
      </c>
      <c r="K8" s="99">
        <v>14</v>
      </c>
      <c r="L8" s="166" t="str">
        <f ca="1">OFFSET(Matches!$C$4,Partnerships!K8,0)</f>
        <v>LESSA Wanderers</v>
      </c>
      <c r="M8" s="167">
        <f ca="1">OFFSET(Matches!$B$4,Partnerships!K8,0)</f>
        <v>43324</v>
      </c>
      <c r="P8"/>
      <c r="Q8" s="99">
        <v>2</v>
      </c>
      <c r="R8" s="99">
        <v>82</v>
      </c>
      <c r="T8" s="99" t="s">
        <v>294</v>
      </c>
      <c r="U8" s="99">
        <v>58</v>
      </c>
      <c r="W8" s="99" t="s">
        <v>138</v>
      </c>
      <c r="X8" s="99">
        <v>54</v>
      </c>
      <c r="Y8" s="99" t="s">
        <v>233</v>
      </c>
      <c r="Z8" s="99" t="s">
        <v>460</v>
      </c>
      <c r="AA8" s="173">
        <v>43324</v>
      </c>
      <c r="AM8" s="173"/>
    </row>
    <row r="9" spans="1:39" x14ac:dyDescent="0.15">
      <c r="A9" s="99">
        <v>3</v>
      </c>
      <c r="B9" s="99">
        <v>69</v>
      </c>
      <c r="D9" s="99" t="s">
        <v>276</v>
      </c>
      <c r="E9" s="99">
        <v>75</v>
      </c>
      <c r="F9" s="99" t="s">
        <v>233</v>
      </c>
      <c r="G9" s="99" t="s">
        <v>232</v>
      </c>
      <c r="H9" s="99">
        <v>35</v>
      </c>
      <c r="K9" s="99">
        <v>17</v>
      </c>
      <c r="L9" s="166" t="str">
        <f ca="1">OFFSET(Matches!$C$4,Partnerships!K9,0)</f>
        <v>Catford Cyphers</v>
      </c>
      <c r="M9" s="167">
        <f ca="1">OFFSET(Matches!$B$4,Partnerships!K9,0)</f>
        <v>43359</v>
      </c>
      <c r="P9"/>
      <c r="Q9" s="99">
        <v>3</v>
      </c>
      <c r="R9" s="99">
        <v>69</v>
      </c>
      <c r="T9" s="99" t="s">
        <v>276</v>
      </c>
      <c r="U9" s="99">
        <v>75</v>
      </c>
      <c r="V9" s="99" t="s">
        <v>233</v>
      </c>
      <c r="W9" s="99" t="s">
        <v>232</v>
      </c>
      <c r="X9" s="99">
        <v>35</v>
      </c>
      <c r="Z9" s="99" t="s">
        <v>461</v>
      </c>
      <c r="AA9" s="173">
        <v>43359</v>
      </c>
      <c r="AM9" s="173"/>
    </row>
    <row r="10" spans="1:39" x14ac:dyDescent="0.15">
      <c r="A10" s="99">
        <v>3</v>
      </c>
      <c r="B10" s="99">
        <v>63</v>
      </c>
      <c r="D10" s="99" t="s">
        <v>273</v>
      </c>
      <c r="E10" s="99">
        <v>77</v>
      </c>
      <c r="G10" s="99" t="s">
        <v>232</v>
      </c>
      <c r="H10" s="99">
        <v>39</v>
      </c>
      <c r="K10" s="99">
        <v>7</v>
      </c>
      <c r="L10" s="166" t="str">
        <f ca="1">OFFSET(Matches!$C$4,Partnerships!K10,0)</f>
        <v>Norwood Exiles</v>
      </c>
      <c r="M10" s="167">
        <f ca="1">OFFSET(Matches!$B$4,Partnerships!K10,0)</f>
        <v>43261</v>
      </c>
      <c r="P10"/>
      <c r="Q10" s="99">
        <v>3</v>
      </c>
      <c r="R10" s="99">
        <v>63</v>
      </c>
      <c r="T10" s="99" t="s">
        <v>273</v>
      </c>
      <c r="U10" s="99">
        <v>77</v>
      </c>
      <c r="W10" s="99" t="s">
        <v>232</v>
      </c>
      <c r="X10" s="99">
        <v>39</v>
      </c>
      <c r="Z10" s="99" t="s">
        <v>265</v>
      </c>
      <c r="AA10" s="173">
        <v>43261</v>
      </c>
      <c r="AM10" s="173"/>
    </row>
    <row r="11" spans="1:39" x14ac:dyDescent="0.15">
      <c r="A11" s="99">
        <v>4</v>
      </c>
      <c r="B11" s="99">
        <v>70</v>
      </c>
      <c r="D11" s="99" t="s">
        <v>276</v>
      </c>
      <c r="E11" s="99">
        <v>75</v>
      </c>
      <c r="F11" s="99" t="s">
        <v>233</v>
      </c>
      <c r="G11" s="99" t="s">
        <v>245</v>
      </c>
      <c r="H11" s="99">
        <v>18</v>
      </c>
      <c r="K11" s="99">
        <v>17</v>
      </c>
      <c r="L11" s="166" t="str">
        <f ca="1">OFFSET(Matches!$C$4,Partnerships!K11,0)</f>
        <v>Catford Cyphers</v>
      </c>
      <c r="M11" s="167">
        <f ca="1">OFFSET(Matches!$B$4,Partnerships!K11,0)</f>
        <v>43359</v>
      </c>
      <c r="P11"/>
      <c r="Q11" s="99">
        <v>4</v>
      </c>
      <c r="R11" s="99">
        <v>70</v>
      </c>
      <c r="T11" s="99" t="s">
        <v>276</v>
      </c>
      <c r="U11" s="99">
        <v>75</v>
      </c>
      <c r="V11" s="99" t="s">
        <v>233</v>
      </c>
      <c r="W11" s="99" t="s">
        <v>245</v>
      </c>
      <c r="X11" s="99">
        <v>18</v>
      </c>
      <c r="Z11" s="99" t="s">
        <v>461</v>
      </c>
      <c r="AA11" s="173">
        <v>43359</v>
      </c>
      <c r="AM11" s="173"/>
    </row>
    <row r="12" spans="1:39" x14ac:dyDescent="0.15">
      <c r="A12" s="99">
        <v>4</v>
      </c>
      <c r="B12" s="99">
        <v>61</v>
      </c>
      <c r="D12" s="99" t="s">
        <v>138</v>
      </c>
      <c r="E12" s="99">
        <v>63</v>
      </c>
      <c r="G12" s="99" t="s">
        <v>200</v>
      </c>
      <c r="H12" s="99">
        <v>34</v>
      </c>
      <c r="K12" s="99">
        <v>4</v>
      </c>
      <c r="L12" s="166" t="str">
        <f ca="1">OFFSET(Matches!$C$4,Partnerships!K12,0)</f>
        <v>Font Hill Park</v>
      </c>
      <c r="M12" s="167">
        <f ca="1">OFFSET(Matches!$B$4,Partnerships!K12,0)</f>
        <v>43246</v>
      </c>
      <c r="P12"/>
      <c r="Q12" s="99">
        <v>4</v>
      </c>
      <c r="R12" s="99">
        <v>61</v>
      </c>
      <c r="T12" s="99" t="s">
        <v>138</v>
      </c>
      <c r="U12" s="99">
        <v>63</v>
      </c>
      <c r="W12" s="99" t="s">
        <v>200</v>
      </c>
      <c r="X12" s="99">
        <v>34</v>
      </c>
      <c r="Z12" s="99" t="s">
        <v>365</v>
      </c>
      <c r="AA12" s="173">
        <v>43246</v>
      </c>
      <c r="AM12" s="173"/>
    </row>
    <row r="13" spans="1:39" x14ac:dyDescent="0.15">
      <c r="A13" s="99">
        <v>5</v>
      </c>
      <c r="B13" s="99">
        <v>77</v>
      </c>
      <c r="D13" s="99" t="s">
        <v>586</v>
      </c>
      <c r="E13" s="99">
        <v>53</v>
      </c>
      <c r="G13" s="99" t="s">
        <v>252</v>
      </c>
      <c r="H13" s="99">
        <v>35</v>
      </c>
      <c r="I13" s="99" t="s">
        <v>233</v>
      </c>
      <c r="K13" s="99">
        <v>16</v>
      </c>
      <c r="L13" s="166" t="str">
        <f ca="1">OFFSET(Matches!$C$4,Partnerships!K13,0)</f>
        <v>Richmond Legbreakers</v>
      </c>
      <c r="M13" s="167">
        <f ca="1">OFFSET(Matches!$B$4,Partnerships!K13,0)</f>
        <v>43352</v>
      </c>
      <c r="P13"/>
      <c r="Q13" s="99">
        <v>5</v>
      </c>
      <c r="R13" s="99">
        <v>77</v>
      </c>
      <c r="T13" s="99" t="s">
        <v>586</v>
      </c>
      <c r="U13" s="99">
        <v>53</v>
      </c>
      <c r="W13" s="99" t="s">
        <v>252</v>
      </c>
      <c r="X13" s="99">
        <v>35</v>
      </c>
      <c r="Y13" s="99" t="s">
        <v>233</v>
      </c>
      <c r="Z13" s="99" t="s">
        <v>258</v>
      </c>
      <c r="AA13" s="173">
        <v>43352</v>
      </c>
      <c r="AM13" s="173"/>
    </row>
    <row r="14" spans="1:39" x14ac:dyDescent="0.15">
      <c r="A14" s="99">
        <v>5</v>
      </c>
      <c r="B14" s="99">
        <v>55</v>
      </c>
      <c r="D14" s="99" t="s">
        <v>232</v>
      </c>
      <c r="E14" s="99">
        <v>53</v>
      </c>
      <c r="G14" s="99" t="s">
        <v>207</v>
      </c>
      <c r="H14" s="99">
        <v>29</v>
      </c>
      <c r="K14" s="99">
        <v>3</v>
      </c>
      <c r="L14" s="166" t="str">
        <f ca="1">OFFSET(Matches!$C$4,Partnerships!K14,0)</f>
        <v>South Bank</v>
      </c>
      <c r="M14" s="167">
        <f ca="1">OFFSET(Matches!$B$4,Partnerships!K14,0)</f>
        <v>43240</v>
      </c>
      <c r="P14"/>
      <c r="Q14" s="99">
        <v>5</v>
      </c>
      <c r="R14" s="99">
        <v>55</v>
      </c>
      <c r="T14" s="99" t="s">
        <v>232</v>
      </c>
      <c r="U14" s="99">
        <v>53</v>
      </c>
      <c r="W14" s="99" t="s">
        <v>207</v>
      </c>
      <c r="X14" s="99">
        <v>29</v>
      </c>
      <c r="Z14" s="99" t="s">
        <v>348</v>
      </c>
      <c r="AA14" s="173">
        <v>43240</v>
      </c>
      <c r="AM14" s="173"/>
    </row>
    <row r="15" spans="1:39" x14ac:dyDescent="0.15">
      <c r="A15" s="99">
        <v>7</v>
      </c>
      <c r="B15" s="99">
        <v>36</v>
      </c>
      <c r="D15" s="99" t="s">
        <v>249</v>
      </c>
      <c r="E15" s="99">
        <v>12</v>
      </c>
      <c r="G15" s="99" t="s">
        <v>252</v>
      </c>
      <c r="H15" s="99">
        <v>29</v>
      </c>
      <c r="I15" s="99" t="s">
        <v>233</v>
      </c>
      <c r="K15" s="99">
        <v>11</v>
      </c>
      <c r="L15" s="166" t="str">
        <f ca="1">OFFSET(Matches!$C$4,Partnerships!K15,0)</f>
        <v>Beddington</v>
      </c>
      <c r="M15" s="167">
        <f ca="1">OFFSET(Matches!$B$4,Partnerships!K15,0)</f>
        <v>43288</v>
      </c>
      <c r="P15"/>
      <c r="Q15" s="99">
        <v>7</v>
      </c>
      <c r="R15" s="99">
        <v>36</v>
      </c>
      <c r="T15" s="99" t="s">
        <v>249</v>
      </c>
      <c r="U15" s="99">
        <v>12</v>
      </c>
      <c r="W15" s="99" t="s">
        <v>252</v>
      </c>
      <c r="X15" s="99">
        <v>29</v>
      </c>
      <c r="Y15" s="99" t="s">
        <v>233</v>
      </c>
      <c r="Z15" s="99" t="s">
        <v>458</v>
      </c>
      <c r="AA15" s="173">
        <v>43288</v>
      </c>
      <c r="AM15" s="173"/>
    </row>
    <row r="16" spans="1:39" x14ac:dyDescent="0.15">
      <c r="A16" s="99">
        <v>8</v>
      </c>
      <c r="B16" s="99">
        <v>34</v>
      </c>
      <c r="D16" s="99" t="s">
        <v>193</v>
      </c>
      <c r="E16" s="99">
        <v>9</v>
      </c>
      <c r="G16" s="99" t="s">
        <v>249</v>
      </c>
      <c r="H16" s="99">
        <v>34</v>
      </c>
      <c r="K16" s="99">
        <v>8</v>
      </c>
      <c r="L16" s="166" t="str">
        <f ca="1">OFFSET(Matches!$C$4,Partnerships!K16,0)</f>
        <v>Spencer</v>
      </c>
      <c r="M16" s="167">
        <f ca="1">OFFSET(Matches!$B$4,Partnerships!K16,0)</f>
        <v>43268</v>
      </c>
      <c r="P16"/>
      <c r="Q16" s="99">
        <v>8</v>
      </c>
      <c r="R16" s="99">
        <v>34</v>
      </c>
      <c r="T16" s="99" t="s">
        <v>193</v>
      </c>
      <c r="U16" s="99">
        <v>9</v>
      </c>
      <c r="W16" s="99" t="s">
        <v>249</v>
      </c>
      <c r="X16" s="99">
        <v>34</v>
      </c>
      <c r="Z16" s="99" t="s">
        <v>251</v>
      </c>
      <c r="AA16" s="173">
        <v>43268</v>
      </c>
      <c r="AM16" s="173"/>
    </row>
    <row r="17" spans="1:39" x14ac:dyDescent="0.15">
      <c r="A17" s="99">
        <v>9</v>
      </c>
      <c r="B17" s="99">
        <v>43</v>
      </c>
      <c r="D17" s="99" t="s">
        <v>200</v>
      </c>
      <c r="E17" s="99">
        <v>15</v>
      </c>
      <c r="F17" s="99" t="s">
        <v>233</v>
      </c>
      <c r="G17" s="99" t="s">
        <v>249</v>
      </c>
      <c r="H17" s="99">
        <v>20</v>
      </c>
      <c r="K17" s="99">
        <v>13</v>
      </c>
      <c r="L17" s="166" t="str">
        <f ca="1">OFFSET(Matches!$C$4,Partnerships!K17,0)</f>
        <v>LESSA Wanderers</v>
      </c>
      <c r="M17" s="167">
        <f ca="1">OFFSET(Matches!$B$4,Partnerships!K17,0)</f>
        <v>43303</v>
      </c>
      <c r="P17"/>
      <c r="Q17" s="99">
        <v>9</v>
      </c>
      <c r="R17" s="99">
        <v>43</v>
      </c>
      <c r="T17" s="99" t="s">
        <v>200</v>
      </c>
      <c r="U17" s="99">
        <v>15</v>
      </c>
      <c r="V17" s="99" t="s">
        <v>233</v>
      </c>
      <c r="W17" s="99" t="s">
        <v>249</v>
      </c>
      <c r="X17" s="99">
        <v>20</v>
      </c>
      <c r="Z17" s="99" t="s">
        <v>460</v>
      </c>
      <c r="AA17" s="173">
        <v>43303</v>
      </c>
      <c r="AM17" s="173"/>
    </row>
    <row r="18" spans="1:39" x14ac:dyDescent="0.15">
      <c r="A18" s="99">
        <v>10</v>
      </c>
      <c r="B18" s="99">
        <v>39</v>
      </c>
      <c r="D18" s="99" t="s">
        <v>200</v>
      </c>
      <c r="E18" s="99">
        <v>37</v>
      </c>
      <c r="G18" s="99" t="s">
        <v>643</v>
      </c>
      <c r="H18" s="99">
        <v>19</v>
      </c>
      <c r="I18" s="99" t="s">
        <v>233</v>
      </c>
      <c r="K18" s="99">
        <v>5</v>
      </c>
      <c r="L18" s="166" t="str">
        <f ca="1">OFFSET(Matches!$C$4,Partnerships!K18,0)</f>
        <v>Woodgreen</v>
      </c>
      <c r="M18" s="167">
        <f ca="1">OFFSET(Matches!$B$4,Partnerships!K18,0)</f>
        <v>43247</v>
      </c>
      <c r="P18"/>
      <c r="Q18" s="99">
        <v>10</v>
      </c>
      <c r="R18" s="99">
        <v>39</v>
      </c>
      <c r="T18" s="99" t="s">
        <v>200</v>
      </c>
      <c r="U18" s="99">
        <v>37</v>
      </c>
      <c r="W18" s="99" t="s">
        <v>643</v>
      </c>
      <c r="X18" s="99">
        <v>19</v>
      </c>
      <c r="Y18" s="99" t="s">
        <v>233</v>
      </c>
      <c r="Z18" s="99" t="s">
        <v>229</v>
      </c>
      <c r="AA18" s="173">
        <v>43247</v>
      </c>
      <c r="AM18" s="173"/>
    </row>
    <row r="19" spans="1:39" x14ac:dyDescent="0.15">
      <c r="L19" s="166" t="str">
        <f ca="1">OFFSET(Matches!$C$4,Partnerships!K19,0)</f>
        <v>Opp</v>
      </c>
      <c r="M19" s="167" t="str">
        <f ca="1">OFFSET(Matches!$B$4,Partnerships!K19,0)</f>
        <v>Date</v>
      </c>
      <c r="AM19" s="173"/>
    </row>
    <row r="20" spans="1:39" x14ac:dyDescent="0.15">
      <c r="L20" s="166" t="str">
        <f ca="1">OFFSET(Matches!$C$4,Partnerships!K20,0)</f>
        <v>Opp</v>
      </c>
      <c r="M20" s="167" t="str">
        <f ca="1">OFFSET(Matches!$B$4,Partnerships!K20,0)</f>
        <v>Date</v>
      </c>
      <c r="AM20" s="173"/>
    </row>
    <row r="21" spans="1:39" x14ac:dyDescent="0.15">
      <c r="L21" s="166" t="str">
        <f ca="1">OFFSET(Matches!$C$4,Partnerships!K21,0)</f>
        <v>Opp</v>
      </c>
      <c r="M21" s="167" t="str">
        <f ca="1">OFFSET(Matches!$B$4,Partnerships!K21,0)</f>
        <v>Date</v>
      </c>
    </row>
    <row r="22" spans="1:39" x14ac:dyDescent="0.15">
      <c r="L22" s="166" t="str">
        <f ca="1">OFFSET(Matches!$C$4,Partnerships!K22,0)</f>
        <v>Opp</v>
      </c>
      <c r="M22" s="167" t="str">
        <f ca="1">OFFSET(Matches!$B$4,Partnerships!K22,0)</f>
        <v>Date</v>
      </c>
    </row>
    <row r="23" spans="1:39" x14ac:dyDescent="0.15">
      <c r="L23" s="166" t="str">
        <f ca="1">OFFSET(Matches!$C$4,Partnerships!K23,0)</f>
        <v>Opp</v>
      </c>
      <c r="M23" s="167" t="str">
        <f ca="1">OFFSET(Matches!$B$4,Partnerships!K23,0)</f>
        <v>Date</v>
      </c>
    </row>
    <row r="24" spans="1:39" x14ac:dyDescent="0.15">
      <c r="F24"/>
      <c r="I24"/>
      <c r="J24"/>
      <c r="L24" s="166" t="str">
        <f ca="1">OFFSET(Matches!$C$4,Partnerships!K24,0)</f>
        <v>Opp</v>
      </c>
      <c r="M24" s="167" t="str">
        <f ca="1">OFFSET(Matches!$B$4,Partnerships!K24,0)</f>
        <v>Date</v>
      </c>
    </row>
    <row r="25" spans="1:39" x14ac:dyDescent="0.15">
      <c r="F25"/>
      <c r="G25"/>
      <c r="H25"/>
      <c r="I25"/>
      <c r="J25"/>
      <c r="L25" s="166" t="str">
        <f ca="1">OFFSET(Matches!$C$4,Partnerships!K25,0)</f>
        <v>Opp</v>
      </c>
      <c r="M25" s="167" t="str">
        <f ca="1">OFFSET(Matches!$B$4,Partnerships!K25,0)</f>
        <v>Date</v>
      </c>
    </row>
    <row r="26" spans="1:39" x14ac:dyDescent="0.15">
      <c r="F26"/>
      <c r="G26"/>
      <c r="H26"/>
      <c r="I26"/>
      <c r="J26"/>
      <c r="L26" s="166" t="str">
        <f ca="1">OFFSET(Matches!$C$4,Partnerships!K26,0)</f>
        <v>Opp</v>
      </c>
      <c r="M26" s="167" t="str">
        <f ca="1">OFFSET(Matches!$B$4,Partnerships!K26,0)</f>
        <v>Date</v>
      </c>
    </row>
    <row r="27" spans="1:39" x14ac:dyDescent="0.15">
      <c r="F27"/>
      <c r="G27"/>
      <c r="H27"/>
      <c r="I27"/>
      <c r="J27"/>
      <c r="L27" s="166" t="str">
        <f ca="1">OFFSET(Matches!$C$4,Partnerships!K27,0)</f>
        <v>Opp</v>
      </c>
      <c r="M27" s="167" t="str">
        <f ca="1">OFFSET(Matches!$B$4,Partnerships!K27,0)</f>
        <v>Date</v>
      </c>
    </row>
    <row r="28" spans="1:39" x14ac:dyDescent="0.15">
      <c r="F28"/>
      <c r="G28"/>
      <c r="H28"/>
      <c r="I28"/>
      <c r="J28"/>
      <c r="L28" s="166" t="str">
        <f ca="1">OFFSET(Matches!$C$4,Partnerships!K28,0)</f>
        <v>Opp</v>
      </c>
      <c r="M28" s="167" t="str">
        <f ca="1">OFFSET(Matches!$B$4,Partnerships!K28,0)</f>
        <v>Date</v>
      </c>
      <c r="Z28"/>
      <c r="AA28"/>
      <c r="AB28"/>
    </row>
    <row r="29" spans="1:39" x14ac:dyDescent="0.15">
      <c r="F29"/>
      <c r="G29"/>
      <c r="H29"/>
      <c r="I29"/>
      <c r="J29"/>
      <c r="L29" s="166" t="str">
        <f ca="1">OFFSET(Matches!$C$4,Partnerships!K29,0)</f>
        <v>Opp</v>
      </c>
      <c r="M29" s="167" t="str">
        <f ca="1">OFFSET(Matches!$B$4,Partnerships!K29,0)</f>
        <v>Date</v>
      </c>
      <c r="W29"/>
      <c r="X29"/>
      <c r="Y29"/>
      <c r="Z29" s="176"/>
      <c r="AA29" s="177"/>
      <c r="AB29"/>
    </row>
    <row r="30" spans="1:39" x14ac:dyDescent="0.15">
      <c r="F30"/>
      <c r="G30"/>
      <c r="H30"/>
      <c r="I30"/>
      <c r="J30"/>
      <c r="L30" s="166" t="str">
        <f ca="1">OFFSET(Matches!$C$4,Partnerships!K30,0)</f>
        <v>Opp</v>
      </c>
      <c r="M30" s="167" t="str">
        <f ca="1">OFFSET(Matches!$B$4,Partnerships!K30,0)</f>
        <v>Date</v>
      </c>
      <c r="W30" s="176"/>
      <c r="X30" s="177"/>
      <c r="Y30"/>
      <c r="Z30" s="176"/>
      <c r="AA30" s="177"/>
      <c r="AB30"/>
    </row>
    <row r="31" spans="1:39" x14ac:dyDescent="0.15">
      <c r="F31"/>
      <c r="G31"/>
      <c r="H31"/>
      <c r="I31"/>
      <c r="J31"/>
      <c r="L31" s="166" t="str">
        <f ca="1">OFFSET(Matches!$C$4,Partnerships!K31,0)</f>
        <v>Opp</v>
      </c>
      <c r="M31" s="167" t="str">
        <f ca="1">OFFSET(Matches!$B$4,Partnerships!K31,0)</f>
        <v>Date</v>
      </c>
      <c r="W31" s="176"/>
      <c r="X31" s="177"/>
      <c r="Y31"/>
      <c r="Z31" s="176"/>
      <c r="AA31" s="177"/>
      <c r="AB31"/>
    </row>
    <row r="32" spans="1:39" x14ac:dyDescent="0.15">
      <c r="F32"/>
      <c r="G32"/>
      <c r="H32"/>
      <c r="I32"/>
      <c r="J32"/>
      <c r="L32" s="166" t="str">
        <f ca="1">OFFSET(Matches!$C$4,Partnerships!K32,0)</f>
        <v>Opp</v>
      </c>
      <c r="M32" s="167" t="str">
        <f ca="1">OFFSET(Matches!$B$4,Partnerships!K32,0)</f>
        <v>Date</v>
      </c>
      <c r="W32" s="176"/>
      <c r="X32" s="177"/>
      <c r="Y32"/>
      <c r="Z32" s="176"/>
      <c r="AA32" s="177"/>
      <c r="AB32"/>
    </row>
    <row r="33" spans="6:28" x14ac:dyDescent="0.15">
      <c r="F33"/>
      <c r="G33"/>
      <c r="H33"/>
      <c r="I33"/>
      <c r="J33"/>
      <c r="L33" s="166" t="str">
        <f ca="1">OFFSET(Matches!$C$4,Partnerships!K33,0)</f>
        <v>Opp</v>
      </c>
      <c r="M33" s="167" t="str">
        <f ca="1">OFFSET(Matches!$B$4,Partnerships!K33,0)</f>
        <v>Date</v>
      </c>
      <c r="W33" s="176"/>
      <c r="X33" s="177"/>
      <c r="Y33"/>
      <c r="Z33" s="176"/>
      <c r="AA33" s="177"/>
      <c r="AB33"/>
    </row>
    <row r="34" spans="6:28" x14ac:dyDescent="0.15">
      <c r="F34"/>
      <c r="G34"/>
      <c r="H34"/>
      <c r="I34"/>
      <c r="J34"/>
      <c r="L34" s="166" t="str">
        <f ca="1">OFFSET(Matches!$C$4,Partnerships!K34,0)</f>
        <v>Opp</v>
      </c>
      <c r="M34" s="167" t="str">
        <f ca="1">OFFSET(Matches!$B$4,Partnerships!K34,0)</f>
        <v>Date</v>
      </c>
      <c r="W34" s="176"/>
      <c r="X34" s="177"/>
      <c r="Y34"/>
      <c r="Z34" s="176"/>
      <c r="AA34" s="177"/>
      <c r="AB34"/>
    </row>
    <row r="35" spans="6:28" x14ac:dyDescent="0.15">
      <c r="F35"/>
      <c r="G35"/>
      <c r="H35"/>
      <c r="I35"/>
      <c r="J35"/>
      <c r="L35" s="166" t="str">
        <f ca="1">OFFSET(Matches!$C$4,Partnerships!K35,0)</f>
        <v>Opp</v>
      </c>
      <c r="M35" s="167" t="str">
        <f ca="1">OFFSET(Matches!$B$4,Partnerships!K35,0)</f>
        <v>Date</v>
      </c>
      <c r="W35" s="176"/>
      <c r="X35" s="177"/>
      <c r="Y35"/>
      <c r="Z35" s="176"/>
      <c r="AA35" s="177"/>
      <c r="AB35"/>
    </row>
    <row r="36" spans="6:28" x14ac:dyDescent="0.15">
      <c r="F36"/>
      <c r="G36"/>
      <c r="H36"/>
      <c r="I36"/>
      <c r="J36"/>
      <c r="L36" s="166" t="str">
        <f ca="1">OFFSET(Matches!$C$4,Partnerships!K36,0)</f>
        <v>Opp</v>
      </c>
      <c r="M36" s="167" t="str">
        <f ca="1">OFFSET(Matches!$B$4,Partnerships!K36,0)</f>
        <v>Date</v>
      </c>
      <c r="W36" s="176"/>
      <c r="X36" s="177"/>
      <c r="Y36"/>
      <c r="Z36" s="176"/>
      <c r="AA36" s="177"/>
      <c r="AB36"/>
    </row>
    <row r="37" spans="6:28" x14ac:dyDescent="0.15">
      <c r="F37"/>
      <c r="G37"/>
      <c r="H37"/>
      <c r="I37"/>
      <c r="J37"/>
      <c r="L37" s="166" t="str">
        <f ca="1">OFFSET(Matches!$C$4,Partnerships!K37,0)</f>
        <v>Opp</v>
      </c>
      <c r="M37" s="167" t="str">
        <f ca="1">OFFSET(Matches!$B$4,Partnerships!K37,0)</f>
        <v>Date</v>
      </c>
      <c r="W37" s="176"/>
      <c r="X37" s="177"/>
      <c r="Y37"/>
      <c r="Z37" s="176"/>
      <c r="AA37" s="177"/>
      <c r="AB37"/>
    </row>
    <row r="38" spans="6:28" x14ac:dyDescent="0.15">
      <c r="F38"/>
      <c r="G38"/>
      <c r="H38"/>
      <c r="I38"/>
      <c r="J38"/>
      <c r="L38" s="166" t="str">
        <f ca="1">OFFSET(Matches!$C$4,Partnerships!K38,0)</f>
        <v>Opp</v>
      </c>
      <c r="M38" s="167" t="str">
        <f ca="1">OFFSET(Matches!$B$4,Partnerships!K38,0)</f>
        <v>Date</v>
      </c>
      <c r="W38" s="176"/>
      <c r="X38" s="177"/>
      <c r="Y38"/>
      <c r="Z38" s="176"/>
      <c r="AA38" s="177"/>
      <c r="AB38"/>
    </row>
    <row r="39" spans="6:28" x14ac:dyDescent="0.15">
      <c r="F39"/>
      <c r="G39"/>
      <c r="H39"/>
      <c r="I39"/>
      <c r="J39"/>
      <c r="L39" s="166" t="str">
        <f ca="1">OFFSET(Matches!$C$4,Partnerships!K39,0)</f>
        <v>Opp</v>
      </c>
      <c r="M39" s="167" t="str">
        <f ca="1">OFFSET(Matches!$B$4,Partnerships!K39,0)</f>
        <v>Date</v>
      </c>
      <c r="W39" s="176"/>
      <c r="X39" s="177"/>
      <c r="Y39"/>
      <c r="Z39" s="176"/>
      <c r="AA39" s="177"/>
      <c r="AB39"/>
    </row>
    <row r="40" spans="6:28" x14ac:dyDescent="0.15">
      <c r="G40"/>
      <c r="H40"/>
      <c r="I40"/>
      <c r="J40"/>
      <c r="L40" s="166" t="str">
        <f ca="1">OFFSET(Matches!$C$4,Partnerships!K40,0)</f>
        <v>Opp</v>
      </c>
      <c r="M40" s="167" t="str">
        <f ca="1">OFFSET(Matches!$B$4,Partnerships!K40,0)</f>
        <v>Date</v>
      </c>
      <c r="W40" s="176"/>
      <c r="X40" s="177"/>
      <c r="Y40"/>
      <c r="Z40" s="176"/>
      <c r="AA40" s="177"/>
      <c r="AB40"/>
    </row>
    <row r="41" spans="6:28" x14ac:dyDescent="0.15">
      <c r="G41"/>
      <c r="H41"/>
      <c r="I41"/>
      <c r="J41"/>
      <c r="W41"/>
      <c r="X41"/>
      <c r="Y41"/>
      <c r="Z41" s="176"/>
      <c r="AA41" s="177"/>
      <c r="AB41"/>
    </row>
    <row r="42" spans="6:28" x14ac:dyDescent="0.15">
      <c r="G42"/>
      <c r="H42"/>
      <c r="I42"/>
      <c r="J42"/>
      <c r="V42"/>
      <c r="W42"/>
      <c r="X42"/>
      <c r="Y42"/>
      <c r="Z42"/>
      <c r="AA42"/>
      <c r="AB42"/>
    </row>
    <row r="43" spans="6:28" x14ac:dyDescent="0.15">
      <c r="G43"/>
      <c r="H43"/>
      <c r="I43"/>
      <c r="J43"/>
      <c r="V43"/>
      <c r="W43"/>
      <c r="X43"/>
      <c r="Y43"/>
      <c r="Z43"/>
      <c r="AA43"/>
      <c r="AB43"/>
    </row>
    <row r="44" spans="6:28" x14ac:dyDescent="0.15">
      <c r="G44"/>
      <c r="H44"/>
      <c r="I44"/>
      <c r="J44"/>
      <c r="V44"/>
      <c r="W44"/>
      <c r="X44"/>
      <c r="Y44"/>
      <c r="Z44"/>
      <c r="AA44"/>
      <c r="AB44"/>
    </row>
    <row r="45" spans="6:28" x14ac:dyDescent="0.15">
      <c r="V45"/>
      <c r="W45"/>
      <c r="X45"/>
      <c r="Y45"/>
      <c r="Z45"/>
      <c r="AA45"/>
      <c r="AB45"/>
    </row>
    <row r="46" spans="6:28" x14ac:dyDescent="0.15">
      <c r="V46"/>
      <c r="W46"/>
      <c r="X46"/>
      <c r="Y46"/>
    </row>
    <row r="47" spans="6:28" x14ac:dyDescent="0.15">
      <c r="V47"/>
    </row>
    <row r="48" spans="6:28" x14ac:dyDescent="0.15">
      <c r="V48"/>
    </row>
    <row r="49" spans="22:22" x14ac:dyDescent="0.15">
      <c r="V49"/>
    </row>
    <row r="50" spans="22:22" x14ac:dyDescent="0.15">
      <c r="V50"/>
    </row>
    <row r="51" spans="22:22" x14ac:dyDescent="0.15">
      <c r="V51"/>
    </row>
    <row r="52" spans="22:22" x14ac:dyDescent="0.15">
      <c r="V52"/>
    </row>
    <row r="53" spans="22:22" x14ac:dyDescent="0.15">
      <c r="V53"/>
    </row>
    <row r="54" spans="22:22" x14ac:dyDescent="0.15">
      <c r="V54"/>
    </row>
    <row r="55" spans="22:22" x14ac:dyDescent="0.15">
      <c r="V55"/>
    </row>
    <row r="56" spans="22:22" x14ac:dyDescent="0.15">
      <c r="V56"/>
    </row>
    <row r="57" spans="22:22" x14ac:dyDescent="0.15">
      <c r="V57"/>
    </row>
  </sheetData>
  <pageMargins left="0.7" right="0.7" top="0.75" bottom="0.75" header="0.3" footer="0.3"/>
  <pageSetup paperSize="9" orientation="portrait" horizont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8"/>
  <sheetViews>
    <sheetView workbookViewId="0"/>
  </sheetViews>
  <sheetFormatPr defaultRowHeight="10.5" x14ac:dyDescent="0.15"/>
  <cols>
    <col min="4" max="4" width="13.5703125" bestFit="1" customWidth="1"/>
    <col min="5" max="5" width="16.85546875" bestFit="1" customWidth="1"/>
    <col min="6" max="6" width="2.140625" customWidth="1"/>
    <col min="7" max="7" width="2.7109375" customWidth="1"/>
    <col min="8" max="8" width="11.85546875" bestFit="1" customWidth="1"/>
  </cols>
  <sheetData>
    <row r="1" spans="1:8" x14ac:dyDescent="0.15">
      <c r="A1" t="s">
        <v>611</v>
      </c>
      <c r="B1" t="s">
        <v>12</v>
      </c>
    </row>
    <row r="2" spans="1:8" x14ac:dyDescent="0.15">
      <c r="A2" t="s">
        <v>205</v>
      </c>
      <c r="B2" t="s">
        <v>232</v>
      </c>
    </row>
    <row r="3" spans="1:8" x14ac:dyDescent="0.15">
      <c r="A3" t="s">
        <v>206</v>
      </c>
      <c r="B3" t="s">
        <v>232</v>
      </c>
    </row>
    <row r="4" spans="1:8" x14ac:dyDescent="0.15">
      <c r="A4" t="s">
        <v>205</v>
      </c>
      <c r="B4" t="s">
        <v>232</v>
      </c>
    </row>
    <row r="5" spans="1:8" x14ac:dyDescent="0.15">
      <c r="A5" t="s">
        <v>205</v>
      </c>
      <c r="B5" t="s">
        <v>232</v>
      </c>
    </row>
    <row r="6" spans="1:8" x14ac:dyDescent="0.15">
      <c r="A6" t="s">
        <v>205</v>
      </c>
      <c r="B6" t="s">
        <v>294</v>
      </c>
    </row>
    <row r="7" spans="1:8" x14ac:dyDescent="0.15">
      <c r="A7" t="s">
        <v>206</v>
      </c>
      <c r="B7" t="s">
        <v>138</v>
      </c>
    </row>
    <row r="8" spans="1:8" x14ac:dyDescent="0.15">
      <c r="A8" t="s">
        <v>206</v>
      </c>
      <c r="B8" t="s">
        <v>232</v>
      </c>
    </row>
    <row r="9" spans="1:8" x14ac:dyDescent="0.15">
      <c r="A9" t="s">
        <v>205</v>
      </c>
      <c r="B9" t="s">
        <v>232</v>
      </c>
      <c r="D9" s="175" t="s">
        <v>613</v>
      </c>
      <c r="E9" s="175" t="s">
        <v>612</v>
      </c>
    </row>
    <row r="10" spans="1:8" x14ac:dyDescent="0.15">
      <c r="A10" t="s">
        <v>206</v>
      </c>
      <c r="B10" t="s">
        <v>232</v>
      </c>
      <c r="D10" s="175" t="s">
        <v>270</v>
      </c>
      <c r="E10" t="s">
        <v>205</v>
      </c>
      <c r="F10" t="s">
        <v>462</v>
      </c>
      <c r="G10" t="s">
        <v>206</v>
      </c>
      <c r="H10" t="s">
        <v>271</v>
      </c>
    </row>
    <row r="11" spans="1:8" x14ac:dyDescent="0.15">
      <c r="A11" t="s">
        <v>205</v>
      </c>
      <c r="B11" t="s">
        <v>232</v>
      </c>
      <c r="D11" s="176" t="s">
        <v>294</v>
      </c>
      <c r="E11" s="177">
        <v>1</v>
      </c>
      <c r="F11" s="177"/>
      <c r="G11" s="177"/>
      <c r="H11" s="177">
        <v>1</v>
      </c>
    </row>
    <row r="12" spans="1:8" x14ac:dyDescent="0.15">
      <c r="A12" t="s">
        <v>206</v>
      </c>
      <c r="B12" t="s">
        <v>232</v>
      </c>
      <c r="D12" s="176" t="s">
        <v>138</v>
      </c>
      <c r="E12" s="177"/>
      <c r="F12" s="177"/>
      <c r="G12" s="177">
        <v>1</v>
      </c>
      <c r="H12" s="177">
        <v>1</v>
      </c>
    </row>
    <row r="13" spans="1:8" x14ac:dyDescent="0.15">
      <c r="A13" t="s">
        <v>206</v>
      </c>
      <c r="B13" t="s">
        <v>232</v>
      </c>
      <c r="D13" s="176" t="s">
        <v>232</v>
      </c>
      <c r="E13" s="177">
        <v>6</v>
      </c>
      <c r="F13" s="177">
        <v>1</v>
      </c>
      <c r="G13" s="177">
        <v>8</v>
      </c>
      <c r="H13" s="177">
        <v>15</v>
      </c>
    </row>
    <row r="14" spans="1:8" x14ac:dyDescent="0.15">
      <c r="A14" t="s">
        <v>206</v>
      </c>
      <c r="B14" t="s">
        <v>232</v>
      </c>
      <c r="D14" s="176" t="s">
        <v>271</v>
      </c>
      <c r="E14" s="177">
        <v>7</v>
      </c>
      <c r="F14" s="177">
        <v>1</v>
      </c>
      <c r="G14" s="177">
        <v>9</v>
      </c>
      <c r="H14" s="177">
        <v>17</v>
      </c>
    </row>
    <row r="15" spans="1:8" x14ac:dyDescent="0.15">
      <c r="A15" t="s">
        <v>206</v>
      </c>
      <c r="B15" t="s">
        <v>232</v>
      </c>
    </row>
    <row r="16" spans="1:8" x14ac:dyDescent="0.15">
      <c r="A16" t="s">
        <v>205</v>
      </c>
      <c r="B16" t="s">
        <v>232</v>
      </c>
    </row>
    <row r="17" spans="1:2" x14ac:dyDescent="0.15">
      <c r="A17" t="s">
        <v>462</v>
      </c>
      <c r="B17" t="s">
        <v>232</v>
      </c>
    </row>
    <row r="18" spans="1:2" x14ac:dyDescent="0.15">
      <c r="A18" t="s">
        <v>206</v>
      </c>
      <c r="B18" t="s">
        <v>232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</vt:i4>
      </vt:variant>
    </vt:vector>
  </HeadingPairs>
  <TitlesOfParts>
    <vt:vector size="23" baseType="lpstr">
      <vt:lpstr>Matches</vt:lpstr>
      <vt:lpstr>Batting</vt:lpstr>
      <vt:lpstr>Sheet1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Capts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2020-07-15T15:20:35Z</dcterms:modified>
</cp:coreProperties>
</file>
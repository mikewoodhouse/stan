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2645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  <sheet name="Sheet1" sheetId="18" r:id="rId12"/>
    <sheet name="Sheet2" sheetId="19" r:id="rId13"/>
  </sheets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Bowling!$A$1:$AR$31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4"/>
    <pivotCache cacheId="1" r:id="rId15"/>
  </pivotCaches>
</workbook>
</file>

<file path=xl/calcChain.xml><?xml version="1.0" encoding="utf-8"?>
<calcChain xmlns="http://schemas.openxmlformats.org/spreadsheetml/2006/main">
  <c r="S21" i="19" l="1"/>
  <c r="S14" i="19"/>
  <c r="S2" i="19"/>
  <c r="S11" i="19"/>
  <c r="S19" i="19"/>
  <c r="S5" i="19"/>
  <c r="S10" i="19"/>
  <c r="S6" i="19"/>
  <c r="S12" i="19"/>
  <c r="S24" i="19"/>
  <c r="S25" i="19"/>
  <c r="S22" i="19"/>
  <c r="S7" i="19"/>
  <c r="S26" i="19"/>
  <c r="S4" i="19"/>
  <c r="S15" i="19"/>
  <c r="S8" i="19"/>
  <c r="S29" i="19"/>
  <c r="S27" i="19"/>
  <c r="S30" i="19"/>
  <c r="S28" i="19"/>
  <c r="S33" i="19"/>
  <c r="S34" i="19"/>
  <c r="S9" i="19"/>
  <c r="S35" i="19"/>
  <c r="S13" i="19"/>
  <c r="S16" i="19"/>
  <c r="S31" i="19"/>
  <c r="S3" i="19"/>
  <c r="S23" i="19"/>
  <c r="S36" i="19"/>
  <c r="S37" i="19"/>
  <c r="S17" i="19"/>
  <c r="S32" i="19"/>
  <c r="S18" i="19"/>
  <c r="AL3" i="10"/>
  <c r="AL6" i="10"/>
  <c r="A67" i="3"/>
  <c r="AO91" i="3"/>
  <c r="AK91" i="3"/>
  <c r="AG91" i="3"/>
  <c r="AC91" i="3"/>
  <c r="Y91" i="3"/>
  <c r="U91" i="3"/>
  <c r="Q91" i="3"/>
  <c r="M91" i="3"/>
  <c r="I91" i="3"/>
  <c r="E91" i="3"/>
  <c r="AQ90" i="3"/>
  <c r="AM90" i="3"/>
  <c r="AI90" i="3"/>
  <c r="AE90" i="3"/>
  <c r="AA90" i="3"/>
  <c r="W90" i="3"/>
  <c r="S90" i="3"/>
  <c r="O90" i="3"/>
  <c r="K90" i="3"/>
  <c r="G90" i="3"/>
  <c r="C90" i="3"/>
  <c r="AO89" i="3"/>
  <c r="AK89" i="3"/>
  <c r="AG89" i="3"/>
  <c r="AC89" i="3"/>
  <c r="Y89" i="3"/>
  <c r="U89" i="3"/>
  <c r="Q89" i="3"/>
  <c r="M89" i="3"/>
  <c r="I89" i="3"/>
  <c r="E89" i="3"/>
  <c r="AQ88" i="3"/>
  <c r="AM88" i="3"/>
  <c r="AI88" i="3"/>
  <c r="AE88" i="3"/>
  <c r="AA88" i="3"/>
  <c r="W88" i="3"/>
  <c r="S88" i="3"/>
  <c r="O88" i="3"/>
  <c r="K88" i="3"/>
  <c r="G88" i="3"/>
  <c r="C88" i="3"/>
  <c r="AO87" i="3"/>
  <c r="AK87" i="3"/>
  <c r="AG87" i="3"/>
  <c r="AC87" i="3"/>
  <c r="Y87" i="3"/>
  <c r="U87" i="3"/>
  <c r="Q87" i="3"/>
  <c r="M87" i="3"/>
  <c r="I87" i="3"/>
  <c r="E87" i="3"/>
  <c r="AQ86" i="3"/>
  <c r="AM86" i="3"/>
  <c r="AI86" i="3"/>
  <c r="AE86" i="3"/>
  <c r="AA86" i="3"/>
  <c r="W86" i="3"/>
  <c r="S86" i="3"/>
  <c r="O86" i="3"/>
  <c r="K86" i="3"/>
  <c r="G86" i="3"/>
  <c r="C86" i="3"/>
  <c r="AO85" i="3"/>
  <c r="AK85" i="3"/>
  <c r="AG85" i="3"/>
  <c r="AC85" i="3"/>
  <c r="Y85" i="3"/>
  <c r="U85" i="3"/>
  <c r="Q85" i="3"/>
  <c r="M85" i="3"/>
  <c r="I85" i="3"/>
  <c r="E85" i="3"/>
  <c r="AQ84" i="3"/>
  <c r="AM84" i="3"/>
  <c r="AI84" i="3"/>
  <c r="AE84" i="3"/>
  <c r="AA84" i="3"/>
  <c r="W84" i="3"/>
  <c r="S84" i="3"/>
  <c r="O84" i="3"/>
  <c r="K84" i="3"/>
  <c r="G84" i="3"/>
  <c r="C84" i="3"/>
  <c r="AO83" i="3"/>
  <c r="AK83" i="3"/>
  <c r="AG83" i="3"/>
  <c r="AC83" i="3"/>
  <c r="Y83" i="3"/>
  <c r="U83" i="3"/>
  <c r="Q83" i="3"/>
  <c r="M83" i="3"/>
  <c r="I83" i="3"/>
  <c r="E83" i="3"/>
  <c r="AQ82" i="3"/>
  <c r="AR91" i="3"/>
  <c r="AN91" i="3"/>
  <c r="AJ91" i="3"/>
  <c r="AF91" i="3"/>
  <c r="AB91" i="3"/>
  <c r="X91" i="3"/>
  <c r="T91" i="3"/>
  <c r="P91" i="3"/>
  <c r="L91" i="3"/>
  <c r="H91" i="3"/>
  <c r="D91" i="3"/>
  <c r="AP90" i="3"/>
  <c r="AL90" i="3"/>
  <c r="AH90" i="3"/>
  <c r="AD90" i="3"/>
  <c r="Z90" i="3"/>
  <c r="V90" i="3"/>
  <c r="R90" i="3"/>
  <c r="N90" i="3"/>
  <c r="J90" i="3"/>
  <c r="F90" i="3"/>
  <c r="AR89" i="3"/>
  <c r="AN89" i="3"/>
  <c r="AJ89" i="3"/>
  <c r="AF89" i="3"/>
  <c r="AB89" i="3"/>
  <c r="X89" i="3"/>
  <c r="T89" i="3"/>
  <c r="P89" i="3"/>
  <c r="L89" i="3"/>
  <c r="H89" i="3"/>
  <c r="D89" i="3"/>
  <c r="AP88" i="3"/>
  <c r="AL88" i="3"/>
  <c r="AH88" i="3"/>
  <c r="AD88" i="3"/>
  <c r="Z88" i="3"/>
  <c r="V88" i="3"/>
  <c r="R88" i="3"/>
  <c r="N88" i="3"/>
  <c r="J88" i="3"/>
  <c r="F88" i="3"/>
  <c r="AR87" i="3"/>
  <c r="AN87" i="3"/>
  <c r="AJ87" i="3"/>
  <c r="AF87" i="3"/>
  <c r="AB87" i="3"/>
  <c r="X87" i="3"/>
  <c r="T87" i="3"/>
  <c r="P87" i="3"/>
  <c r="L87" i="3"/>
  <c r="H87" i="3"/>
  <c r="D87" i="3"/>
  <c r="AP86" i="3"/>
  <c r="AL86" i="3"/>
  <c r="AH86" i="3"/>
  <c r="AD86" i="3"/>
  <c r="Z86" i="3"/>
  <c r="V86" i="3"/>
  <c r="R86" i="3"/>
  <c r="N86" i="3"/>
  <c r="J86" i="3"/>
  <c r="F86" i="3"/>
  <c r="AR85" i="3"/>
  <c r="AN85" i="3"/>
  <c r="AJ85" i="3"/>
  <c r="AF85" i="3"/>
  <c r="AB85" i="3"/>
  <c r="X85" i="3"/>
  <c r="T85" i="3"/>
  <c r="P85" i="3"/>
  <c r="L85" i="3"/>
  <c r="H85" i="3"/>
  <c r="D85" i="3"/>
  <c r="AP84" i="3"/>
  <c r="AL84" i="3"/>
  <c r="AH84" i="3"/>
  <c r="AD84" i="3"/>
  <c r="Z84" i="3"/>
  <c r="V84" i="3"/>
  <c r="R84" i="3"/>
  <c r="N84" i="3"/>
  <c r="J84" i="3"/>
  <c r="F84" i="3"/>
  <c r="AR83" i="3"/>
  <c r="AN83" i="3"/>
  <c r="AJ83" i="3"/>
  <c r="AF83" i="3"/>
  <c r="AB83" i="3"/>
  <c r="X83" i="3"/>
  <c r="T83" i="3"/>
  <c r="P83" i="3"/>
  <c r="L83" i="3"/>
  <c r="H83" i="3"/>
  <c r="D83" i="3"/>
  <c r="AP82" i="3"/>
  <c r="AL82" i="3"/>
  <c r="AH82" i="3"/>
  <c r="AD82" i="3"/>
  <c r="Z82" i="3"/>
  <c r="V82" i="3"/>
  <c r="R82" i="3"/>
  <c r="N82" i="3"/>
  <c r="AQ91" i="3"/>
  <c r="AM91" i="3"/>
  <c r="AI91" i="3"/>
  <c r="AE91" i="3"/>
  <c r="AA91" i="3"/>
  <c r="W91" i="3"/>
  <c r="S91" i="3"/>
  <c r="O91" i="3"/>
  <c r="K91" i="3"/>
  <c r="G91" i="3"/>
  <c r="C91" i="3"/>
  <c r="AO90" i="3"/>
  <c r="AK90" i="3"/>
  <c r="AG90" i="3"/>
  <c r="AC90" i="3"/>
  <c r="Y90" i="3"/>
  <c r="U90" i="3"/>
  <c r="Q90" i="3"/>
  <c r="M90" i="3"/>
  <c r="I90" i="3"/>
  <c r="E90" i="3"/>
  <c r="AQ89" i="3"/>
  <c r="AM89" i="3"/>
  <c r="AI89" i="3"/>
  <c r="AE89" i="3"/>
  <c r="AA89" i="3"/>
  <c r="W89" i="3"/>
  <c r="S89" i="3"/>
  <c r="O89" i="3"/>
  <c r="K89" i="3"/>
  <c r="G89" i="3"/>
  <c r="C89" i="3"/>
  <c r="AO88" i="3"/>
  <c r="AK88" i="3"/>
  <c r="AG88" i="3"/>
  <c r="AC88" i="3"/>
  <c r="Y88" i="3"/>
  <c r="U88" i="3"/>
  <c r="Q88" i="3"/>
  <c r="M88" i="3"/>
  <c r="I88" i="3"/>
  <c r="E88" i="3"/>
  <c r="AQ87" i="3"/>
  <c r="AM87" i="3"/>
  <c r="AI87" i="3"/>
  <c r="AE87" i="3"/>
  <c r="AA87" i="3"/>
  <c r="W87" i="3"/>
  <c r="S87" i="3"/>
  <c r="O87" i="3"/>
  <c r="K87" i="3"/>
  <c r="G87" i="3"/>
  <c r="C87" i="3"/>
  <c r="AO86" i="3"/>
  <c r="AK86" i="3"/>
  <c r="AG86" i="3"/>
  <c r="AC86" i="3"/>
  <c r="Y86" i="3"/>
  <c r="U86" i="3"/>
  <c r="Q86" i="3"/>
  <c r="M86" i="3"/>
  <c r="I86" i="3"/>
  <c r="E86" i="3"/>
  <c r="AQ85" i="3"/>
  <c r="AM85" i="3"/>
  <c r="AI85" i="3"/>
  <c r="AE85" i="3"/>
  <c r="AA85" i="3"/>
  <c r="W85" i="3"/>
  <c r="S85" i="3"/>
  <c r="O85" i="3"/>
  <c r="K85" i="3"/>
  <c r="G85" i="3"/>
  <c r="C85" i="3"/>
  <c r="AO84" i="3"/>
  <c r="AK84" i="3"/>
  <c r="AG84" i="3"/>
  <c r="AC84" i="3"/>
  <c r="Y84" i="3"/>
  <c r="U84" i="3"/>
  <c r="Q84" i="3"/>
  <c r="M84" i="3"/>
  <c r="I84" i="3"/>
  <c r="E84" i="3"/>
  <c r="AQ83" i="3"/>
  <c r="AM83" i="3"/>
  <c r="AI83" i="3"/>
  <c r="AE83" i="3"/>
  <c r="AA83" i="3"/>
  <c r="W83" i="3"/>
  <c r="S83" i="3"/>
  <c r="O83" i="3"/>
  <c r="K83" i="3"/>
  <c r="G83" i="3"/>
  <c r="C83" i="3"/>
  <c r="AO82" i="3"/>
  <c r="AK82" i="3"/>
  <c r="AG82" i="3"/>
  <c r="AC82" i="3"/>
  <c r="Y82" i="3"/>
  <c r="U82" i="3"/>
  <c r="Q82" i="3"/>
  <c r="M82" i="3"/>
  <c r="I82" i="3"/>
  <c r="E82" i="3"/>
  <c r="AQ81" i="3"/>
  <c r="AM81" i="3"/>
  <c r="AI81" i="3"/>
  <c r="AE81" i="3"/>
  <c r="AA81" i="3"/>
  <c r="W81" i="3"/>
  <c r="S81" i="3"/>
  <c r="O81" i="3"/>
  <c r="K81" i="3"/>
  <c r="G81" i="3"/>
  <c r="C81" i="3"/>
  <c r="AO80" i="3"/>
  <c r="AK80" i="3"/>
  <c r="AG80" i="3"/>
  <c r="AC80" i="3"/>
  <c r="Y80" i="3"/>
  <c r="U80" i="3"/>
  <c r="Q80" i="3"/>
  <c r="M80" i="3"/>
  <c r="I80" i="3"/>
  <c r="E80" i="3"/>
  <c r="AQ79" i="3"/>
  <c r="AH91" i="3"/>
  <c r="R91" i="3"/>
  <c r="AR90" i="3"/>
  <c r="AB90" i="3"/>
  <c r="L90" i="3"/>
  <c r="AL89" i="3"/>
  <c r="V89" i="3"/>
  <c r="F89" i="3"/>
  <c r="AF88" i="3"/>
  <c r="P88" i="3"/>
  <c r="AP87" i="3"/>
  <c r="Z87" i="3"/>
  <c r="J87" i="3"/>
  <c r="AJ86" i="3"/>
  <c r="T86" i="3"/>
  <c r="D86" i="3"/>
  <c r="AD85" i="3"/>
  <c r="N85" i="3"/>
  <c r="AN84" i="3"/>
  <c r="X84" i="3"/>
  <c r="H84" i="3"/>
  <c r="AH83" i="3"/>
  <c r="R83" i="3"/>
  <c r="AR82" i="3"/>
  <c r="AI82" i="3"/>
  <c r="AA82" i="3"/>
  <c r="S82" i="3"/>
  <c r="K82" i="3"/>
  <c r="F82" i="3"/>
  <c r="AP81" i="3"/>
  <c r="AK81" i="3"/>
  <c r="AF81" i="3"/>
  <c r="Z81" i="3"/>
  <c r="U81" i="3"/>
  <c r="P81" i="3"/>
  <c r="J81" i="3"/>
  <c r="E81" i="3"/>
  <c r="AP80" i="3"/>
  <c r="AJ80" i="3"/>
  <c r="AE80" i="3"/>
  <c r="Z80" i="3"/>
  <c r="T80" i="3"/>
  <c r="O80" i="3"/>
  <c r="J80" i="3"/>
  <c r="D80" i="3"/>
  <c r="AO79" i="3"/>
  <c r="AK79" i="3"/>
  <c r="AG79" i="3"/>
  <c r="AC79" i="3"/>
  <c r="Y79" i="3"/>
  <c r="U79" i="3"/>
  <c r="Q79" i="3"/>
  <c r="M79" i="3"/>
  <c r="I79" i="3"/>
  <c r="E79" i="3"/>
  <c r="AQ78" i="3"/>
  <c r="AM78" i="3"/>
  <c r="AI78" i="3"/>
  <c r="AE78" i="3"/>
  <c r="AA78" i="3"/>
  <c r="W78" i="3"/>
  <c r="S78" i="3"/>
  <c r="O78" i="3"/>
  <c r="K78" i="3"/>
  <c r="G78" i="3"/>
  <c r="C78" i="3"/>
  <c r="AO77" i="3"/>
  <c r="AK77" i="3"/>
  <c r="AG77" i="3"/>
  <c r="AC77" i="3"/>
  <c r="Y77" i="3"/>
  <c r="U77" i="3"/>
  <c r="Q77" i="3"/>
  <c r="M77" i="3"/>
  <c r="I77" i="3"/>
  <c r="E77" i="3"/>
  <c r="AQ76" i="3"/>
  <c r="AM76" i="3"/>
  <c r="AI76" i="3"/>
  <c r="AE76" i="3"/>
  <c r="AA76" i="3"/>
  <c r="W76" i="3"/>
  <c r="S76" i="3"/>
  <c r="O76" i="3"/>
  <c r="K76" i="3"/>
  <c r="G76" i="3"/>
  <c r="C76" i="3"/>
  <c r="AO75" i="3"/>
  <c r="AK75" i="3"/>
  <c r="AG75" i="3"/>
  <c r="AC75" i="3"/>
  <c r="Y75" i="3"/>
  <c r="U75" i="3"/>
  <c r="Q75" i="3"/>
  <c r="M75" i="3"/>
  <c r="I75" i="3"/>
  <c r="E75" i="3"/>
  <c r="AQ74" i="3"/>
  <c r="AM74" i="3"/>
  <c r="AI74" i="3"/>
  <c r="AE74" i="3"/>
  <c r="AA74" i="3"/>
  <c r="W74" i="3"/>
  <c r="S74" i="3"/>
  <c r="O74" i="3"/>
  <c r="K74" i="3"/>
  <c r="G74" i="3"/>
  <c r="C74" i="3"/>
  <c r="AO73" i="3"/>
  <c r="AK73" i="3"/>
  <c r="AG73" i="3"/>
  <c r="AC73" i="3"/>
  <c r="Y73" i="3"/>
  <c r="U73" i="3"/>
  <c r="Q73" i="3"/>
  <c r="M73" i="3"/>
  <c r="I73" i="3"/>
  <c r="E73" i="3"/>
  <c r="AQ72" i="3"/>
  <c r="AM72" i="3"/>
  <c r="AI72" i="3"/>
  <c r="AE72" i="3"/>
  <c r="AA72" i="3"/>
  <c r="W72" i="3"/>
  <c r="S72" i="3"/>
  <c r="O72" i="3"/>
  <c r="K72" i="3"/>
  <c r="Z91" i="3"/>
  <c r="F91" i="3"/>
  <c r="X90" i="3"/>
  <c r="D90" i="3"/>
  <c r="Z89" i="3"/>
  <c r="AR88" i="3"/>
  <c r="X88" i="3"/>
  <c r="D88" i="3"/>
  <c r="V87" i="3"/>
  <c r="AR86" i="3"/>
  <c r="X86" i="3"/>
  <c r="AP85" i="3"/>
  <c r="V85" i="3"/>
  <c r="AR84" i="3"/>
  <c r="T84" i="3"/>
  <c r="AP83" i="3"/>
  <c r="V83" i="3"/>
  <c r="AN82" i="3"/>
  <c r="AE82" i="3"/>
  <c r="T82" i="3"/>
  <c r="J82" i="3"/>
  <c r="C82" i="3"/>
  <c r="AL81" i="3"/>
  <c r="AD81" i="3"/>
  <c r="X81" i="3"/>
  <c r="Q81" i="3"/>
  <c r="I81" i="3"/>
  <c r="AR80" i="3"/>
  <c r="AL80" i="3"/>
  <c r="AD80" i="3"/>
  <c r="W80" i="3"/>
  <c r="P80" i="3"/>
  <c r="H80" i="3"/>
  <c r="AR79" i="3"/>
  <c r="AL79" i="3"/>
  <c r="AF79" i="3"/>
  <c r="AA79" i="3"/>
  <c r="V79" i="3"/>
  <c r="P79" i="3"/>
  <c r="K79" i="3"/>
  <c r="F79" i="3"/>
  <c r="AP78" i="3"/>
  <c r="AK78" i="3"/>
  <c r="AF78" i="3"/>
  <c r="Z78" i="3"/>
  <c r="U78" i="3"/>
  <c r="P78" i="3"/>
  <c r="J78" i="3"/>
  <c r="E78" i="3"/>
  <c r="AP77" i="3"/>
  <c r="AJ77" i="3"/>
  <c r="AE77" i="3"/>
  <c r="Z77" i="3"/>
  <c r="T77" i="3"/>
  <c r="O77" i="3"/>
  <c r="J77" i="3"/>
  <c r="D77" i="3"/>
  <c r="AO76" i="3"/>
  <c r="AJ76" i="3"/>
  <c r="AD76" i="3"/>
  <c r="Y76" i="3"/>
  <c r="T76" i="3"/>
  <c r="N76" i="3"/>
  <c r="I76" i="3"/>
  <c r="D76" i="3"/>
  <c r="AN75" i="3"/>
  <c r="AI75" i="3"/>
  <c r="AD75" i="3"/>
  <c r="X75" i="3"/>
  <c r="S75" i="3"/>
  <c r="N75" i="3"/>
  <c r="H75" i="3"/>
  <c r="C75" i="3"/>
  <c r="AN74" i="3"/>
  <c r="AH74" i="3"/>
  <c r="AC74" i="3"/>
  <c r="X74" i="3"/>
  <c r="R74" i="3"/>
  <c r="M74" i="3"/>
  <c r="H74" i="3"/>
  <c r="AR73" i="3"/>
  <c r="AM73" i="3"/>
  <c r="AH73" i="3"/>
  <c r="AB73" i="3"/>
  <c r="W73" i="3"/>
  <c r="R73" i="3"/>
  <c r="L73" i="3"/>
  <c r="G73" i="3"/>
  <c r="AR72" i="3"/>
  <c r="AL72" i="3"/>
  <c r="AG72" i="3"/>
  <c r="AB72" i="3"/>
  <c r="V72" i="3"/>
  <c r="Q72" i="3"/>
  <c r="L72" i="3"/>
  <c r="G72" i="3"/>
  <c r="C72" i="3"/>
  <c r="AO71" i="3"/>
  <c r="AK71" i="3"/>
  <c r="AG71" i="3"/>
  <c r="AC71" i="3"/>
  <c r="Y71" i="3"/>
  <c r="U71" i="3"/>
  <c r="Q71" i="3"/>
  <c r="M71" i="3"/>
  <c r="I71" i="3"/>
  <c r="E71" i="3"/>
  <c r="AQ70" i="3"/>
  <c r="AM70" i="3"/>
  <c r="AI70" i="3"/>
  <c r="AE70" i="3"/>
  <c r="AA70" i="3"/>
  <c r="W70" i="3"/>
  <c r="S70" i="3"/>
  <c r="O70" i="3"/>
  <c r="K70" i="3"/>
  <c r="G70" i="3"/>
  <c r="C70" i="3"/>
  <c r="AO69" i="3"/>
  <c r="AK69" i="3"/>
  <c r="AG69" i="3"/>
  <c r="AC69" i="3"/>
  <c r="Y69" i="3"/>
  <c r="U69" i="3"/>
  <c r="Q69" i="3"/>
  <c r="M69" i="3"/>
  <c r="I69" i="3"/>
  <c r="E69" i="3"/>
  <c r="AQ68" i="3"/>
  <c r="AM68" i="3"/>
  <c r="AI68" i="3"/>
  <c r="AE68" i="3"/>
  <c r="AA68" i="3"/>
  <c r="W68" i="3"/>
  <c r="S68" i="3"/>
  <c r="O68" i="3"/>
  <c r="K68" i="3"/>
  <c r="G68" i="3"/>
  <c r="C68" i="3"/>
  <c r="AO67" i="3"/>
  <c r="AK67" i="3"/>
  <c r="AG67" i="3"/>
  <c r="AC67" i="3"/>
  <c r="Y67" i="3"/>
  <c r="U67" i="3"/>
  <c r="Q67" i="3"/>
  <c r="M67" i="3"/>
  <c r="I67" i="3"/>
  <c r="E67" i="3"/>
  <c r="AP91" i="3"/>
  <c r="V91" i="3"/>
  <c r="AN90" i="3"/>
  <c r="T90" i="3"/>
  <c r="AP89" i="3"/>
  <c r="R89" i="3"/>
  <c r="AN88" i="3"/>
  <c r="T88" i="3"/>
  <c r="AL87" i="3"/>
  <c r="R87" i="3"/>
  <c r="AN86" i="3"/>
  <c r="P86" i="3"/>
  <c r="AL85" i="3"/>
  <c r="R85" i="3"/>
  <c r="AJ84" i="3"/>
  <c r="P84" i="3"/>
  <c r="AL83" i="3"/>
  <c r="N83" i="3"/>
  <c r="AM82" i="3"/>
  <c r="AB82" i="3"/>
  <c r="P82" i="3"/>
  <c r="H82" i="3"/>
  <c r="AR81" i="3"/>
  <c r="AJ81" i="3"/>
  <c r="AC81" i="3"/>
  <c r="V81" i="3"/>
  <c r="N81" i="3"/>
  <c r="H81" i="3"/>
  <c r="AQ80" i="3"/>
  <c r="AI80" i="3"/>
  <c r="AB80" i="3"/>
  <c r="V80" i="3"/>
  <c r="N80" i="3"/>
  <c r="G80" i="3"/>
  <c r="AP79" i="3"/>
  <c r="AJ79" i="3"/>
  <c r="AE79" i="3"/>
  <c r="Z79" i="3"/>
  <c r="T79" i="3"/>
  <c r="O79" i="3"/>
  <c r="J79" i="3"/>
  <c r="D79" i="3"/>
  <c r="AO78" i="3"/>
  <c r="AJ78" i="3"/>
  <c r="AD78" i="3"/>
  <c r="Y78" i="3"/>
  <c r="T78" i="3"/>
  <c r="N78" i="3"/>
  <c r="I78" i="3"/>
  <c r="D78" i="3"/>
  <c r="AN77" i="3"/>
  <c r="AI77" i="3"/>
  <c r="AD77" i="3"/>
  <c r="X77" i="3"/>
  <c r="S77" i="3"/>
  <c r="N77" i="3"/>
  <c r="H77" i="3"/>
  <c r="C77" i="3"/>
  <c r="AN76" i="3"/>
  <c r="AH76" i="3"/>
  <c r="AC76" i="3"/>
  <c r="X76" i="3"/>
  <c r="R76" i="3"/>
  <c r="M76" i="3"/>
  <c r="H76" i="3"/>
  <c r="AR75" i="3"/>
  <c r="AM75" i="3"/>
  <c r="AH75" i="3"/>
  <c r="AB75" i="3"/>
  <c r="W75" i="3"/>
  <c r="R75" i="3"/>
  <c r="L75" i="3"/>
  <c r="G75" i="3"/>
  <c r="AR74" i="3"/>
  <c r="AL74" i="3"/>
  <c r="AG74" i="3"/>
  <c r="AB74" i="3"/>
  <c r="V74" i="3"/>
  <c r="Q74" i="3"/>
  <c r="L74" i="3"/>
  <c r="F74" i="3"/>
  <c r="AQ73" i="3"/>
  <c r="AL73" i="3"/>
  <c r="AF73" i="3"/>
  <c r="AA73" i="3"/>
  <c r="V73" i="3"/>
  <c r="P73" i="3"/>
  <c r="K73" i="3"/>
  <c r="F73" i="3"/>
  <c r="AP72" i="3"/>
  <c r="AK72" i="3"/>
  <c r="AF72" i="3"/>
  <c r="Z72" i="3"/>
  <c r="U72" i="3"/>
  <c r="P72" i="3"/>
  <c r="J72" i="3"/>
  <c r="F72" i="3"/>
  <c r="AR71" i="3"/>
  <c r="AN71" i="3"/>
  <c r="AJ71" i="3"/>
  <c r="AF71" i="3"/>
  <c r="AB71" i="3"/>
  <c r="X71" i="3"/>
  <c r="T71" i="3"/>
  <c r="P71" i="3"/>
  <c r="L71" i="3"/>
  <c r="AD91" i="3"/>
  <c r="AF90" i="3"/>
  <c r="AD89" i="3"/>
  <c r="AB88" i="3"/>
  <c r="AD87" i="3"/>
  <c r="AB86" i="3"/>
  <c r="Z85" i="3"/>
  <c r="AB84" i="3"/>
  <c r="Z83" i="3"/>
  <c r="AF82" i="3"/>
  <c r="L82" i="3"/>
  <c r="AN81" i="3"/>
  <c r="Y81" i="3"/>
  <c r="L81" i="3"/>
  <c r="AM80" i="3"/>
  <c r="X80" i="3"/>
  <c r="K80" i="3"/>
  <c r="AM79" i="3"/>
  <c r="AB79" i="3"/>
  <c r="R79" i="3"/>
  <c r="G79" i="3"/>
  <c r="AL78" i="3"/>
  <c r="AB78" i="3"/>
  <c r="Q78" i="3"/>
  <c r="F78" i="3"/>
  <c r="AL77" i="3"/>
  <c r="AA77" i="3"/>
  <c r="P77" i="3"/>
  <c r="F77" i="3"/>
  <c r="AK76" i="3"/>
  <c r="Z76" i="3"/>
  <c r="P76" i="3"/>
  <c r="E76" i="3"/>
  <c r="AJ75" i="3"/>
  <c r="Z75" i="3"/>
  <c r="O75" i="3"/>
  <c r="D75" i="3"/>
  <c r="AJ74" i="3"/>
  <c r="Y74" i="3"/>
  <c r="N74" i="3"/>
  <c r="D74" i="3"/>
  <c r="AI73" i="3"/>
  <c r="X73" i="3"/>
  <c r="N73" i="3"/>
  <c r="C73" i="3"/>
  <c r="AH72" i="3"/>
  <c r="X72" i="3"/>
  <c r="M72" i="3"/>
  <c r="D72" i="3"/>
  <c r="AL71" i="3"/>
  <c r="AD71" i="3"/>
  <c r="V71" i="3"/>
  <c r="N71" i="3"/>
  <c r="G71" i="3"/>
  <c r="AR70" i="3"/>
  <c r="AL70" i="3"/>
  <c r="AG70" i="3"/>
  <c r="AB70" i="3"/>
  <c r="V70" i="3"/>
  <c r="Q70" i="3"/>
  <c r="L70" i="3"/>
  <c r="F70" i="3"/>
  <c r="AQ69" i="3"/>
  <c r="AL69" i="3"/>
  <c r="AF69" i="3"/>
  <c r="AA69" i="3"/>
  <c r="V69" i="3"/>
  <c r="P69" i="3"/>
  <c r="K69" i="3"/>
  <c r="F69" i="3"/>
  <c r="AP68" i="3"/>
  <c r="AK68" i="3"/>
  <c r="AF68" i="3"/>
  <c r="Z68" i="3"/>
  <c r="U68" i="3"/>
  <c r="P68" i="3"/>
  <c r="J68" i="3"/>
  <c r="E68" i="3"/>
  <c r="AP67" i="3"/>
  <c r="AJ67" i="3"/>
  <c r="AE67" i="3"/>
  <c r="Z67" i="3"/>
  <c r="T67" i="3"/>
  <c r="O67" i="3"/>
  <c r="J67" i="3"/>
  <c r="D67" i="3"/>
  <c r="N91" i="3"/>
  <c r="P90" i="3"/>
  <c r="N89" i="3"/>
  <c r="L88" i="3"/>
  <c r="N87" i="3"/>
  <c r="L86" i="3"/>
  <c r="J85" i="3"/>
  <c r="L84" i="3"/>
  <c r="J83" i="3"/>
  <c r="X82" i="3"/>
  <c r="G82" i="3"/>
  <c r="AH81" i="3"/>
  <c r="T81" i="3"/>
  <c r="F81" i="3"/>
  <c r="AH80" i="3"/>
  <c r="S80" i="3"/>
  <c r="F80" i="3"/>
  <c r="AI79" i="3"/>
  <c r="X79" i="3"/>
  <c r="N79" i="3"/>
  <c r="C79" i="3"/>
  <c r="AH78" i="3"/>
  <c r="X78" i="3"/>
  <c r="M78" i="3"/>
  <c r="AR77" i="3"/>
  <c r="AH77" i="3"/>
  <c r="W77" i="3"/>
  <c r="L77" i="3"/>
  <c r="AR76" i="3"/>
  <c r="AG76" i="3"/>
  <c r="V76" i="3"/>
  <c r="L76" i="3"/>
  <c r="AQ75" i="3"/>
  <c r="AF75" i="3"/>
  <c r="V75" i="3"/>
  <c r="K75" i="3"/>
  <c r="AP74" i="3"/>
  <c r="AF74" i="3"/>
  <c r="U74" i="3"/>
  <c r="J74" i="3"/>
  <c r="AP73" i="3"/>
  <c r="AE73" i="3"/>
  <c r="T73" i="3"/>
  <c r="J73" i="3"/>
  <c r="AO72" i="3"/>
  <c r="AD72" i="3"/>
  <c r="T72" i="3"/>
  <c r="I72" i="3"/>
  <c r="AQ71" i="3"/>
  <c r="AI71" i="3"/>
  <c r="AA71" i="3"/>
  <c r="S71" i="3"/>
  <c r="K71" i="3"/>
  <c r="F71" i="3"/>
  <c r="AP70" i="3"/>
  <c r="AK70" i="3"/>
  <c r="AF70" i="3"/>
  <c r="Z70" i="3"/>
  <c r="U70" i="3"/>
  <c r="P70" i="3"/>
  <c r="J70" i="3"/>
  <c r="E70" i="3"/>
  <c r="AP69" i="3"/>
  <c r="AJ69" i="3"/>
  <c r="AE69" i="3"/>
  <c r="Z69" i="3"/>
  <c r="T69" i="3"/>
  <c r="O69" i="3"/>
  <c r="J69" i="3"/>
  <c r="D69" i="3"/>
  <c r="AO68" i="3"/>
  <c r="AJ68" i="3"/>
  <c r="AD68" i="3"/>
  <c r="Y68" i="3"/>
  <c r="T68" i="3"/>
  <c r="N68" i="3"/>
  <c r="I68" i="3"/>
  <c r="D68" i="3"/>
  <c r="AN67" i="3"/>
  <c r="AI67" i="3"/>
  <c r="AD67" i="3"/>
  <c r="X67" i="3"/>
  <c r="S67" i="3"/>
  <c r="N67" i="3"/>
  <c r="H67" i="3"/>
  <c r="J91" i="3"/>
  <c r="H90" i="3"/>
  <c r="J89" i="3"/>
  <c r="H88" i="3"/>
  <c r="F87" i="3"/>
  <c r="H86" i="3"/>
  <c r="F85" i="3"/>
  <c r="D84" i="3"/>
  <c r="F83" i="3"/>
  <c r="W82" i="3"/>
  <c r="D82" i="3"/>
  <c r="AG81" i="3"/>
  <c r="R81" i="3"/>
  <c r="D81" i="3"/>
  <c r="AF80" i="3"/>
  <c r="R80" i="3"/>
  <c r="C80" i="3"/>
  <c r="AH79" i="3"/>
  <c r="W79" i="3"/>
  <c r="L79" i="3"/>
  <c r="AR78" i="3"/>
  <c r="AG78" i="3"/>
  <c r="V78" i="3"/>
  <c r="L78" i="3"/>
  <c r="AQ77" i="3"/>
  <c r="AF77" i="3"/>
  <c r="V77" i="3"/>
  <c r="K77" i="3"/>
  <c r="AP76" i="3"/>
  <c r="AF76" i="3"/>
  <c r="U76" i="3"/>
  <c r="J76" i="3"/>
  <c r="AP75" i="3"/>
  <c r="AE75" i="3"/>
  <c r="T75" i="3"/>
  <c r="J75" i="3"/>
  <c r="AO74" i="3"/>
  <c r="AD74" i="3"/>
  <c r="T74" i="3"/>
  <c r="I74" i="3"/>
  <c r="AN73" i="3"/>
  <c r="AD73" i="3"/>
  <c r="S73" i="3"/>
  <c r="H73" i="3"/>
  <c r="AN72" i="3"/>
  <c r="AC72" i="3"/>
  <c r="R72" i="3"/>
  <c r="H72" i="3"/>
  <c r="AP71" i="3"/>
  <c r="AH71" i="3"/>
  <c r="Z71" i="3"/>
  <c r="R71" i="3"/>
  <c r="J71" i="3"/>
  <c r="D71" i="3"/>
  <c r="AO70" i="3"/>
  <c r="AJ70" i="3"/>
  <c r="AD70" i="3"/>
  <c r="Y70" i="3"/>
  <c r="T70" i="3"/>
  <c r="N70" i="3"/>
  <c r="I70" i="3"/>
  <c r="D70" i="3"/>
  <c r="AN69" i="3"/>
  <c r="AI69" i="3"/>
  <c r="AD69" i="3"/>
  <c r="X69" i="3"/>
  <c r="S69" i="3"/>
  <c r="N69" i="3"/>
  <c r="H69" i="3"/>
  <c r="C69" i="3"/>
  <c r="AN68" i="3"/>
  <c r="AH68" i="3"/>
  <c r="AC68" i="3"/>
  <c r="X68" i="3"/>
  <c r="R68" i="3"/>
  <c r="M68" i="3"/>
  <c r="H68" i="3"/>
  <c r="AR67" i="3"/>
  <c r="AM67" i="3"/>
  <c r="AH67" i="3"/>
  <c r="AB67" i="3"/>
  <c r="W67" i="3"/>
  <c r="R67" i="3"/>
  <c r="L67" i="3"/>
  <c r="G67" i="3"/>
  <c r="C67" i="3"/>
  <c r="AL91" i="3"/>
  <c r="AJ90" i="3"/>
  <c r="AH89" i="3"/>
  <c r="AJ88" i="3"/>
  <c r="AH87" i="3"/>
  <c r="AF86" i="3"/>
  <c r="AH85" i="3"/>
  <c r="AF84" i="3"/>
  <c r="AD83" i="3"/>
  <c r="AJ82" i="3"/>
  <c r="O82" i="3"/>
  <c r="AO81" i="3"/>
  <c r="AB81" i="3"/>
  <c r="M81" i="3"/>
  <c r="AN80" i="3"/>
  <c r="AA80" i="3"/>
  <c r="L80" i="3"/>
  <c r="AN79" i="3"/>
  <c r="AD79" i="3"/>
  <c r="S79" i="3"/>
  <c r="H79" i="3"/>
  <c r="AN78" i="3"/>
  <c r="AC78" i="3"/>
  <c r="R78" i="3"/>
  <c r="H78" i="3"/>
  <c r="AM77" i="3"/>
  <c r="AB77" i="3"/>
  <c r="R77" i="3"/>
  <c r="G77" i="3"/>
  <c r="AL76" i="3"/>
  <c r="AB76" i="3"/>
  <c r="Q76" i="3"/>
  <c r="F76" i="3"/>
  <c r="AL75" i="3"/>
  <c r="AA75" i="3"/>
  <c r="P75" i="3"/>
  <c r="F75" i="3"/>
  <c r="AK74" i="3"/>
  <c r="Z74" i="3"/>
  <c r="P74" i="3"/>
  <c r="E74" i="3"/>
  <c r="AJ73" i="3"/>
  <c r="AJ72" i="3"/>
  <c r="AM71" i="3"/>
  <c r="H71" i="3"/>
  <c r="AC70" i="3"/>
  <c r="H70" i="3"/>
  <c r="AB69" i="3"/>
  <c r="G69" i="3"/>
  <c r="AB68" i="3"/>
  <c r="F68" i="3"/>
  <c r="AA67" i="3"/>
  <c r="F67" i="3"/>
  <c r="Y72" i="3"/>
  <c r="C71" i="3"/>
  <c r="AR69" i="3"/>
  <c r="W69" i="3"/>
  <c r="V68" i="3"/>
  <c r="AQ67" i="3"/>
  <c r="O73" i="3"/>
  <c r="W71" i="3"/>
  <c r="AN70" i="3"/>
  <c r="AM69" i="3"/>
  <c r="AL68" i="3"/>
  <c r="AL67" i="3"/>
  <c r="D73" i="3"/>
  <c r="AH70" i="3"/>
  <c r="AH69" i="3"/>
  <c r="AG68" i="3"/>
  <c r="AF67" i="3"/>
  <c r="Z73" i="3"/>
  <c r="AE71" i="3"/>
  <c r="X70" i="3"/>
  <c r="AR68" i="3"/>
  <c r="V67" i="3"/>
  <c r="N72" i="3"/>
  <c r="R70" i="3"/>
  <c r="R69" i="3"/>
  <c r="Q68" i="3"/>
  <c r="P67" i="3"/>
  <c r="E72" i="3"/>
  <c r="O71" i="3"/>
  <c r="M70" i="3"/>
  <c r="L69" i="3"/>
  <c r="L68" i="3"/>
  <c r="K67" i="3"/>
  <c r="B67" i="3" l="1"/>
  <c r="C20" i="17"/>
  <c r="AG3" i="1"/>
  <c r="AF3" i="1"/>
  <c r="T3" i="19"/>
  <c r="T9" i="19"/>
  <c r="T10" i="19"/>
  <c r="T12" i="19"/>
  <c r="T18" i="19"/>
  <c r="T7" i="19"/>
  <c r="T16" i="19"/>
  <c r="T29" i="19"/>
  <c r="T27" i="19"/>
  <c r="T19" i="19"/>
  <c r="T5" i="19"/>
  <c r="T13" i="19"/>
  <c r="T14" i="19"/>
  <c r="T8" i="19"/>
  <c r="T11" i="19"/>
  <c r="T25" i="19"/>
  <c r="T22" i="19"/>
  <c r="T33" i="19"/>
  <c r="T35" i="19"/>
  <c r="T21" i="19"/>
  <c r="T23" i="19"/>
  <c r="T6" i="19"/>
  <c r="T2" i="19"/>
  <c r="T24" i="19"/>
  <c r="T30" i="19"/>
  <c r="T26" i="19"/>
  <c r="T28" i="19"/>
  <c r="T34" i="19"/>
  <c r="T31" i="19"/>
  <c r="T36" i="19"/>
  <c r="T15" i="19"/>
  <c r="T37" i="19"/>
  <c r="T17" i="19"/>
  <c r="T32" i="19"/>
  <c r="T4" i="19"/>
  <c r="CX38" i="2"/>
  <c r="CX34" i="2"/>
  <c r="CX30" i="2"/>
  <c r="CX26" i="2"/>
  <c r="CX22" i="2"/>
  <c r="CX18" i="2"/>
  <c r="CX14" i="2"/>
  <c r="CX10" i="2"/>
  <c r="CX6" i="2"/>
  <c r="X90" i="2"/>
  <c r="T90" i="2"/>
  <c r="P90" i="2"/>
  <c r="L90" i="2"/>
  <c r="H90" i="2"/>
  <c r="D90" i="2"/>
  <c r="W89" i="2"/>
  <c r="S89" i="2"/>
  <c r="O89" i="2"/>
  <c r="K89" i="2"/>
  <c r="G89" i="2"/>
  <c r="Z88" i="2"/>
  <c r="V88" i="2"/>
  <c r="R88" i="2"/>
  <c r="N88" i="2"/>
  <c r="J88" i="2"/>
  <c r="F88" i="2"/>
  <c r="Y87" i="2"/>
  <c r="U87" i="2"/>
  <c r="Q87" i="2"/>
  <c r="M87" i="2"/>
  <c r="I87" i="2"/>
  <c r="E87" i="2"/>
  <c r="X86" i="2"/>
  <c r="T86" i="2"/>
  <c r="P86" i="2"/>
  <c r="L86" i="2"/>
  <c r="H86" i="2"/>
  <c r="D86" i="2"/>
  <c r="W85" i="2"/>
  <c r="S85" i="2"/>
  <c r="O85" i="2"/>
  <c r="K85" i="2"/>
  <c r="G85" i="2"/>
  <c r="Z84" i="2"/>
  <c r="V84" i="2"/>
  <c r="R84" i="2"/>
  <c r="N84" i="2"/>
  <c r="J84" i="2"/>
  <c r="F84" i="2"/>
  <c r="Y83" i="2"/>
  <c r="U83" i="2"/>
  <c r="Q83" i="2"/>
  <c r="M83" i="2"/>
  <c r="I83" i="2"/>
  <c r="E83" i="2"/>
  <c r="X82" i="2"/>
  <c r="T82" i="2"/>
  <c r="P82" i="2"/>
  <c r="L82" i="2"/>
  <c r="H82" i="2"/>
  <c r="D82" i="2"/>
  <c r="W81" i="2"/>
  <c r="S81" i="2"/>
  <c r="O81" i="2"/>
  <c r="K81" i="2"/>
  <c r="G81" i="2"/>
  <c r="Z80" i="2"/>
  <c r="V80" i="2"/>
  <c r="R80" i="2"/>
  <c r="N80" i="2"/>
  <c r="J80" i="2"/>
  <c r="F80" i="2"/>
  <c r="Y79" i="2"/>
  <c r="U79" i="2"/>
  <c r="Q79" i="2"/>
  <c r="M79" i="2"/>
  <c r="I79" i="2"/>
  <c r="E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Y64" i="2"/>
  <c r="U64" i="2"/>
  <c r="Q64" i="2"/>
  <c r="M64" i="2"/>
  <c r="I64" i="2"/>
  <c r="E64" i="2"/>
  <c r="X63" i="2"/>
  <c r="T63" i="2"/>
  <c r="P63" i="2"/>
  <c r="L63" i="2"/>
  <c r="H63" i="2"/>
  <c r="D63" i="2"/>
  <c r="W62" i="2"/>
  <c r="S62" i="2"/>
  <c r="O62" i="2"/>
  <c r="K62" i="2"/>
  <c r="G62" i="2"/>
  <c r="Z61" i="2"/>
  <c r="V61" i="2"/>
  <c r="R61" i="2"/>
  <c r="N61" i="2"/>
  <c r="J61" i="2"/>
  <c r="F61" i="2"/>
  <c r="Y60" i="2"/>
  <c r="U60" i="2"/>
  <c r="Q60" i="2"/>
  <c r="M60" i="2"/>
  <c r="I60" i="2"/>
  <c r="E60" i="2"/>
  <c r="X59" i="2"/>
  <c r="T59" i="2"/>
  <c r="P59" i="2"/>
  <c r="L59" i="2"/>
  <c r="H59" i="2"/>
  <c r="D59" i="2"/>
  <c r="W58" i="2"/>
  <c r="S58" i="2"/>
  <c r="O58" i="2"/>
  <c r="K58" i="2"/>
  <c r="G58" i="2"/>
  <c r="Z57" i="2"/>
  <c r="V57" i="2"/>
  <c r="R57" i="2"/>
  <c r="N57" i="2"/>
  <c r="J57" i="2"/>
  <c r="F57" i="2"/>
  <c r="Y56" i="2"/>
  <c r="U56" i="2"/>
  <c r="Q56" i="2"/>
  <c r="M56" i="2"/>
  <c r="I56" i="2"/>
  <c r="E56" i="2"/>
  <c r="Y54" i="2"/>
  <c r="U54" i="2"/>
  <c r="Q54" i="2"/>
  <c r="M54" i="2"/>
  <c r="I54" i="2"/>
  <c r="E54" i="2"/>
  <c r="M89" i="2"/>
  <c r="L88" i="2"/>
  <c r="S87" i="2"/>
  <c r="G87" i="2"/>
  <c r="R86" i="2"/>
  <c r="F86" i="2"/>
  <c r="Q85" i="2"/>
  <c r="E85" i="2"/>
  <c r="P84" i="2"/>
  <c r="D84" i="2"/>
  <c r="W83" i="2"/>
  <c r="K83" i="2"/>
  <c r="Z82" i="2"/>
  <c r="N82" i="2"/>
  <c r="Y81" i="2"/>
  <c r="Q81" i="2"/>
  <c r="E81" i="2"/>
  <c r="P80" i="2"/>
  <c r="D80" i="2"/>
  <c r="O79" i="2"/>
  <c r="Y78" i="2"/>
  <c r="Q78" i="2"/>
  <c r="E78" i="2"/>
  <c r="T77" i="2"/>
  <c r="L77" i="2"/>
  <c r="CX37" i="2"/>
  <c r="CX33" i="2"/>
  <c r="CX29" i="2"/>
  <c r="CX25" i="2"/>
  <c r="CX21" i="2"/>
  <c r="CX17" i="2"/>
  <c r="CX13" i="2"/>
  <c r="CX9" i="2"/>
  <c r="CX5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K82" i="2"/>
  <c r="G82" i="2"/>
  <c r="Z81" i="2"/>
  <c r="V81" i="2"/>
  <c r="R81" i="2"/>
  <c r="N81" i="2"/>
  <c r="J81" i="2"/>
  <c r="F81" i="2"/>
  <c r="Y80" i="2"/>
  <c r="U80" i="2"/>
  <c r="Q80" i="2"/>
  <c r="M80" i="2"/>
  <c r="I80" i="2"/>
  <c r="E80" i="2"/>
  <c r="X79" i="2"/>
  <c r="T79" i="2"/>
  <c r="P79" i="2"/>
  <c r="L79" i="2"/>
  <c r="H79" i="2"/>
  <c r="Z78" i="2"/>
  <c r="V78" i="2"/>
  <c r="R78" i="2"/>
  <c r="N78" i="2"/>
  <c r="J78" i="2"/>
  <c r="F78" i="2"/>
  <c r="Y77" i="2"/>
  <c r="U77" i="2"/>
  <c r="Q77" i="2"/>
  <c r="M77" i="2"/>
  <c r="I77" i="2"/>
  <c r="E77" i="2"/>
  <c r="X76" i="2"/>
  <c r="T76" i="2"/>
  <c r="P76" i="2"/>
  <c r="L76" i="2"/>
  <c r="H76" i="2"/>
  <c r="D76" i="2"/>
  <c r="W75" i="2"/>
  <c r="S75" i="2"/>
  <c r="O75" i="2"/>
  <c r="K75" i="2"/>
  <c r="G75" i="2"/>
  <c r="Z74" i="2"/>
  <c r="V74" i="2"/>
  <c r="R74" i="2"/>
  <c r="N74" i="2"/>
  <c r="J74" i="2"/>
  <c r="F74" i="2"/>
  <c r="Y73" i="2"/>
  <c r="U73" i="2"/>
  <c r="Q73" i="2"/>
  <c r="M73" i="2"/>
  <c r="I73" i="2"/>
  <c r="E73" i="2"/>
  <c r="X72" i="2"/>
  <c r="T72" i="2"/>
  <c r="P72" i="2"/>
  <c r="L72" i="2"/>
  <c r="H72" i="2"/>
  <c r="D72" i="2"/>
  <c r="W71" i="2"/>
  <c r="S71" i="2"/>
  <c r="O71" i="2"/>
  <c r="K71" i="2"/>
  <c r="G71" i="2"/>
  <c r="Z70" i="2"/>
  <c r="V70" i="2"/>
  <c r="R70" i="2"/>
  <c r="N70" i="2"/>
  <c r="J70" i="2"/>
  <c r="F70" i="2"/>
  <c r="Y69" i="2"/>
  <c r="U69" i="2"/>
  <c r="Q69" i="2"/>
  <c r="M69" i="2"/>
  <c r="I69" i="2"/>
  <c r="E69" i="2"/>
  <c r="X68" i="2"/>
  <c r="T68" i="2"/>
  <c r="P68" i="2"/>
  <c r="L68" i="2"/>
  <c r="H68" i="2"/>
  <c r="D68" i="2"/>
  <c r="W67" i="2"/>
  <c r="S67" i="2"/>
  <c r="O67" i="2"/>
  <c r="K67" i="2"/>
  <c r="G67" i="2"/>
  <c r="Z66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D56" i="2"/>
  <c r="X54" i="2"/>
  <c r="T54" i="2"/>
  <c r="P54" i="2"/>
  <c r="L54" i="2"/>
  <c r="H54" i="2"/>
  <c r="CX32" i="2"/>
  <c r="CX28" i="2"/>
  <c r="CX24" i="2"/>
  <c r="CX20" i="2"/>
  <c r="CX16" i="2"/>
  <c r="CX12" i="2"/>
  <c r="CX8" i="2"/>
  <c r="Z90" i="2"/>
  <c r="R90" i="2"/>
  <c r="N90" i="2"/>
  <c r="J90" i="2"/>
  <c r="F90" i="2"/>
  <c r="Y89" i="2"/>
  <c r="Q89" i="2"/>
  <c r="I89" i="2"/>
  <c r="X88" i="2"/>
  <c r="T88" i="2"/>
  <c r="H88" i="2"/>
  <c r="W87" i="2"/>
  <c r="K87" i="2"/>
  <c r="Z86" i="2"/>
  <c r="N86" i="2"/>
  <c r="Y85" i="2"/>
  <c r="M85" i="2"/>
  <c r="X84" i="2"/>
  <c r="T84" i="2"/>
  <c r="H84" i="2"/>
  <c r="S83" i="2"/>
  <c r="G83" i="2"/>
  <c r="R82" i="2"/>
  <c r="J82" i="2"/>
  <c r="U81" i="2"/>
  <c r="I81" i="2"/>
  <c r="T80" i="2"/>
  <c r="L80" i="2"/>
  <c r="W79" i="2"/>
  <c r="K79" i="2"/>
  <c r="U78" i="2"/>
  <c r="I78" i="2"/>
  <c r="X77" i="2"/>
  <c r="CX36" i="2"/>
  <c r="V90" i="2"/>
  <c r="U89" i="2"/>
  <c r="E89" i="2"/>
  <c r="P88" i="2"/>
  <c r="D88" i="2"/>
  <c r="O87" i="2"/>
  <c r="V86" i="2"/>
  <c r="J86" i="2"/>
  <c r="U85" i="2"/>
  <c r="I85" i="2"/>
  <c r="L84" i="2"/>
  <c r="O83" i="2"/>
  <c r="V82" i="2"/>
  <c r="F82" i="2"/>
  <c r="M81" i="2"/>
  <c r="X80" i="2"/>
  <c r="H80" i="2"/>
  <c r="S79" i="2"/>
  <c r="G79" i="2"/>
  <c r="M78" i="2"/>
  <c r="P77" i="2"/>
  <c r="CX39" i="2"/>
  <c r="CX23" i="2"/>
  <c r="CX7" i="2"/>
  <c r="M90" i="2"/>
  <c r="T89" i="2"/>
  <c r="D89" i="2"/>
  <c r="K88" i="2"/>
  <c r="R87" i="2"/>
  <c r="Y86" i="2"/>
  <c r="I86" i="2"/>
  <c r="P85" i="2"/>
  <c r="W84" i="2"/>
  <c r="G84" i="2"/>
  <c r="N83" i="2"/>
  <c r="U82" i="2"/>
  <c r="E82" i="2"/>
  <c r="L81" i="2"/>
  <c r="S80" i="2"/>
  <c r="Z79" i="2"/>
  <c r="J79" i="2"/>
  <c r="P78" i="2"/>
  <c r="W77" i="2"/>
  <c r="H77" i="2"/>
  <c r="W76" i="2"/>
  <c r="O76" i="2"/>
  <c r="G76" i="2"/>
  <c r="V75" i="2"/>
  <c r="N75" i="2"/>
  <c r="F75" i="2"/>
  <c r="U74" i="2"/>
  <c r="M74" i="2"/>
  <c r="E74" i="2"/>
  <c r="T73" i="2"/>
  <c r="L73" i="2"/>
  <c r="D73" i="2"/>
  <c r="S72" i="2"/>
  <c r="K72" i="2"/>
  <c r="Z71" i="2"/>
  <c r="R71" i="2"/>
  <c r="J71" i="2"/>
  <c r="Y70" i="2"/>
  <c r="Q70" i="2"/>
  <c r="I70" i="2"/>
  <c r="X69" i="2"/>
  <c r="P69" i="2"/>
  <c r="H69" i="2"/>
  <c r="W68" i="2"/>
  <c r="O68" i="2"/>
  <c r="G68" i="2"/>
  <c r="V67" i="2"/>
  <c r="N67" i="2"/>
  <c r="F67" i="2"/>
  <c r="U66" i="2"/>
  <c r="M66" i="2"/>
  <c r="E66" i="2"/>
  <c r="T65" i="2"/>
  <c r="L65" i="2"/>
  <c r="D65" i="2"/>
  <c r="S64" i="2"/>
  <c r="K64" i="2"/>
  <c r="Z63" i="2"/>
  <c r="R63" i="2"/>
  <c r="J63" i="2"/>
  <c r="Y62" i="2"/>
  <c r="Q62" i="2"/>
  <c r="I62" i="2"/>
  <c r="X61" i="2"/>
  <c r="P61" i="2"/>
  <c r="H61" i="2"/>
  <c r="W60" i="2"/>
  <c r="O60" i="2"/>
  <c r="G60" i="2"/>
  <c r="V59" i="2"/>
  <c r="N59" i="2"/>
  <c r="F59" i="2"/>
  <c r="U58" i="2"/>
  <c r="M58" i="2"/>
  <c r="E58" i="2"/>
  <c r="T57" i="2"/>
  <c r="L57" i="2"/>
  <c r="D57" i="2"/>
  <c r="S56" i="2"/>
  <c r="K56" i="2"/>
  <c r="D79" i="2"/>
  <c r="S54" i="2"/>
  <c r="K54" i="2"/>
  <c r="T78" i="2"/>
  <c r="J76" i="2"/>
  <c r="I75" i="2"/>
  <c r="H74" i="2"/>
  <c r="V72" i="2"/>
  <c r="F72" i="2"/>
  <c r="M71" i="2"/>
  <c r="T70" i="2"/>
  <c r="S69" i="2"/>
  <c r="J68" i="2"/>
  <c r="I67" i="2"/>
  <c r="H66" i="2"/>
  <c r="G65" i="2"/>
  <c r="F64" i="2"/>
  <c r="E63" i="2"/>
  <c r="D62" i="2"/>
  <c r="K61" i="2"/>
  <c r="R60" i="2"/>
  <c r="Y59" i="2"/>
  <c r="I59" i="2"/>
  <c r="X58" i="2"/>
  <c r="W57" i="2"/>
  <c r="O57" i="2"/>
  <c r="G57" i="2"/>
  <c r="F56" i="2"/>
  <c r="V54" i="2"/>
  <c r="CX35" i="2"/>
  <c r="CX19" i="2"/>
  <c r="Y90" i="2"/>
  <c r="I90" i="2"/>
  <c r="P89" i="2"/>
  <c r="W88" i="2"/>
  <c r="G88" i="2"/>
  <c r="N87" i="2"/>
  <c r="U86" i="2"/>
  <c r="E86" i="2"/>
  <c r="L85" i="2"/>
  <c r="S84" i="2"/>
  <c r="Z83" i="2"/>
  <c r="J83" i="2"/>
  <c r="Q82" i="2"/>
  <c r="X81" i="2"/>
  <c r="H81" i="2"/>
  <c r="O80" i="2"/>
  <c r="V79" i="2"/>
  <c r="F79" i="2"/>
  <c r="L78" i="2"/>
  <c r="S77" i="2"/>
  <c r="G77" i="2"/>
  <c r="V76" i="2"/>
  <c r="N76" i="2"/>
  <c r="F76" i="2"/>
  <c r="U75" i="2"/>
  <c r="M75" i="2"/>
  <c r="E75" i="2"/>
  <c r="T74" i="2"/>
  <c r="L74" i="2"/>
  <c r="D74" i="2"/>
  <c r="S73" i="2"/>
  <c r="K73" i="2"/>
  <c r="Z72" i="2"/>
  <c r="R72" i="2"/>
  <c r="J72" i="2"/>
  <c r="Y71" i="2"/>
  <c r="Q71" i="2"/>
  <c r="I71" i="2"/>
  <c r="X70" i="2"/>
  <c r="P70" i="2"/>
  <c r="H70" i="2"/>
  <c r="W69" i="2"/>
  <c r="O69" i="2"/>
  <c r="G69" i="2"/>
  <c r="V68" i="2"/>
  <c r="N68" i="2"/>
  <c r="F68" i="2"/>
  <c r="U67" i="2"/>
  <c r="M67" i="2"/>
  <c r="E67" i="2"/>
  <c r="T66" i="2"/>
  <c r="L66" i="2"/>
  <c r="D66" i="2"/>
  <c r="S65" i="2"/>
  <c r="K65" i="2"/>
  <c r="Z64" i="2"/>
  <c r="R64" i="2"/>
  <c r="J64" i="2"/>
  <c r="Y63" i="2"/>
  <c r="Q63" i="2"/>
  <c r="I63" i="2"/>
  <c r="X62" i="2"/>
  <c r="P62" i="2"/>
  <c r="H62" i="2"/>
  <c r="W61" i="2"/>
  <c r="O61" i="2"/>
  <c r="G61" i="2"/>
  <c r="V60" i="2"/>
  <c r="N60" i="2"/>
  <c r="F60" i="2"/>
  <c r="U59" i="2"/>
  <c r="M59" i="2"/>
  <c r="E59" i="2"/>
  <c r="T58" i="2"/>
  <c r="L58" i="2"/>
  <c r="D58" i="2"/>
  <c r="S57" i="2"/>
  <c r="K57" i="2"/>
  <c r="Z56" i="2"/>
  <c r="R56" i="2"/>
  <c r="J56" i="2"/>
  <c r="Z54" i="2"/>
  <c r="R54" i="2"/>
  <c r="J54" i="2"/>
  <c r="Y58" i="2"/>
  <c r="I58" i="2"/>
  <c r="X57" i="2"/>
  <c r="H57" i="2"/>
  <c r="W56" i="2"/>
  <c r="O56" i="2"/>
  <c r="W54" i="2"/>
  <c r="O54" i="2"/>
  <c r="CX27" i="2"/>
  <c r="Q90" i="2"/>
  <c r="H89" i="2"/>
  <c r="V87" i="2"/>
  <c r="M86" i="2"/>
  <c r="D85" i="2"/>
  <c r="R83" i="2"/>
  <c r="I82" i="2"/>
  <c r="W80" i="2"/>
  <c r="N79" i="2"/>
  <c r="K77" i="2"/>
  <c r="Z76" i="2"/>
  <c r="Y75" i="2"/>
  <c r="X74" i="2"/>
  <c r="W73" i="2"/>
  <c r="G73" i="2"/>
  <c r="U71" i="2"/>
  <c r="L70" i="2"/>
  <c r="Z68" i="2"/>
  <c r="Q67" i="2"/>
  <c r="X66" i="2"/>
  <c r="W65" i="2"/>
  <c r="V64" i="2"/>
  <c r="U63" i="2"/>
  <c r="T62" i="2"/>
  <c r="S61" i="2"/>
  <c r="J60" i="2"/>
  <c r="P58" i="2"/>
  <c r="V56" i="2"/>
  <c r="N54" i="2"/>
  <c r="CX31" i="2"/>
  <c r="CX15" i="2"/>
  <c r="U90" i="2"/>
  <c r="E90" i="2"/>
  <c r="L89" i="2"/>
  <c r="S88" i="2"/>
  <c r="Z87" i="2"/>
  <c r="J87" i="2"/>
  <c r="Q86" i="2"/>
  <c r="X85" i="2"/>
  <c r="H85" i="2"/>
  <c r="O84" i="2"/>
  <c r="V83" i="2"/>
  <c r="F83" i="2"/>
  <c r="M82" i="2"/>
  <c r="T81" i="2"/>
  <c r="D81" i="2"/>
  <c r="K80" i="2"/>
  <c r="R79" i="2"/>
  <c r="X78" i="2"/>
  <c r="H78" i="2"/>
  <c r="O77" i="2"/>
  <c r="D77" i="2"/>
  <c r="S76" i="2"/>
  <c r="K76" i="2"/>
  <c r="Z75" i="2"/>
  <c r="R75" i="2"/>
  <c r="J75" i="2"/>
  <c r="Y74" i="2"/>
  <c r="Q74" i="2"/>
  <c r="I74" i="2"/>
  <c r="X73" i="2"/>
  <c r="P73" i="2"/>
  <c r="H73" i="2"/>
  <c r="W72" i="2"/>
  <c r="O72" i="2"/>
  <c r="G72" i="2"/>
  <c r="V71" i="2"/>
  <c r="N71" i="2"/>
  <c r="F71" i="2"/>
  <c r="U70" i="2"/>
  <c r="M70" i="2"/>
  <c r="E70" i="2"/>
  <c r="T69" i="2"/>
  <c r="L69" i="2"/>
  <c r="D69" i="2"/>
  <c r="S68" i="2"/>
  <c r="K68" i="2"/>
  <c r="Z67" i="2"/>
  <c r="R67" i="2"/>
  <c r="J67" i="2"/>
  <c r="Y66" i="2"/>
  <c r="Q66" i="2"/>
  <c r="I66" i="2"/>
  <c r="X65" i="2"/>
  <c r="P65" i="2"/>
  <c r="H65" i="2"/>
  <c r="W64" i="2"/>
  <c r="O64" i="2"/>
  <c r="G64" i="2"/>
  <c r="V63" i="2"/>
  <c r="N63" i="2"/>
  <c r="F63" i="2"/>
  <c r="U62" i="2"/>
  <c r="M62" i="2"/>
  <c r="E62" i="2"/>
  <c r="T61" i="2"/>
  <c r="L61" i="2"/>
  <c r="D61" i="2"/>
  <c r="S60" i="2"/>
  <c r="K60" i="2"/>
  <c r="Z59" i="2"/>
  <c r="R59" i="2"/>
  <c r="J59" i="2"/>
  <c r="Q58" i="2"/>
  <c r="P57" i="2"/>
  <c r="G56" i="2"/>
  <c r="G54" i="2"/>
  <c r="CX11" i="2"/>
  <c r="X89" i="2"/>
  <c r="O88" i="2"/>
  <c r="F87" i="2"/>
  <c r="T85" i="2"/>
  <c r="K84" i="2"/>
  <c r="Y82" i="2"/>
  <c r="P81" i="2"/>
  <c r="G80" i="2"/>
  <c r="D78" i="2"/>
  <c r="R76" i="2"/>
  <c r="Q75" i="2"/>
  <c r="P74" i="2"/>
  <c r="O73" i="2"/>
  <c r="N72" i="2"/>
  <c r="E71" i="2"/>
  <c r="D70" i="2"/>
  <c r="K69" i="2"/>
  <c r="R68" i="2"/>
  <c r="Y67" i="2"/>
  <c r="P66" i="2"/>
  <c r="O65" i="2"/>
  <c r="N64" i="2"/>
  <c r="M63" i="2"/>
  <c r="L62" i="2"/>
  <c r="Z60" i="2"/>
  <c r="Q59" i="2"/>
  <c r="H58" i="2"/>
  <c r="N56" i="2"/>
  <c r="F54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24" i="3"/>
  <c r="CE24" i="3"/>
  <c r="CG16" i="3"/>
  <c r="CI12" i="3"/>
  <c r="DA18" i="2"/>
  <c r="CJ24" i="3"/>
  <c r="CO16" i="3"/>
  <c r="CQ12" i="3"/>
  <c r="CF12" i="3"/>
  <c r="D54" i="2"/>
  <c r="CN24" i="3"/>
  <c r="CP16" i="3"/>
  <c r="CE16" i="3"/>
  <c r="CG12" i="3"/>
  <c r="CY18" i="2"/>
  <c r="CH24" i="3"/>
  <c r="CJ16" i="3"/>
  <c r="CO12" i="3"/>
  <c r="DD18" i="2"/>
  <c r="CI24" i="3"/>
  <c r="CN16" i="3"/>
  <c r="CP12" i="3"/>
  <c r="CE12" i="3"/>
  <c r="CQ24" i="3"/>
  <c r="CF24" i="3"/>
  <c r="CH16" i="3"/>
  <c r="CJ12" i="3"/>
  <c r="DB18" i="2"/>
  <c r="CG24" i="3"/>
  <c r="CI16" i="3"/>
  <c r="CN12" i="3"/>
  <c r="DC18" i="2"/>
  <c r="CO24" i="3"/>
  <c r="CQ16" i="3"/>
  <c r="CF16" i="3"/>
  <c r="CH12" i="3"/>
  <c r="CZ18" i="2"/>
  <c r="CQ18" i="2"/>
  <c r="CT16" i="3" l="1"/>
  <c r="CM16" i="3"/>
  <c r="CL12" i="3"/>
  <c r="CK12" i="3"/>
  <c r="CR12" i="3" s="1"/>
  <c r="CT24" i="3"/>
  <c r="CM24" i="3"/>
  <c r="CL16" i="3"/>
  <c r="CK16" i="3"/>
  <c r="CR16" i="3" s="1"/>
  <c r="CT12" i="3"/>
  <c r="CM12" i="3"/>
  <c r="CL24" i="3"/>
  <c r="CR24" i="3"/>
  <c r="CK24" i="3"/>
  <c r="CP18" i="2" a="1"/>
  <c r="CP18" i="2" s="1"/>
  <c r="CO18" i="2" a="1"/>
  <c r="CO18" i="2" s="1"/>
  <c r="CM18" i="2"/>
  <c r="CK18" i="2"/>
  <c r="CN18" i="2"/>
  <c r="DH18" i="2" l="1"/>
  <c r="CG18" i="2"/>
  <c r="CH18" i="2"/>
  <c r="CI18" i="2"/>
  <c r="DI18" i="2" l="1"/>
  <c r="CL18" i="2"/>
  <c r="CJ18" i="2"/>
  <c r="CY6" i="2"/>
  <c r="CE18" i="2"/>
  <c r="CZ6" i="2"/>
  <c r="DC6" i="2"/>
  <c r="DD6" i="2"/>
  <c r="DA6" i="2"/>
  <c r="DB6" i="2"/>
  <c r="CF18" i="2" l="1"/>
  <c r="DE18" i="2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M6" i="2"/>
  <c r="CN6" i="2"/>
  <c r="CK6" i="2"/>
  <c r="DH6" i="2" l="1"/>
  <c r="CI6" i="2"/>
  <c r="CG6" i="2"/>
  <c r="CH6" i="2"/>
  <c r="DI6" i="2" l="1"/>
  <c r="CL6" i="2"/>
  <c r="CJ6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l="1" a="1"/>
  <c r="CP17" i="2" s="1"/>
  <c r="CO17" i="2" a="1"/>
  <c r="CO17" i="2" s="1"/>
  <c r="AO65" i="3"/>
  <c r="AG65" i="3"/>
  <c r="Y65" i="3"/>
  <c r="Q65" i="3"/>
  <c r="I65" i="3"/>
  <c r="AQ64" i="3"/>
  <c r="AI64" i="3"/>
  <c r="AA64" i="3"/>
  <c r="S64" i="3"/>
  <c r="K64" i="3"/>
  <c r="C64" i="3"/>
  <c r="AK63" i="3"/>
  <c r="AC63" i="3"/>
  <c r="U63" i="3"/>
  <c r="M63" i="3"/>
  <c r="E63" i="3"/>
  <c r="AM62" i="3"/>
  <c r="AE62" i="3"/>
  <c r="W62" i="3"/>
  <c r="O62" i="3"/>
  <c r="G62" i="3"/>
  <c r="AO61" i="3"/>
  <c r="AG61" i="3"/>
  <c r="Y61" i="3"/>
  <c r="Q61" i="3"/>
  <c r="I61" i="3"/>
  <c r="AQ60" i="3"/>
  <c r="AI60" i="3"/>
  <c r="AA60" i="3"/>
  <c r="S60" i="3"/>
  <c r="K60" i="3"/>
  <c r="C60" i="3"/>
  <c r="AK59" i="3"/>
  <c r="AC59" i="3"/>
  <c r="U59" i="3"/>
  <c r="M59" i="3"/>
  <c r="E59" i="3"/>
  <c r="AM58" i="3"/>
  <c r="AE58" i="3"/>
  <c r="W58" i="3"/>
  <c r="O58" i="3"/>
  <c r="G58" i="3"/>
  <c r="AO57" i="3"/>
  <c r="AG57" i="3"/>
  <c r="Y57" i="3"/>
  <c r="Q57" i="3"/>
  <c r="I57" i="3"/>
  <c r="AQ56" i="3"/>
  <c r="AI56" i="3"/>
  <c r="AA56" i="3"/>
  <c r="S56" i="3"/>
  <c r="K56" i="3"/>
  <c r="C56" i="3"/>
  <c r="AK55" i="3"/>
  <c r="AC55" i="3"/>
  <c r="U55" i="3"/>
  <c r="M55" i="3"/>
  <c r="E55" i="3"/>
  <c r="AM54" i="3"/>
  <c r="AL65" i="3"/>
  <c r="AD65" i="3"/>
  <c r="V65" i="3"/>
  <c r="N65" i="3"/>
  <c r="F65" i="3"/>
  <c r="AN64" i="3"/>
  <c r="AF64" i="3"/>
  <c r="X64" i="3"/>
  <c r="P64" i="3"/>
  <c r="H64" i="3"/>
  <c r="AP63" i="3"/>
  <c r="AH63" i="3"/>
  <c r="Z63" i="3"/>
  <c r="R63" i="3"/>
  <c r="J63" i="3"/>
  <c r="AR62" i="3"/>
  <c r="AJ62" i="3"/>
  <c r="AB62" i="3"/>
  <c r="T62" i="3"/>
  <c r="L62" i="3"/>
  <c r="D62" i="3"/>
  <c r="AL61" i="3"/>
  <c r="AD61" i="3"/>
  <c r="V61" i="3"/>
  <c r="N61" i="3"/>
  <c r="F61" i="3"/>
  <c r="AN60" i="3"/>
  <c r="AF60" i="3"/>
  <c r="X60" i="3"/>
  <c r="P60" i="3"/>
  <c r="H60" i="3"/>
  <c r="AP59" i="3"/>
  <c r="AH59" i="3"/>
  <c r="Z59" i="3"/>
  <c r="R59" i="3"/>
  <c r="J59" i="3"/>
  <c r="AR58" i="3"/>
  <c r="AJ58" i="3"/>
  <c r="AB58" i="3"/>
  <c r="T58" i="3"/>
  <c r="L58" i="3"/>
  <c r="D58" i="3"/>
  <c r="AL57" i="3"/>
  <c r="AD57" i="3"/>
  <c r="V57" i="3"/>
  <c r="N57" i="3"/>
  <c r="F57" i="3"/>
  <c r="AN56" i="3"/>
  <c r="AF56" i="3"/>
  <c r="X56" i="3"/>
  <c r="P56" i="3"/>
  <c r="H56" i="3"/>
  <c r="AP55" i="3"/>
  <c r="AH55" i="3"/>
  <c r="Z55" i="3"/>
  <c r="P55" i="3"/>
  <c r="AP54" i="3"/>
  <c r="AF54" i="3"/>
  <c r="X54" i="3"/>
  <c r="P54" i="3"/>
  <c r="H54" i="3"/>
  <c r="AP53" i="3"/>
  <c r="AH53" i="3"/>
  <c r="Z53" i="3"/>
  <c r="R53" i="3"/>
  <c r="J53" i="3"/>
  <c r="AR52" i="3"/>
  <c r="AJ52" i="3"/>
  <c r="AB52" i="3"/>
  <c r="T52" i="3"/>
  <c r="L52" i="3"/>
  <c r="D52" i="3"/>
  <c r="AL51" i="3"/>
  <c r="AD51" i="3"/>
  <c r="V51" i="3"/>
  <c r="N51" i="3"/>
  <c r="F51" i="3"/>
  <c r="AN50" i="3"/>
  <c r="AF50" i="3"/>
  <c r="X50" i="3"/>
  <c r="P50" i="3"/>
  <c r="H50" i="3"/>
  <c r="AP49" i="3"/>
  <c r="AH49" i="3"/>
  <c r="Z49" i="3"/>
  <c r="R49" i="3"/>
  <c r="J49" i="3"/>
  <c r="AR48" i="3"/>
  <c r="AJ48" i="3"/>
  <c r="AB48" i="3"/>
  <c r="T48" i="3"/>
  <c r="L48" i="3"/>
  <c r="D48" i="3"/>
  <c r="AL47" i="3"/>
  <c r="AD47" i="3"/>
  <c r="V47" i="3"/>
  <c r="N47" i="3"/>
  <c r="F47" i="3"/>
  <c r="AN46" i="3"/>
  <c r="AF46" i="3"/>
  <c r="X46" i="3"/>
  <c r="P46" i="3"/>
  <c r="H46" i="3"/>
  <c r="AP45" i="3"/>
  <c r="AH45" i="3"/>
  <c r="Z45" i="3"/>
  <c r="R45" i="3"/>
  <c r="J45" i="3"/>
  <c r="AR44" i="3"/>
  <c r="AJ44" i="3"/>
  <c r="AB44" i="3"/>
  <c r="T44" i="3"/>
  <c r="L44" i="3"/>
  <c r="D44" i="3"/>
  <c r="CY17" i="2"/>
  <c r="C43" i="3"/>
  <c r="N55" i="3"/>
  <c r="AN54" i="3"/>
  <c r="AE54" i="3"/>
  <c r="W54" i="3"/>
  <c r="O54" i="3"/>
  <c r="G54" i="3"/>
  <c r="AO53" i="3"/>
  <c r="AG53" i="3"/>
  <c r="Y53" i="3"/>
  <c r="Q53" i="3"/>
  <c r="I53" i="3"/>
  <c r="AQ52" i="3"/>
  <c r="AI52" i="3"/>
  <c r="AA52" i="3"/>
  <c r="S52" i="3"/>
  <c r="K52" i="3"/>
  <c r="C52" i="3"/>
  <c r="AK51" i="3"/>
  <c r="AC51" i="3"/>
  <c r="U51" i="3"/>
  <c r="M51" i="3"/>
  <c r="E51" i="3"/>
  <c r="AM50" i="3"/>
  <c r="AE50" i="3"/>
  <c r="W50" i="3"/>
  <c r="O50" i="3"/>
  <c r="G50" i="3"/>
  <c r="AO49" i="3"/>
  <c r="AG49" i="3"/>
  <c r="Y49" i="3"/>
  <c r="Q49" i="3"/>
  <c r="I49" i="3"/>
  <c r="AQ48" i="3"/>
  <c r="AI48" i="3"/>
  <c r="AA48" i="3"/>
  <c r="S48" i="3"/>
  <c r="K48" i="3"/>
  <c r="C48" i="3"/>
  <c r="AK47" i="3"/>
  <c r="AC47" i="3"/>
  <c r="U47" i="3"/>
  <c r="M47" i="3"/>
  <c r="E47" i="3"/>
  <c r="AM46" i="3"/>
  <c r="AE46" i="3"/>
  <c r="W46" i="3"/>
  <c r="O46" i="3"/>
  <c r="G46" i="3"/>
  <c r="AO45" i="3"/>
  <c r="AG45" i="3"/>
  <c r="Y45" i="3"/>
  <c r="Q45" i="3"/>
  <c r="I45" i="3"/>
  <c r="AQ44" i="3"/>
  <c r="AI44" i="3"/>
  <c r="AA44" i="3"/>
  <c r="S44" i="3"/>
  <c r="E44" i="3"/>
  <c r="AI65" i="3"/>
  <c r="AG62" i="3"/>
  <c r="I62" i="3"/>
  <c r="AA61" i="3"/>
  <c r="K61" i="3"/>
  <c r="AK60" i="3"/>
  <c r="U60" i="3"/>
  <c r="E60" i="3"/>
  <c r="AM59" i="3"/>
  <c r="W59" i="3"/>
  <c r="G59" i="3"/>
  <c r="Y58" i="3"/>
  <c r="I58" i="3"/>
  <c r="AI57" i="3"/>
  <c r="S57" i="3"/>
  <c r="AK56" i="3"/>
  <c r="U56" i="3"/>
  <c r="AM55" i="3"/>
  <c r="W55" i="3"/>
  <c r="G55" i="3"/>
  <c r="AN65" i="3"/>
  <c r="X65" i="3"/>
  <c r="H65" i="3"/>
  <c r="AH64" i="3"/>
  <c r="Z64" i="3"/>
  <c r="J64" i="3"/>
  <c r="AJ63" i="3"/>
  <c r="T63" i="3"/>
  <c r="D63" i="3"/>
  <c r="AD62" i="3"/>
  <c r="N62" i="3"/>
  <c r="AN61" i="3"/>
  <c r="X61" i="3"/>
  <c r="H61" i="3"/>
  <c r="AH60" i="3"/>
  <c r="R60" i="3"/>
  <c r="AR59" i="3"/>
  <c r="AB59" i="3"/>
  <c r="L59" i="3"/>
  <c r="AL58" i="3"/>
  <c r="V58" i="3"/>
  <c r="F58" i="3"/>
  <c r="AF57" i="3"/>
  <c r="P57" i="3"/>
  <c r="AH56" i="3"/>
  <c r="J56" i="3"/>
  <c r="AJ55" i="3"/>
  <c r="T55" i="3"/>
  <c r="AH54" i="3"/>
  <c r="R54" i="3"/>
  <c r="AR53" i="3"/>
  <c r="AJ53" i="3"/>
  <c r="T53" i="3"/>
  <c r="D53" i="3"/>
  <c r="AD52" i="3"/>
  <c r="F52" i="3"/>
  <c r="AN51" i="3"/>
  <c r="X51" i="3"/>
  <c r="AP50" i="3"/>
  <c r="Z50" i="3"/>
  <c r="AR49" i="3"/>
  <c r="L49" i="3"/>
  <c r="AD48" i="3"/>
  <c r="F48" i="3"/>
  <c r="X47" i="3"/>
  <c r="AP46" i="3"/>
  <c r="R46" i="3"/>
  <c r="AR45" i="3"/>
  <c r="T45" i="3"/>
  <c r="D45" i="3"/>
  <c r="V44" i="3"/>
  <c r="DA17" i="2"/>
  <c r="Y54" i="3"/>
  <c r="AI53" i="3"/>
  <c r="K53" i="3"/>
  <c r="AM65" i="3"/>
  <c r="AE65" i="3"/>
  <c r="W65" i="3"/>
  <c r="O65" i="3"/>
  <c r="G65" i="3"/>
  <c r="AO64" i="3"/>
  <c r="AG64" i="3"/>
  <c r="Y64" i="3"/>
  <c r="Q64" i="3"/>
  <c r="I64" i="3"/>
  <c r="AQ63" i="3"/>
  <c r="AI63" i="3"/>
  <c r="AA63" i="3"/>
  <c r="S63" i="3"/>
  <c r="K63" i="3"/>
  <c r="C63" i="3"/>
  <c r="AK62" i="3"/>
  <c r="AC62" i="3"/>
  <c r="U62" i="3"/>
  <c r="M62" i="3"/>
  <c r="E62" i="3"/>
  <c r="AM61" i="3"/>
  <c r="AE61" i="3"/>
  <c r="W61" i="3"/>
  <c r="O61" i="3"/>
  <c r="G61" i="3"/>
  <c r="AO60" i="3"/>
  <c r="AG60" i="3"/>
  <c r="Y60" i="3"/>
  <c r="Q60" i="3"/>
  <c r="I60" i="3"/>
  <c r="AQ59" i="3"/>
  <c r="AI59" i="3"/>
  <c r="AA59" i="3"/>
  <c r="S59" i="3"/>
  <c r="K59" i="3"/>
  <c r="C59" i="3"/>
  <c r="AK58" i="3"/>
  <c r="AC58" i="3"/>
  <c r="U58" i="3"/>
  <c r="M58" i="3"/>
  <c r="E58" i="3"/>
  <c r="AM57" i="3"/>
  <c r="AE57" i="3"/>
  <c r="W57" i="3"/>
  <c r="O57" i="3"/>
  <c r="G57" i="3"/>
  <c r="AO56" i="3"/>
  <c r="AG56" i="3"/>
  <c r="Y56" i="3"/>
  <c r="Q56" i="3"/>
  <c r="I56" i="3"/>
  <c r="AQ55" i="3"/>
  <c r="AI55" i="3"/>
  <c r="AA55" i="3"/>
  <c r="S55" i="3"/>
  <c r="K55" i="3"/>
  <c r="C55" i="3"/>
  <c r="AR65" i="3"/>
  <c r="AJ65" i="3"/>
  <c r="AB65" i="3"/>
  <c r="T65" i="3"/>
  <c r="L65" i="3"/>
  <c r="D65" i="3"/>
  <c r="AL64" i="3"/>
  <c r="AD64" i="3"/>
  <c r="V64" i="3"/>
  <c r="N64" i="3"/>
  <c r="F64" i="3"/>
  <c r="AN63" i="3"/>
  <c r="AF63" i="3"/>
  <c r="X63" i="3"/>
  <c r="P63" i="3"/>
  <c r="H63" i="3"/>
  <c r="AP62" i="3"/>
  <c r="AH62" i="3"/>
  <c r="Z62" i="3"/>
  <c r="R62" i="3"/>
  <c r="J62" i="3"/>
  <c r="AR61" i="3"/>
  <c r="AJ61" i="3"/>
  <c r="AB61" i="3"/>
  <c r="T61" i="3"/>
  <c r="L61" i="3"/>
  <c r="D61" i="3"/>
  <c r="AL60" i="3"/>
  <c r="AD60" i="3"/>
  <c r="V60" i="3"/>
  <c r="N60" i="3"/>
  <c r="F60" i="3"/>
  <c r="AN59" i="3"/>
  <c r="AF59" i="3"/>
  <c r="X59" i="3"/>
  <c r="P59" i="3"/>
  <c r="H59" i="3"/>
  <c r="AP58" i="3"/>
  <c r="AH58" i="3"/>
  <c r="Z58" i="3"/>
  <c r="R58" i="3"/>
  <c r="J58" i="3"/>
  <c r="AR57" i="3"/>
  <c r="AJ57" i="3"/>
  <c r="AB57" i="3"/>
  <c r="T57" i="3"/>
  <c r="L57" i="3"/>
  <c r="D57" i="3"/>
  <c r="AL56" i="3"/>
  <c r="AD56" i="3"/>
  <c r="V56" i="3"/>
  <c r="N56" i="3"/>
  <c r="F56" i="3"/>
  <c r="AN55" i="3"/>
  <c r="AF55" i="3"/>
  <c r="X55" i="3"/>
  <c r="L55" i="3"/>
  <c r="AL54" i="3"/>
  <c r="AD54" i="3"/>
  <c r="V54" i="3"/>
  <c r="N54" i="3"/>
  <c r="F54" i="3"/>
  <c r="AN53" i="3"/>
  <c r="AF53" i="3"/>
  <c r="X53" i="3"/>
  <c r="P53" i="3"/>
  <c r="H53" i="3"/>
  <c r="AP52" i="3"/>
  <c r="AH52" i="3"/>
  <c r="Z52" i="3"/>
  <c r="R52" i="3"/>
  <c r="J52" i="3"/>
  <c r="AR51" i="3"/>
  <c r="AJ51" i="3"/>
  <c r="AB51" i="3"/>
  <c r="T51" i="3"/>
  <c r="L51" i="3"/>
  <c r="D51" i="3"/>
  <c r="AL50" i="3"/>
  <c r="AD50" i="3"/>
  <c r="V50" i="3"/>
  <c r="N50" i="3"/>
  <c r="F50" i="3"/>
  <c r="AN49" i="3"/>
  <c r="AF49" i="3"/>
  <c r="X49" i="3"/>
  <c r="P49" i="3"/>
  <c r="H49" i="3"/>
  <c r="AP48" i="3"/>
  <c r="AH48" i="3"/>
  <c r="Z48" i="3"/>
  <c r="R48" i="3"/>
  <c r="J48" i="3"/>
  <c r="AR47" i="3"/>
  <c r="AJ47" i="3"/>
  <c r="AB47" i="3"/>
  <c r="T47" i="3"/>
  <c r="L47" i="3"/>
  <c r="D47" i="3"/>
  <c r="AL46" i="3"/>
  <c r="AD46" i="3"/>
  <c r="V46" i="3"/>
  <c r="N46" i="3"/>
  <c r="F46" i="3"/>
  <c r="AN45" i="3"/>
  <c r="AF45" i="3"/>
  <c r="X45" i="3"/>
  <c r="P45" i="3"/>
  <c r="H45" i="3"/>
  <c r="AP44" i="3"/>
  <c r="AH44" i="3"/>
  <c r="Z44" i="3"/>
  <c r="R44" i="3"/>
  <c r="J44" i="3"/>
  <c r="C42" i="3"/>
  <c r="O44" i="3"/>
  <c r="DB17" i="2"/>
  <c r="J55" i="3"/>
  <c r="AK54" i="3"/>
  <c r="AC54" i="3"/>
  <c r="U54" i="3"/>
  <c r="M54" i="3"/>
  <c r="E54" i="3"/>
  <c r="AM53" i="3"/>
  <c r="AE53" i="3"/>
  <c r="W53" i="3"/>
  <c r="O53" i="3"/>
  <c r="G53" i="3"/>
  <c r="AO52" i="3"/>
  <c r="AG52" i="3"/>
  <c r="Y52" i="3"/>
  <c r="Q52" i="3"/>
  <c r="I52" i="3"/>
  <c r="AQ51" i="3"/>
  <c r="AI51" i="3"/>
  <c r="AA51" i="3"/>
  <c r="S51" i="3"/>
  <c r="K51" i="3"/>
  <c r="C51" i="3"/>
  <c r="AK50" i="3"/>
  <c r="AC50" i="3"/>
  <c r="U50" i="3"/>
  <c r="M50" i="3"/>
  <c r="E50" i="3"/>
  <c r="AM49" i="3"/>
  <c r="AE49" i="3"/>
  <c r="W49" i="3"/>
  <c r="O49" i="3"/>
  <c r="G49" i="3"/>
  <c r="AO48" i="3"/>
  <c r="AG48" i="3"/>
  <c r="Y48" i="3"/>
  <c r="Q48" i="3"/>
  <c r="I48" i="3"/>
  <c r="AQ47" i="3"/>
  <c r="AI47" i="3"/>
  <c r="AA47" i="3"/>
  <c r="S47" i="3"/>
  <c r="K47" i="3"/>
  <c r="C47" i="3"/>
  <c r="AK46" i="3"/>
  <c r="AC46" i="3"/>
  <c r="U46" i="3"/>
  <c r="M46" i="3"/>
  <c r="E46" i="3"/>
  <c r="AM45" i="3"/>
  <c r="AE45" i="3"/>
  <c r="W45" i="3"/>
  <c r="O45" i="3"/>
  <c r="G45" i="3"/>
  <c r="AO44" i="3"/>
  <c r="AG44" i="3"/>
  <c r="Y44" i="3"/>
  <c r="Q44" i="3"/>
  <c r="DD17" i="2"/>
  <c r="AQ65" i="3"/>
  <c r="AA65" i="3"/>
  <c r="S65" i="3"/>
  <c r="K65" i="3"/>
  <c r="C65" i="3"/>
  <c r="AK64" i="3"/>
  <c r="AC64" i="3"/>
  <c r="U64" i="3"/>
  <c r="M64" i="3"/>
  <c r="E64" i="3"/>
  <c r="AM63" i="3"/>
  <c r="AE63" i="3"/>
  <c r="W63" i="3"/>
  <c r="O63" i="3"/>
  <c r="G63" i="3"/>
  <c r="AO62" i="3"/>
  <c r="Y62" i="3"/>
  <c r="Q62" i="3"/>
  <c r="AQ61" i="3"/>
  <c r="AI61" i="3"/>
  <c r="S61" i="3"/>
  <c r="C61" i="3"/>
  <c r="AC60" i="3"/>
  <c r="M60" i="3"/>
  <c r="AE59" i="3"/>
  <c r="O59" i="3"/>
  <c r="AO58" i="3"/>
  <c r="AG58" i="3"/>
  <c r="Q58" i="3"/>
  <c r="AQ57" i="3"/>
  <c r="AA57" i="3"/>
  <c r="K57" i="3"/>
  <c r="C57" i="3"/>
  <c r="AC56" i="3"/>
  <c r="M56" i="3"/>
  <c r="E56" i="3"/>
  <c r="AE55" i="3"/>
  <c r="O55" i="3"/>
  <c r="AO54" i="3"/>
  <c r="AF65" i="3"/>
  <c r="P65" i="3"/>
  <c r="AP64" i="3"/>
  <c r="R64" i="3"/>
  <c r="AR63" i="3"/>
  <c r="AB63" i="3"/>
  <c r="L63" i="3"/>
  <c r="AL62" i="3"/>
  <c r="V62" i="3"/>
  <c r="F62" i="3"/>
  <c r="AF61" i="3"/>
  <c r="P61" i="3"/>
  <c r="AP60" i="3"/>
  <c r="Z60" i="3"/>
  <c r="J60" i="3"/>
  <c r="AJ59" i="3"/>
  <c r="T59" i="3"/>
  <c r="D59" i="3"/>
  <c r="AD58" i="3"/>
  <c r="N58" i="3"/>
  <c r="AN57" i="3"/>
  <c r="X57" i="3"/>
  <c r="H57" i="3"/>
  <c r="Z56" i="3"/>
  <c r="R56" i="3"/>
  <c r="AR55" i="3"/>
  <c r="AB55" i="3"/>
  <c r="D55" i="3"/>
  <c r="Z54" i="3"/>
  <c r="J54" i="3"/>
  <c r="AB53" i="3"/>
  <c r="L53" i="3"/>
  <c r="AL52" i="3"/>
  <c r="N52" i="3"/>
  <c r="AF51" i="3"/>
  <c r="P51" i="3"/>
  <c r="AH50" i="3"/>
  <c r="J50" i="3"/>
  <c r="AB49" i="3"/>
  <c r="AL48" i="3"/>
  <c r="N48" i="3"/>
  <c r="AF47" i="3"/>
  <c r="H47" i="3"/>
  <c r="AH46" i="3"/>
  <c r="J46" i="3"/>
  <c r="AB45" i="3"/>
  <c r="AL44" i="3"/>
  <c r="F44" i="3"/>
  <c r="R55" i="3"/>
  <c r="AG54" i="3"/>
  <c r="I54" i="3"/>
  <c r="AA53" i="3"/>
  <c r="AK52" i="3"/>
  <c r="CE6" i="2"/>
  <c r="AK65" i="3"/>
  <c r="AC65" i="3"/>
  <c r="U65" i="3"/>
  <c r="M65" i="3"/>
  <c r="E65" i="3"/>
  <c r="AM64" i="3"/>
  <c r="AE64" i="3"/>
  <c r="W64" i="3"/>
  <c r="O64" i="3"/>
  <c r="G64" i="3"/>
  <c r="AO63" i="3"/>
  <c r="AG63" i="3"/>
  <c r="Y63" i="3"/>
  <c r="Q63" i="3"/>
  <c r="I63" i="3"/>
  <c r="AQ62" i="3"/>
  <c r="AI62" i="3"/>
  <c r="AA62" i="3"/>
  <c r="S62" i="3"/>
  <c r="K62" i="3"/>
  <c r="C62" i="3"/>
  <c r="AK61" i="3"/>
  <c r="AC61" i="3"/>
  <c r="U61" i="3"/>
  <c r="M61" i="3"/>
  <c r="E61" i="3"/>
  <c r="AM60" i="3"/>
  <c r="AE60" i="3"/>
  <c r="W60" i="3"/>
  <c r="O60" i="3"/>
  <c r="G60" i="3"/>
  <c r="AO59" i="3"/>
  <c r="AG59" i="3"/>
  <c r="Y59" i="3"/>
  <c r="Q59" i="3"/>
  <c r="I59" i="3"/>
  <c r="AQ58" i="3"/>
  <c r="AI58" i="3"/>
  <c r="AA58" i="3"/>
  <c r="S58" i="3"/>
  <c r="K58" i="3"/>
  <c r="C58" i="3"/>
  <c r="AK57" i="3"/>
  <c r="AC57" i="3"/>
  <c r="U57" i="3"/>
  <c r="M57" i="3"/>
  <c r="E57" i="3"/>
  <c r="AM56" i="3"/>
  <c r="AE56" i="3"/>
  <c r="W56" i="3"/>
  <c r="O56" i="3"/>
  <c r="G56" i="3"/>
  <c r="AO55" i="3"/>
  <c r="AG55" i="3"/>
  <c r="Y55" i="3"/>
  <c r="Q55" i="3"/>
  <c r="I55" i="3"/>
  <c r="AQ54" i="3"/>
  <c r="AP65" i="3"/>
  <c r="AH65" i="3"/>
  <c r="Z65" i="3"/>
  <c r="R65" i="3"/>
  <c r="J65" i="3"/>
  <c r="AR64" i="3"/>
  <c r="AJ64" i="3"/>
  <c r="AB64" i="3"/>
  <c r="T64" i="3"/>
  <c r="L64" i="3"/>
  <c r="D64" i="3"/>
  <c r="AL63" i="3"/>
  <c r="AD63" i="3"/>
  <c r="V63" i="3"/>
  <c r="N63" i="3"/>
  <c r="F63" i="3"/>
  <c r="AN62" i="3"/>
  <c r="AF62" i="3"/>
  <c r="X62" i="3"/>
  <c r="P62" i="3"/>
  <c r="H62" i="3"/>
  <c r="AP61" i="3"/>
  <c r="AH61" i="3"/>
  <c r="Z61" i="3"/>
  <c r="R61" i="3"/>
  <c r="J61" i="3"/>
  <c r="AR60" i="3"/>
  <c r="AJ60" i="3"/>
  <c r="AB60" i="3"/>
  <c r="T60" i="3"/>
  <c r="L60" i="3"/>
  <c r="D60" i="3"/>
  <c r="AL59" i="3"/>
  <c r="AD59" i="3"/>
  <c r="V59" i="3"/>
  <c r="N59" i="3"/>
  <c r="F59" i="3"/>
  <c r="AN58" i="3"/>
  <c r="AF58" i="3"/>
  <c r="X58" i="3"/>
  <c r="P58" i="3"/>
  <c r="H58" i="3"/>
  <c r="AP57" i="3"/>
  <c r="AH57" i="3"/>
  <c r="Z57" i="3"/>
  <c r="R57" i="3"/>
  <c r="J57" i="3"/>
  <c r="AR56" i="3"/>
  <c r="AJ56" i="3"/>
  <c r="AB56" i="3"/>
  <c r="T56" i="3"/>
  <c r="L56" i="3"/>
  <c r="D56" i="3"/>
  <c r="AL55" i="3"/>
  <c r="AD55" i="3"/>
  <c r="V55" i="3"/>
  <c r="H55" i="3"/>
  <c r="AJ54" i="3"/>
  <c r="AB54" i="3"/>
  <c r="T54" i="3"/>
  <c r="L54" i="3"/>
  <c r="D54" i="3"/>
  <c r="AL53" i="3"/>
  <c r="AD53" i="3"/>
  <c r="V53" i="3"/>
  <c r="N53" i="3"/>
  <c r="F53" i="3"/>
  <c r="AN52" i="3"/>
  <c r="AF52" i="3"/>
  <c r="X52" i="3"/>
  <c r="P52" i="3"/>
  <c r="H52" i="3"/>
  <c r="AP51" i="3"/>
  <c r="AH51" i="3"/>
  <c r="Z51" i="3"/>
  <c r="R51" i="3"/>
  <c r="J51" i="3"/>
  <c r="AR50" i="3"/>
  <c r="AJ50" i="3"/>
  <c r="AB50" i="3"/>
  <c r="T50" i="3"/>
  <c r="L50" i="3"/>
  <c r="D50" i="3"/>
  <c r="AL49" i="3"/>
  <c r="AD49" i="3"/>
  <c r="V49" i="3"/>
  <c r="N49" i="3"/>
  <c r="F49" i="3"/>
  <c r="AN48" i="3"/>
  <c r="AF48" i="3"/>
  <c r="X48" i="3"/>
  <c r="P48" i="3"/>
  <c r="H48" i="3"/>
  <c r="AP47" i="3"/>
  <c r="AH47" i="3"/>
  <c r="Z47" i="3"/>
  <c r="R47" i="3"/>
  <c r="J47" i="3"/>
  <c r="AR46" i="3"/>
  <c r="AJ46" i="3"/>
  <c r="AB46" i="3"/>
  <c r="T46" i="3"/>
  <c r="L46" i="3"/>
  <c r="D46" i="3"/>
  <c r="AL45" i="3"/>
  <c r="AD45" i="3"/>
  <c r="V45" i="3"/>
  <c r="N45" i="3"/>
  <c r="F45" i="3"/>
  <c r="AN44" i="3"/>
  <c r="AF44" i="3"/>
  <c r="X44" i="3"/>
  <c r="P44" i="3"/>
  <c r="H44" i="3"/>
  <c r="DC17" i="2"/>
  <c r="K44" i="3"/>
  <c r="CZ17" i="2"/>
  <c r="F55" i="3"/>
  <c r="AI54" i="3"/>
  <c r="AA54" i="3"/>
  <c r="S54" i="3"/>
  <c r="K54" i="3"/>
  <c r="C54" i="3"/>
  <c r="AK53" i="3"/>
  <c r="AC53" i="3"/>
  <c r="U53" i="3"/>
  <c r="M53" i="3"/>
  <c r="E53" i="3"/>
  <c r="AM52" i="3"/>
  <c r="AE52" i="3"/>
  <c r="W52" i="3"/>
  <c r="O52" i="3"/>
  <c r="G52" i="3"/>
  <c r="AO51" i="3"/>
  <c r="AG51" i="3"/>
  <c r="Y51" i="3"/>
  <c r="Q51" i="3"/>
  <c r="I51" i="3"/>
  <c r="AQ50" i="3"/>
  <c r="AI50" i="3"/>
  <c r="AA50" i="3"/>
  <c r="S50" i="3"/>
  <c r="K50" i="3"/>
  <c r="C50" i="3"/>
  <c r="AK49" i="3"/>
  <c r="AC49" i="3"/>
  <c r="U49" i="3"/>
  <c r="M49" i="3"/>
  <c r="E49" i="3"/>
  <c r="AM48" i="3"/>
  <c r="AE48" i="3"/>
  <c r="W48" i="3"/>
  <c r="O48" i="3"/>
  <c r="G48" i="3"/>
  <c r="AO47" i="3"/>
  <c r="AG47" i="3"/>
  <c r="Y47" i="3"/>
  <c r="Q47" i="3"/>
  <c r="I47" i="3"/>
  <c r="AQ46" i="3"/>
  <c r="AI46" i="3"/>
  <c r="AA46" i="3"/>
  <c r="S46" i="3"/>
  <c r="K46" i="3"/>
  <c r="C46" i="3"/>
  <c r="AK45" i="3"/>
  <c r="AC45" i="3"/>
  <c r="U45" i="3"/>
  <c r="M45" i="3"/>
  <c r="E45" i="3"/>
  <c r="AM44" i="3"/>
  <c r="AE44" i="3"/>
  <c r="W44" i="3"/>
  <c r="M44" i="3"/>
  <c r="CQ17" i="2"/>
  <c r="AP56" i="3"/>
  <c r="V52" i="3"/>
  <c r="H51" i="3"/>
  <c r="R50" i="3"/>
  <c r="AJ49" i="3"/>
  <c r="T49" i="3"/>
  <c r="D49" i="3"/>
  <c r="V48" i="3"/>
  <c r="AN47" i="3"/>
  <c r="P47" i="3"/>
  <c r="Z46" i="3"/>
  <c r="AJ45" i="3"/>
  <c r="L45" i="3"/>
  <c r="AD44" i="3"/>
  <c r="N44" i="3"/>
  <c r="G44" i="3"/>
  <c r="AR54" i="3"/>
  <c r="Q54" i="3"/>
  <c r="AQ53" i="3"/>
  <c r="S53" i="3"/>
  <c r="C53" i="3"/>
  <c r="M52" i="3"/>
  <c r="W51" i="3"/>
  <c r="AG50" i="3"/>
  <c r="AQ49" i="3"/>
  <c r="K49" i="3"/>
  <c r="U48" i="3"/>
  <c r="AE47" i="3"/>
  <c r="AO46" i="3"/>
  <c r="I46" i="3"/>
  <c r="S45" i="3"/>
  <c r="AC44" i="3"/>
  <c r="Y50" i="3"/>
  <c r="C49" i="3"/>
  <c r="W47" i="3"/>
  <c r="AG46" i="3"/>
  <c r="K45" i="3"/>
  <c r="U44" i="3"/>
  <c r="AM51" i="3"/>
  <c r="G51" i="3"/>
  <c r="AA49" i="3"/>
  <c r="E48" i="3"/>
  <c r="Y46" i="3"/>
  <c r="C45" i="3"/>
  <c r="U52" i="3"/>
  <c r="AO50" i="3"/>
  <c r="S49" i="3"/>
  <c r="AM47" i="3"/>
  <c r="Q46" i="3"/>
  <c r="AK44" i="3"/>
  <c r="E52" i="3"/>
  <c r="O51" i="3"/>
  <c r="AI49" i="3"/>
  <c r="M48" i="3"/>
  <c r="AQ45" i="3"/>
  <c r="AC52" i="3"/>
  <c r="Q50" i="3"/>
  <c r="AK48" i="3"/>
  <c r="O47" i="3"/>
  <c r="AI45" i="3"/>
  <c r="I44" i="3"/>
  <c r="AE51" i="3"/>
  <c r="I50" i="3"/>
  <c r="AC48" i="3"/>
  <c r="G47" i="3"/>
  <c r="AA45" i="3"/>
  <c r="CN17" i="2"/>
  <c r="CM17" i="2"/>
  <c r="CK17" i="2"/>
  <c r="CF6" i="2" l="1"/>
  <c r="DE6" i="2"/>
  <c r="DH17" i="2"/>
  <c r="CI17" i="2"/>
  <c r="CG17" i="2"/>
  <c r="CH17" i="2"/>
  <c r="DI17" i="2" l="1"/>
  <c r="CL17" i="2"/>
  <c r="CJ17" i="2"/>
  <c r="CE17" i="2"/>
  <c r="CG28" i="3"/>
  <c r="CI11" i="3"/>
  <c r="CJ28" i="3"/>
  <c r="CO11" i="3"/>
  <c r="CG11" i="3"/>
  <c r="CP28" i="3"/>
  <c r="CE28" i="3"/>
  <c r="CE11" i="3"/>
  <c r="CH28" i="3"/>
  <c r="CJ11" i="3"/>
  <c r="CN28" i="3"/>
  <c r="CP11" i="3"/>
  <c r="CQ28" i="3"/>
  <c r="CF28" i="3"/>
  <c r="CH11" i="3"/>
  <c r="CI28" i="3"/>
  <c r="CN11" i="3"/>
  <c r="CO28" i="3"/>
  <c r="CQ11" i="3"/>
  <c r="CF11" i="3"/>
  <c r="CF17" i="2" l="1"/>
  <c r="DE17" i="2"/>
  <c r="CT28" i="3"/>
  <c r="CM28" i="3"/>
  <c r="CK28" i="3"/>
  <c r="CR28" i="3" s="1"/>
  <c r="CL28" i="3"/>
  <c r="CT11" i="3"/>
  <c r="CM11" i="3"/>
  <c r="CK11" i="3"/>
  <c r="CR11" i="3" s="1"/>
  <c r="CL11" i="3"/>
  <c r="DA35" i="2"/>
  <c r="DB35" i="2"/>
  <c r="CY35" i="2"/>
  <c r="CZ35" i="2"/>
  <c r="DC35" i="2"/>
  <c r="DD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M35" i="2"/>
  <c r="CN35" i="2"/>
  <c r="CK35" i="2"/>
  <c r="DH35" i="2" l="1"/>
  <c r="CH35" i="2"/>
  <c r="CI35" i="2"/>
  <c r="CG35" i="2"/>
  <c r="DI35" i="2" l="1"/>
  <c r="CL35" i="2"/>
  <c r="CJ35" i="2"/>
  <c r="CE35" i="2"/>
  <c r="DC30" i="2"/>
  <c r="DD30" i="2"/>
  <c r="DA30" i="2"/>
  <c r="DB30" i="2"/>
  <c r="CY30" i="2"/>
  <c r="CZ30" i="2"/>
  <c r="CF35" i="2" l="1"/>
  <c r="DE35" i="2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K30" i="2"/>
  <c r="CM30" i="2"/>
  <c r="DH30" i="2" l="1"/>
  <c r="CI30" i="2"/>
  <c r="CH30" i="2"/>
  <c r="CG30" i="2"/>
  <c r="DI30" i="2" l="1"/>
  <c r="CL30" i="2"/>
  <c r="CJ30" i="2"/>
  <c r="CZ12" i="2"/>
  <c r="CY12" i="2"/>
  <c r="DD12" i="2"/>
  <c r="DC12" i="2"/>
  <c r="DB12" i="2"/>
  <c r="DA12" i="2"/>
  <c r="CE30" i="2"/>
  <c r="CF30" i="2" l="1"/>
  <c r="DE30" i="2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M12" i="2"/>
  <c r="CN12" i="2"/>
  <c r="CK12" i="2"/>
  <c r="DH12" i="2" l="1"/>
  <c r="CI12" i="2"/>
  <c r="CG12" i="2"/>
  <c r="CH12" i="2"/>
  <c r="DI12" i="2" l="1"/>
  <c r="CL12" i="2"/>
  <c r="CJ12" i="2"/>
  <c r="CZ20" i="2"/>
  <c r="CY20" i="2"/>
  <c r="CE12" i="2"/>
  <c r="DD20" i="2"/>
  <c r="DC20" i="2"/>
  <c r="DB20" i="2"/>
  <c r="DA20" i="2"/>
  <c r="CF12" i="2" l="1"/>
  <c r="DE12" i="2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M20" i="2"/>
  <c r="CK20" i="2"/>
  <c r="CN20" i="2"/>
  <c r="DH20" i="2" l="1"/>
  <c r="CI20" i="2"/>
  <c r="CG20" i="2"/>
  <c r="CH20" i="2"/>
  <c r="DI20" i="2" l="1"/>
  <c r="CL20" i="2"/>
  <c r="CJ20" i="2"/>
  <c r="CP14" i="3"/>
  <c r="CN14" i="3"/>
  <c r="CP23" i="3"/>
  <c r="CE23" i="3"/>
  <c r="CO14" i="3"/>
  <c r="CQ23" i="3"/>
  <c r="CF23" i="3"/>
  <c r="CY29" i="2"/>
  <c r="CO23" i="3"/>
  <c r="DD29" i="2"/>
  <c r="CE14" i="3"/>
  <c r="CH23" i="3"/>
  <c r="CI14" i="3"/>
  <c r="CN23" i="3"/>
  <c r="DC29" i="2"/>
  <c r="CJ14" i="3"/>
  <c r="CG23" i="3"/>
  <c r="CF14" i="3"/>
  <c r="CE20" i="2"/>
  <c r="CG14" i="3"/>
  <c r="CI23" i="3"/>
  <c r="DA29" i="2"/>
  <c r="CH14" i="3"/>
  <c r="CJ23" i="3"/>
  <c r="DB29" i="2"/>
  <c r="CQ14" i="3"/>
  <c r="CZ29" i="2"/>
  <c r="CF20" i="2" l="1"/>
  <c r="DE20" i="2"/>
  <c r="CT14" i="3"/>
  <c r="CM14" i="3"/>
  <c r="CR14" i="3"/>
  <c r="CK14" i="3"/>
  <c r="CL14" i="3"/>
  <c r="CT23" i="3"/>
  <c r="CM23" i="3"/>
  <c r="CK23" i="3"/>
  <c r="CR23" i="3" s="1"/>
  <c r="CL23" i="3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K29" i="2"/>
  <c r="CM29" i="2"/>
  <c r="CN29" i="2"/>
  <c r="DH29" i="2" l="1"/>
  <c r="CI29" i="2"/>
  <c r="CH29" i="2"/>
  <c r="CG29" i="2"/>
  <c r="DI29" i="2" l="1"/>
  <c r="CL29" i="2"/>
  <c r="CJ29" i="2"/>
  <c r="DA13" i="2"/>
  <c r="DC13" i="2"/>
  <c r="DD13" i="2"/>
  <c r="DB13" i="2"/>
  <c r="CY13" i="2"/>
  <c r="CE29" i="2"/>
  <c r="CZ13" i="2"/>
  <c r="CF29" i="2" l="1"/>
  <c r="DE29" i="2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K13" i="2"/>
  <c r="CM13" i="2"/>
  <c r="DH13" i="2" l="1"/>
  <c r="CI13" i="2"/>
  <c r="CG13" i="2"/>
  <c r="CH13" i="2"/>
  <c r="DI13" i="2" l="1"/>
  <c r="CL13" i="2"/>
  <c r="CJ13" i="2"/>
  <c r="CI31" i="3"/>
  <c r="CF31" i="3"/>
  <c r="CG31" i="3"/>
  <c r="CP31" i="3"/>
  <c r="CJ31" i="3"/>
  <c r="CE13" i="2"/>
  <c r="CO31" i="3"/>
  <c r="CE31" i="3"/>
  <c r="CH31" i="3"/>
  <c r="CN31" i="3"/>
  <c r="CQ31" i="3"/>
  <c r="CF13" i="2" l="1"/>
  <c r="DE13" i="2"/>
  <c r="CK31" i="3"/>
  <c r="CR31" i="3" s="1"/>
  <c r="CT31" i="3"/>
  <c r="CM31" i="3"/>
  <c r="CL31" i="3"/>
  <c r="CG30" i="3"/>
  <c r="CN30" i="3"/>
  <c r="CH30" i="3"/>
  <c r="CQ30" i="3"/>
  <c r="CI30" i="3"/>
  <c r="CE30" i="3"/>
  <c r="CO30" i="3"/>
  <c r="CP30" i="3"/>
  <c r="CF30" i="3"/>
  <c r="CJ30" i="3"/>
  <c r="CK30" i="3" l="1"/>
  <c r="CT30" i="3"/>
  <c r="CM30" i="3"/>
  <c r="CR30" i="3"/>
  <c r="CL30" i="3"/>
  <c r="CI29" i="3"/>
  <c r="CG29" i="3"/>
  <c r="CJ29" i="3"/>
  <c r="CH29" i="3"/>
  <c r="CN29" i="3"/>
  <c r="CE29" i="3"/>
  <c r="CP29" i="3"/>
  <c r="CQ29" i="3"/>
  <c r="CO29" i="3"/>
  <c r="CF29" i="3"/>
  <c r="CK29" i="3" l="1"/>
  <c r="CT29" i="3"/>
  <c r="CM29" i="3"/>
  <c r="CR29" i="3"/>
  <c r="CL29" i="3"/>
  <c r="CE27" i="3"/>
  <c r="CF27" i="3"/>
  <c r="CG27" i="3"/>
  <c r="CI27" i="3"/>
  <c r="CJ27" i="3"/>
  <c r="CO27" i="3"/>
  <c r="CH27" i="3"/>
  <c r="CN27" i="3"/>
  <c r="CP27" i="3"/>
  <c r="CQ27" i="3"/>
  <c r="CK27" i="3" l="1"/>
  <c r="CT27" i="3"/>
  <c r="CM27" i="3"/>
  <c r="CR27" i="3"/>
  <c r="CL27" i="3"/>
  <c r="CE26" i="3"/>
  <c r="CF26" i="3"/>
  <c r="CG26" i="3"/>
  <c r="CI26" i="3"/>
  <c r="CN26" i="3"/>
  <c r="CH26" i="3"/>
  <c r="CJ26" i="3"/>
  <c r="CP26" i="3"/>
  <c r="CQ26" i="3"/>
  <c r="CO26" i="3"/>
  <c r="CK26" i="3" l="1"/>
  <c r="CR26" i="3" s="1"/>
  <c r="CT26" i="3"/>
  <c r="CM26" i="3"/>
  <c r="CL26" i="3"/>
  <c r="CG25" i="3"/>
  <c r="CH25" i="3"/>
  <c r="CF25" i="3"/>
  <c r="CI25" i="3"/>
  <c r="CN25" i="3"/>
  <c r="CJ25" i="3"/>
  <c r="CO25" i="3"/>
  <c r="CP25" i="3"/>
  <c r="CQ25" i="3"/>
  <c r="CE25" i="3"/>
  <c r="CK25" i="3" l="1"/>
  <c r="CR25" i="3" s="1"/>
  <c r="CT25" i="3"/>
  <c r="CM25" i="3"/>
  <c r="CL25" i="3"/>
  <c r="CN22" i="3"/>
  <c r="CO22" i="3"/>
  <c r="CE22" i="3"/>
  <c r="CP22" i="3"/>
  <c r="CQ22" i="3"/>
  <c r="CG22" i="3"/>
  <c r="CH22" i="3"/>
  <c r="CJ22" i="3"/>
  <c r="CF22" i="3"/>
  <c r="CI22" i="3"/>
  <c r="CK22" i="3" l="1"/>
  <c r="CR22" i="3" s="1"/>
  <c r="CT22" i="3"/>
  <c r="CM22" i="3"/>
  <c r="CL22" i="3"/>
  <c r="CG21" i="3"/>
  <c r="CO21" i="3"/>
  <c r="CE21" i="3"/>
  <c r="CJ21" i="3"/>
  <c r="CN21" i="3"/>
  <c r="CI21" i="3"/>
  <c r="CQ21" i="3"/>
  <c r="CH21" i="3"/>
  <c r="CF21" i="3"/>
  <c r="CP21" i="3"/>
  <c r="CK21" i="3" l="1"/>
  <c r="CR21" i="3" s="1"/>
  <c r="CT21" i="3"/>
  <c r="CM21" i="3"/>
  <c r="CL21" i="3"/>
  <c r="CI20" i="3"/>
  <c r="CJ20" i="3"/>
  <c r="CQ20" i="3"/>
  <c r="CO20" i="3"/>
  <c r="CN20" i="3"/>
  <c r="CH20" i="3"/>
  <c r="CP20" i="3"/>
  <c r="CG20" i="3"/>
  <c r="CE20" i="3"/>
  <c r="CF20" i="3"/>
  <c r="CK20" i="3" l="1"/>
  <c r="CT20" i="3"/>
  <c r="CM20" i="3"/>
  <c r="CR20" i="3"/>
  <c r="CL20" i="3"/>
  <c r="CJ19" i="3"/>
  <c r="CH19" i="3"/>
  <c r="CQ19" i="3"/>
  <c r="CG19" i="3"/>
  <c r="CF19" i="3"/>
  <c r="CE19" i="3"/>
  <c r="CI19" i="3"/>
  <c r="CP19" i="3"/>
  <c r="CO19" i="3"/>
  <c r="CN19" i="3"/>
  <c r="CK19" i="3" l="1"/>
  <c r="CR19" i="3" s="1"/>
  <c r="CT19" i="3"/>
  <c r="CM19" i="3"/>
  <c r="CL19" i="3"/>
  <c r="CP18" i="3"/>
  <c r="CN18" i="3"/>
  <c r="CJ18" i="3"/>
  <c r="CI18" i="3"/>
  <c r="CH18" i="3"/>
  <c r="CE18" i="3"/>
  <c r="CF18" i="3"/>
  <c r="CG18" i="3"/>
  <c r="CO18" i="3"/>
  <c r="CQ18" i="3"/>
  <c r="CK18" i="3" l="1"/>
  <c r="CR18" i="3" s="1"/>
  <c r="CT18" i="3"/>
  <c r="CM18" i="3"/>
  <c r="CL18" i="3"/>
  <c r="CE17" i="3"/>
  <c r="CO17" i="3"/>
  <c r="CI17" i="3"/>
  <c r="CG17" i="3"/>
  <c r="CN17" i="3"/>
  <c r="CJ17" i="3"/>
  <c r="CH17" i="3"/>
  <c r="CQ17" i="3"/>
  <c r="CP17" i="3"/>
  <c r="CF17" i="3"/>
  <c r="CK17" i="3" l="1"/>
  <c r="CT17" i="3"/>
  <c r="CM17" i="3"/>
  <c r="CL17" i="3"/>
  <c r="CR17" i="3"/>
  <c r="CF15" i="3"/>
  <c r="CH15" i="3"/>
  <c r="CI15" i="3"/>
  <c r="CJ15" i="3"/>
  <c r="CO15" i="3"/>
  <c r="CQ15" i="3"/>
  <c r="CP15" i="3"/>
  <c r="CN15" i="3"/>
  <c r="CG15" i="3"/>
  <c r="CE15" i="3"/>
  <c r="CK15" i="3" l="1"/>
  <c r="CT15" i="3"/>
  <c r="CM15" i="3"/>
  <c r="CL15" i="3"/>
  <c r="CR15" i="3"/>
  <c r="CI13" i="3"/>
  <c r="CQ13" i="3"/>
  <c r="CO13" i="3"/>
  <c r="CP13" i="3"/>
  <c r="CH13" i="3"/>
  <c r="CF13" i="3"/>
  <c r="CG13" i="3"/>
  <c r="CJ13" i="3"/>
  <c r="CN13" i="3"/>
  <c r="CE13" i="3"/>
  <c r="CK13" i="3" l="1"/>
  <c r="CR13" i="3" s="1"/>
  <c r="CT13" i="3"/>
  <c r="CM13" i="3"/>
  <c r="CL13" i="3"/>
  <c r="B40" i="3" l="1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Z38" i="2"/>
  <c r="DA38" i="2"/>
  <c r="CY38" i="2"/>
  <c r="DC38" i="2"/>
  <c r="DD38" i="2"/>
  <c r="DB38" i="2"/>
  <c r="CQ38" i="2"/>
  <c r="CP38" i="2" l="1" a="1"/>
  <c r="CP38" i="2" s="1"/>
  <c r="CO38" i="2" a="1"/>
  <c r="CO38" i="2" s="1"/>
  <c r="CM38" i="2"/>
  <c r="CK38" i="2"/>
  <c r="CN38" i="2"/>
  <c r="DH38" i="2" l="1"/>
  <c r="CH38" i="2"/>
  <c r="CI38" i="2"/>
  <c r="CG38" i="2"/>
  <c r="DI38" i="2" l="1"/>
  <c r="CL38" i="2"/>
  <c r="CJ38" i="2"/>
  <c r="DC27" i="2"/>
  <c r="CE38" i="2"/>
  <c r="CZ27" i="2"/>
  <c r="DD27" i="2"/>
  <c r="CY27" i="2"/>
  <c r="DA27" i="2"/>
  <c r="DB27" i="2"/>
  <c r="CF38" i="2" l="1"/>
  <c r="DE38" i="2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K27" i="2"/>
  <c r="CM27" i="2"/>
  <c r="CN27" i="2"/>
  <c r="DH27" i="2" l="1"/>
  <c r="CI27" i="2"/>
  <c r="CH27" i="2"/>
  <c r="CG27" i="2"/>
  <c r="DI27" i="2" l="1"/>
  <c r="CL27" i="2"/>
  <c r="CJ27" i="2"/>
  <c r="CE27" i="2"/>
  <c r="CF27" i="2" l="1"/>
  <c r="DE27" i="2"/>
  <c r="DB8" i="2"/>
  <c r="CZ8" i="2"/>
  <c r="CY8" i="2"/>
  <c r="DD8" i="2"/>
  <c r="DC8" i="2"/>
  <c r="DA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M8" i="2"/>
  <c r="CK8" i="2"/>
  <c r="CN8" i="2"/>
  <c r="DH8" i="2" l="1"/>
  <c r="CI8" i="2"/>
  <c r="CH8" i="2"/>
  <c r="CG8" i="2"/>
  <c r="DI8" i="2" l="1"/>
  <c r="CL8" i="2"/>
  <c r="CJ8" i="2"/>
  <c r="CJ7" i="3"/>
  <c r="CE8" i="2"/>
  <c r="CH7" i="3"/>
  <c r="CQ7" i="3"/>
  <c r="CF7" i="3"/>
  <c r="CI7" i="3"/>
  <c r="CG7" i="3"/>
  <c r="CO7" i="3"/>
  <c r="CN7" i="3"/>
  <c r="CP7" i="3"/>
  <c r="CE7" i="3"/>
  <c r="CK7" i="3" l="1"/>
  <c r="CR7" i="3" s="1"/>
  <c r="CF8" i="2"/>
  <c r="DE8" i="2"/>
  <c r="CT7" i="3"/>
  <c r="CM7" i="3"/>
  <c r="CL7" i="3"/>
  <c r="AD20" i="1" l="1"/>
  <c r="AC20" i="1"/>
  <c r="AB20" i="1"/>
  <c r="AA20" i="1"/>
  <c r="Z20" i="1"/>
  <c r="Y20" i="1"/>
  <c r="AD19" i="1"/>
  <c r="AC19" i="1"/>
  <c r="AB19" i="1"/>
  <c r="AA19" i="1"/>
  <c r="Z19" i="1"/>
  <c r="AD18" i="1"/>
  <c r="AC18" i="1"/>
  <c r="AB18" i="1"/>
  <c r="AA18" i="1"/>
  <c r="Z18" i="1"/>
  <c r="Y18" i="1"/>
  <c r="AD17" i="1"/>
  <c r="AC17" i="1"/>
  <c r="AB17" i="1"/>
  <c r="AA17" i="1"/>
  <c r="Z17" i="1"/>
  <c r="Y17" i="1"/>
  <c r="AD16" i="1"/>
  <c r="AC16" i="1"/>
  <c r="AB16" i="1"/>
  <c r="AA16" i="1"/>
  <c r="Z16" i="1"/>
  <c r="Y16" i="1"/>
  <c r="AD15" i="1"/>
  <c r="AC15" i="1"/>
  <c r="AB15" i="1"/>
  <c r="AA15" i="1"/>
  <c r="Z15" i="1"/>
  <c r="Y15" i="1"/>
  <c r="AD14" i="1"/>
  <c r="AC14" i="1"/>
  <c r="AB14" i="1"/>
  <c r="AA14" i="1"/>
  <c r="Z14" i="1"/>
  <c r="Y14" i="1"/>
  <c r="AD13" i="1"/>
  <c r="AC13" i="1"/>
  <c r="AB13" i="1"/>
  <c r="AA13" i="1"/>
  <c r="Z13" i="1"/>
  <c r="Y13" i="1"/>
  <c r="AD12" i="1"/>
  <c r="AC12" i="1"/>
  <c r="AB12" i="1"/>
  <c r="AA12" i="1"/>
  <c r="Z12" i="1"/>
  <c r="Y12" i="1"/>
  <c r="AD11" i="1"/>
  <c r="AC11" i="1"/>
  <c r="AB11" i="1"/>
  <c r="AA11" i="1"/>
  <c r="Z11" i="1"/>
  <c r="Y11" i="1"/>
  <c r="AD10" i="1"/>
  <c r="AC10" i="1"/>
  <c r="AB10" i="1"/>
  <c r="AA10" i="1"/>
  <c r="Z10" i="1"/>
  <c r="Y10" i="1"/>
  <c r="AD9" i="1"/>
  <c r="AC9" i="1"/>
  <c r="AB9" i="1"/>
  <c r="AA9" i="1"/>
  <c r="Z9" i="1"/>
  <c r="Y9" i="1"/>
  <c r="AD8" i="1"/>
  <c r="AC8" i="1"/>
  <c r="AB8" i="1"/>
  <c r="AA8" i="1"/>
  <c r="Z8" i="1"/>
  <c r="Y8" i="1"/>
  <c r="AD7" i="1"/>
  <c r="AC7" i="1"/>
  <c r="AB7" i="1"/>
  <c r="AA7" i="1"/>
  <c r="Z7" i="1"/>
  <c r="Y7" i="1"/>
  <c r="AD6" i="1"/>
  <c r="AC6" i="1"/>
  <c r="AB6" i="1"/>
  <c r="AA6" i="1"/>
  <c r="Z6" i="1"/>
  <c r="AD5" i="1"/>
  <c r="AC5" i="1"/>
  <c r="AB5" i="1"/>
  <c r="AA5" i="1"/>
  <c r="Z5" i="1"/>
  <c r="Y5" i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Z23" i="1"/>
  <c r="Y23" i="1"/>
  <c r="Z22" i="1"/>
  <c r="Y22" i="1"/>
  <c r="Z21" i="1"/>
  <c r="Y21" i="1"/>
  <c r="C40" i="3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P25" i="2" a="1"/>
  <c r="CP25" i="2" s="1"/>
  <c r="CO25" i="2" a="1"/>
  <c r="CO25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W7" i="2" a="1"/>
  <c r="CW7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W9" i="2" a="1"/>
  <c r="CW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W10" i="2" a="1"/>
  <c r="CW10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W14" i="2" a="1"/>
  <c r="CW14" i="2" s="1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W32" i="2" a="1"/>
  <c r="CW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4" i="3" a="1"/>
  <c r="C34" i="3" s="1"/>
  <c r="C39" i="3" a="1"/>
  <c r="C39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C41" i="4"/>
  <c r="C42" i="4" s="1"/>
  <c r="E41" i="4"/>
  <c r="E42" i="4" s="1"/>
  <c r="G41" i="4"/>
  <c r="G42" i="4" s="1"/>
  <c r="I41" i="4"/>
  <c r="I42" i="4" s="1"/>
  <c r="K41" i="4"/>
  <c r="K42" i="4" s="1"/>
  <c r="M41" i="4"/>
  <c r="M42" i="4" s="1"/>
  <c r="O41" i="4"/>
  <c r="O42" i="4" s="1"/>
  <c r="AA41" i="4"/>
  <c r="AA42" i="4" s="1"/>
  <c r="AC41" i="4"/>
  <c r="AC42" i="4" s="1"/>
  <c r="AE41" i="4"/>
  <c r="AE42" i="4" s="1"/>
  <c r="AG41" i="4"/>
  <c r="AG42" i="4" s="1"/>
  <c r="AI41" i="4"/>
  <c r="AI42" i="4" s="1"/>
  <c r="AK41" i="4"/>
  <c r="AK42" i="4" s="1"/>
  <c r="AM41" i="4"/>
  <c r="AM42" i="4" s="1"/>
  <c r="AO41" i="4"/>
  <c r="AO42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O43" i="4"/>
  <c r="AM43" i="4"/>
  <c r="AK43" i="4"/>
  <c r="AI43" i="4"/>
  <c r="AG43" i="4"/>
  <c r="AE43" i="4"/>
  <c r="AC43" i="4"/>
  <c r="AA43" i="4"/>
  <c r="O43" i="4"/>
  <c r="M43" i="4"/>
  <c r="K43" i="4"/>
  <c r="I43" i="4"/>
  <c r="G43" i="4"/>
  <c r="E43" i="4"/>
  <c r="C43" i="4"/>
  <c r="M42" i="3"/>
  <c r="M41" i="3"/>
  <c r="W42" i="3"/>
  <c r="C44" i="3"/>
  <c r="AB42" i="3"/>
  <c r="E42" i="3"/>
  <c r="D41" i="3"/>
  <c r="F43" i="3"/>
  <c r="H43" i="3"/>
  <c r="AI41" i="3"/>
  <c r="AE42" i="3"/>
  <c r="AF41" i="3"/>
  <c r="AH43" i="3"/>
  <c r="AG43" i="3"/>
  <c r="AN42" i="3"/>
  <c r="AJ38" i="3"/>
  <c r="AP33" i="3"/>
  <c r="BE38" i="3"/>
  <c r="AR37" i="3"/>
  <c r="AK37" i="3"/>
  <c r="AE38" i="3"/>
  <c r="BB37" i="3"/>
  <c r="AW37" i="3"/>
  <c r="AR33" i="3"/>
  <c r="AC38" i="3"/>
  <c r="AH38" i="3"/>
  <c r="AE45" i="2"/>
  <c r="AJ45" i="2"/>
  <c r="AD52" i="2"/>
  <c r="AI45" i="2"/>
  <c r="AN45" i="2"/>
  <c r="Z45" i="2"/>
  <c r="AB49" i="2"/>
  <c r="CI6" i="3"/>
  <c r="X33" i="3"/>
  <c r="CQ8" i="3"/>
  <c r="S38" i="3"/>
  <c r="CP6" i="3"/>
  <c r="R37" i="3"/>
  <c r="I37" i="3"/>
  <c r="CG10" i="3"/>
  <c r="CJ8" i="3"/>
  <c r="T33" i="3"/>
  <c r="T38" i="3"/>
  <c r="U38" i="3"/>
  <c r="W37" i="3"/>
  <c r="CG9" i="3"/>
  <c r="F38" i="3"/>
  <c r="Q37" i="3"/>
  <c r="CH11" i="2"/>
  <c r="CK31" i="2"/>
  <c r="CG9" i="2"/>
  <c r="DD11" i="2"/>
  <c r="DC25" i="2"/>
  <c r="CQ5" i="2"/>
  <c r="CM31" i="2"/>
  <c r="CZ39" i="2"/>
  <c r="L51" i="2"/>
  <c r="DC9" i="2"/>
  <c r="CY39" i="2"/>
  <c r="CY37" i="2"/>
  <c r="H45" i="2"/>
  <c r="CH24" i="2"/>
  <c r="CE23" i="2"/>
  <c r="I42" i="3"/>
  <c r="I41" i="3"/>
  <c r="S42" i="3"/>
  <c r="Y43" i="3"/>
  <c r="T42" i="3"/>
  <c r="AA41" i="3"/>
  <c r="AA43" i="3"/>
  <c r="X42" i="3"/>
  <c r="D43" i="3"/>
  <c r="AE41" i="3"/>
  <c r="AO41" i="3"/>
  <c r="AQ43" i="3"/>
  <c r="AD43" i="3"/>
  <c r="AC43" i="3"/>
  <c r="AJ42" i="3"/>
  <c r="AN37" i="3"/>
  <c r="AU38" i="3"/>
  <c r="BE37" i="3"/>
  <c r="AJ37" i="3"/>
  <c r="BA33" i="3"/>
  <c r="AM37" i="3"/>
  <c r="AT37" i="3"/>
  <c r="AG37" i="3"/>
  <c r="AM38" i="3"/>
  <c r="AC37" i="3"/>
  <c r="AX37" i="3"/>
  <c r="BC38" i="3"/>
  <c r="AA51" i="2"/>
  <c r="AD51" i="2"/>
  <c r="AC51" i="2"/>
  <c r="AZ45" i="2"/>
  <c r="Z52" i="2"/>
  <c r="AA45" i="2"/>
  <c r="CF8" i="3"/>
  <c r="P33" i="3"/>
  <c r="CQ5" i="3"/>
  <c r="K37" i="3"/>
  <c r="CP5" i="3"/>
  <c r="J37" i="3"/>
  <c r="Q33" i="3"/>
  <c r="CG5" i="3"/>
  <c r="CJ6" i="3"/>
  <c r="L33" i="3"/>
  <c r="L38" i="3"/>
  <c r="E38" i="3"/>
  <c r="O33" i="3"/>
  <c r="CH8" i="3"/>
  <c r="V37" i="3"/>
  <c r="Y33" i="3"/>
  <c r="G33" i="3"/>
  <c r="CG21" i="2"/>
  <c r="CK5" i="2"/>
  <c r="CK39" i="2"/>
  <c r="DC26" i="2"/>
  <c r="DB21" i="2"/>
  <c r="CZ28" i="2"/>
  <c r="DB37" i="2"/>
  <c r="D51" i="2"/>
  <c r="CZ21" i="2"/>
  <c r="DC36" i="2"/>
  <c r="DC32" i="2"/>
  <c r="CN36" i="2"/>
  <c r="CH10" i="2"/>
  <c r="CK22" i="2"/>
  <c r="CE33" i="2"/>
  <c r="CZ25" i="2"/>
  <c r="CI24" i="2"/>
  <c r="CQ15" i="2"/>
  <c r="CZ34" i="2"/>
  <c r="F51" i="2"/>
  <c r="CN10" i="2"/>
  <c r="DC39" i="2"/>
  <c r="CN39" i="2"/>
  <c r="Q52" i="2"/>
  <c r="CG11" i="2"/>
  <c r="CK15" i="2"/>
  <c r="CY19" i="2"/>
  <c r="CY25" i="2"/>
  <c r="DB5" i="2"/>
  <c r="DD28" i="2"/>
  <c r="CM39" i="2"/>
  <c r="P51" i="2"/>
  <c r="CI9" i="2"/>
  <c r="F45" i="2"/>
  <c r="CN16" i="2"/>
  <c r="CI34" i="2"/>
  <c r="CH16" i="2"/>
  <c r="CE28" i="2"/>
  <c r="CK36" i="2"/>
  <c r="DD25" i="2"/>
  <c r="CN21" i="2"/>
  <c r="DD14" i="2"/>
  <c r="DD34" i="2"/>
  <c r="N49" i="2"/>
  <c r="DD21" i="2"/>
  <c r="CY36" i="2"/>
  <c r="DC10" i="2"/>
  <c r="CE34" i="2"/>
  <c r="CY11" i="2"/>
  <c r="DA25" i="2"/>
  <c r="CZ5" i="2"/>
  <c r="DB28" i="2"/>
  <c r="DD37" i="2"/>
  <c r="J52" i="2"/>
  <c r="DC28" i="2"/>
  <c r="O51" i="2"/>
  <c r="CN14" i="2"/>
  <c r="CH32" i="2"/>
  <c r="CG25" i="2"/>
  <c r="CG36" i="2"/>
  <c r="DD26" i="2"/>
  <c r="CY22" i="2"/>
  <c r="DD10" i="2"/>
  <c r="CM33" i="2"/>
  <c r="S45" i="2"/>
  <c r="L52" i="2"/>
  <c r="DC16" i="2"/>
  <c r="S51" i="2"/>
  <c r="D45" i="2"/>
  <c r="E51" i="2"/>
  <c r="CG31" i="2"/>
  <c r="CK10" i="2"/>
  <c r="CQ19" i="2"/>
  <c r="CN26" i="2"/>
  <c r="CM5" i="2"/>
  <c r="CQ28" i="2"/>
  <c r="CQ39" i="2"/>
  <c r="R51" i="2"/>
  <c r="CI14" i="2"/>
  <c r="S49" i="2"/>
  <c r="DA36" i="2"/>
  <c r="M51" i="2"/>
  <c r="CE7" i="2"/>
  <c r="I45" i="2"/>
  <c r="I49" i="2"/>
  <c r="CI7" i="2"/>
  <c r="DB7" i="2"/>
  <c r="J41" i="3"/>
  <c r="G43" i="3"/>
  <c r="U41" i="3"/>
  <c r="E43" i="3"/>
  <c r="P41" i="3"/>
  <c r="R43" i="3"/>
  <c r="Y42" i="3"/>
  <c r="T41" i="3"/>
  <c r="V43" i="3"/>
  <c r="P43" i="3"/>
  <c r="AQ41" i="3"/>
  <c r="AM42" i="3"/>
  <c r="AP41" i="3"/>
  <c r="AP43" i="3"/>
  <c r="AO43" i="3"/>
  <c r="AF43" i="3"/>
  <c r="AS33" i="3"/>
  <c r="AP37" i="3"/>
  <c r="AU37" i="3"/>
  <c r="AF38" i="3"/>
  <c r="AK38" i="3"/>
  <c r="AL33" i="3"/>
  <c r="AL38" i="3"/>
  <c r="AW38" i="3"/>
  <c r="AF37" i="3"/>
  <c r="AY38" i="3"/>
  <c r="AO33" i="3"/>
  <c r="AU45" i="2"/>
  <c r="Y45" i="2"/>
  <c r="AX45" i="2"/>
  <c r="AY45" i="2"/>
  <c r="AC45" i="2"/>
  <c r="BF45" i="2"/>
  <c r="AD49" i="2"/>
  <c r="CN6" i="3"/>
  <c r="P37" i="3"/>
  <c r="E37" i="3"/>
  <c r="G37" i="3"/>
  <c r="CP9" i="3"/>
  <c r="J38" i="3"/>
  <c r="Q38" i="3"/>
  <c r="G38" i="3"/>
  <c r="CE6" i="3"/>
  <c r="D37" i="3"/>
  <c r="CQ6" i="3"/>
  <c r="CP10" i="3"/>
  <c r="CJ5" i="3"/>
  <c r="F33" i="3"/>
  <c r="V38" i="3"/>
  <c r="Y38" i="3"/>
  <c r="CH5" i="2"/>
  <c r="CG22" i="2"/>
  <c r="CG16" i="2"/>
  <c r="DC19" i="2"/>
  <c r="DC23" i="2"/>
  <c r="CZ10" i="2"/>
  <c r="DB32" i="2"/>
  <c r="O45" i="2"/>
  <c r="H52" i="2"/>
  <c r="CI16" i="2"/>
  <c r="G49" i="2"/>
  <c r="E52" i="2"/>
  <c r="U51" i="2"/>
  <c r="CE39" i="2"/>
  <c r="CK32" i="2"/>
  <c r="U42" i="3"/>
  <c r="Q41" i="3"/>
  <c r="AA42" i="3"/>
  <c r="H41" i="3"/>
  <c r="J43" i="3"/>
  <c r="Q42" i="3"/>
  <c r="L41" i="3"/>
  <c r="N43" i="3"/>
  <c r="L43" i="3"/>
  <c r="AM41" i="3"/>
  <c r="AI42" i="3"/>
  <c r="AL41" i="3"/>
  <c r="AL43" i="3"/>
  <c r="AK43" i="3"/>
  <c r="AR42" i="3"/>
  <c r="AZ38" i="3"/>
  <c r="BF33" i="3"/>
  <c r="AQ38" i="3"/>
  <c r="AZ37" i="3"/>
  <c r="BA37" i="3"/>
  <c r="AD33" i="3"/>
  <c r="AD38" i="3"/>
  <c r="AG38" i="3"/>
  <c r="AZ33" i="3"/>
  <c r="AI33" i="3"/>
  <c r="AX38" i="3"/>
  <c r="AM45" i="2"/>
  <c r="BD45" i="2"/>
  <c r="AH45" i="2"/>
  <c r="AQ45" i="2"/>
  <c r="Y52" i="2"/>
  <c r="AP45" i="2"/>
  <c r="AE49" i="2"/>
  <c r="CN5" i="3"/>
  <c r="H37" i="3"/>
  <c r="M33" i="3"/>
  <c r="CF6" i="3"/>
  <c r="CP8" i="3"/>
  <c r="Z37" i="3"/>
  <c r="Y37" i="3"/>
  <c r="W33" i="3"/>
  <c r="CE5" i="3"/>
  <c r="AB33" i="3"/>
  <c r="AB38" i="3"/>
  <c r="CO5" i="3"/>
  <c r="CJ9" i="3"/>
  <c r="CH10" i="3"/>
  <c r="N38" i="3"/>
  <c r="I38" i="3"/>
  <c r="CH25" i="2"/>
  <c r="CE11" i="2"/>
  <c r="CE10" i="2"/>
  <c r="DA11" i="2"/>
  <c r="DC24" i="2"/>
  <c r="DB9" i="2"/>
  <c r="DD31" i="2"/>
  <c r="G45" i="2"/>
  <c r="T51" i="2"/>
  <c r="CY14" i="2"/>
  <c r="N45" i="2"/>
  <c r="T45" i="2"/>
  <c r="Q49" i="2"/>
  <c r="CH36" i="2"/>
  <c r="CG28" i="2"/>
  <c r="DB11" i="2"/>
  <c r="DA26" i="2"/>
  <c r="CQ21" i="2"/>
  <c r="DD16" i="2"/>
  <c r="CM37" i="2"/>
  <c r="V51" i="2"/>
  <c r="CY16" i="2"/>
  <c r="K49" i="2"/>
  <c r="M52" i="2"/>
  <c r="CH22" i="2"/>
  <c r="CE22" i="2"/>
  <c r="CG24" i="2"/>
  <c r="DD19" i="2"/>
  <c r="CY23" i="2"/>
  <c r="CM10" i="2"/>
  <c r="CQ32" i="2"/>
  <c r="K45" i="2"/>
  <c r="D52" i="2"/>
  <c r="CN15" i="2"/>
  <c r="O49" i="2"/>
  <c r="CY34" i="2"/>
  <c r="X45" i="2"/>
  <c r="CE26" i="2"/>
  <c r="CG5" i="2"/>
  <c r="DC11" i="2"/>
  <c r="CZ24" i="2"/>
  <c r="CM22" i="2"/>
  <c r="CZ16" i="2"/>
  <c r="CZ37" i="2"/>
  <c r="J51" i="2"/>
  <c r="CY9" i="2"/>
  <c r="J45" i="2"/>
  <c r="CI32" i="2"/>
  <c r="CG15" i="2"/>
  <c r="CI11" i="2"/>
  <c r="DA23" i="2"/>
  <c r="DD9" i="2"/>
  <c r="CM32" i="2"/>
  <c r="Q45" i="2"/>
  <c r="DD23" i="2"/>
  <c r="CI33" i="2"/>
  <c r="CN9" i="2"/>
  <c r="CN33" i="2"/>
  <c r="CE36" i="2"/>
  <c r="CE32" i="2"/>
  <c r="CZ11" i="2"/>
  <c r="CQ25" i="2"/>
  <c r="DB23" i="2"/>
  <c r="CZ15" i="2"/>
  <c r="DB34" i="2"/>
  <c r="L49" i="2"/>
  <c r="CZ23" i="2"/>
  <c r="CY33" i="2"/>
  <c r="W52" i="2"/>
  <c r="Q51" i="2"/>
  <c r="CH23" i="2"/>
  <c r="CE14" i="2"/>
  <c r="CG19" i="2"/>
  <c r="CN19" i="2"/>
  <c r="CN24" i="2"/>
  <c r="CZ9" i="2"/>
  <c r="CZ32" i="2"/>
  <c r="M45" i="2"/>
  <c r="N52" i="2"/>
  <c r="CI28" i="2"/>
  <c r="W51" i="2"/>
  <c r="U49" i="2"/>
  <c r="L45" i="2"/>
  <c r="DD7" i="2"/>
  <c r="DA7" i="2"/>
  <c r="CM7" i="2"/>
  <c r="CG7" i="2"/>
  <c r="K41" i="3"/>
  <c r="N41" i="3"/>
  <c r="G42" i="3"/>
  <c r="M43" i="3"/>
  <c r="D42" i="3"/>
  <c r="R41" i="3"/>
  <c r="O43" i="3"/>
  <c r="F42" i="3"/>
  <c r="R42" i="3"/>
  <c r="X43" i="3"/>
  <c r="AC41" i="3"/>
  <c r="AE43" i="3"/>
  <c r="AH42" i="3"/>
  <c r="AG42" i="3"/>
  <c r="AN41" i="3"/>
  <c r="AN43" i="3"/>
  <c r="AS38" i="3"/>
  <c r="AP38" i="3"/>
  <c r="AN33" i="3"/>
  <c r="AV38" i="3"/>
  <c r="AY33" i="3"/>
  <c r="BB33" i="3"/>
  <c r="BB38" i="3"/>
  <c r="AY37" i="3"/>
  <c r="BD37" i="3"/>
  <c r="AH33" i="3"/>
  <c r="AO38" i="3"/>
  <c r="AB52" i="2"/>
  <c r="AO45" i="2"/>
  <c r="AB45" i="2"/>
  <c r="AL45" i="2"/>
  <c r="AS45" i="2"/>
  <c r="AR45" i="2"/>
  <c r="AC49" i="2"/>
  <c r="CN9" i="3"/>
  <c r="H38" i="3"/>
  <c r="M38" i="3"/>
  <c r="CJ10" i="3"/>
  <c r="J33" i="3"/>
  <c r="Z38" i="3"/>
  <c r="AA33" i="3"/>
  <c r="CG8" i="3"/>
  <c r="CE9" i="3"/>
  <c r="T37" i="3"/>
  <c r="E33" i="3"/>
  <c r="AA37" i="3"/>
  <c r="CF5" i="3"/>
  <c r="V33" i="3"/>
  <c r="CI8" i="3"/>
  <c r="K33" i="3"/>
  <c r="CH19" i="2"/>
  <c r="CE25" i="2"/>
  <c r="CE24" i="2"/>
  <c r="CZ26" i="2"/>
  <c r="DC21" i="2"/>
  <c r="CM15" i="2"/>
  <c r="CQ34" i="2"/>
  <c r="H49" i="2"/>
  <c r="X52" i="2"/>
  <c r="CI31" i="2"/>
  <c r="K51" i="2"/>
  <c r="CY10" i="2"/>
  <c r="CH14" i="2"/>
  <c r="CK21" i="2"/>
  <c r="Z41" i="3"/>
  <c r="F41" i="3"/>
  <c r="Y41" i="3"/>
  <c r="I43" i="3"/>
  <c r="X41" i="3"/>
  <c r="Z43" i="3"/>
  <c r="K43" i="3"/>
  <c r="AB41" i="3"/>
  <c r="N42" i="3"/>
  <c r="T43" i="3"/>
  <c r="AD41" i="3"/>
  <c r="AQ42" i="3"/>
  <c r="AD42" i="3"/>
  <c r="AC42" i="3"/>
  <c r="AJ41" i="3"/>
  <c r="AJ43" i="3"/>
  <c r="AS37" i="3"/>
  <c r="BF37" i="3"/>
  <c r="AF33" i="3"/>
  <c r="AN38" i="3"/>
  <c r="BA38" i="3"/>
  <c r="AT33" i="3"/>
  <c r="AT38" i="3"/>
  <c r="AQ33" i="3"/>
  <c r="AV37" i="3"/>
  <c r="BC37" i="3"/>
  <c r="AO37" i="3"/>
  <c r="BC45" i="2"/>
  <c r="AG45" i="2"/>
  <c r="AE51" i="2"/>
  <c r="AB51" i="2"/>
  <c r="AK45" i="2"/>
  <c r="AA52" i="2"/>
  <c r="AA49" i="2"/>
  <c r="CN8" i="3"/>
  <c r="X37" i="3"/>
  <c r="U37" i="3"/>
  <c r="O38" i="3"/>
  <c r="CQ10" i="3"/>
  <c r="R38" i="3"/>
  <c r="CO6" i="3"/>
  <c r="AA38" i="3"/>
  <c r="CE8" i="3"/>
  <c r="L37" i="3"/>
  <c r="CQ9" i="3"/>
  <c r="S33" i="3"/>
  <c r="CI9" i="3"/>
  <c r="N33" i="3"/>
  <c r="CI5" i="3"/>
  <c r="CO9" i="3"/>
  <c r="CE9" i="2"/>
  <c r="CK23" i="2"/>
  <c r="CK19" i="2"/>
  <c r="CI19" i="2"/>
  <c r="DC22" i="2"/>
  <c r="CQ14" i="2"/>
  <c r="CZ33" i="2"/>
  <c r="W45" i="2"/>
  <c r="P52" i="2"/>
  <c r="CY28" i="2"/>
  <c r="W49" i="2"/>
  <c r="CY5" i="2"/>
  <c r="CH26" i="2"/>
  <c r="CG26" i="2"/>
  <c r="CK9" i="2"/>
  <c r="DA19" i="2"/>
  <c r="DA24" i="2"/>
  <c r="CM9" i="2"/>
  <c r="CQ31" i="2"/>
  <c r="DB39" i="2"/>
  <c r="R52" i="2"/>
  <c r="CY31" i="2"/>
  <c r="S52" i="2"/>
  <c r="DA28" i="2"/>
  <c r="CH15" i="2"/>
  <c r="CK28" i="2"/>
  <c r="CE37" i="2"/>
  <c r="CM26" i="2"/>
  <c r="CY21" i="2"/>
  <c r="DB14" i="2"/>
  <c r="DD33" i="2"/>
  <c r="D49" i="2"/>
  <c r="T52" i="2"/>
  <c r="DC31" i="2"/>
  <c r="G52" i="2"/>
  <c r="M49" i="2"/>
  <c r="CH31" i="2"/>
  <c r="CK11" i="2"/>
  <c r="CE15" i="2"/>
  <c r="CM19" i="2"/>
  <c r="CN25" i="2"/>
  <c r="DD5" i="2"/>
  <c r="DB31" i="2"/>
  <c r="E45" i="2"/>
  <c r="F52" i="2"/>
  <c r="DA15" i="2"/>
  <c r="G51" i="2"/>
  <c r="DA9" i="2"/>
  <c r="CE19" i="2"/>
  <c r="CQ26" i="2"/>
  <c r="DA21" i="2"/>
  <c r="CZ14" i="2"/>
  <c r="DB33" i="2"/>
  <c r="R49" i="2"/>
  <c r="CM21" i="2"/>
  <c r="CN37" i="2"/>
  <c r="DA33" i="2"/>
  <c r="P45" i="2"/>
  <c r="CE21" i="2"/>
  <c r="CG10" i="2"/>
  <c r="CM11" i="2"/>
  <c r="CY26" i="2"/>
  <c r="CI21" i="2"/>
  <c r="CM28" i="2"/>
  <c r="CQ37" i="2"/>
  <c r="H51" i="2"/>
  <c r="CN5" i="2"/>
  <c r="DA37" i="2"/>
  <c r="CI10" i="2"/>
  <c r="CI15" i="2"/>
  <c r="CH9" i="2"/>
  <c r="CK25" i="2"/>
  <c r="CG33" i="2"/>
  <c r="DB26" i="2"/>
  <c r="CN22" i="2"/>
  <c r="CM14" i="2"/>
  <c r="CM34" i="2"/>
  <c r="F49" i="2"/>
  <c r="CM23" i="2"/>
  <c r="DC33" i="2"/>
  <c r="DC5" i="2"/>
  <c r="DC15" i="2"/>
  <c r="DA31" i="2"/>
  <c r="CN7" i="2"/>
  <c r="DC7" i="2"/>
  <c r="CY7" i="2"/>
  <c r="CZ7" i="2"/>
  <c r="W41" i="3"/>
  <c r="E41" i="3"/>
  <c r="O42" i="3"/>
  <c r="U43" i="3"/>
  <c r="L42" i="3"/>
  <c r="O41" i="3"/>
  <c r="W43" i="3"/>
  <c r="P42" i="3"/>
  <c r="Z42" i="3"/>
  <c r="AH41" i="3"/>
  <c r="AK41" i="3"/>
  <c r="AM43" i="3"/>
  <c r="AP42" i="3"/>
  <c r="AO42" i="3"/>
  <c r="AF42" i="3"/>
  <c r="AJ33" i="3"/>
  <c r="AU33" i="3"/>
  <c r="BE33" i="3"/>
  <c r="BD33" i="3"/>
  <c r="AK33" i="3"/>
  <c r="AE33" i="3"/>
  <c r="AL37" i="3"/>
  <c r="AW33" i="3"/>
  <c r="AE37" i="3"/>
  <c r="AC33" i="3"/>
  <c r="AH37" i="3"/>
  <c r="BC33" i="3"/>
  <c r="AT45" i="2"/>
  <c r="BE45" i="2"/>
  <c r="AF45" i="2"/>
  <c r="AE52" i="2"/>
  <c r="Z51" i="2"/>
  <c r="AV45" i="2"/>
  <c r="Z49" i="2"/>
  <c r="H33" i="3"/>
  <c r="X38" i="3"/>
  <c r="C33" i="3"/>
  <c r="CF10" i="3"/>
  <c r="Z33" i="3"/>
  <c r="CH9" i="3"/>
  <c r="K38" i="3"/>
  <c r="W38" i="3"/>
  <c r="D33" i="3"/>
  <c r="D38" i="3"/>
  <c r="M37" i="3"/>
  <c r="CF9" i="3"/>
  <c r="CG6" i="3"/>
  <c r="N37" i="3"/>
  <c r="I33" i="3"/>
  <c r="C41" i="3"/>
  <c r="CH39" i="2"/>
  <c r="CK34" i="2"/>
  <c r="CG37" i="2"/>
  <c r="CI25" i="2"/>
  <c r="CI23" i="2"/>
  <c r="DB16" i="2"/>
  <c r="DD36" i="2"/>
  <c r="X49" i="2"/>
  <c r="DB22" i="2"/>
  <c r="CN34" i="2"/>
  <c r="DA14" i="2"/>
  <c r="CY32" i="2"/>
  <c r="CE5" i="2"/>
  <c r="CG14" i="2"/>
  <c r="S41" i="3"/>
  <c r="V41" i="3"/>
  <c r="K42" i="3"/>
  <c r="Q43" i="3"/>
  <c r="H42" i="3"/>
  <c r="G41" i="3"/>
  <c r="S43" i="3"/>
  <c r="J42" i="3"/>
  <c r="V42" i="3"/>
  <c r="AB43" i="3"/>
  <c r="AG41" i="3"/>
  <c r="AI43" i="3"/>
  <c r="AL42" i="3"/>
  <c r="AK42" i="3"/>
  <c r="AR41" i="3"/>
  <c r="AR43" i="3"/>
  <c r="AQ37" i="3"/>
  <c r="BF38" i="3"/>
  <c r="AV33" i="3"/>
  <c r="BD38" i="3"/>
  <c r="AI38" i="3"/>
  <c r="AD37" i="3"/>
  <c r="AG33" i="3"/>
  <c r="AM33" i="3"/>
  <c r="AR38" i="3"/>
  <c r="AX33" i="3"/>
  <c r="AI37" i="3"/>
  <c r="AD45" i="2"/>
  <c r="AW45" i="2"/>
  <c r="Y51" i="2"/>
  <c r="BB45" i="2"/>
  <c r="BA45" i="2"/>
  <c r="AC52" i="2"/>
  <c r="Y49" i="2"/>
  <c r="CO10" i="3"/>
  <c r="P38" i="3"/>
  <c r="CO8" i="3"/>
  <c r="CI10" i="3"/>
  <c r="R33" i="3"/>
  <c r="CH6" i="3"/>
  <c r="C37" i="3"/>
  <c r="O37" i="3"/>
  <c r="CE10" i="3"/>
  <c r="AB37" i="3"/>
  <c r="U33" i="3"/>
  <c r="C38" i="3"/>
  <c r="CH5" i="3"/>
  <c r="F37" i="3"/>
  <c r="CN10" i="3"/>
  <c r="S37" i="3"/>
  <c r="CH33" i="2"/>
  <c r="CG32" i="2"/>
  <c r="CK33" i="2"/>
  <c r="DB25" i="2"/>
  <c r="CQ24" i="2"/>
  <c r="DD15" i="2"/>
  <c r="CM36" i="2"/>
  <c r="P49" i="2"/>
  <c r="CM24" i="2"/>
  <c r="DA32" i="2"/>
  <c r="O52" i="2"/>
  <c r="DA16" i="2"/>
  <c r="CH28" i="2"/>
  <c r="CN11" i="2"/>
  <c r="J49" i="2"/>
  <c r="CI37" i="2"/>
  <c r="DB24" i="2"/>
  <c r="T49" i="2"/>
  <c r="U52" i="2"/>
  <c r="CZ19" i="2"/>
  <c r="U45" i="2"/>
  <c r="DA39" i="2"/>
  <c r="CM16" i="2"/>
  <c r="R45" i="2"/>
  <c r="CE16" i="2"/>
  <c r="CZ31" i="2"/>
  <c r="V45" i="2"/>
  <c r="CG34" i="2"/>
  <c r="DB15" i="2"/>
  <c r="CI39" i="2"/>
  <c r="CQ7" i="2"/>
  <c r="DB36" i="2"/>
  <c r="I52" i="2"/>
  <c r="DA22" i="2"/>
  <c r="CQ22" i="2"/>
  <c r="CK26" i="2"/>
  <c r="CZ22" i="2"/>
  <c r="CI22" i="2"/>
  <c r="CH34" i="2"/>
  <c r="CN23" i="2"/>
  <c r="V52" i="2"/>
  <c r="CK37" i="2"/>
  <c r="CQ36" i="2"/>
  <c r="E49" i="2"/>
  <c r="DB19" i="2"/>
  <c r="DD39" i="2"/>
  <c r="CN31" i="2"/>
  <c r="CG39" i="2"/>
  <c r="CN28" i="2"/>
  <c r="DC34" i="2"/>
  <c r="CE31" i="2"/>
  <c r="DB10" i="2"/>
  <c r="DA34" i="2"/>
  <c r="CI26" i="2"/>
  <c r="CQ16" i="2"/>
  <c r="CI36" i="2"/>
  <c r="CG23" i="2"/>
  <c r="CQ10" i="2"/>
  <c r="CN32" i="2"/>
  <c r="DD24" i="2"/>
  <c r="N51" i="2"/>
  <c r="CH21" i="2"/>
  <c r="CY24" i="2"/>
  <c r="X51" i="2"/>
  <c r="DC37" i="2"/>
  <c r="CM25" i="2"/>
  <c r="V49" i="2"/>
  <c r="CK16" i="2"/>
  <c r="DD32" i="2"/>
  <c r="CY15" i="2"/>
  <c r="CQ11" i="2"/>
  <c r="CZ36" i="2"/>
  <c r="CI5" i="2"/>
  <c r="CK24" i="2"/>
  <c r="CQ33" i="2"/>
  <c r="K52" i="2"/>
  <c r="DD22" i="2"/>
  <c r="DC14" i="2"/>
  <c r="CK14" i="2"/>
  <c r="CQ9" i="2"/>
  <c r="DA10" i="2"/>
  <c r="CH37" i="2"/>
  <c r="CQ23" i="2"/>
  <c r="DA5" i="2"/>
  <c r="CH7" i="2"/>
  <c r="CK7" i="2"/>
  <c r="I51" i="2"/>
  <c r="L48" i="4" l="1"/>
  <c r="A7" i="7" s="1"/>
  <c r="Y63" i="1"/>
  <c r="CK5" i="3"/>
  <c r="CR5" i="3" s="1"/>
  <c r="CK10" i="3"/>
  <c r="CR10" i="3" s="1"/>
  <c r="CK9" i="3"/>
  <c r="CR9" i="3" s="1"/>
  <c r="CK8" i="3"/>
  <c r="CR8" i="3" s="1"/>
  <c r="CK6" i="3"/>
  <c r="CR6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1" i="2"/>
  <c r="CE43" i="2"/>
  <c r="AB3" i="1" a="1"/>
  <c r="AB3" i="1" s="1"/>
  <c r="AC63" i="1"/>
  <c r="BN39" i="3"/>
  <c r="AH39" i="3"/>
  <c r="AX39" i="3"/>
  <c r="R39" i="3"/>
  <c r="K35" i="3"/>
  <c r="BV39" i="3"/>
  <c r="BF39" i="3"/>
  <c r="AP39" i="3"/>
  <c r="Z39" i="3"/>
  <c r="J39" i="3"/>
  <c r="AQ35" i="3"/>
  <c r="AH34" i="3"/>
  <c r="K46" i="4"/>
  <c r="N46" i="4" s="1"/>
  <c r="C5" i="7" s="1"/>
  <c r="AA35" i="3"/>
  <c r="AX34" i="3"/>
  <c r="R34" i="3"/>
  <c r="BZ39" i="3"/>
  <c r="BR39" i="3"/>
  <c r="BJ39" i="3"/>
  <c r="BB39" i="3"/>
  <c r="AT39" i="3"/>
  <c r="AL39" i="3"/>
  <c r="AD39" i="3"/>
  <c r="V39" i="3"/>
  <c r="N39" i="3"/>
  <c r="F39" i="3"/>
  <c r="AY35" i="3"/>
  <c r="AI35" i="3"/>
  <c r="S35" i="3"/>
  <c r="C35" i="3"/>
  <c r="AP34" i="3"/>
  <c r="Z34" i="3"/>
  <c r="J34" i="3"/>
  <c r="BC35" i="3"/>
  <c r="AU35" i="3"/>
  <c r="AM35" i="3"/>
  <c r="AE35" i="3"/>
  <c r="W35" i="3"/>
  <c r="O35" i="3"/>
  <c r="G35" i="3"/>
  <c r="BB34" i="3"/>
  <c r="AT34" i="3"/>
  <c r="AL34" i="3"/>
  <c r="AD34" i="3"/>
  <c r="V34" i="3"/>
  <c r="N34" i="3"/>
  <c r="F34" i="3"/>
  <c r="CB39" i="3"/>
  <c r="BX39" i="3"/>
  <c r="BT39" i="3"/>
  <c r="BP39" i="3"/>
  <c r="BL39" i="3"/>
  <c r="BH39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E35" i="3"/>
  <c r="BD34" i="3"/>
  <c r="AZ34" i="3"/>
  <c r="AV34" i="3"/>
  <c r="AR34" i="3"/>
  <c r="AN34" i="3"/>
  <c r="AJ34" i="3"/>
  <c r="AF34" i="3"/>
  <c r="AB34" i="3"/>
  <c r="X34" i="3"/>
  <c r="T34" i="3"/>
  <c r="P34" i="3"/>
  <c r="L34" i="3"/>
  <c r="H34" i="3"/>
  <c r="D34" i="3"/>
  <c r="BD35" i="3"/>
  <c r="BB35" i="3"/>
  <c r="AZ35" i="3"/>
  <c r="AX35" i="3"/>
  <c r="AV35" i="3"/>
  <c r="AT35" i="3"/>
  <c r="AR35" i="3"/>
  <c r="AP35" i="3"/>
  <c r="AN35" i="3"/>
  <c r="AL35" i="3"/>
  <c r="AJ35" i="3"/>
  <c r="AH35" i="3"/>
  <c r="AF35" i="3"/>
  <c r="AD35" i="3"/>
  <c r="AB35" i="3"/>
  <c r="Z35" i="3"/>
  <c r="X35" i="3"/>
  <c r="V35" i="3"/>
  <c r="T35" i="3"/>
  <c r="R35" i="3"/>
  <c r="P35" i="3"/>
  <c r="N35" i="3"/>
  <c r="L35" i="3"/>
  <c r="J35" i="3"/>
  <c r="H35" i="3"/>
  <c r="F35" i="3"/>
  <c r="D35" i="3"/>
  <c r="BE34" i="3"/>
  <c r="BC34" i="3"/>
  <c r="BA34" i="3"/>
  <c r="BA36" i="3" s="1"/>
  <c r="AY34" i="3"/>
  <c r="AW34" i="3"/>
  <c r="AU34" i="3"/>
  <c r="AS34" i="3"/>
  <c r="AS36" i="3" s="1"/>
  <c r="AQ34" i="3"/>
  <c r="AO34" i="3"/>
  <c r="AM34" i="3"/>
  <c r="AK34" i="3"/>
  <c r="AI34" i="3"/>
  <c r="AG34" i="3"/>
  <c r="AE34" i="3"/>
  <c r="AC34" i="3"/>
  <c r="AA34" i="3"/>
  <c r="Y34" i="3"/>
  <c r="W34" i="3"/>
  <c r="U34" i="3"/>
  <c r="S34" i="3"/>
  <c r="Q34" i="3"/>
  <c r="O34" i="3"/>
  <c r="M34" i="3"/>
  <c r="K34" i="3"/>
  <c r="I34" i="3"/>
  <c r="G34" i="3"/>
  <c r="E34" i="3"/>
  <c r="CC39" i="3"/>
  <c r="CA39" i="3"/>
  <c r="BY39" i="3"/>
  <c r="BW39" i="3"/>
  <c r="BU39" i="3"/>
  <c r="BS39" i="3"/>
  <c r="BQ39" i="3"/>
  <c r="BO39" i="3"/>
  <c r="BM39" i="3"/>
  <c r="BK39" i="3"/>
  <c r="BI39" i="3"/>
  <c r="BG39" i="3"/>
  <c r="BE39" i="3"/>
  <c r="BC39" i="3"/>
  <c r="BA39" i="3"/>
  <c r="AY39" i="3"/>
  <c r="AW39" i="3"/>
  <c r="AU39" i="3"/>
  <c r="AS39" i="3"/>
  <c r="AQ39" i="3"/>
  <c r="AO39" i="3"/>
  <c r="AM39" i="3"/>
  <c r="AK39" i="3"/>
  <c r="AI39" i="3"/>
  <c r="AG39" i="3"/>
  <c r="AE39" i="3"/>
  <c r="AC39" i="3"/>
  <c r="AA39" i="3"/>
  <c r="Y39" i="3"/>
  <c r="W39" i="3"/>
  <c r="U39" i="3"/>
  <c r="S39" i="3"/>
  <c r="Q39" i="3"/>
  <c r="O39" i="3"/>
  <c r="M39" i="3"/>
  <c r="K39" i="3"/>
  <c r="I39" i="3"/>
  <c r="G39" i="3"/>
  <c r="E39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1" i="2"/>
  <c r="CS41" i="2"/>
  <c r="CP41" i="2"/>
  <c r="CE42" i="2"/>
  <c r="CV41" i="2"/>
  <c r="CT41" i="2"/>
  <c r="CO41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T9" i="3"/>
  <c r="CM9" i="3"/>
  <c r="CM6" i="3"/>
  <c r="CT6" i="3"/>
  <c r="CJ37" i="2"/>
  <c r="CJ34" i="2"/>
  <c r="CJ15" i="2"/>
  <c r="CJ7" i="2"/>
  <c r="CY41" i="2"/>
  <c r="CE38" i="3"/>
  <c r="CE37" i="3"/>
  <c r="CE33" i="3"/>
  <c r="CE45" i="2"/>
  <c r="CO45" i="2"/>
  <c r="CJ32" i="2"/>
  <c r="CJ10" i="2"/>
  <c r="DC41" i="2"/>
  <c r="CJ5" i="2"/>
  <c r="CI45" i="2"/>
  <c r="CQ3" i="3"/>
  <c r="CJ39" i="2"/>
  <c r="CJ36" i="2"/>
  <c r="CJ33" i="2"/>
  <c r="CJ31" i="2"/>
  <c r="CJ28" i="2"/>
  <c r="CJ16" i="2"/>
  <c r="CJ14" i="2"/>
  <c r="CJ9" i="2"/>
  <c r="DA41" i="2"/>
  <c r="CJ22" i="2"/>
  <c r="DI22" i="2"/>
  <c r="CP3" i="3"/>
  <c r="B52" i="2"/>
  <c r="B51" i="2"/>
  <c r="DI39" i="2"/>
  <c r="DI37" i="2"/>
  <c r="DI36" i="2"/>
  <c r="DI34" i="2"/>
  <c r="DI33" i="2"/>
  <c r="DI32" i="2"/>
  <c r="DI31" i="2"/>
  <c r="DI28" i="2"/>
  <c r="DI16" i="2"/>
  <c r="DI15" i="2"/>
  <c r="DI14" i="2"/>
  <c r="DI10" i="2"/>
  <c r="DI9" i="2"/>
  <c r="DI7" i="2"/>
  <c r="DD41" i="2"/>
  <c r="DB41" i="2"/>
  <c r="CZ41" i="2"/>
  <c r="DI5" i="2"/>
  <c r="CQ41" i="2"/>
  <c r="CJ21" i="2"/>
  <c r="DI21" i="2"/>
  <c r="CJ23" i="2"/>
  <c r="DI23" i="2"/>
  <c r="CJ24" i="2"/>
  <c r="DI24" i="2"/>
  <c r="CJ25" i="2"/>
  <c r="DI25" i="2"/>
  <c r="DI26" i="2"/>
  <c r="CM10" i="3"/>
  <c r="CT10" i="3"/>
  <c r="CJ19" i="2"/>
  <c r="CJ11" i="2"/>
  <c r="DI19" i="2"/>
  <c r="DI11" i="2"/>
  <c r="CL8" i="3"/>
  <c r="CT5" i="3"/>
  <c r="CF33" i="3"/>
  <c r="CM5" i="3"/>
  <c r="CT8" i="3"/>
  <c r="CM8" i="3"/>
  <c r="CL5" i="3"/>
  <c r="CJ33" i="3"/>
  <c r="CL6" i="3"/>
  <c r="CL10" i="3"/>
  <c r="CL9" i="3"/>
  <c r="DH39" i="2"/>
  <c r="CL39" i="2"/>
  <c r="DE39" i="2" s="1"/>
  <c r="CF37" i="2"/>
  <c r="DH37" i="2"/>
  <c r="CL37" i="2"/>
  <c r="DE37" i="2" s="1"/>
  <c r="DH36" i="2"/>
  <c r="CL36" i="2"/>
  <c r="DE36" i="2" s="1"/>
  <c r="CF33" i="2"/>
  <c r="DH33" i="2"/>
  <c r="CL33" i="2"/>
  <c r="DE33" i="2" s="1"/>
  <c r="CF24" i="2"/>
  <c r="DH24" i="2"/>
  <c r="CL24" i="2"/>
  <c r="DE24" i="2" s="1"/>
  <c r="CF19" i="2"/>
  <c r="DH19" i="2"/>
  <c r="CL19" i="2"/>
  <c r="DE19" i="2" s="1"/>
  <c r="CF16" i="2"/>
  <c r="DH16" i="2"/>
  <c r="CL16" i="2"/>
  <c r="DE16" i="2" s="1"/>
  <c r="CF15" i="2"/>
  <c r="DH15" i="2"/>
  <c r="CL15" i="2"/>
  <c r="DE15" i="2" s="1"/>
  <c r="CF10" i="2"/>
  <c r="DH10" i="2"/>
  <c r="CL10" i="2"/>
  <c r="DE10" i="2" s="1"/>
  <c r="DH9" i="2"/>
  <c r="CL9" i="2"/>
  <c r="DE9" i="2" s="1"/>
  <c r="DH5" i="2"/>
  <c r="CK45" i="2"/>
  <c r="CL5" i="2"/>
  <c r="DE5" i="2" s="1"/>
  <c r="CG45" i="2"/>
  <c r="CJ26" i="2"/>
  <c r="CF34" i="2"/>
  <c r="DH34" i="2"/>
  <c r="CL34" i="2"/>
  <c r="DE34" i="2" s="1"/>
  <c r="CF32" i="2"/>
  <c r="DH32" i="2"/>
  <c r="CL32" i="2"/>
  <c r="DE32" i="2" s="1"/>
  <c r="CF28" i="2"/>
  <c r="DH28" i="2"/>
  <c r="CL28" i="2"/>
  <c r="DE28" i="2" s="1"/>
  <c r="CF25" i="2"/>
  <c r="DH25" i="2"/>
  <c r="CL25" i="2"/>
  <c r="DE25" i="2" s="1"/>
  <c r="CF23" i="2"/>
  <c r="DH23" i="2"/>
  <c r="CL23" i="2"/>
  <c r="DE23" i="2" s="1"/>
  <c r="CF22" i="2"/>
  <c r="DH22" i="2"/>
  <c r="CL22" i="2"/>
  <c r="DE22" i="2" s="1"/>
  <c r="CF14" i="2"/>
  <c r="DH14" i="2"/>
  <c r="CL14" i="2"/>
  <c r="DE14" i="2" s="1"/>
  <c r="CF11" i="2"/>
  <c r="DH11" i="2"/>
  <c r="CL11" i="2"/>
  <c r="DE11" i="2" s="1"/>
  <c r="CF31" i="2"/>
  <c r="DH31" i="2"/>
  <c r="CL31" i="2"/>
  <c r="DE31" i="2" s="1"/>
  <c r="CF21" i="2"/>
  <c r="DH21" i="2"/>
  <c r="CL21" i="2"/>
  <c r="DE21" i="2" s="1"/>
  <c r="CF26" i="2"/>
  <c r="DH26" i="2"/>
  <c r="CL26" i="2"/>
  <c r="DE26" i="2" s="1"/>
  <c r="CF7" i="2"/>
  <c r="DH7" i="2"/>
  <c r="CL7" i="2"/>
  <c r="DE7" i="2" s="1"/>
  <c r="CF39" i="2"/>
  <c r="CF36" i="2"/>
  <c r="CF9" i="2"/>
  <c r="CF5" i="2"/>
  <c r="CH45" i="2"/>
  <c r="O17" i="5"/>
  <c r="Z63" i="1"/>
  <c r="D46" i="2" a="1"/>
  <c r="AA2" i="1"/>
  <c r="AA63" i="1"/>
  <c r="AA3" i="1" a="1"/>
  <c r="AA3" i="1" s="1"/>
  <c r="AD63" i="1"/>
  <c r="AB63" i="1"/>
  <c r="CO43" i="2"/>
  <c r="P65" i="1"/>
  <c r="P66" i="1" s="1"/>
  <c r="H93" i="4"/>
  <c r="A5" i="5" s="1" a="1"/>
  <c r="CO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T68" i="1" l="1"/>
  <c r="S68" i="1"/>
  <c r="R68" i="1"/>
  <c r="Q68" i="1"/>
  <c r="H48" i="4"/>
  <c r="L49" i="4"/>
  <c r="CS16" i="3"/>
  <c r="CS24" i="3"/>
  <c r="CS12" i="3"/>
  <c r="DF18" i="2"/>
  <c r="DF6" i="2"/>
  <c r="DF17" i="2"/>
  <c r="CS28" i="3"/>
  <c r="CS11" i="3"/>
  <c r="DF35" i="2"/>
  <c r="DF30" i="2"/>
  <c r="DF12" i="2"/>
  <c r="CS23" i="3"/>
  <c r="CS14" i="3"/>
  <c r="DF20" i="2"/>
  <c r="DF29" i="2"/>
  <c r="DF13" i="2"/>
  <c r="BC36" i="3"/>
  <c r="G36" i="3"/>
  <c r="W36" i="3"/>
  <c r="AA36" i="3"/>
  <c r="AI36" i="3"/>
  <c r="AM36" i="3"/>
  <c r="E36" i="3"/>
  <c r="M36" i="3"/>
  <c r="U36" i="3"/>
  <c r="AC36" i="3"/>
  <c r="AK36" i="3"/>
  <c r="C36" i="3"/>
  <c r="DF38" i="2"/>
  <c r="DF27" i="2"/>
  <c r="DF8" i="2"/>
  <c r="CS30" i="3"/>
  <c r="CS25" i="3"/>
  <c r="CS22" i="3"/>
  <c r="CS20" i="3"/>
  <c r="CS18" i="3"/>
  <c r="CS15" i="3"/>
  <c r="CS13" i="3"/>
  <c r="CS31" i="3"/>
  <c r="CS29" i="3"/>
  <c r="CS27" i="3"/>
  <c r="CS26" i="3"/>
  <c r="CS21" i="3"/>
  <c r="CS19" i="3"/>
  <c r="CS17" i="3"/>
  <c r="I36" i="3"/>
  <c r="AB36" i="3"/>
  <c r="L36" i="3"/>
  <c r="AR36" i="3"/>
  <c r="AO36" i="3"/>
  <c r="Y36" i="3"/>
  <c r="BE36" i="3"/>
  <c r="D36" i="3"/>
  <c r="T36" i="3"/>
  <c r="AJ36" i="3"/>
  <c r="AZ36" i="3"/>
  <c r="AY36" i="3"/>
  <c r="S36" i="3"/>
  <c r="H36" i="3"/>
  <c r="P36" i="3"/>
  <c r="X36" i="3"/>
  <c r="AF36" i="3"/>
  <c r="AN36" i="3"/>
  <c r="AV36" i="3"/>
  <c r="BD36" i="3"/>
  <c r="Q36" i="3"/>
  <c r="AG36" i="3"/>
  <c r="AW36" i="3"/>
  <c r="N36" i="3"/>
  <c r="R36" i="3"/>
  <c r="Z36" i="3"/>
  <c r="AD36" i="3"/>
  <c r="AH36" i="3"/>
  <c r="AT36" i="3"/>
  <c r="O36" i="3"/>
  <c r="AE36" i="3"/>
  <c r="AU36" i="3"/>
  <c r="AQ36" i="3"/>
  <c r="K36" i="3"/>
  <c r="F36" i="3"/>
  <c r="V36" i="3"/>
  <c r="AL36" i="3"/>
  <c r="BB36" i="3"/>
  <c r="J36" i="3"/>
  <c r="AP36" i="3"/>
  <c r="AX36" i="3"/>
  <c r="CS7" i="3"/>
  <c r="DF7" i="2"/>
  <c r="CE34" i="3"/>
  <c r="CE35" i="3"/>
  <c r="CR42" i="2"/>
  <c r="CR43" i="2" s="1"/>
  <c r="CS10" i="3"/>
  <c r="DF21" i="2"/>
  <c r="DF11" i="2"/>
  <c r="DF22" i="2"/>
  <c r="DF25" i="2"/>
  <c r="DF32" i="2"/>
  <c r="DF5" i="2"/>
  <c r="DF16" i="2"/>
  <c r="DF19" i="2"/>
  <c r="DF36" i="2"/>
  <c r="CS9" i="3"/>
  <c r="CS6" i="3"/>
  <c r="CS8" i="3"/>
  <c r="DF26" i="2"/>
  <c r="DF31" i="2"/>
  <c r="DF14" i="2"/>
  <c r="DF23" i="2"/>
  <c r="DF28" i="2"/>
  <c r="DF34" i="2"/>
  <c r="DF9" i="2"/>
  <c r="DF10" i="2"/>
  <c r="DF15" i="2"/>
  <c r="DF24" i="2"/>
  <c r="DF33" i="2"/>
  <c r="DF37" i="2"/>
  <c r="DF39" i="2"/>
  <c r="CS5" i="3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CF38" i="3"/>
  <c r="CG38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47" i="2"/>
  <c r="H49" i="4" l="1"/>
  <c r="A8" i="7"/>
  <c r="L50" i="4"/>
  <c r="M48" i="4"/>
  <c r="B7" i="7" s="1"/>
  <c r="K48" i="4"/>
  <c r="N48" i="4" s="1"/>
  <c r="C7" i="7" s="1"/>
  <c r="O48" i="4"/>
  <c r="D7" i="7" s="1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6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6" i="3"/>
  <c r="CH36" i="3" a="1"/>
  <c r="CH36" i="3" s="1"/>
  <c r="I40" i="9"/>
  <c r="D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3" i="2"/>
  <c r="CT43" i="2"/>
  <c r="CV43" i="2"/>
  <c r="CU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D2" i="9"/>
  <c r="H30" i="9"/>
  <c r="H3" i="9"/>
  <c r="C59" i="9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24" i="9"/>
  <c r="F28" i="9"/>
  <c r="B32" i="9"/>
  <c r="E48" i="9"/>
  <c r="E60" i="9"/>
  <c r="F21" i="9"/>
  <c r="H21" i="9"/>
  <c r="F29" i="9"/>
  <c r="H29" i="9"/>
  <c r="G33" i="9"/>
  <c r="F57" i="9"/>
  <c r="E57" i="9"/>
  <c r="CO46" i="2"/>
  <c r="D47" i="2"/>
  <c r="CE46" i="2"/>
  <c r="CH38" i="3"/>
  <c r="G51" i="9" l="1"/>
  <c r="H35" i="9"/>
  <c r="B14" i="9"/>
  <c r="H19" i="9"/>
  <c r="G18" i="9"/>
  <c r="E41" i="9"/>
  <c r="E56" i="9"/>
  <c r="D7" i="9"/>
  <c r="L7" i="9" s="1"/>
  <c r="H9" i="9"/>
  <c r="H36" i="9"/>
  <c r="D16" i="9"/>
  <c r="J16" i="9" s="1"/>
  <c r="C23" i="9"/>
  <c r="G53" i="9"/>
  <c r="C44" i="10"/>
  <c r="B46" i="9"/>
  <c r="C53" i="9"/>
  <c r="F49" i="9"/>
  <c r="F44" i="9"/>
  <c r="D56" i="9"/>
  <c r="L56" i="9" s="1"/>
  <c r="D48" i="9"/>
  <c r="J48" i="9" s="1"/>
  <c r="E36" i="9"/>
  <c r="F24" i="9"/>
  <c r="E16" i="9"/>
  <c r="H4" i="9"/>
  <c r="E55" i="9"/>
  <c r="B39" i="9"/>
  <c r="G50" i="9"/>
  <c r="D34" i="9"/>
  <c r="J34" i="9" s="1"/>
  <c r="H41" i="9"/>
  <c r="G9" i="9"/>
  <c r="G56" i="9"/>
  <c r="G48" i="9"/>
  <c r="G24" i="9"/>
  <c r="F16" i="9"/>
  <c r="C4" i="9"/>
  <c r="F55" i="9"/>
  <c r="B7" i="9"/>
  <c r="F50" i="9"/>
  <c r="F2" i="9"/>
  <c r="F41" i="9"/>
  <c r="C9" i="9"/>
  <c r="F56" i="9"/>
  <c r="F48" i="9"/>
  <c r="B36" i="9"/>
  <c r="C24" i="9"/>
  <c r="G16" i="9"/>
  <c r="B4" i="9"/>
  <c r="G39" i="9"/>
  <c r="D23" i="9"/>
  <c r="J23" i="9" s="1"/>
  <c r="F34" i="9"/>
  <c r="F18" i="9"/>
  <c r="B55" i="9"/>
  <c r="C39" i="9"/>
  <c r="B23" i="9"/>
  <c r="F7" i="9"/>
  <c r="E50" i="9"/>
  <c r="C34" i="9"/>
  <c r="D18" i="9"/>
  <c r="L18" i="9" s="1"/>
  <c r="G2" i="9"/>
  <c r="D55" i="9"/>
  <c r="L55" i="9" s="1"/>
  <c r="D39" i="9"/>
  <c r="L39" i="9" s="1"/>
  <c r="G23" i="9"/>
  <c r="E7" i="9"/>
  <c r="D50" i="9"/>
  <c r="L50" i="9" s="1"/>
  <c r="G34" i="9"/>
  <c r="E18" i="9"/>
  <c r="C2" i="9"/>
  <c r="F27" i="9"/>
  <c r="C54" i="9"/>
  <c r="E22" i="9"/>
  <c r="F17" i="9"/>
  <c r="C43" i="9"/>
  <c r="C11" i="9"/>
  <c r="E38" i="9"/>
  <c r="E6" i="9"/>
  <c r="H13" i="9"/>
  <c r="H5" i="9"/>
  <c r="G12" i="9"/>
  <c r="C41" i="10"/>
  <c r="D48" i="10" a="1"/>
  <c r="K48" i="10" s="1"/>
  <c r="D31" i="9"/>
  <c r="J31" i="9" s="1"/>
  <c r="F26" i="9"/>
  <c r="D8" i="9"/>
  <c r="J8" i="9" s="1"/>
  <c r="C51" i="10"/>
  <c r="E47" i="9"/>
  <c r="G42" i="9"/>
  <c r="B40" i="9"/>
  <c r="F58" i="9"/>
  <c r="F45" i="9"/>
  <c r="B37" i="9"/>
  <c r="E25" i="9"/>
  <c r="C15" i="9"/>
  <c r="C10" i="9"/>
  <c r="D45" i="9"/>
  <c r="L45" i="9" s="1"/>
  <c r="C40" i="9"/>
  <c r="B20" i="9"/>
  <c r="C8" i="9"/>
  <c r="B47" i="9"/>
  <c r="B31" i="9"/>
  <c r="G15" i="9"/>
  <c r="D58" i="9"/>
  <c r="J58" i="9" s="1"/>
  <c r="E42" i="9"/>
  <c r="D26" i="9"/>
  <c r="J26" i="9" s="1"/>
  <c r="F10" i="9"/>
  <c r="C37" i="9"/>
  <c r="B25" i="9"/>
  <c r="B52" i="9"/>
  <c r="G40" i="9"/>
  <c r="F25" i="9"/>
  <c r="H52" i="9"/>
  <c r="H40" i="9"/>
  <c r="E40" i="9"/>
  <c r="H20" i="9"/>
  <c r="F8" i="9"/>
  <c r="F47" i="9"/>
  <c r="C31" i="9"/>
  <c r="D15" i="9"/>
  <c r="J15" i="9" s="1"/>
  <c r="G58" i="9"/>
  <c r="F42" i="9"/>
  <c r="G26" i="9"/>
  <c r="G10" i="9"/>
  <c r="E45" i="9"/>
  <c r="G37" i="9"/>
  <c r="B45" i="9"/>
  <c r="D37" i="9"/>
  <c r="L37" i="9" s="1"/>
  <c r="D25" i="9"/>
  <c r="J25" i="9" s="1"/>
  <c r="C52" i="9"/>
  <c r="F40" i="9"/>
  <c r="C20" i="9"/>
  <c r="G8" i="9"/>
  <c r="D47" i="9"/>
  <c r="L47" i="9" s="1"/>
  <c r="G31" i="9"/>
  <c r="B15" i="9"/>
  <c r="E58" i="9"/>
  <c r="D42" i="9"/>
  <c r="J42" i="9" s="1"/>
  <c r="E26" i="9"/>
  <c r="D10" i="9"/>
  <c r="L10" i="9" s="1"/>
  <c r="A9" i="7"/>
  <c r="H50" i="4"/>
  <c r="L51" i="4"/>
  <c r="K49" i="4"/>
  <c r="N49" i="4" s="1"/>
  <c r="C8" i="7" s="1"/>
  <c r="M49" i="4"/>
  <c r="B8" i="7" s="1"/>
  <c r="O49" i="4"/>
  <c r="D8" i="7" s="1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L41" i="9" s="1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L24" i="9" s="1"/>
  <c r="G20" i="9"/>
  <c r="E20" i="9"/>
  <c r="F20" i="9"/>
  <c r="B16" i="9"/>
  <c r="H16" i="9"/>
  <c r="H8" i="9"/>
  <c r="B8" i="9"/>
  <c r="G4" i="9"/>
  <c r="E4" i="9"/>
  <c r="L4" i="9" s="1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L34" i="9" s="1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L49" i="9" s="1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L16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L46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L40" i="9"/>
  <c r="J40" i="9"/>
  <c r="J32" i="9"/>
  <c r="J24" i="9"/>
  <c r="I8" i="5"/>
  <c r="F5" i="6" s="1"/>
  <c r="D8" i="5"/>
  <c r="C5" i="6" s="1"/>
  <c r="F8" i="5"/>
  <c r="CO47" i="2"/>
  <c r="CE47" i="2"/>
  <c r="CH48" i="2" s="1"/>
  <c r="L9" i="9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L2" i="9"/>
  <c r="J2" i="9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L8" i="9" l="1"/>
  <c r="J7" i="9"/>
  <c r="J55" i="9"/>
  <c r="F48" i="10"/>
  <c r="L48" i="9"/>
  <c r="J50" i="9"/>
  <c r="I48" i="10"/>
  <c r="H48" i="10"/>
  <c r="G48" i="10"/>
  <c r="N48" i="10" s="1"/>
  <c r="D48" i="10"/>
  <c r="E48" i="10"/>
  <c r="J48" i="10"/>
  <c r="L23" i="9"/>
  <c r="J39" i="9"/>
  <c r="J56" i="9"/>
  <c r="J18" i="9"/>
  <c r="L42" i="9"/>
  <c r="J47" i="9"/>
  <c r="L26" i="9"/>
  <c r="L31" i="9"/>
  <c r="E30" i="10"/>
  <c r="J45" i="9"/>
  <c r="L15" i="9"/>
  <c r="L58" i="9"/>
  <c r="L25" i="9"/>
  <c r="J10" i="9"/>
  <c r="J37" i="9"/>
  <c r="H51" i="4"/>
  <c r="L52" i="4"/>
  <c r="A10" i="7"/>
  <c r="M50" i="4"/>
  <c r="B9" i="7" s="1"/>
  <c r="K50" i="4"/>
  <c r="N50" i="4" s="1"/>
  <c r="C9" i="7" s="1"/>
  <c r="O50" i="4"/>
  <c r="D9" i="7" s="1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48" i="10"/>
  <c r="N32" i="10"/>
  <c r="L32" i="10"/>
  <c r="N34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N30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50" i="9" l="1"/>
  <c r="L53" i="4"/>
  <c r="A11" i="7"/>
  <c r="H52" i="4"/>
  <c r="M51" i="4"/>
  <c r="B10" i="7" s="1"/>
  <c r="O51" i="4"/>
  <c r="D10" i="7" s="1"/>
  <c r="K51" i="4"/>
  <c r="N51" i="4" s="1"/>
  <c r="C10" i="7" s="1"/>
  <c r="N11" i="10"/>
  <c r="L38" i="10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38" i="10"/>
  <c r="M44" i="10"/>
  <c r="M42" i="10"/>
  <c r="M40" i="10"/>
  <c r="M37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M36" i="10"/>
  <c r="M35" i="10"/>
  <c r="M34" i="10"/>
  <c r="M33" i="10"/>
  <c r="M32" i="10"/>
  <c r="M3" i="10"/>
  <c r="M6" i="10"/>
  <c r="M14" i="10"/>
  <c r="M22" i="10"/>
  <c r="M30" i="10"/>
  <c r="M4" i="10"/>
  <c r="M12" i="10"/>
  <c r="M20" i="10"/>
  <c r="M28" i="10"/>
  <c r="M10" i="10"/>
  <c r="M26" i="10"/>
  <c r="M8" i="10"/>
  <c r="M24" i="10"/>
  <c r="M5" i="10"/>
  <c r="M9" i="10"/>
  <c r="M13" i="10"/>
  <c r="M17" i="10"/>
  <c r="M21" i="10"/>
  <c r="M25" i="10"/>
  <c r="M29" i="10"/>
  <c r="M7" i="10"/>
  <c r="M11" i="10"/>
  <c r="M15" i="10"/>
  <c r="M19" i="10"/>
  <c r="M23" i="10"/>
  <c r="M27" i="10"/>
  <c r="M31" i="10"/>
  <c r="M2" i="10"/>
  <c r="M18" i="10"/>
  <c r="M16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Q3" i="10" a="1"/>
  <c r="Q3" i="10" s="1"/>
  <c r="Q25" i="10" a="1"/>
  <c r="Q24" i="10" a="1"/>
  <c r="Q23" i="10" a="1"/>
  <c r="Q22" i="10" a="1"/>
  <c r="Q21" i="10" a="1"/>
  <c r="Q19" i="10" a="1"/>
  <c r="Q18" i="10" a="1"/>
  <c r="Q17" i="10" a="1"/>
  <c r="Q16" i="10" a="1"/>
  <c r="Q14" i="10" a="1"/>
  <c r="Q12" i="10" a="1"/>
  <c r="Q11" i="10" a="1"/>
  <c r="Q9" i="10" a="1"/>
  <c r="Q6" i="10" a="1"/>
  <c r="Q5" i="10" a="1"/>
  <c r="Q20" i="10" a="1"/>
  <c r="Q15" i="10" a="1"/>
  <c r="Q13" i="10" a="1"/>
  <c r="Q10" i="10" a="1"/>
  <c r="Q8" i="10" a="1"/>
  <c r="Q7" i="10" a="1"/>
  <c r="Q4" i="10" a="1"/>
  <c r="M39" i="9"/>
  <c r="S39" i="9" s="1"/>
  <c r="M31" i="9"/>
  <c r="Q31" i="9" s="1"/>
  <c r="M23" i="9"/>
  <c r="S23" i="9" s="1"/>
  <c r="M11" i="9"/>
  <c r="Q11" i="9" s="1"/>
  <c r="M3" i="9"/>
  <c r="S3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Q9" i="9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S34" i="9" l="1"/>
  <c r="S2" i="9"/>
  <c r="O10" i="9"/>
  <c r="O7" i="9"/>
  <c r="T41" i="9"/>
  <c r="L55" i="4"/>
  <c r="A13" i="7"/>
  <c r="H54" i="4"/>
  <c r="K53" i="4"/>
  <c r="N53" i="4" s="1"/>
  <c r="C12" i="7" s="1"/>
  <c r="M53" i="4"/>
  <c r="B12" i="7" s="1"/>
  <c r="O53" i="4"/>
  <c r="D12" i="7" s="1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V3" i="10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W3" i="10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R3" i="10"/>
  <c r="S3" i="10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X3" i="10"/>
  <c r="T3" i="10"/>
  <c r="Y3" i="10"/>
  <c r="U3" i="10"/>
  <c r="P20" i="9"/>
  <c r="T11" i="9"/>
  <c r="S20" i="9"/>
  <c r="R11" i="9"/>
  <c r="O6" i="9"/>
  <c r="O22" i="9"/>
  <c r="Q38" i="9"/>
  <c r="P29" i="9"/>
  <c r="Y4" i="10"/>
  <c r="W4" i="10"/>
  <c r="U4" i="10"/>
  <c r="S4" i="10"/>
  <c r="Q4" i="10"/>
  <c r="X4" i="10"/>
  <c r="V4" i="10"/>
  <c r="T4" i="10"/>
  <c r="R4" i="10"/>
  <c r="Y8" i="10"/>
  <c r="W8" i="10"/>
  <c r="U8" i="10"/>
  <c r="S8" i="10"/>
  <c r="Q8" i="10"/>
  <c r="X8" i="10"/>
  <c r="V8" i="10"/>
  <c r="T8" i="10"/>
  <c r="R8" i="10"/>
  <c r="Y13" i="10"/>
  <c r="W13" i="10"/>
  <c r="U13" i="10"/>
  <c r="S13" i="10"/>
  <c r="Q13" i="10"/>
  <c r="X13" i="10"/>
  <c r="V13" i="10"/>
  <c r="T13" i="10"/>
  <c r="R13" i="10"/>
  <c r="R20" i="10"/>
  <c r="Y20" i="10"/>
  <c r="W20" i="10"/>
  <c r="U20" i="10"/>
  <c r="S20" i="10"/>
  <c r="Q20" i="10"/>
  <c r="X20" i="10"/>
  <c r="V20" i="10"/>
  <c r="T20" i="10"/>
  <c r="X6" i="10"/>
  <c r="V6" i="10"/>
  <c r="T6" i="10"/>
  <c r="R6" i="10"/>
  <c r="Y6" i="10"/>
  <c r="W6" i="10"/>
  <c r="U6" i="10"/>
  <c r="S6" i="10"/>
  <c r="Q6" i="10"/>
  <c r="Y11" i="10"/>
  <c r="W11" i="10"/>
  <c r="U11" i="10"/>
  <c r="S11" i="10"/>
  <c r="Q11" i="10"/>
  <c r="X11" i="10"/>
  <c r="V11" i="10"/>
  <c r="T11" i="10"/>
  <c r="R11" i="10"/>
  <c r="X14" i="10"/>
  <c r="V14" i="10"/>
  <c r="T14" i="10"/>
  <c r="R14" i="10"/>
  <c r="Y14" i="10"/>
  <c r="W14" i="10"/>
  <c r="U14" i="10"/>
  <c r="S14" i="10"/>
  <c r="Z14" i="10" s="1"/>
  <c r="Q14" i="10"/>
  <c r="X17" i="10"/>
  <c r="V17" i="10"/>
  <c r="T17" i="10"/>
  <c r="R17" i="10"/>
  <c r="Y17" i="10"/>
  <c r="W17" i="10"/>
  <c r="U17" i="10"/>
  <c r="S17" i="10"/>
  <c r="Z17" i="10" s="1"/>
  <c r="Q17" i="10"/>
  <c r="X19" i="10"/>
  <c r="V19" i="10"/>
  <c r="T19" i="10"/>
  <c r="R19" i="10"/>
  <c r="Y19" i="10"/>
  <c r="W19" i="10"/>
  <c r="U19" i="10"/>
  <c r="S19" i="10"/>
  <c r="Z19" i="10" s="1"/>
  <c r="Q19" i="10"/>
  <c r="X22" i="10"/>
  <c r="V22" i="10"/>
  <c r="T22" i="10"/>
  <c r="R22" i="10"/>
  <c r="Y22" i="10"/>
  <c r="W22" i="10"/>
  <c r="U22" i="10"/>
  <c r="S22" i="10"/>
  <c r="Q22" i="10"/>
  <c r="X24" i="10"/>
  <c r="V24" i="10"/>
  <c r="T24" i="10"/>
  <c r="R24" i="10"/>
  <c r="Y24" i="10"/>
  <c r="W24" i="10"/>
  <c r="U24" i="10"/>
  <c r="S24" i="10"/>
  <c r="Z24" i="10" s="1"/>
  <c r="Q24" i="10"/>
  <c r="X7" i="10"/>
  <c r="V7" i="10"/>
  <c r="T7" i="10"/>
  <c r="R7" i="10"/>
  <c r="Y7" i="10"/>
  <c r="W7" i="10"/>
  <c r="U7" i="10"/>
  <c r="S7" i="10"/>
  <c r="Z7" i="10" s="1"/>
  <c r="Q7" i="10"/>
  <c r="Y10" i="10"/>
  <c r="W10" i="10"/>
  <c r="U10" i="10"/>
  <c r="S10" i="10"/>
  <c r="Q10" i="10"/>
  <c r="X10" i="10"/>
  <c r="V10" i="10"/>
  <c r="T10" i="10"/>
  <c r="R10" i="10"/>
  <c r="Y15" i="10"/>
  <c r="W15" i="10"/>
  <c r="U15" i="10"/>
  <c r="S15" i="10"/>
  <c r="Q15" i="10"/>
  <c r="X15" i="10"/>
  <c r="V15" i="10"/>
  <c r="T15" i="10"/>
  <c r="R15" i="10"/>
  <c r="Y5" i="10"/>
  <c r="W5" i="10"/>
  <c r="U5" i="10"/>
  <c r="S5" i="10"/>
  <c r="Q5" i="10"/>
  <c r="X5" i="10"/>
  <c r="V5" i="10"/>
  <c r="T5" i="10"/>
  <c r="R5" i="10"/>
  <c r="X9" i="10"/>
  <c r="V9" i="10"/>
  <c r="T9" i="10"/>
  <c r="Y9" i="10"/>
  <c r="W9" i="10"/>
  <c r="U9" i="10"/>
  <c r="S9" i="10"/>
  <c r="Q9" i="10"/>
  <c r="R9" i="10"/>
  <c r="X12" i="10"/>
  <c r="V12" i="10"/>
  <c r="T12" i="10"/>
  <c r="Y12" i="10"/>
  <c r="W12" i="10"/>
  <c r="U12" i="10"/>
  <c r="S12" i="10"/>
  <c r="Q12" i="10"/>
  <c r="R12" i="10"/>
  <c r="T16" i="10"/>
  <c r="Y16" i="10"/>
  <c r="W16" i="10"/>
  <c r="U16" i="10"/>
  <c r="S16" i="10"/>
  <c r="Q16" i="10"/>
  <c r="X16" i="10"/>
  <c r="V16" i="10"/>
  <c r="R16" i="10"/>
  <c r="X18" i="10"/>
  <c r="V18" i="10"/>
  <c r="T18" i="10"/>
  <c r="R18" i="10"/>
  <c r="Y18" i="10"/>
  <c r="W18" i="10"/>
  <c r="U18" i="10"/>
  <c r="S18" i="10"/>
  <c r="Z18" i="10" s="1"/>
  <c r="Q18" i="10"/>
  <c r="X21" i="10"/>
  <c r="T21" i="10"/>
  <c r="R21" i="10"/>
  <c r="Y21" i="10"/>
  <c r="W21" i="10"/>
  <c r="U21" i="10"/>
  <c r="S21" i="10"/>
  <c r="Z21" i="10" s="1"/>
  <c r="Q21" i="10"/>
  <c r="V21" i="10"/>
  <c r="X23" i="10"/>
  <c r="V23" i="10"/>
  <c r="T23" i="10"/>
  <c r="R23" i="10"/>
  <c r="Y23" i="10"/>
  <c r="W23" i="10"/>
  <c r="U23" i="10"/>
  <c r="S23" i="10"/>
  <c r="Q23" i="10"/>
  <c r="X25" i="10"/>
  <c r="V25" i="10"/>
  <c r="T25" i="10"/>
  <c r="R25" i="10"/>
  <c r="Y25" i="10"/>
  <c r="W25" i="10"/>
  <c r="U25" i="10"/>
  <c r="S25" i="10"/>
  <c r="Q25" i="10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Z20" i="10" l="1"/>
  <c r="Z6" i="10"/>
  <c r="Z23" i="10"/>
  <c r="Z22" i="10"/>
  <c r="Z25" i="10"/>
  <c r="O54" i="4"/>
  <c r="D13" i="7" s="1"/>
  <c r="M54" i="4"/>
  <c r="B13" i="7" s="1"/>
  <c r="K54" i="4"/>
  <c r="N54" i="4" s="1"/>
  <c r="C13" i="7" s="1"/>
  <c r="H55" i="4"/>
  <c r="L56" i="4"/>
  <c r="A14" i="7"/>
  <c r="Z5" i="10"/>
  <c r="Z10" i="10"/>
  <c r="Z13" i="10"/>
  <c r="Z4" i="10"/>
  <c r="Z16" i="10"/>
  <c r="Z9" i="10"/>
  <c r="Z12" i="10"/>
  <c r="Z15" i="10"/>
  <c r="Z11" i="10"/>
  <c r="Z8" i="10"/>
  <c r="Z3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K55" i="4" l="1"/>
  <c r="N55" i="4" s="1"/>
  <c r="C14" i="7" s="1"/>
  <c r="O55" i="4"/>
  <c r="D14" i="7" s="1"/>
  <c r="M55" i="4"/>
  <c r="B14" i="7" s="1"/>
  <c r="H56" i="4"/>
  <c r="A15" i="7"/>
  <c r="L57" i="4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56" i="4" l="1"/>
  <c r="B15" i="7" s="1"/>
  <c r="K56" i="4"/>
  <c r="N56" i="4" s="1"/>
  <c r="C15" i="7" s="1"/>
  <c r="O56" i="4"/>
  <c r="D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O58" i="4" l="1"/>
  <c r="D17" i="7" s="1"/>
  <c r="M58" i="4"/>
  <c r="B17" i="7" s="1"/>
  <c r="K58" i="4"/>
  <c r="N58" i="4" s="1"/>
  <c r="C17" i="7" s="1"/>
  <c r="L60" i="4"/>
  <c r="H59" i="4"/>
  <c r="A18" i="7"/>
  <c r="O29" i="5"/>
  <c r="N28" i="5"/>
  <c r="P27" i="5"/>
  <c r="R27" i="5"/>
  <c r="Q27" i="5"/>
  <c r="L61" i="4" l="1"/>
  <c r="A19" i="7"/>
  <c r="H60" i="4"/>
  <c r="M59" i="4"/>
  <c r="B18" i="7" s="1"/>
  <c r="K59" i="4"/>
  <c r="N59" i="4" s="1"/>
  <c r="C18" i="7" s="1"/>
  <c r="O59" i="4"/>
  <c r="D18" i="7" s="1"/>
  <c r="Q28" i="5"/>
  <c r="P28" i="5"/>
  <c r="R28" i="5"/>
  <c r="O30" i="5"/>
  <c r="N29" i="5"/>
  <c r="A20" i="7" l="1"/>
  <c r="H61" i="4"/>
  <c r="L62" i="4"/>
  <c r="M60" i="4"/>
  <c r="B19" i="7" s="1"/>
  <c r="K60" i="4"/>
  <c r="N60" i="4" s="1"/>
  <c r="C19" i="7" s="1"/>
  <c r="O60" i="4"/>
  <c r="D19" i="7" s="1"/>
  <c r="P29" i="5"/>
  <c r="R29" i="5"/>
  <c r="Q29" i="5"/>
  <c r="O31" i="5"/>
  <c r="N30" i="5"/>
  <c r="L63" i="4" l="1"/>
  <c r="A21" i="7"/>
  <c r="H62" i="4"/>
  <c r="O61" i="4"/>
  <c r="D20" i="7" s="1"/>
  <c r="M61" i="4"/>
  <c r="B20" i="7" s="1"/>
  <c r="K61" i="4"/>
  <c r="N61" i="4" s="1"/>
  <c r="C20" i="7" s="1"/>
  <c r="O32" i="5"/>
  <c r="N31" i="5"/>
  <c r="Q30" i="5"/>
  <c r="P30" i="5"/>
  <c r="R30" i="5"/>
  <c r="L64" i="4" l="1"/>
  <c r="A22" i="7"/>
  <c r="H63" i="4"/>
  <c r="O62" i="4"/>
  <c r="D21" i="7" s="1"/>
  <c r="M62" i="4"/>
  <c r="B21" i="7" s="1"/>
  <c r="K62" i="4"/>
  <c r="N62" i="4" s="1"/>
  <c r="C21" i="7" s="1"/>
  <c r="P31" i="5"/>
  <c r="R31" i="5"/>
  <c r="Q31" i="5"/>
  <c r="O33" i="5"/>
  <c r="N32" i="5"/>
  <c r="O63" i="4" l="1"/>
  <c r="D22" i="7" s="1"/>
  <c r="M63" i="4"/>
  <c r="B22" i="7" s="1"/>
  <c r="K63" i="4"/>
  <c r="N63" i="4" s="1"/>
  <c r="C22" i="7" s="1"/>
  <c r="L65" i="4"/>
  <c r="A23" i="7"/>
  <c r="H64" i="4"/>
  <c r="Q32" i="5"/>
  <c r="P32" i="5"/>
  <c r="R32" i="5"/>
  <c r="O34" i="5"/>
  <c r="N33" i="5"/>
  <c r="O64" i="4" l="1"/>
  <c r="D23" i="7" s="1"/>
  <c r="M64" i="4"/>
  <c r="B23" i="7" s="1"/>
  <c r="K64" i="4"/>
  <c r="N64" i="4" s="1"/>
  <c r="C23" i="7" s="1"/>
  <c r="L66" i="4"/>
  <c r="H65" i="4"/>
  <c r="A24" i="7"/>
  <c r="P33" i="5"/>
  <c r="R33" i="5"/>
  <c r="Q33" i="5"/>
  <c r="O35" i="5"/>
  <c r="N34" i="5"/>
  <c r="O65" i="4" l="1"/>
  <c r="D24" i="7" s="1"/>
  <c r="M65" i="4"/>
  <c r="B24" i="7" s="1"/>
  <c r="K65" i="4"/>
  <c r="N65" i="4" s="1"/>
  <c r="C24" i="7" s="1"/>
  <c r="L67" i="4"/>
  <c r="H66" i="4"/>
  <c r="A25" i="7"/>
  <c r="O36" i="5"/>
  <c r="N35" i="5"/>
  <c r="Q34" i="5"/>
  <c r="P34" i="5"/>
  <c r="R34" i="5"/>
  <c r="O66" i="4" l="1"/>
  <c r="D25" i="7" s="1"/>
  <c r="K66" i="4"/>
  <c r="N66" i="4" s="1"/>
  <c r="C25" i="7" s="1"/>
  <c r="M66" i="4"/>
  <c r="B25" i="7" s="1"/>
  <c r="L68" i="4"/>
  <c r="H67" i="4"/>
  <c r="A26" i="7"/>
  <c r="O37" i="5"/>
  <c r="N36" i="5"/>
  <c r="P35" i="5"/>
  <c r="R35" i="5"/>
  <c r="Q35" i="5"/>
  <c r="L69" i="4" l="1"/>
  <c r="H68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M68" i="4" l="1"/>
  <c r="B27" i="7" s="1"/>
  <c r="K68" i="4"/>
  <c r="N68" i="4" s="1"/>
  <c r="C27" i="7" s="1"/>
  <c r="O68" i="4"/>
  <c r="D27" i="7" s="1"/>
  <c r="H69" i="4"/>
  <c r="A28" i="7"/>
  <c r="L70" i="4"/>
  <c r="P37" i="5"/>
  <c r="R37" i="5"/>
  <c r="Q37" i="5"/>
  <c r="O39" i="5"/>
  <c r="N38" i="5"/>
  <c r="K69" i="4" l="1"/>
  <c r="N69" i="4" s="1"/>
  <c r="C28" i="7" s="1"/>
  <c r="O69" i="4"/>
  <c r="D28" i="7" s="1"/>
  <c r="M69" i="4"/>
  <c r="B28" i="7" s="1"/>
  <c r="H70" i="4"/>
  <c r="A29" i="7"/>
  <c r="L71" i="4"/>
  <c r="O40" i="5"/>
  <c r="N39" i="5"/>
  <c r="Q38" i="5"/>
  <c r="P38" i="5"/>
  <c r="R38" i="5"/>
  <c r="K70" i="4" l="1"/>
  <c r="N70" i="4" s="1"/>
  <c r="C29" i="7" s="1"/>
  <c r="O70" i="4"/>
  <c r="D29" i="7" s="1"/>
  <c r="M70" i="4"/>
  <c r="B29" i="7" s="1"/>
  <c r="H71" i="4"/>
  <c r="L72" i="4"/>
  <c r="A30" i="7"/>
  <c r="P39" i="5"/>
  <c r="R39" i="5"/>
  <c r="Q39" i="5"/>
  <c r="O41" i="5"/>
  <c r="N40" i="5"/>
  <c r="H72" i="4" l="1"/>
  <c r="L73" i="4"/>
  <c r="A31" i="7"/>
  <c r="K71" i="4"/>
  <c r="N71" i="4" s="1"/>
  <c r="C30" i="7" s="1"/>
  <c r="O71" i="4"/>
  <c r="D30" i="7" s="1"/>
  <c r="M71" i="4"/>
  <c r="B30" i="7" s="1"/>
  <c r="Q40" i="5"/>
  <c r="P40" i="5"/>
  <c r="R40" i="5"/>
  <c r="O42" i="5"/>
  <c r="N41" i="5"/>
  <c r="O72" i="4" l="1"/>
  <c r="D31" i="7" s="1"/>
  <c r="M72" i="4"/>
  <c r="B31" i="7" s="1"/>
  <c r="K72" i="4"/>
  <c r="N72" i="4" s="1"/>
  <c r="C31" i="7" s="1"/>
  <c r="H73" i="4"/>
  <c r="A32" i="7"/>
  <c r="L74" i="4"/>
  <c r="P41" i="5"/>
  <c r="R41" i="5"/>
  <c r="Q41" i="5"/>
  <c r="O43" i="5"/>
  <c r="N42" i="5"/>
  <c r="K73" i="4" l="1"/>
  <c r="N73" i="4" s="1"/>
  <c r="C32" i="7" s="1"/>
  <c r="O73" i="4"/>
  <c r="D32" i="7" s="1"/>
  <c r="M73" i="4"/>
  <c r="B32" i="7" s="1"/>
  <c r="L75" i="4"/>
  <c r="A33" i="7"/>
  <c r="H74" i="4"/>
  <c r="O44" i="5"/>
  <c r="N43" i="5"/>
  <c r="Q42" i="5"/>
  <c r="P42" i="5"/>
  <c r="R42" i="5"/>
  <c r="H75" i="4" l="1"/>
  <c r="L76" i="4"/>
  <c r="A34" i="7"/>
  <c r="O74" i="4"/>
  <c r="D33" i="7" s="1"/>
  <c r="K74" i="4"/>
  <c r="N74" i="4" s="1"/>
  <c r="C33" i="7" s="1"/>
  <c r="M74" i="4"/>
  <c r="B33" i="7" s="1"/>
  <c r="P43" i="5"/>
  <c r="R43" i="5"/>
  <c r="Q43" i="5"/>
  <c r="O45" i="5"/>
  <c r="N44" i="5"/>
  <c r="H76" i="4" l="1"/>
  <c r="L77" i="4"/>
  <c r="A35" i="7"/>
  <c r="K75" i="4"/>
  <c r="N75" i="4" s="1"/>
  <c r="C34" i="7" s="1"/>
  <c r="M75" i="4"/>
  <c r="B34" i="7" s="1"/>
  <c r="O75" i="4"/>
  <c r="D34" i="7" s="1"/>
  <c r="O46" i="5"/>
  <c r="N46" i="5" s="1"/>
  <c r="N45" i="5"/>
  <c r="Q44" i="5"/>
  <c r="P44" i="5"/>
  <c r="R44" i="5"/>
  <c r="K76" i="4" l="1"/>
  <c r="N76" i="4" s="1"/>
  <c r="C35" i="7" s="1"/>
  <c r="M76" i="4"/>
  <c r="B35" i="7" s="1"/>
  <c r="O76" i="4"/>
  <c r="D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K77" i="4"/>
  <c r="N77" i="4" s="1"/>
  <c r="C36" i="7" s="1"/>
  <c r="O77" i="4"/>
  <c r="D36" i="7" s="1"/>
  <c r="M77" i="4"/>
  <c r="B36" i="7" s="1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A39" i="7"/>
  <c r="L81" i="4"/>
  <c r="H80" i="4"/>
  <c r="M80" i="4" l="1"/>
  <c r="B39" i="7" s="1"/>
  <c r="K80" i="4"/>
  <c r="N80" i="4" s="1"/>
  <c r="C39" i="7" s="1"/>
  <c r="O80" i="4"/>
  <c r="D39" i="7" s="1"/>
  <c r="H81" i="4"/>
  <c r="L82" i="4"/>
  <c r="A40" i="7"/>
  <c r="M81" i="4" l="1"/>
  <c r="B40" i="7" s="1"/>
  <c r="O81" i="4"/>
  <c r="D40" i="7" s="1"/>
  <c r="K81" i="4"/>
  <c r="N81" i="4" s="1"/>
  <c r="C40" i="7" s="1"/>
  <c r="H82" i="4"/>
  <c r="L83" i="4"/>
  <c r="O82" i="4" l="1"/>
  <c r="M82" i="4"/>
  <c r="K82" i="4"/>
  <c r="N82" i="4" s="1"/>
  <c r="H83" i="4"/>
  <c r="L84" i="4"/>
  <c r="O83" i="4" l="1"/>
  <c r="M83" i="4"/>
  <c r="K83" i="4"/>
  <c r="N83" i="4" s="1"/>
  <c r="L85" i="4"/>
  <c r="H84" i="4"/>
  <c r="H85" i="4" l="1"/>
  <c r="L86" i="4"/>
  <c r="L87" i="4" s="1"/>
  <c r="O84" i="4"/>
  <c r="M84" i="4"/>
  <c r="K84" i="4"/>
  <c r="N84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<sst xmlns="http://schemas.openxmlformats.org/spreadsheetml/2006/main" count="2321" uniqueCount="764">
  <si>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</si>
  <si>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</si>
  <si>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</si>
  <si>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</si>
  <si>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</si>
  <si>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</si>
  <si>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</si>
  <si>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</si>
  <si>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</si>
  <si>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</si>
  <si>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</si>
  <si>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</si>
  <si>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</si>
  <si>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</si>
  <si>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</si>
  <si>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</si>
  <si>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</si>
  <si>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</si>
  <si>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</si>
  <si>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</si>
  <si>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</si>
  <si>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</si>
  <si>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</si>
  <si>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</si>
  <si>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</si>
  <si>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</si>
  <si>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</si>
  <si>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</si>
  <si>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</si>
  <si>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</si>
  <si>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</si>
  <si>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</si>
  <si>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</si>
  <si>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</si>
  <si>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</si>
  <si>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</si>
  <si>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</si>
  <si>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</si>
  <si>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</si>
  <si>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</si>
  <si>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</si>
  <si>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</si>
  <si>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</si>
  <si>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</si>
  <si>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</si>
  <si>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</si>
  <si>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</si>
  <si>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</si>
  <si>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</si>
  <si>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</si>
  <si>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</si>
  <si>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</si>
  <si>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</si>
  <si>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</si>
  <si>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</si>
  <si>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</si>
  <si>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</si>
  <si>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</si>
  <si>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</si>
  <si>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</si>
  <si>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</si>
  <si>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</si>
  <si>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</si>
  <si>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</si>
  <si>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</si>
  <si>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</si>
  <si>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</si>
  <si>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</si>
  <si>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</si>
  <si>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</si>
  <si>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</si>
  <si>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</si>
  <si>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</si>
  <si>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</si>
  <si>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</si>
  <si>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</si>
  <si>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</si>
  <si>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</si>
  <si>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</si>
  <si>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</si>
  <si>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</si>
  <si>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</si>
  <si>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</si>
  <si>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</si>
  <si>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</si>
  <si>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</si>
  <si>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</si>
  <si>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</si>
  <si>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</si>
  <si>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</si>
  <si>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</si>
  <si>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</si>
  <si>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</si>
  <si>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</si>
  <si>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</si>
  <si>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</si>
  <si>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</si>
  <si>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</si>
  <si>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</si>
  <si>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</si>
  <si>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</si>
  <si>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</si>
  <si>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</si>
  <si>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</si>
  <si>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</si>
  <si>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</si>
  <si>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</si>
  <si>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</si>
  <si>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</si>
  <si>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</si>
  <si>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</si>
  <si>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</si>
  <si>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</si>
  <si>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</si>
  <si>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</si>
  <si>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</si>
  <si>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</si>
  <si>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</si>
  <si>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</si>
  <si>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</si>
  <si>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</si>
  <si>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</si>
  <si>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</si>
  <si>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</si>
  <si>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</si>
  <si>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</si>
  <si>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</si>
  <si>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</si>
  <si>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</si>
  <si>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</si>
  <si>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</si>
  <si>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</si>
  <si>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</si>
  <si>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</si>
  <si>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</si>
  <si>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</si>
  <si>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</si>
  <si>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</si>
  <si>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</si>
  <si>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</si>
  <si>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</si>
  <si>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</si>
  <si>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</si>
  <si>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</si>
  <si>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</si>
  <si>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</si>
  <si>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</si>
  <si>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</si>
  <si>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</si>
  <si>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</si>
  <si>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Lestrelle J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</si>
  <si>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</si>
  <si>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</si>
  <si>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</si>
  <si>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</si>
  <si>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</si>
  <si>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</si>
  <si>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</si>
  <si>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</si>
  <si>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</si>
  <si>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</si>
  <si>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</si>
  <si>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</si>
  <si>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</si>
  <si>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</si>
  <si>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</si>
  <si>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</si>
  <si>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</si>
  <si>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</si>
  <si>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</si>
  <si>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</si>
  <si>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</si>
  <si>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</si>
  <si>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</si>
  <si>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</si>
  <si>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</si>
  <si>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</si>
  <si>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</si>
  <si>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</si>
  <si>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</si>
  <si>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</si>
  <si>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</si>
  <si>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</si>
  <si>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</si>
  <si>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</si>
  <si>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</si>
  <si>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</si>
  <si>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</si>
  <si>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</si>
  <si>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</si>
  <si>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</si>
  <si>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</si>
  <si>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</si>
  <si>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</si>
  <si>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</si>
  <si>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</si>
  <si>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</si>
  <si>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</si>
  <si>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TOCC Runs</t>
  </si>
  <si>
    <t>Opp Runs</t>
  </si>
  <si>
    <t>TOCC Wkts</t>
  </si>
  <si>
    <t>Opp Wkts</t>
  </si>
  <si>
    <t>Pos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</si>
  <si>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</si>
  <si>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</si>
  <si>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</si>
  <si>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</si>
  <si>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</si>
  <si>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</si>
  <si>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</si>
  <si>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</si>
  <si>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</si>
  <si>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</si>
  <si>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</si>
  <si>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</si>
  <si>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</si>
  <si>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</si>
  <si>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</si>
  <si>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</si>
  <si>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</si>
  <si>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</si>
  <si>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</si>
  <si>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</si>
  <si>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</si>
  <si>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</si>
  <si>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</si>
  <si>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</si>
  <si>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</si>
  <si>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</si>
  <si>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</si>
  <si>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</si>
  <si>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</si>
  <si>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</si>
  <si>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</si>
  <si>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H</t>
  </si>
  <si>
    <t>Queries</t>
  </si>
  <si>
    <t>11/0/dnb*/0/0</t>
  </si>
  <si>
    <t>10/0/dnb*/0/0</t>
  </si>
  <si>
    <t>Churchleigh</t>
  </si>
  <si>
    <t>7/0/dnb/0/0</t>
  </si>
  <si>
    <t>9/0/dnb/0/0</t>
  </si>
  <si>
    <t>10/0/dnb/0/0</t>
  </si>
  <si>
    <t>11/0/dnb/0/0</t>
  </si>
  <si>
    <t>TOCC</t>
  </si>
  <si>
    <t>L</t>
  </si>
  <si>
    <t>Alex</t>
  </si>
  <si>
    <t>5/0/b/0/0</t>
  </si>
  <si>
    <t>Beddington</t>
  </si>
  <si>
    <t>W</t>
  </si>
  <si>
    <t>Vishwa</t>
  </si>
  <si>
    <t>Norwood Exiles</t>
  </si>
  <si>
    <t>4/0/lb/0/0</t>
  </si>
  <si>
    <t>Sanderstead</t>
  </si>
  <si>
    <t>3/0/19/0</t>
  </si>
  <si>
    <t>Middleton J</t>
  </si>
  <si>
    <t>N/O</t>
  </si>
  <si>
    <t>Davies R</t>
  </si>
  <si>
    <t>Ray</t>
  </si>
  <si>
    <t>8/0/dnb/0/0</t>
  </si>
  <si>
    <t>5/0/dnb/0/0</t>
  </si>
  <si>
    <t>6/0/dnb/0/0</t>
  </si>
  <si>
    <t>Robinson Lakeside</t>
  </si>
  <si>
    <t>John Fisher Lamgas</t>
  </si>
  <si>
    <t>Old Josephians</t>
  </si>
  <si>
    <t>Norwood</t>
  </si>
  <si>
    <t>4/0/21/0</t>
  </si>
  <si>
    <t>6/2/b/0/0</t>
  </si>
  <si>
    <t>7/1/b/0/0</t>
  </si>
  <si>
    <t>2/0/b/0/0</t>
  </si>
  <si>
    <t>3/0/c/0/0</t>
  </si>
  <si>
    <t>5/1/31/1</t>
  </si>
  <si>
    <t>8/0/no/0/0</t>
  </si>
  <si>
    <t>8/1/22/2</t>
  </si>
  <si>
    <t>2/1/c/0/0</t>
  </si>
  <si>
    <t>4/0/lb/1/0</t>
  </si>
  <si>
    <t>Mark</t>
  </si>
  <si>
    <t>Clarkson M</t>
  </si>
  <si>
    <t>7/11/b/0/2.0</t>
  </si>
  <si>
    <t>Wright P</t>
  </si>
  <si>
    <t>7/3/no/0/0</t>
  </si>
  <si>
    <t>2/0/3/1</t>
  </si>
  <si>
    <t>2/3/b/1/0</t>
  </si>
  <si>
    <t>5/0/c/0/0</t>
  </si>
  <si>
    <t>9/0/dnb/1/0</t>
  </si>
  <si>
    <t>4/2/b/0/0</t>
  </si>
  <si>
    <t>2/0/11/0</t>
  </si>
  <si>
    <t>8/3/c/0/0</t>
  </si>
  <si>
    <t>3/0/26/0</t>
  </si>
  <si>
    <t>2009 Season</t>
  </si>
  <si>
    <t>Aravin 65, Nair 3-23</t>
  </si>
  <si>
    <t>Middleton 66*</t>
  </si>
  <si>
    <t>1/1/c/0/0</t>
  </si>
  <si>
    <t>2/7/lb/0/1.0</t>
  </si>
  <si>
    <t>3/2/lb/0/0</t>
  </si>
  <si>
    <t>4/66/no/1/12.0</t>
  </si>
  <si>
    <t>5/18/no+/1.0/2.0</t>
  </si>
  <si>
    <t>Sundip</t>
  </si>
  <si>
    <t>Nair S</t>
  </si>
  <si>
    <t>9/0/dnb*/0/0</t>
  </si>
  <si>
    <t>5/0/23/2</t>
  </si>
  <si>
    <t>7/3/13/2</t>
  </si>
  <si>
    <t>8/1/23/3</t>
  </si>
  <si>
    <t>6/1/18/2</t>
  </si>
  <si>
    <t>2/0/7/1</t>
  </si>
  <si>
    <t>1/0/11/0</t>
  </si>
  <si>
    <t>*</t>
  </si>
  <si>
    <t>Nair 4-17, Clark 3-32</t>
  </si>
  <si>
    <t>Leadley 72</t>
  </si>
  <si>
    <t>1/72/st/1/11.1</t>
  </si>
  <si>
    <t>2/2/ro/1/0</t>
  </si>
  <si>
    <t>3/0/lb/0/0</t>
  </si>
  <si>
    <t>Donnelly</t>
  </si>
  <si>
    <t>5/3/ro/0/0</t>
  </si>
  <si>
    <t>6/8/b+/0/1.0</t>
  </si>
  <si>
    <t>7/0/c/0/0</t>
  </si>
  <si>
    <t>8/8/lb/0/1.0</t>
  </si>
  <si>
    <t>9/19/c/0/1.2</t>
  </si>
  <si>
    <t>10/4/no/0/1.0</t>
  </si>
  <si>
    <t>11/0/b*/1/0</t>
  </si>
  <si>
    <t>7/2/14/1</t>
  </si>
  <si>
    <t>7/2/17/4</t>
  </si>
  <si>
    <t>7/2/29/1</t>
  </si>
  <si>
    <t>6/0/29/0</t>
  </si>
  <si>
    <t>2/0/18/0</t>
  </si>
  <si>
    <t>5.5/0/32/3</t>
  </si>
  <si>
    <t>TOCC R/O</t>
  </si>
  <si>
    <t>Opp R/O</t>
  </si>
  <si>
    <t>1/0/17/0</t>
  </si>
  <si>
    <t>Mahmood</t>
  </si>
  <si>
    <t>J F Lamgas</t>
  </si>
  <si>
    <t>3/0/21/1</t>
  </si>
  <si>
    <t>Renford</t>
  </si>
  <si>
    <t>44.6.4 Leadley</t>
  </si>
  <si>
    <t>Leadley 80</t>
  </si>
  <si>
    <t>Brooks 63, Bowers 3-18</t>
  </si>
  <si>
    <t>1/80/b/0/10.1</t>
  </si>
  <si>
    <t>2/6/lb/1/1.0</t>
  </si>
  <si>
    <t>4/21/lb/0/4.0</t>
  </si>
  <si>
    <t>5/2/lb/0/0</t>
  </si>
  <si>
    <t>6/17/c/0/2.1</t>
  </si>
  <si>
    <t>7/2/b/0/0</t>
  </si>
  <si>
    <t>8/1/c+/1.0/0</t>
  </si>
  <si>
    <t>9/6/no/0/0</t>
  </si>
  <si>
    <t>10/3/no/0/0</t>
  </si>
  <si>
    <t>8/1/19/1</t>
  </si>
  <si>
    <t>3/0/22/0</t>
  </si>
  <si>
    <t>8/0/39/0</t>
  </si>
  <si>
    <t>3/0/30/0</t>
  </si>
  <si>
    <t>6/0/27/1</t>
  </si>
  <si>
    <t>5/1/18/3</t>
  </si>
  <si>
    <t>Sydenham</t>
  </si>
  <si>
    <t>Rahul 67, Bhalkar 58*,Vipul 50</t>
  </si>
  <si>
    <t>Worthington 39</t>
  </si>
  <si>
    <t>1/6/b/0/0</t>
  </si>
  <si>
    <t>3/39/c/0/5.0</t>
  </si>
  <si>
    <t>4/10/b+/0/0</t>
  </si>
  <si>
    <t>5/1/c/1/0</t>
  </si>
  <si>
    <t>6/11/no/0/1.0</t>
  </si>
  <si>
    <t>7/5/lb/0/1.0</t>
  </si>
  <si>
    <t>8/6/no/1/1.0</t>
  </si>
  <si>
    <t>8/1/50/1</t>
  </si>
  <si>
    <t>6/0/42/1</t>
  </si>
  <si>
    <t>7/4/11/1</t>
  </si>
  <si>
    <t>8/0/32/1</t>
  </si>
  <si>
    <t>5/0/39/0</t>
  </si>
  <si>
    <t>6/0/43/0</t>
  </si>
  <si>
    <t>Woolgar J 3-10</t>
  </si>
  <si>
    <t>Wilkinson L 50*</t>
  </si>
  <si>
    <t>1/14/b/0/3.0</t>
  </si>
  <si>
    <t>2/1/b/0/0</t>
  </si>
  <si>
    <t>3/10/b/0/1.0</t>
  </si>
  <si>
    <t>5/8/lb/0/0</t>
  </si>
  <si>
    <t>7/0/b/0/0</t>
  </si>
  <si>
    <t>8/0/b/0/0</t>
  </si>
  <si>
    <t>9/18/no/1/3.0</t>
  </si>
  <si>
    <t>10/11/b/0/1.0</t>
  </si>
  <si>
    <t>11/0/c*/0/0</t>
  </si>
  <si>
    <t>4/10/c+/0/1.0</t>
  </si>
  <si>
    <t>8/4/12/0</t>
  </si>
  <si>
    <t>4/0/20/1</t>
  </si>
  <si>
    <t>7/1/17/0</t>
  </si>
  <si>
    <t>5/0/32/0</t>
  </si>
  <si>
    <t>2.4/1/13/0</t>
  </si>
  <si>
    <t>1/0/6/0</t>
  </si>
  <si>
    <t>Woodgreen</t>
  </si>
  <si>
    <t>Woodhouse 45</t>
  </si>
  <si>
    <t>Richards 71</t>
  </si>
  <si>
    <t>1/45/c/0/7.1</t>
  </si>
  <si>
    <t>2/15/b/0/2.0</t>
  </si>
  <si>
    <t>3/9/ro/0/0</t>
  </si>
  <si>
    <t>4/7/ro+/0/1.0</t>
  </si>
  <si>
    <t>5/20/b*/1/1.2</t>
  </si>
  <si>
    <t>6/16/b/0/1.1</t>
  </si>
  <si>
    <t>7/10/b/1/1.0</t>
  </si>
  <si>
    <t>9/8/st/0/1.0</t>
  </si>
  <si>
    <t>10/8/b/0/1.0</t>
  </si>
  <si>
    <t>11/1/no*/0/0</t>
  </si>
  <si>
    <t>5/0/36/1</t>
  </si>
  <si>
    <t>Naish</t>
  </si>
  <si>
    <t>5/1/17/1</t>
  </si>
  <si>
    <t>6/2/39/0</t>
  </si>
  <si>
    <t>5/0/34/0</t>
  </si>
  <si>
    <t>5/0/27/0</t>
  </si>
  <si>
    <t>4/0/13/2</t>
  </si>
  <si>
    <t>2/0/21/0</t>
  </si>
  <si>
    <t>Steeple Langford</t>
  </si>
  <si>
    <t>Emm 52</t>
  </si>
  <si>
    <t>Gibbs A 66*</t>
  </si>
  <si>
    <t>Gibbs A</t>
  </si>
  <si>
    <t>1/66/no/1/9.0</t>
  </si>
  <si>
    <t>3/30/c+/0/6.0</t>
  </si>
  <si>
    <t>4/38/c/1/8.0</t>
  </si>
  <si>
    <t>5/17/no/0/2.0</t>
  </si>
  <si>
    <t>7/0/dnb*/0/0</t>
  </si>
  <si>
    <t>Graham</t>
  </si>
  <si>
    <t>2/0/22/0</t>
  </si>
  <si>
    <t>Hill</t>
  </si>
  <si>
    <t>.44144</t>
  </si>
  <si>
    <t>8/2/22/1</t>
  </si>
  <si>
    <t>8/4/4/2</t>
  </si>
  <si>
    <t>4/0/23/0</t>
  </si>
  <si>
    <t>7/1/31/2</t>
  </si>
  <si>
    <t>5/0/52/1</t>
  </si>
  <si>
    <t>5/0/24/2</t>
  </si>
  <si>
    <t>3/0/16/0</t>
  </si>
  <si>
    <t>Lovell A</t>
  </si>
  <si>
    <t>Bawbridge 58*, Sharpe 3-30</t>
  </si>
  <si>
    <t>Sajjid 4-13</t>
  </si>
  <si>
    <t>1/31/b/0/4.0</t>
  </si>
  <si>
    <t>2/13/b/0/1.0</t>
  </si>
  <si>
    <t>3/13/b/0/2.0</t>
  </si>
  <si>
    <t>4/4/b+/0.1/1.0</t>
  </si>
  <si>
    <t>5/12/b/0/2.0</t>
  </si>
  <si>
    <t>6/4/c/0/0</t>
  </si>
  <si>
    <t>8/5/b/0/1.0</t>
  </si>
  <si>
    <t>9/11/lb/0/2.0</t>
  </si>
  <si>
    <t>7/3/lb/1/0</t>
  </si>
  <si>
    <t>10/1/b/0/0</t>
  </si>
  <si>
    <t>11/3/no*/0/0</t>
  </si>
  <si>
    <t>8/0/30/3</t>
  </si>
  <si>
    <t>8/0/25/2</t>
  </si>
  <si>
    <t>10/0/40/2</t>
  </si>
  <si>
    <t>8/0/28/1</t>
  </si>
  <si>
    <t>4/0/16/0</t>
  </si>
  <si>
    <t>Nair 5-17</t>
  </si>
  <si>
    <t>Mukesh 6-30</t>
  </si>
  <si>
    <t>1/1/c/1/0</t>
  </si>
  <si>
    <t>2/20/b/0/2.0</t>
  </si>
  <si>
    <t>3/8/b/0/1.0</t>
  </si>
  <si>
    <t>4/6/b+/2.0/1.0</t>
  </si>
  <si>
    <t>5/16/c/0/1.1</t>
  </si>
  <si>
    <t>6/1/b/0/0</t>
  </si>
  <si>
    <t>7/10/b/0/1.0</t>
  </si>
  <si>
    <t>8/9/c/0/1.0</t>
  </si>
  <si>
    <t>9/0/b/0/0</t>
  </si>
  <si>
    <t>10/8/no/0/1.0</t>
  </si>
  <si>
    <t>11/0/b*/0/0</t>
  </si>
  <si>
    <t>7.2/0/48/0</t>
  </si>
  <si>
    <t>8/1/17/5</t>
  </si>
  <si>
    <t>7/2/35/0</t>
  </si>
  <si>
    <t>8/2/22/2</t>
  </si>
  <si>
    <t>5/0/24/1</t>
  </si>
  <si>
    <t>Lemon 96, Clark 4-42</t>
  </si>
  <si>
    <t>1/1/b/1/0</t>
  </si>
  <si>
    <t>2/6/c/1/1.0</t>
  </si>
  <si>
    <t>4/6/c/1/0.1</t>
  </si>
  <si>
    <t>5/10/lb/0/2.0</t>
  </si>
  <si>
    <t>6/23/b/1/3.0</t>
  </si>
  <si>
    <t>7/4/b/0/1.0</t>
  </si>
  <si>
    <t>3/9/c+/0/1.0</t>
  </si>
  <si>
    <t>8/0/lb/1/0</t>
  </si>
  <si>
    <t>9/4/no/0/0</t>
  </si>
  <si>
    <t>10/13/b/1/3.0</t>
  </si>
  <si>
    <t>11/0/no*/1/0</t>
  </si>
  <si>
    <t>6/1/31/1</t>
  </si>
  <si>
    <t>6/0/32/0</t>
  </si>
  <si>
    <t>15/2/51/3</t>
  </si>
  <si>
    <t>6/0/46/0</t>
  </si>
  <si>
    <t>10/2/42/4</t>
  </si>
  <si>
    <t>2/0/28/0</t>
  </si>
  <si>
    <t>2/0/28/2</t>
  </si>
  <si>
    <t>LESSA</t>
  </si>
  <si>
    <t>Bowers 3-4</t>
  </si>
  <si>
    <t>Leadley 72*</t>
  </si>
  <si>
    <t>1/72/no/1/14.0</t>
  </si>
  <si>
    <t>2/1/c/1/0</t>
  </si>
  <si>
    <t>4/12/no+/0/1.1</t>
  </si>
  <si>
    <t>6/0/dnb/1/0</t>
  </si>
  <si>
    <t>8/0/dnb/2/0</t>
  </si>
  <si>
    <t>11/0/dnb*/1/0</t>
  </si>
  <si>
    <t>6/1/19/2</t>
  </si>
  <si>
    <t>6/0/18/0</t>
  </si>
  <si>
    <t>8/2/8/1</t>
  </si>
  <si>
    <t>6/0/29/2</t>
  </si>
  <si>
    <t>3.1/1/4/3</t>
  </si>
  <si>
    <t>Unbtn</t>
  </si>
  <si>
    <t>Bat1</t>
  </si>
  <si>
    <t>Sc1</t>
  </si>
  <si>
    <t>NO</t>
  </si>
  <si>
    <t>Bat2</t>
  </si>
  <si>
    <t>Sc2</t>
  </si>
  <si>
    <t>Catford Cyphers</t>
  </si>
  <si>
    <t>Nair 4-10</t>
  </si>
  <si>
    <t>Cooper 35</t>
  </si>
  <si>
    <t>1/35/no/0/5.0</t>
  </si>
  <si>
    <t>2/2/c/0/0</t>
  </si>
  <si>
    <t>3/1/c/0/0</t>
  </si>
  <si>
    <t>4/22/no/0/3.0</t>
  </si>
  <si>
    <t>6/0/dnb+/0/0</t>
  </si>
  <si>
    <t>8/0/dnb/1/0</t>
  </si>
  <si>
    <t>10/0/dnb/1/0</t>
  </si>
  <si>
    <t>3/9/lb+/0/2.0</t>
  </si>
  <si>
    <t>4/0/12/1</t>
  </si>
  <si>
    <t>1/0/5/0</t>
  </si>
  <si>
    <t>4/1/10/4</t>
  </si>
  <si>
    <t>3/0/6/1</t>
  </si>
  <si>
    <t>3/0/16/1</t>
  </si>
  <si>
    <t>3/2/3/0</t>
  </si>
  <si>
    <t>2.5/0/7/2</t>
  </si>
  <si>
    <t>Pine 72, Pandja 55*</t>
  </si>
  <si>
    <t>Greyling 39</t>
  </si>
  <si>
    <t>3/39/c+/0.1/7.0</t>
  </si>
  <si>
    <t>4/0/b/0/0</t>
  </si>
  <si>
    <t>5/14/b/0/2.0</t>
  </si>
  <si>
    <t>6/0/c/0/0</t>
  </si>
  <si>
    <t>7/1/lb/0/0</t>
  </si>
  <si>
    <t>8/2/b/1/0</t>
  </si>
  <si>
    <t>9/2/lb/1/0</t>
  </si>
  <si>
    <t>10/24/no/0/4.0</t>
  </si>
  <si>
    <t>11/0/no*/0/0</t>
  </si>
  <si>
    <t>8/3/45/2</t>
  </si>
  <si>
    <t>9/6/8/1</t>
  </si>
  <si>
    <t>11/3/52/1</t>
  </si>
  <si>
    <t>6/1/28/1</t>
  </si>
  <si>
    <t>2/0/13/0</t>
  </si>
  <si>
    <t>Cocker 73</t>
  </si>
  <si>
    <t>Worthington 36</t>
  </si>
  <si>
    <t>3/36/lb+/0/5.0</t>
  </si>
  <si>
    <t>1/4/c/2/0</t>
  </si>
  <si>
    <t>4/29/b/0/5.0</t>
  </si>
  <si>
    <t>5/9/b/1/1.0</t>
  </si>
  <si>
    <t>8/6/no/0/0</t>
  </si>
  <si>
    <t>10/0/32/2</t>
  </si>
  <si>
    <t>5/1/13/2</t>
  </si>
  <si>
    <t>12/2/39/3</t>
  </si>
  <si>
    <t>2/0/19/0</t>
  </si>
  <si>
    <t>9/1/55/0</t>
  </si>
  <si>
    <t>4/0/15/2</t>
  </si>
  <si>
    <t>Southern Railways</t>
  </si>
  <si>
    <t>Bulled 80</t>
  </si>
  <si>
    <t>Greyling 48, Manns 6-28</t>
  </si>
  <si>
    <t>1/8/c/0/1.0</t>
  </si>
  <si>
    <t>Rao A</t>
  </si>
  <si>
    <t>Anuvrat</t>
  </si>
  <si>
    <t>2/19/c/0/2.0</t>
  </si>
  <si>
    <t>3/14/c/0/3.0</t>
  </si>
  <si>
    <t>5/48/b+/0/9.0</t>
  </si>
  <si>
    <t>6/5/b/0/1.0</t>
  </si>
  <si>
    <t>7/13/b/0/2.0</t>
  </si>
  <si>
    <t>8/0/c/0/0</t>
  </si>
  <si>
    <t>9/1/b/0/0</t>
  </si>
  <si>
    <t>10/0/b/0/0</t>
  </si>
  <si>
    <t>11/2/no*/0/0</t>
  </si>
  <si>
    <t>8/2/23/2</t>
  </si>
  <si>
    <t>9/0/48/0</t>
  </si>
  <si>
    <t>13/3/41/0</t>
  </si>
  <si>
    <t>5/0/23/0</t>
  </si>
  <si>
    <t>4/0/24/1</t>
  </si>
  <si>
    <t>Ahmed 102, Nair 3-22</t>
  </si>
  <si>
    <t>Sharpe 70, Ahmed 4-8</t>
  </si>
  <si>
    <t>1/70/b/1/8.2</t>
  </si>
  <si>
    <t>3/14/c+/1.1/3.0</t>
  </si>
  <si>
    <t>4/9/b/0/1.0</t>
  </si>
  <si>
    <t>5/0/ro/0/0</t>
  </si>
  <si>
    <t>6/11/b/0/1.0</t>
  </si>
  <si>
    <t>2/15/b/1/1.0</t>
  </si>
  <si>
    <t>7/0/b/1/0</t>
  </si>
  <si>
    <t>Gareth</t>
  </si>
  <si>
    <t>Dickson G</t>
  </si>
  <si>
    <t>Walker G</t>
  </si>
  <si>
    <t>10/0/b*/0/0</t>
  </si>
  <si>
    <t>11/21/no/0/4.0</t>
  </si>
  <si>
    <t>7.2/2/22/3</t>
  </si>
  <si>
    <t>5/1/18/1</t>
  </si>
  <si>
    <t>7/0/39/1</t>
  </si>
  <si>
    <t>4/0/24/0</t>
  </si>
  <si>
    <t>1/0/16/0</t>
  </si>
  <si>
    <t>1/4/b/0/1.0</t>
  </si>
  <si>
    <t>2/0/17/0</t>
  </si>
  <si>
    <t>Bromley Town</t>
  </si>
  <si>
    <t>Armenakis 83*</t>
  </si>
  <si>
    <t>1/5/lb/0/1.0</t>
  </si>
  <si>
    <t>2/6/c/1/0</t>
  </si>
  <si>
    <t>3/0/c/1/0</t>
  </si>
  <si>
    <t>5/4/ro/0/0</t>
  </si>
  <si>
    <t>6/12/c/1/1.1</t>
  </si>
  <si>
    <t>7/8/c/0/1.0</t>
  </si>
  <si>
    <t>8/2/b/0/0</t>
  </si>
  <si>
    <t>9/10/c/0/1.0</t>
  </si>
  <si>
    <t>Edghill R</t>
  </si>
  <si>
    <t>10/3/c/0/0</t>
  </si>
  <si>
    <t>8/1/40/0</t>
  </si>
  <si>
    <t>8/1/24/2</t>
  </si>
  <si>
    <t>5/0/20/2</t>
  </si>
  <si>
    <t>8/2/24/2</t>
  </si>
  <si>
    <t>7/1/28/1</t>
  </si>
  <si>
    <t>4/0/28/0</t>
  </si>
  <si>
    <t>Bowers 3-39</t>
  </si>
  <si>
    <t>Angus 4-25</t>
  </si>
  <si>
    <t>31 of Trinity's 64 total came from extras. No basman scored more than 7</t>
  </si>
  <si>
    <t>1/6/b/1/0</t>
  </si>
  <si>
    <t>4/1/b/0/0</t>
  </si>
  <si>
    <t>5/7/st+/2.1/1.0</t>
  </si>
  <si>
    <t>6/4/b/0/1.0</t>
  </si>
  <si>
    <t>Childs S</t>
  </si>
  <si>
    <t>Steve</t>
  </si>
  <si>
    <t>9/4/st/0/1.0</t>
  </si>
  <si>
    <t>10/5/b/0/0</t>
  </si>
  <si>
    <t>3/4/c/1/1.0</t>
  </si>
  <si>
    <t>8/2/12/1</t>
  </si>
  <si>
    <t>7/2/11/0</t>
  </si>
  <si>
    <t>7/0/26/0</t>
  </si>
  <si>
    <t>11/3/31/2</t>
  </si>
  <si>
    <t>7/0/39/3</t>
  </si>
  <si>
    <t>2/0/12/1</t>
  </si>
  <si>
    <t>Weybridge Vandals</t>
  </si>
  <si>
    <t>Fenton 101*, Nair 5-52</t>
  </si>
  <si>
    <t>Sharpe 87</t>
  </si>
  <si>
    <t>1/5/c/0/0</t>
  </si>
  <si>
    <t>2/9/c/1/2.0</t>
  </si>
  <si>
    <t>3/0/b/0/0</t>
  </si>
  <si>
    <t>4/87/b+/2.0/12.5</t>
  </si>
  <si>
    <t>6/14/c/0/2.1</t>
  </si>
  <si>
    <t>7/12/b/0/2.0</t>
  </si>
  <si>
    <t>9/2/b/0/0</t>
  </si>
  <si>
    <t>10/6/st/0/1.0</t>
  </si>
  <si>
    <t>11/8/no*/0/1.0</t>
  </si>
  <si>
    <t>14.2/4/52/5</t>
  </si>
  <si>
    <t>6/0/26/1</t>
  </si>
  <si>
    <t>7/0/37/1</t>
  </si>
  <si>
    <t>4/0/34/0</t>
  </si>
  <si>
    <t>7/0/44/1</t>
  </si>
  <si>
    <t>Wilson 57</t>
  </si>
  <si>
    <t>1/1/b/0/0</t>
  </si>
  <si>
    <t>2/6/c/0/1.0</t>
  </si>
  <si>
    <t>3/27/c/0/1.0</t>
  </si>
  <si>
    <t>4/13/b+/0/3.0</t>
  </si>
  <si>
    <t>5/27/c/2/3.0</t>
  </si>
  <si>
    <t>7/0/lb/1/0</t>
  </si>
  <si>
    <t>8/16/lb/0/3.0</t>
  </si>
  <si>
    <t>9/9/no/0/1.0</t>
  </si>
  <si>
    <t>11/4/no*/0/0</t>
  </si>
  <si>
    <t>6/12/b/0/2.0</t>
  </si>
  <si>
    <t>11/2/32/2</t>
  </si>
  <si>
    <t>6/2/15/1</t>
  </si>
  <si>
    <t>8/4/34/2</t>
  </si>
  <si>
    <t>7/1/19/1</t>
  </si>
  <si>
    <t>7/1/18/2</t>
  </si>
  <si>
    <t>1/5/b/0/0</t>
  </si>
  <si>
    <t>2/3/c/0/0</t>
  </si>
  <si>
    <t>3/3/b/0/0</t>
  </si>
  <si>
    <t>4/5/b/0/0</t>
  </si>
  <si>
    <t>6/7/b+/0/0</t>
  </si>
  <si>
    <t>9/0/lb/1/0</t>
  </si>
  <si>
    <t>10/1/c/0/0</t>
  </si>
  <si>
    <t>11/12/b*/0/3.0</t>
  </si>
  <si>
    <t>5/1/12/0</t>
  </si>
  <si>
    <t>5/0/16/1</t>
  </si>
  <si>
    <t>0.5/0/6/0</t>
  </si>
  <si>
    <t>Rao 76*, Middleton 61</t>
  </si>
  <si>
    <t>Seymour 3-38</t>
  </si>
  <si>
    <t>1/32/b/0/6.0</t>
  </si>
  <si>
    <t>3/76/no/0/10.0</t>
  </si>
  <si>
    <t>4/61/lb/0/5.3</t>
  </si>
  <si>
    <t>6/2/no+/1.0/0</t>
  </si>
  <si>
    <t>6.1/0/27/2</t>
  </si>
  <si>
    <t>8/0/43/2</t>
  </si>
  <si>
    <t>8/1/26/1</t>
  </si>
  <si>
    <t>8/1/38/3</t>
  </si>
  <si>
    <t>5/0/33/2</t>
  </si>
  <si>
    <t>2/0/8/0</t>
  </si>
  <si>
    <t>Ex-Blues</t>
  </si>
  <si>
    <t>Gambie 50, Seymour 3-25</t>
  </si>
  <si>
    <t>Rao A 52</t>
  </si>
  <si>
    <t>1/43/c/0/7.2</t>
  </si>
  <si>
    <t>2/52/c/0/12.0</t>
  </si>
  <si>
    <t>3/34/c+/0/7.0</t>
  </si>
  <si>
    <t>4/35/b/1/3.3</t>
  </si>
  <si>
    <t>6/38/no/0/4.2</t>
  </si>
  <si>
    <t>7/5/no/1/1.0</t>
  </si>
  <si>
    <t>Hefferman</t>
  </si>
  <si>
    <t>7/0/30/0</t>
  </si>
  <si>
    <t>3/0/27/1</t>
  </si>
  <si>
    <t>7/0/25/3</t>
  </si>
  <si>
    <t>7/0/43/2</t>
  </si>
  <si>
    <t>5/0/41/2</t>
  </si>
  <si>
    <t>0.3/0/6/1</t>
  </si>
  <si>
    <t>Coloe A 2-1-18*-19</t>
  </si>
  <si>
    <t>Dickson G 4-0-14-38</t>
  </si>
  <si>
    <t>Wright P 1-0-6-6</t>
  </si>
  <si>
    <t>Lestrelle J 1-0-6-6</t>
  </si>
  <si>
    <t>Childs S 3-0-12-16</t>
  </si>
  <si>
    <t>de Souza C 3-1-6*-8</t>
  </si>
  <si>
    <t>Edghill R 2-0-3-4</t>
  </si>
  <si>
    <t>Edghill D 2-0-4-4</t>
  </si>
  <si>
    <t>Donnelly 1-0-2-2</t>
  </si>
  <si>
    <t>Gibbs A 1-1-66*-66</t>
  </si>
  <si>
    <t>Highest Score</t>
  </si>
  <si>
    <t>x</t>
  </si>
  <si>
    <t>66*|Gibbs A|Steeple Langford|25-May</t>
  </si>
  <si>
    <t>72|Leadley J|Norwood|03-May</t>
  </si>
  <si>
    <t>80|Leadley J|Robinson Lakeside|10-May</t>
  </si>
  <si>
    <t>72*|Leadley J|LESSA|21-Jun</t>
  </si>
  <si>
    <t>66*|Middleton J|John Fisher Lamgas|26-Apr</t>
  </si>
  <si>
    <t>61|Middleton J|Churchleigh|06-Sep</t>
  </si>
  <si>
    <t>76*|Rao A|Churchleigh|06-Sep</t>
  </si>
  <si>
    <t>52|Rao A|Ex-Blues|19-Sep</t>
  </si>
  <si>
    <t>70|Sharpe D|Norwood|26-Jul</t>
  </si>
  <si>
    <t>87|Sharpe D|Weybridge Vandals|16-Aug</t>
  </si>
  <si>
    <t>11/1/no/0/0</t>
  </si>
  <si>
    <t>Fifties</t>
  </si>
  <si>
    <t>76*</t>
  </si>
  <si>
    <t>72*</t>
  </si>
  <si>
    <t>66*</t>
  </si>
  <si>
    <t>again</t>
  </si>
  <si>
    <t>10(2)</t>
  </si>
  <si>
    <t>8</t>
  </si>
  <si>
    <t>5(3)</t>
  </si>
  <si>
    <t>5</t>
  </si>
  <si>
    <t>4</t>
  </si>
  <si>
    <t>4(2)</t>
  </si>
  <si>
    <t>3(1)</t>
  </si>
  <si>
    <t>2(1)</t>
  </si>
  <si>
    <t>2</t>
  </si>
  <si>
    <t>1</t>
  </si>
  <si>
    <t>Res</t>
  </si>
  <si>
    <t>Row Labels</t>
  </si>
  <si>
    <t>Grand Total</t>
  </si>
  <si>
    <t>Column Labels</t>
  </si>
  <si>
    <t>Count of Res</t>
  </si>
  <si>
    <t>Count of Name</t>
  </si>
  <si>
    <t>Pct</t>
  </si>
  <si>
    <t>name</t>
  </si>
  <si>
    <t>mdn %</t>
  </si>
  <si>
    <t>5-17</t>
  </si>
  <si>
    <t>2-13</t>
  </si>
  <si>
    <t>4-42</t>
  </si>
  <si>
    <t>3-25</t>
  </si>
  <si>
    <t>3-39</t>
  </si>
  <si>
    <t>3-4</t>
  </si>
  <si>
    <t>2-24</t>
  </si>
  <si>
    <t>1-6</t>
  </si>
  <si>
    <t>2-20</t>
  </si>
  <si>
    <t>2-41</t>
  </si>
  <si>
    <t>1-16</t>
  </si>
  <si>
    <t>2-33</t>
  </si>
  <si>
    <t>3-30</t>
  </si>
  <si>
    <t>1-44</t>
  </si>
  <si>
    <t>2-43</t>
  </si>
  <si>
    <t>1-52</t>
  </si>
  <si>
    <t>0-16</t>
  </si>
  <si>
    <t>0-26</t>
  </si>
  <si>
    <t>0-5</t>
  </si>
  <si>
    <t>times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</si>
</sst>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2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0" fontId="0" fillId="0" borderId="0" xfId="0" applyFon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18" fillId="0" borderId="2" xfId="0" applyFont="1" applyBorder="1" applyAlignment="1">
      <alignment horizontal="left" vertical="top"/>
    </xf>
    <xf numFmtId="2" fontId="15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10" fillId="0" borderId="0" xfId="0" applyNumberFormat="1" applyFont="1">
      <alignment vertical="top"/>
    </xf>
    <xf numFmtId="0" fontId="15" fillId="0" borderId="0" xfId="0" applyNumberFormat="1" applyFont="1" applyAlignment="1">
      <alignment horizontal="center" vertical="top"/>
    </xf>
    <xf numFmtId="0" fontId="10" fillId="0" borderId="0" xfId="0" applyNumberFormat="1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15" fillId="0" borderId="0" xfId="0" applyFont="1" applyAlignment="1">
      <alignment horizontal="left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0" fillId="0" borderId="0" xfId="0" applyNumberFormat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9" fontId="0" fillId="0" borderId="0" xfId="1" applyFont="1" applyAlignment="1">
      <alignment vertical="top"/>
    </xf>
  </cellXfs>
  <cellStyles count="2">
    <cellStyle name="Normal" xfId="0" builtinId="0"/>
    <cellStyle name="Percent" xfId="1" builtinId="5"/>
  </cellStyles>
  <dxfs count="7"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261.926205555559" createdVersion="3" refreshedVersion="3" minRefreshableVersion="3" recordCount="23">
  <cacheSource type="worksheet">
    <worksheetSource ref="X40:Y63" sheet="Sheet2"/>
  </cacheSource>
  <cacheFields count="2">
    <cacheField name="Res" numFmtId="0">
      <sharedItems count="3">
        <s v="W"/>
        <s v="L"/>
        <s v="D"/>
      </sharedItems>
    </cacheField>
    <cacheField name="Capt" numFmtId="0">
      <sharedItems count="3">
        <s v="Clark C"/>
        <s v="Sharpe D"/>
        <s v="Lestrelle 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ke" refreshedDate="40261.92827152778" createdVersion="3" refreshedVersion="3" minRefreshableVersion="3" recordCount="24">
  <cacheSource type="worksheet">
    <worksheetSource ref="O1:O25" sheet="Partnerships"/>
  </cacheSource>
  <cacheFields count="1">
    <cacheField name="Name" numFmtId="0">
      <sharedItems count="10">
        <s v="Middleton J"/>
        <s v="Sharpe D"/>
        <s v="Clarkson M"/>
        <s v="Coloe A"/>
        <s v="Worthington R"/>
        <s v="Rao A"/>
        <s v="Greyling R"/>
        <s v="Johnson A"/>
        <s v="Gibbs A"/>
        <s v="Leadley J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</r>
  <r>
    <x v="1"/>
    <x v="0"/>
  </r>
  <r>
    <x v="1"/>
    <x v="0"/>
  </r>
  <r>
    <x v="1"/>
    <x v="0"/>
  </r>
  <r>
    <x v="1"/>
    <x v="0"/>
  </r>
  <r>
    <x v="1"/>
    <x v="1"/>
  </r>
  <r>
    <x v="0"/>
    <x v="2"/>
  </r>
  <r>
    <x v="1"/>
    <x v="0"/>
  </r>
  <r>
    <x v="1"/>
    <x v="0"/>
  </r>
  <r>
    <x v="1"/>
    <x v="0"/>
  </r>
  <r>
    <x v="0"/>
    <x v="0"/>
  </r>
  <r>
    <x v="0"/>
    <x v="0"/>
  </r>
  <r>
    <x v="2"/>
    <x v="0"/>
  </r>
  <r>
    <x v="2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1"/>
    <x v="0"/>
  </r>
  <r>
    <x v="0"/>
    <x v="0"/>
  </r>
  <r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">
  <r>
    <x v="0"/>
  </r>
  <r>
    <x v="1"/>
  </r>
  <r>
    <x v="2"/>
  </r>
  <r>
    <x v="3"/>
  </r>
  <r>
    <x v="4"/>
  </r>
  <r>
    <x v="5"/>
  </r>
  <r>
    <x v="6"/>
  </r>
  <r>
    <x v="4"/>
  </r>
  <r>
    <x v="7"/>
  </r>
  <r>
    <x v="5"/>
  </r>
  <r>
    <x v="0"/>
  </r>
  <r>
    <x v="2"/>
  </r>
  <r>
    <x v="5"/>
  </r>
  <r>
    <x v="8"/>
  </r>
  <r>
    <x v="9"/>
  </r>
  <r>
    <x v="0"/>
  </r>
  <r>
    <x v="5"/>
  </r>
  <r>
    <x v="9"/>
  </r>
  <r>
    <x v="8"/>
  </r>
  <r>
    <x v="9"/>
  </r>
  <r>
    <x v="9"/>
  </r>
  <r>
    <x v="9"/>
  </r>
  <r>
    <x v="4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3" firstHeaderRow="1" firstDataRow="1" firstDataCol="1"/>
  <pivotFields count="1">
    <pivotField axis="axisRow" dataField="1" showAll="0">
      <items count="11">
        <item x="2"/>
        <item x="3"/>
        <item x="8"/>
        <item x="6"/>
        <item x="7"/>
        <item x="9"/>
        <item x="0"/>
        <item x="5"/>
        <item x="1"/>
        <item x="4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A42:AE47" firstHeaderRow="1" firstDataRow="2" firstDataCol="1"/>
  <pivotFields count="2">
    <pivotField axis="axisCol" dataField="1" showAll="0">
      <items count="4">
        <item x="2"/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9" sqref="A9:XFD11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3" s="22" customFormat="1" ht="12.75" x14ac:dyDescent="0.15">
      <c r="A1" s="103" t="s">
        <v>288</v>
      </c>
      <c r="B1" s="29"/>
      <c r="C1" s="39" t="str">
        <f t="array" ref="C1">"Won:"&amp;SUM(IF($E$5:$E$67="W",1,0))</f>
        <v>Won:7</v>
      </c>
      <c r="D1" s="102" t="str">
        <f t="array" ref="D1">"N/D:"&amp;SUM(IF($E$5:$E$67="ND",1,0))</f>
        <v>N/D:0</v>
      </c>
      <c r="E1" s="30"/>
      <c r="F1" s="30"/>
      <c r="H1" s="64"/>
      <c r="J1" s="9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Lost:14</v>
      </c>
      <c r="D2" s="65" t="str">
        <f t="array" ref="D2">"Tied:"&amp;SUM(IF($E$5:$E$67="T",1,0))</f>
        <v>Tied:0</v>
      </c>
      <c r="E2" s="42"/>
      <c r="F2" s="42"/>
      <c r="G2" s="63"/>
      <c r="H2" s="65"/>
      <c r="J2" s="99"/>
      <c r="K2" s="40"/>
      <c r="L2" s="42"/>
      <c r="M2" s="42"/>
      <c r="N2" s="43" t="s">
        <v>220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207</v>
      </c>
      <c r="AA2" s="45">
        <f>MAX(AA5:AA59)</f>
        <v>223</v>
      </c>
      <c r="AB2" s="45">
        <f>MAX(AB5:AB59)</f>
        <v>246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95"/>
      <c r="K3" s="40"/>
      <c r="L3" s="42"/>
      <c r="M3" s="42"/>
      <c r="N3" s="43" t="s">
        <v>221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208</v>
      </c>
      <c r="AA3" s="45">
        <f t="array" ref="AA3">MIN(IF(AA5:AA59=0,99999,AA5:AA59))</f>
        <v>64</v>
      </c>
      <c r="AB3" s="45">
        <f t="array" ref="AB3">MIN(IF(AB5:AB59&lt;=0,99999,AB5:AB59))</f>
        <v>66</v>
      </c>
      <c r="AF3" s="45">
        <f>SUM(AF5:AF59)</f>
        <v>5</v>
      </c>
      <c r="AG3" s="45">
        <f>SUM(AG5:AG59)</f>
        <v>11</v>
      </c>
    </row>
    <row r="4" spans="1:33" s="46" customFormat="1" ht="32.25" thickBot="1" x14ac:dyDescent="0.2">
      <c r="A4" s="111" t="s">
        <v>129</v>
      </c>
      <c r="B4" s="112" t="s">
        <v>0</v>
      </c>
      <c r="C4" s="113" t="s">
        <v>1</v>
      </c>
      <c r="D4" s="111" t="s">
        <v>2</v>
      </c>
      <c r="E4" s="111" t="s">
        <v>3</v>
      </c>
      <c r="F4" s="111" t="s">
        <v>159</v>
      </c>
      <c r="G4" s="113" t="s">
        <v>9</v>
      </c>
      <c r="H4" s="111" t="s">
        <v>37</v>
      </c>
      <c r="I4" s="111" t="s">
        <v>107</v>
      </c>
      <c r="J4" s="114"/>
      <c r="K4" s="113" t="s">
        <v>9</v>
      </c>
      <c r="L4" s="111" t="s">
        <v>37</v>
      </c>
      <c r="M4" s="111" t="s">
        <v>107</v>
      </c>
      <c r="N4" s="113"/>
      <c r="O4" s="113" t="s">
        <v>184</v>
      </c>
      <c r="P4" s="113" t="s">
        <v>185</v>
      </c>
      <c r="Q4" s="113" t="s">
        <v>109</v>
      </c>
      <c r="R4" s="115" t="s">
        <v>110</v>
      </c>
      <c r="S4" s="115" t="s">
        <v>111</v>
      </c>
      <c r="T4" s="115" t="s">
        <v>112</v>
      </c>
      <c r="U4" s="115" t="s">
        <v>113</v>
      </c>
      <c r="V4" s="115" t="s">
        <v>114</v>
      </c>
      <c r="W4" s="115" t="s">
        <v>115</v>
      </c>
      <c r="X4" s="115" t="s">
        <v>116</v>
      </c>
      <c r="Y4" s="115" t="s">
        <v>119</v>
      </c>
      <c r="Z4" s="115" t="s">
        <v>120</v>
      </c>
      <c r="AA4" s="116" t="s">
        <v>198</v>
      </c>
      <c r="AB4" s="116" t="s">
        <v>199</v>
      </c>
      <c r="AC4" s="116" t="s">
        <v>200</v>
      </c>
      <c r="AD4" s="116" t="s">
        <v>201</v>
      </c>
      <c r="AE4" s="46" t="s">
        <v>235</v>
      </c>
      <c r="AF4" s="46" t="s">
        <v>325</v>
      </c>
      <c r="AG4" s="46" t="s">
        <v>326</v>
      </c>
    </row>
    <row r="5" spans="1:33" s="22" customFormat="1" x14ac:dyDescent="0.15">
      <c r="A5" s="117" t="str">
        <f t="shared" ref="A5:A59" si="0">TEXT(WEEKDAY(B5),"ddd")</f>
        <v>Sun</v>
      </c>
      <c r="B5" s="118">
        <v>39929</v>
      </c>
      <c r="C5" s="119" t="s">
        <v>262</v>
      </c>
      <c r="D5" s="120" t="s">
        <v>215</v>
      </c>
      <c r="E5" s="120" t="s">
        <v>248</v>
      </c>
      <c r="F5" s="120" t="s">
        <v>1</v>
      </c>
      <c r="G5" s="121">
        <v>106</v>
      </c>
      <c r="H5" s="120">
        <v>10</v>
      </c>
      <c r="I5" s="120"/>
      <c r="J5" s="122" t="s">
        <v>289</v>
      </c>
      <c r="K5" s="121">
        <v>108</v>
      </c>
      <c r="L5" s="120">
        <v>3</v>
      </c>
      <c r="M5" s="120"/>
      <c r="N5" s="119" t="s">
        <v>290</v>
      </c>
      <c r="O5" s="123">
        <v>29.5</v>
      </c>
      <c r="P5" s="123">
        <v>29</v>
      </c>
      <c r="Q5" s="124">
        <v>0</v>
      </c>
      <c r="R5" s="124">
        <v>0</v>
      </c>
      <c r="S5" s="124">
        <v>9</v>
      </c>
      <c r="T5" s="124">
        <v>2</v>
      </c>
      <c r="U5" s="124">
        <v>3</v>
      </c>
      <c r="V5" s="124">
        <v>2</v>
      </c>
      <c r="W5" s="124">
        <v>6</v>
      </c>
      <c r="X5" s="124">
        <v>3</v>
      </c>
      <c r="Y5" s="124">
        <f t="shared" ref="Y5:Y20" si="1">SUM(Q5:T5)</f>
        <v>11</v>
      </c>
      <c r="Z5" s="124">
        <f t="shared" ref="Z5:Z20" si="2">SUM(U5:X5)</f>
        <v>14</v>
      </c>
      <c r="AA5" s="124">
        <f t="shared" ref="AA5:AA20" si="3">IF(F5="TOCC",G5,K5)</f>
        <v>108</v>
      </c>
      <c r="AB5" s="124">
        <f t="shared" ref="AB5:AB20" si="4">IF(F5&lt;&gt;"TOCC",G5,K5)</f>
        <v>106</v>
      </c>
      <c r="AC5" s="124">
        <f t="shared" ref="AC5:AC20" si="5">IF(F5="TOCC",H5,L5)</f>
        <v>3</v>
      </c>
      <c r="AD5" s="124">
        <f t="shared" ref="AD5:AD20" si="6">IF(F5&lt;&gt;"TOCC",H5,L5)</f>
        <v>10</v>
      </c>
      <c r="AF5" s="22">
        <v>0</v>
      </c>
      <c r="AG5" s="22">
        <v>0</v>
      </c>
    </row>
    <row r="6" spans="1:33" s="51" customFormat="1" x14ac:dyDescent="0.15">
      <c r="A6" s="117" t="str">
        <f>TEXT(WEEKDAY(B6),"ddd")</f>
        <v>Sun</v>
      </c>
      <c r="B6" s="118">
        <v>39936</v>
      </c>
      <c r="C6" s="119" t="s">
        <v>264</v>
      </c>
      <c r="D6" s="120" t="s">
        <v>215</v>
      </c>
      <c r="E6" s="120" t="s">
        <v>244</v>
      </c>
      <c r="F6" s="120" t="s">
        <v>1</v>
      </c>
      <c r="G6" s="121">
        <v>174</v>
      </c>
      <c r="H6" s="120">
        <v>10</v>
      </c>
      <c r="I6" s="120"/>
      <c r="J6" s="122" t="s">
        <v>306</v>
      </c>
      <c r="K6" s="121">
        <v>137</v>
      </c>
      <c r="L6" s="120">
        <v>10</v>
      </c>
      <c r="M6" s="120"/>
      <c r="N6" s="119" t="s">
        <v>307</v>
      </c>
      <c r="O6" s="123">
        <v>31.4</v>
      </c>
      <c r="P6" s="123">
        <v>34.5</v>
      </c>
      <c r="Q6" s="124"/>
      <c r="R6" s="124"/>
      <c r="S6" s="124"/>
      <c r="T6" s="124"/>
      <c r="U6" s="124">
        <v>8</v>
      </c>
      <c r="V6" s="124">
        <v>5</v>
      </c>
      <c r="W6" s="124">
        <v>4</v>
      </c>
      <c r="X6" s="124">
        <v>2</v>
      </c>
      <c r="Y6" s="124">
        <v>52</v>
      </c>
      <c r="Z6" s="124">
        <f t="shared" si="2"/>
        <v>19</v>
      </c>
      <c r="AA6" s="124">
        <f t="shared" si="3"/>
        <v>137</v>
      </c>
      <c r="AB6" s="124">
        <f t="shared" si="4"/>
        <v>174</v>
      </c>
      <c r="AC6" s="124">
        <f t="shared" si="5"/>
        <v>10</v>
      </c>
      <c r="AD6" s="124">
        <f t="shared" si="6"/>
        <v>10</v>
      </c>
      <c r="AE6" s="22"/>
      <c r="AF6" s="51">
        <v>2</v>
      </c>
      <c r="AG6" s="51">
        <v>1</v>
      </c>
    </row>
    <row r="7" spans="1:33" s="45" customFormat="1" x14ac:dyDescent="0.15">
      <c r="A7" s="117" t="str">
        <f t="shared" si="0"/>
        <v>Sun</v>
      </c>
      <c r="B7" s="118">
        <v>39943</v>
      </c>
      <c r="C7" s="119" t="s">
        <v>261</v>
      </c>
      <c r="D7" s="120" t="s">
        <v>234</v>
      </c>
      <c r="E7" s="120" t="s">
        <v>244</v>
      </c>
      <c r="F7" s="120" t="s">
        <v>243</v>
      </c>
      <c r="G7" s="121">
        <v>161</v>
      </c>
      <c r="H7" s="120">
        <v>8</v>
      </c>
      <c r="I7" s="120"/>
      <c r="J7" s="122" t="s">
        <v>333</v>
      </c>
      <c r="K7" s="121">
        <v>164</v>
      </c>
      <c r="L7" s="120">
        <v>5</v>
      </c>
      <c r="M7" s="120"/>
      <c r="N7" s="119" t="s">
        <v>334</v>
      </c>
      <c r="O7" s="123">
        <v>40</v>
      </c>
      <c r="P7" s="123">
        <v>33</v>
      </c>
      <c r="Q7" s="124">
        <v>0</v>
      </c>
      <c r="R7" s="124">
        <v>0</v>
      </c>
      <c r="S7" s="124">
        <v>6</v>
      </c>
      <c r="T7" s="124">
        <v>3</v>
      </c>
      <c r="U7" s="124">
        <v>7</v>
      </c>
      <c r="V7" s="124">
        <v>1</v>
      </c>
      <c r="W7" s="124">
        <v>13</v>
      </c>
      <c r="X7" s="124">
        <v>2</v>
      </c>
      <c r="Y7" s="124">
        <f t="shared" si="1"/>
        <v>9</v>
      </c>
      <c r="Z7" s="124">
        <f t="shared" si="2"/>
        <v>23</v>
      </c>
      <c r="AA7" s="124">
        <f t="shared" si="3"/>
        <v>161</v>
      </c>
      <c r="AB7" s="124">
        <f t="shared" si="4"/>
        <v>164</v>
      </c>
      <c r="AC7" s="124">
        <f t="shared" si="5"/>
        <v>8</v>
      </c>
      <c r="AD7" s="124">
        <f t="shared" si="6"/>
        <v>5</v>
      </c>
      <c r="AF7" s="45">
        <v>0</v>
      </c>
      <c r="AG7" s="45">
        <v>0</v>
      </c>
    </row>
    <row r="8" spans="1:33" s="51" customFormat="1" x14ac:dyDescent="0.15">
      <c r="A8" s="117" t="str">
        <f t="shared" si="0"/>
        <v>Sun</v>
      </c>
      <c r="B8" s="118">
        <v>39950</v>
      </c>
      <c r="C8" s="119" t="s">
        <v>350</v>
      </c>
      <c r="D8" s="120" t="s">
        <v>234</v>
      </c>
      <c r="E8" s="120" t="s">
        <v>244</v>
      </c>
      <c r="F8" s="120" t="s">
        <v>1</v>
      </c>
      <c r="G8" s="121">
        <v>225</v>
      </c>
      <c r="H8" s="120">
        <v>6</v>
      </c>
      <c r="I8" s="120"/>
      <c r="J8" s="144" t="s">
        <v>351</v>
      </c>
      <c r="K8" s="121">
        <v>104</v>
      </c>
      <c r="L8" s="120">
        <v>6</v>
      </c>
      <c r="M8" s="120"/>
      <c r="N8" s="119" t="s">
        <v>352</v>
      </c>
      <c r="O8" s="123">
        <v>40</v>
      </c>
      <c r="P8" s="123">
        <v>40</v>
      </c>
      <c r="Q8" s="124">
        <v>3</v>
      </c>
      <c r="R8" s="124">
        <v>1</v>
      </c>
      <c r="S8" s="124">
        <v>3</v>
      </c>
      <c r="T8" s="124">
        <v>1</v>
      </c>
      <c r="U8" s="124">
        <v>16</v>
      </c>
      <c r="V8" s="124">
        <v>3</v>
      </c>
      <c r="W8" s="124">
        <v>5</v>
      </c>
      <c r="X8" s="124">
        <v>1</v>
      </c>
      <c r="Y8" s="124">
        <f t="shared" si="1"/>
        <v>8</v>
      </c>
      <c r="Z8" s="124">
        <f t="shared" si="2"/>
        <v>25</v>
      </c>
      <c r="AA8" s="124">
        <f t="shared" si="3"/>
        <v>104</v>
      </c>
      <c r="AB8" s="124">
        <f t="shared" si="4"/>
        <v>225</v>
      </c>
      <c r="AC8" s="124">
        <f t="shared" si="5"/>
        <v>6</v>
      </c>
      <c r="AD8" s="124">
        <f t="shared" si="6"/>
        <v>6</v>
      </c>
      <c r="AF8" s="51">
        <v>0</v>
      </c>
      <c r="AG8" s="51">
        <v>0</v>
      </c>
    </row>
    <row r="9" spans="1:33" s="45" customFormat="1" x14ac:dyDescent="0.15">
      <c r="A9" s="117" t="str">
        <f t="shared" si="0"/>
        <v>Sat</v>
      </c>
      <c r="B9" s="118">
        <v>39956</v>
      </c>
      <c r="C9" s="119" t="s">
        <v>238</v>
      </c>
      <c r="D9" s="120" t="s">
        <v>215</v>
      </c>
      <c r="E9" s="120" t="s">
        <v>244</v>
      </c>
      <c r="F9" s="120" t="s">
        <v>243</v>
      </c>
      <c r="G9" s="121">
        <v>104</v>
      </c>
      <c r="H9" s="120">
        <v>10</v>
      </c>
      <c r="I9" s="120"/>
      <c r="J9" s="122" t="s">
        <v>366</v>
      </c>
      <c r="K9" s="121">
        <v>105</v>
      </c>
      <c r="L9" s="120">
        <v>1</v>
      </c>
      <c r="M9" s="120"/>
      <c r="N9" s="119" t="s">
        <v>367</v>
      </c>
      <c r="O9" s="123">
        <v>32.299999999999997</v>
      </c>
      <c r="P9" s="123">
        <v>27.4</v>
      </c>
      <c r="Q9" s="124">
        <v>3</v>
      </c>
      <c r="R9" s="124">
        <v>1</v>
      </c>
      <c r="S9" s="124">
        <v>1</v>
      </c>
      <c r="T9" s="124">
        <v>2</v>
      </c>
      <c r="U9" s="124">
        <v>25</v>
      </c>
      <c r="V9" s="124">
        <v>3</v>
      </c>
      <c r="W9" s="124">
        <v>2</v>
      </c>
      <c r="X9" s="124">
        <v>0</v>
      </c>
      <c r="Y9" s="124">
        <f t="shared" si="1"/>
        <v>7</v>
      </c>
      <c r="Z9" s="124">
        <f t="shared" si="2"/>
        <v>30</v>
      </c>
      <c r="AA9" s="124">
        <f t="shared" si="3"/>
        <v>104</v>
      </c>
      <c r="AB9" s="124">
        <f t="shared" si="4"/>
        <v>105</v>
      </c>
      <c r="AC9" s="124">
        <f t="shared" si="5"/>
        <v>10</v>
      </c>
      <c r="AD9" s="124">
        <f t="shared" si="6"/>
        <v>1</v>
      </c>
      <c r="AF9" s="45">
        <v>0</v>
      </c>
      <c r="AG9" s="45">
        <v>0</v>
      </c>
    </row>
    <row r="10" spans="1:33" x14ac:dyDescent="0.15">
      <c r="A10" s="117" t="str">
        <f t="shared" si="0"/>
        <v>Sun</v>
      </c>
      <c r="B10" s="118">
        <v>39957</v>
      </c>
      <c r="C10" s="119" t="s">
        <v>384</v>
      </c>
      <c r="D10" s="120" t="s">
        <v>215</v>
      </c>
      <c r="E10" s="120" t="s">
        <v>244</v>
      </c>
      <c r="F10" s="120" t="s">
        <v>243</v>
      </c>
      <c r="G10" s="121">
        <v>155</v>
      </c>
      <c r="H10" s="120">
        <v>10</v>
      </c>
      <c r="I10" s="120"/>
      <c r="J10" s="122" t="s">
        <v>385</v>
      </c>
      <c r="K10" s="121">
        <v>158</v>
      </c>
      <c r="L10" s="120">
        <v>4</v>
      </c>
      <c r="M10" s="120"/>
      <c r="N10" s="119" t="s">
        <v>386</v>
      </c>
      <c r="O10" s="123">
        <v>34</v>
      </c>
      <c r="P10" s="123">
        <v>27</v>
      </c>
      <c r="Q10" s="124">
        <v>5</v>
      </c>
      <c r="R10" s="124">
        <v>0</v>
      </c>
      <c r="S10" s="124">
        <v>5</v>
      </c>
      <c r="T10" s="124">
        <v>2</v>
      </c>
      <c r="U10" s="124">
        <v>9</v>
      </c>
      <c r="V10" s="124">
        <v>0</v>
      </c>
      <c r="W10" s="124">
        <v>6</v>
      </c>
      <c r="X10" s="124">
        <v>1</v>
      </c>
      <c r="Y10" s="124">
        <f t="shared" si="1"/>
        <v>12</v>
      </c>
      <c r="Z10" s="124">
        <f t="shared" si="2"/>
        <v>16</v>
      </c>
      <c r="AA10" s="124">
        <f t="shared" si="3"/>
        <v>155</v>
      </c>
      <c r="AB10" s="124">
        <f t="shared" si="4"/>
        <v>158</v>
      </c>
      <c r="AC10" s="124">
        <f t="shared" si="5"/>
        <v>10</v>
      </c>
      <c r="AD10" s="124">
        <f t="shared" si="6"/>
        <v>4</v>
      </c>
      <c r="AF10" s="26">
        <v>2</v>
      </c>
      <c r="AG10" s="26">
        <v>1</v>
      </c>
    </row>
    <row r="11" spans="1:33" x14ac:dyDescent="0.15">
      <c r="A11" s="117" t="str">
        <f t="shared" si="0"/>
        <v>Mon</v>
      </c>
      <c r="B11" s="118">
        <v>39958</v>
      </c>
      <c r="C11" s="119" t="s">
        <v>405</v>
      </c>
      <c r="D11" s="120" t="s">
        <v>215</v>
      </c>
      <c r="E11" s="120" t="s">
        <v>248</v>
      </c>
      <c r="F11" s="120" t="s">
        <v>1</v>
      </c>
      <c r="G11" s="121">
        <v>183</v>
      </c>
      <c r="H11" s="120">
        <v>9</v>
      </c>
      <c r="I11" s="120"/>
      <c r="J11" s="122" t="s">
        <v>406</v>
      </c>
      <c r="K11" s="121">
        <v>186</v>
      </c>
      <c r="L11" s="120">
        <v>3</v>
      </c>
      <c r="M11" s="120"/>
      <c r="N11" s="119" t="s">
        <v>407</v>
      </c>
      <c r="O11" s="123">
        <v>31.3</v>
      </c>
      <c r="P11" s="123">
        <v>40</v>
      </c>
      <c r="Q11" s="124">
        <v>22</v>
      </c>
      <c r="R11" s="124">
        <v>2</v>
      </c>
      <c r="S11" s="124">
        <v>7</v>
      </c>
      <c r="T11" s="124">
        <v>4</v>
      </c>
      <c r="U11" s="124">
        <v>12</v>
      </c>
      <c r="V11" s="124">
        <v>3</v>
      </c>
      <c r="W11" s="124">
        <v>9</v>
      </c>
      <c r="X11" s="124">
        <v>11</v>
      </c>
      <c r="Y11" s="124">
        <f t="shared" si="1"/>
        <v>35</v>
      </c>
      <c r="Z11" s="124">
        <f t="shared" si="2"/>
        <v>35</v>
      </c>
      <c r="AA11" s="124">
        <f t="shared" si="3"/>
        <v>186</v>
      </c>
      <c r="AB11" s="124">
        <f t="shared" si="4"/>
        <v>183</v>
      </c>
      <c r="AC11" s="124">
        <f t="shared" si="5"/>
        <v>3</v>
      </c>
      <c r="AD11" s="124">
        <f t="shared" si="6"/>
        <v>9</v>
      </c>
      <c r="AF11" s="26">
        <v>0</v>
      </c>
      <c r="AG11" s="26">
        <v>1</v>
      </c>
    </row>
    <row r="12" spans="1:33" x14ac:dyDescent="0.15">
      <c r="A12" s="117" t="str">
        <f t="shared" si="0"/>
        <v>Sun</v>
      </c>
      <c r="B12" s="118">
        <v>39964</v>
      </c>
      <c r="C12" s="119" t="s">
        <v>247</v>
      </c>
      <c r="D12" s="120" t="s">
        <v>215</v>
      </c>
      <c r="E12" s="120" t="s">
        <v>244</v>
      </c>
      <c r="F12" s="120" t="s">
        <v>1</v>
      </c>
      <c r="G12" s="121">
        <v>170</v>
      </c>
      <c r="H12" s="120">
        <v>9</v>
      </c>
      <c r="I12" s="120"/>
      <c r="J12" s="122" t="s">
        <v>426</v>
      </c>
      <c r="K12" s="121">
        <v>106</v>
      </c>
      <c r="L12" s="120">
        <v>10</v>
      </c>
      <c r="M12" s="120"/>
      <c r="N12" s="122" t="s">
        <v>427</v>
      </c>
      <c r="O12" s="123">
        <v>31.2</v>
      </c>
      <c r="P12" s="123">
        <v>43</v>
      </c>
      <c r="Q12" s="124">
        <v>13</v>
      </c>
      <c r="R12" s="124">
        <v>1</v>
      </c>
      <c r="S12" s="124">
        <v>0</v>
      </c>
      <c r="T12" s="124">
        <v>0</v>
      </c>
      <c r="U12" s="124">
        <v>2</v>
      </c>
      <c r="V12" s="124">
        <v>0</v>
      </c>
      <c r="W12" s="124">
        <v>1</v>
      </c>
      <c r="X12" s="124">
        <v>3</v>
      </c>
      <c r="Y12" s="124">
        <f t="shared" si="1"/>
        <v>14</v>
      </c>
      <c r="Z12" s="124">
        <f t="shared" si="2"/>
        <v>6</v>
      </c>
      <c r="AA12" s="124">
        <f t="shared" si="3"/>
        <v>106</v>
      </c>
      <c r="AB12" s="124">
        <f t="shared" si="4"/>
        <v>170</v>
      </c>
      <c r="AC12" s="124">
        <f t="shared" si="5"/>
        <v>10</v>
      </c>
      <c r="AD12" s="124">
        <f t="shared" si="6"/>
        <v>9</v>
      </c>
      <c r="AF12" s="26">
        <v>0</v>
      </c>
      <c r="AG12" s="26">
        <v>0</v>
      </c>
    </row>
    <row r="13" spans="1:33" x14ac:dyDescent="0.15">
      <c r="A13" s="117" t="str">
        <f t="shared" si="0"/>
        <v>Sun</v>
      </c>
      <c r="B13" s="118">
        <v>39971</v>
      </c>
      <c r="C13" s="119" t="s">
        <v>249</v>
      </c>
      <c r="D13" s="120" t="s">
        <v>234</v>
      </c>
      <c r="E13" s="120" t="s">
        <v>244</v>
      </c>
      <c r="F13" s="120" t="s">
        <v>1</v>
      </c>
      <c r="G13" s="121">
        <v>161</v>
      </c>
      <c r="H13" s="120">
        <v>10</v>
      </c>
      <c r="I13" s="120"/>
      <c r="J13" s="122" t="s">
        <v>444</v>
      </c>
      <c r="K13" s="121">
        <v>81</v>
      </c>
      <c r="L13" s="120">
        <v>10</v>
      </c>
      <c r="M13" s="120"/>
      <c r="N13" s="119" t="s">
        <v>445</v>
      </c>
      <c r="O13" s="123">
        <v>26.5</v>
      </c>
      <c r="P13" s="123">
        <v>38.200000000000003</v>
      </c>
      <c r="Q13" s="124">
        <v>1</v>
      </c>
      <c r="R13" s="124">
        <v>1</v>
      </c>
      <c r="S13" s="124">
        <v>0</v>
      </c>
      <c r="T13" s="124">
        <v>0</v>
      </c>
      <c r="U13" s="124">
        <v>7</v>
      </c>
      <c r="V13" s="124">
        <v>0</v>
      </c>
      <c r="W13" s="124">
        <v>0</v>
      </c>
      <c r="X13" s="124">
        <v>0</v>
      </c>
      <c r="Y13" s="124">
        <f t="shared" si="1"/>
        <v>2</v>
      </c>
      <c r="Z13" s="124">
        <f t="shared" si="2"/>
        <v>7</v>
      </c>
      <c r="AA13" s="124">
        <f t="shared" si="3"/>
        <v>81</v>
      </c>
      <c r="AB13" s="124">
        <f t="shared" si="4"/>
        <v>161</v>
      </c>
      <c r="AC13" s="124">
        <f t="shared" si="5"/>
        <v>10</v>
      </c>
      <c r="AD13" s="124">
        <f t="shared" si="6"/>
        <v>10</v>
      </c>
      <c r="AF13" s="26">
        <v>0</v>
      </c>
      <c r="AG13" s="26">
        <v>2</v>
      </c>
    </row>
    <row r="14" spans="1:33" x14ac:dyDescent="0.15">
      <c r="A14" s="117" t="str">
        <f t="shared" si="0"/>
        <v>Sun</v>
      </c>
      <c r="B14" s="118">
        <v>39978</v>
      </c>
      <c r="C14" s="119" t="s">
        <v>252</v>
      </c>
      <c r="D14" s="120" t="s">
        <v>215</v>
      </c>
      <c r="E14" s="120" t="s">
        <v>244</v>
      </c>
      <c r="F14" s="120" t="s">
        <v>1</v>
      </c>
      <c r="G14" s="121">
        <v>246</v>
      </c>
      <c r="H14" s="120">
        <v>8</v>
      </c>
      <c r="I14" s="120"/>
      <c r="J14" s="122" t="s">
        <v>462</v>
      </c>
      <c r="K14" s="121">
        <v>103</v>
      </c>
      <c r="L14" s="120">
        <v>9</v>
      </c>
      <c r="M14" s="120"/>
      <c r="N14" s="119"/>
      <c r="O14" s="123">
        <v>44</v>
      </c>
      <c r="P14" s="123">
        <v>45</v>
      </c>
      <c r="Q14" s="124">
        <v>6</v>
      </c>
      <c r="R14" s="124">
        <v>0</v>
      </c>
      <c r="S14" s="124">
        <v>9</v>
      </c>
      <c r="T14" s="124">
        <v>1</v>
      </c>
      <c r="U14" s="124">
        <v>16</v>
      </c>
      <c r="V14" s="124">
        <v>4</v>
      </c>
      <c r="W14" s="124">
        <v>7</v>
      </c>
      <c r="X14" s="124">
        <v>0</v>
      </c>
      <c r="Y14" s="124">
        <f t="shared" si="1"/>
        <v>16</v>
      </c>
      <c r="Z14" s="124">
        <f t="shared" si="2"/>
        <v>27</v>
      </c>
      <c r="AA14" s="124">
        <f t="shared" si="3"/>
        <v>103</v>
      </c>
      <c r="AB14" s="124">
        <f t="shared" si="4"/>
        <v>246</v>
      </c>
      <c r="AC14" s="124">
        <f t="shared" si="5"/>
        <v>9</v>
      </c>
      <c r="AD14" s="124">
        <f t="shared" si="6"/>
        <v>8</v>
      </c>
      <c r="AF14" s="26">
        <v>0</v>
      </c>
      <c r="AG14" s="26">
        <v>0</v>
      </c>
    </row>
    <row r="15" spans="1:33" x14ac:dyDescent="0.15">
      <c r="A15" s="117" t="str">
        <f t="shared" si="0"/>
        <v>Sun</v>
      </c>
      <c r="B15" s="118">
        <v>39985</v>
      </c>
      <c r="C15" s="119" t="s">
        <v>481</v>
      </c>
      <c r="D15" s="120" t="s">
        <v>215</v>
      </c>
      <c r="E15" s="120" t="s">
        <v>248</v>
      </c>
      <c r="F15" s="120" t="s">
        <v>1</v>
      </c>
      <c r="G15" s="121">
        <v>94</v>
      </c>
      <c r="H15" s="120">
        <v>9</v>
      </c>
      <c r="I15" s="120"/>
      <c r="J15" s="122" t="s">
        <v>482</v>
      </c>
      <c r="K15" s="121">
        <v>96</v>
      </c>
      <c r="L15" s="120">
        <v>2</v>
      </c>
      <c r="M15" s="120"/>
      <c r="N15" s="119" t="s">
        <v>483</v>
      </c>
      <c r="O15" s="123">
        <v>19</v>
      </c>
      <c r="P15" s="123">
        <v>31.1</v>
      </c>
      <c r="Q15" s="124">
        <v>5</v>
      </c>
      <c r="R15" s="124">
        <v>1</v>
      </c>
      <c r="S15" s="124">
        <v>6</v>
      </c>
      <c r="T15" s="124">
        <v>2</v>
      </c>
      <c r="U15" s="124">
        <v>1</v>
      </c>
      <c r="V15" s="124">
        <v>1</v>
      </c>
      <c r="W15" s="124">
        <v>0</v>
      </c>
      <c r="X15" s="124">
        <v>0</v>
      </c>
      <c r="Y15" s="124">
        <f t="shared" si="1"/>
        <v>14</v>
      </c>
      <c r="Z15" s="124">
        <f t="shared" si="2"/>
        <v>2</v>
      </c>
      <c r="AA15" s="124">
        <f t="shared" si="3"/>
        <v>96</v>
      </c>
      <c r="AB15" s="124">
        <f t="shared" si="4"/>
        <v>94</v>
      </c>
      <c r="AC15" s="124">
        <f t="shared" si="5"/>
        <v>2</v>
      </c>
      <c r="AD15" s="124">
        <f t="shared" si="6"/>
        <v>9</v>
      </c>
      <c r="AE15" s="22"/>
      <c r="AF15" s="26">
        <v>0</v>
      </c>
      <c r="AG15" s="26">
        <v>0</v>
      </c>
    </row>
    <row r="16" spans="1:33" x14ac:dyDescent="0.15">
      <c r="A16" s="117" t="str">
        <f t="shared" si="0"/>
        <v>Sat</v>
      </c>
      <c r="B16" s="118">
        <v>39991</v>
      </c>
      <c r="C16" s="119" t="s">
        <v>501</v>
      </c>
      <c r="D16" s="120" t="s">
        <v>215</v>
      </c>
      <c r="E16" s="120" t="s">
        <v>248</v>
      </c>
      <c r="F16" s="120" t="s">
        <v>1</v>
      </c>
      <c r="G16" s="121">
        <v>69</v>
      </c>
      <c r="H16" s="120">
        <v>10</v>
      </c>
      <c r="I16" s="120"/>
      <c r="J16" s="122" t="s">
        <v>502</v>
      </c>
      <c r="K16" s="121">
        <v>70</v>
      </c>
      <c r="L16" s="120">
        <v>2</v>
      </c>
      <c r="M16" s="120"/>
      <c r="N16" s="119" t="s">
        <v>503</v>
      </c>
      <c r="O16" s="123">
        <v>17.2</v>
      </c>
      <c r="P16" s="123">
        <v>22.5</v>
      </c>
      <c r="Q16" s="124">
        <v>5</v>
      </c>
      <c r="R16" s="124">
        <v>3</v>
      </c>
      <c r="S16" s="124">
        <v>3</v>
      </c>
      <c r="T16" s="124">
        <v>1</v>
      </c>
      <c r="U16" s="124">
        <v>5</v>
      </c>
      <c r="V16" s="124">
        <v>1</v>
      </c>
      <c r="W16" s="124">
        <v>3</v>
      </c>
      <c r="X16" s="124">
        <v>1</v>
      </c>
      <c r="Y16" s="124">
        <f t="shared" si="1"/>
        <v>12</v>
      </c>
      <c r="Z16" s="124">
        <f t="shared" si="2"/>
        <v>10</v>
      </c>
      <c r="AA16" s="124">
        <f t="shared" si="3"/>
        <v>70</v>
      </c>
      <c r="AB16" s="124">
        <f t="shared" si="4"/>
        <v>69</v>
      </c>
      <c r="AC16" s="124">
        <f t="shared" si="5"/>
        <v>2</v>
      </c>
      <c r="AD16" s="124">
        <f t="shared" si="6"/>
        <v>10</v>
      </c>
      <c r="AF16" s="26">
        <v>0</v>
      </c>
      <c r="AG16" s="26">
        <v>0</v>
      </c>
    </row>
    <row r="17" spans="1:33" x14ac:dyDescent="0.15">
      <c r="A17" s="117" t="str">
        <f t="shared" si="0"/>
        <v>Sun</v>
      </c>
      <c r="B17" s="118">
        <v>39999</v>
      </c>
      <c r="C17" s="119" t="s">
        <v>250</v>
      </c>
      <c r="D17" s="120" t="s">
        <v>215</v>
      </c>
      <c r="E17" s="120" t="s">
        <v>216</v>
      </c>
      <c r="F17" s="120" t="s">
        <v>1</v>
      </c>
      <c r="G17" s="121">
        <v>198</v>
      </c>
      <c r="H17" s="120">
        <v>5</v>
      </c>
      <c r="I17" s="120"/>
      <c r="J17" s="122" t="s">
        <v>519</v>
      </c>
      <c r="K17" s="121">
        <v>115</v>
      </c>
      <c r="L17" s="120">
        <v>9</v>
      </c>
      <c r="M17" s="120"/>
      <c r="N17" s="119" t="s">
        <v>520</v>
      </c>
      <c r="O17" s="123">
        <v>40</v>
      </c>
      <c r="P17" s="123">
        <v>42</v>
      </c>
      <c r="Q17" s="124">
        <v>3</v>
      </c>
      <c r="R17" s="124">
        <v>0</v>
      </c>
      <c r="S17" s="124">
        <v>5</v>
      </c>
      <c r="T17" s="124">
        <v>4</v>
      </c>
      <c r="U17" s="124">
        <v>16</v>
      </c>
      <c r="V17" s="124">
        <v>2</v>
      </c>
      <c r="W17" s="124">
        <v>9</v>
      </c>
      <c r="X17" s="124">
        <v>0</v>
      </c>
      <c r="Y17" s="124">
        <f t="shared" si="1"/>
        <v>12</v>
      </c>
      <c r="Z17" s="124">
        <f t="shared" si="2"/>
        <v>27</v>
      </c>
      <c r="AA17" s="124">
        <f t="shared" si="3"/>
        <v>115</v>
      </c>
      <c r="AB17" s="124">
        <f t="shared" si="4"/>
        <v>198</v>
      </c>
      <c r="AC17" s="124">
        <f t="shared" si="5"/>
        <v>9</v>
      </c>
      <c r="AD17" s="124">
        <f t="shared" si="6"/>
        <v>5</v>
      </c>
      <c r="AF17" s="26">
        <v>0</v>
      </c>
      <c r="AG17" s="26">
        <v>0</v>
      </c>
    </row>
    <row r="18" spans="1:33" x14ac:dyDescent="0.15">
      <c r="A18" s="117" t="str">
        <f t="shared" si="0"/>
        <v>Sun</v>
      </c>
      <c r="B18" s="118">
        <v>40006</v>
      </c>
      <c r="C18" s="119" t="s">
        <v>263</v>
      </c>
      <c r="D18" s="120" t="s">
        <v>234</v>
      </c>
      <c r="E18" s="120" t="s">
        <v>216</v>
      </c>
      <c r="F18" s="120" t="s">
        <v>1</v>
      </c>
      <c r="G18" s="121">
        <v>179</v>
      </c>
      <c r="H18" s="120">
        <v>10</v>
      </c>
      <c r="I18" s="120"/>
      <c r="J18" s="122" t="s">
        <v>535</v>
      </c>
      <c r="K18" s="121">
        <v>116</v>
      </c>
      <c r="L18" s="120">
        <v>6</v>
      </c>
      <c r="M18" s="120"/>
      <c r="N18" s="119" t="s">
        <v>536</v>
      </c>
      <c r="O18" s="123">
        <v>41</v>
      </c>
      <c r="P18" s="123">
        <v>42</v>
      </c>
      <c r="Q18" s="124">
        <v>9</v>
      </c>
      <c r="R18" s="124">
        <v>4</v>
      </c>
      <c r="S18" s="124">
        <v>1</v>
      </c>
      <c r="T18" s="124">
        <v>0</v>
      </c>
      <c r="U18" s="124">
        <v>9</v>
      </c>
      <c r="V18" s="124">
        <v>7</v>
      </c>
      <c r="W18" s="124">
        <v>4</v>
      </c>
      <c r="X18" s="124">
        <v>2</v>
      </c>
      <c r="Y18" s="124">
        <f t="shared" si="1"/>
        <v>14</v>
      </c>
      <c r="Z18" s="124">
        <f t="shared" si="2"/>
        <v>22</v>
      </c>
      <c r="AA18" s="124">
        <f t="shared" si="3"/>
        <v>116</v>
      </c>
      <c r="AB18" s="124">
        <f t="shared" si="4"/>
        <v>179</v>
      </c>
      <c r="AC18" s="124">
        <f t="shared" si="5"/>
        <v>6</v>
      </c>
      <c r="AD18" s="124">
        <f t="shared" si="6"/>
        <v>10</v>
      </c>
      <c r="AF18" s="26">
        <v>0</v>
      </c>
      <c r="AG18" s="26">
        <v>1</v>
      </c>
    </row>
    <row r="19" spans="1:33" x14ac:dyDescent="0.15">
      <c r="A19" s="117" t="str">
        <f t="shared" si="0"/>
        <v>Sun</v>
      </c>
      <c r="B19" s="118">
        <v>40013</v>
      </c>
      <c r="C19" s="119" t="s">
        <v>548</v>
      </c>
      <c r="D19" s="120" t="s">
        <v>215</v>
      </c>
      <c r="E19" s="120" t="s">
        <v>244</v>
      </c>
      <c r="F19" s="120" t="s">
        <v>1</v>
      </c>
      <c r="G19" s="121">
        <v>225</v>
      </c>
      <c r="H19" s="120">
        <v>3</v>
      </c>
      <c r="I19" s="120"/>
      <c r="J19" s="122" t="s">
        <v>549</v>
      </c>
      <c r="K19" s="121">
        <v>130</v>
      </c>
      <c r="L19" s="120">
        <v>10</v>
      </c>
      <c r="M19" s="120"/>
      <c r="N19" s="119" t="s">
        <v>550</v>
      </c>
      <c r="O19" s="123">
        <v>40</v>
      </c>
      <c r="P19" s="123">
        <v>45</v>
      </c>
      <c r="Q19" s="124"/>
      <c r="R19" s="124"/>
      <c r="S19" s="124"/>
      <c r="T19" s="124"/>
      <c r="U19" s="124">
        <v>4</v>
      </c>
      <c r="V19" s="124">
        <v>4</v>
      </c>
      <c r="W19" s="124">
        <v>9</v>
      </c>
      <c r="X19" s="124">
        <v>2</v>
      </c>
      <c r="Y19" s="124">
        <v>23</v>
      </c>
      <c r="Z19" s="124">
        <f t="shared" si="2"/>
        <v>19</v>
      </c>
      <c r="AA19" s="124">
        <f t="shared" si="3"/>
        <v>130</v>
      </c>
      <c r="AB19" s="124">
        <f t="shared" si="4"/>
        <v>225</v>
      </c>
      <c r="AC19" s="124">
        <f t="shared" si="5"/>
        <v>10</v>
      </c>
      <c r="AD19" s="124">
        <f t="shared" si="6"/>
        <v>3</v>
      </c>
      <c r="AF19" s="26">
        <v>0</v>
      </c>
      <c r="AG19" s="26">
        <v>0</v>
      </c>
    </row>
    <row r="20" spans="1:33" x14ac:dyDescent="0.15">
      <c r="A20" s="117" t="str">
        <f t="shared" si="0"/>
        <v>Sun</v>
      </c>
      <c r="B20" s="118">
        <v>40020</v>
      </c>
      <c r="C20" s="119" t="s">
        <v>264</v>
      </c>
      <c r="D20" s="120" t="s">
        <v>234</v>
      </c>
      <c r="E20" s="120" t="s">
        <v>244</v>
      </c>
      <c r="F20" s="120" t="s">
        <v>1</v>
      </c>
      <c r="G20" s="121">
        <v>176</v>
      </c>
      <c r="H20" s="120">
        <v>10</v>
      </c>
      <c r="I20" s="120"/>
      <c r="J20" s="122" t="s">
        <v>568</v>
      </c>
      <c r="K20" s="121">
        <v>154</v>
      </c>
      <c r="L20" s="120">
        <v>10</v>
      </c>
      <c r="M20" s="120"/>
      <c r="N20" s="119" t="s">
        <v>569</v>
      </c>
      <c r="O20" s="123">
        <v>33</v>
      </c>
      <c r="P20" s="123">
        <v>38.200000000000003</v>
      </c>
      <c r="Q20" s="124">
        <v>4</v>
      </c>
      <c r="R20" s="124">
        <v>1</v>
      </c>
      <c r="S20" s="124">
        <v>10</v>
      </c>
      <c r="T20" s="124">
        <v>3</v>
      </c>
      <c r="U20" s="124">
        <v>8</v>
      </c>
      <c r="V20" s="124">
        <v>2</v>
      </c>
      <c r="W20" s="124">
        <v>3</v>
      </c>
      <c r="X20" s="124">
        <v>1</v>
      </c>
      <c r="Y20" s="124">
        <f t="shared" si="1"/>
        <v>18</v>
      </c>
      <c r="Z20" s="124">
        <f t="shared" si="2"/>
        <v>14</v>
      </c>
      <c r="AA20" s="124">
        <f t="shared" si="3"/>
        <v>154</v>
      </c>
      <c r="AB20" s="124">
        <f t="shared" si="4"/>
        <v>176</v>
      </c>
      <c r="AC20" s="124">
        <f t="shared" si="5"/>
        <v>10</v>
      </c>
      <c r="AD20" s="124">
        <f t="shared" si="6"/>
        <v>10</v>
      </c>
      <c r="AF20" s="26">
        <v>1</v>
      </c>
      <c r="AG20" s="26">
        <v>2</v>
      </c>
    </row>
    <row r="21" spans="1:33" x14ac:dyDescent="0.15">
      <c r="A21" s="117" t="str">
        <f t="shared" si="0"/>
        <v>Sun</v>
      </c>
      <c r="B21" s="118">
        <v>40027</v>
      </c>
      <c r="C21" s="119" t="s">
        <v>589</v>
      </c>
      <c r="D21" s="120" t="s">
        <v>215</v>
      </c>
      <c r="E21" s="120" t="s">
        <v>244</v>
      </c>
      <c r="F21" s="120" t="s">
        <v>1</v>
      </c>
      <c r="G21" s="121">
        <v>170</v>
      </c>
      <c r="H21" s="120">
        <v>7</v>
      </c>
      <c r="I21" s="120"/>
      <c r="J21" s="122" t="s">
        <v>590</v>
      </c>
      <c r="K21" s="121">
        <v>72</v>
      </c>
      <c r="L21" s="120">
        <v>10</v>
      </c>
      <c r="M21" s="120"/>
      <c r="N21" s="119"/>
      <c r="O21" s="123">
        <v>27.1</v>
      </c>
      <c r="P21" s="123">
        <v>40</v>
      </c>
      <c r="Q21" s="124">
        <v>0</v>
      </c>
      <c r="R21" s="124">
        <v>4</v>
      </c>
      <c r="S21" s="124">
        <v>6</v>
      </c>
      <c r="T21" s="124">
        <v>1</v>
      </c>
      <c r="U21" s="124">
        <v>14</v>
      </c>
      <c r="V21" s="124">
        <v>4</v>
      </c>
      <c r="W21" s="124">
        <v>4</v>
      </c>
      <c r="X21" s="124">
        <v>0</v>
      </c>
      <c r="Y21" s="124">
        <f t="shared" ref="Y21:Y23" si="7">SUM(Q21:T21)</f>
        <v>11</v>
      </c>
      <c r="Z21" s="124">
        <f t="shared" ref="Z21:Z23" si="8">SUM(U21:X21)</f>
        <v>22</v>
      </c>
      <c r="AA21" s="124">
        <f t="shared" ref="AA21:AA59" si="9">IF(F21="TOCC",G21,K21)</f>
        <v>72</v>
      </c>
      <c r="AB21" s="124">
        <f t="shared" ref="AB21:AB59" si="10">IF(F21&lt;&gt;"TOCC",G21,K21)</f>
        <v>170</v>
      </c>
      <c r="AC21" s="124">
        <f t="shared" ref="AC21:AC59" si="11">IF(F21="TOCC",H21,L21)</f>
        <v>10</v>
      </c>
      <c r="AD21" s="124">
        <f t="shared" ref="AD21:AD59" si="12">IF(F21&lt;&gt;"TOCC",H21,L21)</f>
        <v>7</v>
      </c>
      <c r="AF21" s="26">
        <v>0</v>
      </c>
      <c r="AG21" s="26">
        <v>1</v>
      </c>
    </row>
    <row r="22" spans="1:33" x14ac:dyDescent="0.15">
      <c r="A22" s="117" t="str">
        <f t="shared" si="0"/>
        <v>Sun</v>
      </c>
      <c r="B22" s="118">
        <v>40034</v>
      </c>
      <c r="C22" s="119" t="s">
        <v>262</v>
      </c>
      <c r="D22" s="120" t="s">
        <v>234</v>
      </c>
      <c r="E22" s="120" t="s">
        <v>244</v>
      </c>
      <c r="F22" s="120" t="s">
        <v>1</v>
      </c>
      <c r="G22" s="121">
        <v>153</v>
      </c>
      <c r="H22" s="120">
        <v>8</v>
      </c>
      <c r="I22" s="120"/>
      <c r="J22" s="122" t="s">
        <v>607</v>
      </c>
      <c r="K22" s="121">
        <v>64</v>
      </c>
      <c r="L22" s="120">
        <v>10</v>
      </c>
      <c r="M22" s="120"/>
      <c r="N22" s="119" t="s">
        <v>608</v>
      </c>
      <c r="O22" s="123">
        <v>25.5</v>
      </c>
      <c r="P22" s="123">
        <v>42</v>
      </c>
      <c r="Q22" s="124">
        <v>13</v>
      </c>
      <c r="R22" s="124">
        <v>3</v>
      </c>
      <c r="S22" s="124">
        <v>5</v>
      </c>
      <c r="T22" s="124">
        <v>11</v>
      </c>
      <c r="U22" s="124">
        <v>19</v>
      </c>
      <c r="V22" s="124">
        <v>4</v>
      </c>
      <c r="W22" s="124">
        <v>2</v>
      </c>
      <c r="X22" s="124">
        <v>6</v>
      </c>
      <c r="Y22" s="124">
        <f t="shared" si="7"/>
        <v>32</v>
      </c>
      <c r="Z22" s="124">
        <f t="shared" si="8"/>
        <v>31</v>
      </c>
      <c r="AA22" s="124">
        <f t="shared" si="9"/>
        <v>64</v>
      </c>
      <c r="AB22" s="124">
        <f t="shared" si="10"/>
        <v>153</v>
      </c>
      <c r="AC22" s="124">
        <f t="shared" si="11"/>
        <v>10</v>
      </c>
      <c r="AD22" s="124">
        <f t="shared" si="12"/>
        <v>8</v>
      </c>
      <c r="AF22" s="26">
        <v>0</v>
      </c>
      <c r="AG22" s="26">
        <v>1</v>
      </c>
    </row>
    <row r="23" spans="1:33" x14ac:dyDescent="0.15">
      <c r="A23" s="117" t="str">
        <f t="shared" si="0"/>
        <v>Sun</v>
      </c>
      <c r="B23" s="118">
        <v>40041</v>
      </c>
      <c r="C23" s="119" t="s">
        <v>625</v>
      </c>
      <c r="D23" s="120" t="s">
        <v>215</v>
      </c>
      <c r="E23" s="120" t="s">
        <v>244</v>
      </c>
      <c r="F23" s="120" t="s">
        <v>1</v>
      </c>
      <c r="G23" s="121">
        <v>199</v>
      </c>
      <c r="H23" s="120">
        <v>8</v>
      </c>
      <c r="I23" s="120"/>
      <c r="J23" s="122" t="s">
        <v>626</v>
      </c>
      <c r="K23" s="121">
        <v>170</v>
      </c>
      <c r="L23" s="120">
        <v>10</v>
      </c>
      <c r="M23" s="120"/>
      <c r="N23" s="119" t="s">
        <v>627</v>
      </c>
      <c r="O23" s="123">
        <v>36.5</v>
      </c>
      <c r="P23" s="123">
        <v>38.200000000000003</v>
      </c>
      <c r="Q23" s="124">
        <v>20</v>
      </c>
      <c r="R23" s="124">
        <v>5</v>
      </c>
      <c r="S23" s="124">
        <v>5</v>
      </c>
      <c r="T23" s="124">
        <v>1</v>
      </c>
      <c r="U23" s="124">
        <v>12</v>
      </c>
      <c r="V23" s="124">
        <v>2</v>
      </c>
      <c r="W23" s="124">
        <v>10</v>
      </c>
      <c r="X23" s="124">
        <v>0</v>
      </c>
      <c r="Y23" s="124">
        <f t="shared" si="7"/>
        <v>31</v>
      </c>
      <c r="Z23" s="124">
        <f t="shared" si="8"/>
        <v>24</v>
      </c>
      <c r="AA23" s="124">
        <f t="shared" si="9"/>
        <v>170</v>
      </c>
      <c r="AB23" s="124">
        <f t="shared" si="10"/>
        <v>199</v>
      </c>
      <c r="AC23" s="124">
        <f t="shared" si="11"/>
        <v>10</v>
      </c>
      <c r="AD23" s="124">
        <f t="shared" si="12"/>
        <v>8</v>
      </c>
      <c r="AF23" s="26">
        <v>0</v>
      </c>
      <c r="AG23" s="26">
        <v>0</v>
      </c>
    </row>
    <row r="24" spans="1:33" x14ac:dyDescent="0.15">
      <c r="A24" s="117" t="str">
        <f t="shared" si="0"/>
        <v>Sun</v>
      </c>
      <c r="B24" s="118">
        <v>40048</v>
      </c>
      <c r="C24" s="119" t="s">
        <v>250</v>
      </c>
      <c r="D24" s="120" t="s">
        <v>234</v>
      </c>
      <c r="E24" s="120" t="s">
        <v>248</v>
      </c>
      <c r="F24" s="120" t="s">
        <v>1</v>
      </c>
      <c r="G24" s="121">
        <v>151</v>
      </c>
      <c r="H24" s="120">
        <v>9</v>
      </c>
      <c r="I24" s="120"/>
      <c r="J24" s="122" t="s">
        <v>642</v>
      </c>
      <c r="K24" s="121">
        <v>152</v>
      </c>
      <c r="L24" s="120">
        <v>9</v>
      </c>
      <c r="M24" s="120"/>
      <c r="N24" s="119"/>
      <c r="O24" s="123">
        <v>39.299999999999997</v>
      </c>
      <c r="P24" s="123">
        <v>43</v>
      </c>
      <c r="Q24" s="124">
        <v>3</v>
      </c>
      <c r="R24" s="124">
        <v>3</v>
      </c>
      <c r="S24" s="124">
        <v>10</v>
      </c>
      <c r="T24" s="124">
        <v>2</v>
      </c>
      <c r="U24" s="124">
        <v>16</v>
      </c>
      <c r="V24" s="124">
        <v>3</v>
      </c>
      <c r="W24" s="124">
        <v>7</v>
      </c>
      <c r="X24" s="124">
        <v>3</v>
      </c>
      <c r="Y24" s="124">
        <f t="shared" ref="Y24:Y59" si="13">SUM(Q24:T24)</f>
        <v>18</v>
      </c>
      <c r="Z24" s="124">
        <f t="shared" ref="Z24:Z59" si="14">SUM(U24:X24)</f>
        <v>29</v>
      </c>
      <c r="AA24" s="124">
        <f t="shared" si="9"/>
        <v>152</v>
      </c>
      <c r="AB24" s="124">
        <f t="shared" si="10"/>
        <v>151</v>
      </c>
      <c r="AC24" s="124">
        <f t="shared" si="11"/>
        <v>9</v>
      </c>
      <c r="AD24" s="124">
        <f t="shared" si="12"/>
        <v>9</v>
      </c>
      <c r="AF24" s="26">
        <v>0</v>
      </c>
      <c r="AG24" s="26">
        <v>1</v>
      </c>
    </row>
    <row r="25" spans="1:33" x14ac:dyDescent="0.15">
      <c r="A25" s="117" t="str">
        <f t="shared" si="0"/>
        <v>Sun</v>
      </c>
      <c r="B25" s="118">
        <v>40055</v>
      </c>
      <c r="C25" s="119" t="s">
        <v>481</v>
      </c>
      <c r="D25" s="120" t="s">
        <v>234</v>
      </c>
      <c r="E25" s="120" t="s">
        <v>244</v>
      </c>
      <c r="F25" s="120" t="s">
        <v>243</v>
      </c>
      <c r="G25" s="121">
        <v>65</v>
      </c>
      <c r="H25" s="120">
        <v>10</v>
      </c>
      <c r="I25" s="120"/>
      <c r="J25" s="122"/>
      <c r="K25" s="121">
        <v>66</v>
      </c>
      <c r="L25" s="120">
        <v>1</v>
      </c>
      <c r="M25" s="120"/>
      <c r="N25" s="131"/>
      <c r="O25" s="123">
        <v>38</v>
      </c>
      <c r="P25" s="123">
        <v>15.5</v>
      </c>
      <c r="Q25" s="124">
        <v>0</v>
      </c>
      <c r="R25" s="124">
        <v>1</v>
      </c>
      <c r="S25" s="124">
        <v>1</v>
      </c>
      <c r="T25" s="124">
        <v>1</v>
      </c>
      <c r="U25" s="124">
        <v>8</v>
      </c>
      <c r="V25" s="124">
        <v>0</v>
      </c>
      <c r="W25" s="124">
        <v>8</v>
      </c>
      <c r="X25" s="124">
        <v>0</v>
      </c>
      <c r="Y25" s="124">
        <f t="shared" si="13"/>
        <v>3</v>
      </c>
      <c r="Z25" s="124">
        <f t="shared" si="14"/>
        <v>16</v>
      </c>
      <c r="AA25" s="124">
        <f t="shared" si="9"/>
        <v>65</v>
      </c>
      <c r="AB25" s="124">
        <f t="shared" si="10"/>
        <v>66</v>
      </c>
      <c r="AC25" s="124">
        <f t="shared" si="11"/>
        <v>10</v>
      </c>
      <c r="AD25" s="124">
        <f t="shared" si="12"/>
        <v>1</v>
      </c>
      <c r="AF25" s="26">
        <v>0</v>
      </c>
      <c r="AG25" s="26">
        <v>0</v>
      </c>
    </row>
    <row r="26" spans="1:33" x14ac:dyDescent="0.15">
      <c r="A26" s="117" t="str">
        <f t="shared" si="0"/>
        <v>Sun</v>
      </c>
      <c r="B26" s="118">
        <v>40062</v>
      </c>
      <c r="C26" s="119" t="s">
        <v>238</v>
      </c>
      <c r="D26" s="120" t="s">
        <v>234</v>
      </c>
      <c r="E26" s="120" t="s">
        <v>248</v>
      </c>
      <c r="F26" s="120" t="s">
        <v>243</v>
      </c>
      <c r="G26" s="121">
        <v>220</v>
      </c>
      <c r="H26" s="120">
        <v>4</v>
      </c>
      <c r="I26" s="120"/>
      <c r="J26" s="122" t="s">
        <v>669</v>
      </c>
      <c r="K26" s="121">
        <v>175</v>
      </c>
      <c r="L26" s="120">
        <v>10</v>
      </c>
      <c r="M26" s="120"/>
      <c r="N26" s="119" t="s">
        <v>670</v>
      </c>
      <c r="O26" s="123">
        <v>40</v>
      </c>
      <c r="P26" s="123">
        <v>37.1</v>
      </c>
      <c r="Q26" s="124">
        <v>3</v>
      </c>
      <c r="R26" s="124">
        <v>1</v>
      </c>
      <c r="S26" s="124">
        <v>10</v>
      </c>
      <c r="T26" s="124">
        <v>6</v>
      </c>
      <c r="U26" s="124">
        <v>25</v>
      </c>
      <c r="V26" s="124">
        <v>10</v>
      </c>
      <c r="W26" s="124">
        <v>9</v>
      </c>
      <c r="X26" s="124">
        <v>4</v>
      </c>
      <c r="Y26" s="124">
        <f t="shared" si="13"/>
        <v>20</v>
      </c>
      <c r="Z26" s="124">
        <f t="shared" si="14"/>
        <v>48</v>
      </c>
      <c r="AA26" s="124">
        <f t="shared" si="9"/>
        <v>220</v>
      </c>
      <c r="AB26" s="124">
        <f t="shared" si="10"/>
        <v>175</v>
      </c>
      <c r="AC26" s="124">
        <f t="shared" si="11"/>
        <v>4</v>
      </c>
      <c r="AD26" s="124">
        <f t="shared" si="12"/>
        <v>10</v>
      </c>
      <c r="AF26" s="26">
        <v>0</v>
      </c>
      <c r="AG26" s="26">
        <v>0</v>
      </c>
    </row>
    <row r="27" spans="1:33" x14ac:dyDescent="0.15">
      <c r="A27" s="117" t="str">
        <f t="shared" si="0"/>
        <v>Sat</v>
      </c>
      <c r="B27" s="118">
        <v>40075</v>
      </c>
      <c r="C27" s="119" t="s">
        <v>681</v>
      </c>
      <c r="D27" s="120" t="s">
        <v>215</v>
      </c>
      <c r="E27" s="120" t="s">
        <v>248</v>
      </c>
      <c r="F27" s="120" t="s">
        <v>1</v>
      </c>
      <c r="G27" s="121">
        <v>222</v>
      </c>
      <c r="H27" s="120">
        <v>9</v>
      </c>
      <c r="I27" s="120"/>
      <c r="J27" s="122" t="s">
        <v>682</v>
      </c>
      <c r="K27" s="121">
        <v>223</v>
      </c>
      <c r="L27" s="120">
        <v>5</v>
      </c>
      <c r="M27" s="120"/>
      <c r="N27" s="119" t="s">
        <v>683</v>
      </c>
      <c r="O27" s="123">
        <v>34</v>
      </c>
      <c r="P27" s="123">
        <v>34.299999999999997</v>
      </c>
      <c r="Q27" s="124"/>
      <c r="R27" s="124"/>
      <c r="S27" s="124"/>
      <c r="T27" s="124"/>
      <c r="U27" s="124">
        <v>12</v>
      </c>
      <c r="V27" s="124">
        <v>0</v>
      </c>
      <c r="W27" s="124">
        <v>1</v>
      </c>
      <c r="X27" s="124">
        <v>2</v>
      </c>
      <c r="Y27" s="124">
        <v>5</v>
      </c>
      <c r="Z27" s="124">
        <f t="shared" si="14"/>
        <v>15</v>
      </c>
      <c r="AA27" s="124">
        <f t="shared" si="9"/>
        <v>223</v>
      </c>
      <c r="AB27" s="124">
        <f t="shared" si="10"/>
        <v>222</v>
      </c>
      <c r="AC27" s="124">
        <f t="shared" si="11"/>
        <v>5</v>
      </c>
      <c r="AD27" s="124">
        <f t="shared" si="12"/>
        <v>9</v>
      </c>
      <c r="AF27" s="26">
        <v>0</v>
      </c>
      <c r="AG27" s="26">
        <v>0</v>
      </c>
    </row>
    <row r="28" spans="1:33" x14ac:dyDescent="0.15">
      <c r="A28" s="117" t="str">
        <f t="shared" si="0"/>
        <v>Sat</v>
      </c>
      <c r="B28" s="118"/>
      <c r="C28" s="119"/>
      <c r="D28" s="120"/>
      <c r="E28" s="120"/>
      <c r="F28" s="120"/>
      <c r="G28" s="121"/>
      <c r="H28" s="120"/>
      <c r="I28" s="120"/>
      <c r="J28" s="122"/>
      <c r="K28" s="121"/>
      <c r="L28" s="120"/>
      <c r="M28" s="120"/>
      <c r="N28" s="119"/>
      <c r="O28" s="123"/>
      <c r="P28" s="123"/>
      <c r="Q28" s="124"/>
      <c r="R28" s="124"/>
      <c r="S28" s="124"/>
      <c r="T28" s="124"/>
      <c r="U28" s="124"/>
      <c r="V28" s="124"/>
      <c r="W28" s="124"/>
      <c r="X28" s="124"/>
      <c r="Y28" s="124">
        <f t="shared" si="13"/>
        <v>0</v>
      </c>
      <c r="Z28" s="124">
        <f t="shared" si="14"/>
        <v>0</v>
      </c>
      <c r="AA28" s="124">
        <f t="shared" si="9"/>
        <v>0</v>
      </c>
      <c r="AB28" s="124">
        <f t="shared" si="10"/>
        <v>0</v>
      </c>
      <c r="AC28" s="124">
        <f t="shared" si="11"/>
        <v>0</v>
      </c>
      <c r="AD28" s="124">
        <f t="shared" si="12"/>
        <v>0</v>
      </c>
    </row>
    <row r="29" spans="1:33" x14ac:dyDescent="0.15">
      <c r="A29" s="117" t="str">
        <f t="shared" si="0"/>
        <v>Sat</v>
      </c>
      <c r="B29" s="118"/>
      <c r="C29" s="119"/>
      <c r="D29" s="120"/>
      <c r="E29" s="120"/>
      <c r="F29" s="120"/>
      <c r="G29" s="121"/>
      <c r="H29" s="120"/>
      <c r="I29" s="120"/>
      <c r="J29" s="122"/>
      <c r="K29" s="121"/>
      <c r="L29" s="120"/>
      <c r="M29" s="120"/>
      <c r="N29" s="119"/>
      <c r="O29" s="123"/>
      <c r="P29" s="123"/>
      <c r="Q29" s="124"/>
      <c r="R29" s="124"/>
      <c r="S29" s="124"/>
      <c r="T29" s="124"/>
      <c r="U29" s="124"/>
      <c r="V29" s="124"/>
      <c r="W29" s="124"/>
      <c r="X29" s="124"/>
      <c r="Y29" s="124">
        <f t="shared" si="13"/>
        <v>0</v>
      </c>
      <c r="Z29" s="124">
        <f t="shared" si="14"/>
        <v>0</v>
      </c>
      <c r="AA29" s="124">
        <f t="shared" si="9"/>
        <v>0</v>
      </c>
      <c r="AB29" s="124">
        <f t="shared" si="10"/>
        <v>0</v>
      </c>
      <c r="AC29" s="124">
        <f t="shared" si="11"/>
        <v>0</v>
      </c>
      <c r="AD29" s="124">
        <f t="shared" si="12"/>
        <v>0</v>
      </c>
    </row>
    <row r="30" spans="1:33" x14ac:dyDescent="0.15">
      <c r="A30" s="117" t="str">
        <f t="shared" si="0"/>
        <v>Sat</v>
      </c>
      <c r="B30" s="118"/>
      <c r="C30" s="119"/>
      <c r="D30" s="120"/>
      <c r="E30" s="120"/>
      <c r="F30" s="120"/>
      <c r="G30" s="121"/>
      <c r="H30" s="120"/>
      <c r="I30" s="120"/>
      <c r="J30" s="122"/>
      <c r="K30" s="121"/>
      <c r="L30" s="120"/>
      <c r="M30" s="120"/>
      <c r="N30" s="119"/>
      <c r="O30" s="123"/>
      <c r="P30" s="123"/>
      <c r="Q30" s="124"/>
      <c r="R30" s="124"/>
      <c r="S30" s="124"/>
      <c r="T30" s="124"/>
      <c r="U30" s="124"/>
      <c r="V30" s="124"/>
      <c r="W30" s="124"/>
      <c r="X30" s="124"/>
      <c r="Y30" s="124">
        <f t="shared" si="13"/>
        <v>0</v>
      </c>
      <c r="Z30" s="124">
        <f t="shared" si="14"/>
        <v>0</v>
      </c>
      <c r="AA30" s="124">
        <f t="shared" si="9"/>
        <v>0</v>
      </c>
      <c r="AB30" s="124">
        <f t="shared" si="10"/>
        <v>0</v>
      </c>
      <c r="AC30" s="124">
        <f t="shared" si="11"/>
        <v>0</v>
      </c>
      <c r="AD30" s="124">
        <f t="shared" si="12"/>
        <v>0</v>
      </c>
    </row>
    <row r="31" spans="1:33" x14ac:dyDescent="0.15">
      <c r="A31" s="117" t="str">
        <f t="shared" si="0"/>
        <v>Sat</v>
      </c>
      <c r="B31" s="118"/>
      <c r="C31" s="119"/>
      <c r="D31" s="120"/>
      <c r="E31" s="120"/>
      <c r="F31" s="120"/>
      <c r="G31" s="121"/>
      <c r="H31" s="120"/>
      <c r="I31" s="120"/>
      <c r="J31" s="122"/>
      <c r="K31" s="121"/>
      <c r="L31" s="120"/>
      <c r="M31" s="120"/>
      <c r="N31" s="119"/>
      <c r="O31" s="123"/>
      <c r="P31" s="123"/>
      <c r="Q31" s="124"/>
      <c r="R31" s="124"/>
      <c r="S31" s="124"/>
      <c r="T31" s="124"/>
      <c r="U31" s="124"/>
      <c r="V31" s="124"/>
      <c r="W31" s="124"/>
      <c r="X31" s="124"/>
      <c r="Y31" s="124">
        <f t="shared" si="13"/>
        <v>0</v>
      </c>
      <c r="Z31" s="124">
        <f t="shared" si="14"/>
        <v>0</v>
      </c>
      <c r="AA31" s="124">
        <f t="shared" si="9"/>
        <v>0</v>
      </c>
      <c r="AB31" s="124">
        <f t="shared" si="10"/>
        <v>0</v>
      </c>
      <c r="AC31" s="124">
        <f t="shared" si="11"/>
        <v>0</v>
      </c>
      <c r="AD31" s="124">
        <f t="shared" si="12"/>
        <v>0</v>
      </c>
    </row>
    <row r="32" spans="1:33" x14ac:dyDescent="0.15">
      <c r="A32" s="117" t="str">
        <f t="shared" si="0"/>
        <v>Sat</v>
      </c>
      <c r="B32" s="118"/>
      <c r="C32" s="119"/>
      <c r="D32" s="120"/>
      <c r="E32" s="120"/>
      <c r="F32" s="120"/>
      <c r="G32" s="121"/>
      <c r="H32" s="120"/>
      <c r="I32" s="120"/>
      <c r="J32" s="122"/>
      <c r="K32" s="121"/>
      <c r="L32" s="120"/>
      <c r="M32" s="120"/>
      <c r="N32" s="119"/>
      <c r="O32" s="123"/>
      <c r="P32" s="123"/>
      <c r="Q32" s="124"/>
      <c r="R32" s="124"/>
      <c r="S32" s="124"/>
      <c r="T32" s="124"/>
      <c r="U32" s="124"/>
      <c r="V32" s="124"/>
      <c r="W32" s="124"/>
      <c r="X32" s="124"/>
      <c r="Y32" s="124">
        <f t="shared" si="13"/>
        <v>0</v>
      </c>
      <c r="Z32" s="124">
        <f t="shared" si="14"/>
        <v>0</v>
      </c>
      <c r="AA32" s="124">
        <f t="shared" si="9"/>
        <v>0</v>
      </c>
      <c r="AB32" s="124">
        <f t="shared" si="10"/>
        <v>0</v>
      </c>
      <c r="AC32" s="124">
        <f t="shared" si="11"/>
        <v>0</v>
      </c>
      <c r="AD32" s="124">
        <f t="shared" si="12"/>
        <v>0</v>
      </c>
    </row>
    <row r="33" spans="1:30" x14ac:dyDescent="0.15">
      <c r="A33" s="117" t="str">
        <f t="shared" si="0"/>
        <v>Sat</v>
      </c>
      <c r="B33" s="118"/>
      <c r="C33" s="119"/>
      <c r="D33" s="120"/>
      <c r="E33" s="120"/>
      <c r="F33" s="120"/>
      <c r="G33" s="121"/>
      <c r="H33" s="120"/>
      <c r="I33" s="120"/>
      <c r="J33" s="122"/>
      <c r="K33" s="121"/>
      <c r="L33" s="120"/>
      <c r="M33" s="120"/>
      <c r="N33" s="119"/>
      <c r="O33" s="123"/>
      <c r="P33" s="123"/>
      <c r="Q33" s="124"/>
      <c r="R33" s="124"/>
      <c r="S33" s="124"/>
      <c r="T33" s="124"/>
      <c r="U33" s="124"/>
      <c r="V33" s="124"/>
      <c r="W33" s="124"/>
      <c r="X33" s="124"/>
      <c r="Y33" s="124">
        <f t="shared" si="13"/>
        <v>0</v>
      </c>
      <c r="Z33" s="124">
        <f t="shared" si="14"/>
        <v>0</v>
      </c>
      <c r="AA33" s="124">
        <f t="shared" si="9"/>
        <v>0</v>
      </c>
      <c r="AB33" s="124">
        <f t="shared" si="10"/>
        <v>0</v>
      </c>
      <c r="AC33" s="124">
        <f t="shared" si="11"/>
        <v>0</v>
      </c>
      <c r="AD33" s="124">
        <f t="shared" si="12"/>
        <v>0</v>
      </c>
    </row>
    <row r="34" spans="1:30" x14ac:dyDescent="0.15">
      <c r="A34" s="117" t="str">
        <f t="shared" si="0"/>
        <v>Sat</v>
      </c>
      <c r="B34" s="118"/>
      <c r="C34" s="119"/>
      <c r="D34" s="120"/>
      <c r="E34" s="120"/>
      <c r="F34" s="120"/>
      <c r="G34" s="121"/>
      <c r="H34" s="120"/>
      <c r="I34" s="120"/>
      <c r="J34" s="122"/>
      <c r="K34" s="121"/>
      <c r="L34" s="120"/>
      <c r="M34" s="120"/>
      <c r="N34" s="119"/>
      <c r="O34" s="123"/>
      <c r="P34" s="123"/>
      <c r="Q34" s="124"/>
      <c r="R34" s="124"/>
      <c r="S34" s="124"/>
      <c r="T34" s="124"/>
      <c r="U34" s="124"/>
      <c r="V34" s="124"/>
      <c r="W34" s="124"/>
      <c r="X34" s="124"/>
      <c r="Y34" s="124">
        <f t="shared" si="13"/>
        <v>0</v>
      </c>
      <c r="Z34" s="124">
        <f t="shared" si="14"/>
        <v>0</v>
      </c>
      <c r="AA34" s="124">
        <f t="shared" si="9"/>
        <v>0</v>
      </c>
      <c r="AB34" s="124">
        <f t="shared" si="10"/>
        <v>0</v>
      </c>
      <c r="AC34" s="124">
        <f t="shared" si="11"/>
        <v>0</v>
      </c>
      <c r="AD34" s="124">
        <f t="shared" si="12"/>
        <v>0</v>
      </c>
    </row>
    <row r="35" spans="1:30" x14ac:dyDescent="0.15">
      <c r="A35" s="117" t="str">
        <f t="shared" si="0"/>
        <v>Sat</v>
      </c>
      <c r="B35" s="118"/>
      <c r="C35" s="119"/>
      <c r="D35" s="120"/>
      <c r="E35" s="120"/>
      <c r="F35" s="120"/>
      <c r="G35" s="121"/>
      <c r="H35" s="120"/>
      <c r="I35" s="120"/>
      <c r="J35" s="122"/>
      <c r="K35" s="121"/>
      <c r="L35" s="120"/>
      <c r="M35" s="120"/>
      <c r="N35" s="119"/>
      <c r="O35" s="123"/>
      <c r="P35" s="123"/>
      <c r="Q35" s="124"/>
      <c r="R35" s="124"/>
      <c r="S35" s="124"/>
      <c r="T35" s="124"/>
      <c r="U35" s="124"/>
      <c r="V35" s="124"/>
      <c r="W35" s="124"/>
      <c r="X35" s="124"/>
      <c r="Y35" s="124">
        <f t="shared" si="13"/>
        <v>0</v>
      </c>
      <c r="Z35" s="124">
        <f t="shared" si="14"/>
        <v>0</v>
      </c>
      <c r="AA35" s="124">
        <f t="shared" si="9"/>
        <v>0</v>
      </c>
      <c r="AB35" s="124">
        <f t="shared" si="10"/>
        <v>0</v>
      </c>
      <c r="AC35" s="124">
        <f t="shared" si="11"/>
        <v>0</v>
      </c>
      <c r="AD35" s="124">
        <f t="shared" si="12"/>
        <v>0</v>
      </c>
    </row>
    <row r="36" spans="1:30" x14ac:dyDescent="0.15">
      <c r="A36" s="117" t="str">
        <f t="shared" si="0"/>
        <v>Sat</v>
      </c>
      <c r="B36" s="118"/>
      <c r="C36" s="119"/>
      <c r="D36" s="120"/>
      <c r="E36" s="120"/>
      <c r="F36" s="120"/>
      <c r="G36" s="121"/>
      <c r="H36" s="120"/>
      <c r="I36" s="120"/>
      <c r="J36" s="122"/>
      <c r="K36" s="121"/>
      <c r="L36" s="120"/>
      <c r="M36" s="120"/>
      <c r="N36" s="119"/>
      <c r="O36" s="123"/>
      <c r="P36" s="123"/>
      <c r="Q36" s="124"/>
      <c r="R36" s="124"/>
      <c r="S36" s="124"/>
      <c r="T36" s="124"/>
      <c r="U36" s="124"/>
      <c r="V36" s="124"/>
      <c r="W36" s="124"/>
      <c r="X36" s="124"/>
      <c r="Y36" s="124">
        <f t="shared" si="13"/>
        <v>0</v>
      </c>
      <c r="Z36" s="124">
        <f t="shared" si="14"/>
        <v>0</v>
      </c>
      <c r="AA36" s="124">
        <f t="shared" si="9"/>
        <v>0</v>
      </c>
      <c r="AB36" s="124">
        <f t="shared" si="10"/>
        <v>0</v>
      </c>
      <c r="AC36" s="124">
        <f t="shared" si="11"/>
        <v>0</v>
      </c>
      <c r="AD36" s="124">
        <f t="shared" si="12"/>
        <v>0</v>
      </c>
    </row>
    <row r="37" spans="1:30" x14ac:dyDescent="0.15">
      <c r="A37" s="117" t="str">
        <f t="shared" si="0"/>
        <v>Sat</v>
      </c>
      <c r="B37" s="118"/>
      <c r="C37" s="119"/>
      <c r="D37" s="120"/>
      <c r="E37" s="120"/>
      <c r="F37" s="120"/>
      <c r="G37" s="121"/>
      <c r="H37" s="120"/>
      <c r="I37" s="120"/>
      <c r="J37" s="122"/>
      <c r="K37" s="121"/>
      <c r="L37" s="120"/>
      <c r="M37" s="120"/>
      <c r="N37" s="119"/>
      <c r="O37" s="123"/>
      <c r="P37" s="123"/>
      <c r="Q37" s="124"/>
      <c r="R37" s="124"/>
      <c r="S37" s="124"/>
      <c r="T37" s="124"/>
      <c r="U37" s="124"/>
      <c r="V37" s="124"/>
      <c r="W37" s="124"/>
      <c r="X37" s="124"/>
      <c r="Y37" s="124">
        <f t="shared" si="13"/>
        <v>0</v>
      </c>
      <c r="Z37" s="124">
        <f t="shared" si="14"/>
        <v>0</v>
      </c>
      <c r="AA37" s="124">
        <f t="shared" si="9"/>
        <v>0</v>
      </c>
      <c r="AB37" s="124">
        <f t="shared" si="10"/>
        <v>0</v>
      </c>
      <c r="AC37" s="124">
        <f t="shared" si="11"/>
        <v>0</v>
      </c>
      <c r="AD37" s="124">
        <f t="shared" si="12"/>
        <v>0</v>
      </c>
    </row>
    <row r="38" spans="1:30" x14ac:dyDescent="0.15">
      <c r="A38" s="117" t="str">
        <f t="shared" si="0"/>
        <v>Sat</v>
      </c>
      <c r="B38" s="118"/>
      <c r="C38" s="119"/>
      <c r="D38" s="120"/>
      <c r="E38" s="120"/>
      <c r="F38" s="120"/>
      <c r="G38" s="121"/>
      <c r="H38" s="120"/>
      <c r="I38" s="120"/>
      <c r="J38" s="122"/>
      <c r="K38" s="121"/>
      <c r="L38" s="120"/>
      <c r="M38" s="120"/>
      <c r="N38" s="119"/>
      <c r="O38" s="123"/>
      <c r="P38" s="123"/>
      <c r="Q38" s="124"/>
      <c r="R38" s="124"/>
      <c r="S38" s="124"/>
      <c r="T38" s="124"/>
      <c r="U38" s="124"/>
      <c r="V38" s="124"/>
      <c r="W38" s="124"/>
      <c r="X38" s="124"/>
      <c r="Y38" s="124">
        <f t="shared" si="13"/>
        <v>0</v>
      </c>
      <c r="Z38" s="124">
        <f t="shared" si="14"/>
        <v>0</v>
      </c>
      <c r="AA38" s="124">
        <f t="shared" si="9"/>
        <v>0</v>
      </c>
      <c r="AB38" s="124">
        <f t="shared" si="10"/>
        <v>0</v>
      </c>
      <c r="AC38" s="124">
        <f t="shared" si="11"/>
        <v>0</v>
      </c>
      <c r="AD38" s="124">
        <f t="shared" si="12"/>
        <v>0</v>
      </c>
    </row>
    <row r="39" spans="1:30" x14ac:dyDescent="0.15">
      <c r="A39" s="117" t="str">
        <f t="shared" si="0"/>
        <v>Sat</v>
      </c>
      <c r="B39" s="118"/>
      <c r="C39" s="119"/>
      <c r="D39" s="120"/>
      <c r="E39" s="120"/>
      <c r="F39" s="120"/>
      <c r="G39" s="121"/>
      <c r="H39" s="120"/>
      <c r="I39" s="120"/>
      <c r="J39" s="122"/>
      <c r="K39" s="121"/>
      <c r="L39" s="120"/>
      <c r="M39" s="120"/>
      <c r="N39" s="119"/>
      <c r="O39" s="123"/>
      <c r="P39" s="123"/>
      <c r="Q39" s="124"/>
      <c r="R39" s="124"/>
      <c r="S39" s="124"/>
      <c r="T39" s="124"/>
      <c r="U39" s="124"/>
      <c r="V39" s="124"/>
      <c r="W39" s="124"/>
      <c r="X39" s="124"/>
      <c r="Y39" s="124">
        <f t="shared" si="13"/>
        <v>0</v>
      </c>
      <c r="Z39" s="124">
        <f t="shared" si="14"/>
        <v>0</v>
      </c>
      <c r="AA39" s="124">
        <f t="shared" si="9"/>
        <v>0</v>
      </c>
      <c r="AB39" s="124">
        <f t="shared" si="10"/>
        <v>0</v>
      </c>
      <c r="AC39" s="124">
        <f t="shared" si="11"/>
        <v>0</v>
      </c>
      <c r="AD39" s="124">
        <f t="shared" si="12"/>
        <v>0</v>
      </c>
    </row>
    <row r="40" spans="1:30" x14ac:dyDescent="0.15">
      <c r="A40" s="117" t="str">
        <f t="shared" si="0"/>
        <v>Sat</v>
      </c>
      <c r="B40" s="118"/>
      <c r="C40" s="119"/>
      <c r="D40" s="120"/>
      <c r="E40" s="120"/>
      <c r="F40" s="120"/>
      <c r="G40" s="121"/>
      <c r="H40" s="120"/>
      <c r="I40" s="120"/>
      <c r="J40" s="122"/>
      <c r="K40" s="121"/>
      <c r="L40" s="120"/>
      <c r="M40" s="120"/>
      <c r="N40" s="119"/>
      <c r="O40" s="123"/>
      <c r="P40" s="123"/>
      <c r="Q40" s="124"/>
      <c r="R40" s="124"/>
      <c r="S40" s="124"/>
      <c r="T40" s="124"/>
      <c r="U40" s="124"/>
      <c r="V40" s="124"/>
      <c r="W40" s="124"/>
      <c r="X40" s="124"/>
      <c r="Y40" s="124">
        <f t="shared" si="13"/>
        <v>0</v>
      </c>
      <c r="Z40" s="124">
        <f t="shared" si="14"/>
        <v>0</v>
      </c>
      <c r="AA40" s="124">
        <f t="shared" si="9"/>
        <v>0</v>
      </c>
      <c r="AB40" s="124">
        <f t="shared" si="10"/>
        <v>0</v>
      </c>
      <c r="AC40" s="124">
        <f t="shared" si="11"/>
        <v>0</v>
      </c>
      <c r="AD40" s="124">
        <f t="shared" si="12"/>
        <v>0</v>
      </c>
    </row>
    <row r="41" spans="1:30" x14ac:dyDescent="0.15">
      <c r="A41" s="117" t="str">
        <f t="shared" si="0"/>
        <v>Sat</v>
      </c>
      <c r="B41" s="118"/>
      <c r="C41" s="119"/>
      <c r="D41" s="120"/>
      <c r="E41" s="120"/>
      <c r="F41" s="120"/>
      <c r="G41" s="121"/>
      <c r="H41" s="120"/>
      <c r="I41" s="120"/>
      <c r="J41" s="122"/>
      <c r="K41" s="121"/>
      <c r="L41" s="120"/>
      <c r="M41" s="120"/>
      <c r="N41" s="119"/>
      <c r="O41" s="123"/>
      <c r="P41" s="123"/>
      <c r="Q41" s="124"/>
      <c r="R41" s="124"/>
      <c r="S41" s="124"/>
      <c r="T41" s="124"/>
      <c r="U41" s="124"/>
      <c r="V41" s="124"/>
      <c r="W41" s="124"/>
      <c r="X41" s="124"/>
      <c r="Y41" s="124">
        <f t="shared" si="13"/>
        <v>0</v>
      </c>
      <c r="Z41" s="124">
        <f t="shared" si="14"/>
        <v>0</v>
      </c>
      <c r="AA41" s="124">
        <f t="shared" si="9"/>
        <v>0</v>
      </c>
      <c r="AB41" s="124">
        <f t="shared" si="10"/>
        <v>0</v>
      </c>
      <c r="AC41" s="124">
        <f t="shared" si="11"/>
        <v>0</v>
      </c>
      <c r="AD41" s="124">
        <f t="shared" si="12"/>
        <v>0</v>
      </c>
    </row>
    <row r="42" spans="1:30" x14ac:dyDescent="0.15">
      <c r="A42" s="117" t="str">
        <f t="shared" si="0"/>
        <v>Sat</v>
      </c>
      <c r="B42" s="118"/>
      <c r="C42" s="119"/>
      <c r="D42" s="120"/>
      <c r="E42" s="120"/>
      <c r="F42" s="120"/>
      <c r="G42" s="121"/>
      <c r="H42" s="120"/>
      <c r="I42" s="120"/>
      <c r="J42" s="122"/>
      <c r="K42" s="121"/>
      <c r="L42" s="120"/>
      <c r="M42" s="120"/>
      <c r="N42" s="119"/>
      <c r="O42" s="123"/>
      <c r="P42" s="123"/>
      <c r="Q42" s="124"/>
      <c r="R42" s="124"/>
      <c r="S42" s="124"/>
      <c r="T42" s="124"/>
      <c r="U42" s="124"/>
      <c r="V42" s="124"/>
      <c r="W42" s="124"/>
      <c r="X42" s="124"/>
      <c r="Y42" s="124">
        <f t="shared" si="13"/>
        <v>0</v>
      </c>
      <c r="Z42" s="124">
        <f t="shared" si="14"/>
        <v>0</v>
      </c>
      <c r="AA42" s="124">
        <f t="shared" si="9"/>
        <v>0</v>
      </c>
      <c r="AB42" s="124">
        <f t="shared" si="10"/>
        <v>0</v>
      </c>
      <c r="AC42" s="124">
        <f t="shared" si="11"/>
        <v>0</v>
      </c>
      <c r="AD42" s="124">
        <f t="shared" si="12"/>
        <v>0</v>
      </c>
    </row>
    <row r="43" spans="1:30" x14ac:dyDescent="0.15">
      <c r="A43" s="117" t="str">
        <f t="shared" si="0"/>
        <v>Sat</v>
      </c>
      <c r="B43" s="118"/>
      <c r="C43" s="119"/>
      <c r="D43" s="120"/>
      <c r="E43" s="120"/>
      <c r="F43" s="120"/>
      <c r="G43" s="121"/>
      <c r="H43" s="120"/>
      <c r="I43" s="120"/>
      <c r="J43" s="122"/>
      <c r="K43" s="121"/>
      <c r="L43" s="120"/>
      <c r="M43" s="120"/>
      <c r="N43" s="119"/>
      <c r="O43" s="123"/>
      <c r="P43" s="123"/>
      <c r="Q43" s="124"/>
      <c r="R43" s="124"/>
      <c r="S43" s="124"/>
      <c r="T43" s="124"/>
      <c r="U43" s="124"/>
      <c r="V43" s="124"/>
      <c r="W43" s="124"/>
      <c r="X43" s="124"/>
      <c r="Y43" s="124">
        <f t="shared" si="13"/>
        <v>0</v>
      </c>
      <c r="Z43" s="124">
        <f t="shared" si="14"/>
        <v>0</v>
      </c>
      <c r="AA43" s="124">
        <f t="shared" si="9"/>
        <v>0</v>
      </c>
      <c r="AB43" s="124">
        <f t="shared" si="10"/>
        <v>0</v>
      </c>
      <c r="AC43" s="124">
        <f t="shared" si="11"/>
        <v>0</v>
      </c>
      <c r="AD43" s="124">
        <f t="shared" si="12"/>
        <v>0</v>
      </c>
    </row>
    <row r="44" spans="1:30" x14ac:dyDescent="0.15">
      <c r="A44" s="117" t="str">
        <f t="shared" si="0"/>
        <v>Sat</v>
      </c>
      <c r="B44" s="118"/>
      <c r="C44" s="119"/>
      <c r="D44" s="120"/>
      <c r="E44" s="120"/>
      <c r="F44" s="120"/>
      <c r="G44" s="121"/>
      <c r="H44" s="120"/>
      <c r="I44" s="120"/>
      <c r="J44" s="122"/>
      <c r="K44" s="121"/>
      <c r="L44" s="120"/>
      <c r="M44" s="120"/>
      <c r="N44" s="119"/>
      <c r="O44" s="123"/>
      <c r="P44" s="123"/>
      <c r="Q44" s="124"/>
      <c r="R44" s="124"/>
      <c r="S44" s="124"/>
      <c r="T44" s="124"/>
      <c r="U44" s="124"/>
      <c r="V44" s="124"/>
      <c r="W44" s="124"/>
      <c r="X44" s="124"/>
      <c r="Y44" s="124">
        <f t="shared" si="13"/>
        <v>0</v>
      </c>
      <c r="Z44" s="124">
        <f t="shared" si="14"/>
        <v>0</v>
      </c>
      <c r="AA44" s="124">
        <f t="shared" si="9"/>
        <v>0</v>
      </c>
      <c r="AB44" s="124">
        <f t="shared" si="10"/>
        <v>0</v>
      </c>
      <c r="AC44" s="124">
        <f t="shared" si="11"/>
        <v>0</v>
      </c>
      <c r="AD44" s="124">
        <f t="shared" si="12"/>
        <v>0</v>
      </c>
    </row>
    <row r="45" spans="1:30" x14ac:dyDescent="0.15">
      <c r="A45" s="117" t="str">
        <f t="shared" si="0"/>
        <v>Sat</v>
      </c>
      <c r="B45" s="118"/>
      <c r="C45" s="119"/>
      <c r="D45" s="120"/>
      <c r="E45" s="120"/>
      <c r="F45" s="120"/>
      <c r="G45" s="121"/>
      <c r="H45" s="120"/>
      <c r="I45" s="120"/>
      <c r="J45" s="122"/>
      <c r="K45" s="121"/>
      <c r="L45" s="120"/>
      <c r="M45" s="120"/>
      <c r="N45" s="119"/>
      <c r="O45" s="123"/>
      <c r="P45" s="123"/>
      <c r="Q45" s="124"/>
      <c r="R45" s="124"/>
      <c r="S45" s="124"/>
      <c r="T45" s="124"/>
      <c r="U45" s="124"/>
      <c r="V45" s="124"/>
      <c r="W45" s="124"/>
      <c r="X45" s="124"/>
      <c r="Y45" s="124">
        <f t="shared" si="13"/>
        <v>0</v>
      </c>
      <c r="Z45" s="124">
        <f t="shared" si="14"/>
        <v>0</v>
      </c>
      <c r="AA45" s="124">
        <f t="shared" si="9"/>
        <v>0</v>
      </c>
      <c r="AB45" s="124">
        <f t="shared" si="10"/>
        <v>0</v>
      </c>
      <c r="AC45" s="124">
        <f t="shared" si="11"/>
        <v>0</v>
      </c>
      <c r="AD45" s="124">
        <f t="shared" si="12"/>
        <v>0</v>
      </c>
    </row>
    <row r="46" spans="1:30" x14ac:dyDescent="0.15">
      <c r="A46" s="117" t="str">
        <f t="shared" si="0"/>
        <v>Sat</v>
      </c>
      <c r="B46" s="118"/>
      <c r="C46" s="119"/>
      <c r="D46" s="120"/>
      <c r="E46" s="120"/>
      <c r="F46" s="120"/>
      <c r="G46" s="121"/>
      <c r="H46" s="120"/>
      <c r="I46" s="120"/>
      <c r="J46" s="122"/>
      <c r="K46" s="121"/>
      <c r="L46" s="120"/>
      <c r="M46" s="120"/>
      <c r="N46" s="119"/>
      <c r="O46" s="123"/>
      <c r="P46" s="123"/>
      <c r="Q46" s="124"/>
      <c r="R46" s="124"/>
      <c r="S46" s="124"/>
      <c r="T46" s="124"/>
      <c r="U46" s="124"/>
      <c r="V46" s="124"/>
      <c r="W46" s="124"/>
      <c r="X46" s="124"/>
      <c r="Y46" s="124">
        <f>SUM(Q46:T46)</f>
        <v>0</v>
      </c>
      <c r="Z46" s="124">
        <f>SUM(U46:X46)</f>
        <v>0</v>
      </c>
      <c r="AA46" s="124">
        <f>IF(F46="TOCC",G46,K46)</f>
        <v>0</v>
      </c>
      <c r="AB46" s="124">
        <f>IF(F46&lt;&gt;"TOCC",G46,K46)</f>
        <v>0</v>
      </c>
      <c r="AC46" s="124">
        <f>IF(F46="TOCC",H46,L46)</f>
        <v>0</v>
      </c>
      <c r="AD46" s="124">
        <f>IF(F46&lt;&gt;"TOCC",H46,L46)</f>
        <v>0</v>
      </c>
    </row>
    <row r="47" spans="1:30" x14ac:dyDescent="0.15">
      <c r="A47" s="117" t="str">
        <f t="shared" si="0"/>
        <v>Sat</v>
      </c>
      <c r="B47" s="118"/>
      <c r="C47" s="119"/>
      <c r="D47" s="120"/>
      <c r="E47" s="120"/>
      <c r="F47" s="120"/>
      <c r="G47" s="121"/>
      <c r="H47" s="120"/>
      <c r="I47" s="120"/>
      <c r="J47" s="122"/>
      <c r="K47" s="121"/>
      <c r="L47" s="120"/>
      <c r="M47" s="120"/>
      <c r="N47" s="119"/>
      <c r="O47" s="123"/>
      <c r="P47" s="123"/>
      <c r="Q47" s="124"/>
      <c r="R47" s="124"/>
      <c r="S47" s="124"/>
      <c r="T47" s="124"/>
      <c r="U47" s="124"/>
      <c r="V47" s="124"/>
      <c r="W47" s="124"/>
      <c r="X47" s="124"/>
      <c r="Y47" s="124">
        <f>SUM(Q47:T47)</f>
        <v>0</v>
      </c>
      <c r="Z47" s="124">
        <f>SUM(U47:X47)</f>
        <v>0</v>
      </c>
      <c r="AA47" s="124">
        <f t="shared" si="9"/>
        <v>0</v>
      </c>
      <c r="AB47" s="124">
        <f t="shared" si="10"/>
        <v>0</v>
      </c>
      <c r="AC47" s="124">
        <f t="shared" si="11"/>
        <v>0</v>
      </c>
      <c r="AD47" s="124">
        <f t="shared" si="12"/>
        <v>0</v>
      </c>
    </row>
    <row r="48" spans="1:30" x14ac:dyDescent="0.15">
      <c r="A48" s="117" t="str">
        <f t="shared" si="0"/>
        <v>Sat</v>
      </c>
      <c r="B48" s="118"/>
      <c r="C48" s="119"/>
      <c r="D48" s="120"/>
      <c r="E48" s="120"/>
      <c r="F48" s="120"/>
      <c r="G48" s="121"/>
      <c r="H48" s="120"/>
      <c r="I48" s="120"/>
      <c r="J48" s="122"/>
      <c r="K48" s="121"/>
      <c r="L48" s="120"/>
      <c r="M48" s="120"/>
      <c r="N48" s="119"/>
      <c r="O48" s="123"/>
      <c r="P48" s="123"/>
      <c r="Q48" s="124"/>
      <c r="R48" s="124"/>
      <c r="S48" s="124"/>
      <c r="T48" s="124"/>
      <c r="U48" s="124"/>
      <c r="V48" s="124"/>
      <c r="W48" s="124"/>
      <c r="X48" s="124"/>
      <c r="Y48" s="124">
        <f t="shared" si="13"/>
        <v>0</v>
      </c>
      <c r="Z48" s="124">
        <f t="shared" si="14"/>
        <v>0</v>
      </c>
      <c r="AA48" s="124">
        <f t="shared" si="9"/>
        <v>0</v>
      </c>
      <c r="AB48" s="124">
        <f t="shared" si="10"/>
        <v>0</v>
      </c>
      <c r="AC48" s="124">
        <f t="shared" si="11"/>
        <v>0</v>
      </c>
      <c r="AD48" s="124">
        <f t="shared" si="12"/>
        <v>0</v>
      </c>
    </row>
    <row r="49" spans="1:30" x14ac:dyDescent="0.15">
      <c r="A49" s="117" t="str">
        <f t="shared" si="0"/>
        <v>Sat</v>
      </c>
      <c r="B49" s="118"/>
      <c r="C49" s="119"/>
      <c r="D49" s="120"/>
      <c r="E49" s="120"/>
      <c r="F49" s="120"/>
      <c r="G49" s="121"/>
      <c r="H49" s="120"/>
      <c r="I49" s="120"/>
      <c r="J49" s="122"/>
      <c r="K49" s="121"/>
      <c r="L49" s="120"/>
      <c r="M49" s="120"/>
      <c r="N49" s="119"/>
      <c r="O49" s="123"/>
      <c r="P49" s="123"/>
      <c r="Q49" s="124"/>
      <c r="R49" s="124"/>
      <c r="S49" s="124"/>
      <c r="T49" s="124"/>
      <c r="U49" s="124"/>
      <c r="V49" s="124"/>
      <c r="W49" s="124"/>
      <c r="X49" s="124"/>
      <c r="Y49" s="124">
        <f t="shared" si="13"/>
        <v>0</v>
      </c>
      <c r="Z49" s="124">
        <f t="shared" si="14"/>
        <v>0</v>
      </c>
      <c r="AA49" s="124">
        <f t="shared" si="9"/>
        <v>0</v>
      </c>
      <c r="AB49" s="124">
        <f t="shared" si="10"/>
        <v>0</v>
      </c>
      <c r="AC49" s="124">
        <f t="shared" si="11"/>
        <v>0</v>
      </c>
      <c r="AD49" s="124">
        <f t="shared" si="12"/>
        <v>0</v>
      </c>
    </row>
    <row r="50" spans="1:30" x14ac:dyDescent="0.15">
      <c r="A50" s="117" t="str">
        <f t="shared" si="0"/>
        <v>Sat</v>
      </c>
      <c r="B50" s="118"/>
      <c r="C50" s="119"/>
      <c r="D50" s="120"/>
      <c r="E50" s="120"/>
      <c r="F50" s="120"/>
      <c r="G50" s="121"/>
      <c r="H50" s="120"/>
      <c r="I50" s="120"/>
      <c r="J50" s="122"/>
      <c r="K50" s="121"/>
      <c r="L50" s="120"/>
      <c r="M50" s="120"/>
      <c r="N50" s="119"/>
      <c r="O50" s="123"/>
      <c r="P50" s="123"/>
      <c r="Q50" s="124"/>
      <c r="R50" s="124"/>
      <c r="S50" s="124"/>
      <c r="T50" s="124"/>
      <c r="U50" s="124"/>
      <c r="V50" s="124"/>
      <c r="W50" s="124"/>
      <c r="X50" s="124"/>
      <c r="Y50" s="124">
        <f t="shared" si="13"/>
        <v>0</v>
      </c>
      <c r="Z50" s="124">
        <f t="shared" si="14"/>
        <v>0</v>
      </c>
      <c r="AA50" s="124">
        <f t="shared" si="9"/>
        <v>0</v>
      </c>
      <c r="AB50" s="124">
        <f t="shared" si="10"/>
        <v>0</v>
      </c>
      <c r="AC50" s="124">
        <f t="shared" si="11"/>
        <v>0</v>
      </c>
      <c r="AD50" s="124">
        <f t="shared" si="12"/>
        <v>0</v>
      </c>
    </row>
    <row r="51" spans="1:30" x14ac:dyDescent="0.15">
      <c r="A51" s="117" t="str">
        <f t="shared" si="0"/>
        <v>Sat</v>
      </c>
      <c r="B51" s="118"/>
      <c r="C51" s="119"/>
      <c r="D51" s="120"/>
      <c r="E51" s="120"/>
      <c r="F51" s="120"/>
      <c r="G51" s="121"/>
      <c r="H51" s="120"/>
      <c r="I51" s="120"/>
      <c r="J51" s="122"/>
      <c r="K51" s="121"/>
      <c r="L51" s="120"/>
      <c r="M51" s="120"/>
      <c r="N51" s="119"/>
      <c r="O51" s="123"/>
      <c r="P51" s="123"/>
      <c r="Q51" s="124"/>
      <c r="R51" s="124"/>
      <c r="S51" s="124"/>
      <c r="T51" s="124"/>
      <c r="U51" s="124"/>
      <c r="V51" s="124"/>
      <c r="W51" s="124"/>
      <c r="X51" s="124"/>
      <c r="Y51" s="124">
        <f t="shared" si="13"/>
        <v>0</v>
      </c>
      <c r="Z51" s="124">
        <f t="shared" si="14"/>
        <v>0</v>
      </c>
      <c r="AA51" s="124">
        <f t="shared" si="9"/>
        <v>0</v>
      </c>
      <c r="AB51" s="124">
        <f t="shared" si="10"/>
        <v>0</v>
      </c>
      <c r="AC51" s="124">
        <f t="shared" si="11"/>
        <v>0</v>
      </c>
      <c r="AD51" s="124">
        <f t="shared" si="12"/>
        <v>0</v>
      </c>
    </row>
    <row r="52" spans="1:30" x14ac:dyDescent="0.15">
      <c r="A52" s="117" t="str">
        <f t="shared" si="0"/>
        <v>Sat</v>
      </c>
      <c r="B52" s="118"/>
      <c r="C52" s="119"/>
      <c r="D52" s="120"/>
      <c r="E52" s="120"/>
      <c r="F52" s="120"/>
      <c r="G52" s="121"/>
      <c r="H52" s="120"/>
      <c r="I52" s="120"/>
      <c r="J52" s="122"/>
      <c r="K52" s="121"/>
      <c r="L52" s="120"/>
      <c r="M52" s="120"/>
      <c r="N52" s="119"/>
      <c r="O52" s="123"/>
      <c r="P52" s="123"/>
      <c r="Q52" s="124"/>
      <c r="R52" s="124"/>
      <c r="S52" s="124"/>
      <c r="T52" s="124"/>
      <c r="U52" s="124"/>
      <c r="V52" s="124"/>
      <c r="W52" s="124"/>
      <c r="X52" s="124"/>
      <c r="Y52" s="124">
        <f t="shared" si="13"/>
        <v>0</v>
      </c>
      <c r="Z52" s="124">
        <f t="shared" si="14"/>
        <v>0</v>
      </c>
      <c r="AA52" s="124">
        <f t="shared" si="9"/>
        <v>0</v>
      </c>
      <c r="AB52" s="124">
        <f t="shared" si="10"/>
        <v>0</v>
      </c>
      <c r="AC52" s="124">
        <f t="shared" si="11"/>
        <v>0</v>
      </c>
      <c r="AD52" s="124">
        <f t="shared" si="12"/>
        <v>0</v>
      </c>
    </row>
    <row r="53" spans="1:30" x14ac:dyDescent="0.15">
      <c r="A53" s="117" t="str">
        <f t="shared" si="0"/>
        <v>Sat</v>
      </c>
      <c r="B53" s="118"/>
      <c r="C53" s="119"/>
      <c r="D53" s="120"/>
      <c r="E53" s="120"/>
      <c r="F53" s="120"/>
      <c r="G53" s="121"/>
      <c r="H53" s="120"/>
      <c r="I53" s="120"/>
      <c r="J53" s="122"/>
      <c r="K53" s="121"/>
      <c r="L53" s="120"/>
      <c r="M53" s="120"/>
      <c r="N53" s="119"/>
      <c r="O53" s="123"/>
      <c r="P53" s="123"/>
      <c r="Q53" s="124"/>
      <c r="R53" s="124"/>
      <c r="S53" s="124"/>
      <c r="T53" s="124"/>
      <c r="U53" s="124"/>
      <c r="V53" s="124"/>
      <c r="W53" s="124"/>
      <c r="X53" s="124"/>
      <c r="Y53" s="124">
        <f t="shared" si="13"/>
        <v>0</v>
      </c>
      <c r="Z53" s="124">
        <f t="shared" si="14"/>
        <v>0</v>
      </c>
      <c r="AA53" s="124">
        <f t="shared" si="9"/>
        <v>0</v>
      </c>
      <c r="AB53" s="124">
        <f t="shared" si="10"/>
        <v>0</v>
      </c>
      <c r="AC53" s="124">
        <f t="shared" si="11"/>
        <v>0</v>
      </c>
      <c r="AD53" s="124">
        <f t="shared" si="12"/>
        <v>0</v>
      </c>
    </row>
    <row r="54" spans="1:30" x14ac:dyDescent="0.15">
      <c r="A54" s="117" t="str">
        <f t="shared" si="0"/>
        <v>Sat</v>
      </c>
      <c r="B54" s="118"/>
      <c r="C54" s="125"/>
      <c r="D54" s="120"/>
      <c r="E54" s="120"/>
      <c r="F54" s="120"/>
      <c r="G54" s="121"/>
      <c r="H54" s="120"/>
      <c r="I54" s="120"/>
      <c r="J54" s="122"/>
      <c r="K54" s="121"/>
      <c r="L54" s="120"/>
      <c r="M54" s="120"/>
      <c r="N54" s="119"/>
      <c r="O54" s="123"/>
      <c r="P54" s="123"/>
      <c r="Q54" s="124"/>
      <c r="R54" s="124"/>
      <c r="S54" s="124"/>
      <c r="T54" s="124"/>
      <c r="U54" s="124"/>
      <c r="V54" s="124"/>
      <c r="W54" s="124"/>
      <c r="X54" s="124"/>
      <c r="Y54" s="124">
        <f t="shared" si="13"/>
        <v>0</v>
      </c>
      <c r="Z54" s="124">
        <f t="shared" si="14"/>
        <v>0</v>
      </c>
      <c r="AA54" s="124">
        <f t="shared" si="9"/>
        <v>0</v>
      </c>
      <c r="AB54" s="124">
        <f t="shared" si="10"/>
        <v>0</v>
      </c>
      <c r="AC54" s="124">
        <f t="shared" si="11"/>
        <v>0</v>
      </c>
      <c r="AD54" s="124">
        <f t="shared" si="12"/>
        <v>0</v>
      </c>
    </row>
    <row r="55" spans="1:30" x14ac:dyDescent="0.15">
      <c r="A55" s="117" t="str">
        <f t="shared" si="0"/>
        <v>Sat</v>
      </c>
      <c r="B55" s="118"/>
      <c r="C55" s="119"/>
      <c r="D55" s="120"/>
      <c r="E55" s="120"/>
      <c r="F55" s="120"/>
      <c r="G55" s="121"/>
      <c r="H55" s="120"/>
      <c r="I55" s="120"/>
      <c r="J55" s="122"/>
      <c r="K55" s="121"/>
      <c r="L55" s="120"/>
      <c r="M55" s="120"/>
      <c r="N55" s="119"/>
      <c r="O55" s="123"/>
      <c r="P55" s="123"/>
      <c r="Q55" s="124"/>
      <c r="R55" s="124"/>
      <c r="S55" s="124"/>
      <c r="T55" s="124"/>
      <c r="U55" s="124"/>
      <c r="V55" s="124"/>
      <c r="W55" s="124"/>
      <c r="X55" s="124"/>
      <c r="Y55" s="124">
        <f t="shared" si="13"/>
        <v>0</v>
      </c>
      <c r="Z55" s="124">
        <f t="shared" si="14"/>
        <v>0</v>
      </c>
      <c r="AA55" s="124">
        <f t="shared" si="9"/>
        <v>0</v>
      </c>
      <c r="AB55" s="124">
        <f t="shared" si="10"/>
        <v>0</v>
      </c>
      <c r="AC55" s="124">
        <f t="shared" si="11"/>
        <v>0</v>
      </c>
      <c r="AD55" s="124">
        <f t="shared" si="12"/>
        <v>0</v>
      </c>
    </row>
    <row r="56" spans="1:30" x14ac:dyDescent="0.15">
      <c r="A56" s="117" t="str">
        <f t="shared" si="0"/>
        <v>Sat</v>
      </c>
      <c r="B56" s="118"/>
      <c r="C56" s="119"/>
      <c r="D56" s="120"/>
      <c r="E56" s="120"/>
      <c r="F56" s="120"/>
      <c r="G56" s="121"/>
      <c r="H56" s="120"/>
      <c r="I56" s="120"/>
      <c r="J56" s="122"/>
      <c r="K56" s="121"/>
      <c r="L56" s="120"/>
      <c r="M56" s="120"/>
      <c r="N56" s="119"/>
      <c r="O56" s="123"/>
      <c r="P56" s="123"/>
      <c r="Q56" s="124"/>
      <c r="R56" s="124"/>
      <c r="S56" s="124"/>
      <c r="T56" s="124"/>
      <c r="U56" s="124"/>
      <c r="V56" s="124"/>
      <c r="W56" s="124"/>
      <c r="X56" s="124"/>
      <c r="Y56" s="124">
        <f t="shared" si="13"/>
        <v>0</v>
      </c>
      <c r="Z56" s="124">
        <f t="shared" si="14"/>
        <v>0</v>
      </c>
      <c r="AA56" s="124">
        <f t="shared" si="9"/>
        <v>0</v>
      </c>
      <c r="AB56" s="124">
        <f t="shared" si="10"/>
        <v>0</v>
      </c>
      <c r="AC56" s="124">
        <f t="shared" si="11"/>
        <v>0</v>
      </c>
      <c r="AD56" s="124">
        <f t="shared" si="12"/>
        <v>0</v>
      </c>
    </row>
    <row r="57" spans="1:30" x14ac:dyDescent="0.15">
      <c r="A57" s="117" t="str">
        <f t="shared" si="0"/>
        <v>Sat</v>
      </c>
      <c r="B57" s="118"/>
      <c r="C57" s="119"/>
      <c r="D57" s="120"/>
      <c r="E57" s="120"/>
      <c r="F57" s="120"/>
      <c r="G57" s="121"/>
      <c r="H57" s="120"/>
      <c r="I57" s="120"/>
      <c r="J57" s="122"/>
      <c r="K57" s="121"/>
      <c r="L57" s="120"/>
      <c r="M57" s="120"/>
      <c r="N57" s="119"/>
      <c r="O57" s="123"/>
      <c r="P57" s="123"/>
      <c r="Q57" s="124"/>
      <c r="R57" s="124"/>
      <c r="S57" s="124"/>
      <c r="T57" s="124"/>
      <c r="U57" s="124"/>
      <c r="V57" s="124"/>
      <c r="W57" s="124"/>
      <c r="X57" s="124"/>
      <c r="Y57" s="124">
        <f t="shared" si="13"/>
        <v>0</v>
      </c>
      <c r="Z57" s="124">
        <f t="shared" si="14"/>
        <v>0</v>
      </c>
      <c r="AA57" s="124">
        <f t="shared" si="9"/>
        <v>0</v>
      </c>
      <c r="AB57" s="124">
        <f t="shared" si="10"/>
        <v>0</v>
      </c>
      <c r="AC57" s="124">
        <f t="shared" si="11"/>
        <v>0</v>
      </c>
      <c r="AD57" s="124">
        <f t="shared" si="12"/>
        <v>0</v>
      </c>
    </row>
    <row r="58" spans="1:30" x14ac:dyDescent="0.15">
      <c r="A58" s="117" t="str">
        <f t="shared" si="0"/>
        <v>Sat</v>
      </c>
      <c r="B58" s="118"/>
      <c r="C58" s="119"/>
      <c r="D58" s="120"/>
      <c r="E58" s="120"/>
      <c r="F58" s="120"/>
      <c r="G58" s="121"/>
      <c r="H58" s="120"/>
      <c r="I58" s="120" t="s">
        <v>108</v>
      </c>
      <c r="J58" s="122"/>
      <c r="K58" s="121"/>
      <c r="L58" s="120"/>
      <c r="M58" s="120"/>
      <c r="N58" s="119"/>
      <c r="O58" s="123"/>
      <c r="P58" s="123"/>
      <c r="Q58" s="124"/>
      <c r="R58" s="124"/>
      <c r="S58" s="124"/>
      <c r="T58" s="124"/>
      <c r="U58" s="124"/>
      <c r="V58" s="124"/>
      <c r="W58" s="124"/>
      <c r="X58" s="124"/>
      <c r="Y58" s="124">
        <f t="shared" si="13"/>
        <v>0</v>
      </c>
      <c r="Z58" s="124">
        <f t="shared" si="14"/>
        <v>0</v>
      </c>
      <c r="AA58" s="124">
        <f t="shared" si="9"/>
        <v>0</v>
      </c>
      <c r="AB58" s="124">
        <f t="shared" si="10"/>
        <v>0</v>
      </c>
      <c r="AC58" s="124">
        <f t="shared" si="11"/>
        <v>0</v>
      </c>
      <c r="AD58" s="124">
        <f t="shared" si="12"/>
        <v>0</v>
      </c>
    </row>
    <row r="59" spans="1:30" x14ac:dyDescent="0.15">
      <c r="A59" s="117" t="str">
        <f t="shared" si="0"/>
        <v>Sat</v>
      </c>
      <c r="B59" s="118"/>
      <c r="C59" s="119"/>
      <c r="D59" s="120"/>
      <c r="E59" s="120"/>
      <c r="F59" s="120"/>
      <c r="G59" s="121"/>
      <c r="H59" s="120"/>
      <c r="I59" s="120" t="s">
        <v>108</v>
      </c>
      <c r="J59" s="122"/>
      <c r="K59" s="121"/>
      <c r="L59" s="120"/>
      <c r="M59" s="120"/>
      <c r="N59" s="119"/>
      <c r="O59" s="123"/>
      <c r="P59" s="123"/>
      <c r="Q59" s="124"/>
      <c r="R59" s="124"/>
      <c r="S59" s="124"/>
      <c r="T59" s="124"/>
      <c r="U59" s="124"/>
      <c r="V59" s="124"/>
      <c r="W59" s="124"/>
      <c r="X59" s="124"/>
      <c r="Y59" s="124">
        <f t="shared" si="13"/>
        <v>0</v>
      </c>
      <c r="Z59" s="124">
        <f t="shared" si="14"/>
        <v>0</v>
      </c>
      <c r="AA59" s="124">
        <f t="shared" si="9"/>
        <v>0</v>
      </c>
      <c r="AB59" s="124">
        <f t="shared" si="10"/>
        <v>0</v>
      </c>
      <c r="AC59" s="124">
        <f t="shared" si="11"/>
        <v>0</v>
      </c>
      <c r="AD59" s="124">
        <f t="shared" si="12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6"/>
      <c r="K61" s="33"/>
      <c r="L61" s="35"/>
      <c r="M61" s="35"/>
      <c r="N61" s="36" t="s">
        <v>155</v>
      </c>
      <c r="O61" s="36">
        <f>MAX(O5:O59)</f>
        <v>44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6"/>
      <c r="K63" s="33"/>
      <c r="L63" s="35"/>
      <c r="M63" s="35"/>
      <c r="N63" s="36"/>
      <c r="O63" s="36">
        <f t="array" ref="O63">SUM(FLOOR(O5:O59,1))</f>
        <v>767</v>
      </c>
      <c r="P63" s="36">
        <f t="array" ref="P63">SUM(FLOOR(P5:P59,1))</f>
        <v>825</v>
      </c>
      <c r="Q63" s="37">
        <f>SUM(Q5:Q59)</f>
        <v>118</v>
      </c>
      <c r="R63" s="37">
        <f t="shared" ref="R63:Z63" si="15">SUM(R5:R59)</f>
        <v>32</v>
      </c>
      <c r="S63" s="37">
        <f t="shared" si="15"/>
        <v>102</v>
      </c>
      <c r="T63" s="37">
        <f t="shared" si="15"/>
        <v>47</v>
      </c>
      <c r="U63" s="37">
        <f t="shared" si="15"/>
        <v>254</v>
      </c>
      <c r="V63" s="37">
        <f t="shared" si="15"/>
        <v>61</v>
      </c>
      <c r="W63" s="37">
        <f t="shared" si="15"/>
        <v>122</v>
      </c>
      <c r="X63" s="37">
        <f t="shared" si="15"/>
        <v>44</v>
      </c>
      <c r="Y63" s="37">
        <f t="shared" si="15"/>
        <v>379</v>
      </c>
      <c r="Z63" s="37">
        <f t="shared" si="15"/>
        <v>481</v>
      </c>
      <c r="AA63" s="26">
        <f>SUM(AA5:AA59)</f>
        <v>2892</v>
      </c>
      <c r="AB63" s="26">
        <f>SUM(AB5:AB59)</f>
        <v>3769</v>
      </c>
      <c r="AC63" s="26">
        <f>SUM(AC5:AC59)</f>
        <v>176</v>
      </c>
      <c r="AD63" s="26">
        <f>SUM(AD5:AD59)</f>
        <v>171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6"/>
      <c r="K64" s="33"/>
      <c r="L64" s="35"/>
      <c r="M64" s="35"/>
      <c r="N64" s="36"/>
      <c r="O64" s="36">
        <f t="array" ref="O64">SUM(O5:O59-FLOOR(O5:O59,1))*10</f>
        <v>37.999999999999936</v>
      </c>
      <c r="P64" s="36">
        <f t="array" ref="P64">SUM(P5:P59-FLOOR(P5:P59,1))*10</f>
        <v>30.000000000000071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6"/>
      <c r="K65" s="33"/>
      <c r="L65" s="35"/>
      <c r="M65" s="35"/>
      <c r="N65" s="36" t="s">
        <v>154</v>
      </c>
      <c r="O65" s="36">
        <f>O63*6+O64</f>
        <v>4640</v>
      </c>
      <c r="P65" s="36">
        <f>P63*6+P64</f>
        <v>4980</v>
      </c>
      <c r="Q65" s="37"/>
      <c r="R65" s="37"/>
      <c r="S65" s="37">
        <f>MAX(S7:S59)</f>
        <v>10</v>
      </c>
      <c r="T65" s="37"/>
      <c r="U65" s="37"/>
      <c r="V65" s="37"/>
      <c r="W65" s="37">
        <f>MAX(W7:W59)</f>
        <v>13</v>
      </c>
      <c r="X65" s="37"/>
      <c r="Z65" s="26" t="s">
        <v>38</v>
      </c>
      <c r="AA65" s="26">
        <f>AA63/AC63</f>
        <v>16.431818181818183</v>
      </c>
      <c r="AB65" s="26">
        <f>AB63/AD63</f>
        <v>22.040935672514621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6"/>
      <c r="K66" s="33"/>
      <c r="L66" s="35"/>
      <c r="M66" s="35"/>
      <c r="N66" s="36" t="s">
        <v>205</v>
      </c>
      <c r="O66" s="36">
        <f>INT(O65/6)+(O65-INT(O65/6)*6)/10</f>
        <v>773.2</v>
      </c>
      <c r="P66" s="36">
        <f>INT(P65/6)+(P65-INT(P65/6)*6)/10</f>
        <v>830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6"/>
      <c r="K67" s="33"/>
      <c r="L67" s="35"/>
      <c r="M67" s="35"/>
      <c r="N67" s="36" t="s">
        <v>206</v>
      </c>
      <c r="O67" s="36">
        <f>AA63/O65*100</f>
        <v>62.327586206896555</v>
      </c>
      <c r="P67" s="36">
        <f>AB63/P65*100</f>
        <v>75.682730923694777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149.57190635451505</v>
      </c>
      <c r="R68" s="26">
        <f t="shared" ref="R68:T68" si="16">$Y$63*R63/SUM($Q$63:$T$63)</f>
        <v>40.561872909698998</v>
      </c>
      <c r="S68" s="26">
        <f t="shared" si="16"/>
        <v>129.29096989966555</v>
      </c>
      <c r="T68" s="26">
        <f t="shared" si="16"/>
        <v>59.575250836120404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6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3"/>
  <sheetViews>
    <sheetView workbookViewId="0">
      <pane xSplit="3" ySplit="4" topLeftCell="CC5" activePane="bottomRight" state="frozenSplit"/>
      <selection pane="topRight" activeCell="D1" sqref="D1"/>
      <selection pane="bottomLeft" activeCell="A4" sqref="A4"/>
      <selection pane="bottomRight" activeCell="DH5" activeCellId="1" sqref="C5:C39 DH5:DH39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710937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39929</v>
      </c>
      <c r="E1" s="67">
        <v>39936</v>
      </c>
      <c r="F1" s="67">
        <v>39943</v>
      </c>
      <c r="G1" s="67">
        <v>39950</v>
      </c>
      <c r="H1" s="67">
        <v>39956</v>
      </c>
      <c r="I1" s="67">
        <v>39957</v>
      </c>
      <c r="J1" s="67">
        <v>39958</v>
      </c>
      <c r="K1" s="67">
        <v>39964</v>
      </c>
      <c r="L1" s="67">
        <v>39971</v>
      </c>
      <c r="M1" s="67">
        <v>39978</v>
      </c>
      <c r="N1" s="67">
        <v>39985</v>
      </c>
      <c r="O1" s="67">
        <v>39991</v>
      </c>
      <c r="P1" s="67">
        <v>39999</v>
      </c>
      <c r="Q1" s="67">
        <v>40006</v>
      </c>
      <c r="R1" s="67">
        <v>40013</v>
      </c>
      <c r="S1" s="67">
        <v>40020</v>
      </c>
      <c r="T1" s="67">
        <v>40027</v>
      </c>
      <c r="U1" s="67">
        <v>40034</v>
      </c>
      <c r="V1" s="67">
        <v>40041</v>
      </c>
      <c r="W1" s="67">
        <v>40048</v>
      </c>
      <c r="X1" s="67">
        <v>40055</v>
      </c>
      <c r="Y1" s="67">
        <v>40062</v>
      </c>
      <c r="Z1" s="67">
        <v>40075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 Lamgas</v>
      </c>
      <c r="E2" s="71" t="str">
        <v>Norwood</v>
      </c>
      <c r="F2" s="71" t="str">
        <v>Robinson Lakeside</v>
      </c>
      <c r="G2" s="71" t="str">
        <v>Sydenham</v>
      </c>
      <c r="H2" s="71" t="str">
        <v>Churchleigh</v>
      </c>
      <c r="I2" s="71" t="str">
        <v>Woodgreen</v>
      </c>
      <c r="J2" s="71" t="str">
        <v>Steeple Langford</v>
      </c>
      <c r="K2" s="71" t="str">
        <v>Beddington</v>
      </c>
      <c r="L2" s="71" t="str">
        <v>Vishwa</v>
      </c>
      <c r="M2" s="71" t="str">
        <v>Sanderstead</v>
      </c>
      <c r="N2" s="71" t="str">
        <v>LESSA</v>
      </c>
      <c r="O2" s="71" t="str">
        <v>Catford Cyphers</v>
      </c>
      <c r="P2" s="71" t="str">
        <v>Norwood Exiles</v>
      </c>
      <c r="Q2" s="71" t="str">
        <v>Old Josephians</v>
      </c>
      <c r="R2" s="71" t="str">
        <v>Southern Railways</v>
      </c>
      <c r="S2" s="71" t="str">
        <v>Norwood</v>
      </c>
      <c r="T2" s="71" t="str">
        <v>Bromley Town</v>
      </c>
      <c r="U2" s="71" t="str">
        <v>John Fisher Lamgas</v>
      </c>
      <c r="V2" s="71" t="str">
        <v>Weybridge Vandals</v>
      </c>
      <c r="W2" s="71" t="str">
        <v>Norwood Exiles</v>
      </c>
      <c r="X2" s="71" t="str">
        <v>LESSA</v>
      </c>
      <c r="Y2" s="71" t="str">
        <v>Churchleigh</v>
      </c>
      <c r="Z2" s="71" t="str">
        <v>Ex-Blues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A</v>
      </c>
      <c r="E3" s="55" t="str">
        <v>A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 t="str">
        <v>H</v>
      </c>
      <c r="M3" s="55" t="str">
        <v>A</v>
      </c>
      <c r="N3" s="55" t="str">
        <v>A</v>
      </c>
      <c r="O3" s="55" t="str">
        <v>A</v>
      </c>
      <c r="P3" s="55" t="str">
        <v>A</v>
      </c>
      <c r="Q3" s="55" t="str">
        <v>H</v>
      </c>
      <c r="R3" s="55" t="str">
        <v>A</v>
      </c>
      <c r="S3" s="55" t="str">
        <v>H</v>
      </c>
      <c r="T3" s="55" t="str">
        <v>A</v>
      </c>
      <c r="U3" s="55" t="str">
        <v>H</v>
      </c>
      <c r="V3" s="55" t="str">
        <v>A</v>
      </c>
      <c r="W3" s="55" t="str">
        <v>H</v>
      </c>
      <c r="X3" s="55" t="str">
        <v>H</v>
      </c>
      <c r="Y3" s="55" t="str">
        <v>H</v>
      </c>
      <c r="Z3" s="55" t="str">
        <v>A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W</v>
      </c>
      <c r="E4" s="55" t="str">
        <v>L</v>
      </c>
      <c r="F4" s="55" t="str">
        <v>L</v>
      </c>
      <c r="G4" s="55" t="str">
        <v>L</v>
      </c>
      <c r="H4" s="55" t="str">
        <v>L</v>
      </c>
      <c r="I4" s="55" t="str">
        <v>L</v>
      </c>
      <c r="J4" s="55" t="str">
        <v>W</v>
      </c>
      <c r="K4" s="55" t="str">
        <v>L</v>
      </c>
      <c r="L4" s="55" t="str">
        <v>L</v>
      </c>
      <c r="M4" s="55" t="str">
        <v>L</v>
      </c>
      <c r="N4" s="55" t="str">
        <v>W</v>
      </c>
      <c r="O4" s="55" t="str">
        <v>W</v>
      </c>
      <c r="P4" s="55" t="str">
        <v>D</v>
      </c>
      <c r="Q4" s="55" t="str">
        <v>D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L</v>
      </c>
      <c r="W4" s="55" t="str">
        <v>W</v>
      </c>
      <c r="X4" s="55" t="str">
        <v>L</v>
      </c>
      <c r="Y4" s="55" t="str">
        <v>W</v>
      </c>
      <c r="Z4" s="55" t="str">
        <v>W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126</v>
      </c>
      <c r="CJ4" s="50" t="s">
        <v>142</v>
      </c>
      <c r="CK4" s="50" t="s">
        <v>9</v>
      </c>
      <c r="CL4" s="47" t="s">
        <v>38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214</v>
      </c>
      <c r="CX4" s="76" t="s">
        <v>720</v>
      </c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127</v>
      </c>
      <c r="DD4" s="70" t="s">
        <v>128</v>
      </c>
      <c r="DE4" s="70" t="s">
        <v>140</v>
      </c>
      <c r="DF4" s="70" t="s">
        <v>139</v>
      </c>
      <c r="DG4" s="70" t="s">
        <v>146</v>
      </c>
      <c r="DH4" s="70" t="s">
        <v>160</v>
      </c>
      <c r="DI4" s="70" t="s">
        <v>162</v>
      </c>
    </row>
    <row r="5" spans="1:113" x14ac:dyDescent="0.15">
      <c r="A5" s="70" t="s">
        <v>61</v>
      </c>
      <c r="B5" s="70" t="s">
        <v>26</v>
      </c>
      <c r="C5" s="70" t="s">
        <v>147</v>
      </c>
      <c r="D5" s="132" t="s">
        <v>258</v>
      </c>
      <c r="F5" s="132" t="s">
        <v>343</v>
      </c>
      <c r="G5" s="132" t="s">
        <v>240</v>
      </c>
      <c r="J5" t="s">
        <v>240</v>
      </c>
      <c r="K5" t="s">
        <v>437</v>
      </c>
      <c r="M5" t="s">
        <v>472</v>
      </c>
      <c r="N5" t="s">
        <v>241</v>
      </c>
      <c r="O5" t="s">
        <v>510</v>
      </c>
      <c r="P5" t="s">
        <v>528</v>
      </c>
      <c r="Q5" t="s">
        <v>240</v>
      </c>
      <c r="R5" t="s">
        <v>561</v>
      </c>
      <c r="S5" t="s">
        <v>581</v>
      </c>
      <c r="U5" s="132" t="s">
        <v>617</v>
      </c>
      <c r="V5" s="132" t="s">
        <v>629</v>
      </c>
      <c r="W5" s="132" t="s">
        <v>395</v>
      </c>
      <c r="X5" s="132" t="s">
        <v>658</v>
      </c>
      <c r="Y5" s="132" t="s">
        <v>283</v>
      </c>
      <c r="Z5" s="132" t="s">
        <v>241</v>
      </c>
      <c r="CE5" s="70" t="e">
        <f ca="1">BatSplit(D5:CD5,MatchesPlayed)</f>
        <v>#NAME?</v>
      </c>
      <c r="CF5" s="70" t="e">
        <f ca="1">CE5-CG5</f>
        <v>#NAME?</v>
      </c>
      <c r="CG5" s="70" t="e">
        <f ca="1">BatSplit(D5:CD5,InnsBattedIn)</f>
        <v>#NAME?</v>
      </c>
      <c r="CH5" s="70" t="e">
        <f ca="1">BatSplit(D5:CD5,NotOuts)</f>
        <v>#NAME?</v>
      </c>
      <c r="CI5" s="70" t="e">
        <f ca="1">BatSplit(D5:CD5,HighestScore)</f>
        <v>#NAME?</v>
      </c>
      <c r="CJ5" s="74" t="e">
        <f t="shared" ref="CJ5:CJ39" ca="1" si="0">IF(CI5&lt;0,-CI5&amp;"*",CI5)</f>
        <v>#NAME?</v>
      </c>
      <c r="CK5" s="70" t="e">
        <f ca="1">BatSplit(D5:CD5,RunsScored)</f>
        <v>#NAME?</v>
      </c>
      <c r="CL5" s="72" t="e">
        <f ca="1">IF(CG5=CH5,0,CK5/(CG5-CH5))</f>
        <v>#NAME?</v>
      </c>
      <c r="CM5" s="70" t="e">
        <f ca="1">BatSplit(D5:CD5,BatPts)</f>
        <v>#NAME?</v>
      </c>
      <c r="CN5" s="70" t="e">
        <f ca="1">BatSplit(D5:CD5,FldPts)</f>
        <v>#NAME?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 t="e">
        <f ca="1">BatSplit(D5:CD5,Ducks)</f>
        <v>#NAME?</v>
      </c>
      <c r="CR5" s="73">
        <f t="array" ref="CR5">SUM(IF(ISERR(FIND(CR$4,$D5:$CD5)),0,1))</f>
        <v>6</v>
      </c>
      <c r="CS5" s="73">
        <f t="array" ref="CS5">SUM(IF(ISERR(FIND(CS$4,$D5:$CD5)),0,1))</f>
        <v>1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 t="e">
        <f t="shared" ref="CX5:CX39" ca="1" si="1">BatSplit(D5:CD5,Fifties)</f>
        <v>#NAME?</v>
      </c>
      <c r="CY5" s="73" t="e">
        <f ca="1">BatSplit(D5:CD5,Catches)</f>
        <v>#NAME?</v>
      </c>
      <c r="CZ5" s="73" t="e">
        <f ca="1">BatSplit(D5:CD5,Fours)</f>
        <v>#NAME?</v>
      </c>
      <c r="DA5" s="73" t="e">
        <f ca="1">BatSplit(D5:CD5,Sixes)</f>
        <v>#NAME?</v>
      </c>
      <c r="DB5" s="73" t="e">
        <f ca="1">BatSplit(D5:CD5,Stumpings)</f>
        <v>#NAME?</v>
      </c>
      <c r="DC5" s="73" t="e">
        <f ca="1">BatSplit(D5:CD5,CaughtWkt)</f>
        <v>#NAME?</v>
      </c>
      <c r="DD5" s="73" t="e">
        <f ca="1">BatSplit(D5:CD5,TwentyFives)</f>
        <v>#NAME?</v>
      </c>
      <c r="DE5" s="70" t="e">
        <f ca="1">ROUND(IF(ISERROR(CL5),0,CL5),2)*100000+CG5*100+CE5+CK5/100+ROW()/100000</f>
        <v>#NAME?</v>
      </c>
      <c r="DF5" s="70" t="e">
        <f t="shared" ref="DF5:DF39" ca="1" si="2">RANK(DE5,$DE$5:$DE$39)</f>
        <v>#NAME?</v>
      </c>
      <c r="DG5" s="70">
        <v>0</v>
      </c>
      <c r="DH5" s="92" t="e">
        <f ca="1">IF(CK5&gt;=50,(CZ5*4+DA5*6+DG5*5)/CK5,"")</f>
        <v>#NAME?</v>
      </c>
      <c r="DI5" s="100" t="e">
        <f ca="1">CQ5/(CG5-CH5)</f>
        <v>#NAME?</v>
      </c>
    </row>
    <row r="6" spans="1:113" x14ac:dyDescent="0.15">
      <c r="B6" t="s">
        <v>615</v>
      </c>
      <c r="C6" t="s">
        <v>614</v>
      </c>
      <c r="D6" s="132"/>
      <c r="F6" s="132"/>
      <c r="G6" s="132"/>
      <c r="J6"/>
      <c r="K6"/>
      <c r="M6"/>
      <c r="N6"/>
      <c r="O6"/>
      <c r="P6"/>
      <c r="Q6"/>
      <c r="R6"/>
      <c r="S6"/>
      <c r="U6" t="s">
        <v>613</v>
      </c>
      <c r="V6" t="s">
        <v>633</v>
      </c>
      <c r="Y6" t="s">
        <v>246</v>
      </c>
      <c r="CE6" s="70" t="e">
        <f ca="1">BatSplit(D6:CD6,MatchesPlayed)</f>
        <v>#NAME?</v>
      </c>
      <c r="CF6" s="70" t="e">
        <f ca="1">CE6-CG6</f>
        <v>#NAME?</v>
      </c>
      <c r="CG6" s="70" t="e">
        <f ca="1">BatSplit(D6:CD6,InnsBattedIn)</f>
        <v>#NAME?</v>
      </c>
      <c r="CH6" s="70" t="e">
        <f ca="1">BatSplit(D6:CD6,NotOuts)</f>
        <v>#NAME?</v>
      </c>
      <c r="CI6" s="70" t="e">
        <f ca="1">BatSplit(D6:CD6,HighestScore)</f>
        <v>#NAME?</v>
      </c>
      <c r="CJ6" s="74" t="e">
        <f t="shared" ref="CJ6" ca="1" si="3">IF(CI6&lt;0,-CI6&amp;"*",CI6)</f>
        <v>#NAME?</v>
      </c>
      <c r="CK6" s="70" t="e">
        <f ca="1">BatSplit(D6:CD6,RunsScored)</f>
        <v>#NAME?</v>
      </c>
      <c r="CL6" s="72" t="e">
        <f ca="1">IF(CG6=CH6,0,CK6/(CG6-CH6))</f>
        <v>#NAME?</v>
      </c>
      <c r="CM6" s="70" t="e">
        <f ca="1">BatSplit(D6:CD6,BatPts)</f>
        <v>#NAME?</v>
      </c>
      <c r="CN6" s="70" t="e">
        <f ca="1">BatSplit(D6:CD6,FldPts)</f>
        <v>#NAME?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 t="e">
        <f ca="1">BatSplit(D6:CD6,Ducks)</f>
        <v>#NAME?</v>
      </c>
      <c r="CR6" s="73">
        <f t="array" ref="CR6">SUM(IF(ISERR(FIND(CR$4,$D6:$CD6)),0,1))</f>
        <v>3</v>
      </c>
      <c r="CS6" s="73">
        <f t="array" ref="CS6">SUM(IF(ISERR(FIND(CS$4,$D6:$CD6)),0,1))</f>
        <v>0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 t="e">
        <f t="shared" ca="1" si="1"/>
        <v>#NAME?</v>
      </c>
      <c r="CY6" s="73" t="e">
        <f ca="1">BatSplit(D6:CD6,Catches)</f>
        <v>#NAME?</v>
      </c>
      <c r="CZ6" s="73" t="e">
        <f ca="1">BatSplit(D6:CD6,Fours)</f>
        <v>#NAME?</v>
      </c>
      <c r="DA6" s="73" t="e">
        <f ca="1">BatSplit(D6:CD6,Sixes)</f>
        <v>#NAME?</v>
      </c>
      <c r="DB6" s="73" t="e">
        <f ca="1">BatSplit(D6:CD6,Stumpings)</f>
        <v>#NAME?</v>
      </c>
      <c r="DC6" s="73" t="e">
        <f ca="1">BatSplit(D6:CD6,CaughtWkt)</f>
        <v>#NAME?</v>
      </c>
      <c r="DD6" s="73" t="e">
        <f ca="1">BatSplit(D6:CD6,TwentyFives)</f>
        <v>#NAME?</v>
      </c>
      <c r="DE6" s="70" t="e">
        <f ca="1">ROUND(IF(ISERROR(CL6),0,CL6),2)*100000+CG6*100+CE6+CK6/100+ROW()/100000</f>
        <v>#NAME?</v>
      </c>
      <c r="DF6" s="70" t="e">
        <f t="shared" ca="1" si="2"/>
        <v>#NAME?</v>
      </c>
      <c r="DG6" s="70">
        <v>0</v>
      </c>
      <c r="DH6" s="92" t="e">
        <f ca="1">IF(CK6&gt;=50,(CZ6*4+DA6*6+DG6*5)/CK6,"")</f>
        <v>#NAME?</v>
      </c>
      <c r="DI6" s="100" t="e">
        <f ca="1">CQ6/(CG6-CH6)</f>
        <v>#NAME?</v>
      </c>
    </row>
    <row r="7" spans="1:113" x14ac:dyDescent="0.15">
      <c r="A7" s="70" t="s">
        <v>99</v>
      </c>
      <c r="B7" s="70" t="s">
        <v>33</v>
      </c>
      <c r="C7" s="70" t="s">
        <v>148</v>
      </c>
      <c r="D7" s="132" t="s">
        <v>298</v>
      </c>
      <c r="E7" s="132" t="s">
        <v>318</v>
      </c>
      <c r="F7" s="132" t="s">
        <v>236</v>
      </c>
      <c r="G7" s="132" t="s">
        <v>237</v>
      </c>
      <c r="H7" s="132" t="s">
        <v>376</v>
      </c>
      <c r="I7" t="s">
        <v>719</v>
      </c>
      <c r="J7" s="132" t="s">
        <v>241</v>
      </c>
      <c r="K7" s="132" t="s">
        <v>438</v>
      </c>
      <c r="L7" s="132" t="s">
        <v>456</v>
      </c>
      <c r="M7" s="132" t="s">
        <v>473</v>
      </c>
      <c r="N7" s="132" t="s">
        <v>489</v>
      </c>
      <c r="O7" s="132" t="s">
        <v>489</v>
      </c>
      <c r="P7" s="132" t="s">
        <v>529</v>
      </c>
      <c r="Q7" s="132" t="s">
        <v>236</v>
      </c>
      <c r="R7" s="132" t="s">
        <v>562</v>
      </c>
      <c r="S7" s="132" t="s">
        <v>580</v>
      </c>
      <c r="T7" s="132" t="s">
        <v>529</v>
      </c>
      <c r="U7" s="132" t="s">
        <v>396</v>
      </c>
      <c r="V7" s="132" t="s">
        <v>636</v>
      </c>
      <c r="W7" s="132" t="s">
        <v>651</v>
      </c>
      <c r="X7" s="132" t="s">
        <v>665</v>
      </c>
      <c r="Y7" s="132" t="s">
        <v>236</v>
      </c>
      <c r="Z7" s="132" t="s">
        <v>236</v>
      </c>
      <c r="CE7" s="70" t="e">
        <f ca="1">BatSplit(D7:CD7,MatchesPlayed)</f>
        <v>#NAME?</v>
      </c>
      <c r="CF7" s="70" t="e">
        <f ca="1">CE7-CG7</f>
        <v>#NAME?</v>
      </c>
      <c r="CG7" s="70" t="e">
        <f ca="1">BatSplit(D7:CD7,InnsBattedIn)</f>
        <v>#NAME?</v>
      </c>
      <c r="CH7" s="70" t="e">
        <f ca="1">BatSplit(D7:CD7,NotOuts)</f>
        <v>#NAME?</v>
      </c>
      <c r="CI7" s="70" t="e">
        <f ca="1">BatSplit(D7:CD7,HighestScore)</f>
        <v>#NAME?</v>
      </c>
      <c r="CJ7" s="74" t="e">
        <f t="shared" ca="1" si="0"/>
        <v>#NAME?</v>
      </c>
      <c r="CK7" s="70" t="e">
        <f ca="1">BatSplit(D7:CD7,RunsScored)</f>
        <v>#NAME?</v>
      </c>
      <c r="CL7" s="72" t="e">
        <f ca="1">IF(CG7=CH7,0,CK7/(CG7-CH7))</f>
        <v>#NAME?</v>
      </c>
      <c r="CM7" s="70" t="e">
        <f ca="1">BatSplit(D7:CD7,BatPts)</f>
        <v>#NAME?</v>
      </c>
      <c r="CN7" s="70" t="e">
        <f ca="1">BatSplit(D7:CD7,FldPts)</f>
        <v>#NAME?</v>
      </c>
      <c r="CO7" s="73">
        <f t="array" ref="CO7">SUM(IF(ISERR(FIND("*",D7:CD7)),0,1))</f>
        <v>21</v>
      </c>
      <c r="CP7" s="73">
        <f t="array" ref="CP7">SUM(IF(ISERR(FIND("+",D7:CD7)),0,1))</f>
        <v>0</v>
      </c>
      <c r="CQ7" s="70" t="e">
        <f ca="1">BatSplit(D7:CD7,Ducks)</f>
        <v>#NAME?</v>
      </c>
      <c r="CR7" s="73">
        <f t="array" ref="CR7">SUM(IF(ISERR(FIND(CR$4,$D7:$CD7)),0,1))</f>
        <v>4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 t="e">
        <f t="shared" ca="1" si="1"/>
        <v>#NAME?</v>
      </c>
      <c r="CY7" s="73" t="e">
        <f ca="1">BatSplit(D7:CD7,Catches)</f>
        <v>#NAME?</v>
      </c>
      <c r="CZ7" s="73" t="e">
        <f ca="1">BatSplit(D7:CD7,Fours)</f>
        <v>#NAME?</v>
      </c>
      <c r="DA7" s="73" t="e">
        <f ca="1">BatSplit(D7:CD7,Sixes)</f>
        <v>#NAME?</v>
      </c>
      <c r="DB7" s="73" t="e">
        <f ca="1">BatSplit(D7:CD7,Stumpings)</f>
        <v>#NAME?</v>
      </c>
      <c r="DC7" s="73" t="e">
        <f ca="1">BatSplit(D7:CD7,CaughtWkt)</f>
        <v>#NAME?</v>
      </c>
      <c r="DD7" s="73" t="e">
        <f ca="1">BatSplit(D7:CD7,TwentyFives)</f>
        <v>#NAME?</v>
      </c>
      <c r="DE7" s="70" t="e">
        <f ca="1">ROUND(IF(ISERROR(CL7),0,CL7),2)*100000+CG7*100+CE7+CK7/100+ROW()/100000</f>
        <v>#NAME?</v>
      </c>
      <c r="DF7" s="70" t="e">
        <f t="shared" ca="1" si="2"/>
        <v>#NAME?</v>
      </c>
      <c r="DG7" s="70">
        <v>0</v>
      </c>
      <c r="DH7" s="92" t="e">
        <f ca="1">IF(CK7&gt;=50,(CZ7*4+DA7*6+DG7*5)/CK7,"")</f>
        <v>#NAME?</v>
      </c>
      <c r="DI7" s="100" t="e">
        <f ca="1">CQ7/(CG7-CH7)</f>
        <v>#NAME?</v>
      </c>
    </row>
    <row r="8" spans="1:113" x14ac:dyDescent="0.15">
      <c r="B8" s="132" t="s">
        <v>275</v>
      </c>
      <c r="C8" s="132" t="s">
        <v>276</v>
      </c>
      <c r="D8"/>
      <c r="E8" t="s">
        <v>314</v>
      </c>
      <c r="F8" t="s">
        <v>337</v>
      </c>
      <c r="G8"/>
      <c r="H8" t="s">
        <v>373</v>
      </c>
      <c r="I8" t="s">
        <v>394</v>
      </c>
      <c r="J8" t="s">
        <v>412</v>
      </c>
      <c r="K8" t="s">
        <v>433</v>
      </c>
      <c r="L8"/>
      <c r="N8" s="132"/>
      <c r="O8" t="s">
        <v>239</v>
      </c>
      <c r="P8"/>
      <c r="Q8"/>
      <c r="R8" t="s">
        <v>558</v>
      </c>
      <c r="U8" t="s">
        <v>618</v>
      </c>
      <c r="V8"/>
      <c r="Z8" t="s">
        <v>688</v>
      </c>
      <c r="CE8" s="70" t="e">
        <f ca="1">BatSplit(D8:CD8,MatchesPlayed)</f>
        <v>#NAME?</v>
      </c>
      <c r="CF8" s="70" t="e">
        <f ca="1">CE8-CG8</f>
        <v>#NAME?</v>
      </c>
      <c r="CG8" s="70" t="e">
        <f ca="1">BatSplit(D8:CD8,InnsBattedIn)</f>
        <v>#NAME?</v>
      </c>
      <c r="CH8" s="70" t="e">
        <f ca="1">BatSplit(D8:CD8,NotOuts)</f>
        <v>#NAME?</v>
      </c>
      <c r="CI8" s="70" t="e">
        <f ca="1">BatSplit(D8:CD8,HighestScore)</f>
        <v>#NAME?</v>
      </c>
      <c r="CJ8" s="74" t="e">
        <f t="shared" ref="CJ8" ca="1" si="4">IF(CI8&lt;0,-CI8&amp;"*",CI8)</f>
        <v>#NAME?</v>
      </c>
      <c r="CK8" s="70" t="e">
        <f ca="1">BatSplit(D8:CD8,RunsScored)</f>
        <v>#NAME?</v>
      </c>
      <c r="CL8" s="72" t="e">
        <f ca="1">IF(CG8=CH8,0,CK8/(CG8-CH8))</f>
        <v>#NAME?</v>
      </c>
      <c r="CM8" s="70" t="e">
        <f ca="1">BatSplit(D8:CD8,BatPts)</f>
        <v>#NAME?</v>
      </c>
      <c r="CN8" s="70" t="e">
        <f ca="1">BatSplit(D8:CD8,FldPts)</f>
        <v>#NAME?</v>
      </c>
      <c r="CO8" s="73">
        <f t="array" ref="CO8">SUM(IF(ISERR(FIND("*",D8:CD8)),0,1))</f>
        <v>0</v>
      </c>
      <c r="CP8" s="73">
        <f t="array" ref="CP8">SUM(IF(ISERR(FIND("+",D8:CD8)),0,1))</f>
        <v>0</v>
      </c>
      <c r="CQ8" s="70" t="e">
        <f ca="1">BatSplit(D8:CD8,Ducks)</f>
        <v>#NAME?</v>
      </c>
      <c r="CR8" s="73">
        <f t="array" ref="CR8">SUM(IF(ISERR(FIND(CR$4,$D8:$CD8)),0,1))</f>
        <v>2</v>
      </c>
      <c r="CS8" s="73">
        <f t="array" ref="CS8">SUM(IF(ISERR(FIND(CS$4,$D8:$CD8)),0,1))</f>
        <v>3</v>
      </c>
      <c r="CT8" s="73">
        <f t="array" ref="CT8">SUM(IF(ISERR(FIND(CT$4,$D8:$CD8)),0,1))</f>
        <v>1</v>
      </c>
      <c r="CU8" s="73">
        <f t="array" ref="CU8">SUM(IF(ISERR(FIND(CU$4,$D8:$CD8)),0,1))</f>
        <v>1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 t="e">
        <f t="shared" ca="1" si="1"/>
        <v>#NAME?</v>
      </c>
      <c r="CY8" s="73" t="e">
        <f ca="1">BatSplit(D8:CD8,Catches)</f>
        <v>#NAME?</v>
      </c>
      <c r="CZ8" s="73" t="e">
        <f ca="1">BatSplit(D8:CD8,Fours)</f>
        <v>#NAME?</v>
      </c>
      <c r="DA8" s="73" t="e">
        <f ca="1">BatSplit(D8:CD8,Sixes)</f>
        <v>#NAME?</v>
      </c>
      <c r="DB8" s="73" t="e">
        <f ca="1">BatSplit(D8:CD8,Stumpings)</f>
        <v>#NAME?</v>
      </c>
      <c r="DC8" s="73" t="e">
        <f ca="1">BatSplit(D8:CD8,CaughtWkt)</f>
        <v>#NAME?</v>
      </c>
      <c r="DD8" s="73" t="e">
        <f ca="1">BatSplit(D8:CD8,TwentyFives)</f>
        <v>#NAME?</v>
      </c>
      <c r="DE8" s="70" t="e">
        <f ca="1">ROUND(IF(ISERROR(CL8),0,CL8),2)*100000+CG8*100+CE8+CK8/100+ROW()/100000</f>
        <v>#NAME?</v>
      </c>
      <c r="DF8" s="70" t="e">
        <f t="shared" ca="1" si="2"/>
        <v>#NAME?</v>
      </c>
      <c r="DG8" s="70">
        <v>0</v>
      </c>
      <c r="DH8" s="92" t="e">
        <f ca="1">IF(CK8&gt;=50,(CZ8*4+DA8*6+DG8*5)/CK8,"")</f>
        <v>#NAME?</v>
      </c>
      <c r="DI8" s="100" t="e">
        <f ca="1">CQ8/(CG8-CH8)</f>
        <v>#NAME?</v>
      </c>
    </row>
    <row r="9" spans="1:113" x14ac:dyDescent="0.15">
      <c r="A9" s="70" t="s">
        <v>131</v>
      </c>
      <c r="B9" s="70" t="s">
        <v>178</v>
      </c>
      <c r="C9" s="70" t="s">
        <v>149</v>
      </c>
      <c r="D9" t="s">
        <v>295</v>
      </c>
      <c r="E9" s="132"/>
      <c r="G9" s="132"/>
      <c r="H9" s="132"/>
      <c r="K9"/>
      <c r="M9"/>
      <c r="P9" s="132"/>
      <c r="Q9"/>
      <c r="R9"/>
      <c r="S9"/>
      <c r="T9"/>
      <c r="V9" s="132"/>
      <c r="Z9" t="s">
        <v>356</v>
      </c>
      <c r="CE9" s="70" t="e">
        <f t="shared" ref="CE9:CE34" ca="1" si="5">BatSplit(D9:CD9,MatchesPlayed)</f>
        <v>#NAME?</v>
      </c>
      <c r="CF9" s="70" t="e">
        <f t="shared" ref="CF9:CF34" ca="1" si="6">CE9-CG9</f>
        <v>#NAME?</v>
      </c>
      <c r="CG9" s="70" t="e">
        <f t="shared" ref="CG9:CG34" ca="1" si="7">BatSplit(D9:CD9,InnsBattedIn)</f>
        <v>#NAME?</v>
      </c>
      <c r="CH9" s="70" t="e">
        <f t="shared" ref="CH9:CH34" ca="1" si="8">BatSplit(D9:CD9,NotOuts)</f>
        <v>#NAME?</v>
      </c>
      <c r="CI9" s="70" t="e">
        <f t="shared" ref="CI9:CI34" ca="1" si="9">BatSplit(D9:CD9,HighestScore)</f>
        <v>#NAME?</v>
      </c>
      <c r="CJ9" s="74" t="e">
        <f t="shared" ca="1" si="0"/>
        <v>#NAME?</v>
      </c>
      <c r="CK9" s="70" t="e">
        <f t="shared" ref="CK9:CK34" ca="1" si="10">BatSplit(D9:CD9,RunsScored)</f>
        <v>#NAME?</v>
      </c>
      <c r="CL9" s="72" t="e">
        <f t="shared" ref="CL9:CL34" ca="1" si="11">IF(CG9=CH9,0,CK9/(CG9-CH9))</f>
        <v>#NAME?</v>
      </c>
      <c r="CM9" s="70" t="e">
        <f t="shared" ref="CM9:CM34" ca="1" si="12">BatSplit(D9:CD9,BatPts)</f>
        <v>#NAME?</v>
      </c>
      <c r="CN9" s="70" t="e">
        <f t="shared" ref="CN9:CN34" ca="1" si="13">BatSplit(D9:CD9,FldPts)</f>
        <v>#NAME?</v>
      </c>
      <c r="CO9" s="73">
        <f t="array" ref="CO9">SUM(IF(ISERR(FIND("*",D9:CD9)),0,1))</f>
        <v>0</v>
      </c>
      <c r="CP9" s="73">
        <f t="array" ref="CP9">SUM(IF(ISERR(FIND("+",D9:CD9)),0,1))</f>
        <v>1</v>
      </c>
      <c r="CQ9" s="70" t="e">
        <f t="shared" ref="CQ9:CQ34" ca="1" si="14">BatSplit(D9:CD9,Ducks)</f>
        <v>#NAME?</v>
      </c>
      <c r="CR9" s="73">
        <f t="array" ref="CR9">SUM(IF(ISERR(FIND(CR$4,$D9:$CD9)),0,1))</f>
        <v>0</v>
      </c>
      <c r="CS9" s="73">
        <f t="array" ref="CS9">SUM(IF(ISERR(FIND(CS$4,$D9:$CD9)),0,1))</f>
        <v>1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 t="e">
        <f t="shared" ca="1" si="1"/>
        <v>#NAME?</v>
      </c>
      <c r="CY9" s="73" t="e">
        <f t="shared" ref="CY9:CY34" ca="1" si="15">BatSplit(D9:CD9,Catches)</f>
        <v>#NAME?</v>
      </c>
      <c r="CZ9" s="73" t="e">
        <f t="shared" ref="CZ9:CZ34" ca="1" si="16">BatSplit(D9:CD9,Fours)</f>
        <v>#NAME?</v>
      </c>
      <c r="DA9" s="73" t="e">
        <f t="shared" ref="DA9:DA34" ca="1" si="17">BatSplit(D9:CD9,Sixes)</f>
        <v>#NAME?</v>
      </c>
      <c r="DB9" s="73" t="e">
        <f t="shared" ref="DB9:DB34" ca="1" si="18">BatSplit(D9:CD9,Stumpings)</f>
        <v>#NAME?</v>
      </c>
      <c r="DC9" s="73" t="e">
        <f t="shared" ref="DC9:DC34" ca="1" si="19">BatSplit(D9:CD9,CaughtWkt)</f>
        <v>#NAME?</v>
      </c>
      <c r="DD9" s="73" t="e">
        <f t="shared" ref="DD9:DD34" ca="1" si="20">BatSplit(D9:CD9,TwentyFives)</f>
        <v>#NAME?</v>
      </c>
      <c r="DE9" s="70" t="e">
        <f t="shared" ref="DE9:DE34" ca="1" si="21">ROUND(IF(ISERROR(CL9),0,CL9),2)*100000+CG9*100+CE9+CK9/100+ROW()/100000</f>
        <v>#NAME?</v>
      </c>
      <c r="DF9" s="70" t="e">
        <f t="shared" ca="1" si="2"/>
        <v>#NAME?</v>
      </c>
      <c r="DG9" s="70">
        <v>0</v>
      </c>
      <c r="DH9" s="92" t="e">
        <f t="shared" ref="DH9:DH34" ca="1" si="22">IF(CK9&gt;=50,(CZ9*4+DA9*6+DG9*5)/CK9,"")</f>
        <v>#NAME?</v>
      </c>
      <c r="DI9" s="100" t="e">
        <f t="shared" ref="DI9:DI34" ca="1" si="23">CQ9/(CG9-CH9)</f>
        <v>#NAME?</v>
      </c>
    </row>
    <row r="10" spans="1:113" x14ac:dyDescent="0.15">
      <c r="A10" s="70" t="s">
        <v>43</v>
      </c>
      <c r="B10" s="70" t="s">
        <v>28</v>
      </c>
      <c r="C10" s="70" t="s">
        <v>44</v>
      </c>
      <c r="D10" s="132" t="s">
        <v>292</v>
      </c>
      <c r="E10" s="132" t="s">
        <v>317</v>
      </c>
      <c r="F10" s="132" t="s">
        <v>342</v>
      </c>
      <c r="G10" s="132" t="s">
        <v>359</v>
      </c>
      <c r="H10" s="132"/>
      <c r="I10" s="132"/>
      <c r="J10" s="62"/>
      <c r="K10" s="132"/>
      <c r="L10" t="s">
        <v>455</v>
      </c>
      <c r="M10" t="s">
        <v>471</v>
      </c>
      <c r="N10" s="132"/>
      <c r="O10" t="s">
        <v>504</v>
      </c>
      <c r="P10" t="s">
        <v>527</v>
      </c>
      <c r="Q10" t="s">
        <v>241</v>
      </c>
      <c r="R10" s="132"/>
      <c r="S10" s="132"/>
      <c r="T10" s="132"/>
      <c r="U10" s="132"/>
      <c r="V10" s="132"/>
      <c r="CE10" s="70" t="e">
        <f t="shared" ca="1" si="5"/>
        <v>#NAME?</v>
      </c>
      <c r="CF10" s="70" t="e">
        <f t="shared" ca="1" si="6"/>
        <v>#NAME?</v>
      </c>
      <c r="CG10" s="70" t="e">
        <f t="shared" ca="1" si="7"/>
        <v>#NAME?</v>
      </c>
      <c r="CH10" s="70" t="e">
        <f t="shared" ca="1" si="8"/>
        <v>#NAME?</v>
      </c>
      <c r="CI10" s="70" t="e">
        <f t="shared" ca="1" si="9"/>
        <v>#NAME?</v>
      </c>
      <c r="CJ10" s="74" t="e">
        <f t="shared" ca="1" si="0"/>
        <v>#NAME?</v>
      </c>
      <c r="CK10" s="70" t="e">
        <f t="shared" ca="1" si="10"/>
        <v>#NAME?</v>
      </c>
      <c r="CL10" s="72" t="e">
        <f t="shared" ca="1" si="11"/>
        <v>#NAME?</v>
      </c>
      <c r="CM10" s="70" t="e">
        <f t="shared" ca="1" si="12"/>
        <v>#NAME?</v>
      </c>
      <c r="CN10" s="70" t="e">
        <f t="shared" ca="1" si="13"/>
        <v>#NAME?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 t="e">
        <f t="shared" ca="1" si="14"/>
        <v>#NAME?</v>
      </c>
      <c r="CR10" s="73">
        <f t="array" ref="CR10">SUM(IF(ISERR(FIND(CR$4,$D10:$CD10)),0,1))</f>
        <v>0</v>
      </c>
      <c r="CS10" s="73">
        <f t="array" ref="CS10">SUM(IF(ISERR(FIND(CS$4,$D10:$CD10)),0,1))</f>
        <v>0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0</v>
      </c>
      <c r="CW10" s="73">
        <f t="array" ref="CW10">SUM(IF(ISERR(FIND(CW$4,$D10:$CD10)),0,1))</f>
        <v>0</v>
      </c>
      <c r="CX10" s="73" t="e">
        <f t="shared" ca="1" si="1"/>
        <v>#NAME?</v>
      </c>
      <c r="CY10" s="73" t="e">
        <f t="shared" ca="1" si="15"/>
        <v>#NAME?</v>
      </c>
      <c r="CZ10" s="73" t="e">
        <f t="shared" ca="1" si="16"/>
        <v>#NAME?</v>
      </c>
      <c r="DA10" s="73" t="e">
        <f t="shared" ca="1" si="17"/>
        <v>#NAME?</v>
      </c>
      <c r="DB10" s="73" t="e">
        <f t="shared" ca="1" si="18"/>
        <v>#NAME?</v>
      </c>
      <c r="DC10" s="73" t="e">
        <f t="shared" ca="1" si="19"/>
        <v>#NAME?</v>
      </c>
      <c r="DD10" s="73" t="e">
        <f t="shared" ca="1" si="20"/>
        <v>#NAME?</v>
      </c>
      <c r="DE10" s="70" t="e">
        <f t="shared" ca="1" si="21"/>
        <v>#NAME?</v>
      </c>
      <c r="DF10" s="70" t="e">
        <f t="shared" ca="1" si="2"/>
        <v>#NAME?</v>
      </c>
      <c r="DG10" s="70">
        <v>0</v>
      </c>
      <c r="DH10" s="92" t="e">
        <f t="shared" ca="1" si="22"/>
        <v>#NAME?</v>
      </c>
      <c r="DI10" s="100" t="e">
        <f t="shared" ca="1" si="23"/>
        <v>#NAME?</v>
      </c>
    </row>
    <row r="11" spans="1:113" x14ac:dyDescent="0.15">
      <c r="B11" s="70" t="s">
        <v>257</v>
      </c>
      <c r="C11" s="70" t="s">
        <v>256</v>
      </c>
      <c r="F11"/>
      <c r="H11" t="s">
        <v>266</v>
      </c>
      <c r="I11" t="s">
        <v>373</v>
      </c>
      <c r="K11" t="s">
        <v>436</v>
      </c>
      <c r="M11" s="132" t="s">
        <v>470</v>
      </c>
      <c r="Q11" t="s">
        <v>451</v>
      </c>
      <c r="CE11" s="70" t="e">
        <f ca="1">BatSplit(D11:CD11,MatchesPlayed)</f>
        <v>#NAME?</v>
      </c>
      <c r="CF11" s="70" t="e">
        <f ca="1">CE11-CG11</f>
        <v>#NAME?</v>
      </c>
      <c r="CG11" s="70" t="e">
        <f ca="1">BatSplit(D11:CD11,InnsBattedIn)</f>
        <v>#NAME?</v>
      </c>
      <c r="CH11" s="70" t="e">
        <f ca="1">BatSplit(D11:CD11,NotOuts)</f>
        <v>#NAME?</v>
      </c>
      <c r="CI11" s="70" t="e">
        <f ca="1">BatSplit(D11:CD11,HighestScore)</f>
        <v>#NAME?</v>
      </c>
      <c r="CJ11" s="74" t="e">
        <f t="shared" ca="1" si="0"/>
        <v>#NAME?</v>
      </c>
      <c r="CK11" s="70" t="e">
        <f ca="1">BatSplit(D11:CD11,RunsScored)</f>
        <v>#NAME?</v>
      </c>
      <c r="CL11" s="72" t="e">
        <f ca="1">IF(CG11=CH11,0,CK11/(CG11-CH11))</f>
        <v>#NAME?</v>
      </c>
      <c r="CM11" s="70" t="e">
        <f ca="1">BatSplit(D11:CD11,BatPts)</f>
        <v>#NAME?</v>
      </c>
      <c r="CN11" s="70" t="e">
        <f ca="1">BatSplit(D11:CD11,FldPts)</f>
        <v>#NAME?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 t="e">
        <f ca="1">BatSplit(D11:CD11,Ducks)</f>
        <v>#NAME?</v>
      </c>
      <c r="CR11" s="73">
        <f t="array" ref="CR11">SUM(IF(ISERR(FIND(CR$4,$D11:$CD11)),0,1))</f>
        <v>3</v>
      </c>
      <c r="CS11" s="73">
        <f t="array" ref="CS11">SUM(IF(ISERR(FIND(CS$4,$D11:$CD11)),0,1))</f>
        <v>0</v>
      </c>
      <c r="CT11" s="73">
        <f t="array" ref="CT11">SUM(IF(ISERR(FIND(CT$4,$D11:$CD11)),0,1))</f>
        <v>2</v>
      </c>
      <c r="CU11" s="73">
        <f t="array" ref="CU11">SUM(IF(ISERR(FIND(CU$4,$D11:$CD11)),0,1))</f>
        <v>0</v>
      </c>
      <c r="CV11" s="73">
        <f t="array" ref="CV11">SUM(IF(ISERR(FIND(CV$4,$D11:$CD11)),0,1))</f>
        <v>0</v>
      </c>
      <c r="CW11" s="73">
        <f t="array" ref="CW11">SUM(IF(ISERR(FIND(CW$4,$D11:$CD11)),0,1))</f>
        <v>0</v>
      </c>
      <c r="CX11" s="73" t="e">
        <f t="shared" ca="1" si="1"/>
        <v>#NAME?</v>
      </c>
      <c r="CY11" s="73" t="e">
        <f ca="1">BatSplit(D11:CD11,Catches)</f>
        <v>#NAME?</v>
      </c>
      <c r="CZ11" s="73" t="e">
        <f ca="1">BatSplit(D11:CD11,Fours)</f>
        <v>#NAME?</v>
      </c>
      <c r="DA11" s="73" t="e">
        <f ca="1">BatSplit(D11:CD11,Sixes)</f>
        <v>#NAME?</v>
      </c>
      <c r="DB11" s="73" t="e">
        <f ca="1">BatSplit(D11:CD11,Stumpings)</f>
        <v>#NAME?</v>
      </c>
      <c r="DC11" s="73" t="e">
        <f ca="1">BatSplit(D11:CD11,CaughtWkt)</f>
        <v>#NAME?</v>
      </c>
      <c r="DD11" s="73" t="e">
        <f ca="1">BatSplit(D11:CD11,TwentyFives)</f>
        <v>#NAME?</v>
      </c>
      <c r="DE11" s="70" t="e">
        <f ca="1">ROUND(IF(ISERROR(CL11),0,CL11),2)*100000+CG11*100+CE11+CK11/100+ROW()/100000</f>
        <v>#NAME?</v>
      </c>
      <c r="DF11" s="70" t="e">
        <f t="shared" ca="1" si="2"/>
        <v>#NAME?</v>
      </c>
      <c r="DG11" s="70">
        <v>0</v>
      </c>
      <c r="DH11" s="92" t="e">
        <f ca="1">IF(CK11&gt;=50,(CZ11*4+DA11*6+DG11*5)/CK11,"")</f>
        <v>#NAME?</v>
      </c>
      <c r="DI11" s="100" t="e">
        <f ca="1">CQ11/(CG11-CH11)</f>
        <v>#NAME?</v>
      </c>
    </row>
    <row r="12" spans="1:113" x14ac:dyDescent="0.15">
      <c r="B12" s="132" t="s">
        <v>577</v>
      </c>
      <c r="C12" s="132" t="s">
        <v>578</v>
      </c>
      <c r="F12"/>
      <c r="H12"/>
      <c r="I12"/>
      <c r="K12"/>
      <c r="M12" s="132"/>
      <c r="Q12"/>
      <c r="S12" t="s">
        <v>454</v>
      </c>
      <c r="T12" t="s">
        <v>595</v>
      </c>
      <c r="V12" t="s">
        <v>632</v>
      </c>
      <c r="W12" t="s">
        <v>652</v>
      </c>
      <c r="CE12" s="70" t="e">
        <f ca="1">BatSplit(D12:CD12,MatchesPlayed)</f>
        <v>#NAME?</v>
      </c>
      <c r="CF12" s="70" t="e">
        <f ca="1">CE12-CG12</f>
        <v>#NAME?</v>
      </c>
      <c r="CG12" s="70" t="e">
        <f ca="1">BatSplit(D12:CD12,InnsBattedIn)</f>
        <v>#NAME?</v>
      </c>
      <c r="CH12" s="70" t="e">
        <f ca="1">BatSplit(D12:CD12,NotOuts)</f>
        <v>#NAME?</v>
      </c>
      <c r="CI12" s="70" t="e">
        <f ca="1">BatSplit(D12:CD12,HighestScore)</f>
        <v>#NAME?</v>
      </c>
      <c r="CJ12" s="74" t="e">
        <f t="shared" ref="CJ12" ca="1" si="24">IF(CI12&lt;0,-CI12&amp;"*",CI12)</f>
        <v>#NAME?</v>
      </c>
      <c r="CK12" s="70" t="e">
        <f ca="1">BatSplit(D12:CD12,RunsScored)</f>
        <v>#NAME?</v>
      </c>
      <c r="CL12" s="72" t="e">
        <f ca="1">IF(CG12=CH12,0,CK12/(CG12-CH12))</f>
        <v>#NAME?</v>
      </c>
      <c r="CM12" s="70" t="e">
        <f ca="1">BatSplit(D12:CD12,BatPts)</f>
        <v>#NAME?</v>
      </c>
      <c r="CN12" s="70" t="e">
        <f ca="1">BatSplit(D12:CD12,FldPts)</f>
        <v>#NAME?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 t="e">
        <f ca="1">BatSplit(D12:CD12,Ducks)</f>
        <v>#NAME?</v>
      </c>
      <c r="CR12" s="73">
        <f t="array" ref="CR12">SUM(IF(ISERR(FIND(CR$4,$D12:$CD12)),0,1))</f>
        <v>2</v>
      </c>
      <c r="CS12" s="73">
        <f t="array" ref="CS12">SUM(IF(ISERR(FIND(CS$4,$D12:$CD12)),0,1))</f>
        <v>2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 t="e">
        <f t="shared" ca="1" si="1"/>
        <v>#NAME?</v>
      </c>
      <c r="CY12" s="73" t="e">
        <f ca="1">BatSplit(D12:CD12,Catches)</f>
        <v>#NAME?</v>
      </c>
      <c r="CZ12" s="73" t="e">
        <f ca="1">BatSplit(D12:CD12,Fours)</f>
        <v>#NAME?</v>
      </c>
      <c r="DA12" s="73" t="e">
        <f ca="1">BatSplit(D12:CD12,Sixes)</f>
        <v>#NAME?</v>
      </c>
      <c r="DB12" s="73" t="e">
        <f ca="1">BatSplit(D12:CD12,Stumpings)</f>
        <v>#NAME?</v>
      </c>
      <c r="DC12" s="73" t="e">
        <f ca="1">BatSplit(D12:CD12,CaughtWkt)</f>
        <v>#NAME?</v>
      </c>
      <c r="DD12" s="73" t="e">
        <f ca="1">BatSplit(D12:CD12,TwentyFives)</f>
        <v>#NAME?</v>
      </c>
      <c r="DE12" s="70" t="e">
        <f ca="1">ROUND(IF(ISERROR(CL12),0,CL12),2)*100000+CG12*100+CE12+CK12/100+ROW()/100000</f>
        <v>#NAME?</v>
      </c>
      <c r="DF12" s="70" t="e">
        <f t="shared" ca="1" si="2"/>
        <v>#NAME?</v>
      </c>
      <c r="DG12" s="70">
        <v>0</v>
      </c>
      <c r="DH12" s="92" t="e">
        <f ca="1">IF(CK12&gt;=50,(CZ12*4+DA12*6+DG12*5)/CK12,"")</f>
        <v>#NAME?</v>
      </c>
      <c r="DI12" s="100" t="e">
        <f ca="1">CQ12/(CG12-CH12)</f>
        <v>#NAME?</v>
      </c>
    </row>
    <row r="13" spans="1:113" x14ac:dyDescent="0.15">
      <c r="C13" s="132" t="s">
        <v>311</v>
      </c>
      <c r="E13" t="s">
        <v>284</v>
      </c>
      <c r="F13"/>
      <c r="CE13" s="70" t="e">
        <f ca="1">BatSplit(D13:CD13,MatchesPlayed)</f>
        <v>#NAME?</v>
      </c>
      <c r="CF13" s="70" t="e">
        <f ca="1">CE13-CG13</f>
        <v>#NAME?</v>
      </c>
      <c r="CG13" s="70" t="e">
        <f ca="1">BatSplit(D13:CD13,InnsBattedIn)</f>
        <v>#NAME?</v>
      </c>
      <c r="CH13" s="70" t="e">
        <f ca="1">BatSplit(D13:CD13,NotOuts)</f>
        <v>#NAME?</v>
      </c>
      <c r="CI13" s="70" t="e">
        <f ca="1">BatSplit(D13:CD13,HighestScore)</f>
        <v>#NAME?</v>
      </c>
      <c r="CJ13" s="74" t="e">
        <f t="shared" ref="CJ13" ca="1" si="25">IF(CI13&lt;0,-CI13&amp;"*",CI13)</f>
        <v>#NAME?</v>
      </c>
      <c r="CK13" s="70" t="e">
        <f ca="1">BatSplit(D13:CD13,RunsScored)</f>
        <v>#NAME?</v>
      </c>
      <c r="CL13" s="72" t="e">
        <f ca="1">IF(CG13=CH13,0,CK13/(CG13-CH13))</f>
        <v>#NAME?</v>
      </c>
      <c r="CM13" s="70" t="e">
        <f ca="1">BatSplit(D13:CD13,BatPts)</f>
        <v>#NAME?</v>
      </c>
      <c r="CN13" s="70" t="e">
        <f ca="1">BatSplit(D13:CD13,FldPts)</f>
        <v>#NAME?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 t="e">
        <f ca="1">BatSplit(D13:CD13,Ducks)</f>
        <v>#NAME?</v>
      </c>
      <c r="CR13" s="73">
        <f t="array" ref="CR13">SUM(IF(ISERR(FIND(CR$4,$D13:$CD13)),0,1))</f>
        <v>1</v>
      </c>
      <c r="CS13" s="73">
        <f t="array" ref="CS13">SUM(IF(ISERR(FIND(CS$4,$D13:$CD13)),0,1))</f>
        <v>0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73" t="e">
        <f t="shared" ca="1" si="1"/>
        <v>#NAME?</v>
      </c>
      <c r="CY13" s="73" t="e">
        <f ca="1">BatSplit(D13:CD13,Catches)</f>
        <v>#NAME?</v>
      </c>
      <c r="CZ13" s="73" t="e">
        <f ca="1">BatSplit(D13:CD13,Fours)</f>
        <v>#NAME?</v>
      </c>
      <c r="DA13" s="73" t="e">
        <f ca="1">BatSplit(D13:CD13,Sixes)</f>
        <v>#NAME?</v>
      </c>
      <c r="DB13" s="73" t="e">
        <f ca="1">BatSplit(D13:CD13,Stumpings)</f>
        <v>#NAME?</v>
      </c>
      <c r="DC13" s="73" t="e">
        <f ca="1">BatSplit(D13:CD13,CaughtWkt)</f>
        <v>#NAME?</v>
      </c>
      <c r="DD13" s="73" t="e">
        <f ca="1">BatSplit(D13:CD13,TwentyFives)</f>
        <v>#NAME?</v>
      </c>
      <c r="DE13" s="70" t="e">
        <f ca="1">ROUND(IF(ISERROR(CL13),0,CL13),2)*100000+CG13*100+CE13+CK13/100+ROW()/100000</f>
        <v>#NAME?</v>
      </c>
      <c r="DF13" s="70" t="e">
        <f t="shared" ca="1" si="2"/>
        <v>#NAME?</v>
      </c>
      <c r="DG13" s="70">
        <v>0</v>
      </c>
      <c r="DH13" s="92" t="e">
        <f ca="1">IF(CK13&gt;=50,(CZ13*4+DA13*6+DG13*5)/CK13,"")</f>
        <v>#NAME?</v>
      </c>
      <c r="DI13" s="100" t="e">
        <f ca="1">CQ13/(CG13-CH13)</f>
        <v>#NAME?</v>
      </c>
    </row>
    <row r="14" spans="1:113" x14ac:dyDescent="0.15">
      <c r="B14" s="70" t="s">
        <v>232</v>
      </c>
      <c r="C14" s="70" t="s">
        <v>231</v>
      </c>
      <c r="K14" s="132"/>
      <c r="L14"/>
      <c r="M14"/>
      <c r="O14"/>
      <c r="P14" t="s">
        <v>526</v>
      </c>
      <c r="Q14" t="s">
        <v>541</v>
      </c>
      <c r="R14"/>
      <c r="S14" t="s">
        <v>559</v>
      </c>
      <c r="T14"/>
      <c r="U14"/>
      <c r="V14"/>
      <c r="Y14" t="s">
        <v>239</v>
      </c>
      <c r="CE14" s="70" t="e">
        <f t="shared" ca="1" si="5"/>
        <v>#NAME?</v>
      </c>
      <c r="CF14" s="70" t="e">
        <f t="shared" ca="1" si="6"/>
        <v>#NAME?</v>
      </c>
      <c r="CG14" s="70" t="e">
        <f t="shared" ca="1" si="7"/>
        <v>#NAME?</v>
      </c>
      <c r="CH14" s="70" t="e">
        <f t="shared" ca="1" si="8"/>
        <v>#NAME?</v>
      </c>
      <c r="CI14" s="70" t="e">
        <f t="shared" ca="1" si="9"/>
        <v>#NAME?</v>
      </c>
      <c r="CJ14" s="74" t="e">
        <f t="shared" ca="1" si="0"/>
        <v>#NAME?</v>
      </c>
      <c r="CK14" s="70" t="e">
        <f t="shared" ca="1" si="10"/>
        <v>#NAME?</v>
      </c>
      <c r="CL14" s="72" t="e">
        <f t="shared" ca="1" si="11"/>
        <v>#NAME?</v>
      </c>
      <c r="CM14" s="70" t="e">
        <f t="shared" ca="1" si="12"/>
        <v>#NAME?</v>
      </c>
      <c r="CN14" s="70" t="e">
        <f t="shared" ca="1" si="13"/>
        <v>#NAME?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 t="e">
        <f t="shared" ca="1" si="14"/>
        <v>#NAME?</v>
      </c>
      <c r="CR14" s="73">
        <f t="array" ref="CR14">SUM(IF(ISERR(FIND(CR$4,$D14:$CD14)),0,1))</f>
        <v>1</v>
      </c>
      <c r="CS14" s="73">
        <f t="array" ref="CS14">SUM(IF(ISERR(FIND(CS$4,$D14:$CD14)),0,1))</f>
        <v>1</v>
      </c>
      <c r="CT14" s="73">
        <f t="array" ref="CT14">SUM(IF(ISERR(FIND(CT$4,$D14:$CD14)),0,1))</f>
        <v>0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 t="e">
        <f t="shared" ca="1" si="1"/>
        <v>#NAME?</v>
      </c>
      <c r="CY14" s="73" t="e">
        <f t="shared" ca="1" si="15"/>
        <v>#NAME?</v>
      </c>
      <c r="CZ14" s="73" t="e">
        <f t="shared" ca="1" si="16"/>
        <v>#NAME?</v>
      </c>
      <c r="DA14" s="73" t="e">
        <f t="shared" ca="1" si="17"/>
        <v>#NAME?</v>
      </c>
      <c r="DB14" s="73" t="e">
        <f t="shared" ca="1" si="18"/>
        <v>#NAME?</v>
      </c>
      <c r="DC14" s="73" t="e">
        <f t="shared" ca="1" si="19"/>
        <v>#NAME?</v>
      </c>
      <c r="DD14" s="73" t="e">
        <f t="shared" ca="1" si="20"/>
        <v>#NAME?</v>
      </c>
      <c r="DE14" s="70" t="e">
        <f t="shared" ca="1" si="21"/>
        <v>#NAME?</v>
      </c>
      <c r="DF14" s="70" t="e">
        <f t="shared" ca="1" si="2"/>
        <v>#NAME?</v>
      </c>
      <c r="DG14" s="70">
        <v>0</v>
      </c>
      <c r="DH14" s="92" t="e">
        <f t="shared" ca="1" si="22"/>
        <v>#NAME?</v>
      </c>
      <c r="DI14" s="100" t="e">
        <f t="shared" ca="1" si="23"/>
        <v>#NAME?</v>
      </c>
    </row>
    <row r="15" spans="1:113" x14ac:dyDescent="0.15">
      <c r="A15" s="70" t="s">
        <v>186</v>
      </c>
      <c r="B15" s="70" t="s">
        <v>180</v>
      </c>
      <c r="C15" s="70" t="s">
        <v>181</v>
      </c>
      <c r="E15" s="132" t="s">
        <v>312</v>
      </c>
      <c r="F15" s="132" t="s">
        <v>338</v>
      </c>
      <c r="G15" s="132" t="s">
        <v>273</v>
      </c>
      <c r="H15" s="132"/>
      <c r="I15" s="132"/>
      <c r="J15" s="132"/>
      <c r="K15" s="132"/>
      <c r="L15" t="s">
        <v>451</v>
      </c>
      <c r="M15" t="s">
        <v>464</v>
      </c>
      <c r="N15" s="132"/>
      <c r="O15" t="s">
        <v>507</v>
      </c>
      <c r="P15" t="s">
        <v>505</v>
      </c>
      <c r="Q15"/>
      <c r="T15" t="s">
        <v>274</v>
      </c>
      <c r="U15" t="s">
        <v>612</v>
      </c>
      <c r="V15"/>
      <c r="X15" t="s">
        <v>662</v>
      </c>
      <c r="CE15" s="70" t="e">
        <f t="shared" ca="1" si="5"/>
        <v>#NAME?</v>
      </c>
      <c r="CF15" s="70" t="e">
        <f t="shared" ca="1" si="6"/>
        <v>#NAME?</v>
      </c>
      <c r="CG15" s="70" t="e">
        <f t="shared" ca="1" si="7"/>
        <v>#NAME?</v>
      </c>
      <c r="CH15" s="70" t="e">
        <f t="shared" ca="1" si="8"/>
        <v>#NAME?</v>
      </c>
      <c r="CI15" s="70" t="e">
        <f t="shared" ca="1" si="9"/>
        <v>#NAME?</v>
      </c>
      <c r="CJ15" s="74" t="e">
        <f t="shared" ca="1" si="0"/>
        <v>#NAME?</v>
      </c>
      <c r="CK15" s="70" t="e">
        <f t="shared" ca="1" si="10"/>
        <v>#NAME?</v>
      </c>
      <c r="CL15" s="72" t="e">
        <f t="shared" ca="1" si="11"/>
        <v>#NAME?</v>
      </c>
      <c r="CM15" s="70" t="e">
        <f t="shared" ca="1" si="12"/>
        <v>#NAME?</v>
      </c>
      <c r="CN15" s="70" t="e">
        <f t="shared" ca="1" si="13"/>
        <v>#NAME?</v>
      </c>
      <c r="CO15" s="73">
        <f t="array" ref="CO15">SUM(IF(ISERR(FIND("*",D15:CD15)),0,1))</f>
        <v>0</v>
      </c>
      <c r="CP15" s="73">
        <f t="array" ref="CP15">SUM(IF(ISERR(FIND("+",D15:CD15)),0,1))</f>
        <v>2</v>
      </c>
      <c r="CQ15" s="70" t="e">
        <f t="shared" ca="1" si="14"/>
        <v>#NAME?</v>
      </c>
      <c r="CR15" s="73">
        <f t="array" ref="CR15">SUM(IF(ISERR(FIND(CR$4,$D15:$CD15)),0,1))</f>
        <v>2</v>
      </c>
      <c r="CS15" s="73">
        <f t="array" ref="CS15">SUM(IF(ISERR(FIND(CS$4,$D15:$CD15)),0,1))</f>
        <v>3</v>
      </c>
      <c r="CT15" s="73">
        <f t="array" ref="CT15">SUM(IF(ISERR(FIND(CT$4,$D15:$CD15)),0,1))</f>
        <v>2</v>
      </c>
      <c r="CU15" s="73">
        <f t="array" ref="CU15">SUM(IF(ISERR(FIND(CU$4,$D15:$CD15)),0,1))</f>
        <v>1</v>
      </c>
      <c r="CV15" s="73">
        <f t="array" ref="CV15">SUM(IF(ISERR(FIND(CV$4,$D15:$CD15)),0,1))</f>
        <v>1</v>
      </c>
      <c r="CW15" s="73">
        <f t="array" ref="CW15">SUM(IF(ISERR(FIND(CW$4,$D15:$CD15)),0,1))</f>
        <v>0</v>
      </c>
      <c r="CX15" s="73" t="e">
        <f t="shared" ca="1" si="1"/>
        <v>#NAME?</v>
      </c>
      <c r="CY15" s="73" t="e">
        <f t="shared" ca="1" si="15"/>
        <v>#NAME?</v>
      </c>
      <c r="CZ15" s="73" t="e">
        <f t="shared" ca="1" si="16"/>
        <v>#NAME?</v>
      </c>
      <c r="DA15" s="73" t="e">
        <f t="shared" ca="1" si="17"/>
        <v>#NAME?</v>
      </c>
      <c r="DB15" s="73" t="e">
        <f t="shared" ca="1" si="18"/>
        <v>#NAME?</v>
      </c>
      <c r="DC15" s="73" t="e">
        <f t="shared" ca="1" si="19"/>
        <v>#NAME?</v>
      </c>
      <c r="DD15" s="73" t="e">
        <f t="shared" ca="1" si="20"/>
        <v>#NAME?</v>
      </c>
      <c r="DE15" s="70" t="e">
        <f t="shared" ca="1" si="21"/>
        <v>#NAME?</v>
      </c>
      <c r="DF15" s="70" t="e">
        <f t="shared" ca="1" si="2"/>
        <v>#NAME?</v>
      </c>
      <c r="DG15" s="70">
        <v>0</v>
      </c>
      <c r="DH15" s="92" t="e">
        <f t="shared" ca="1" si="22"/>
        <v>#NAME?</v>
      </c>
      <c r="DI15" s="100" t="e">
        <f t="shared" ca="1" si="23"/>
        <v>#NAME?</v>
      </c>
    </row>
    <row r="16" spans="1:113" x14ac:dyDescent="0.15">
      <c r="B16" s="70" t="s">
        <v>229</v>
      </c>
      <c r="C16" s="70" t="s">
        <v>230</v>
      </c>
      <c r="J16"/>
      <c r="K16"/>
      <c r="O16"/>
      <c r="P16"/>
      <c r="T16" t="s">
        <v>594</v>
      </c>
      <c r="X16" t="s">
        <v>282</v>
      </c>
      <c r="CE16" s="70" t="e">
        <f t="shared" ca="1" si="5"/>
        <v>#NAME?</v>
      </c>
      <c r="CF16" s="70" t="e">
        <f t="shared" ca="1" si="6"/>
        <v>#NAME?</v>
      </c>
      <c r="CG16" s="70" t="e">
        <f t="shared" ca="1" si="7"/>
        <v>#NAME?</v>
      </c>
      <c r="CH16" s="70" t="e">
        <f t="shared" ca="1" si="8"/>
        <v>#NAME?</v>
      </c>
      <c r="CI16" s="70" t="e">
        <f t="shared" ca="1" si="9"/>
        <v>#NAME?</v>
      </c>
      <c r="CJ16" s="74" t="e">
        <f t="shared" ca="1" si="0"/>
        <v>#NAME?</v>
      </c>
      <c r="CK16" s="70" t="e">
        <f t="shared" ca="1" si="10"/>
        <v>#NAME?</v>
      </c>
      <c r="CL16" s="72" t="e">
        <f t="shared" ca="1" si="11"/>
        <v>#NAME?</v>
      </c>
      <c r="CM16" s="70" t="e">
        <f t="shared" ca="1" si="12"/>
        <v>#NAME?</v>
      </c>
      <c r="CN16" s="70" t="e">
        <f t="shared" ca="1" si="13"/>
        <v>#NAME?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 t="e">
        <f t="shared" ca="1" si="14"/>
        <v>#NAME?</v>
      </c>
      <c r="CR16" s="73">
        <f t="array" ref="CR16">SUM(IF(ISERR(FIND(CR$4,$D16:$CD16)),0,1))</f>
        <v>0</v>
      </c>
      <c r="CS16" s="73">
        <f t="array" ref="CS16">SUM(IF(ISERR(FIND(CS$4,$D16:$CD16)),0,1))</f>
        <v>1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1</v>
      </c>
      <c r="CW16" s="73">
        <f t="array" ref="CW16">SUM(IF(ISERR(FIND(CW$4,$D16:$CD16)),0,1))</f>
        <v>0</v>
      </c>
      <c r="CX16" s="73" t="e">
        <f t="shared" ca="1" si="1"/>
        <v>#NAME?</v>
      </c>
      <c r="CY16" s="73" t="e">
        <f t="shared" ca="1" si="15"/>
        <v>#NAME?</v>
      </c>
      <c r="CZ16" s="73" t="e">
        <f t="shared" ca="1" si="16"/>
        <v>#NAME?</v>
      </c>
      <c r="DA16" s="73" t="e">
        <f t="shared" ca="1" si="17"/>
        <v>#NAME?</v>
      </c>
      <c r="DB16" s="73" t="e">
        <f t="shared" ca="1" si="18"/>
        <v>#NAME?</v>
      </c>
      <c r="DC16" s="73" t="e">
        <f t="shared" ca="1" si="19"/>
        <v>#NAME?</v>
      </c>
      <c r="DD16" s="73" t="e">
        <f t="shared" ca="1" si="20"/>
        <v>#NAME?</v>
      </c>
      <c r="DE16" s="70" t="e">
        <f t="shared" ca="1" si="21"/>
        <v>#NAME?</v>
      </c>
      <c r="DF16" s="70" t="e">
        <f t="shared" ca="1" si="2"/>
        <v>#NAME?</v>
      </c>
      <c r="DG16" s="70">
        <v>0</v>
      </c>
      <c r="DH16" s="92" t="e">
        <f t="shared" ca="1" si="22"/>
        <v>#NAME?</v>
      </c>
      <c r="DI16" s="100" t="e">
        <f t="shared" ca="1" si="23"/>
        <v>#NAME?</v>
      </c>
    </row>
    <row r="17" spans="1:113" x14ac:dyDescent="0.15">
      <c r="C17" s="132" t="s">
        <v>599</v>
      </c>
      <c r="J17"/>
      <c r="K17"/>
      <c r="O17"/>
      <c r="P17"/>
      <c r="T17" t="s">
        <v>600</v>
      </c>
      <c r="X17" t="s">
        <v>664</v>
      </c>
      <c r="CE17" s="70" t="e">
        <f t="shared" ref="CE17" ca="1" si="26">BatSplit(D17:CD17,MatchesPlayed)</f>
        <v>#NAME?</v>
      </c>
      <c r="CF17" s="70" t="e">
        <f t="shared" ref="CF17" ca="1" si="27">CE17-CG17</f>
        <v>#NAME?</v>
      </c>
      <c r="CG17" s="70" t="e">
        <f t="shared" ref="CG17" ca="1" si="28">BatSplit(D17:CD17,InnsBattedIn)</f>
        <v>#NAME?</v>
      </c>
      <c r="CH17" s="70" t="e">
        <f t="shared" ref="CH17" ca="1" si="29">BatSplit(D17:CD17,NotOuts)</f>
        <v>#NAME?</v>
      </c>
      <c r="CI17" s="70" t="e">
        <f t="shared" ref="CI17" ca="1" si="30">BatSplit(D17:CD17,HighestScore)</f>
        <v>#NAME?</v>
      </c>
      <c r="CJ17" s="74" t="e">
        <f t="shared" ref="CJ17:CJ18" ca="1" si="31">IF(CI17&lt;0,-CI17&amp;"*",CI17)</f>
        <v>#NAME?</v>
      </c>
      <c r="CK17" s="70" t="e">
        <f t="shared" ref="CK17" ca="1" si="32">BatSplit(D17:CD17,RunsScored)</f>
        <v>#NAME?</v>
      </c>
      <c r="CL17" s="72" t="e">
        <f t="shared" ref="CL17" ca="1" si="33">IF(CG17=CH17,0,CK17/(CG17-CH17))</f>
        <v>#NAME?</v>
      </c>
      <c r="CM17" s="70" t="e">
        <f t="shared" ref="CM17" ca="1" si="34">BatSplit(D17:CD17,BatPts)</f>
        <v>#NAME?</v>
      </c>
      <c r="CN17" s="70" t="e">
        <f t="shared" ref="CN17" ca="1" si="35">BatSplit(D17:CD17,FldPts)</f>
        <v>#NAME?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 t="e">
        <f t="shared" ref="CQ17" ca="1" si="36">BatSplit(D17:CD17,Ducks)</f>
        <v>#NAME?</v>
      </c>
      <c r="CR17" s="73">
        <f t="array" ref="CR17">SUM(IF(ISERR(FIND(CR$4,$D17:$CD17)),0,1))</f>
        <v>0</v>
      </c>
      <c r="CS17" s="73">
        <f t="array" ref="CS17">SUM(IF(ISERR(FIND(CS$4,$D17:$CD17)),0,1))</f>
        <v>2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 t="e">
        <f t="shared" ca="1" si="1"/>
        <v>#NAME?</v>
      </c>
      <c r="CY17" s="73" t="e">
        <f t="shared" ref="CY17" ca="1" si="37">BatSplit(D17:CD17,Catches)</f>
        <v>#NAME?</v>
      </c>
      <c r="CZ17" s="73" t="e">
        <f t="shared" ref="CZ17" ca="1" si="38">BatSplit(D17:CD17,Fours)</f>
        <v>#NAME?</v>
      </c>
      <c r="DA17" s="73" t="e">
        <f t="shared" ref="DA17" ca="1" si="39">BatSplit(D17:CD17,Sixes)</f>
        <v>#NAME?</v>
      </c>
      <c r="DB17" s="73" t="e">
        <f t="shared" ref="DB17" ca="1" si="40">BatSplit(D17:CD17,Stumpings)</f>
        <v>#NAME?</v>
      </c>
      <c r="DC17" s="73" t="e">
        <f t="shared" ref="DC17" ca="1" si="41">BatSplit(D17:CD17,CaughtWkt)</f>
        <v>#NAME?</v>
      </c>
      <c r="DD17" s="73" t="e">
        <f t="shared" ref="DD17" ca="1" si="42">BatSplit(D17:CD17,TwentyFives)</f>
        <v>#NAME?</v>
      </c>
      <c r="DE17" s="70" t="e">
        <f t="shared" ref="DE17" ca="1" si="43">ROUND(IF(ISERROR(CL17),0,CL17),2)*100000+CG17*100+CE17+CK17/100+ROW()/100000</f>
        <v>#NAME?</v>
      </c>
      <c r="DF17" s="70" t="e">
        <f t="shared" ca="1" si="2"/>
        <v>#NAME?</v>
      </c>
      <c r="DG17" s="70">
        <v>0</v>
      </c>
      <c r="DH17" s="92" t="e">
        <f t="shared" ref="DH17" ca="1" si="44">IF(CK17&gt;=50,(CZ17*4+DA17*6+DG17*5)/CK17,"")</f>
        <v>#NAME?</v>
      </c>
      <c r="DI17" s="100" t="e">
        <f t="shared" ref="DI17" ca="1" si="45">CQ17/(CG17-CH17)</f>
        <v>#NAME?</v>
      </c>
    </row>
    <row r="18" spans="1:113" x14ac:dyDescent="0.15">
      <c r="C18" s="132" t="s">
        <v>690</v>
      </c>
      <c r="J18"/>
      <c r="K18"/>
      <c r="O18"/>
      <c r="P18"/>
      <c r="T18"/>
      <c r="X18"/>
      <c r="Z18" t="s">
        <v>509</v>
      </c>
      <c r="CE18" s="70" t="e">
        <f ca="1">BatSplit(D18:CD18,MatchesPlayed)</f>
        <v>#NAME?</v>
      </c>
      <c r="CF18" s="70" t="e">
        <f ca="1">CE18-CG18</f>
        <v>#NAME?</v>
      </c>
      <c r="CG18" s="70" t="e">
        <f ca="1">BatSplit(D18:CD18,InnsBattedIn)</f>
        <v>#NAME?</v>
      </c>
      <c r="CH18" s="70" t="e">
        <f ca="1">BatSplit(D18:CD18,NotOuts)</f>
        <v>#NAME?</v>
      </c>
      <c r="CI18" s="70" t="e">
        <f ca="1">BatSplit(D18:CD18,HighestScore)</f>
        <v>#NAME?</v>
      </c>
      <c r="CJ18" s="74" t="e">
        <f t="shared" ca="1" si="31"/>
        <v>#NAME?</v>
      </c>
      <c r="CK18" s="70" t="e">
        <f ca="1">BatSplit(D18:CD18,RunsScored)</f>
        <v>#NAME?</v>
      </c>
      <c r="CL18" s="72" t="e">
        <f ca="1">IF(CG18=CH18,0,CK18/(CG18-CH18))</f>
        <v>#NAME?</v>
      </c>
      <c r="CM18" s="70" t="e">
        <f ca="1">BatSplit(D18:CD18,BatPts)</f>
        <v>#NAME?</v>
      </c>
      <c r="CN18" s="70" t="e">
        <f ca="1">BatSplit(D18:CD18,FldPts)</f>
        <v>#NAME?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 t="e">
        <f ca="1">BatSplit(D18:CD18,Ducks)</f>
        <v>#NAME?</v>
      </c>
      <c r="CR18" s="73">
        <f t="array" ref="CR18">SUM(IF(ISERR(FIND(CR$4,$D18:$CD18)),0,1))</f>
        <v>0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 t="e">
        <f t="shared" ca="1" si="1"/>
        <v>#NAME?</v>
      </c>
      <c r="CY18" s="73" t="e">
        <f ca="1">BatSplit(D18:CD18,Catches)</f>
        <v>#NAME?</v>
      </c>
      <c r="CZ18" s="73" t="e">
        <f ca="1">BatSplit(D18:CD18,Fours)</f>
        <v>#NAME?</v>
      </c>
      <c r="DA18" s="73" t="e">
        <f ca="1">BatSplit(D18:CD18,Sixes)</f>
        <v>#NAME?</v>
      </c>
      <c r="DB18" s="73" t="e">
        <f ca="1">BatSplit(D18:CD18,Stumpings)</f>
        <v>#NAME?</v>
      </c>
      <c r="DC18" s="73" t="e">
        <f ca="1">BatSplit(D18:CD18,CaughtWkt)</f>
        <v>#NAME?</v>
      </c>
      <c r="DD18" s="73" t="e">
        <f ca="1">BatSplit(D18:CD18,TwentyFives)</f>
        <v>#NAME?</v>
      </c>
      <c r="DE18" s="70" t="e">
        <f ca="1">ROUND(IF(ISERROR(CL18),0,CL18),2)*100000+CG18*100+CE18+CK18/100+ROW()/100000</f>
        <v>#NAME?</v>
      </c>
      <c r="DF18" s="70" t="e">
        <f t="shared" ca="1" si="2"/>
        <v>#NAME?</v>
      </c>
      <c r="DG18" s="70">
        <v>0</v>
      </c>
      <c r="DH18" s="92" t="e">
        <f ca="1">IF(CK18&gt;=50,(CZ18*4+DA18*6+DG18*5)/CK18,"")</f>
        <v>#NAME?</v>
      </c>
      <c r="DI18" s="100" t="e">
        <f ca="1">CQ18/(CG18-CH18)</f>
        <v>#NAME?</v>
      </c>
    </row>
    <row r="19" spans="1:113" x14ac:dyDescent="0.15">
      <c r="B19" s="70" t="s">
        <v>245</v>
      </c>
      <c r="C19" t="s">
        <v>408</v>
      </c>
      <c r="J19" t="s">
        <v>409</v>
      </c>
      <c r="V19"/>
      <c r="CE19" s="70" t="e">
        <f ca="1">BatSplit(D19:CD19,MatchesPlayed)</f>
        <v>#NAME?</v>
      </c>
      <c r="CF19" s="70" t="e">
        <f ca="1">CE19-CG19</f>
        <v>#NAME?</v>
      </c>
      <c r="CG19" s="70" t="e">
        <f ca="1">BatSplit(D19:CD19,InnsBattedIn)</f>
        <v>#NAME?</v>
      </c>
      <c r="CH19" s="70" t="e">
        <f ca="1">BatSplit(D19:CD19,NotOuts)</f>
        <v>#NAME?</v>
      </c>
      <c r="CI19" s="70" t="e">
        <f ca="1">BatSplit(D19:CD19,HighestScore)</f>
        <v>#NAME?</v>
      </c>
      <c r="CJ19" s="74" t="e">
        <f t="shared" ca="1" si="0"/>
        <v>#NAME?</v>
      </c>
      <c r="CK19" s="70" t="e">
        <f ca="1">BatSplit(D19:CD19,RunsScored)</f>
        <v>#NAME?</v>
      </c>
      <c r="CL19" s="72" t="e">
        <f ca="1">IF(CG19=CH19,0,CK19/(CG19-CH19))</f>
        <v>#NAME?</v>
      </c>
      <c r="CM19" s="70" t="e">
        <f ca="1">BatSplit(D19:CD19,BatPts)</f>
        <v>#NAME?</v>
      </c>
      <c r="CN19" s="70" t="e">
        <f ca="1">BatSplit(D19:CD19,FldPts)</f>
        <v>#NAME?</v>
      </c>
      <c r="CO19" s="73">
        <f t="array" ref="CO19">SUM(IF(ISERR(FIND("*",D19:CD19)),0,1))</f>
        <v>0</v>
      </c>
      <c r="CP19" s="73">
        <f t="array" ref="CP19">SUM(IF(ISERR(FIND("+",D19:CD19)),0,1))</f>
        <v>0</v>
      </c>
      <c r="CQ19" s="70" t="e">
        <f ca="1">BatSplit(D19:CD19,Ducks)</f>
        <v>#NAME?</v>
      </c>
      <c r="CR19" s="73">
        <f t="array" ref="CR19">SUM(IF(ISERR(FIND(CR$4,$D19:$CD19)),0,1))</f>
        <v>0</v>
      </c>
      <c r="CS19" s="73">
        <f t="array" ref="CS19">SUM(IF(ISERR(FIND(CS$4,$D19:$CD19)),0,1))</f>
        <v>0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 t="e">
        <f t="shared" ca="1" si="1"/>
        <v>#NAME?</v>
      </c>
      <c r="CY19" s="73" t="e">
        <f ca="1">BatSplit(D19:CD19,Catches)</f>
        <v>#NAME?</v>
      </c>
      <c r="CZ19" s="73" t="e">
        <f ca="1">BatSplit(D19:CD19,Fours)</f>
        <v>#NAME?</v>
      </c>
      <c r="DA19" s="73" t="e">
        <f ca="1">BatSplit(D19:CD19,Sixes)</f>
        <v>#NAME?</v>
      </c>
      <c r="DB19" s="73" t="e">
        <f ca="1">BatSplit(D19:CD19,Stumpings)</f>
        <v>#NAME?</v>
      </c>
      <c r="DC19" s="73" t="e">
        <f ca="1">BatSplit(D19:CD19,CaughtWkt)</f>
        <v>#NAME?</v>
      </c>
      <c r="DD19" s="73" t="e">
        <f ca="1">BatSplit(D19:CD19,TwentyFives)</f>
        <v>#NAME?</v>
      </c>
      <c r="DE19" s="70" t="e">
        <f ca="1">ROUND(IF(ISERROR(CL19),0,CL19),2)*100000+CG19*100+CE19+CK19/100+ROW()/100000</f>
        <v>#NAME?</v>
      </c>
      <c r="DF19" s="70" t="e">
        <f t="shared" ca="1" si="2"/>
        <v>#NAME?</v>
      </c>
      <c r="DG19" s="70">
        <v>0</v>
      </c>
      <c r="DH19" s="92" t="e">
        <f ca="1">IF(CK19&gt;=50,(CZ19*4+DA19*6+DG19*5)/CK19,"")</f>
        <v>#NAME?</v>
      </c>
      <c r="DI19" s="100" t="e">
        <f ca="1">CQ19/(CG19-CH19)</f>
        <v>#NAME?</v>
      </c>
    </row>
    <row r="20" spans="1:113" x14ac:dyDescent="0.15">
      <c r="B20" s="132"/>
      <c r="C20" t="s">
        <v>414</v>
      </c>
      <c r="J20" t="s">
        <v>258</v>
      </c>
      <c r="V20"/>
      <c r="CE20" s="70" t="e">
        <f ca="1">BatSplit(D20:CD20,MatchesPlayed)</f>
        <v>#NAME?</v>
      </c>
      <c r="CF20" s="70" t="e">
        <f ca="1">CE20-CG20</f>
        <v>#NAME?</v>
      </c>
      <c r="CG20" s="70" t="e">
        <f ca="1">BatSplit(D20:CD20,InnsBattedIn)</f>
        <v>#NAME?</v>
      </c>
      <c r="CH20" s="70" t="e">
        <f ca="1">BatSplit(D20:CD20,NotOuts)</f>
        <v>#NAME?</v>
      </c>
      <c r="CI20" s="70" t="e">
        <f ca="1">BatSplit(D20:CD20,HighestScore)</f>
        <v>#NAME?</v>
      </c>
      <c r="CJ20" s="74" t="e">
        <f t="shared" ref="CJ20" ca="1" si="46">IF(CI20&lt;0,-CI20&amp;"*",CI20)</f>
        <v>#NAME?</v>
      </c>
      <c r="CK20" s="70" t="e">
        <f ca="1">BatSplit(D20:CD20,RunsScored)</f>
        <v>#NAME?</v>
      </c>
      <c r="CL20" s="72" t="e">
        <f ca="1">IF(CG20=CH20,0,CK20/(CG20-CH20))</f>
        <v>#NAME?</v>
      </c>
      <c r="CM20" s="70" t="e">
        <f ca="1">BatSplit(D20:CD20,BatPts)</f>
        <v>#NAME?</v>
      </c>
      <c r="CN20" s="70" t="e">
        <f ca="1">BatSplit(D20:CD20,FldPts)</f>
        <v>#NAME?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 t="e">
        <f ca="1">BatSplit(D20:CD20,Ducks)</f>
        <v>#NAME?</v>
      </c>
      <c r="CR20" s="73">
        <f t="array" ref="CR20">SUM(IF(ISERR(FIND(CR$4,$D20:$CD20)),0,1))</f>
        <v>0</v>
      </c>
      <c r="CS20" s="73">
        <f t="array" ref="CS20">SUM(IF(ISERR(FIND(CS$4,$D20:$CD20)),0,1))</f>
        <v>0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 t="e">
        <f t="shared" ca="1" si="1"/>
        <v>#NAME?</v>
      </c>
      <c r="CY20" s="73" t="e">
        <f ca="1">BatSplit(D20:CD20,Catches)</f>
        <v>#NAME?</v>
      </c>
      <c r="CZ20" s="73" t="e">
        <f ca="1">BatSplit(D20:CD20,Fours)</f>
        <v>#NAME?</v>
      </c>
      <c r="DA20" s="73" t="e">
        <f ca="1">BatSplit(D20:CD20,Sixes)</f>
        <v>#NAME?</v>
      </c>
      <c r="DB20" s="73" t="e">
        <f ca="1">BatSplit(D20:CD20,Stumpings)</f>
        <v>#NAME?</v>
      </c>
      <c r="DC20" s="73" t="e">
        <f ca="1">BatSplit(D20:CD20,CaughtWkt)</f>
        <v>#NAME?</v>
      </c>
      <c r="DD20" s="73" t="e">
        <f ca="1">BatSplit(D20:CD20,TwentyFives)</f>
        <v>#NAME?</v>
      </c>
      <c r="DE20" s="70" t="e">
        <f ca="1">ROUND(IF(ISERROR(CL20),0,CL20),2)*100000+CG20*100+CE20+CK20/100+ROW()/100000</f>
        <v>#NAME?</v>
      </c>
      <c r="DF20" s="70" t="e">
        <f t="shared" ca="1" si="2"/>
        <v>#NAME?</v>
      </c>
      <c r="DG20" s="70">
        <v>0</v>
      </c>
      <c r="DH20" s="92" t="e">
        <f ca="1">IF(CK20&gt;=50,(CZ20*4+DA20*6+DG20*5)/CK20,"")</f>
        <v>#NAME?</v>
      </c>
      <c r="DI20" s="100" t="e">
        <f ca="1">CQ20/(CG20-CH20)</f>
        <v>#NAME?</v>
      </c>
    </row>
    <row r="21" spans="1:113" x14ac:dyDescent="0.15">
      <c r="B21" s="70" t="s">
        <v>203</v>
      </c>
      <c r="C21" s="70" t="s">
        <v>204</v>
      </c>
      <c r="H21" t="s">
        <v>377</v>
      </c>
      <c r="I21" t="s">
        <v>390</v>
      </c>
      <c r="J21" t="s">
        <v>410</v>
      </c>
      <c r="K21" t="s">
        <v>431</v>
      </c>
      <c r="L21" t="s">
        <v>449</v>
      </c>
      <c r="M21" s="132"/>
      <c r="N21" s="132"/>
      <c r="P21" t="s">
        <v>521</v>
      </c>
      <c r="Q21" t="s">
        <v>538</v>
      </c>
      <c r="R21" t="s">
        <v>556</v>
      </c>
      <c r="S21" t="s">
        <v>571</v>
      </c>
      <c r="T21" s="132"/>
      <c r="CE21" s="70" t="e">
        <f t="shared" ref="CE21:CE26" ca="1" si="47">BatSplit(D21:CD21,MatchesPlayed)</f>
        <v>#NAME?</v>
      </c>
      <c r="CF21" s="70" t="e">
        <f t="shared" ref="CF21:CF26" ca="1" si="48">CE21-CG21</f>
        <v>#NAME?</v>
      </c>
      <c r="CG21" s="70" t="e">
        <f t="shared" ref="CG21:CG26" ca="1" si="49">BatSplit(D21:CD21,InnsBattedIn)</f>
        <v>#NAME?</v>
      </c>
      <c r="CH21" s="70" t="e">
        <f t="shared" ref="CH21:CH26" ca="1" si="50">BatSplit(D21:CD21,NotOuts)</f>
        <v>#NAME?</v>
      </c>
      <c r="CI21" s="70" t="e">
        <f t="shared" ref="CI21:CI26" ca="1" si="51">BatSplit(D21:CD21,HighestScore)</f>
        <v>#NAME?</v>
      </c>
      <c r="CJ21" s="74" t="e">
        <f t="shared" ref="CJ21:CJ26" ca="1" si="52">IF(CI21&lt;0,-CI21&amp;"*",CI21)</f>
        <v>#NAME?</v>
      </c>
      <c r="CK21" s="70" t="e">
        <f t="shared" ref="CK21:CK26" ca="1" si="53">BatSplit(D21:CD21,RunsScored)</f>
        <v>#NAME?</v>
      </c>
      <c r="CL21" s="72" t="e">
        <f t="shared" ref="CL21:CL26" ca="1" si="54">IF(CG21=CH21,0,CK21/(CG21-CH21))</f>
        <v>#NAME?</v>
      </c>
      <c r="CM21" s="70" t="e">
        <f t="shared" ref="CM21:CM26" ca="1" si="55">BatSplit(D21:CD21,BatPts)</f>
        <v>#NAME?</v>
      </c>
      <c r="CN21" s="70" t="e">
        <f t="shared" ref="CN21:CN26" ca="1" si="56">BatSplit(D21:CD21,FldPts)</f>
        <v>#NAME?</v>
      </c>
      <c r="CO21" s="73">
        <f t="array" ref="CO21">SUM(IF(ISERR(FIND("*",D21:CD21)),0,1))</f>
        <v>0</v>
      </c>
      <c r="CP21" s="73">
        <f t="array" ref="CP21">SUM(IF(ISERR(FIND("+",D21:CD21)),0,1))</f>
        <v>8</v>
      </c>
      <c r="CQ21" s="70" t="e">
        <f t="shared" ref="CQ21:CQ26" ca="1" si="57">BatSplit(D21:CD21,Ducks)</f>
        <v>#NAME?</v>
      </c>
      <c r="CR21" s="73">
        <f t="array" ref="CR21">SUM(IF(ISERR(FIND(CR$4,$D21:$CD21)),0,1))</f>
        <v>3</v>
      </c>
      <c r="CS21" s="73">
        <f t="array" ref="CS21">SUM(IF(ISERR(FIND(CS$4,$D21:$CD21)),0,1))</f>
        <v>5</v>
      </c>
      <c r="CT21" s="73">
        <f t="array" ref="CT21">SUM(IF(ISERR(FIND(CT$4,$D21:$CD21)),0,1))</f>
        <v>0</v>
      </c>
      <c r="CU21" s="73">
        <f t="array" ref="CU21">SUM(IF(ISERR(FIND(CU$4,$D21:$CD21)),0,1))</f>
        <v>0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 t="e">
        <f t="shared" ca="1" si="1"/>
        <v>#NAME?</v>
      </c>
      <c r="CY21" s="73" t="e">
        <f t="shared" ref="CY21:CY26" ca="1" si="58">BatSplit(D21:CD21,Catches)</f>
        <v>#NAME?</v>
      </c>
      <c r="CZ21" s="73" t="e">
        <f t="shared" ref="CZ21:CZ26" ca="1" si="59">BatSplit(D21:CD21,Fours)</f>
        <v>#NAME?</v>
      </c>
      <c r="DA21" s="73" t="e">
        <f t="shared" ref="DA21:DA26" ca="1" si="60">BatSplit(D21:CD21,Sixes)</f>
        <v>#NAME?</v>
      </c>
      <c r="DB21" s="73" t="e">
        <f t="shared" ref="DB21:DB26" ca="1" si="61">BatSplit(D21:CD21,Stumpings)</f>
        <v>#NAME?</v>
      </c>
      <c r="DC21" s="73" t="e">
        <f t="shared" ref="DC21:DC26" ca="1" si="62">BatSplit(D21:CD21,CaughtWkt)</f>
        <v>#NAME?</v>
      </c>
      <c r="DD21" s="73" t="e">
        <f t="shared" ref="DD21:DD26" ca="1" si="63">BatSplit(D21:CD21,TwentyFives)</f>
        <v>#NAME?</v>
      </c>
      <c r="DE21" s="70" t="e">
        <f t="shared" ref="DE21:DE26" ca="1" si="64">ROUND(IF(ISERROR(CL21),0,CL21),2)*100000+CG21*100+CE21+CK21/100+ROW()/100000</f>
        <v>#NAME?</v>
      </c>
      <c r="DF21" s="70" t="e">
        <f t="shared" ca="1" si="2"/>
        <v>#NAME?</v>
      </c>
      <c r="DG21" s="70">
        <v>0</v>
      </c>
      <c r="DH21" s="92" t="e">
        <f t="shared" ref="DH21:DH26" ca="1" si="65">IF(CK21&gt;=50,(CZ21*4+DA21*6+DG21*5)/CK21,"")</f>
        <v>#NAME?</v>
      </c>
      <c r="DI21" s="100" t="e">
        <f t="shared" ref="DI21:DI26" ca="1" si="66">CQ21/(CG21-CH21)</f>
        <v>#NAME?</v>
      </c>
    </row>
    <row r="22" spans="1:113" x14ac:dyDescent="0.15">
      <c r="B22" s="70" t="s">
        <v>29</v>
      </c>
      <c r="C22" s="70" t="s">
        <v>228</v>
      </c>
      <c r="D22"/>
      <c r="E22" t="s">
        <v>313</v>
      </c>
      <c r="F22"/>
      <c r="G22" t="s">
        <v>355</v>
      </c>
      <c r="H22"/>
      <c r="I22"/>
      <c r="J22"/>
      <c r="K22" t="s">
        <v>430</v>
      </c>
      <c r="L22" t="s">
        <v>448</v>
      </c>
      <c r="M22" t="s">
        <v>468</v>
      </c>
      <c r="N22"/>
      <c r="O22" t="s">
        <v>508</v>
      </c>
      <c r="P22" t="s">
        <v>524</v>
      </c>
      <c r="Q22" s="132"/>
      <c r="R22" s="132" t="s">
        <v>557</v>
      </c>
      <c r="S22" s="132" t="s">
        <v>573</v>
      </c>
      <c r="T22" s="132" t="s">
        <v>597</v>
      </c>
      <c r="U22"/>
      <c r="V22" s="132"/>
      <c r="X22" t="s">
        <v>277</v>
      </c>
      <c r="Y22" t="s">
        <v>674</v>
      </c>
      <c r="Z22" t="s">
        <v>689</v>
      </c>
      <c r="CE22" s="70" t="e">
        <f t="shared" ca="1" si="47"/>
        <v>#NAME?</v>
      </c>
      <c r="CF22" s="70" t="e">
        <f t="shared" ca="1" si="48"/>
        <v>#NAME?</v>
      </c>
      <c r="CG22" s="70" t="e">
        <f t="shared" ca="1" si="49"/>
        <v>#NAME?</v>
      </c>
      <c r="CH22" s="70" t="e">
        <f t="shared" ca="1" si="50"/>
        <v>#NAME?</v>
      </c>
      <c r="CI22" s="70" t="e">
        <f t="shared" ca="1" si="51"/>
        <v>#NAME?</v>
      </c>
      <c r="CJ22" s="74" t="e">
        <f t="shared" ca="1" si="52"/>
        <v>#NAME?</v>
      </c>
      <c r="CK22" s="70" t="e">
        <f t="shared" ca="1" si="53"/>
        <v>#NAME?</v>
      </c>
      <c r="CL22" s="72" t="e">
        <f t="shared" ca="1" si="54"/>
        <v>#NAME?</v>
      </c>
      <c r="CM22" s="70" t="e">
        <f t="shared" ca="1" si="55"/>
        <v>#NAME?</v>
      </c>
      <c r="CN22" s="70" t="e">
        <f t="shared" ca="1" si="56"/>
        <v>#NAME?</v>
      </c>
      <c r="CO22" s="73">
        <f t="array" ref="CO22">SUM(IF(ISERR(FIND("*",D22:CD22)),0,1))</f>
        <v>0</v>
      </c>
      <c r="CP22" s="73">
        <f t="array" ref="CP22">SUM(IF(ISERR(FIND("+",D22:CD22)),0,1))</f>
        <v>4</v>
      </c>
      <c r="CQ22" s="70" t="e">
        <f t="shared" ca="1" si="57"/>
        <v>#NAME?</v>
      </c>
      <c r="CR22" s="73">
        <f t="array" ref="CR22">SUM(IF(ISERR(FIND(CR$4,$D22:$CD22)),0,1))</f>
        <v>8</v>
      </c>
      <c r="CS22" s="73">
        <f t="array" ref="CS22">SUM(IF(ISERR(FIND(CS$4,$D22:$CD22)),0,1))</f>
        <v>1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1</v>
      </c>
      <c r="CW22" s="73">
        <f t="array" ref="CW22">SUM(IF(ISERR(FIND(CW$4,$D22:$CD22)),0,1))</f>
        <v>0</v>
      </c>
      <c r="CX22" s="73" t="e">
        <f t="shared" ca="1" si="1"/>
        <v>#NAME?</v>
      </c>
      <c r="CY22" s="73" t="e">
        <f t="shared" ca="1" si="58"/>
        <v>#NAME?</v>
      </c>
      <c r="CZ22" s="73" t="e">
        <f t="shared" ca="1" si="59"/>
        <v>#NAME?</v>
      </c>
      <c r="DA22" s="73" t="e">
        <f t="shared" ca="1" si="60"/>
        <v>#NAME?</v>
      </c>
      <c r="DB22" s="73" t="e">
        <f t="shared" ca="1" si="61"/>
        <v>#NAME?</v>
      </c>
      <c r="DC22" s="73" t="e">
        <f t="shared" ca="1" si="62"/>
        <v>#NAME?</v>
      </c>
      <c r="DD22" s="73" t="e">
        <f t="shared" ca="1" si="63"/>
        <v>#NAME?</v>
      </c>
      <c r="DE22" s="70" t="e">
        <f t="shared" ca="1" si="64"/>
        <v>#NAME?</v>
      </c>
      <c r="DF22" s="70" t="e">
        <f t="shared" ca="1" si="2"/>
        <v>#NAME?</v>
      </c>
      <c r="DG22" s="70">
        <v>0</v>
      </c>
      <c r="DH22" s="92" t="e">
        <f t="shared" ca="1" si="65"/>
        <v>#NAME?</v>
      </c>
      <c r="DI22" s="100" t="e">
        <f t="shared" ca="1" si="66"/>
        <v>#NAME?</v>
      </c>
    </row>
    <row r="23" spans="1:113" x14ac:dyDescent="0.15">
      <c r="B23" s="70" t="s">
        <v>218</v>
      </c>
      <c r="C23" s="70" t="s">
        <v>217</v>
      </c>
      <c r="G23" t="s">
        <v>357</v>
      </c>
      <c r="H23" t="s">
        <v>372</v>
      </c>
      <c r="I23"/>
      <c r="J23" t="s">
        <v>260</v>
      </c>
      <c r="M23"/>
      <c r="N23" t="s">
        <v>259</v>
      </c>
      <c r="P23" t="s">
        <v>525</v>
      </c>
      <c r="Q23" t="s">
        <v>279</v>
      </c>
      <c r="R23" t="s">
        <v>559</v>
      </c>
      <c r="T23"/>
      <c r="U23"/>
      <c r="V23"/>
      <c r="W23" t="s">
        <v>648</v>
      </c>
      <c r="X23" t="s">
        <v>271</v>
      </c>
      <c r="CE23" s="70" t="e">
        <f t="shared" ca="1" si="47"/>
        <v>#NAME?</v>
      </c>
      <c r="CF23" s="70" t="e">
        <f t="shared" ca="1" si="48"/>
        <v>#NAME?</v>
      </c>
      <c r="CG23" s="70" t="e">
        <f t="shared" ca="1" si="49"/>
        <v>#NAME?</v>
      </c>
      <c r="CH23" s="70" t="e">
        <f t="shared" ca="1" si="50"/>
        <v>#NAME?</v>
      </c>
      <c r="CI23" s="70" t="e">
        <f t="shared" ca="1" si="51"/>
        <v>#NAME?</v>
      </c>
      <c r="CJ23" s="74" t="e">
        <f t="shared" ca="1" si="52"/>
        <v>#NAME?</v>
      </c>
      <c r="CK23" s="70" t="e">
        <f t="shared" ca="1" si="53"/>
        <v>#NAME?</v>
      </c>
      <c r="CL23" s="72" t="e">
        <f t="shared" ca="1" si="54"/>
        <v>#NAME?</v>
      </c>
      <c r="CM23" s="70" t="e">
        <f t="shared" ca="1" si="55"/>
        <v>#NAME?</v>
      </c>
      <c r="CN23" s="70" t="e">
        <f t="shared" ca="1" si="56"/>
        <v>#NAME?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 t="e">
        <f t="shared" ca="1" si="57"/>
        <v>#NAME?</v>
      </c>
      <c r="CR23" s="73">
        <f t="array" ref="CR23">SUM(IF(ISERR(FIND(CR$4,$D23:$CD23)),0,1))</f>
        <v>1</v>
      </c>
      <c r="CS23" s="73">
        <f t="array" ref="CS23">SUM(IF(ISERR(FIND(CS$4,$D23:$CD23)),0,1))</f>
        <v>1</v>
      </c>
      <c r="CT23" s="73">
        <f t="array" ref="CT23">SUM(IF(ISERR(FIND(CT$4,$D23:$CD23)),0,1))</f>
        <v>2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 t="e">
        <f t="shared" ca="1" si="1"/>
        <v>#NAME?</v>
      </c>
      <c r="CY23" s="73" t="e">
        <f t="shared" ca="1" si="58"/>
        <v>#NAME?</v>
      </c>
      <c r="CZ23" s="73" t="e">
        <f t="shared" ca="1" si="59"/>
        <v>#NAME?</v>
      </c>
      <c r="DA23" s="73" t="e">
        <f t="shared" ca="1" si="60"/>
        <v>#NAME?</v>
      </c>
      <c r="DB23" s="73" t="e">
        <f t="shared" ca="1" si="61"/>
        <v>#NAME?</v>
      </c>
      <c r="DC23" s="73" t="e">
        <f t="shared" ca="1" si="62"/>
        <v>#NAME?</v>
      </c>
      <c r="DD23" s="73" t="e">
        <f t="shared" ca="1" si="63"/>
        <v>#NAME?</v>
      </c>
      <c r="DE23" s="70" t="e">
        <f t="shared" ca="1" si="64"/>
        <v>#NAME?</v>
      </c>
      <c r="DF23" s="70" t="e">
        <f t="shared" ca="1" si="2"/>
        <v>#NAME?</v>
      </c>
      <c r="DG23" s="70">
        <v>0</v>
      </c>
      <c r="DH23" s="92" t="e">
        <f t="shared" ca="1" si="65"/>
        <v>#NAME?</v>
      </c>
      <c r="DI23" s="100" t="e">
        <f t="shared" ca="1" si="66"/>
        <v>#NAME?</v>
      </c>
    </row>
    <row r="24" spans="1:113" x14ac:dyDescent="0.15">
      <c r="A24" s="70" t="s">
        <v>47</v>
      </c>
      <c r="B24" s="70" t="s">
        <v>25</v>
      </c>
      <c r="C24" s="70" t="s">
        <v>48</v>
      </c>
      <c r="D24" s="132" t="s">
        <v>291</v>
      </c>
      <c r="E24" s="132" t="s">
        <v>308</v>
      </c>
      <c r="F24" s="132" t="s">
        <v>335</v>
      </c>
      <c r="H24" s="132" t="s">
        <v>368</v>
      </c>
      <c r="I24" s="132" t="s">
        <v>392</v>
      </c>
      <c r="N24" t="s">
        <v>484</v>
      </c>
      <c r="V24"/>
      <c r="Y24" t="s">
        <v>671</v>
      </c>
      <c r="Z24" t="s">
        <v>684</v>
      </c>
      <c r="CE24" s="70" t="e">
        <f t="shared" ca="1" si="47"/>
        <v>#NAME?</v>
      </c>
      <c r="CF24" s="70" t="e">
        <f t="shared" ca="1" si="48"/>
        <v>#NAME?</v>
      </c>
      <c r="CG24" s="70" t="e">
        <f t="shared" ca="1" si="49"/>
        <v>#NAME?</v>
      </c>
      <c r="CH24" s="70" t="e">
        <f t="shared" ca="1" si="50"/>
        <v>#NAME?</v>
      </c>
      <c r="CI24" s="70" t="e">
        <f t="shared" ca="1" si="51"/>
        <v>#NAME?</v>
      </c>
      <c r="CJ24" s="74" t="e">
        <f t="shared" ca="1" si="52"/>
        <v>#NAME?</v>
      </c>
      <c r="CK24" s="70" t="e">
        <f t="shared" ca="1" si="53"/>
        <v>#NAME?</v>
      </c>
      <c r="CL24" s="72" t="e">
        <f t="shared" ca="1" si="54"/>
        <v>#NAME?</v>
      </c>
      <c r="CM24" s="70" t="e">
        <f t="shared" ca="1" si="55"/>
        <v>#NAME?</v>
      </c>
      <c r="CN24" s="70" t="e">
        <f t="shared" ca="1" si="56"/>
        <v>#NAME?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 t="e">
        <f t="shared" ca="1" si="57"/>
        <v>#NAME?</v>
      </c>
      <c r="CR24" s="73">
        <f t="array" ref="CR24">SUM(IF(ISERR(FIND(CR$4,$D24:$CD24)),0,1))</f>
        <v>4</v>
      </c>
      <c r="CS24" s="73">
        <f t="array" ref="CS24">SUM(IF(ISERR(FIND(CS$4,$D24:$CD24)),0,1))</f>
        <v>2</v>
      </c>
      <c r="CT24" s="73">
        <f t="array" ref="CT24">SUM(IF(ISERR(FIND(CT$4,$D24:$CD24)),0,1))</f>
        <v>0</v>
      </c>
      <c r="CU24" s="73">
        <f t="array" ref="CU24">SUM(IF(ISERR(FIND(CU$4,$D24:$CD24)),0,1))</f>
        <v>1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 t="e">
        <f t="shared" ca="1" si="1"/>
        <v>#NAME?</v>
      </c>
      <c r="CY24" s="73" t="e">
        <f t="shared" ca="1" si="58"/>
        <v>#NAME?</v>
      </c>
      <c r="CZ24" s="73" t="e">
        <f t="shared" ca="1" si="59"/>
        <v>#NAME?</v>
      </c>
      <c r="DA24" s="73" t="e">
        <f t="shared" ca="1" si="60"/>
        <v>#NAME?</v>
      </c>
      <c r="DB24" s="73" t="e">
        <f t="shared" ca="1" si="61"/>
        <v>#NAME?</v>
      </c>
      <c r="DC24" s="73" t="e">
        <f t="shared" ca="1" si="62"/>
        <v>#NAME?</v>
      </c>
      <c r="DD24" s="73" t="e">
        <f t="shared" ca="1" si="63"/>
        <v>#NAME?</v>
      </c>
      <c r="DE24" s="70" t="e">
        <f t="shared" ca="1" si="64"/>
        <v>#NAME?</v>
      </c>
      <c r="DF24" s="70" t="e">
        <f t="shared" ca="1" si="2"/>
        <v>#NAME?</v>
      </c>
      <c r="DG24" s="70">
        <v>1</v>
      </c>
      <c r="DH24" s="92" t="e">
        <f t="shared" ca="1" si="65"/>
        <v>#NAME?</v>
      </c>
      <c r="DI24" s="100" t="e">
        <f t="shared" ca="1" si="66"/>
        <v>#NAME?</v>
      </c>
    </row>
    <row r="25" spans="1:113" x14ac:dyDescent="0.15">
      <c r="A25" s="70" t="s">
        <v>188</v>
      </c>
      <c r="B25" s="70" t="s">
        <v>182</v>
      </c>
      <c r="C25" s="70" t="s">
        <v>183</v>
      </c>
      <c r="D25"/>
      <c r="E25" t="s">
        <v>309</v>
      </c>
      <c r="F25" t="s">
        <v>341</v>
      </c>
      <c r="G25"/>
      <c r="H25" s="132" t="s">
        <v>375</v>
      </c>
      <c r="I25" s="132" t="s">
        <v>388</v>
      </c>
      <c r="J25" s="132" t="s">
        <v>413</v>
      </c>
      <c r="K25" s="132" t="s">
        <v>429</v>
      </c>
      <c r="L25" s="132" t="s">
        <v>447</v>
      </c>
      <c r="R25"/>
      <c r="S25"/>
      <c r="T25"/>
      <c r="U25"/>
      <c r="V25"/>
      <c r="W25" t="s">
        <v>650</v>
      </c>
      <c r="Y25" t="s">
        <v>510</v>
      </c>
      <c r="CE25" s="70" t="e">
        <f t="shared" ca="1" si="47"/>
        <v>#NAME?</v>
      </c>
      <c r="CF25" s="70" t="e">
        <f t="shared" ca="1" si="48"/>
        <v>#NAME?</v>
      </c>
      <c r="CG25" s="70" t="e">
        <f t="shared" ca="1" si="49"/>
        <v>#NAME?</v>
      </c>
      <c r="CH25" s="70" t="e">
        <f t="shared" ca="1" si="50"/>
        <v>#NAME?</v>
      </c>
      <c r="CI25" s="70" t="e">
        <f t="shared" ca="1" si="51"/>
        <v>#NAME?</v>
      </c>
      <c r="CJ25" s="74" t="e">
        <f t="shared" ca="1" si="52"/>
        <v>#NAME?</v>
      </c>
      <c r="CK25" s="70" t="e">
        <f t="shared" ca="1" si="53"/>
        <v>#NAME?</v>
      </c>
      <c r="CL25" s="72" t="e">
        <f t="shared" ca="1" si="54"/>
        <v>#NAME?</v>
      </c>
      <c r="CM25" s="70" t="e">
        <f t="shared" ca="1" si="55"/>
        <v>#NAME?</v>
      </c>
      <c r="CN25" s="70" t="e">
        <f t="shared" ca="1" si="56"/>
        <v>#NAME?</v>
      </c>
      <c r="CO25" s="73">
        <f t="array" ref="CO25">SUM(IF(ISERR(FIND("*",D25:CD25)),0,1))</f>
        <v>1</v>
      </c>
      <c r="CP25" s="73">
        <f t="array" ref="CP25">SUM(IF(ISERR(FIND("+",D25:CD25)),0,1))</f>
        <v>1</v>
      </c>
      <c r="CQ25" s="70" t="e">
        <f t="shared" ca="1" si="57"/>
        <v>#NAME?</v>
      </c>
      <c r="CR25" s="73">
        <f t="array" ref="CR25">SUM(IF(ISERR(FIND(CR$4,$D25:$CD25)),0,1))</f>
        <v>4</v>
      </c>
      <c r="CS25" s="73">
        <f t="array" ref="CS25">SUM(IF(ISERR(FIND(CS$4,$D25:$CD25)),0,1))</f>
        <v>1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1</v>
      </c>
      <c r="CW25" s="73">
        <f t="array" ref="CW25">SUM(IF(ISERR(FIND(CW$4,$D25:$CD25)),0,1))</f>
        <v>0</v>
      </c>
      <c r="CX25" s="73" t="e">
        <f t="shared" ca="1" si="1"/>
        <v>#NAME?</v>
      </c>
      <c r="CY25" s="73" t="e">
        <f t="shared" ca="1" si="58"/>
        <v>#NAME?</v>
      </c>
      <c r="CZ25" s="73" t="e">
        <f t="shared" ca="1" si="59"/>
        <v>#NAME?</v>
      </c>
      <c r="DA25" s="73" t="e">
        <f t="shared" ca="1" si="60"/>
        <v>#NAME?</v>
      </c>
      <c r="DB25" s="73" t="e">
        <f t="shared" ca="1" si="61"/>
        <v>#NAME?</v>
      </c>
      <c r="DC25" s="73" t="e">
        <f t="shared" ca="1" si="62"/>
        <v>#NAME?</v>
      </c>
      <c r="DD25" s="73" t="e">
        <f t="shared" ca="1" si="63"/>
        <v>#NAME?</v>
      </c>
      <c r="DE25" s="70" t="e">
        <f t="shared" ca="1" si="64"/>
        <v>#NAME?</v>
      </c>
      <c r="DF25" s="70" t="e">
        <f t="shared" ca="1" si="2"/>
        <v>#NAME?</v>
      </c>
      <c r="DG25" s="70">
        <v>0</v>
      </c>
      <c r="DH25" s="92" t="e">
        <f t="shared" ca="1" si="65"/>
        <v>#NAME?</v>
      </c>
      <c r="DI25" s="100" t="e">
        <f t="shared" ca="1" si="66"/>
        <v>#NAME?</v>
      </c>
    </row>
    <row r="26" spans="1:113" x14ac:dyDescent="0.15">
      <c r="A26" s="70" t="s">
        <v>137</v>
      </c>
      <c r="B26" s="70" t="s">
        <v>31</v>
      </c>
      <c r="C26" s="70" t="s">
        <v>150</v>
      </c>
      <c r="D26" s="132"/>
      <c r="G26" t="s">
        <v>353</v>
      </c>
      <c r="Q26"/>
      <c r="CE26" s="70" t="e">
        <f t="shared" ca="1" si="47"/>
        <v>#NAME?</v>
      </c>
      <c r="CF26" s="70" t="e">
        <f t="shared" ca="1" si="48"/>
        <v>#NAME?</v>
      </c>
      <c r="CG26" s="70" t="e">
        <f t="shared" ca="1" si="49"/>
        <v>#NAME?</v>
      </c>
      <c r="CH26" s="70" t="e">
        <f t="shared" ca="1" si="50"/>
        <v>#NAME?</v>
      </c>
      <c r="CI26" s="70" t="e">
        <f t="shared" ca="1" si="51"/>
        <v>#NAME?</v>
      </c>
      <c r="CJ26" s="74" t="e">
        <f t="shared" ca="1" si="52"/>
        <v>#NAME?</v>
      </c>
      <c r="CK26" s="70" t="e">
        <f t="shared" ca="1" si="53"/>
        <v>#NAME?</v>
      </c>
      <c r="CL26" s="72" t="e">
        <f t="shared" ca="1" si="54"/>
        <v>#NAME?</v>
      </c>
      <c r="CM26" s="70" t="e">
        <f t="shared" ca="1" si="55"/>
        <v>#NAME?</v>
      </c>
      <c r="CN26" s="70" t="e">
        <f t="shared" ca="1" si="56"/>
        <v>#NAME?</v>
      </c>
      <c r="CO26" s="73">
        <f t="array" ref="CO26">SUM(IF(ISERR(FIND("*",D26:CD26)),0,1))</f>
        <v>0</v>
      </c>
      <c r="CP26" s="73">
        <f t="array" ref="CP26">SUM(IF(ISERR(FIND("+",D26:CD26)),0,1))</f>
        <v>0</v>
      </c>
      <c r="CQ26" s="70" t="e">
        <f t="shared" ca="1" si="57"/>
        <v>#NAME?</v>
      </c>
      <c r="CR26" s="73">
        <f t="array" ref="CR26">SUM(IF(ISERR(FIND(CR$4,$D26:$CD26)),0,1))</f>
        <v>1</v>
      </c>
      <c r="CS26" s="73">
        <f t="array" ref="CS26">SUM(IF(ISERR(FIND(CS$4,$D26:$CD26)),0,1))</f>
        <v>0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 t="e">
        <f t="shared" ca="1" si="1"/>
        <v>#NAME?</v>
      </c>
      <c r="CY26" s="73" t="e">
        <f t="shared" ca="1" si="58"/>
        <v>#NAME?</v>
      </c>
      <c r="CZ26" s="73" t="e">
        <f t="shared" ca="1" si="59"/>
        <v>#NAME?</v>
      </c>
      <c r="DA26" s="73" t="e">
        <f t="shared" ca="1" si="60"/>
        <v>#NAME?</v>
      </c>
      <c r="DB26" s="73" t="e">
        <f t="shared" ca="1" si="61"/>
        <v>#NAME?</v>
      </c>
      <c r="DC26" s="73" t="e">
        <f t="shared" ca="1" si="62"/>
        <v>#NAME?</v>
      </c>
      <c r="DD26" s="73" t="e">
        <f t="shared" ca="1" si="63"/>
        <v>#NAME?</v>
      </c>
      <c r="DE26" s="70" t="e">
        <f t="shared" ca="1" si="64"/>
        <v>#NAME?</v>
      </c>
      <c r="DF26" s="70" t="e">
        <f t="shared" ca="1" si="2"/>
        <v>#NAME?</v>
      </c>
      <c r="DG26" s="70">
        <v>0</v>
      </c>
      <c r="DH26" s="92" t="e">
        <f t="shared" ca="1" si="65"/>
        <v>#NAME?</v>
      </c>
      <c r="DI26" s="100" t="e">
        <f t="shared" ca="1" si="66"/>
        <v>#NAME?</v>
      </c>
    </row>
    <row r="27" spans="1:113" x14ac:dyDescent="0.15">
      <c r="B27" s="132" t="s">
        <v>29</v>
      </c>
      <c r="C27" t="s">
        <v>425</v>
      </c>
      <c r="D27" s="132"/>
      <c r="L27" t="s">
        <v>452</v>
      </c>
      <c r="O27" t="s">
        <v>505</v>
      </c>
      <c r="P27"/>
      <c r="Q27"/>
      <c r="S27" t="s">
        <v>576</v>
      </c>
      <c r="T27"/>
      <c r="U27" t="s">
        <v>611</v>
      </c>
      <c r="V27" t="s">
        <v>282</v>
      </c>
      <c r="X27" s="132" t="s">
        <v>663</v>
      </c>
      <c r="CE27" s="70" t="e">
        <f t="shared" ref="CE27" ca="1" si="67">BatSplit(D27:CD27,MatchesPlayed)</f>
        <v>#NAME?</v>
      </c>
      <c r="CF27" s="70" t="e">
        <f t="shared" ref="CF27" ca="1" si="68">CE27-CG27</f>
        <v>#NAME?</v>
      </c>
      <c r="CG27" s="70" t="e">
        <f t="shared" ref="CG27" ca="1" si="69">BatSplit(D27:CD27,InnsBattedIn)</f>
        <v>#NAME?</v>
      </c>
      <c r="CH27" s="70" t="e">
        <f t="shared" ref="CH27" ca="1" si="70">BatSplit(D27:CD27,NotOuts)</f>
        <v>#NAME?</v>
      </c>
      <c r="CI27" s="70" t="e">
        <f t="shared" ref="CI27" ca="1" si="71">BatSplit(D27:CD27,HighestScore)</f>
        <v>#NAME?</v>
      </c>
      <c r="CJ27" s="74" t="e">
        <f t="shared" ref="CJ27" ca="1" si="72">IF(CI27&lt;0,-CI27&amp;"*",CI27)</f>
        <v>#NAME?</v>
      </c>
      <c r="CK27" s="70" t="e">
        <f t="shared" ref="CK27" ca="1" si="73">BatSplit(D27:CD27,RunsScored)</f>
        <v>#NAME?</v>
      </c>
      <c r="CL27" s="72" t="e">
        <f t="shared" ref="CL27" ca="1" si="74">IF(CG27=CH27,0,CK27/(CG27-CH27))</f>
        <v>#NAME?</v>
      </c>
      <c r="CM27" s="70" t="e">
        <f t="shared" ref="CM27" ca="1" si="75">BatSplit(D27:CD27,BatPts)</f>
        <v>#NAME?</v>
      </c>
      <c r="CN27" s="70" t="e">
        <f t="shared" ref="CN27" ca="1" si="76">BatSplit(D27:CD27,FldPts)</f>
        <v>#NAME?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 t="e">
        <f t="shared" ref="CQ27" ca="1" si="77">BatSplit(D27:CD27,Ducks)</f>
        <v>#NAME?</v>
      </c>
      <c r="CR27" s="73">
        <f t="array" ref="CR27">SUM(IF(ISERR(FIND(CR$4,$D27:$CD27)),0,1))</f>
        <v>3</v>
      </c>
      <c r="CS27" s="73">
        <f t="array" ref="CS27">SUM(IF(ISERR(FIND(CS$4,$D27:$CD27)),0,1))</f>
        <v>2</v>
      </c>
      <c r="CT27" s="73">
        <f t="array" ref="CT27">SUM(IF(ISERR(FIND(CT$4,$D27:$CD27)),0,1))</f>
        <v>1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 t="e">
        <f t="shared" ca="1" si="1"/>
        <v>#NAME?</v>
      </c>
      <c r="CY27" s="73" t="e">
        <f t="shared" ref="CY27" ca="1" si="78">BatSplit(D27:CD27,Catches)</f>
        <v>#NAME?</v>
      </c>
      <c r="CZ27" s="73" t="e">
        <f t="shared" ref="CZ27" ca="1" si="79">BatSplit(D27:CD27,Fours)</f>
        <v>#NAME?</v>
      </c>
      <c r="DA27" s="73" t="e">
        <f t="shared" ref="DA27" ca="1" si="80">BatSplit(D27:CD27,Sixes)</f>
        <v>#NAME?</v>
      </c>
      <c r="DB27" s="73" t="e">
        <f t="shared" ref="DB27" ca="1" si="81">BatSplit(D27:CD27,Stumpings)</f>
        <v>#NAME?</v>
      </c>
      <c r="DC27" s="73" t="e">
        <f t="shared" ref="DC27" ca="1" si="82">BatSplit(D27:CD27,CaughtWkt)</f>
        <v>#NAME?</v>
      </c>
      <c r="DD27" s="73" t="e">
        <f t="shared" ref="DD27" ca="1" si="83">BatSplit(D27:CD27,TwentyFives)</f>
        <v>#NAME?</v>
      </c>
      <c r="DE27" s="70" t="e">
        <f t="shared" ref="DE27" ca="1" si="84">ROUND(IF(ISERROR(CL27),0,CL27),2)*100000+CG27*100+CE27+CK27/100+ROW()/100000</f>
        <v>#NAME?</v>
      </c>
      <c r="DF27" s="70" t="e">
        <f t="shared" ca="1" si="2"/>
        <v>#NAME?</v>
      </c>
      <c r="DG27" s="70">
        <v>0</v>
      </c>
      <c r="DH27" s="92" t="e">
        <f t="shared" ref="DH27" ca="1" si="85">IF(CK27&gt;=50,(CZ27*4+DA27*6+DG27*5)/CK27,"")</f>
        <v>#NAME?</v>
      </c>
      <c r="DI27" s="100" t="e">
        <f t="shared" ref="DI27" ca="1" si="86">CQ27/(CG27-CH27)</f>
        <v>#NAME?</v>
      </c>
    </row>
    <row r="28" spans="1:113" x14ac:dyDescent="0.15">
      <c r="B28" s="70" t="s">
        <v>31</v>
      </c>
      <c r="C28" s="70" t="s">
        <v>254</v>
      </c>
      <c r="D28" t="s">
        <v>294</v>
      </c>
      <c r="E28" t="s">
        <v>310</v>
      </c>
      <c r="F28" t="s">
        <v>339</v>
      </c>
      <c r="G28" t="s">
        <v>242</v>
      </c>
      <c r="H28"/>
      <c r="J28" s="132"/>
      <c r="K28" s="132"/>
      <c r="N28" t="s">
        <v>487</v>
      </c>
      <c r="O28" t="s">
        <v>259</v>
      </c>
      <c r="P28" s="132"/>
      <c r="Q28" t="s">
        <v>539</v>
      </c>
      <c r="R28" t="s">
        <v>251</v>
      </c>
      <c r="S28"/>
      <c r="T28" s="132"/>
      <c r="U28" s="132"/>
      <c r="W28" t="s">
        <v>647</v>
      </c>
      <c r="X28" t="s">
        <v>659</v>
      </c>
      <c r="Y28" t="s">
        <v>673</v>
      </c>
      <c r="Z28" t="s">
        <v>687</v>
      </c>
      <c r="CE28" s="70" t="e">
        <f t="shared" ca="1" si="5"/>
        <v>#NAME?</v>
      </c>
      <c r="CF28" s="70" t="e">
        <f t="shared" ca="1" si="6"/>
        <v>#NAME?</v>
      </c>
      <c r="CG28" s="70" t="e">
        <f t="shared" ca="1" si="7"/>
        <v>#NAME?</v>
      </c>
      <c r="CH28" s="70" t="e">
        <f t="shared" ca="1" si="8"/>
        <v>#NAME?</v>
      </c>
      <c r="CI28" s="70" t="e">
        <f t="shared" ca="1" si="9"/>
        <v>#NAME?</v>
      </c>
      <c r="CJ28" s="74" t="e">
        <f t="shared" ca="1" si="0"/>
        <v>#NAME?</v>
      </c>
      <c r="CK28" s="70" t="e">
        <f t="shared" ca="1" si="10"/>
        <v>#NAME?</v>
      </c>
      <c r="CL28" s="72" t="e">
        <f t="shared" ca="1" si="11"/>
        <v>#NAME?</v>
      </c>
      <c r="CM28" s="70" t="e">
        <f t="shared" ca="1" si="12"/>
        <v>#NAME?</v>
      </c>
      <c r="CN28" s="70" t="e">
        <f t="shared" ca="1" si="13"/>
        <v>#NAME?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 t="e">
        <f t="shared" ca="1" si="14"/>
        <v>#NAME?</v>
      </c>
      <c r="CR28" s="73">
        <f t="array" ref="CR28">SUM(IF(ISERR(FIND(CR$4,$D28:$CD28)),0,1))</f>
        <v>2</v>
      </c>
      <c r="CS28" s="73">
        <f t="array" ref="CS28">SUM(IF(ISERR(FIND(CS$4,$D28:$CD28)),0,1))</f>
        <v>3</v>
      </c>
      <c r="CT28" s="73">
        <f t="array" ref="CT28">SUM(IF(ISERR(FIND(CT$4,$D28:$CD28)),0,1))</f>
        <v>3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 t="e">
        <f t="shared" ca="1" si="1"/>
        <v>#NAME?</v>
      </c>
      <c r="CY28" s="73" t="e">
        <f t="shared" ca="1" si="15"/>
        <v>#NAME?</v>
      </c>
      <c r="CZ28" s="73" t="e">
        <f t="shared" ca="1" si="16"/>
        <v>#NAME?</v>
      </c>
      <c r="DA28" s="73" t="e">
        <f t="shared" ca="1" si="17"/>
        <v>#NAME?</v>
      </c>
      <c r="DB28" s="73" t="e">
        <f t="shared" ca="1" si="18"/>
        <v>#NAME?</v>
      </c>
      <c r="DC28" s="73" t="e">
        <f t="shared" ca="1" si="19"/>
        <v>#NAME?</v>
      </c>
      <c r="DD28" s="73" t="e">
        <f t="shared" ca="1" si="20"/>
        <v>#NAME?</v>
      </c>
      <c r="DE28" s="70" t="e">
        <f t="shared" ca="1" si="21"/>
        <v>#NAME?</v>
      </c>
      <c r="DF28" s="70" t="e">
        <f t="shared" ca="1" si="2"/>
        <v>#NAME?</v>
      </c>
      <c r="DG28" s="70">
        <v>0</v>
      </c>
      <c r="DH28" s="92" t="e">
        <f t="shared" ca="1" si="22"/>
        <v>#NAME?</v>
      </c>
      <c r="DI28" s="100" t="e">
        <f t="shared" ca="1" si="23"/>
        <v>#NAME?</v>
      </c>
    </row>
    <row r="29" spans="1:113" x14ac:dyDescent="0.15">
      <c r="B29" t="s">
        <v>296</v>
      </c>
      <c r="C29" t="s">
        <v>297</v>
      </c>
      <c r="D29" t="s">
        <v>239</v>
      </c>
      <c r="E29" t="s">
        <v>316</v>
      </c>
      <c r="F29" t="s">
        <v>340</v>
      </c>
      <c r="G29" t="s">
        <v>356</v>
      </c>
      <c r="H29" t="s">
        <v>374</v>
      </c>
      <c r="I29" t="s">
        <v>393</v>
      </c>
      <c r="K29" s="132" t="s">
        <v>434</v>
      </c>
      <c r="L29" s="132" t="s">
        <v>450</v>
      </c>
      <c r="M29" s="132" t="s">
        <v>467</v>
      </c>
      <c r="N29" s="132" t="s">
        <v>488</v>
      </c>
      <c r="O29" s="132" t="s">
        <v>509</v>
      </c>
      <c r="P29" s="132" t="s">
        <v>523</v>
      </c>
      <c r="R29" s="132" t="s">
        <v>555</v>
      </c>
      <c r="S29" t="s">
        <v>575</v>
      </c>
      <c r="T29" t="s">
        <v>598</v>
      </c>
      <c r="U29" t="s">
        <v>616</v>
      </c>
      <c r="V29" t="s">
        <v>634</v>
      </c>
      <c r="W29" t="s">
        <v>645</v>
      </c>
      <c r="CE29" s="70" t="e">
        <f ca="1">BatSplit(D29:CD29,MatchesPlayed)</f>
        <v>#NAME?</v>
      </c>
      <c r="CF29" s="70" t="e">
        <f ca="1">CE29-CG29</f>
        <v>#NAME?</v>
      </c>
      <c r="CG29" s="70" t="e">
        <f ca="1">BatSplit(D29:CD29,InnsBattedIn)</f>
        <v>#NAME?</v>
      </c>
      <c r="CH29" s="70" t="e">
        <f ca="1">BatSplit(D29:CD29,NotOuts)</f>
        <v>#NAME?</v>
      </c>
      <c r="CI29" s="70" t="e">
        <f ca="1">BatSplit(D29:CD29,HighestScore)</f>
        <v>#NAME?</v>
      </c>
      <c r="CJ29" s="74" t="e">
        <f t="shared" ca="1" si="0"/>
        <v>#NAME?</v>
      </c>
      <c r="CK29" s="70" t="e">
        <f ca="1">BatSplit(D29:CD29,RunsScored)</f>
        <v>#NAME?</v>
      </c>
      <c r="CL29" s="72" t="e">
        <f ca="1">IF(CG29=CH29,0,CK29/(CG29-CH29))</f>
        <v>#NAME?</v>
      </c>
      <c r="CM29" s="70" t="e">
        <f ca="1">BatSplit(D29:CD29,BatPts)</f>
        <v>#NAME?</v>
      </c>
      <c r="CN29" s="70" t="e">
        <f ca="1">BatSplit(D29:CD29,FldPts)</f>
        <v>#NAME?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 t="e">
        <f ca="1">BatSplit(D29:CD29,Ducks)</f>
        <v>#NAME?</v>
      </c>
      <c r="CR29" s="73">
        <f t="array" ref="CR29">SUM(IF(ISERR(FIND(CR$4,$D29:$CD29)),0,1))</f>
        <v>7</v>
      </c>
      <c r="CS29" s="73">
        <f t="array" ref="CS29">SUM(IF(ISERR(FIND(CS$4,$D29:$CD29)),0,1))</f>
        <v>6</v>
      </c>
      <c r="CT29" s="73">
        <f t="array" ref="CT29">SUM(IF(ISERR(FIND(CT$4,$D29:$CD29)),0,1))</f>
        <v>0</v>
      </c>
      <c r="CU29" s="73">
        <f t="array" ref="CU29">SUM(IF(ISERR(FIND(CU$4,$D29:$CD29)),0,1))</f>
        <v>1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 t="e">
        <f t="shared" ca="1" si="1"/>
        <v>#NAME?</v>
      </c>
      <c r="CY29" s="73" t="e">
        <f ca="1">BatSplit(D29:CD29,Catches)</f>
        <v>#NAME?</v>
      </c>
      <c r="CZ29" s="73" t="e">
        <f ca="1">BatSplit(D29:CD29,Fours)</f>
        <v>#NAME?</v>
      </c>
      <c r="DA29" s="73" t="e">
        <f ca="1">BatSplit(D29:CD29,Sixes)</f>
        <v>#NAME?</v>
      </c>
      <c r="DB29" s="73" t="e">
        <f ca="1">BatSplit(D29:CD29,Stumpings)</f>
        <v>#NAME?</v>
      </c>
      <c r="DC29" s="73" t="e">
        <f ca="1">BatSplit(D29:CD29,CaughtWkt)</f>
        <v>#NAME?</v>
      </c>
      <c r="DD29" s="73" t="e">
        <f ca="1">BatSplit(D29:CD29,TwentyFives)</f>
        <v>#NAME?</v>
      </c>
      <c r="DE29" s="70" t="e">
        <f ca="1">ROUND(IF(ISERROR(CL29),0,CL29),2)*100000+CG29*100+CE29+CK29/100+ROW()/100000</f>
        <v>#NAME?</v>
      </c>
      <c r="DF29" s="70" t="e">
        <f t="shared" ca="1" si="2"/>
        <v>#NAME?</v>
      </c>
      <c r="DG29" s="70">
        <v>0</v>
      </c>
      <c r="DH29" s="92" t="e">
        <f ca="1">IF(CK29&gt;=50,(CZ29*4+DA29*6+DG29*5)/CK29,"")</f>
        <v>#NAME?</v>
      </c>
      <c r="DI29" s="100" t="e">
        <f ca="1">CQ29/(CG29-CH29)</f>
        <v>#NAME?</v>
      </c>
    </row>
    <row r="30" spans="1:113" x14ac:dyDescent="0.15">
      <c r="B30" t="s">
        <v>553</v>
      </c>
      <c r="C30" t="s">
        <v>552</v>
      </c>
      <c r="D30"/>
      <c r="E30"/>
      <c r="F30"/>
      <c r="G30"/>
      <c r="H30"/>
      <c r="I30"/>
      <c r="K30" s="132"/>
      <c r="L30" s="132"/>
      <c r="M30" s="132"/>
      <c r="N30" s="132"/>
      <c r="O30" s="132"/>
      <c r="P30" s="132"/>
      <c r="R30" t="s">
        <v>554</v>
      </c>
      <c r="S30"/>
      <c r="T30" t="s">
        <v>592</v>
      </c>
      <c r="W30" t="s">
        <v>644</v>
      </c>
      <c r="Y30" t="s">
        <v>672</v>
      </c>
      <c r="Z30" t="s">
        <v>685</v>
      </c>
      <c r="CE30" s="70" t="e">
        <f ca="1">BatSplit(D30:CD30,MatchesPlayed)</f>
        <v>#NAME?</v>
      </c>
      <c r="CF30" s="70" t="e">
        <f ca="1">CE30-CG30</f>
        <v>#NAME?</v>
      </c>
      <c r="CG30" s="70" t="e">
        <f ca="1">BatSplit(D30:CD30,InnsBattedIn)</f>
        <v>#NAME?</v>
      </c>
      <c r="CH30" s="70" t="e">
        <f ca="1">BatSplit(D30:CD30,NotOuts)</f>
        <v>#NAME?</v>
      </c>
      <c r="CI30" s="70" t="e">
        <f ca="1">BatSplit(D30:CD30,HighestScore)</f>
        <v>#NAME?</v>
      </c>
      <c r="CJ30" s="74" t="e">
        <f t="shared" ref="CJ30" ca="1" si="87">IF(CI30&lt;0,-CI30&amp;"*",CI30)</f>
        <v>#NAME?</v>
      </c>
      <c r="CK30" s="70" t="e">
        <f ca="1">BatSplit(D30:CD30,RunsScored)</f>
        <v>#NAME?</v>
      </c>
      <c r="CL30" s="72" t="e">
        <f ca="1">IF(CG30=CH30,0,CK30/(CG30-CH30))</f>
        <v>#NAME?</v>
      </c>
      <c r="CM30" s="70" t="e">
        <f ca="1">BatSplit(D30:CD30,BatPts)</f>
        <v>#NAME?</v>
      </c>
      <c r="CN30" s="70" t="e">
        <f ca="1">BatSplit(D30:CD30,FldPts)</f>
        <v>#NAME?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 t="e">
        <f ca="1">BatSplit(D30:CD30,Ducks)</f>
        <v>#NAME?</v>
      </c>
      <c r="CR30" s="73">
        <f t="array" ref="CR30">SUM(IF(ISERR(FIND(CR$4,$D30:$CD30)),0,1))</f>
        <v>0</v>
      </c>
      <c r="CS30" s="73">
        <f t="array" ref="CS30">SUM(IF(ISERR(FIND(CS$4,$D30:$CD30)),0,1))</f>
        <v>4</v>
      </c>
      <c r="CT30" s="73">
        <f t="array" ref="CT30">SUM(IF(ISERR(FIND(CT$4,$D30:$CD30)),0,1))</f>
        <v>0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 t="e">
        <f t="shared" ca="1" si="1"/>
        <v>#NAME?</v>
      </c>
      <c r="CY30" s="73" t="e">
        <f ca="1">BatSplit(D30:CD30,Catches)</f>
        <v>#NAME?</v>
      </c>
      <c r="CZ30" s="73" t="e">
        <f ca="1">BatSplit(D30:CD30,Fours)</f>
        <v>#NAME?</v>
      </c>
      <c r="DA30" s="73" t="e">
        <f ca="1">BatSplit(D30:CD30,Sixes)</f>
        <v>#NAME?</v>
      </c>
      <c r="DB30" s="73" t="e">
        <f ca="1">BatSplit(D30:CD30,Stumpings)</f>
        <v>#NAME?</v>
      </c>
      <c r="DC30" s="73" t="e">
        <f ca="1">BatSplit(D30:CD30,CaughtWkt)</f>
        <v>#NAME?</v>
      </c>
      <c r="DD30" s="73" t="e">
        <f ca="1">BatSplit(D30:CD30,TwentyFives)</f>
        <v>#NAME?</v>
      </c>
      <c r="DE30" s="70" t="e">
        <f ca="1">ROUND(IF(ISERROR(CL30),0,CL30),2)*100000+CG30*100+CE30+CK30/100+ROW()/100000</f>
        <v>#NAME?</v>
      </c>
      <c r="DF30" s="70" t="e">
        <f t="shared" ca="1" si="2"/>
        <v>#NAME?</v>
      </c>
      <c r="DG30" s="70">
        <v>0</v>
      </c>
      <c r="DH30" s="92" t="e">
        <f ca="1">IF(CK30&gt;=50,(CZ30*4+DA30*6+DG30*5)/CK30,"")</f>
        <v>#NAME?</v>
      </c>
      <c r="DI30" s="100" t="e">
        <f ca="1">CQ30/(CG30-CH30)</f>
        <v>#NAME?</v>
      </c>
    </row>
    <row r="31" spans="1:113" x14ac:dyDescent="0.15">
      <c r="B31" s="70" t="s">
        <v>212</v>
      </c>
      <c r="C31" s="70" t="s">
        <v>227</v>
      </c>
      <c r="K31"/>
      <c r="O31" s="132"/>
      <c r="Q31"/>
      <c r="R31"/>
      <c r="T31" s="132"/>
      <c r="V31" s="132"/>
      <c r="CE31" s="70" t="e">
        <f t="shared" ca="1" si="5"/>
        <v>#NAME?</v>
      </c>
      <c r="CF31" s="70" t="e">
        <f t="shared" ca="1" si="6"/>
        <v>#NAME?</v>
      </c>
      <c r="CG31" s="70" t="e">
        <f t="shared" ca="1" si="7"/>
        <v>#NAME?</v>
      </c>
      <c r="CH31" s="70" t="e">
        <f t="shared" ca="1" si="8"/>
        <v>#NAME?</v>
      </c>
      <c r="CI31" s="70" t="e">
        <f t="shared" ca="1" si="9"/>
        <v>#NAME?</v>
      </c>
      <c r="CJ31" s="74" t="e">
        <f t="shared" ca="1" si="0"/>
        <v>#NAME?</v>
      </c>
      <c r="CK31" s="70" t="e">
        <f t="shared" ca="1" si="10"/>
        <v>#NAME?</v>
      </c>
      <c r="CL31" s="72" t="e">
        <f t="shared" ca="1" si="11"/>
        <v>#NAME?</v>
      </c>
      <c r="CM31" s="70" t="e">
        <f t="shared" ca="1" si="12"/>
        <v>#NAME?</v>
      </c>
      <c r="CN31" s="70" t="e">
        <f t="shared" ca="1" si="13"/>
        <v>#NAME?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 t="e">
        <f t="shared" ca="1" si="14"/>
        <v>#NAME?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 t="e">
        <f t="shared" ca="1" si="1"/>
        <v>#NAME?</v>
      </c>
      <c r="CY31" s="73" t="e">
        <f t="shared" ca="1" si="15"/>
        <v>#NAME?</v>
      </c>
      <c r="CZ31" s="73" t="e">
        <f t="shared" ca="1" si="16"/>
        <v>#NAME?</v>
      </c>
      <c r="DA31" s="73" t="e">
        <f t="shared" ca="1" si="17"/>
        <v>#NAME?</v>
      </c>
      <c r="DB31" s="73" t="e">
        <f t="shared" ca="1" si="18"/>
        <v>#NAME?</v>
      </c>
      <c r="DC31" s="73" t="e">
        <f t="shared" ca="1" si="19"/>
        <v>#NAME?</v>
      </c>
      <c r="DD31" s="73" t="e">
        <f t="shared" ca="1" si="20"/>
        <v>#NAME?</v>
      </c>
      <c r="DE31" s="70" t="e">
        <f t="shared" ca="1" si="21"/>
        <v>#NAME?</v>
      </c>
      <c r="DF31" s="70" t="e">
        <f t="shared" ca="1" si="2"/>
        <v>#NAME?</v>
      </c>
      <c r="DG31" s="70">
        <v>0</v>
      </c>
      <c r="DH31" s="92" t="e">
        <f t="shared" ca="1" si="22"/>
        <v>#NAME?</v>
      </c>
      <c r="DI31" s="100" t="e">
        <f t="shared" ca="1" si="23"/>
        <v>#NAME?</v>
      </c>
    </row>
    <row r="32" spans="1:113" x14ac:dyDescent="0.15">
      <c r="B32" s="70" t="s">
        <v>33</v>
      </c>
      <c r="C32" s="70" t="s">
        <v>233</v>
      </c>
      <c r="F32"/>
      <c r="H32" t="s">
        <v>370</v>
      </c>
      <c r="I32" t="s">
        <v>395</v>
      </c>
      <c r="J32"/>
      <c r="K32" t="s">
        <v>435</v>
      </c>
      <c r="L32" t="s">
        <v>454</v>
      </c>
      <c r="M32" t="s">
        <v>466</v>
      </c>
      <c r="N32" t="s">
        <v>240</v>
      </c>
      <c r="O32" s="132" t="s">
        <v>240</v>
      </c>
      <c r="P32"/>
      <c r="Q32" t="s">
        <v>281</v>
      </c>
      <c r="R32"/>
      <c r="S32" t="s">
        <v>574</v>
      </c>
      <c r="T32" t="s">
        <v>591</v>
      </c>
      <c r="U32" t="s">
        <v>268</v>
      </c>
      <c r="Y32" t="s">
        <v>258</v>
      </c>
      <c r="Z32" t="s">
        <v>240</v>
      </c>
      <c r="CE32" s="70" t="e">
        <f t="shared" ca="1" si="5"/>
        <v>#NAME?</v>
      </c>
      <c r="CF32" s="70" t="e">
        <f t="shared" ca="1" si="6"/>
        <v>#NAME?</v>
      </c>
      <c r="CG32" s="70" t="e">
        <f t="shared" ca="1" si="7"/>
        <v>#NAME?</v>
      </c>
      <c r="CH32" s="70" t="e">
        <f t="shared" ca="1" si="8"/>
        <v>#NAME?</v>
      </c>
      <c r="CI32" s="70" t="e">
        <f t="shared" ca="1" si="9"/>
        <v>#NAME?</v>
      </c>
      <c r="CJ32" s="74" t="e">
        <f t="shared" ca="1" si="0"/>
        <v>#NAME?</v>
      </c>
      <c r="CK32" s="70" t="e">
        <f t="shared" ca="1" si="10"/>
        <v>#NAME?</v>
      </c>
      <c r="CL32" s="72" t="e">
        <f t="shared" ca="1" si="11"/>
        <v>#NAME?</v>
      </c>
      <c r="CM32" s="70" t="e">
        <f t="shared" ca="1" si="12"/>
        <v>#NAME?</v>
      </c>
      <c r="CN32" s="70" t="e">
        <f t="shared" ca="1" si="13"/>
        <v>#NAME?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 t="e">
        <f t="shared" ca="1" si="14"/>
        <v>#NAME?</v>
      </c>
      <c r="CR32" s="73">
        <f t="array" ref="CR32">SUM(IF(ISERR(FIND(CR$4,$D32:$CD32)),0,1))</f>
        <v>6</v>
      </c>
      <c r="CS32" s="73">
        <f t="array" ref="CS32">SUM(IF(ISERR(FIND(CS$4,$D32:$CD32)),0,1))</f>
        <v>0</v>
      </c>
      <c r="CT32" s="73">
        <f t="array" ref="CT32">SUM(IF(ISERR(FIND(CT$4,$D32:$CD32)),0,1))</f>
        <v>3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 t="e">
        <f t="shared" ca="1" si="1"/>
        <v>#NAME?</v>
      </c>
      <c r="CY32" s="73" t="e">
        <f t="shared" ca="1" si="15"/>
        <v>#NAME?</v>
      </c>
      <c r="CZ32" s="73" t="e">
        <f t="shared" ca="1" si="16"/>
        <v>#NAME?</v>
      </c>
      <c r="DA32" s="73" t="e">
        <f t="shared" ca="1" si="17"/>
        <v>#NAME?</v>
      </c>
      <c r="DB32" s="73" t="e">
        <f t="shared" ca="1" si="18"/>
        <v>#NAME?</v>
      </c>
      <c r="DC32" s="73" t="e">
        <f t="shared" ca="1" si="19"/>
        <v>#NAME?</v>
      </c>
      <c r="DD32" s="73" t="e">
        <f t="shared" ca="1" si="20"/>
        <v>#NAME?</v>
      </c>
      <c r="DE32" s="70" t="e">
        <f t="shared" ca="1" si="21"/>
        <v>#NAME?</v>
      </c>
      <c r="DF32" s="70" t="e">
        <f t="shared" ca="1" si="2"/>
        <v>#NAME?</v>
      </c>
      <c r="DG32" s="70">
        <v>0</v>
      </c>
      <c r="DH32" s="92" t="e">
        <f t="shared" ca="1" si="22"/>
        <v>#NAME?</v>
      </c>
      <c r="DI32" s="100" t="e">
        <f t="shared" ca="1" si="23"/>
        <v>#NAME?</v>
      </c>
    </row>
    <row r="33" spans="1:113" x14ac:dyDescent="0.15">
      <c r="A33" s="70" t="s">
        <v>53</v>
      </c>
      <c r="B33" s="70" t="s">
        <v>27</v>
      </c>
      <c r="C33" s="70" t="s">
        <v>151</v>
      </c>
      <c r="D33" t="s">
        <v>260</v>
      </c>
      <c r="E33" s="132"/>
      <c r="F33" s="132" t="s">
        <v>336</v>
      </c>
      <c r="I33" t="s">
        <v>391</v>
      </c>
      <c r="J33" t="s">
        <v>411</v>
      </c>
      <c r="K33" t="s">
        <v>428</v>
      </c>
      <c r="L33" t="s">
        <v>446</v>
      </c>
      <c r="M33" t="s">
        <v>465</v>
      </c>
      <c r="N33" t="s">
        <v>486</v>
      </c>
      <c r="R33" t="s">
        <v>551</v>
      </c>
      <c r="S33" t="s">
        <v>570</v>
      </c>
      <c r="T33" t="s">
        <v>593</v>
      </c>
      <c r="U33" t="s">
        <v>610</v>
      </c>
      <c r="V33" t="s">
        <v>631</v>
      </c>
      <c r="CE33" s="70" t="e">
        <f t="shared" ca="1" si="5"/>
        <v>#NAME?</v>
      </c>
      <c r="CF33" s="70" t="e">
        <f t="shared" ca="1" si="6"/>
        <v>#NAME?</v>
      </c>
      <c r="CG33" s="70" t="e">
        <f t="shared" ca="1" si="7"/>
        <v>#NAME?</v>
      </c>
      <c r="CH33" s="70" t="e">
        <f t="shared" ca="1" si="8"/>
        <v>#NAME?</v>
      </c>
      <c r="CI33" s="70" t="e">
        <f t="shared" ca="1" si="9"/>
        <v>#NAME?</v>
      </c>
      <c r="CJ33" s="74" t="e">
        <f t="shared" ca="1" si="0"/>
        <v>#NAME?</v>
      </c>
      <c r="CK33" s="70" t="e">
        <f t="shared" ca="1" si="10"/>
        <v>#NAME?</v>
      </c>
      <c r="CL33" s="72" t="e">
        <f t="shared" ca="1" si="11"/>
        <v>#NAME?</v>
      </c>
      <c r="CM33" s="70" t="e">
        <f t="shared" ca="1" si="12"/>
        <v>#NAME?</v>
      </c>
      <c r="CN33" s="70" t="e">
        <f t="shared" ca="1" si="13"/>
        <v>#NAME?</v>
      </c>
      <c r="CO33" s="73">
        <f t="array" ref="CO33">SUM(IF(ISERR(FIND("*",D33:CD33)),0,1))</f>
        <v>1</v>
      </c>
      <c r="CP33" s="73">
        <f t="array" ref="CP33">SUM(IF(ISERR(FIND("+",D33:CD33)),0,1))</f>
        <v>2</v>
      </c>
      <c r="CQ33" s="70" t="e">
        <f t="shared" ca="1" si="14"/>
        <v>#NAME?</v>
      </c>
      <c r="CR33" s="73">
        <f t="array" ref="CR33">SUM(IF(ISERR(FIND(CR$4,$D33:$CD33)),0,1))</f>
        <v>5</v>
      </c>
      <c r="CS33" s="73">
        <f t="array" ref="CS33">SUM(IF(ISERR(FIND(CS$4,$D33:$CD33)),0,1))</f>
        <v>5</v>
      </c>
      <c r="CT33" s="73">
        <f t="array" ref="CT33">SUM(IF(ISERR(FIND(CT$4,$D33:$CD33)),0,1))</f>
        <v>1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 t="e">
        <f t="shared" ca="1" si="1"/>
        <v>#NAME?</v>
      </c>
      <c r="CY33" s="73" t="e">
        <f t="shared" ca="1" si="15"/>
        <v>#NAME?</v>
      </c>
      <c r="CZ33" s="73" t="e">
        <f t="shared" ca="1" si="16"/>
        <v>#NAME?</v>
      </c>
      <c r="DA33" s="73" t="e">
        <f t="shared" ca="1" si="17"/>
        <v>#NAME?</v>
      </c>
      <c r="DB33" s="73" t="e">
        <f t="shared" ca="1" si="18"/>
        <v>#NAME?</v>
      </c>
      <c r="DC33" s="73" t="e">
        <f t="shared" ca="1" si="19"/>
        <v>#NAME?</v>
      </c>
      <c r="DD33" s="73" t="e">
        <f t="shared" ca="1" si="20"/>
        <v>#NAME?</v>
      </c>
      <c r="DE33" s="70" t="e">
        <f t="shared" ca="1" si="21"/>
        <v>#NAME?</v>
      </c>
      <c r="DF33" s="70" t="e">
        <f t="shared" ca="1" si="2"/>
        <v>#NAME?</v>
      </c>
      <c r="DG33" s="70">
        <v>0</v>
      </c>
      <c r="DH33" s="92" t="e">
        <f t="shared" ca="1" si="22"/>
        <v>#NAME?</v>
      </c>
      <c r="DI33" s="100" t="e">
        <f t="shared" ca="1" si="23"/>
        <v>#NAME?</v>
      </c>
    </row>
    <row r="34" spans="1:113" x14ac:dyDescent="0.15">
      <c r="B34" s="70" t="s">
        <v>30</v>
      </c>
      <c r="C34" s="70" t="s">
        <v>219</v>
      </c>
      <c r="D34" t="s">
        <v>293</v>
      </c>
      <c r="E34" t="s">
        <v>315</v>
      </c>
      <c r="F34" t="s">
        <v>269</v>
      </c>
      <c r="G34" t="s">
        <v>358</v>
      </c>
      <c r="H34" t="s">
        <v>371</v>
      </c>
      <c r="I34" t="s">
        <v>389</v>
      </c>
      <c r="K34" s="132" t="s">
        <v>432</v>
      </c>
      <c r="L34" s="132" t="s">
        <v>453</v>
      </c>
      <c r="M34" s="132"/>
      <c r="N34" s="132" t="s">
        <v>239</v>
      </c>
      <c r="O34" s="132"/>
      <c r="P34" s="132" t="s">
        <v>522</v>
      </c>
      <c r="Q34" s="132" t="s">
        <v>540</v>
      </c>
      <c r="R34" s="132"/>
      <c r="S34" s="132" t="s">
        <v>572</v>
      </c>
      <c r="T34" s="132"/>
      <c r="U34" s="132" t="s">
        <v>267</v>
      </c>
      <c r="V34" s="132" t="s">
        <v>630</v>
      </c>
      <c r="W34" s="132" t="s">
        <v>649</v>
      </c>
      <c r="X34" s="132" t="s">
        <v>660</v>
      </c>
      <c r="CE34" s="70" t="e">
        <f t="shared" ca="1" si="5"/>
        <v>#NAME?</v>
      </c>
      <c r="CF34" s="70" t="e">
        <f t="shared" ca="1" si="6"/>
        <v>#NAME?</v>
      </c>
      <c r="CG34" s="70" t="e">
        <f t="shared" ca="1" si="7"/>
        <v>#NAME?</v>
      </c>
      <c r="CH34" s="70" t="e">
        <f t="shared" ca="1" si="8"/>
        <v>#NAME?</v>
      </c>
      <c r="CI34" s="70" t="e">
        <f t="shared" ca="1" si="9"/>
        <v>#NAME?</v>
      </c>
      <c r="CJ34" s="74" t="e">
        <f t="shared" ca="1" si="0"/>
        <v>#NAME?</v>
      </c>
      <c r="CK34" s="70" t="e">
        <f t="shared" ca="1" si="10"/>
        <v>#NAME?</v>
      </c>
      <c r="CL34" s="72" t="e">
        <f t="shared" ca="1" si="11"/>
        <v>#NAME?</v>
      </c>
      <c r="CM34" s="70" t="e">
        <f t="shared" ca="1" si="12"/>
        <v>#NAME?</v>
      </c>
      <c r="CN34" s="70" t="e">
        <f t="shared" ca="1" si="13"/>
        <v>#NAME?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 t="e">
        <f t="shared" ca="1" si="14"/>
        <v>#NAME?</v>
      </c>
      <c r="CR34" s="73">
        <f t="array" ref="CR34">SUM(IF(ISERR(FIND(CR$4,$D34:$CD34)),0,1))</f>
        <v>7</v>
      </c>
      <c r="CS34" s="73">
        <f t="array" ref="CS34">SUM(IF(ISERR(FIND(CS$4,$D34:$CD34)),0,1))</f>
        <v>2</v>
      </c>
      <c r="CT34" s="73">
        <f t="array" ref="CT34">SUM(IF(ISERR(FIND(CT$4,$D34:$CD34)),0,1))</f>
        <v>5</v>
      </c>
      <c r="CU34" s="73">
        <f t="array" ref="CU34">SUM(IF(ISERR(FIND(CU$4,$D34:$CD34)),0,1))</f>
        <v>0</v>
      </c>
      <c r="CV34" s="73">
        <f t="array" ref="CV34">SUM(IF(ISERR(FIND(CV$4,$D34:$CD34)),0,1))</f>
        <v>1</v>
      </c>
      <c r="CW34" s="73">
        <f t="array" ref="CW34">SUM(IF(ISERR(FIND(CW$4,$D34:$CD34)),0,1))</f>
        <v>0</v>
      </c>
      <c r="CX34" s="73" t="e">
        <f t="shared" ca="1" si="1"/>
        <v>#NAME?</v>
      </c>
      <c r="CY34" s="73" t="e">
        <f t="shared" ca="1" si="15"/>
        <v>#NAME?</v>
      </c>
      <c r="CZ34" s="73" t="e">
        <f t="shared" ca="1" si="16"/>
        <v>#NAME?</v>
      </c>
      <c r="DA34" s="73" t="e">
        <f t="shared" ca="1" si="17"/>
        <v>#NAME?</v>
      </c>
      <c r="DB34" s="73" t="e">
        <f t="shared" ca="1" si="18"/>
        <v>#NAME?</v>
      </c>
      <c r="DC34" s="73" t="e">
        <f t="shared" ca="1" si="19"/>
        <v>#NAME?</v>
      </c>
      <c r="DD34" s="73" t="e">
        <f t="shared" ca="1" si="20"/>
        <v>#NAME?</v>
      </c>
      <c r="DE34" s="70" t="e">
        <f t="shared" ca="1" si="21"/>
        <v>#NAME?</v>
      </c>
      <c r="DF34" s="70" t="e">
        <f t="shared" ca="1" si="2"/>
        <v>#NAME?</v>
      </c>
      <c r="DG34" s="70">
        <v>0</v>
      </c>
      <c r="DH34" s="92" t="e">
        <f t="shared" ca="1" si="22"/>
        <v>#NAME?</v>
      </c>
      <c r="DI34" s="100" t="e">
        <f t="shared" ca="1" si="23"/>
        <v>#NAME?</v>
      </c>
    </row>
    <row r="35" spans="1:113" x14ac:dyDescent="0.15">
      <c r="B35" s="132" t="s">
        <v>577</v>
      </c>
      <c r="C35" t="s">
        <v>579</v>
      </c>
      <c r="D35"/>
      <c r="E35"/>
      <c r="F35"/>
      <c r="G35"/>
      <c r="H35"/>
      <c r="I35"/>
      <c r="K35" s="132"/>
      <c r="L35" s="132"/>
      <c r="M35" s="132"/>
      <c r="N35" s="132"/>
      <c r="O35" t="s">
        <v>506</v>
      </c>
      <c r="P35" s="132"/>
      <c r="Q35" s="132"/>
      <c r="R35" t="s">
        <v>560</v>
      </c>
      <c r="T35" s="132" t="s">
        <v>596</v>
      </c>
      <c r="U35" s="132" t="s">
        <v>373</v>
      </c>
      <c r="V35" s="132" t="s">
        <v>286</v>
      </c>
      <c r="X35" s="132" t="s">
        <v>661</v>
      </c>
      <c r="CE35" s="70" t="e">
        <f ca="1">BatSplit(D35:CD35,MatchesPlayed)</f>
        <v>#NAME?</v>
      </c>
      <c r="CF35" s="70" t="e">
        <f ca="1">CE35-CG35</f>
        <v>#NAME?</v>
      </c>
      <c r="CG35" s="70" t="e">
        <f ca="1">BatSplit(D35:CD35,InnsBattedIn)</f>
        <v>#NAME?</v>
      </c>
      <c r="CH35" s="70" t="e">
        <f ca="1">BatSplit(D35:CD35,NotOuts)</f>
        <v>#NAME?</v>
      </c>
      <c r="CI35" s="70" t="e">
        <f ca="1">BatSplit(D35:CD35,HighestScore)</f>
        <v>#NAME?</v>
      </c>
      <c r="CJ35" s="74" t="e">
        <f t="shared" ca="1" si="0"/>
        <v>#NAME?</v>
      </c>
      <c r="CK35" s="70" t="e">
        <f ca="1">BatSplit(D35:CD35,RunsScored)</f>
        <v>#NAME?</v>
      </c>
      <c r="CL35" s="72" t="e">
        <f ca="1">IF(CG35=CH35,0,CK35/(CG35-CH35))</f>
        <v>#NAME?</v>
      </c>
      <c r="CM35" s="70" t="e">
        <f ca="1">BatSplit(D35:CD35,BatPts)</f>
        <v>#NAME?</v>
      </c>
      <c r="CN35" s="70" t="e">
        <f ca="1">BatSplit(D35:CD35,FldPts)</f>
        <v>#NAME?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 t="e">
        <f ca="1">BatSplit(D35:CD35,Ducks)</f>
        <v>#NAME?</v>
      </c>
      <c r="CR35" s="73">
        <f t="array" ref="CR35">SUM(IF(ISERR(FIND(CR$4,$D35:$CD35)),0,1))</f>
        <v>3</v>
      </c>
      <c r="CS35" s="73">
        <f t="array" ref="CS35">SUM(IF(ISERR(FIND(CS$4,$D35:$CD35)),0,1))</f>
        <v>3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73" t="e">
        <f t="shared" ca="1" si="1"/>
        <v>#NAME?</v>
      </c>
      <c r="CY35" s="73" t="e">
        <f ca="1">BatSplit(D35:CD35,Catches)</f>
        <v>#NAME?</v>
      </c>
      <c r="CZ35" s="73" t="e">
        <f ca="1">BatSplit(D35:CD35,Fours)</f>
        <v>#NAME?</v>
      </c>
      <c r="DA35" s="73" t="e">
        <f ca="1">BatSplit(D35:CD35,Sixes)</f>
        <v>#NAME?</v>
      </c>
      <c r="DB35" s="73" t="e">
        <f ca="1">BatSplit(D35:CD35,Stumpings)</f>
        <v>#NAME?</v>
      </c>
      <c r="DC35" s="73" t="e">
        <f ca="1">BatSplit(D35:CD35,CaughtWkt)</f>
        <v>#NAME?</v>
      </c>
      <c r="DD35" s="73" t="e">
        <f ca="1">BatSplit(D35:CD35,TwentyFives)</f>
        <v>#NAME?</v>
      </c>
      <c r="DE35" s="70" t="e">
        <f ca="1">ROUND(IF(ISERROR(CL35),0,CL35),2)*100000+CG35*100+CE35+CK35/100+ROW()/100000</f>
        <v>#NAME?</v>
      </c>
      <c r="DF35" s="70" t="e">
        <f t="shared" ca="1" si="2"/>
        <v>#NAME?</v>
      </c>
      <c r="DG35" s="70">
        <v>0</v>
      </c>
      <c r="DH35" s="92" t="e">
        <f ca="1">IF(CK35&gt;=50,(CZ35*4+DA35*6+DG35*5)/CK35,"")</f>
        <v>#NAME?</v>
      </c>
      <c r="DI35" s="100" t="e">
        <f ca="1">CQ35/(CG35-CH35)</f>
        <v>#NAME?</v>
      </c>
    </row>
    <row r="36" spans="1:113" x14ac:dyDescent="0.15">
      <c r="B36" s="70" t="s">
        <v>212</v>
      </c>
      <c r="C36" s="70" t="s">
        <v>213</v>
      </c>
      <c r="D36"/>
      <c r="O36"/>
      <c r="Q36"/>
      <c r="CE36" s="70" t="e">
        <f ca="1">BatSplit(D36:CD36,MatchesPlayed)</f>
        <v>#NAME?</v>
      </c>
      <c r="CF36" s="70" t="e">
        <f ca="1">CE36-CG36</f>
        <v>#NAME?</v>
      </c>
      <c r="CG36" s="70" t="e">
        <f ca="1">BatSplit(D36:CD36,InnsBattedIn)</f>
        <v>#NAME?</v>
      </c>
      <c r="CH36" s="70" t="e">
        <f ca="1">BatSplit(D36:CD36,NotOuts)</f>
        <v>#NAME?</v>
      </c>
      <c r="CI36" s="70" t="e">
        <f ca="1">BatSplit(D36:CD36,HighestScore)</f>
        <v>#NAME?</v>
      </c>
      <c r="CJ36" s="74" t="e">
        <f t="shared" ca="1" si="0"/>
        <v>#NAME?</v>
      </c>
      <c r="CK36" s="70" t="e">
        <f ca="1">BatSplit(D36:CD36,RunsScored)</f>
        <v>#NAME?</v>
      </c>
      <c r="CL36" s="72" t="e">
        <f ca="1">IF(CG36=CH36,0,CK36/(CG36-CH36))</f>
        <v>#NAME?</v>
      </c>
      <c r="CM36" s="70" t="e">
        <f ca="1">BatSplit(D36:CD36,BatPts)</f>
        <v>#NAME?</v>
      </c>
      <c r="CN36" s="70" t="e">
        <f ca="1">BatSplit(D36:CD36,FldPts)</f>
        <v>#NAME?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 t="e">
        <f ca="1">BatSplit(D36:CD36,Ducks)</f>
        <v>#NAME?</v>
      </c>
      <c r="CR36" s="73">
        <f t="array" ref="CR36">SUM(IF(ISERR(FIND(CR$4,$D36:$CD36)),0,1))</f>
        <v>0</v>
      </c>
      <c r="CS36" s="73">
        <f t="array" ref="CS36">SUM(IF(ISERR(FIND(CS$4,$D36:$CD36)),0,1))</f>
        <v>0</v>
      </c>
      <c r="CT36" s="73">
        <f t="array" ref="CT36">SUM(IF(ISERR(FIND(CT$4,$D36:$CD36)),0,1))</f>
        <v>0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73" t="e">
        <f t="shared" ca="1" si="1"/>
        <v>#NAME?</v>
      </c>
      <c r="CY36" s="73" t="e">
        <f ca="1">BatSplit(D36:CD36,Catches)</f>
        <v>#NAME?</v>
      </c>
      <c r="CZ36" s="73" t="e">
        <f ca="1">BatSplit(D36:CD36,Fours)</f>
        <v>#NAME?</v>
      </c>
      <c r="DA36" s="73" t="e">
        <f ca="1">BatSplit(D36:CD36,Sixes)</f>
        <v>#NAME?</v>
      </c>
      <c r="DB36" s="73" t="e">
        <f ca="1">BatSplit(D36:CD36,Stumpings)</f>
        <v>#NAME?</v>
      </c>
      <c r="DC36" s="73" t="e">
        <f ca="1">BatSplit(D36:CD36,CaughtWkt)</f>
        <v>#NAME?</v>
      </c>
      <c r="DD36" s="73" t="e">
        <f ca="1">BatSplit(D36:CD36,TwentyFives)</f>
        <v>#NAME?</v>
      </c>
      <c r="DE36" s="70" t="e">
        <f ca="1">ROUND(IF(ISERROR(CL36),0,CL36),2)*100000+CG36*100+CE36+CK36/100+ROW()/100000</f>
        <v>#NAME?</v>
      </c>
      <c r="DF36" s="70" t="e">
        <f t="shared" ca="1" si="2"/>
        <v>#NAME?</v>
      </c>
      <c r="DG36" s="70">
        <v>0</v>
      </c>
      <c r="DH36" s="92" t="e">
        <f ca="1">IF(CK36&gt;=50,(CZ36*4+DA36*6+DG36*5)/CK36,"")</f>
        <v>#NAME?</v>
      </c>
      <c r="DI36" s="100" t="e">
        <f ca="1">CQ36/(CG36-CH36)</f>
        <v>#NAME?</v>
      </c>
    </row>
    <row r="37" spans="1:113" x14ac:dyDescent="0.15">
      <c r="A37" s="70" t="s">
        <v>60</v>
      </c>
      <c r="B37" s="70" t="s">
        <v>26</v>
      </c>
      <c r="C37" s="70" t="s">
        <v>152</v>
      </c>
      <c r="F37"/>
      <c r="H37" t="s">
        <v>369</v>
      </c>
      <c r="I37" t="s">
        <v>387</v>
      </c>
      <c r="J37" t="s">
        <v>268</v>
      </c>
      <c r="M37" s="132" t="s">
        <v>463</v>
      </c>
      <c r="N37" s="132" t="s">
        <v>485</v>
      </c>
      <c r="P37" t="s">
        <v>587</v>
      </c>
      <c r="R37"/>
      <c r="S37"/>
      <c r="T37"/>
      <c r="V37" t="s">
        <v>628</v>
      </c>
      <c r="W37" t="s">
        <v>643</v>
      </c>
      <c r="Y37" t="s">
        <v>369</v>
      </c>
      <c r="CE37" s="70" t="e">
        <f ca="1">BatSplit(D37:CD37,MatchesPlayed)</f>
        <v>#NAME?</v>
      </c>
      <c r="CF37" s="70" t="e">
        <f ca="1">CE37-CG37</f>
        <v>#NAME?</v>
      </c>
      <c r="CG37" s="70" t="e">
        <f ca="1">BatSplit(D37:CD37,InnsBattedIn)</f>
        <v>#NAME?</v>
      </c>
      <c r="CH37" s="70" t="e">
        <f ca="1">BatSplit(D37:CD37,NotOuts)</f>
        <v>#NAME?</v>
      </c>
      <c r="CI37" s="70" t="e">
        <f ca="1">BatSplit(D37:CD37,HighestScore)</f>
        <v>#NAME?</v>
      </c>
      <c r="CJ37" s="74" t="e">
        <f t="shared" ca="1" si="0"/>
        <v>#NAME?</v>
      </c>
      <c r="CK37" s="70" t="e">
        <f ca="1">BatSplit(D37:CD37,RunsScored)</f>
        <v>#NAME?</v>
      </c>
      <c r="CL37" s="72" t="e">
        <f ca="1">IF(CG37=CH37,0,CK37/(CG37-CH37))</f>
        <v>#NAME?</v>
      </c>
      <c r="CM37" s="70" t="e">
        <f ca="1">BatSplit(D37:CD37,BatPts)</f>
        <v>#NAME?</v>
      </c>
      <c r="CN37" s="70" t="e">
        <f ca="1">BatSplit(D37:CD37,FldPts)</f>
        <v>#NAME?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 t="e">
        <f ca="1">BatSplit(D37:CD37,Ducks)</f>
        <v>#NAME?</v>
      </c>
      <c r="CR37" s="73">
        <f t="array" ref="CR37">SUM(IF(ISERR(FIND(CR$4,$D37:$CD37)),0,1))</f>
        <v>6</v>
      </c>
      <c r="CS37" s="73">
        <f t="array" ref="CS37">SUM(IF(ISERR(FIND(CS$4,$D37:$CD37)),0,1))</f>
        <v>3</v>
      </c>
      <c r="CT37" s="73">
        <f t="array" ref="CT37">SUM(IF(ISERR(FIND(CT$4,$D37:$CD37)),0,1))</f>
        <v>0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 t="e">
        <f t="shared" ca="1" si="1"/>
        <v>#NAME?</v>
      </c>
      <c r="CY37" s="73" t="e">
        <f ca="1">BatSplit(D37:CD37,Catches)</f>
        <v>#NAME?</v>
      </c>
      <c r="CZ37" s="73" t="e">
        <f ca="1">BatSplit(D37:CD37,Fours)</f>
        <v>#NAME?</v>
      </c>
      <c r="DA37" s="73" t="e">
        <f ca="1">BatSplit(D37:CD37,Sixes)</f>
        <v>#NAME?</v>
      </c>
      <c r="DB37" s="73" t="e">
        <f ca="1">BatSplit(D37:CD37,Stumpings)</f>
        <v>#NAME?</v>
      </c>
      <c r="DC37" s="73" t="e">
        <f ca="1">BatSplit(D37:CD37,CaughtWkt)</f>
        <v>#NAME?</v>
      </c>
      <c r="DD37" s="73" t="e">
        <f ca="1">BatSplit(D37:CD37,TwentyFives)</f>
        <v>#NAME?</v>
      </c>
      <c r="DE37" s="70" t="e">
        <f ca="1">ROUND(IF(ISERROR(CL37),0,CL37),2)*100000+CG37*100+CE37+CK37/100+ROW()/100000</f>
        <v>#NAME?</v>
      </c>
      <c r="DF37" s="70" t="e">
        <f t="shared" ca="1" si="2"/>
        <v>#NAME?</v>
      </c>
      <c r="DG37" s="70">
        <v>0</v>
      </c>
      <c r="DH37" s="92" t="e">
        <f ca="1">IF(CK37&gt;=50,(CZ37*4+DA37*6+DG37*5)/CK37,"")</f>
        <v>#NAME?</v>
      </c>
      <c r="DI37" s="100" t="e">
        <f ca="1">CQ37/(CG37-CH37)</f>
        <v>#NAME?</v>
      </c>
    </row>
    <row r="38" spans="1:113" x14ac:dyDescent="0.15">
      <c r="A38" s="70" t="s">
        <v>57</v>
      </c>
      <c r="B38" s="70" t="s">
        <v>32</v>
      </c>
      <c r="C38" s="70" t="s">
        <v>153</v>
      </c>
      <c r="D38" s="132"/>
      <c r="F38" s="62"/>
      <c r="G38" t="s">
        <v>354</v>
      </c>
      <c r="H38" s="132"/>
      <c r="I38" s="62"/>
      <c r="J38" s="62"/>
      <c r="M38" t="s">
        <v>469</v>
      </c>
      <c r="N38" t="s">
        <v>511</v>
      </c>
      <c r="O38"/>
      <c r="Q38" t="s">
        <v>537</v>
      </c>
      <c r="R38"/>
      <c r="S38"/>
      <c r="T38"/>
      <c r="V38" s="132"/>
      <c r="W38" t="s">
        <v>646</v>
      </c>
      <c r="Z38" t="s">
        <v>686</v>
      </c>
      <c r="CE38" s="70" t="e">
        <f ca="1">BatSplit(D38:CD38,MatchesPlayed)</f>
        <v>#NAME?</v>
      </c>
      <c r="CF38" s="70" t="e">
        <f ca="1">CE38-CG38</f>
        <v>#NAME?</v>
      </c>
      <c r="CG38" s="70" t="e">
        <f ca="1">BatSplit(D38:CD38,InnsBattedIn)</f>
        <v>#NAME?</v>
      </c>
      <c r="CH38" s="70" t="e">
        <f ca="1">BatSplit(D38:CD38,NotOuts)</f>
        <v>#NAME?</v>
      </c>
      <c r="CI38" s="70" t="e">
        <f ca="1">BatSplit(D38:CD38,HighestScore)</f>
        <v>#NAME?</v>
      </c>
      <c r="CJ38" s="74" t="e">
        <f t="shared" ref="CJ38" ca="1" si="88">IF(CI38&lt;0,-CI38&amp;"*",CI38)</f>
        <v>#NAME?</v>
      </c>
      <c r="CK38" s="70" t="e">
        <f ca="1">BatSplit(D38:CD38,RunsScored)</f>
        <v>#NAME?</v>
      </c>
      <c r="CL38" s="72" t="e">
        <f ca="1">IF(CG38=CH38,0,CK38/(CG38-CH38))</f>
        <v>#NAME?</v>
      </c>
      <c r="CM38" s="70" t="e">
        <f ca="1">BatSplit(D38:CD38,BatPts)</f>
        <v>#NAME?</v>
      </c>
      <c r="CN38" s="70" t="e">
        <f ca="1">BatSplit(D38:CD38,FldPts)</f>
        <v>#NAME?</v>
      </c>
      <c r="CO38" s="73">
        <f t="array" ref="CO38">SUM(IF(ISERR(FIND("*",D38:CD38)),0,1))</f>
        <v>0</v>
      </c>
      <c r="CP38" s="73">
        <f t="array" ref="CP38">SUM(IF(ISERR(FIND("+",D38:CD38)),0,1))</f>
        <v>5</v>
      </c>
      <c r="CQ38" s="70" t="e">
        <f ca="1">BatSplit(D38:CD38,Ducks)</f>
        <v>#NAME?</v>
      </c>
      <c r="CR38" s="73">
        <f t="array" ref="CR38">SUM(IF(ISERR(FIND(CR$4,$D38:$CD38)),0,1))</f>
        <v>1</v>
      </c>
      <c r="CS38" s="73">
        <f t="array" ref="CS38">SUM(IF(ISERR(FIND(CS$4,$D38:$CD38)),0,1))</f>
        <v>3</v>
      </c>
      <c r="CT38" s="73">
        <f t="array" ref="CT38">SUM(IF(ISERR(FIND(CT$4,$D38:$CD38)),0,1))</f>
        <v>2</v>
      </c>
      <c r="CU38" s="73">
        <f t="array" ref="CU38">SUM(IF(ISERR(FIND(CU$4,$D38:$CD38)),0,1))</f>
        <v>0</v>
      </c>
      <c r="CV38" s="73">
        <f t="array" ref="CV38">SUM(IF(ISERR(FIND(CV$4,$D38:$CD38)),0,1))</f>
        <v>0</v>
      </c>
      <c r="CW38" s="73">
        <f t="array" ref="CW38">SUM(IF(ISERR(FIND(CW$4,$D38:$CD38)),0,1))</f>
        <v>0</v>
      </c>
      <c r="CX38" s="73" t="e">
        <f t="shared" ca="1" si="1"/>
        <v>#NAME?</v>
      </c>
      <c r="CY38" s="73" t="e">
        <f ca="1">BatSplit(D38:CD38,Catches)</f>
        <v>#NAME?</v>
      </c>
      <c r="CZ38" s="73" t="e">
        <f ca="1">BatSplit(D38:CD38,Fours)</f>
        <v>#NAME?</v>
      </c>
      <c r="DA38" s="73" t="e">
        <f ca="1">BatSplit(D38:CD38,Sixes)</f>
        <v>#NAME?</v>
      </c>
      <c r="DB38" s="73" t="e">
        <f ca="1">BatSplit(D38:CD38,Stumpings)</f>
        <v>#NAME?</v>
      </c>
      <c r="DC38" s="73" t="e">
        <f ca="1">BatSplit(D38:CD38,CaughtWkt)</f>
        <v>#NAME?</v>
      </c>
      <c r="DD38" s="73" t="e">
        <f ca="1">BatSplit(D38:CD38,TwentyFives)</f>
        <v>#NAME?</v>
      </c>
      <c r="DE38" s="70" t="e">
        <f ca="1">ROUND(IF(ISERROR(CL38),0,CL38),2)*100000+CG38*100+CE38+CK38/100+ROW()/100000</f>
        <v>#NAME?</v>
      </c>
      <c r="DF38" s="70" t="e">
        <f t="shared" ca="1" si="2"/>
        <v>#NAME?</v>
      </c>
      <c r="DG38" s="70">
        <v>0</v>
      </c>
      <c r="DH38" s="92" t="e">
        <f ca="1">IF(CK38&gt;=50,(CZ38*4+DA38*6+DG38*5)/CK38,"")</f>
        <v>#NAME?</v>
      </c>
      <c r="DI38" s="100" t="e">
        <f ca="1">CQ38/(CG38-CH38)</f>
        <v>#NAME?</v>
      </c>
    </row>
    <row r="39" spans="1:113" x14ac:dyDescent="0.15">
      <c r="B39" t="s">
        <v>197</v>
      </c>
      <c r="C39" t="s">
        <v>278</v>
      </c>
      <c r="D39" s="132"/>
      <c r="E39" s="132"/>
      <c r="F39" s="132"/>
      <c r="G39" s="132"/>
      <c r="H39" s="132"/>
      <c r="I39" s="132"/>
      <c r="J39" s="132"/>
      <c r="M39"/>
      <c r="N39"/>
      <c r="O39"/>
      <c r="Q39"/>
      <c r="R39"/>
      <c r="S39"/>
      <c r="U39"/>
      <c r="V39" s="132" t="s">
        <v>635</v>
      </c>
      <c r="CE39" s="70" t="e">
        <f ca="1">BatSplit(D39:CD39,MatchesPlayed)</f>
        <v>#NAME?</v>
      </c>
      <c r="CF39" s="70" t="e">
        <f ca="1">CE39-CG39</f>
        <v>#NAME?</v>
      </c>
      <c r="CG39" s="70" t="e">
        <f ca="1">BatSplit(D39:CD39,InnsBattedIn)</f>
        <v>#NAME?</v>
      </c>
      <c r="CH39" s="70" t="e">
        <f ca="1">BatSplit(D39:CD39,NotOuts)</f>
        <v>#NAME?</v>
      </c>
      <c r="CI39" s="70" t="e">
        <f ca="1">BatSplit(D39:CD39,HighestScore)</f>
        <v>#NAME?</v>
      </c>
      <c r="CJ39" s="74" t="e">
        <f t="shared" ca="1" si="0"/>
        <v>#NAME?</v>
      </c>
      <c r="CK39" s="70" t="e">
        <f ca="1">BatSplit(D39:CD39,RunsScored)</f>
        <v>#NAME?</v>
      </c>
      <c r="CL39" s="72" t="e">
        <f ca="1">IF(CG39=CH39,0,CK39/(CG39-CH39))</f>
        <v>#NAME?</v>
      </c>
      <c r="CM39" s="70" t="e">
        <f ca="1">BatSplit(D39:CD39,BatPts)</f>
        <v>#NAME?</v>
      </c>
      <c r="CN39" s="70" t="e">
        <f ca="1">BatSplit(D39:CD39,FldPts)</f>
        <v>#NAME?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 t="e">
        <f ca="1">BatSplit(D39:CD39,Ducks)</f>
        <v>#NAME?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1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 t="e">
        <f t="shared" ca="1" si="1"/>
        <v>#NAME?</v>
      </c>
      <c r="CY39" s="73" t="e">
        <f ca="1">BatSplit(D39:CD39,Catches)</f>
        <v>#NAME?</v>
      </c>
      <c r="CZ39" s="73" t="e">
        <f ca="1">BatSplit(D39:CD39,Fours)</f>
        <v>#NAME?</v>
      </c>
      <c r="DA39" s="73" t="e">
        <f ca="1">BatSplit(D39:CD39,Sixes)</f>
        <v>#NAME?</v>
      </c>
      <c r="DB39" s="73" t="e">
        <f ca="1">BatSplit(D39:CD39,Stumpings)</f>
        <v>#NAME?</v>
      </c>
      <c r="DC39" s="73" t="e">
        <f ca="1">BatSplit(D39:CD39,CaughtWkt)</f>
        <v>#NAME?</v>
      </c>
      <c r="DD39" s="73" t="e">
        <f ca="1">BatSplit(D39:CD39,TwentyFives)</f>
        <v>#NAME?</v>
      </c>
      <c r="DE39" s="70" t="e">
        <f ca="1">ROUND(IF(ISERROR(CL39),0,CL39),2)*100000+CG39*100+CE39+CK39/100+ROW()/100000</f>
        <v>#NAME?</v>
      </c>
      <c r="DF39" s="70" t="e">
        <f t="shared" ca="1" si="2"/>
        <v>#NAME?</v>
      </c>
      <c r="DG39" s="70">
        <v>0</v>
      </c>
      <c r="DH39" s="92" t="e">
        <f ca="1">IF(CK39&gt;=50,(CZ39*4+DA39*6+DG39*5)/CK39,"")</f>
        <v>#NAME?</v>
      </c>
      <c r="DI39" s="100" t="e">
        <f ca="1">CQ39/(CG39-CH39)</f>
        <v>#NAME?</v>
      </c>
    </row>
    <row r="40" spans="1:113" x14ac:dyDescent="0.15">
      <c r="CJ40" s="74"/>
      <c r="CL40" s="72"/>
      <c r="CO40" s="73"/>
      <c r="CP40" s="73"/>
      <c r="CR40" s="73"/>
      <c r="CS40" s="73"/>
      <c r="CT40" s="73"/>
      <c r="CU40" s="73"/>
      <c r="CV40" s="73"/>
      <c r="CW40" s="73"/>
      <c r="CX40" s="73"/>
    </row>
    <row r="41" spans="1:113" x14ac:dyDescent="0.15">
      <c r="CO41" s="93">
        <f t="shared" ref="CO41:CV41" si="89">SUM(CO5:CO40)</f>
        <v>23</v>
      </c>
      <c r="CP41" s="93">
        <f t="shared" si="89"/>
        <v>23</v>
      </c>
      <c r="CQ41" s="62" t="e">
        <f t="shared" ca="1" si="89"/>
        <v>#NAME?</v>
      </c>
      <c r="CR41" s="75">
        <f t="shared" si="89"/>
        <v>85</v>
      </c>
      <c r="CS41" s="75">
        <f t="shared" si="89"/>
        <v>56</v>
      </c>
      <c r="CT41" s="75">
        <f t="shared" si="89"/>
        <v>24</v>
      </c>
      <c r="CU41" s="75">
        <f t="shared" si="89"/>
        <v>5</v>
      </c>
      <c r="CV41" s="75">
        <f t="shared" si="89"/>
        <v>6</v>
      </c>
      <c r="CW41" s="75"/>
      <c r="CX41" s="75"/>
      <c r="CY41" s="62" t="e">
        <f t="shared" ref="CY41:DD41" ca="1" si="90">SUM(CY5:CY40)</f>
        <v>#NAME?</v>
      </c>
      <c r="CZ41" s="62" t="e">
        <f t="shared" ca="1" si="90"/>
        <v>#NAME?</v>
      </c>
      <c r="DA41" s="62" t="e">
        <f t="shared" ca="1" si="90"/>
        <v>#NAME?</v>
      </c>
      <c r="DB41" s="62" t="e">
        <f t="shared" ca="1" si="90"/>
        <v>#NAME?</v>
      </c>
      <c r="DC41" s="62" t="e">
        <f t="shared" ca="1" si="90"/>
        <v>#NAME?</v>
      </c>
      <c r="DD41" s="62" t="e">
        <f t="shared" ca="1" si="90"/>
        <v>#NAME?</v>
      </c>
    </row>
    <row r="42" spans="1:113" x14ac:dyDescent="0.15">
      <c r="C42" s="70" t="s">
        <v>130</v>
      </c>
      <c r="D42" s="70">
        <f t="array" ref="D42">SUM(IF(NOT(ISERR(FIND("*",D5:D39))),1,0))</f>
        <v>1</v>
      </c>
      <c r="E42" s="70">
        <f t="array" ref="E42">SUM(IF(NOT(ISERR(FIND("*",E5:E39))),1,0))</f>
        <v>1</v>
      </c>
      <c r="F42" s="70">
        <f t="array" ref="F42">SUM(IF(NOT(ISERR(FIND("*",F5:F39))),1,0))</f>
        <v>1</v>
      </c>
      <c r="G42" s="70">
        <f t="array" ref="G42">SUM(IF(NOT(ISERR(FIND("*",G5:G39))),1,0))</f>
        <v>1</v>
      </c>
      <c r="H42" s="70">
        <f t="array" ref="H42">SUM(IF(NOT(ISERR(FIND("*",H5:H39))),1,0))</f>
        <v>1</v>
      </c>
      <c r="I42" s="70">
        <f t="array" ref="I42">SUM(IF(NOT(ISERR(FIND("*",I5:I39))),1,0))</f>
        <v>1</v>
      </c>
      <c r="J42" s="70">
        <f t="array" ref="J42">SUM(IF(NOT(ISERR(FIND("*",J5:J39))),1,0))</f>
        <v>1</v>
      </c>
      <c r="K42" s="70">
        <f t="array" ref="K42">SUM(IF(NOT(ISERR(FIND("*",K5:K39))),1,0))</f>
        <v>1</v>
      </c>
      <c r="L42" s="70">
        <f t="array" ref="L42">SUM(IF(NOT(ISERR(FIND("*",L5:L39))),1,0))</f>
        <v>1</v>
      </c>
      <c r="M42" s="70">
        <f t="array" ref="M42">SUM(IF(NOT(ISERR(FIND("*",M5:M39))),1,0))</f>
        <v>1</v>
      </c>
      <c r="N42" s="70">
        <f t="array" ref="N42">SUM(IF(NOT(ISERR(FIND("*",N5:N39))),1,0))</f>
        <v>1</v>
      </c>
      <c r="O42" s="70">
        <f t="array" ref="O42">SUM(IF(NOT(ISERR(FIND("*",O5:O39))),1,0))</f>
        <v>1</v>
      </c>
      <c r="P42" s="70">
        <f t="array" ref="P42">SUM(IF(NOT(ISERR(FIND("*",P5:P39))),1,0))</f>
        <v>1</v>
      </c>
      <c r="Q42" s="70">
        <f t="array" ref="Q42">SUM(IF(NOT(ISERR(FIND("*",Q5:Q39))),1,0))</f>
        <v>1</v>
      </c>
      <c r="R42" s="70">
        <f t="array" ref="R42">SUM(IF(NOT(ISERR(FIND("*",R5:R39))),1,0))</f>
        <v>1</v>
      </c>
      <c r="S42" s="70">
        <f t="array" ref="S42">SUM(IF(NOT(ISERR(FIND("*",S5:S39))),1,0))</f>
        <v>1</v>
      </c>
      <c r="T42" s="70">
        <f t="array" ref="T42">SUM(IF(NOT(ISERR(FIND("*",T5:T39))),1,0))</f>
        <v>1</v>
      </c>
      <c r="U42" s="70">
        <f t="array" ref="U42">SUM(IF(NOT(ISERR(FIND("*",U5:U39))),1,0))</f>
        <v>1</v>
      </c>
      <c r="V42" s="70">
        <f t="array" ref="V42">SUM(IF(NOT(ISERR(FIND("*",V5:V39))),1,0))</f>
        <v>1</v>
      </c>
      <c r="W42" s="70">
        <f t="array" ref="W42">SUM(IF(NOT(ISERR(FIND("*",W5:W39))),1,0))</f>
        <v>1</v>
      </c>
      <c r="X42" s="70">
        <f t="array" ref="X42">SUM(IF(NOT(ISERR(FIND("*",X5:X39))),1,0))</f>
        <v>1</v>
      </c>
      <c r="Y42" s="70">
        <f t="array" ref="Y42">SUM(IF(NOT(ISERR(FIND("*",Y5:Y39))),1,0))</f>
        <v>1</v>
      </c>
      <c r="Z42" s="70">
        <f t="array" ref="Z42">SUM(IF(NOT(ISERR(FIND("*",Z5:Z39))),1,0))</f>
        <v>1</v>
      </c>
      <c r="AA42" s="70">
        <f t="array" ref="AA42">SUM(IF(NOT(ISERR(FIND("*",AA5:AA39))),1,0))</f>
        <v>0</v>
      </c>
      <c r="AB42" s="70">
        <f t="array" ref="AB42">SUM(IF(NOT(ISERR(FIND("*",AB5:AB39))),1,0))</f>
        <v>0</v>
      </c>
      <c r="AC42" s="70">
        <f t="array" ref="AC42">SUM(IF(NOT(ISERR(FIND("*",AC5:AC39))),1,0))</f>
        <v>0</v>
      </c>
      <c r="AD42" s="70">
        <f t="array" ref="AD42">SUM(IF(NOT(ISERR(FIND("*",AD5:AD39))),1,0))</f>
        <v>0</v>
      </c>
      <c r="AE42" s="70">
        <f t="array" ref="AE42">SUM(IF(NOT(ISERR(FIND("*",AE5:AE39))),1,0))</f>
        <v>0</v>
      </c>
      <c r="AF42" s="70">
        <f t="array" ref="AF42">SUM(IF(NOT(ISERR(FIND("*",AF5:AF39))),1,0))</f>
        <v>0</v>
      </c>
      <c r="AG42" s="70">
        <f t="array" ref="AG42">SUM(IF(NOT(ISERR(FIND("*",AG5:AG39))),1,0))</f>
        <v>0</v>
      </c>
      <c r="AH42" s="70">
        <f t="array" ref="AH42">SUM(IF(NOT(ISERR(FIND("*",AH5:AH39))),1,0))</f>
        <v>0</v>
      </c>
      <c r="AI42" s="70">
        <f t="array" ref="AI42">SUM(IF(NOT(ISERR(FIND("*",AI5:AI39))),1,0))</f>
        <v>0</v>
      </c>
      <c r="AJ42" s="70">
        <f t="array" ref="AJ42">SUM(IF(NOT(ISERR(FIND("*",AJ5:AJ39))),1,0))</f>
        <v>0</v>
      </c>
      <c r="AK42" s="70">
        <f t="array" ref="AK42">SUM(IF(NOT(ISERR(FIND("*",AK5:AK39))),1,0))</f>
        <v>0</v>
      </c>
      <c r="AL42" s="70">
        <f t="array" ref="AL42">SUM(IF(NOT(ISERR(FIND("*",AL5:AL39))),1,0))</f>
        <v>0</v>
      </c>
      <c r="AM42" s="70">
        <f t="array" ref="AM42">SUM(IF(NOT(ISERR(FIND("*",AM5:AM39))),1,0))</f>
        <v>0</v>
      </c>
      <c r="AN42" s="70">
        <f t="array" ref="AN42">SUM(IF(NOT(ISERR(FIND("*",AN5:AN39))),1,0))</f>
        <v>0</v>
      </c>
      <c r="AO42" s="70">
        <f t="array" ref="AO42">SUM(IF(NOT(ISERR(FIND("*",AO5:AO39))),1,0))</f>
        <v>0</v>
      </c>
      <c r="AP42" s="70">
        <f t="array" ref="AP42">SUM(IF(NOT(ISERR(FIND("*",AP5:AP39))),1,0))</f>
        <v>0</v>
      </c>
      <c r="AQ42" s="70">
        <f t="array" ref="AQ42">SUM(IF(NOT(ISERR(FIND("*",AQ5:AQ39))),1,0))</f>
        <v>0</v>
      </c>
      <c r="AR42" s="70">
        <f t="array" ref="AR42">SUM(IF(NOT(ISERR(FIND("*",AR5:AR39))),1,0))</f>
        <v>0</v>
      </c>
      <c r="AS42" s="70">
        <f t="array" ref="AS42">SUM(IF(NOT(ISERR(FIND("*",AS5:AS39))),1,0))</f>
        <v>0</v>
      </c>
      <c r="AT42" s="70">
        <f t="array" ref="AT42">SUM(IF(NOT(ISERR(FIND("*",AT5:AT39))),1,0))</f>
        <v>0</v>
      </c>
      <c r="AU42" s="70">
        <f t="array" ref="AU42">SUM(IF(NOT(ISERR(FIND("*",AU5:AU39))),1,0))</f>
        <v>0</v>
      </c>
      <c r="AV42" s="70">
        <f t="array" ref="AV42">SUM(IF(NOT(ISERR(FIND("*",AV5:AV39))),1,0))</f>
        <v>0</v>
      </c>
      <c r="AW42" s="70">
        <f t="array" ref="AW42">SUM(IF(NOT(ISERR(FIND("*",AW5:AW39))),1,0))</f>
        <v>0</v>
      </c>
      <c r="AX42" s="70">
        <f t="array" ref="AX42">SUM(IF(NOT(ISERR(FIND("*",AX5:AX39))),1,0))</f>
        <v>0</v>
      </c>
      <c r="AY42" s="70">
        <f t="array" ref="AY42">SUM(IF(NOT(ISERR(FIND("*",AY5:AY39))),1,0))</f>
        <v>0</v>
      </c>
      <c r="AZ42" s="70">
        <f t="array" ref="AZ42">SUM(IF(NOT(ISERR(FIND("*",AZ5:AZ39))),1,0))</f>
        <v>0</v>
      </c>
      <c r="BA42" s="70">
        <f t="array" ref="BA42">SUM(IF(NOT(ISERR(FIND("*",BA5:BA39))),1,0))</f>
        <v>0</v>
      </c>
      <c r="BB42" s="70">
        <f t="array" ref="BB42">SUM(IF(NOT(ISERR(FIND("*",BB5:BB39))),1,0))</f>
        <v>0</v>
      </c>
      <c r="BC42" s="70">
        <f t="array" ref="BC42">SUM(IF(NOT(ISERR(FIND("*",BC5:BC39))),1,0))</f>
        <v>0</v>
      </c>
      <c r="BD42" s="70">
        <f t="array" ref="BD42">SUM(IF(NOT(ISERR(FIND("*",BD5:BD39))),1,0))</f>
        <v>0</v>
      </c>
      <c r="BE42" s="70">
        <f t="array" ref="BE42">SUM(IF(NOT(ISERR(FIND("*",BE5:BE39))),1,0))</f>
        <v>0</v>
      </c>
      <c r="BF42" s="70">
        <f t="array" ref="BF42">SUM(IF(NOT(ISERR(FIND("*",BF5:BF39))),1,0))</f>
        <v>0</v>
      </c>
      <c r="CE42" s="70">
        <f>SUM(D42:BF42)</f>
        <v>23</v>
      </c>
      <c r="CO42" s="94">
        <f>SUM(D42:BF42)</f>
        <v>23</v>
      </c>
      <c r="CP42" s="62"/>
      <c r="CQ42" s="62"/>
      <c r="CR42" s="75">
        <f>SUM(CR41:CV41)</f>
        <v>176</v>
      </c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</row>
    <row r="43" spans="1:113" x14ac:dyDescent="0.15">
      <c r="C43" s="70" t="s">
        <v>14</v>
      </c>
      <c r="D43" s="70">
        <f t="array" ref="D43">SUM(IF(NOT(ISERR(FIND("+",D5:D39))),1,0))</f>
        <v>1</v>
      </c>
      <c r="E43" s="70">
        <f t="array" ref="E43">SUM(IF(NOT(ISERR(FIND("+",E5:E39))),1,0))</f>
        <v>1</v>
      </c>
      <c r="F43" s="70">
        <f t="array" ref="F43">SUM(IF(NOT(ISERR(FIND("+",F5:F39))),1,0))</f>
        <v>1</v>
      </c>
      <c r="G43" s="70">
        <f t="array" ref="G43">SUM(IF(NOT(ISERR(FIND("+",G5:G39))),1,0))</f>
        <v>1</v>
      </c>
      <c r="H43" s="70">
        <f t="array" ref="H43">SUM(IF(NOT(ISERR(FIND("+",H5:H39))),1,0))</f>
        <v>1</v>
      </c>
      <c r="I43" s="70">
        <f t="array" ref="I43">SUM(IF(NOT(ISERR(FIND("+",I5:I39))),1,0))</f>
        <v>1</v>
      </c>
      <c r="J43" s="70">
        <f t="array" ref="J43">SUM(IF(NOT(ISERR(FIND("+",J5:J39))),1,0))</f>
        <v>1</v>
      </c>
      <c r="K43" s="70">
        <f t="array" ref="K43">SUM(IF(NOT(ISERR(FIND("+",K5:K39))),1,0))</f>
        <v>1</v>
      </c>
      <c r="L43" s="70">
        <f t="array" ref="L43">SUM(IF(NOT(ISERR(FIND("+",L5:L39))),1,0))</f>
        <v>1</v>
      </c>
      <c r="M43" s="70">
        <f t="array" ref="M43">SUM(IF(NOT(ISERR(FIND("+",M5:M39))),1,0))</f>
        <v>1</v>
      </c>
      <c r="N43" s="70">
        <f t="array" ref="N43">SUM(IF(NOT(ISERR(FIND("+",N5:N39))),1,0))</f>
        <v>2</v>
      </c>
      <c r="O43" s="70">
        <f t="array" ref="O43">SUM(IF(NOT(ISERR(FIND("+",O5:O39))),1,0))</f>
        <v>1</v>
      </c>
      <c r="P43" s="70">
        <f t="array" ref="P43">SUM(IF(NOT(ISERR(FIND("+",P5:P39))),1,0))</f>
        <v>1</v>
      </c>
      <c r="Q43" s="70">
        <f t="array" ref="Q43">SUM(IF(NOT(ISERR(FIND("+",Q5:Q39))),1,0))</f>
        <v>1</v>
      </c>
      <c r="R43" s="70">
        <f t="array" ref="R43">SUM(IF(NOT(ISERR(FIND("+",R5:R39))),1,0))</f>
        <v>1</v>
      </c>
      <c r="S43" s="70">
        <f t="array" ref="S43">SUM(IF(NOT(ISERR(FIND("+",S5:S39))),1,0))</f>
        <v>1</v>
      </c>
      <c r="T43" s="70">
        <f t="array" ref="T43">SUM(IF(NOT(ISERR(FIND("+",T5:T39))),1,0))</f>
        <v>0</v>
      </c>
      <c r="U43" s="70">
        <f t="array" ref="U43">SUM(IF(NOT(ISERR(FIND("+",U5:U39))),1,0))</f>
        <v>1</v>
      </c>
      <c r="V43" s="70">
        <f t="array" ref="V43">SUM(IF(NOT(ISERR(FIND("+",V5:V39))),1,0))</f>
        <v>1</v>
      </c>
      <c r="W43" s="70">
        <f t="array" ref="W43">SUM(IF(NOT(ISERR(FIND("+",W5:W39))),1,0))</f>
        <v>1</v>
      </c>
      <c r="X43" s="70">
        <f t="array" ref="X43">SUM(IF(NOT(ISERR(FIND("+",X5:X39))),1,0))</f>
        <v>1</v>
      </c>
      <c r="Y43" s="70">
        <f t="array" ref="Y43">SUM(IF(NOT(ISERR(FIND("+",Y5:Y39))),1,0))</f>
        <v>1</v>
      </c>
      <c r="Z43" s="70">
        <f t="array" ref="Z43">SUM(IF(NOT(ISERR(FIND("+",Z5:Z39))),1,0))</f>
        <v>1</v>
      </c>
      <c r="AA43" s="70">
        <f t="array" ref="AA43">SUM(IF(NOT(ISERR(FIND("+",AA5:AA39))),1,0))</f>
        <v>0</v>
      </c>
      <c r="AB43" s="70">
        <f t="array" ref="AB43">SUM(IF(NOT(ISERR(FIND("+",AB5:AB39))),1,0))</f>
        <v>0</v>
      </c>
      <c r="AC43" s="70">
        <f t="array" ref="AC43">SUM(IF(NOT(ISERR(FIND("+",AC5:AC39))),1,0))</f>
        <v>0</v>
      </c>
      <c r="AD43" s="70">
        <f t="array" ref="AD43">SUM(IF(NOT(ISERR(FIND("+",AD5:AD39))),1,0))</f>
        <v>0</v>
      </c>
      <c r="AE43" s="70">
        <f t="array" ref="AE43">SUM(IF(NOT(ISERR(FIND("+",AE5:AE39))),1,0))</f>
        <v>0</v>
      </c>
      <c r="AF43" s="70">
        <f t="array" ref="AF43">SUM(IF(NOT(ISERR(FIND("+",AF5:AF39))),1,0))</f>
        <v>0</v>
      </c>
      <c r="AG43" s="70">
        <f t="array" ref="AG43">SUM(IF(NOT(ISERR(FIND("+",AG5:AG39))),1,0))</f>
        <v>0</v>
      </c>
      <c r="AH43" s="70">
        <f t="array" ref="AH43">SUM(IF(NOT(ISERR(FIND("+",AH5:AH39))),1,0))</f>
        <v>0</v>
      </c>
      <c r="AI43" s="70">
        <f t="array" ref="AI43">SUM(IF(NOT(ISERR(FIND("+",AI5:AI39))),1,0))</f>
        <v>0</v>
      </c>
      <c r="AJ43" s="70">
        <f t="array" ref="AJ43">SUM(IF(NOT(ISERR(FIND("+",AJ5:AJ39))),1,0))</f>
        <v>0</v>
      </c>
      <c r="AK43" s="70">
        <f t="array" ref="AK43">SUM(IF(NOT(ISERR(FIND("+",AK5:AK39))),1,0))</f>
        <v>0</v>
      </c>
      <c r="AL43" s="70">
        <f t="array" ref="AL43">SUM(IF(NOT(ISERR(FIND("+",AL5:AL39))),1,0))</f>
        <v>0</v>
      </c>
      <c r="AM43" s="70">
        <f t="array" ref="AM43">SUM(IF(NOT(ISERR(FIND("+",AM5:AM39))),1,0))</f>
        <v>0</v>
      </c>
      <c r="AN43" s="70">
        <f t="array" ref="AN43">SUM(IF(NOT(ISERR(FIND("+",AN5:AN39))),1,0))</f>
        <v>0</v>
      </c>
      <c r="AO43" s="70">
        <f t="array" ref="AO43">SUM(IF(NOT(ISERR(FIND("+",AO5:AO39))),1,0))</f>
        <v>0</v>
      </c>
      <c r="AP43" s="70">
        <f t="array" ref="AP43">SUM(IF(NOT(ISERR(FIND("+",AP5:AP39))),1,0))</f>
        <v>0</v>
      </c>
      <c r="AQ43" s="70">
        <f t="array" ref="AQ43">SUM(IF(NOT(ISERR(FIND("+",AQ5:AQ39))),1,0))</f>
        <v>0</v>
      </c>
      <c r="AR43" s="70">
        <f t="array" ref="AR43">SUM(IF(NOT(ISERR(FIND("+",AR5:AR39))),1,0))</f>
        <v>0</v>
      </c>
      <c r="AS43" s="70">
        <f t="array" ref="AS43">SUM(IF(NOT(ISERR(FIND("+",AS5:AS39))),1,0))</f>
        <v>0</v>
      </c>
      <c r="AT43" s="70">
        <f t="array" ref="AT43">SUM(IF(NOT(ISERR(FIND("+",AT5:AT39))),1,0))</f>
        <v>0</v>
      </c>
      <c r="AU43" s="70">
        <f t="array" ref="AU43">SUM(IF(NOT(ISERR(FIND("+",AU5:AU39))),1,0))</f>
        <v>0</v>
      </c>
      <c r="AV43" s="70">
        <f t="array" ref="AV43">SUM(IF(NOT(ISERR(FIND("+",AV5:AV39))),1,0))</f>
        <v>0</v>
      </c>
      <c r="AW43" s="70">
        <f t="array" ref="AW43">SUM(IF(NOT(ISERR(FIND("+",AW5:AW39))),1,0))</f>
        <v>0</v>
      </c>
      <c r="AX43" s="70">
        <f t="array" ref="AX43">SUM(IF(NOT(ISERR(FIND("+",AX5:AX39))),1,0))</f>
        <v>0</v>
      </c>
      <c r="AY43" s="70">
        <f t="array" ref="AY43">SUM(IF(NOT(ISERR(FIND("+",AY5:AY39))),1,0))</f>
        <v>0</v>
      </c>
      <c r="AZ43" s="70">
        <f t="array" ref="AZ43">SUM(IF(NOT(ISERR(FIND("+",AZ5:AZ39))),1,0))</f>
        <v>0</v>
      </c>
      <c r="BA43" s="70">
        <f t="array" ref="BA43">SUM(IF(NOT(ISERR(FIND("+",BA5:BA39))),1,0))</f>
        <v>0</v>
      </c>
      <c r="BB43" s="70">
        <f t="array" ref="BB43">SUM(IF(NOT(ISERR(FIND("+",BB5:BB39))),1,0))</f>
        <v>0</v>
      </c>
      <c r="BC43" s="70">
        <f t="array" ref="BC43">SUM(IF(NOT(ISERR(FIND("+",BC5:BC39))),1,0))</f>
        <v>0</v>
      </c>
      <c r="BD43" s="70">
        <f t="array" ref="BD43">SUM(IF(NOT(ISERR(FIND("+",BD5:BD39))),1,0))</f>
        <v>0</v>
      </c>
      <c r="BE43" s="70">
        <f t="array" ref="BE43">SUM(IF(NOT(ISERR(FIND("+",BE5:BE39))),1,0))</f>
        <v>0</v>
      </c>
      <c r="BF43" s="70">
        <f t="array" ref="BF43">SUM(IF(NOT(ISERR(FIND("+",BF5:BF39))),1,0))</f>
        <v>0</v>
      </c>
      <c r="CE43" s="70">
        <f>SUM(D43:BF43)</f>
        <v>23</v>
      </c>
      <c r="CO43" s="94">
        <f>SUM(D43:BF43)</f>
        <v>23</v>
      </c>
      <c r="CP43" s="62"/>
      <c r="CQ43" s="62"/>
      <c r="CR43" s="110">
        <f>CR41/$CR$42</f>
        <v>0.48295454545454547</v>
      </c>
      <c r="CS43" s="110">
        <f>CS41/$CR$42</f>
        <v>0.31818181818181818</v>
      </c>
      <c r="CT43" s="110">
        <f>CT41/$CR$42</f>
        <v>0.13636363636363635</v>
      </c>
      <c r="CU43" s="110">
        <f>CU41/$CR$42</f>
        <v>2.8409090909090908E-2</v>
      </c>
      <c r="CV43" s="110">
        <f>CV41/$CR$42</f>
        <v>3.4090909090909088E-2</v>
      </c>
      <c r="CW43" s="110"/>
      <c r="CX43" s="110"/>
      <c r="CY43" s="62"/>
      <c r="CZ43" s="62"/>
      <c r="DA43" s="62"/>
      <c r="DB43" s="62"/>
      <c r="DC43" s="62"/>
      <c r="DD43" s="62"/>
    </row>
    <row r="45" spans="1:113" x14ac:dyDescent="0.15">
      <c r="C45" s="70" t="s">
        <v>121</v>
      </c>
      <c r="D45" s="70" t="e">
        <f t="shared" ref="D45:AI45" ca="1" si="91">BatSplit(D5:D39,RunsScored)</f>
        <v>#NAME?</v>
      </c>
      <c r="E45" s="70" t="e">
        <f t="shared" ca="1" si="91"/>
        <v>#NAME?</v>
      </c>
      <c r="F45" s="70" t="e">
        <f t="shared" ca="1" si="91"/>
        <v>#NAME?</v>
      </c>
      <c r="G45" s="70" t="e">
        <f t="shared" ca="1" si="91"/>
        <v>#NAME?</v>
      </c>
      <c r="H45" s="70" t="e">
        <f t="shared" ca="1" si="91"/>
        <v>#NAME?</v>
      </c>
      <c r="I45" s="70" t="e">
        <f t="shared" ca="1" si="91"/>
        <v>#NAME?</v>
      </c>
      <c r="J45" s="70" t="e">
        <f t="shared" ca="1" si="91"/>
        <v>#NAME?</v>
      </c>
      <c r="K45" s="70" t="e">
        <f t="shared" ca="1" si="91"/>
        <v>#NAME?</v>
      </c>
      <c r="L45" s="70" t="e">
        <f t="shared" ca="1" si="91"/>
        <v>#NAME?</v>
      </c>
      <c r="M45" s="70" t="e">
        <f t="shared" ca="1" si="91"/>
        <v>#NAME?</v>
      </c>
      <c r="N45" s="70" t="e">
        <f t="shared" ca="1" si="91"/>
        <v>#NAME?</v>
      </c>
      <c r="O45" s="70" t="e">
        <f t="shared" ca="1" si="91"/>
        <v>#NAME?</v>
      </c>
      <c r="P45" s="70" t="e">
        <f t="shared" ca="1" si="91"/>
        <v>#NAME?</v>
      </c>
      <c r="Q45" s="70" t="e">
        <f t="shared" ca="1" si="91"/>
        <v>#NAME?</v>
      </c>
      <c r="R45" s="70" t="e">
        <f t="shared" ca="1" si="91"/>
        <v>#NAME?</v>
      </c>
      <c r="S45" s="70" t="e">
        <f t="shared" ca="1" si="91"/>
        <v>#NAME?</v>
      </c>
      <c r="T45" s="70" t="e">
        <f t="shared" ca="1" si="91"/>
        <v>#NAME?</v>
      </c>
      <c r="U45" s="70" t="e">
        <f t="shared" ca="1" si="91"/>
        <v>#NAME?</v>
      </c>
      <c r="V45" s="70" t="e">
        <f t="shared" ca="1" si="91"/>
        <v>#NAME?</v>
      </c>
      <c r="W45" s="70" t="e">
        <f t="shared" ca="1" si="91"/>
        <v>#NAME?</v>
      </c>
      <c r="X45" s="70" t="e">
        <f t="shared" ca="1" si="91"/>
        <v>#NAME?</v>
      </c>
      <c r="Y45" s="70" t="e">
        <f t="shared" ca="1" si="91"/>
        <v>#NAME?</v>
      </c>
      <c r="Z45" s="70" t="e">
        <f t="shared" ca="1" si="91"/>
        <v>#NAME?</v>
      </c>
      <c r="AA45" s="70" t="e">
        <f t="shared" ca="1" si="91"/>
        <v>#NAME?</v>
      </c>
      <c r="AB45" s="70" t="e">
        <f t="shared" ca="1" si="91"/>
        <v>#NAME?</v>
      </c>
      <c r="AC45" s="70" t="e">
        <f t="shared" ca="1" si="91"/>
        <v>#NAME?</v>
      </c>
      <c r="AD45" s="70" t="e">
        <f t="shared" ca="1" si="91"/>
        <v>#NAME?</v>
      </c>
      <c r="AE45" s="70" t="e">
        <f t="shared" ca="1" si="91"/>
        <v>#NAME?</v>
      </c>
      <c r="AF45" s="70" t="e">
        <f t="shared" ca="1" si="91"/>
        <v>#NAME?</v>
      </c>
      <c r="AG45" s="70" t="e">
        <f t="shared" ca="1" si="91"/>
        <v>#NAME?</v>
      </c>
      <c r="AH45" s="70" t="e">
        <f t="shared" ca="1" si="91"/>
        <v>#NAME?</v>
      </c>
      <c r="AI45" s="70" t="e">
        <f t="shared" ca="1" si="91"/>
        <v>#NAME?</v>
      </c>
      <c r="AJ45" s="70" t="e">
        <f t="shared" ref="AJ45:BF45" ca="1" si="92">BatSplit(AJ5:AJ39,RunsScored)</f>
        <v>#NAME?</v>
      </c>
      <c r="AK45" s="70" t="e">
        <f t="shared" ca="1" si="92"/>
        <v>#NAME?</v>
      </c>
      <c r="AL45" s="70" t="e">
        <f t="shared" ca="1" si="92"/>
        <v>#NAME?</v>
      </c>
      <c r="AM45" s="70" t="e">
        <f t="shared" ca="1" si="92"/>
        <v>#NAME?</v>
      </c>
      <c r="AN45" s="70" t="e">
        <f t="shared" ca="1" si="92"/>
        <v>#NAME?</v>
      </c>
      <c r="AO45" s="70" t="e">
        <f t="shared" ca="1" si="92"/>
        <v>#NAME?</v>
      </c>
      <c r="AP45" s="70" t="e">
        <f t="shared" ca="1" si="92"/>
        <v>#NAME?</v>
      </c>
      <c r="AQ45" s="70" t="e">
        <f t="shared" ca="1" si="92"/>
        <v>#NAME?</v>
      </c>
      <c r="AR45" s="70" t="e">
        <f t="shared" ca="1" si="92"/>
        <v>#NAME?</v>
      </c>
      <c r="AS45" s="70" t="e">
        <f t="shared" ca="1" si="92"/>
        <v>#NAME?</v>
      </c>
      <c r="AT45" s="70" t="e">
        <f t="shared" ca="1" si="92"/>
        <v>#NAME?</v>
      </c>
      <c r="AU45" s="70" t="e">
        <f t="shared" ca="1" si="92"/>
        <v>#NAME?</v>
      </c>
      <c r="AV45" s="70" t="e">
        <f t="shared" ca="1" si="92"/>
        <v>#NAME?</v>
      </c>
      <c r="AW45" s="70" t="e">
        <f t="shared" ca="1" si="92"/>
        <v>#NAME?</v>
      </c>
      <c r="AX45" s="70" t="e">
        <f t="shared" ca="1" si="92"/>
        <v>#NAME?</v>
      </c>
      <c r="AY45" s="70" t="e">
        <f t="shared" ca="1" si="92"/>
        <v>#NAME?</v>
      </c>
      <c r="AZ45" s="70" t="e">
        <f t="shared" ca="1" si="92"/>
        <v>#NAME?</v>
      </c>
      <c r="BA45" s="70" t="e">
        <f t="shared" ca="1" si="92"/>
        <v>#NAME?</v>
      </c>
      <c r="BB45" s="70" t="e">
        <f t="shared" ca="1" si="92"/>
        <v>#NAME?</v>
      </c>
      <c r="BC45" s="70" t="e">
        <f t="shared" ca="1" si="92"/>
        <v>#NAME?</v>
      </c>
      <c r="BD45" s="70" t="e">
        <f t="shared" ca="1" si="92"/>
        <v>#NAME?</v>
      </c>
      <c r="BE45" s="70" t="e">
        <f t="shared" ca="1" si="92"/>
        <v>#NAME?</v>
      </c>
      <c r="BF45" s="70" t="e">
        <f t="shared" ca="1" si="92"/>
        <v>#NAME?</v>
      </c>
      <c r="CE45" s="70" t="e">
        <f ca="1">SUM(D45:BD45)</f>
        <v>#NAME?</v>
      </c>
      <c r="CG45" s="70" t="e">
        <f ca="1">SUM(CG5:CG40)</f>
        <v>#NAME?</v>
      </c>
      <c r="CH45" s="70" t="e">
        <f ca="1">SUM(CH5:CH40)</f>
        <v>#NAME?</v>
      </c>
      <c r="CI45" s="70" t="e">
        <f ca="1">SUM(CI5:CI39)</f>
        <v>#NAME?</v>
      </c>
      <c r="CK45" s="70" t="e">
        <f ca="1">SUM(CK5:CK40)</f>
        <v>#NAME?</v>
      </c>
      <c r="CO45" s="70" t="e">
        <f ca="1">SUM(D45:BF45)</f>
        <v>#NAME?</v>
      </c>
    </row>
    <row r="46" spans="1:113" x14ac:dyDescent="0.15">
      <c r="C46" s="70" t="s">
        <v>120</v>
      </c>
      <c r="D46" s="70">
        <f t="array" ref="D46:BF46">TRANSPOSE(Matches!Z5:Z59)</f>
        <v>14</v>
      </c>
      <c r="E46" s="70">
        <v>19</v>
      </c>
      <c r="F46" s="70">
        <v>23</v>
      </c>
      <c r="G46" s="70">
        <v>25</v>
      </c>
      <c r="H46" s="70">
        <v>30</v>
      </c>
      <c r="I46" s="70">
        <v>16</v>
      </c>
      <c r="J46" s="70">
        <v>35</v>
      </c>
      <c r="K46" s="70">
        <v>6</v>
      </c>
      <c r="L46" s="70">
        <v>7</v>
      </c>
      <c r="M46" s="70">
        <v>27</v>
      </c>
      <c r="N46" s="70">
        <v>2</v>
      </c>
      <c r="O46" s="70">
        <v>10</v>
      </c>
      <c r="P46" s="70">
        <v>27</v>
      </c>
      <c r="Q46" s="70">
        <v>22</v>
      </c>
      <c r="R46" s="70">
        <v>19</v>
      </c>
      <c r="S46" s="70">
        <v>14</v>
      </c>
      <c r="T46" s="70">
        <v>22</v>
      </c>
      <c r="U46" s="70">
        <v>31</v>
      </c>
      <c r="V46" s="70">
        <v>24</v>
      </c>
      <c r="W46" s="70">
        <v>29</v>
      </c>
      <c r="X46" s="70">
        <v>16</v>
      </c>
      <c r="Y46" s="70">
        <v>48</v>
      </c>
      <c r="Z46" s="70">
        <v>15</v>
      </c>
      <c r="AA46" s="70">
        <v>0</v>
      </c>
      <c r="AB46" s="70">
        <v>0</v>
      </c>
      <c r="AC46" s="70">
        <v>0</v>
      </c>
      <c r="AD46" s="70">
        <v>0</v>
      </c>
      <c r="AE46" s="70">
        <v>0</v>
      </c>
      <c r="AF46" s="70">
        <v>0</v>
      </c>
      <c r="AG46" s="70">
        <v>0</v>
      </c>
      <c r="AH46" s="70">
        <v>0</v>
      </c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>
        <v>0</v>
      </c>
      <c r="AO46" s="70">
        <v>0</v>
      </c>
      <c r="AP46" s="70">
        <v>0</v>
      </c>
      <c r="AQ46" s="70">
        <v>0</v>
      </c>
      <c r="AR46" s="70">
        <v>0</v>
      </c>
      <c r="AS46" s="70">
        <v>0</v>
      </c>
      <c r="AT46" s="70">
        <v>0</v>
      </c>
      <c r="AU46" s="70">
        <v>0</v>
      </c>
      <c r="AV46" s="70">
        <v>0</v>
      </c>
      <c r="AW46" s="70">
        <v>0</v>
      </c>
      <c r="AX46" s="70">
        <v>0</v>
      </c>
      <c r="AY46" s="70">
        <v>0</v>
      </c>
      <c r="AZ46" s="70">
        <v>0</v>
      </c>
      <c r="BA46" s="70">
        <v>0</v>
      </c>
      <c r="BB46" s="70">
        <v>0</v>
      </c>
      <c r="BC46" s="70">
        <v>0</v>
      </c>
      <c r="BD46" s="70">
        <v>0</v>
      </c>
      <c r="BE46" s="70">
        <v>0</v>
      </c>
      <c r="BF46" s="70">
        <v>0</v>
      </c>
      <c r="CE46" s="70">
        <f>SUM(D46:BD46)</f>
        <v>481</v>
      </c>
      <c r="CO46" s="70">
        <f>SUM(D46:BF46)</f>
        <v>481</v>
      </c>
    </row>
    <row r="47" spans="1:113" s="62" customFormat="1" x14ac:dyDescent="0.15">
      <c r="C47" s="62" t="s">
        <v>122</v>
      </c>
      <c r="D47" s="62" t="e">
        <f ca="1">D46+D45</f>
        <v>#NAME?</v>
      </c>
      <c r="E47" s="62" t="e">
        <f t="shared" ref="E47:BF47" ca="1" si="93">E46+E45</f>
        <v>#NAME?</v>
      </c>
      <c r="F47" s="62" t="e">
        <f t="shared" ca="1" si="93"/>
        <v>#NAME?</v>
      </c>
      <c r="G47" s="62" t="e">
        <f t="shared" ca="1" si="93"/>
        <v>#NAME?</v>
      </c>
      <c r="H47" s="62" t="e">
        <f t="shared" ca="1" si="93"/>
        <v>#NAME?</v>
      </c>
      <c r="I47" s="62" t="e">
        <f t="shared" ca="1" si="93"/>
        <v>#NAME?</v>
      </c>
      <c r="J47" s="62" t="e">
        <f t="shared" ca="1" si="93"/>
        <v>#NAME?</v>
      </c>
      <c r="K47" s="62" t="e">
        <f t="shared" ca="1" si="93"/>
        <v>#NAME?</v>
      </c>
      <c r="L47" s="62" t="e">
        <f t="shared" ca="1" si="93"/>
        <v>#NAME?</v>
      </c>
      <c r="M47" s="62" t="e">
        <f t="shared" ca="1" si="93"/>
        <v>#NAME?</v>
      </c>
      <c r="N47" s="62" t="e">
        <f t="shared" ca="1" si="93"/>
        <v>#NAME?</v>
      </c>
      <c r="O47" s="62" t="e">
        <f t="shared" ca="1" si="93"/>
        <v>#NAME?</v>
      </c>
      <c r="P47" s="62" t="e">
        <f t="shared" ca="1" si="93"/>
        <v>#NAME?</v>
      </c>
      <c r="Q47" s="62" t="e">
        <f t="shared" ca="1" si="93"/>
        <v>#NAME?</v>
      </c>
      <c r="R47" s="62" t="e">
        <f t="shared" ca="1" si="93"/>
        <v>#NAME?</v>
      </c>
      <c r="S47" s="62" t="e">
        <f t="shared" ca="1" si="93"/>
        <v>#NAME?</v>
      </c>
      <c r="T47" s="62" t="e">
        <f t="shared" ca="1" si="93"/>
        <v>#NAME?</v>
      </c>
      <c r="U47" s="62" t="e">
        <f t="shared" ca="1" si="93"/>
        <v>#NAME?</v>
      </c>
      <c r="V47" s="62" t="e">
        <f t="shared" ca="1" si="93"/>
        <v>#NAME?</v>
      </c>
      <c r="W47" s="62" t="e">
        <f t="shared" ca="1" si="93"/>
        <v>#NAME?</v>
      </c>
      <c r="X47" s="62" t="e">
        <f t="shared" ca="1" si="93"/>
        <v>#NAME?</v>
      </c>
      <c r="Y47" s="62" t="e">
        <f t="shared" ca="1" si="93"/>
        <v>#NAME?</v>
      </c>
      <c r="Z47" s="62" t="e">
        <f t="shared" ca="1" si="93"/>
        <v>#NAME?</v>
      </c>
      <c r="AA47" s="62" t="e">
        <f t="shared" ca="1" si="93"/>
        <v>#NAME?</v>
      </c>
      <c r="AB47" s="62" t="e">
        <f t="shared" ca="1" si="93"/>
        <v>#NAME?</v>
      </c>
      <c r="AC47" s="62" t="e">
        <f t="shared" ca="1" si="93"/>
        <v>#NAME?</v>
      </c>
      <c r="AD47" s="62" t="e">
        <f t="shared" ca="1" si="93"/>
        <v>#NAME?</v>
      </c>
      <c r="AE47" s="62" t="e">
        <f t="shared" ca="1" si="93"/>
        <v>#NAME?</v>
      </c>
      <c r="AF47" s="62" t="e">
        <f t="shared" ca="1" si="93"/>
        <v>#NAME?</v>
      </c>
      <c r="AG47" s="62" t="e">
        <f t="shared" ca="1" si="93"/>
        <v>#NAME?</v>
      </c>
      <c r="AH47" s="62" t="e">
        <f t="shared" ca="1" si="93"/>
        <v>#NAME?</v>
      </c>
      <c r="AI47" s="62" t="e">
        <f t="shared" ca="1" si="93"/>
        <v>#NAME?</v>
      </c>
      <c r="AJ47" s="62" t="e">
        <f t="shared" ca="1" si="93"/>
        <v>#NAME?</v>
      </c>
      <c r="AK47" s="62" t="e">
        <f t="shared" ca="1" si="93"/>
        <v>#NAME?</v>
      </c>
      <c r="AL47" s="62" t="e">
        <f t="shared" ca="1" si="93"/>
        <v>#NAME?</v>
      </c>
      <c r="AM47" s="62" t="e">
        <f t="shared" ca="1" si="93"/>
        <v>#NAME?</v>
      </c>
      <c r="AN47" s="62" t="e">
        <f t="shared" ca="1" si="93"/>
        <v>#NAME?</v>
      </c>
      <c r="AO47" s="62" t="e">
        <f t="shared" ca="1" si="93"/>
        <v>#NAME?</v>
      </c>
      <c r="AP47" s="62" t="e">
        <f t="shared" ca="1" si="93"/>
        <v>#NAME?</v>
      </c>
      <c r="AQ47" s="62" t="e">
        <f t="shared" ca="1" si="93"/>
        <v>#NAME?</v>
      </c>
      <c r="AR47" s="62" t="e">
        <f t="shared" ca="1" si="93"/>
        <v>#NAME?</v>
      </c>
      <c r="AS47" s="62" t="e">
        <f t="shared" ca="1" si="93"/>
        <v>#NAME?</v>
      </c>
      <c r="AT47" s="62" t="e">
        <f t="shared" ca="1" si="93"/>
        <v>#NAME?</v>
      </c>
      <c r="AU47" s="62" t="e">
        <f ca="1">AU46+AU45</f>
        <v>#NAME?</v>
      </c>
      <c r="AV47" s="62" t="e">
        <f t="shared" ca="1" si="93"/>
        <v>#NAME?</v>
      </c>
      <c r="AW47" s="62" t="e">
        <f t="shared" ca="1" si="93"/>
        <v>#NAME?</v>
      </c>
      <c r="AX47" s="62" t="e">
        <f t="shared" ca="1" si="93"/>
        <v>#NAME?</v>
      </c>
      <c r="AY47" s="62" t="e">
        <f t="shared" ca="1" si="93"/>
        <v>#NAME?</v>
      </c>
      <c r="AZ47" s="62" t="e">
        <f t="shared" ca="1" si="93"/>
        <v>#NAME?</v>
      </c>
      <c r="BA47" s="62" t="e">
        <f t="shared" ca="1" si="93"/>
        <v>#NAME?</v>
      </c>
      <c r="BB47" s="62" t="e">
        <f t="shared" ca="1" si="93"/>
        <v>#NAME?</v>
      </c>
      <c r="BC47" s="62" t="e">
        <f t="shared" ca="1" si="93"/>
        <v>#NAME?</v>
      </c>
      <c r="BD47" s="62" t="e">
        <f t="shared" ca="1" si="93"/>
        <v>#NAME?</v>
      </c>
      <c r="BE47" s="62" t="e">
        <f t="shared" ca="1" si="93"/>
        <v>#NAME?</v>
      </c>
      <c r="BF47" s="62" t="e">
        <f t="shared" ca="1" si="93"/>
        <v>#NAME?</v>
      </c>
      <c r="CE47" s="70" t="e">
        <f ca="1">SUM(D47:BD47)</f>
        <v>#NAME?</v>
      </c>
      <c r="CG47" s="70" t="s">
        <v>37</v>
      </c>
      <c r="CH47" s="70" t="e">
        <f ca="1">CG45-CH45</f>
        <v>#NAME?</v>
      </c>
      <c r="CI47" s="70"/>
      <c r="CJ47" s="70"/>
      <c r="CK47" s="70"/>
      <c r="CO47" s="62" t="e">
        <f ca="1">SUM(D47:BF47)</f>
        <v>#NAME?</v>
      </c>
    </row>
    <row r="48" spans="1:113" x14ac:dyDescent="0.15">
      <c r="D48" s="55"/>
      <c r="CG48" s="70" t="s">
        <v>38</v>
      </c>
      <c r="CH48" s="70" t="e">
        <f ca="1">CE47/CH47</f>
        <v>#NAME?</v>
      </c>
    </row>
    <row r="49" spans="2:93" s="126" customFormat="1" x14ac:dyDescent="0.15">
      <c r="C49" s="126" t="s">
        <v>226</v>
      </c>
      <c r="D49" s="127" t="e">
        <f ca="1">INDEX($C$5:$C$39,findcellcontaining("*",D5:D39))</f>
        <v>#NAME?</v>
      </c>
      <c r="E49" s="127" t="e">
        <f ca="1">INDEX($C$5:$C$39,findcellcontaining("*",E5:E39))</f>
        <v>#NAME?</v>
      </c>
      <c r="F49" s="127" t="e">
        <f ca="1">INDEX($C$5:$C$39,findcellcontaining("*",F5:F39))</f>
        <v>#NAME?</v>
      </c>
      <c r="G49" s="127" t="e">
        <f ca="1">INDEX($C$5:$C$39,findcellcontaining("*",G5:G39))</f>
        <v>#NAME?</v>
      </c>
      <c r="H49" s="127" t="e">
        <f ca="1">INDEX($C$5:$C$39,findcellcontaining("*",H5:H39))</f>
        <v>#NAME?</v>
      </c>
      <c r="I49" s="127" t="e">
        <f ca="1">INDEX($C$5:$C$39,findcellcontaining("*",I5:I39))</f>
        <v>#NAME?</v>
      </c>
      <c r="J49" s="127" t="e">
        <f ca="1">INDEX($C$5:$C$39,findcellcontaining("*",J5:J39))</f>
        <v>#NAME?</v>
      </c>
      <c r="K49" s="127" t="e">
        <f ca="1">INDEX($C$5:$C$39,findcellcontaining("*",K5:K39))</f>
        <v>#NAME?</v>
      </c>
      <c r="L49" s="127" t="e">
        <f ca="1">INDEX($C$5:$C$39,findcellcontaining("*",L5:L39))</f>
        <v>#NAME?</v>
      </c>
      <c r="M49" s="127" t="e">
        <f ca="1">INDEX($C$5:$C$39,findcellcontaining("*",M5:M39))</f>
        <v>#NAME?</v>
      </c>
      <c r="N49" s="127" t="e">
        <f ca="1">INDEX($C$5:$C$39,findcellcontaining("*",N5:N39))</f>
        <v>#NAME?</v>
      </c>
      <c r="O49" s="127" t="e">
        <f ca="1">INDEX($C$5:$C$39,findcellcontaining("*",O5:O39))</f>
        <v>#NAME?</v>
      </c>
      <c r="P49" s="127" t="e">
        <f ca="1">INDEX($C$5:$C$39,findcellcontaining("*",P5:P39))</f>
        <v>#NAME?</v>
      </c>
      <c r="Q49" s="127" t="e">
        <f ca="1">INDEX($C$5:$C$39,findcellcontaining("*",Q5:Q39))</f>
        <v>#NAME?</v>
      </c>
      <c r="R49" s="127" t="e">
        <f ca="1">INDEX($C$5:$C$39,findcellcontaining("*",R5:R39))</f>
        <v>#NAME?</v>
      </c>
      <c r="S49" s="127" t="e">
        <f ca="1">INDEX($C$5:$C$39,findcellcontaining("*",S5:S39))</f>
        <v>#NAME?</v>
      </c>
      <c r="T49" s="127" t="e">
        <f ca="1">INDEX($C$5:$C$39,findcellcontaining("*",T5:T39))</f>
        <v>#NAME?</v>
      </c>
      <c r="U49" s="127" t="e">
        <f ca="1">INDEX($C$5:$C$39,findcellcontaining("*",U5:U39))</f>
        <v>#NAME?</v>
      </c>
      <c r="V49" s="127" t="e">
        <f ca="1">INDEX($C$5:$C$39,findcellcontaining("*",V5:V39))</f>
        <v>#NAME?</v>
      </c>
      <c r="W49" s="127" t="e">
        <f ca="1">INDEX($C$5:$C$39,findcellcontaining("*",W5:W39))</f>
        <v>#NAME?</v>
      </c>
      <c r="X49" s="127" t="e">
        <f ca="1">INDEX($C$5:$C$39,findcellcontaining("*",X5:X39))</f>
        <v>#NAME?</v>
      </c>
      <c r="Y49" s="127" t="e">
        <f ca="1">INDEX($C$5:$C$39,findcellcontaining("*",Y5:Y39))</f>
        <v>#NAME?</v>
      </c>
      <c r="Z49" s="127" t="e">
        <f ca="1">INDEX($C$5:$C$39,findcellcontaining("*",Z5:Z39))</f>
        <v>#NAME?</v>
      </c>
      <c r="AA49" s="127" t="e">
        <f ca="1">INDEX($C$5:$C$39,findcellcontaining("*",AA5:AA39))</f>
        <v>#NAME?</v>
      </c>
      <c r="AB49" s="127" t="e">
        <f ca="1">INDEX($C$5:$C$39,findcellcontaining("*",AB5:AB39))</f>
        <v>#NAME?</v>
      </c>
      <c r="AC49" s="127" t="e">
        <f ca="1">INDEX($C$5:$C$39,findcellcontaining("*",AC5:AC39))</f>
        <v>#NAME?</v>
      </c>
      <c r="AD49" s="127" t="e">
        <f ca="1">INDEX($C$5:$C$39,findcellcontaining("*",AD5:AD39))</f>
        <v>#NAME?</v>
      </c>
      <c r="AE49" s="127" t="e">
        <f ca="1">INDEX($C$5:$C$39,findcellcontaining("*",AE5:AE39))</f>
        <v>#NAME?</v>
      </c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L49" s="128"/>
    </row>
    <row r="50" spans="2:93" s="126" customFormat="1" x14ac:dyDescent="0.15">
      <c r="C50" s="130"/>
      <c r="CL50" s="128"/>
      <c r="CO50" s="129"/>
    </row>
    <row r="51" spans="2:93" s="126" customFormat="1" x14ac:dyDescent="0.15">
      <c r="B51" s="126" t="e">
        <f ca="1">MAX(D51:AE51)</f>
        <v>#NAME?</v>
      </c>
      <c r="C51" s="126" t="s">
        <v>23</v>
      </c>
      <c r="D51" s="126" t="e">
        <f ca="1">BatSplit(D5:D39,Sixes)</f>
        <v>#NAME?</v>
      </c>
      <c r="E51" s="126" t="e">
        <f t="shared" ref="E51:AE51" ca="1" si="94">BatSplit(E5:E39,Sixes)</f>
        <v>#NAME?</v>
      </c>
      <c r="F51" s="126" t="e">
        <f t="shared" ca="1" si="94"/>
        <v>#NAME?</v>
      </c>
      <c r="G51" s="126" t="e">
        <f t="shared" ca="1" si="94"/>
        <v>#NAME?</v>
      </c>
      <c r="H51" s="126" t="e">
        <f t="shared" ca="1" si="94"/>
        <v>#NAME?</v>
      </c>
      <c r="I51" s="126" t="e">
        <f t="shared" ca="1" si="94"/>
        <v>#NAME?</v>
      </c>
      <c r="J51" s="126" t="e">
        <f t="shared" ca="1" si="94"/>
        <v>#NAME?</v>
      </c>
      <c r="K51" s="126" t="e">
        <f t="shared" ca="1" si="94"/>
        <v>#NAME?</v>
      </c>
      <c r="L51" s="126" t="e">
        <f t="shared" ca="1" si="94"/>
        <v>#NAME?</v>
      </c>
      <c r="M51" s="126" t="e">
        <f t="shared" ca="1" si="94"/>
        <v>#NAME?</v>
      </c>
      <c r="N51" s="126" t="e">
        <f t="shared" ca="1" si="94"/>
        <v>#NAME?</v>
      </c>
      <c r="O51" s="126" t="e">
        <f t="shared" ca="1" si="94"/>
        <v>#NAME?</v>
      </c>
      <c r="P51" s="126" t="e">
        <f t="shared" ca="1" si="94"/>
        <v>#NAME?</v>
      </c>
      <c r="Q51" s="126" t="e">
        <f t="shared" ca="1" si="94"/>
        <v>#NAME?</v>
      </c>
      <c r="R51" s="126" t="e">
        <f t="shared" ca="1" si="94"/>
        <v>#NAME?</v>
      </c>
      <c r="S51" s="126" t="e">
        <f t="shared" ca="1" si="94"/>
        <v>#NAME?</v>
      </c>
      <c r="T51" s="126" t="e">
        <f t="shared" ca="1" si="94"/>
        <v>#NAME?</v>
      </c>
      <c r="U51" s="126" t="e">
        <f t="shared" ca="1" si="94"/>
        <v>#NAME?</v>
      </c>
      <c r="V51" s="126" t="e">
        <f t="shared" ca="1" si="94"/>
        <v>#NAME?</v>
      </c>
      <c r="W51" s="126" t="e">
        <f t="shared" ca="1" si="94"/>
        <v>#NAME?</v>
      </c>
      <c r="X51" s="126" t="e">
        <f t="shared" ca="1" si="94"/>
        <v>#NAME?</v>
      </c>
      <c r="Y51" s="126" t="e">
        <f t="shared" ca="1" si="94"/>
        <v>#NAME?</v>
      </c>
      <c r="Z51" s="126" t="e">
        <f t="shared" ca="1" si="94"/>
        <v>#NAME?</v>
      </c>
      <c r="AA51" s="126" t="e">
        <f t="shared" ca="1" si="94"/>
        <v>#NAME?</v>
      </c>
      <c r="AB51" s="126" t="e">
        <f t="shared" ca="1" si="94"/>
        <v>#NAME?</v>
      </c>
      <c r="AC51" s="126" t="e">
        <f t="shared" ca="1" si="94"/>
        <v>#NAME?</v>
      </c>
      <c r="AD51" s="126" t="e">
        <f t="shared" ca="1" si="94"/>
        <v>#NAME?</v>
      </c>
      <c r="AE51" s="126" t="e">
        <f t="shared" ca="1" si="94"/>
        <v>#NAME?</v>
      </c>
      <c r="CL51" s="128"/>
    </row>
    <row r="52" spans="2:93" s="126" customFormat="1" x14ac:dyDescent="0.15">
      <c r="B52" s="126" t="e">
        <f ca="1">MAX(D52:AE52)</f>
        <v>#NAME?</v>
      </c>
      <c r="C52" s="126" t="s">
        <v>22</v>
      </c>
      <c r="D52" s="126" t="e">
        <f ca="1">BatSplit(D5:D39,Fours)</f>
        <v>#NAME?</v>
      </c>
      <c r="E52" s="126" t="e">
        <f t="shared" ref="E52:AE52" ca="1" si="95">BatSplit(E5:E39,Fours)</f>
        <v>#NAME?</v>
      </c>
      <c r="F52" s="126" t="e">
        <f t="shared" ca="1" si="95"/>
        <v>#NAME?</v>
      </c>
      <c r="G52" s="126" t="e">
        <f t="shared" ca="1" si="95"/>
        <v>#NAME?</v>
      </c>
      <c r="H52" s="126" t="e">
        <f t="shared" ca="1" si="95"/>
        <v>#NAME?</v>
      </c>
      <c r="I52" s="126" t="e">
        <f t="shared" ca="1" si="95"/>
        <v>#NAME?</v>
      </c>
      <c r="J52" s="126" t="e">
        <f t="shared" ca="1" si="95"/>
        <v>#NAME?</v>
      </c>
      <c r="K52" s="126" t="e">
        <f t="shared" ca="1" si="95"/>
        <v>#NAME?</v>
      </c>
      <c r="L52" s="126" t="e">
        <f t="shared" ca="1" si="95"/>
        <v>#NAME?</v>
      </c>
      <c r="M52" s="126" t="e">
        <f t="shared" ca="1" si="95"/>
        <v>#NAME?</v>
      </c>
      <c r="N52" s="126" t="e">
        <f t="shared" ca="1" si="95"/>
        <v>#NAME?</v>
      </c>
      <c r="O52" s="126" t="e">
        <f t="shared" ca="1" si="95"/>
        <v>#NAME?</v>
      </c>
      <c r="P52" s="126" t="e">
        <f t="shared" ca="1" si="95"/>
        <v>#NAME?</v>
      </c>
      <c r="Q52" s="126" t="e">
        <f t="shared" ca="1" si="95"/>
        <v>#NAME?</v>
      </c>
      <c r="R52" s="126" t="e">
        <f t="shared" ca="1" si="95"/>
        <v>#NAME?</v>
      </c>
      <c r="S52" s="126" t="e">
        <f t="shared" ca="1" si="95"/>
        <v>#NAME?</v>
      </c>
      <c r="T52" s="126" t="e">
        <f t="shared" ca="1" si="95"/>
        <v>#NAME?</v>
      </c>
      <c r="U52" s="126" t="e">
        <f t="shared" ca="1" si="95"/>
        <v>#NAME?</v>
      </c>
      <c r="V52" s="126" t="e">
        <f t="shared" ca="1" si="95"/>
        <v>#NAME?</v>
      </c>
      <c r="W52" s="126" t="e">
        <f t="shared" ca="1" si="95"/>
        <v>#NAME?</v>
      </c>
      <c r="X52" s="126" t="e">
        <f t="shared" ca="1" si="95"/>
        <v>#NAME?</v>
      </c>
      <c r="Y52" s="126" t="e">
        <f t="shared" ca="1" si="95"/>
        <v>#NAME?</v>
      </c>
      <c r="Z52" s="126" t="e">
        <f t="shared" ca="1" si="95"/>
        <v>#NAME?</v>
      </c>
      <c r="AA52" s="126" t="e">
        <f t="shared" ca="1" si="95"/>
        <v>#NAME?</v>
      </c>
      <c r="AB52" s="126" t="e">
        <f t="shared" ca="1" si="95"/>
        <v>#NAME?</v>
      </c>
      <c r="AC52" s="126" t="e">
        <f t="shared" ca="1" si="95"/>
        <v>#NAME?</v>
      </c>
      <c r="AD52" s="126" t="e">
        <f t="shared" ca="1" si="95"/>
        <v>#NAME?</v>
      </c>
      <c r="AE52" s="126" t="e">
        <f t="shared" ca="1" si="95"/>
        <v>#NAME?</v>
      </c>
      <c r="CL52" s="128"/>
    </row>
    <row r="53" spans="2:93" s="126" customFormat="1" x14ac:dyDescent="0.15">
      <c r="CL53" s="128"/>
    </row>
    <row r="54" spans="2:93" s="126" customFormat="1" x14ac:dyDescent="0.15">
      <c r="C54" s="156" t="s">
        <v>707</v>
      </c>
      <c r="D54" s="126" t="e">
        <f t="shared" ref="D54:Z54" ca="1" si="96">BatSplit(D5:D39,HighestScore)</f>
        <v>#NAME?</v>
      </c>
      <c r="E54" s="126" t="e">
        <f t="shared" ca="1" si="96"/>
        <v>#NAME?</v>
      </c>
      <c r="F54" s="126" t="e">
        <f t="shared" ca="1" si="96"/>
        <v>#NAME?</v>
      </c>
      <c r="G54" s="126" t="e">
        <f t="shared" ca="1" si="96"/>
        <v>#NAME?</v>
      </c>
      <c r="H54" s="126" t="e">
        <f t="shared" ca="1" si="96"/>
        <v>#NAME?</v>
      </c>
      <c r="I54" s="126" t="e">
        <f t="shared" ca="1" si="96"/>
        <v>#NAME?</v>
      </c>
      <c r="J54" s="126" t="e">
        <f t="shared" ca="1" si="96"/>
        <v>#NAME?</v>
      </c>
      <c r="K54" s="126" t="e">
        <f t="shared" ca="1" si="96"/>
        <v>#NAME?</v>
      </c>
      <c r="L54" s="126" t="e">
        <f t="shared" ca="1" si="96"/>
        <v>#NAME?</v>
      </c>
      <c r="M54" s="126" t="e">
        <f t="shared" ca="1" si="96"/>
        <v>#NAME?</v>
      </c>
      <c r="N54" s="126" t="e">
        <f t="shared" ca="1" si="96"/>
        <v>#NAME?</v>
      </c>
      <c r="O54" s="126" t="e">
        <f t="shared" ca="1" si="96"/>
        <v>#NAME?</v>
      </c>
      <c r="P54" s="126" t="e">
        <f t="shared" ca="1" si="96"/>
        <v>#NAME?</v>
      </c>
      <c r="Q54" s="126" t="e">
        <f t="shared" ca="1" si="96"/>
        <v>#NAME?</v>
      </c>
      <c r="R54" s="126" t="e">
        <f t="shared" ca="1" si="96"/>
        <v>#NAME?</v>
      </c>
      <c r="S54" s="126" t="e">
        <f t="shared" ca="1" si="96"/>
        <v>#NAME?</v>
      </c>
      <c r="T54" s="126" t="e">
        <f t="shared" ca="1" si="96"/>
        <v>#NAME?</v>
      </c>
      <c r="U54" s="126" t="e">
        <f t="shared" ca="1" si="96"/>
        <v>#NAME?</v>
      </c>
      <c r="V54" s="126" t="e">
        <f t="shared" ca="1" si="96"/>
        <v>#NAME?</v>
      </c>
      <c r="W54" s="126" t="e">
        <f t="shared" ca="1" si="96"/>
        <v>#NAME?</v>
      </c>
      <c r="X54" s="126" t="e">
        <f t="shared" ca="1" si="96"/>
        <v>#NAME?</v>
      </c>
      <c r="Y54" s="126" t="e">
        <f t="shared" ca="1" si="96"/>
        <v>#NAME?</v>
      </c>
      <c r="Z54" s="126" t="e">
        <f t="shared" ca="1" si="96"/>
        <v>#NAME?</v>
      </c>
      <c r="CL54" s="128"/>
    </row>
    <row r="55" spans="2:93" s="126" customFormat="1" x14ac:dyDescent="0.15">
      <c r="C55" s="156"/>
      <c r="CL55" s="128"/>
    </row>
    <row r="56" spans="2:93" s="126" customFormat="1" x14ac:dyDescent="0.15">
      <c r="D56" s="126" t="e">
        <f t="shared" ref="D56:Z56" ca="1" si="97">IF(BatSplit(D5,RunsScored)&gt;=50,BatSplit(D5,RunsScored)&amp;IF(BatSplit(D5,NotOuts)=1,"*","")&amp;"|"&amp;$C5&amp;"|"&amp;D$2&amp;"|"&amp;TEXT(D$1,"dd-mmm"),"x")</f>
        <v>#NAME?</v>
      </c>
      <c r="E56" s="126" t="e">
        <f t="shared" ca="1" si="97"/>
        <v>#NAME?</v>
      </c>
      <c r="F56" s="126" t="e">
        <f t="shared" ca="1" si="97"/>
        <v>#NAME?</v>
      </c>
      <c r="G56" s="126" t="e">
        <f t="shared" ca="1" si="97"/>
        <v>#NAME?</v>
      </c>
      <c r="H56" s="126" t="e">
        <f t="shared" ca="1" si="97"/>
        <v>#NAME?</v>
      </c>
      <c r="I56" s="126" t="e">
        <f t="shared" ca="1" si="97"/>
        <v>#NAME?</v>
      </c>
      <c r="J56" s="126" t="e">
        <f t="shared" ca="1" si="97"/>
        <v>#NAME?</v>
      </c>
      <c r="K56" s="126" t="e">
        <f t="shared" ca="1" si="97"/>
        <v>#NAME?</v>
      </c>
      <c r="L56" s="126" t="e">
        <f t="shared" ca="1" si="97"/>
        <v>#NAME?</v>
      </c>
      <c r="M56" s="126" t="e">
        <f t="shared" ca="1" si="97"/>
        <v>#NAME?</v>
      </c>
      <c r="N56" s="126" t="e">
        <f t="shared" ca="1" si="97"/>
        <v>#NAME?</v>
      </c>
      <c r="O56" s="126" t="e">
        <f t="shared" ca="1" si="97"/>
        <v>#NAME?</v>
      </c>
      <c r="P56" s="126" t="e">
        <f t="shared" ca="1" si="97"/>
        <v>#NAME?</v>
      </c>
      <c r="Q56" s="126" t="e">
        <f t="shared" ca="1" si="97"/>
        <v>#NAME?</v>
      </c>
      <c r="R56" s="126" t="e">
        <f t="shared" ca="1" si="97"/>
        <v>#NAME?</v>
      </c>
      <c r="S56" s="126" t="e">
        <f t="shared" ca="1" si="97"/>
        <v>#NAME?</v>
      </c>
      <c r="T56" s="126" t="e">
        <f t="shared" ca="1" si="97"/>
        <v>#NAME?</v>
      </c>
      <c r="U56" s="126" t="e">
        <f t="shared" ca="1" si="97"/>
        <v>#NAME?</v>
      </c>
      <c r="V56" s="126" t="e">
        <f t="shared" ca="1" si="97"/>
        <v>#NAME?</v>
      </c>
      <c r="W56" s="126" t="e">
        <f t="shared" ca="1" si="97"/>
        <v>#NAME?</v>
      </c>
      <c r="X56" s="126" t="e">
        <f t="shared" ca="1" si="97"/>
        <v>#NAME?</v>
      </c>
      <c r="Y56" s="126" t="e">
        <f t="shared" ca="1" si="97"/>
        <v>#NAME?</v>
      </c>
      <c r="Z56" s="126" t="e">
        <f t="shared" ca="1" si="97"/>
        <v>#NAME?</v>
      </c>
      <c r="CL56" s="128"/>
    </row>
    <row r="57" spans="2:93" s="126" customFormat="1" x14ac:dyDescent="0.15">
      <c r="D57" s="126" t="e">
        <f t="shared" ref="D57:Z57" ca="1" si="98">IF(BatSplit(D6,RunsScored)&gt;=50,BatSplit(D6,RunsScored)&amp;IF(BatSplit(D6,NotOuts)=1,"*","")&amp;"|"&amp;$C6&amp;"|"&amp;D$2&amp;"|"&amp;TEXT(D$1,"dd-mmm"),"x")</f>
        <v>#NAME?</v>
      </c>
      <c r="E57" s="126" t="e">
        <f t="shared" ca="1" si="98"/>
        <v>#NAME?</v>
      </c>
      <c r="F57" s="126" t="e">
        <f t="shared" ca="1" si="98"/>
        <v>#NAME?</v>
      </c>
      <c r="G57" s="126" t="e">
        <f t="shared" ca="1" si="98"/>
        <v>#NAME?</v>
      </c>
      <c r="H57" s="126" t="e">
        <f t="shared" ca="1" si="98"/>
        <v>#NAME?</v>
      </c>
      <c r="I57" s="126" t="e">
        <f t="shared" ca="1" si="98"/>
        <v>#NAME?</v>
      </c>
      <c r="J57" s="126" t="e">
        <f t="shared" ca="1" si="98"/>
        <v>#NAME?</v>
      </c>
      <c r="K57" s="126" t="e">
        <f t="shared" ca="1" si="98"/>
        <v>#NAME?</v>
      </c>
      <c r="L57" s="126" t="e">
        <f t="shared" ca="1" si="98"/>
        <v>#NAME?</v>
      </c>
      <c r="M57" s="126" t="e">
        <f t="shared" ca="1" si="98"/>
        <v>#NAME?</v>
      </c>
      <c r="N57" s="126" t="e">
        <f t="shared" ca="1" si="98"/>
        <v>#NAME?</v>
      </c>
      <c r="O57" s="126" t="e">
        <f t="shared" ca="1" si="98"/>
        <v>#NAME?</v>
      </c>
      <c r="P57" s="126" t="e">
        <f t="shared" ca="1" si="98"/>
        <v>#NAME?</v>
      </c>
      <c r="Q57" s="126" t="e">
        <f t="shared" ca="1" si="98"/>
        <v>#NAME?</v>
      </c>
      <c r="R57" s="126" t="e">
        <f t="shared" ca="1" si="98"/>
        <v>#NAME?</v>
      </c>
      <c r="S57" s="126" t="e">
        <f t="shared" ca="1" si="98"/>
        <v>#NAME?</v>
      </c>
      <c r="T57" s="126" t="e">
        <f t="shared" ca="1" si="98"/>
        <v>#NAME?</v>
      </c>
      <c r="U57" s="126" t="e">
        <f t="shared" ca="1" si="98"/>
        <v>#NAME?</v>
      </c>
      <c r="V57" s="126" t="e">
        <f t="shared" ca="1" si="98"/>
        <v>#NAME?</v>
      </c>
      <c r="W57" s="126" t="e">
        <f t="shared" ca="1" si="98"/>
        <v>#NAME?</v>
      </c>
      <c r="X57" s="126" t="e">
        <f t="shared" ca="1" si="98"/>
        <v>#NAME?</v>
      </c>
      <c r="Y57" s="126" t="e">
        <f t="shared" ca="1" si="98"/>
        <v>#NAME?</v>
      </c>
      <c r="Z57" s="126" t="e">
        <f t="shared" ca="1" si="98"/>
        <v>#NAME?</v>
      </c>
      <c r="CL57" s="128"/>
    </row>
    <row r="58" spans="2:93" s="126" customFormat="1" x14ac:dyDescent="0.15">
      <c r="D58" s="126" t="e">
        <f t="shared" ref="D58:Z58" ca="1" si="99">IF(BatSplit(D7,RunsScored)&gt;=50,BatSplit(D7,RunsScored)&amp;IF(BatSplit(D7,NotOuts)=1,"*","")&amp;"|"&amp;$C7&amp;"|"&amp;D$2&amp;"|"&amp;TEXT(D$1,"dd-mmm"),"x")</f>
        <v>#NAME?</v>
      </c>
      <c r="E58" s="126" t="e">
        <f t="shared" ca="1" si="99"/>
        <v>#NAME?</v>
      </c>
      <c r="F58" s="126" t="e">
        <f t="shared" ca="1" si="99"/>
        <v>#NAME?</v>
      </c>
      <c r="G58" s="126" t="e">
        <f t="shared" ca="1" si="99"/>
        <v>#NAME?</v>
      </c>
      <c r="H58" s="126" t="e">
        <f t="shared" ca="1" si="99"/>
        <v>#NAME?</v>
      </c>
      <c r="I58" s="126" t="e">
        <f t="shared" ca="1" si="99"/>
        <v>#NAME?</v>
      </c>
      <c r="J58" s="126" t="e">
        <f t="shared" ca="1" si="99"/>
        <v>#NAME?</v>
      </c>
      <c r="K58" s="126" t="e">
        <f t="shared" ca="1" si="99"/>
        <v>#NAME?</v>
      </c>
      <c r="L58" s="126" t="e">
        <f t="shared" ca="1" si="99"/>
        <v>#NAME?</v>
      </c>
      <c r="M58" s="126" t="e">
        <f t="shared" ca="1" si="99"/>
        <v>#NAME?</v>
      </c>
      <c r="N58" s="126" t="e">
        <f t="shared" ca="1" si="99"/>
        <v>#NAME?</v>
      </c>
      <c r="O58" s="126" t="e">
        <f t="shared" ca="1" si="99"/>
        <v>#NAME?</v>
      </c>
      <c r="P58" s="126" t="e">
        <f t="shared" ca="1" si="99"/>
        <v>#NAME?</v>
      </c>
      <c r="Q58" s="126" t="e">
        <f t="shared" ca="1" si="99"/>
        <v>#NAME?</v>
      </c>
      <c r="R58" s="126" t="e">
        <f t="shared" ca="1" si="99"/>
        <v>#NAME?</v>
      </c>
      <c r="S58" s="126" t="e">
        <f t="shared" ca="1" si="99"/>
        <v>#NAME?</v>
      </c>
      <c r="T58" s="126" t="e">
        <f t="shared" ca="1" si="99"/>
        <v>#NAME?</v>
      </c>
      <c r="U58" s="126" t="e">
        <f t="shared" ca="1" si="99"/>
        <v>#NAME?</v>
      </c>
      <c r="V58" s="126" t="e">
        <f t="shared" ca="1" si="99"/>
        <v>#NAME?</v>
      </c>
      <c r="W58" s="126" t="e">
        <f t="shared" ca="1" si="99"/>
        <v>#NAME?</v>
      </c>
      <c r="X58" s="126" t="e">
        <f t="shared" ca="1" si="99"/>
        <v>#NAME?</v>
      </c>
      <c r="Y58" s="126" t="e">
        <f t="shared" ca="1" si="99"/>
        <v>#NAME?</v>
      </c>
      <c r="Z58" s="126" t="e">
        <f t="shared" ca="1" si="99"/>
        <v>#NAME?</v>
      </c>
      <c r="CL58" s="128"/>
    </row>
    <row r="59" spans="2:93" s="126" customFormat="1" x14ac:dyDescent="0.15">
      <c r="D59" s="126" t="e">
        <f t="shared" ref="D59:Z59" ca="1" si="100">IF(BatSplit(D8,RunsScored)&gt;=50,BatSplit(D8,RunsScored)&amp;IF(BatSplit(D8,NotOuts)=1,"*","")&amp;"|"&amp;$C8&amp;"|"&amp;D$2&amp;"|"&amp;TEXT(D$1,"dd-mmm"),"x")</f>
        <v>#NAME?</v>
      </c>
      <c r="E59" s="126" t="e">
        <f t="shared" ca="1" si="100"/>
        <v>#NAME?</v>
      </c>
      <c r="F59" s="126" t="e">
        <f t="shared" ca="1" si="100"/>
        <v>#NAME?</v>
      </c>
      <c r="G59" s="126" t="e">
        <f t="shared" ca="1" si="100"/>
        <v>#NAME?</v>
      </c>
      <c r="H59" s="126" t="e">
        <f t="shared" ca="1" si="100"/>
        <v>#NAME?</v>
      </c>
      <c r="I59" s="126" t="e">
        <f t="shared" ca="1" si="100"/>
        <v>#NAME?</v>
      </c>
      <c r="J59" s="126" t="e">
        <f t="shared" ca="1" si="100"/>
        <v>#NAME?</v>
      </c>
      <c r="K59" s="126" t="e">
        <f t="shared" ca="1" si="100"/>
        <v>#NAME?</v>
      </c>
      <c r="L59" s="126" t="e">
        <f t="shared" ca="1" si="100"/>
        <v>#NAME?</v>
      </c>
      <c r="M59" s="126" t="e">
        <f t="shared" ca="1" si="100"/>
        <v>#NAME?</v>
      </c>
      <c r="N59" s="126" t="e">
        <f t="shared" ca="1" si="100"/>
        <v>#NAME?</v>
      </c>
      <c r="O59" s="126" t="e">
        <f t="shared" ca="1" si="100"/>
        <v>#NAME?</v>
      </c>
      <c r="P59" s="126" t="e">
        <f t="shared" ca="1" si="100"/>
        <v>#NAME?</v>
      </c>
      <c r="Q59" s="126" t="e">
        <f t="shared" ca="1" si="100"/>
        <v>#NAME?</v>
      </c>
      <c r="R59" s="126" t="e">
        <f t="shared" ca="1" si="100"/>
        <v>#NAME?</v>
      </c>
      <c r="S59" s="126" t="e">
        <f t="shared" ca="1" si="100"/>
        <v>#NAME?</v>
      </c>
      <c r="T59" s="126" t="e">
        <f t="shared" ca="1" si="100"/>
        <v>#NAME?</v>
      </c>
      <c r="U59" s="126" t="e">
        <f t="shared" ca="1" si="100"/>
        <v>#NAME?</v>
      </c>
      <c r="V59" s="126" t="e">
        <f t="shared" ca="1" si="100"/>
        <v>#NAME?</v>
      </c>
      <c r="W59" s="126" t="e">
        <f t="shared" ca="1" si="100"/>
        <v>#NAME?</v>
      </c>
      <c r="X59" s="126" t="e">
        <f t="shared" ca="1" si="100"/>
        <v>#NAME?</v>
      </c>
      <c r="Y59" s="126" t="e">
        <f t="shared" ca="1" si="100"/>
        <v>#NAME?</v>
      </c>
      <c r="Z59" s="126" t="e">
        <f t="shared" ca="1" si="100"/>
        <v>#NAME?</v>
      </c>
      <c r="CL59" s="128"/>
    </row>
    <row r="60" spans="2:93" s="126" customFormat="1" x14ac:dyDescent="0.15">
      <c r="D60" s="126" t="e">
        <f t="shared" ref="D60:Z60" ca="1" si="101">IF(BatSplit(D9,RunsScored)&gt;=50,BatSplit(D9,RunsScored)&amp;IF(BatSplit(D9,NotOuts)=1,"*","")&amp;"|"&amp;$C9&amp;"|"&amp;D$2&amp;"|"&amp;TEXT(D$1,"dd-mmm"),"x")</f>
        <v>#NAME?</v>
      </c>
      <c r="E60" s="126" t="e">
        <f t="shared" ca="1" si="101"/>
        <v>#NAME?</v>
      </c>
      <c r="F60" s="126" t="e">
        <f t="shared" ca="1" si="101"/>
        <v>#NAME?</v>
      </c>
      <c r="G60" s="126" t="e">
        <f t="shared" ca="1" si="101"/>
        <v>#NAME?</v>
      </c>
      <c r="H60" s="126" t="e">
        <f t="shared" ca="1" si="101"/>
        <v>#NAME?</v>
      </c>
      <c r="I60" s="126" t="e">
        <f t="shared" ca="1" si="101"/>
        <v>#NAME?</v>
      </c>
      <c r="J60" s="126" t="e">
        <f t="shared" ca="1" si="101"/>
        <v>#NAME?</v>
      </c>
      <c r="K60" s="126" t="e">
        <f t="shared" ca="1" si="101"/>
        <v>#NAME?</v>
      </c>
      <c r="L60" s="126" t="e">
        <f t="shared" ca="1" si="101"/>
        <v>#NAME?</v>
      </c>
      <c r="M60" s="126" t="e">
        <f t="shared" ca="1" si="101"/>
        <v>#NAME?</v>
      </c>
      <c r="N60" s="126" t="e">
        <f t="shared" ca="1" si="101"/>
        <v>#NAME?</v>
      </c>
      <c r="O60" s="126" t="e">
        <f t="shared" ca="1" si="101"/>
        <v>#NAME?</v>
      </c>
      <c r="P60" s="126" t="e">
        <f t="shared" ca="1" si="101"/>
        <v>#NAME?</v>
      </c>
      <c r="Q60" s="126" t="e">
        <f t="shared" ca="1" si="101"/>
        <v>#NAME?</v>
      </c>
      <c r="R60" s="126" t="e">
        <f t="shared" ca="1" si="101"/>
        <v>#NAME?</v>
      </c>
      <c r="S60" s="126" t="e">
        <f t="shared" ca="1" si="101"/>
        <v>#NAME?</v>
      </c>
      <c r="T60" s="126" t="e">
        <f t="shared" ca="1" si="101"/>
        <v>#NAME?</v>
      </c>
      <c r="U60" s="126" t="e">
        <f t="shared" ca="1" si="101"/>
        <v>#NAME?</v>
      </c>
      <c r="V60" s="126" t="e">
        <f t="shared" ca="1" si="101"/>
        <v>#NAME?</v>
      </c>
      <c r="W60" s="126" t="e">
        <f t="shared" ca="1" si="101"/>
        <v>#NAME?</v>
      </c>
      <c r="X60" s="126" t="e">
        <f t="shared" ca="1" si="101"/>
        <v>#NAME?</v>
      </c>
      <c r="Y60" s="126" t="e">
        <f t="shared" ca="1" si="101"/>
        <v>#NAME?</v>
      </c>
      <c r="Z60" s="126" t="e">
        <f t="shared" ca="1" si="101"/>
        <v>#NAME?</v>
      </c>
      <c r="CL60" s="128"/>
    </row>
    <row r="61" spans="2:93" customFormat="1" x14ac:dyDescent="0.15">
      <c r="D61" s="126" t="e">
        <f t="shared" ref="D61:Z61" ca="1" si="102">IF(BatSplit(D10,RunsScored)&gt;=50,BatSplit(D10,RunsScored)&amp;IF(BatSplit(D10,NotOuts)=1,"*","")&amp;"|"&amp;$C10&amp;"|"&amp;D$2&amp;"|"&amp;TEXT(D$1,"dd-mmm"),"x")</f>
        <v>#NAME?</v>
      </c>
      <c r="E61" s="126" t="e">
        <f t="shared" ca="1" si="102"/>
        <v>#NAME?</v>
      </c>
      <c r="F61" s="126" t="e">
        <f t="shared" ca="1" si="102"/>
        <v>#NAME?</v>
      </c>
      <c r="G61" s="126" t="e">
        <f t="shared" ca="1" si="102"/>
        <v>#NAME?</v>
      </c>
      <c r="H61" s="126" t="e">
        <f t="shared" ca="1" si="102"/>
        <v>#NAME?</v>
      </c>
      <c r="I61" s="126" t="e">
        <f t="shared" ca="1" si="102"/>
        <v>#NAME?</v>
      </c>
      <c r="J61" s="126" t="e">
        <f t="shared" ca="1" si="102"/>
        <v>#NAME?</v>
      </c>
      <c r="K61" s="126" t="e">
        <f t="shared" ca="1" si="102"/>
        <v>#NAME?</v>
      </c>
      <c r="L61" s="126" t="e">
        <f t="shared" ca="1" si="102"/>
        <v>#NAME?</v>
      </c>
      <c r="M61" s="126" t="e">
        <f t="shared" ca="1" si="102"/>
        <v>#NAME?</v>
      </c>
      <c r="N61" s="126" t="e">
        <f t="shared" ca="1" si="102"/>
        <v>#NAME?</v>
      </c>
      <c r="O61" s="126" t="e">
        <f t="shared" ca="1" si="102"/>
        <v>#NAME?</v>
      </c>
      <c r="P61" s="126" t="e">
        <f t="shared" ca="1" si="102"/>
        <v>#NAME?</v>
      </c>
      <c r="Q61" s="126" t="e">
        <f t="shared" ca="1" si="102"/>
        <v>#NAME?</v>
      </c>
      <c r="R61" s="126" t="e">
        <f t="shared" ca="1" si="102"/>
        <v>#NAME?</v>
      </c>
      <c r="S61" s="126" t="e">
        <f t="shared" ca="1" si="102"/>
        <v>#NAME?</v>
      </c>
      <c r="T61" s="126" t="e">
        <f t="shared" ca="1" si="102"/>
        <v>#NAME?</v>
      </c>
      <c r="U61" s="126" t="e">
        <f t="shared" ca="1" si="102"/>
        <v>#NAME?</v>
      </c>
      <c r="V61" s="126" t="e">
        <f t="shared" ca="1" si="102"/>
        <v>#NAME?</v>
      </c>
      <c r="W61" s="126" t="e">
        <f t="shared" ca="1" si="102"/>
        <v>#NAME?</v>
      </c>
      <c r="X61" s="126" t="e">
        <f t="shared" ca="1" si="102"/>
        <v>#NAME?</v>
      </c>
      <c r="Y61" s="126" t="e">
        <f t="shared" ca="1" si="102"/>
        <v>#NAME?</v>
      </c>
      <c r="Z61" s="126" t="e">
        <f t="shared" ca="1" si="102"/>
        <v>#NAME?</v>
      </c>
    </row>
    <row r="62" spans="2:93" customFormat="1" x14ac:dyDescent="0.15">
      <c r="D62" s="126" t="e">
        <f t="shared" ref="D62:Z62" ca="1" si="103">IF(BatSplit(D11,RunsScored)&gt;=50,BatSplit(D11,RunsScored)&amp;IF(BatSplit(D11,NotOuts)=1,"*","")&amp;"|"&amp;$C11&amp;"|"&amp;D$2&amp;"|"&amp;TEXT(D$1,"dd-mmm"),"x")</f>
        <v>#NAME?</v>
      </c>
      <c r="E62" s="126" t="e">
        <f t="shared" ca="1" si="103"/>
        <v>#NAME?</v>
      </c>
      <c r="F62" s="126" t="e">
        <f t="shared" ca="1" si="103"/>
        <v>#NAME?</v>
      </c>
      <c r="G62" s="126" t="e">
        <f t="shared" ca="1" si="103"/>
        <v>#NAME?</v>
      </c>
      <c r="H62" s="126" t="e">
        <f t="shared" ca="1" si="103"/>
        <v>#NAME?</v>
      </c>
      <c r="I62" s="126" t="e">
        <f t="shared" ca="1" si="103"/>
        <v>#NAME?</v>
      </c>
      <c r="J62" s="126" t="e">
        <f t="shared" ca="1" si="103"/>
        <v>#NAME?</v>
      </c>
      <c r="K62" s="126" t="e">
        <f t="shared" ca="1" si="103"/>
        <v>#NAME?</v>
      </c>
      <c r="L62" s="126" t="e">
        <f t="shared" ca="1" si="103"/>
        <v>#NAME?</v>
      </c>
      <c r="M62" s="126" t="e">
        <f t="shared" ca="1" si="103"/>
        <v>#NAME?</v>
      </c>
      <c r="N62" s="126" t="e">
        <f t="shared" ca="1" si="103"/>
        <v>#NAME?</v>
      </c>
      <c r="O62" s="126" t="e">
        <f t="shared" ca="1" si="103"/>
        <v>#NAME?</v>
      </c>
      <c r="P62" s="126" t="e">
        <f t="shared" ca="1" si="103"/>
        <v>#NAME?</v>
      </c>
      <c r="Q62" s="126" t="e">
        <f t="shared" ca="1" si="103"/>
        <v>#NAME?</v>
      </c>
      <c r="R62" s="126" t="e">
        <f t="shared" ca="1" si="103"/>
        <v>#NAME?</v>
      </c>
      <c r="S62" s="126" t="e">
        <f t="shared" ca="1" si="103"/>
        <v>#NAME?</v>
      </c>
      <c r="T62" s="126" t="e">
        <f t="shared" ca="1" si="103"/>
        <v>#NAME?</v>
      </c>
      <c r="U62" s="126" t="e">
        <f t="shared" ca="1" si="103"/>
        <v>#NAME?</v>
      </c>
      <c r="V62" s="126" t="e">
        <f t="shared" ca="1" si="103"/>
        <v>#NAME?</v>
      </c>
      <c r="W62" s="126" t="e">
        <f t="shared" ca="1" si="103"/>
        <v>#NAME?</v>
      </c>
      <c r="X62" s="126" t="e">
        <f t="shared" ca="1" si="103"/>
        <v>#NAME?</v>
      </c>
      <c r="Y62" s="126" t="e">
        <f t="shared" ca="1" si="103"/>
        <v>#NAME?</v>
      </c>
      <c r="Z62" s="126" t="e">
        <f t="shared" ca="1" si="103"/>
        <v>#NAME?</v>
      </c>
    </row>
    <row r="63" spans="2:93" customFormat="1" x14ac:dyDescent="0.15">
      <c r="D63" s="126" t="e">
        <f t="shared" ref="D63:Z63" ca="1" si="104">IF(BatSplit(D12,RunsScored)&gt;=50,BatSplit(D12,RunsScored)&amp;IF(BatSplit(D12,NotOuts)=1,"*","")&amp;"|"&amp;$C12&amp;"|"&amp;D$2&amp;"|"&amp;TEXT(D$1,"dd-mmm"),"x")</f>
        <v>#NAME?</v>
      </c>
      <c r="E63" s="126" t="e">
        <f t="shared" ca="1" si="104"/>
        <v>#NAME?</v>
      </c>
      <c r="F63" s="126" t="e">
        <f t="shared" ca="1" si="104"/>
        <v>#NAME?</v>
      </c>
      <c r="G63" s="126" t="e">
        <f t="shared" ca="1" si="104"/>
        <v>#NAME?</v>
      </c>
      <c r="H63" s="126" t="e">
        <f t="shared" ca="1" si="104"/>
        <v>#NAME?</v>
      </c>
      <c r="I63" s="126" t="e">
        <f t="shared" ca="1" si="104"/>
        <v>#NAME?</v>
      </c>
      <c r="J63" s="126" t="e">
        <f t="shared" ca="1" si="104"/>
        <v>#NAME?</v>
      </c>
      <c r="K63" s="126" t="e">
        <f t="shared" ca="1" si="104"/>
        <v>#NAME?</v>
      </c>
      <c r="L63" s="126" t="e">
        <f t="shared" ca="1" si="104"/>
        <v>#NAME?</v>
      </c>
      <c r="M63" s="126" t="e">
        <f t="shared" ca="1" si="104"/>
        <v>#NAME?</v>
      </c>
      <c r="N63" s="126" t="e">
        <f t="shared" ca="1" si="104"/>
        <v>#NAME?</v>
      </c>
      <c r="O63" s="126" t="e">
        <f t="shared" ca="1" si="104"/>
        <v>#NAME?</v>
      </c>
      <c r="P63" s="126" t="e">
        <f t="shared" ca="1" si="104"/>
        <v>#NAME?</v>
      </c>
      <c r="Q63" s="126" t="e">
        <f t="shared" ca="1" si="104"/>
        <v>#NAME?</v>
      </c>
      <c r="R63" s="126" t="e">
        <f t="shared" ca="1" si="104"/>
        <v>#NAME?</v>
      </c>
      <c r="S63" s="126" t="e">
        <f t="shared" ca="1" si="104"/>
        <v>#NAME?</v>
      </c>
      <c r="T63" s="126" t="e">
        <f t="shared" ca="1" si="104"/>
        <v>#NAME?</v>
      </c>
      <c r="U63" s="126" t="e">
        <f t="shared" ca="1" si="104"/>
        <v>#NAME?</v>
      </c>
      <c r="V63" s="126" t="e">
        <f t="shared" ca="1" si="104"/>
        <v>#NAME?</v>
      </c>
      <c r="W63" s="126" t="e">
        <f t="shared" ca="1" si="104"/>
        <v>#NAME?</v>
      </c>
      <c r="X63" s="126" t="e">
        <f t="shared" ca="1" si="104"/>
        <v>#NAME?</v>
      </c>
      <c r="Y63" s="126" t="e">
        <f t="shared" ca="1" si="104"/>
        <v>#NAME?</v>
      </c>
      <c r="Z63" s="126" t="e">
        <f t="shared" ca="1" si="104"/>
        <v>#NAME?</v>
      </c>
    </row>
    <row r="64" spans="2:93" customFormat="1" x14ac:dyDescent="0.15">
      <c r="D64" s="126" t="e">
        <f t="shared" ref="D64:Z64" ca="1" si="105">IF(BatSplit(D13,RunsScored)&gt;=50,BatSplit(D13,RunsScored)&amp;IF(BatSplit(D13,NotOuts)=1,"*","")&amp;"|"&amp;$C13&amp;"|"&amp;D$2&amp;"|"&amp;TEXT(D$1,"dd-mmm"),"x")</f>
        <v>#NAME?</v>
      </c>
      <c r="E64" s="126" t="e">
        <f t="shared" ca="1" si="105"/>
        <v>#NAME?</v>
      </c>
      <c r="F64" s="126" t="e">
        <f t="shared" ca="1" si="105"/>
        <v>#NAME?</v>
      </c>
      <c r="G64" s="126" t="e">
        <f t="shared" ca="1" si="105"/>
        <v>#NAME?</v>
      </c>
      <c r="H64" s="126" t="e">
        <f t="shared" ca="1" si="105"/>
        <v>#NAME?</v>
      </c>
      <c r="I64" s="126" t="e">
        <f t="shared" ca="1" si="105"/>
        <v>#NAME?</v>
      </c>
      <c r="J64" s="126" t="e">
        <f t="shared" ca="1" si="105"/>
        <v>#NAME?</v>
      </c>
      <c r="K64" s="126" t="e">
        <f t="shared" ca="1" si="105"/>
        <v>#NAME?</v>
      </c>
      <c r="L64" s="126" t="e">
        <f t="shared" ca="1" si="105"/>
        <v>#NAME?</v>
      </c>
      <c r="M64" s="126" t="e">
        <f t="shared" ca="1" si="105"/>
        <v>#NAME?</v>
      </c>
      <c r="N64" s="126" t="e">
        <f t="shared" ca="1" si="105"/>
        <v>#NAME?</v>
      </c>
      <c r="O64" s="126" t="e">
        <f t="shared" ca="1" si="105"/>
        <v>#NAME?</v>
      </c>
      <c r="P64" s="126" t="e">
        <f t="shared" ca="1" si="105"/>
        <v>#NAME?</v>
      </c>
      <c r="Q64" s="126" t="e">
        <f t="shared" ca="1" si="105"/>
        <v>#NAME?</v>
      </c>
      <c r="R64" s="126" t="e">
        <f t="shared" ca="1" si="105"/>
        <v>#NAME?</v>
      </c>
      <c r="S64" s="126" t="e">
        <f t="shared" ca="1" si="105"/>
        <v>#NAME?</v>
      </c>
      <c r="T64" s="126" t="e">
        <f t="shared" ca="1" si="105"/>
        <v>#NAME?</v>
      </c>
      <c r="U64" s="126" t="e">
        <f t="shared" ca="1" si="105"/>
        <v>#NAME?</v>
      </c>
      <c r="V64" s="126" t="e">
        <f t="shared" ca="1" si="105"/>
        <v>#NAME?</v>
      </c>
      <c r="W64" s="126" t="e">
        <f t="shared" ca="1" si="105"/>
        <v>#NAME?</v>
      </c>
      <c r="X64" s="126" t="e">
        <f t="shared" ca="1" si="105"/>
        <v>#NAME?</v>
      </c>
      <c r="Y64" s="126" t="e">
        <f t="shared" ca="1" si="105"/>
        <v>#NAME?</v>
      </c>
      <c r="Z64" s="126" t="e">
        <f t="shared" ca="1" si="105"/>
        <v>#NAME?</v>
      </c>
    </row>
    <row r="65" spans="4:26" customFormat="1" x14ac:dyDescent="0.15">
      <c r="D65" s="126" t="e">
        <f t="shared" ref="D65:Z65" ca="1" si="106">IF(BatSplit(D14,RunsScored)&gt;=50,BatSplit(D14,RunsScored)&amp;IF(BatSplit(D14,NotOuts)=1,"*","")&amp;"|"&amp;$C14&amp;"|"&amp;D$2&amp;"|"&amp;TEXT(D$1,"dd-mmm"),"x")</f>
        <v>#NAME?</v>
      </c>
      <c r="E65" s="126" t="e">
        <f t="shared" ca="1" si="106"/>
        <v>#NAME?</v>
      </c>
      <c r="F65" s="126" t="e">
        <f t="shared" ca="1" si="106"/>
        <v>#NAME?</v>
      </c>
      <c r="G65" s="126" t="e">
        <f t="shared" ca="1" si="106"/>
        <v>#NAME?</v>
      </c>
      <c r="H65" s="126" t="e">
        <f t="shared" ca="1" si="106"/>
        <v>#NAME?</v>
      </c>
      <c r="I65" s="126" t="e">
        <f t="shared" ca="1" si="106"/>
        <v>#NAME?</v>
      </c>
      <c r="J65" s="126" t="e">
        <f t="shared" ca="1" si="106"/>
        <v>#NAME?</v>
      </c>
      <c r="K65" s="126" t="e">
        <f t="shared" ca="1" si="106"/>
        <v>#NAME?</v>
      </c>
      <c r="L65" s="126" t="e">
        <f t="shared" ca="1" si="106"/>
        <v>#NAME?</v>
      </c>
      <c r="M65" s="126" t="e">
        <f t="shared" ca="1" si="106"/>
        <v>#NAME?</v>
      </c>
      <c r="N65" s="126" t="e">
        <f t="shared" ca="1" si="106"/>
        <v>#NAME?</v>
      </c>
      <c r="O65" s="126" t="e">
        <f t="shared" ca="1" si="106"/>
        <v>#NAME?</v>
      </c>
      <c r="P65" s="126" t="e">
        <f t="shared" ca="1" si="106"/>
        <v>#NAME?</v>
      </c>
      <c r="Q65" s="126" t="e">
        <f t="shared" ca="1" si="106"/>
        <v>#NAME?</v>
      </c>
      <c r="R65" s="126" t="e">
        <f t="shared" ca="1" si="106"/>
        <v>#NAME?</v>
      </c>
      <c r="S65" s="126" t="e">
        <f t="shared" ca="1" si="106"/>
        <v>#NAME?</v>
      </c>
      <c r="T65" s="126" t="e">
        <f t="shared" ca="1" si="106"/>
        <v>#NAME?</v>
      </c>
      <c r="U65" s="126" t="e">
        <f t="shared" ca="1" si="106"/>
        <v>#NAME?</v>
      </c>
      <c r="V65" s="126" t="e">
        <f t="shared" ca="1" si="106"/>
        <v>#NAME?</v>
      </c>
      <c r="W65" s="126" t="e">
        <f t="shared" ca="1" si="106"/>
        <v>#NAME?</v>
      </c>
      <c r="X65" s="126" t="e">
        <f t="shared" ca="1" si="106"/>
        <v>#NAME?</v>
      </c>
      <c r="Y65" s="126" t="e">
        <f t="shared" ca="1" si="106"/>
        <v>#NAME?</v>
      </c>
      <c r="Z65" s="126" t="e">
        <f t="shared" ca="1" si="106"/>
        <v>#NAME?</v>
      </c>
    </row>
    <row r="66" spans="4:26" customFormat="1" x14ac:dyDescent="0.15">
      <c r="D66" s="126" t="e">
        <f t="shared" ref="D66:Z66" ca="1" si="107">IF(BatSplit(D15,RunsScored)&gt;=50,BatSplit(D15,RunsScored)&amp;IF(BatSplit(D15,NotOuts)=1,"*","")&amp;"|"&amp;$C15&amp;"|"&amp;D$2&amp;"|"&amp;TEXT(D$1,"dd-mmm"),"x")</f>
        <v>#NAME?</v>
      </c>
      <c r="E66" s="126" t="e">
        <f t="shared" ca="1" si="107"/>
        <v>#NAME?</v>
      </c>
      <c r="F66" s="126" t="e">
        <f t="shared" ca="1" si="107"/>
        <v>#NAME?</v>
      </c>
      <c r="G66" s="126" t="e">
        <f t="shared" ca="1" si="107"/>
        <v>#NAME?</v>
      </c>
      <c r="H66" s="126" t="e">
        <f t="shared" ca="1" si="107"/>
        <v>#NAME?</v>
      </c>
      <c r="I66" s="126" t="e">
        <f t="shared" ca="1" si="107"/>
        <v>#NAME?</v>
      </c>
      <c r="J66" s="126" t="e">
        <f t="shared" ca="1" si="107"/>
        <v>#NAME?</v>
      </c>
      <c r="K66" s="126" t="e">
        <f t="shared" ca="1" si="107"/>
        <v>#NAME?</v>
      </c>
      <c r="L66" s="126" t="e">
        <f t="shared" ca="1" si="107"/>
        <v>#NAME?</v>
      </c>
      <c r="M66" s="126" t="e">
        <f t="shared" ca="1" si="107"/>
        <v>#NAME?</v>
      </c>
      <c r="N66" s="126" t="e">
        <f t="shared" ca="1" si="107"/>
        <v>#NAME?</v>
      </c>
      <c r="O66" s="126" t="e">
        <f t="shared" ca="1" si="107"/>
        <v>#NAME?</v>
      </c>
      <c r="P66" s="126" t="e">
        <f t="shared" ca="1" si="107"/>
        <v>#NAME?</v>
      </c>
      <c r="Q66" s="126" t="e">
        <f t="shared" ca="1" si="107"/>
        <v>#NAME?</v>
      </c>
      <c r="R66" s="126" t="e">
        <f t="shared" ca="1" si="107"/>
        <v>#NAME?</v>
      </c>
      <c r="S66" s="126" t="e">
        <f t="shared" ca="1" si="107"/>
        <v>#NAME?</v>
      </c>
      <c r="T66" s="126" t="e">
        <f t="shared" ca="1" si="107"/>
        <v>#NAME?</v>
      </c>
      <c r="U66" s="126" t="e">
        <f t="shared" ca="1" si="107"/>
        <v>#NAME?</v>
      </c>
      <c r="V66" s="126" t="e">
        <f t="shared" ca="1" si="107"/>
        <v>#NAME?</v>
      </c>
      <c r="W66" s="126" t="e">
        <f t="shared" ca="1" si="107"/>
        <v>#NAME?</v>
      </c>
      <c r="X66" s="126" t="e">
        <f t="shared" ca="1" si="107"/>
        <v>#NAME?</v>
      </c>
      <c r="Y66" s="126" t="e">
        <f t="shared" ca="1" si="107"/>
        <v>#NAME?</v>
      </c>
      <c r="Z66" s="126" t="e">
        <f t="shared" ca="1" si="107"/>
        <v>#NAME?</v>
      </c>
    </row>
    <row r="67" spans="4:26" customFormat="1" x14ac:dyDescent="0.15">
      <c r="D67" s="126" t="e">
        <f t="shared" ref="D67:Z67" ca="1" si="108">IF(BatSplit(D16,RunsScored)&gt;=50,BatSplit(D16,RunsScored)&amp;IF(BatSplit(D16,NotOuts)=1,"*","")&amp;"|"&amp;$C16&amp;"|"&amp;D$2&amp;"|"&amp;TEXT(D$1,"dd-mmm"),"x")</f>
        <v>#NAME?</v>
      </c>
      <c r="E67" s="126" t="e">
        <f t="shared" ca="1" si="108"/>
        <v>#NAME?</v>
      </c>
      <c r="F67" s="126" t="e">
        <f t="shared" ca="1" si="108"/>
        <v>#NAME?</v>
      </c>
      <c r="G67" s="126" t="e">
        <f t="shared" ca="1" si="108"/>
        <v>#NAME?</v>
      </c>
      <c r="H67" s="126" t="e">
        <f t="shared" ca="1" si="108"/>
        <v>#NAME?</v>
      </c>
      <c r="I67" s="126" t="e">
        <f t="shared" ca="1" si="108"/>
        <v>#NAME?</v>
      </c>
      <c r="J67" s="126" t="e">
        <f t="shared" ca="1" si="108"/>
        <v>#NAME?</v>
      </c>
      <c r="K67" s="126" t="e">
        <f t="shared" ca="1" si="108"/>
        <v>#NAME?</v>
      </c>
      <c r="L67" s="126" t="e">
        <f t="shared" ca="1" si="108"/>
        <v>#NAME?</v>
      </c>
      <c r="M67" s="126" t="e">
        <f t="shared" ca="1" si="108"/>
        <v>#NAME?</v>
      </c>
      <c r="N67" s="126" t="e">
        <f t="shared" ca="1" si="108"/>
        <v>#NAME?</v>
      </c>
      <c r="O67" s="126" t="e">
        <f t="shared" ca="1" si="108"/>
        <v>#NAME?</v>
      </c>
      <c r="P67" s="126" t="e">
        <f t="shared" ca="1" si="108"/>
        <v>#NAME?</v>
      </c>
      <c r="Q67" s="126" t="e">
        <f t="shared" ca="1" si="108"/>
        <v>#NAME?</v>
      </c>
      <c r="R67" s="126" t="e">
        <f t="shared" ca="1" si="108"/>
        <v>#NAME?</v>
      </c>
      <c r="S67" s="126" t="e">
        <f t="shared" ca="1" si="108"/>
        <v>#NAME?</v>
      </c>
      <c r="T67" s="126" t="e">
        <f t="shared" ca="1" si="108"/>
        <v>#NAME?</v>
      </c>
      <c r="U67" s="126" t="e">
        <f t="shared" ca="1" si="108"/>
        <v>#NAME?</v>
      </c>
      <c r="V67" s="126" t="e">
        <f t="shared" ca="1" si="108"/>
        <v>#NAME?</v>
      </c>
      <c r="W67" s="126" t="e">
        <f t="shared" ca="1" si="108"/>
        <v>#NAME?</v>
      </c>
      <c r="X67" s="126" t="e">
        <f t="shared" ca="1" si="108"/>
        <v>#NAME?</v>
      </c>
      <c r="Y67" s="126" t="e">
        <f t="shared" ca="1" si="108"/>
        <v>#NAME?</v>
      </c>
      <c r="Z67" s="126" t="e">
        <f t="shared" ca="1" si="108"/>
        <v>#NAME?</v>
      </c>
    </row>
    <row r="68" spans="4:26" customFormat="1" x14ac:dyDescent="0.15">
      <c r="D68" s="126" t="e">
        <f t="shared" ref="D68:Z68" ca="1" si="109">IF(BatSplit(D17,RunsScored)&gt;=50,BatSplit(D17,RunsScored)&amp;IF(BatSplit(D17,NotOuts)=1,"*","")&amp;"|"&amp;$C17&amp;"|"&amp;D$2&amp;"|"&amp;TEXT(D$1,"dd-mmm"),"x")</f>
        <v>#NAME?</v>
      </c>
      <c r="E68" s="126" t="e">
        <f t="shared" ca="1" si="109"/>
        <v>#NAME?</v>
      </c>
      <c r="F68" s="126" t="e">
        <f t="shared" ca="1" si="109"/>
        <v>#NAME?</v>
      </c>
      <c r="G68" s="126" t="e">
        <f t="shared" ca="1" si="109"/>
        <v>#NAME?</v>
      </c>
      <c r="H68" s="126" t="e">
        <f t="shared" ca="1" si="109"/>
        <v>#NAME?</v>
      </c>
      <c r="I68" s="126" t="e">
        <f t="shared" ca="1" si="109"/>
        <v>#NAME?</v>
      </c>
      <c r="J68" s="126" t="e">
        <f t="shared" ca="1" si="109"/>
        <v>#NAME?</v>
      </c>
      <c r="K68" s="126" t="e">
        <f t="shared" ca="1" si="109"/>
        <v>#NAME?</v>
      </c>
      <c r="L68" s="126" t="e">
        <f t="shared" ca="1" si="109"/>
        <v>#NAME?</v>
      </c>
      <c r="M68" s="126" t="e">
        <f t="shared" ca="1" si="109"/>
        <v>#NAME?</v>
      </c>
      <c r="N68" s="126" t="e">
        <f t="shared" ca="1" si="109"/>
        <v>#NAME?</v>
      </c>
      <c r="O68" s="126" t="e">
        <f t="shared" ca="1" si="109"/>
        <v>#NAME?</v>
      </c>
      <c r="P68" s="126" t="e">
        <f t="shared" ca="1" si="109"/>
        <v>#NAME?</v>
      </c>
      <c r="Q68" s="126" t="e">
        <f t="shared" ca="1" si="109"/>
        <v>#NAME?</v>
      </c>
      <c r="R68" s="126" t="e">
        <f t="shared" ca="1" si="109"/>
        <v>#NAME?</v>
      </c>
      <c r="S68" s="126" t="e">
        <f t="shared" ca="1" si="109"/>
        <v>#NAME?</v>
      </c>
      <c r="T68" s="126" t="e">
        <f t="shared" ca="1" si="109"/>
        <v>#NAME?</v>
      </c>
      <c r="U68" s="126" t="e">
        <f t="shared" ca="1" si="109"/>
        <v>#NAME?</v>
      </c>
      <c r="V68" s="126" t="e">
        <f t="shared" ca="1" si="109"/>
        <v>#NAME?</v>
      </c>
      <c r="W68" s="126" t="e">
        <f t="shared" ca="1" si="109"/>
        <v>#NAME?</v>
      </c>
      <c r="X68" s="126" t="e">
        <f t="shared" ca="1" si="109"/>
        <v>#NAME?</v>
      </c>
      <c r="Y68" s="126" t="e">
        <f t="shared" ca="1" si="109"/>
        <v>#NAME?</v>
      </c>
      <c r="Z68" s="126" t="e">
        <f t="shared" ca="1" si="109"/>
        <v>#NAME?</v>
      </c>
    </row>
    <row r="69" spans="4:26" customFormat="1" x14ac:dyDescent="0.15">
      <c r="D69" s="126" t="e">
        <f t="shared" ref="D69:Z69" ca="1" si="110">IF(BatSplit(D18,RunsScored)&gt;=50,BatSplit(D18,RunsScored)&amp;IF(BatSplit(D18,NotOuts)=1,"*","")&amp;"|"&amp;$C18&amp;"|"&amp;D$2&amp;"|"&amp;TEXT(D$1,"dd-mmm"),"x")</f>
        <v>#NAME?</v>
      </c>
      <c r="E69" s="126" t="e">
        <f t="shared" ca="1" si="110"/>
        <v>#NAME?</v>
      </c>
      <c r="F69" s="126" t="e">
        <f t="shared" ca="1" si="110"/>
        <v>#NAME?</v>
      </c>
      <c r="G69" s="126" t="e">
        <f t="shared" ca="1" si="110"/>
        <v>#NAME?</v>
      </c>
      <c r="H69" s="126" t="e">
        <f t="shared" ca="1" si="110"/>
        <v>#NAME?</v>
      </c>
      <c r="I69" s="126" t="e">
        <f t="shared" ca="1" si="110"/>
        <v>#NAME?</v>
      </c>
      <c r="J69" s="126" t="e">
        <f t="shared" ca="1" si="110"/>
        <v>#NAME?</v>
      </c>
      <c r="K69" s="126" t="e">
        <f t="shared" ca="1" si="110"/>
        <v>#NAME?</v>
      </c>
      <c r="L69" s="126" t="e">
        <f t="shared" ca="1" si="110"/>
        <v>#NAME?</v>
      </c>
      <c r="M69" s="126" t="e">
        <f t="shared" ca="1" si="110"/>
        <v>#NAME?</v>
      </c>
      <c r="N69" s="126" t="e">
        <f t="shared" ca="1" si="110"/>
        <v>#NAME?</v>
      </c>
      <c r="O69" s="126" t="e">
        <f t="shared" ca="1" si="110"/>
        <v>#NAME?</v>
      </c>
      <c r="P69" s="126" t="e">
        <f t="shared" ca="1" si="110"/>
        <v>#NAME?</v>
      </c>
      <c r="Q69" s="126" t="e">
        <f t="shared" ca="1" si="110"/>
        <v>#NAME?</v>
      </c>
      <c r="R69" s="126" t="e">
        <f t="shared" ca="1" si="110"/>
        <v>#NAME?</v>
      </c>
      <c r="S69" s="126" t="e">
        <f t="shared" ca="1" si="110"/>
        <v>#NAME?</v>
      </c>
      <c r="T69" s="126" t="e">
        <f t="shared" ca="1" si="110"/>
        <v>#NAME?</v>
      </c>
      <c r="U69" s="126" t="e">
        <f t="shared" ca="1" si="110"/>
        <v>#NAME?</v>
      </c>
      <c r="V69" s="126" t="e">
        <f t="shared" ca="1" si="110"/>
        <v>#NAME?</v>
      </c>
      <c r="W69" s="126" t="e">
        <f t="shared" ca="1" si="110"/>
        <v>#NAME?</v>
      </c>
      <c r="X69" s="126" t="e">
        <f t="shared" ca="1" si="110"/>
        <v>#NAME?</v>
      </c>
      <c r="Y69" s="126" t="e">
        <f t="shared" ca="1" si="110"/>
        <v>#NAME?</v>
      </c>
      <c r="Z69" s="126" t="e">
        <f t="shared" ca="1" si="110"/>
        <v>#NAME?</v>
      </c>
    </row>
    <row r="70" spans="4:26" customFormat="1" x14ac:dyDescent="0.15">
      <c r="D70" s="126" t="e">
        <f t="shared" ref="D70:Z70" ca="1" si="111">IF(BatSplit(D19,RunsScored)&gt;=50,BatSplit(D19,RunsScored)&amp;IF(BatSplit(D19,NotOuts)=1,"*","")&amp;"|"&amp;$C19&amp;"|"&amp;D$2&amp;"|"&amp;TEXT(D$1,"dd-mmm"),"x")</f>
        <v>#NAME?</v>
      </c>
      <c r="E70" s="126" t="e">
        <f t="shared" ca="1" si="111"/>
        <v>#NAME?</v>
      </c>
      <c r="F70" s="126" t="e">
        <f t="shared" ca="1" si="111"/>
        <v>#NAME?</v>
      </c>
      <c r="G70" s="126" t="e">
        <f t="shared" ca="1" si="111"/>
        <v>#NAME?</v>
      </c>
      <c r="H70" s="126" t="e">
        <f t="shared" ca="1" si="111"/>
        <v>#NAME?</v>
      </c>
      <c r="I70" s="126" t="e">
        <f t="shared" ca="1" si="111"/>
        <v>#NAME?</v>
      </c>
      <c r="J70" s="126" t="e">
        <f t="shared" ca="1" si="111"/>
        <v>#NAME?</v>
      </c>
      <c r="K70" s="126" t="e">
        <f t="shared" ca="1" si="111"/>
        <v>#NAME?</v>
      </c>
      <c r="L70" s="126" t="e">
        <f t="shared" ca="1" si="111"/>
        <v>#NAME?</v>
      </c>
      <c r="M70" s="126" t="e">
        <f t="shared" ca="1" si="111"/>
        <v>#NAME?</v>
      </c>
      <c r="N70" s="126" t="e">
        <f t="shared" ca="1" si="111"/>
        <v>#NAME?</v>
      </c>
      <c r="O70" s="126" t="e">
        <f t="shared" ca="1" si="111"/>
        <v>#NAME?</v>
      </c>
      <c r="P70" s="126" t="e">
        <f t="shared" ca="1" si="111"/>
        <v>#NAME?</v>
      </c>
      <c r="Q70" s="126" t="e">
        <f t="shared" ca="1" si="111"/>
        <v>#NAME?</v>
      </c>
      <c r="R70" s="126" t="e">
        <f t="shared" ca="1" si="111"/>
        <v>#NAME?</v>
      </c>
      <c r="S70" s="126" t="e">
        <f t="shared" ca="1" si="111"/>
        <v>#NAME?</v>
      </c>
      <c r="T70" s="126" t="e">
        <f t="shared" ca="1" si="111"/>
        <v>#NAME?</v>
      </c>
      <c r="U70" s="126" t="e">
        <f t="shared" ca="1" si="111"/>
        <v>#NAME?</v>
      </c>
      <c r="V70" s="126" t="e">
        <f t="shared" ca="1" si="111"/>
        <v>#NAME?</v>
      </c>
      <c r="W70" s="126" t="e">
        <f t="shared" ca="1" si="111"/>
        <v>#NAME?</v>
      </c>
      <c r="X70" s="126" t="e">
        <f t="shared" ca="1" si="111"/>
        <v>#NAME?</v>
      </c>
      <c r="Y70" s="126" t="e">
        <f t="shared" ca="1" si="111"/>
        <v>#NAME?</v>
      </c>
      <c r="Z70" s="126" t="e">
        <f t="shared" ca="1" si="111"/>
        <v>#NAME?</v>
      </c>
    </row>
    <row r="71" spans="4:26" customFormat="1" x14ac:dyDescent="0.15">
      <c r="D71" s="126" t="e">
        <f t="shared" ref="D71:Z71" ca="1" si="112">IF(BatSplit(D20,RunsScored)&gt;=50,BatSplit(D20,RunsScored)&amp;IF(BatSplit(D20,NotOuts)=1,"*","")&amp;"|"&amp;$C20&amp;"|"&amp;D$2&amp;"|"&amp;TEXT(D$1,"dd-mmm"),"x")</f>
        <v>#NAME?</v>
      </c>
      <c r="E71" s="126" t="e">
        <f t="shared" ca="1" si="112"/>
        <v>#NAME?</v>
      </c>
      <c r="F71" s="126" t="e">
        <f t="shared" ca="1" si="112"/>
        <v>#NAME?</v>
      </c>
      <c r="G71" s="126" t="e">
        <f t="shared" ca="1" si="112"/>
        <v>#NAME?</v>
      </c>
      <c r="H71" s="126" t="e">
        <f t="shared" ca="1" si="112"/>
        <v>#NAME?</v>
      </c>
      <c r="I71" s="126" t="e">
        <f t="shared" ca="1" si="112"/>
        <v>#NAME?</v>
      </c>
      <c r="J71" s="126" t="e">
        <f t="shared" ca="1" si="112"/>
        <v>#NAME?</v>
      </c>
      <c r="K71" s="126" t="e">
        <f t="shared" ca="1" si="112"/>
        <v>#NAME?</v>
      </c>
      <c r="L71" s="126" t="e">
        <f t="shared" ca="1" si="112"/>
        <v>#NAME?</v>
      </c>
      <c r="M71" s="126" t="e">
        <f t="shared" ca="1" si="112"/>
        <v>#NAME?</v>
      </c>
      <c r="N71" s="126" t="e">
        <f t="shared" ca="1" si="112"/>
        <v>#NAME?</v>
      </c>
      <c r="O71" s="126" t="e">
        <f t="shared" ca="1" si="112"/>
        <v>#NAME?</v>
      </c>
      <c r="P71" s="126" t="e">
        <f t="shared" ca="1" si="112"/>
        <v>#NAME?</v>
      </c>
      <c r="Q71" s="126" t="e">
        <f t="shared" ca="1" si="112"/>
        <v>#NAME?</v>
      </c>
      <c r="R71" s="126" t="e">
        <f t="shared" ca="1" si="112"/>
        <v>#NAME?</v>
      </c>
      <c r="S71" s="126" t="e">
        <f t="shared" ca="1" si="112"/>
        <v>#NAME?</v>
      </c>
      <c r="T71" s="126" t="e">
        <f t="shared" ca="1" si="112"/>
        <v>#NAME?</v>
      </c>
      <c r="U71" s="126" t="e">
        <f t="shared" ca="1" si="112"/>
        <v>#NAME?</v>
      </c>
      <c r="V71" s="126" t="e">
        <f t="shared" ca="1" si="112"/>
        <v>#NAME?</v>
      </c>
      <c r="W71" s="126" t="e">
        <f t="shared" ca="1" si="112"/>
        <v>#NAME?</v>
      </c>
      <c r="X71" s="126" t="e">
        <f t="shared" ca="1" si="112"/>
        <v>#NAME?</v>
      </c>
      <c r="Y71" s="126" t="e">
        <f t="shared" ca="1" si="112"/>
        <v>#NAME?</v>
      </c>
      <c r="Z71" s="126" t="e">
        <f t="shared" ca="1" si="112"/>
        <v>#NAME?</v>
      </c>
    </row>
    <row r="72" spans="4:26" customFormat="1" x14ac:dyDescent="0.15">
      <c r="D72" s="126" t="e">
        <f t="shared" ref="D72:Z72" ca="1" si="113">IF(BatSplit(D21,RunsScored)&gt;=50,BatSplit(D21,RunsScored)&amp;IF(BatSplit(D21,NotOuts)=1,"*","")&amp;"|"&amp;$C21&amp;"|"&amp;D$2&amp;"|"&amp;TEXT(D$1,"dd-mmm"),"x")</f>
        <v>#NAME?</v>
      </c>
      <c r="E72" s="126" t="e">
        <f t="shared" ca="1" si="113"/>
        <v>#NAME?</v>
      </c>
      <c r="F72" s="126" t="e">
        <f t="shared" ca="1" si="113"/>
        <v>#NAME?</v>
      </c>
      <c r="G72" s="126" t="e">
        <f t="shared" ca="1" si="113"/>
        <v>#NAME?</v>
      </c>
      <c r="H72" s="126" t="e">
        <f t="shared" ca="1" si="113"/>
        <v>#NAME?</v>
      </c>
      <c r="I72" s="126" t="e">
        <f t="shared" ca="1" si="113"/>
        <v>#NAME?</v>
      </c>
      <c r="J72" s="126" t="e">
        <f t="shared" ca="1" si="113"/>
        <v>#NAME?</v>
      </c>
      <c r="K72" s="126" t="e">
        <f t="shared" ca="1" si="113"/>
        <v>#NAME?</v>
      </c>
      <c r="L72" s="126" t="e">
        <f t="shared" ca="1" si="113"/>
        <v>#NAME?</v>
      </c>
      <c r="M72" s="126" t="e">
        <f t="shared" ca="1" si="113"/>
        <v>#NAME?</v>
      </c>
      <c r="N72" s="126" t="e">
        <f t="shared" ca="1" si="113"/>
        <v>#NAME?</v>
      </c>
      <c r="O72" s="126" t="e">
        <f t="shared" ca="1" si="113"/>
        <v>#NAME?</v>
      </c>
      <c r="P72" s="126" t="e">
        <f t="shared" ca="1" si="113"/>
        <v>#NAME?</v>
      </c>
      <c r="Q72" s="126" t="e">
        <f t="shared" ca="1" si="113"/>
        <v>#NAME?</v>
      </c>
      <c r="R72" s="126" t="e">
        <f t="shared" ca="1" si="113"/>
        <v>#NAME?</v>
      </c>
      <c r="S72" s="126" t="e">
        <f t="shared" ca="1" si="113"/>
        <v>#NAME?</v>
      </c>
      <c r="T72" s="126" t="e">
        <f t="shared" ca="1" si="113"/>
        <v>#NAME?</v>
      </c>
      <c r="U72" s="126" t="e">
        <f t="shared" ca="1" si="113"/>
        <v>#NAME?</v>
      </c>
      <c r="V72" s="126" t="e">
        <f t="shared" ca="1" si="113"/>
        <v>#NAME?</v>
      </c>
      <c r="W72" s="126" t="e">
        <f t="shared" ca="1" si="113"/>
        <v>#NAME?</v>
      </c>
      <c r="X72" s="126" t="e">
        <f t="shared" ca="1" si="113"/>
        <v>#NAME?</v>
      </c>
      <c r="Y72" s="126" t="e">
        <f t="shared" ca="1" si="113"/>
        <v>#NAME?</v>
      </c>
      <c r="Z72" s="126" t="e">
        <f t="shared" ca="1" si="113"/>
        <v>#NAME?</v>
      </c>
    </row>
    <row r="73" spans="4:26" customFormat="1" x14ac:dyDescent="0.15">
      <c r="D73" s="126" t="e">
        <f t="shared" ref="D73:Z73" ca="1" si="114">IF(BatSplit(D22,RunsScored)&gt;=50,BatSplit(D22,RunsScored)&amp;IF(BatSplit(D22,NotOuts)=1,"*","")&amp;"|"&amp;$C22&amp;"|"&amp;D$2&amp;"|"&amp;TEXT(D$1,"dd-mmm"),"x")</f>
        <v>#NAME?</v>
      </c>
      <c r="E73" s="126" t="e">
        <f t="shared" ca="1" si="114"/>
        <v>#NAME?</v>
      </c>
      <c r="F73" s="126" t="e">
        <f t="shared" ca="1" si="114"/>
        <v>#NAME?</v>
      </c>
      <c r="G73" s="126" t="e">
        <f t="shared" ca="1" si="114"/>
        <v>#NAME?</v>
      </c>
      <c r="H73" s="126" t="e">
        <f t="shared" ca="1" si="114"/>
        <v>#NAME?</v>
      </c>
      <c r="I73" s="126" t="e">
        <f t="shared" ca="1" si="114"/>
        <v>#NAME?</v>
      </c>
      <c r="J73" s="126" t="e">
        <f t="shared" ca="1" si="114"/>
        <v>#NAME?</v>
      </c>
      <c r="K73" s="126" t="e">
        <f t="shared" ca="1" si="114"/>
        <v>#NAME?</v>
      </c>
      <c r="L73" s="126" t="e">
        <f t="shared" ca="1" si="114"/>
        <v>#NAME?</v>
      </c>
      <c r="M73" s="126" t="e">
        <f t="shared" ca="1" si="114"/>
        <v>#NAME?</v>
      </c>
      <c r="N73" s="126" t="e">
        <f t="shared" ca="1" si="114"/>
        <v>#NAME?</v>
      </c>
      <c r="O73" s="126" t="e">
        <f t="shared" ca="1" si="114"/>
        <v>#NAME?</v>
      </c>
      <c r="P73" s="126" t="e">
        <f t="shared" ca="1" si="114"/>
        <v>#NAME?</v>
      </c>
      <c r="Q73" s="126" t="e">
        <f t="shared" ca="1" si="114"/>
        <v>#NAME?</v>
      </c>
      <c r="R73" s="126" t="e">
        <f t="shared" ca="1" si="114"/>
        <v>#NAME?</v>
      </c>
      <c r="S73" s="126" t="e">
        <f t="shared" ca="1" si="114"/>
        <v>#NAME?</v>
      </c>
      <c r="T73" s="126" t="e">
        <f t="shared" ca="1" si="114"/>
        <v>#NAME?</v>
      </c>
      <c r="U73" s="126" t="e">
        <f t="shared" ca="1" si="114"/>
        <v>#NAME?</v>
      </c>
      <c r="V73" s="126" t="e">
        <f t="shared" ca="1" si="114"/>
        <v>#NAME?</v>
      </c>
      <c r="W73" s="126" t="e">
        <f t="shared" ca="1" si="114"/>
        <v>#NAME?</v>
      </c>
      <c r="X73" s="126" t="e">
        <f t="shared" ca="1" si="114"/>
        <v>#NAME?</v>
      </c>
      <c r="Y73" s="126" t="e">
        <f t="shared" ca="1" si="114"/>
        <v>#NAME?</v>
      </c>
      <c r="Z73" s="126" t="e">
        <f t="shared" ca="1" si="114"/>
        <v>#NAME?</v>
      </c>
    </row>
    <row r="74" spans="4:26" customFormat="1" x14ac:dyDescent="0.15">
      <c r="D74" s="126" t="e">
        <f t="shared" ref="D74:Z74" ca="1" si="115">IF(BatSplit(D23,RunsScored)&gt;=50,BatSplit(D23,RunsScored)&amp;IF(BatSplit(D23,NotOuts)=1,"*","")&amp;"|"&amp;$C23&amp;"|"&amp;D$2&amp;"|"&amp;TEXT(D$1,"dd-mmm"),"x")</f>
        <v>#NAME?</v>
      </c>
      <c r="E74" s="126" t="e">
        <f t="shared" ca="1" si="115"/>
        <v>#NAME?</v>
      </c>
      <c r="F74" s="126" t="e">
        <f t="shared" ca="1" si="115"/>
        <v>#NAME?</v>
      </c>
      <c r="G74" s="126" t="e">
        <f t="shared" ca="1" si="115"/>
        <v>#NAME?</v>
      </c>
      <c r="H74" s="126" t="e">
        <f t="shared" ca="1" si="115"/>
        <v>#NAME?</v>
      </c>
      <c r="I74" s="126" t="e">
        <f t="shared" ca="1" si="115"/>
        <v>#NAME?</v>
      </c>
      <c r="J74" s="126" t="e">
        <f t="shared" ca="1" si="115"/>
        <v>#NAME?</v>
      </c>
      <c r="K74" s="126" t="e">
        <f t="shared" ca="1" si="115"/>
        <v>#NAME?</v>
      </c>
      <c r="L74" s="126" t="e">
        <f t="shared" ca="1" si="115"/>
        <v>#NAME?</v>
      </c>
      <c r="M74" s="126" t="e">
        <f t="shared" ca="1" si="115"/>
        <v>#NAME?</v>
      </c>
      <c r="N74" s="126" t="e">
        <f t="shared" ca="1" si="115"/>
        <v>#NAME?</v>
      </c>
      <c r="O74" s="126" t="e">
        <f t="shared" ca="1" si="115"/>
        <v>#NAME?</v>
      </c>
      <c r="P74" s="126" t="e">
        <f t="shared" ca="1" si="115"/>
        <v>#NAME?</v>
      </c>
      <c r="Q74" s="126" t="e">
        <f t="shared" ca="1" si="115"/>
        <v>#NAME?</v>
      </c>
      <c r="R74" s="126" t="e">
        <f t="shared" ca="1" si="115"/>
        <v>#NAME?</v>
      </c>
      <c r="S74" s="126" t="e">
        <f t="shared" ca="1" si="115"/>
        <v>#NAME?</v>
      </c>
      <c r="T74" s="126" t="e">
        <f t="shared" ca="1" si="115"/>
        <v>#NAME?</v>
      </c>
      <c r="U74" s="126" t="e">
        <f t="shared" ca="1" si="115"/>
        <v>#NAME?</v>
      </c>
      <c r="V74" s="126" t="e">
        <f t="shared" ca="1" si="115"/>
        <v>#NAME?</v>
      </c>
      <c r="W74" s="126" t="e">
        <f t="shared" ca="1" si="115"/>
        <v>#NAME?</v>
      </c>
      <c r="X74" s="126" t="e">
        <f t="shared" ca="1" si="115"/>
        <v>#NAME?</v>
      </c>
      <c r="Y74" s="126" t="e">
        <f t="shared" ca="1" si="115"/>
        <v>#NAME?</v>
      </c>
      <c r="Z74" s="126" t="e">
        <f t="shared" ca="1" si="115"/>
        <v>#NAME?</v>
      </c>
    </row>
    <row r="75" spans="4:26" customFormat="1" x14ac:dyDescent="0.15">
      <c r="D75" s="126" t="e">
        <f t="shared" ref="D75:Z75" ca="1" si="116">IF(BatSplit(D24,RunsScored)&gt;=50,BatSplit(D24,RunsScored)&amp;IF(BatSplit(D24,NotOuts)=1,"*","")&amp;"|"&amp;$C24&amp;"|"&amp;D$2&amp;"|"&amp;TEXT(D$1,"dd-mmm"),"x")</f>
        <v>#NAME?</v>
      </c>
      <c r="E75" s="126" t="e">
        <f t="shared" ca="1" si="116"/>
        <v>#NAME?</v>
      </c>
      <c r="F75" s="126" t="e">
        <f t="shared" ca="1" si="116"/>
        <v>#NAME?</v>
      </c>
      <c r="G75" s="126" t="e">
        <f t="shared" ca="1" si="116"/>
        <v>#NAME?</v>
      </c>
      <c r="H75" s="126" t="e">
        <f t="shared" ca="1" si="116"/>
        <v>#NAME?</v>
      </c>
      <c r="I75" s="126" t="e">
        <f t="shared" ca="1" si="116"/>
        <v>#NAME?</v>
      </c>
      <c r="J75" s="126" t="e">
        <f t="shared" ca="1" si="116"/>
        <v>#NAME?</v>
      </c>
      <c r="K75" s="126" t="e">
        <f t="shared" ca="1" si="116"/>
        <v>#NAME?</v>
      </c>
      <c r="L75" s="126" t="e">
        <f t="shared" ca="1" si="116"/>
        <v>#NAME?</v>
      </c>
      <c r="M75" s="126" t="e">
        <f t="shared" ca="1" si="116"/>
        <v>#NAME?</v>
      </c>
      <c r="N75" s="126" t="e">
        <f t="shared" ca="1" si="116"/>
        <v>#NAME?</v>
      </c>
      <c r="O75" s="126" t="e">
        <f t="shared" ca="1" si="116"/>
        <v>#NAME?</v>
      </c>
      <c r="P75" s="126" t="e">
        <f t="shared" ca="1" si="116"/>
        <v>#NAME?</v>
      </c>
      <c r="Q75" s="126" t="e">
        <f t="shared" ca="1" si="116"/>
        <v>#NAME?</v>
      </c>
      <c r="R75" s="126" t="e">
        <f t="shared" ca="1" si="116"/>
        <v>#NAME?</v>
      </c>
      <c r="S75" s="126" t="e">
        <f t="shared" ca="1" si="116"/>
        <v>#NAME?</v>
      </c>
      <c r="T75" s="126" t="e">
        <f t="shared" ca="1" si="116"/>
        <v>#NAME?</v>
      </c>
      <c r="U75" s="126" t="e">
        <f t="shared" ca="1" si="116"/>
        <v>#NAME?</v>
      </c>
      <c r="V75" s="126" t="e">
        <f t="shared" ca="1" si="116"/>
        <v>#NAME?</v>
      </c>
      <c r="W75" s="126" t="e">
        <f t="shared" ca="1" si="116"/>
        <v>#NAME?</v>
      </c>
      <c r="X75" s="126" t="e">
        <f t="shared" ca="1" si="116"/>
        <v>#NAME?</v>
      </c>
      <c r="Y75" s="126" t="e">
        <f t="shared" ca="1" si="116"/>
        <v>#NAME?</v>
      </c>
      <c r="Z75" s="126" t="e">
        <f t="shared" ca="1" si="116"/>
        <v>#NAME?</v>
      </c>
    </row>
    <row r="76" spans="4:26" customFormat="1" x14ac:dyDescent="0.15">
      <c r="D76" s="126" t="e">
        <f t="shared" ref="D76:Z76" ca="1" si="117">IF(BatSplit(D25,RunsScored)&gt;=50,BatSplit(D25,RunsScored)&amp;IF(BatSplit(D25,NotOuts)=1,"*","")&amp;"|"&amp;$C25&amp;"|"&amp;D$2&amp;"|"&amp;TEXT(D$1,"dd-mmm"),"x")</f>
        <v>#NAME?</v>
      </c>
      <c r="E76" s="126" t="e">
        <f t="shared" ca="1" si="117"/>
        <v>#NAME?</v>
      </c>
      <c r="F76" s="126" t="e">
        <f t="shared" ca="1" si="117"/>
        <v>#NAME?</v>
      </c>
      <c r="G76" s="126" t="e">
        <f t="shared" ca="1" si="117"/>
        <v>#NAME?</v>
      </c>
      <c r="H76" s="126" t="e">
        <f t="shared" ca="1" si="117"/>
        <v>#NAME?</v>
      </c>
      <c r="I76" s="126" t="e">
        <f t="shared" ca="1" si="117"/>
        <v>#NAME?</v>
      </c>
      <c r="J76" s="126" t="e">
        <f t="shared" ca="1" si="117"/>
        <v>#NAME?</v>
      </c>
      <c r="K76" s="126" t="e">
        <f t="shared" ca="1" si="117"/>
        <v>#NAME?</v>
      </c>
      <c r="L76" s="126" t="e">
        <f t="shared" ca="1" si="117"/>
        <v>#NAME?</v>
      </c>
      <c r="M76" s="126" t="e">
        <f t="shared" ca="1" si="117"/>
        <v>#NAME?</v>
      </c>
      <c r="N76" s="126" t="e">
        <f t="shared" ca="1" si="117"/>
        <v>#NAME?</v>
      </c>
      <c r="O76" s="126" t="e">
        <f t="shared" ca="1" si="117"/>
        <v>#NAME?</v>
      </c>
      <c r="P76" s="126" t="e">
        <f t="shared" ca="1" si="117"/>
        <v>#NAME?</v>
      </c>
      <c r="Q76" s="126" t="e">
        <f t="shared" ca="1" si="117"/>
        <v>#NAME?</v>
      </c>
      <c r="R76" s="126" t="e">
        <f t="shared" ca="1" si="117"/>
        <v>#NAME?</v>
      </c>
      <c r="S76" s="126" t="e">
        <f t="shared" ca="1" si="117"/>
        <v>#NAME?</v>
      </c>
      <c r="T76" s="126" t="e">
        <f t="shared" ca="1" si="117"/>
        <v>#NAME?</v>
      </c>
      <c r="U76" s="126" t="e">
        <f t="shared" ca="1" si="117"/>
        <v>#NAME?</v>
      </c>
      <c r="V76" s="126" t="e">
        <f t="shared" ca="1" si="117"/>
        <v>#NAME?</v>
      </c>
      <c r="W76" s="126" t="e">
        <f t="shared" ca="1" si="117"/>
        <v>#NAME?</v>
      </c>
      <c r="X76" s="126" t="e">
        <f t="shared" ca="1" si="117"/>
        <v>#NAME?</v>
      </c>
      <c r="Y76" s="126" t="e">
        <f t="shared" ca="1" si="117"/>
        <v>#NAME?</v>
      </c>
      <c r="Z76" s="126" t="e">
        <f t="shared" ca="1" si="117"/>
        <v>#NAME?</v>
      </c>
    </row>
    <row r="77" spans="4:26" customFormat="1" x14ac:dyDescent="0.15">
      <c r="D77" s="126" t="e">
        <f t="shared" ref="D77:Z77" ca="1" si="118">IF(BatSplit(D26,RunsScored)&gt;=50,BatSplit(D26,RunsScored)&amp;IF(BatSplit(D26,NotOuts)=1,"*","")&amp;"|"&amp;$C26&amp;"|"&amp;D$2&amp;"|"&amp;TEXT(D$1,"dd-mmm"),"x")</f>
        <v>#NAME?</v>
      </c>
      <c r="E77" s="126" t="e">
        <f t="shared" ca="1" si="118"/>
        <v>#NAME?</v>
      </c>
      <c r="F77" s="126" t="e">
        <f t="shared" ca="1" si="118"/>
        <v>#NAME?</v>
      </c>
      <c r="G77" s="126" t="e">
        <f t="shared" ca="1" si="118"/>
        <v>#NAME?</v>
      </c>
      <c r="H77" s="126" t="e">
        <f t="shared" ca="1" si="118"/>
        <v>#NAME?</v>
      </c>
      <c r="I77" s="126" t="e">
        <f t="shared" ca="1" si="118"/>
        <v>#NAME?</v>
      </c>
      <c r="J77" s="126" t="e">
        <f t="shared" ca="1" si="118"/>
        <v>#NAME?</v>
      </c>
      <c r="K77" s="126" t="e">
        <f t="shared" ca="1" si="118"/>
        <v>#NAME?</v>
      </c>
      <c r="L77" s="126" t="e">
        <f t="shared" ca="1" si="118"/>
        <v>#NAME?</v>
      </c>
      <c r="M77" s="126" t="e">
        <f t="shared" ca="1" si="118"/>
        <v>#NAME?</v>
      </c>
      <c r="N77" s="126" t="e">
        <f t="shared" ca="1" si="118"/>
        <v>#NAME?</v>
      </c>
      <c r="O77" s="126" t="e">
        <f t="shared" ca="1" si="118"/>
        <v>#NAME?</v>
      </c>
      <c r="P77" s="126" t="e">
        <f t="shared" ca="1" si="118"/>
        <v>#NAME?</v>
      </c>
      <c r="Q77" s="126" t="e">
        <f t="shared" ca="1" si="118"/>
        <v>#NAME?</v>
      </c>
      <c r="R77" s="126" t="e">
        <f t="shared" ca="1" si="118"/>
        <v>#NAME?</v>
      </c>
      <c r="S77" s="126" t="e">
        <f t="shared" ca="1" si="118"/>
        <v>#NAME?</v>
      </c>
      <c r="T77" s="126" t="e">
        <f t="shared" ca="1" si="118"/>
        <v>#NAME?</v>
      </c>
      <c r="U77" s="126" t="e">
        <f t="shared" ca="1" si="118"/>
        <v>#NAME?</v>
      </c>
      <c r="V77" s="126" t="e">
        <f t="shared" ca="1" si="118"/>
        <v>#NAME?</v>
      </c>
      <c r="W77" s="126" t="e">
        <f t="shared" ca="1" si="118"/>
        <v>#NAME?</v>
      </c>
      <c r="X77" s="126" t="e">
        <f t="shared" ca="1" si="118"/>
        <v>#NAME?</v>
      </c>
      <c r="Y77" s="126" t="e">
        <f t="shared" ca="1" si="118"/>
        <v>#NAME?</v>
      </c>
      <c r="Z77" s="126" t="e">
        <f t="shared" ca="1" si="118"/>
        <v>#NAME?</v>
      </c>
    </row>
    <row r="78" spans="4:26" customFormat="1" x14ac:dyDescent="0.15">
      <c r="D78" s="126" t="e">
        <f t="shared" ref="D78:Z78" ca="1" si="119">IF(BatSplit(D27,RunsScored)&gt;=50,BatSplit(D27,RunsScored)&amp;IF(BatSplit(D27,NotOuts)=1,"*","")&amp;"|"&amp;$C27&amp;"|"&amp;D$2&amp;"|"&amp;TEXT(D$1,"dd-mmm"),"x")</f>
        <v>#NAME?</v>
      </c>
      <c r="E78" s="126" t="e">
        <f t="shared" ca="1" si="119"/>
        <v>#NAME?</v>
      </c>
      <c r="F78" s="126" t="e">
        <f t="shared" ca="1" si="119"/>
        <v>#NAME?</v>
      </c>
      <c r="G78" s="126" t="e">
        <f t="shared" ca="1" si="119"/>
        <v>#NAME?</v>
      </c>
      <c r="H78" s="126" t="e">
        <f t="shared" ca="1" si="119"/>
        <v>#NAME?</v>
      </c>
      <c r="I78" s="126" t="e">
        <f t="shared" ca="1" si="119"/>
        <v>#NAME?</v>
      </c>
      <c r="J78" s="126" t="e">
        <f t="shared" ca="1" si="119"/>
        <v>#NAME?</v>
      </c>
      <c r="K78" s="126" t="e">
        <f t="shared" ca="1" si="119"/>
        <v>#NAME?</v>
      </c>
      <c r="L78" s="126" t="e">
        <f t="shared" ca="1" si="119"/>
        <v>#NAME?</v>
      </c>
      <c r="M78" s="126" t="e">
        <f t="shared" ca="1" si="119"/>
        <v>#NAME?</v>
      </c>
      <c r="N78" s="126" t="e">
        <f t="shared" ca="1" si="119"/>
        <v>#NAME?</v>
      </c>
      <c r="O78" s="126" t="e">
        <f t="shared" ca="1" si="119"/>
        <v>#NAME?</v>
      </c>
      <c r="P78" s="126" t="e">
        <f t="shared" ca="1" si="119"/>
        <v>#NAME?</v>
      </c>
      <c r="Q78" s="126" t="e">
        <f t="shared" ca="1" si="119"/>
        <v>#NAME?</v>
      </c>
      <c r="R78" s="126" t="e">
        <f t="shared" ca="1" si="119"/>
        <v>#NAME?</v>
      </c>
      <c r="S78" s="126" t="e">
        <f t="shared" ca="1" si="119"/>
        <v>#NAME?</v>
      </c>
      <c r="T78" s="126" t="e">
        <f t="shared" ca="1" si="119"/>
        <v>#NAME?</v>
      </c>
      <c r="U78" s="126" t="e">
        <f t="shared" ca="1" si="119"/>
        <v>#NAME?</v>
      </c>
      <c r="V78" s="126" t="e">
        <f t="shared" ca="1" si="119"/>
        <v>#NAME?</v>
      </c>
      <c r="W78" s="126" t="e">
        <f t="shared" ca="1" si="119"/>
        <v>#NAME?</v>
      </c>
      <c r="X78" s="126" t="e">
        <f t="shared" ca="1" si="119"/>
        <v>#NAME?</v>
      </c>
      <c r="Y78" s="126" t="e">
        <f t="shared" ca="1" si="119"/>
        <v>#NAME?</v>
      </c>
      <c r="Z78" s="126" t="e">
        <f t="shared" ca="1" si="119"/>
        <v>#NAME?</v>
      </c>
    </row>
    <row r="79" spans="4:26" customFormat="1" x14ac:dyDescent="0.15">
      <c r="D79" s="126" t="e">
        <f t="shared" ref="D79:Z79" ca="1" si="120">IF(BatSplit(D28,RunsScored)&gt;=50,BatSplit(D28,RunsScored)&amp;IF(BatSplit(D28,NotOuts)=1,"*","")&amp;"|"&amp;$C28&amp;"|"&amp;D$2&amp;"|"&amp;TEXT(D$1,"dd-mmm"),"x")</f>
        <v>#NAME?</v>
      </c>
      <c r="E79" s="126" t="e">
        <f t="shared" ca="1" si="120"/>
        <v>#NAME?</v>
      </c>
      <c r="F79" s="126" t="e">
        <f t="shared" ca="1" si="120"/>
        <v>#NAME?</v>
      </c>
      <c r="G79" s="126" t="e">
        <f t="shared" ca="1" si="120"/>
        <v>#NAME?</v>
      </c>
      <c r="H79" s="126" t="e">
        <f t="shared" ca="1" si="120"/>
        <v>#NAME?</v>
      </c>
      <c r="I79" s="126" t="e">
        <f t="shared" ca="1" si="120"/>
        <v>#NAME?</v>
      </c>
      <c r="J79" s="126" t="e">
        <f t="shared" ca="1" si="120"/>
        <v>#NAME?</v>
      </c>
      <c r="K79" s="126" t="e">
        <f t="shared" ca="1" si="120"/>
        <v>#NAME?</v>
      </c>
      <c r="L79" s="126" t="e">
        <f t="shared" ca="1" si="120"/>
        <v>#NAME?</v>
      </c>
      <c r="M79" s="126" t="e">
        <f t="shared" ca="1" si="120"/>
        <v>#NAME?</v>
      </c>
      <c r="N79" s="126" t="e">
        <f t="shared" ca="1" si="120"/>
        <v>#NAME?</v>
      </c>
      <c r="O79" s="126" t="e">
        <f t="shared" ca="1" si="120"/>
        <v>#NAME?</v>
      </c>
      <c r="P79" s="126" t="e">
        <f t="shared" ca="1" si="120"/>
        <v>#NAME?</v>
      </c>
      <c r="Q79" s="126" t="e">
        <f t="shared" ca="1" si="120"/>
        <v>#NAME?</v>
      </c>
      <c r="R79" s="126" t="e">
        <f t="shared" ca="1" si="120"/>
        <v>#NAME?</v>
      </c>
      <c r="S79" s="126" t="e">
        <f t="shared" ca="1" si="120"/>
        <v>#NAME?</v>
      </c>
      <c r="T79" s="126" t="e">
        <f t="shared" ca="1" si="120"/>
        <v>#NAME?</v>
      </c>
      <c r="U79" s="126" t="e">
        <f t="shared" ca="1" si="120"/>
        <v>#NAME?</v>
      </c>
      <c r="V79" s="126" t="e">
        <f t="shared" ca="1" si="120"/>
        <v>#NAME?</v>
      </c>
      <c r="W79" s="126" t="e">
        <f t="shared" ca="1" si="120"/>
        <v>#NAME?</v>
      </c>
      <c r="X79" s="126" t="e">
        <f t="shared" ca="1" si="120"/>
        <v>#NAME?</v>
      </c>
      <c r="Y79" s="126" t="e">
        <f t="shared" ca="1" si="120"/>
        <v>#NAME?</v>
      </c>
      <c r="Z79" s="126" t="e">
        <f t="shared" ca="1" si="120"/>
        <v>#NAME?</v>
      </c>
    </row>
    <row r="80" spans="4:26" customFormat="1" x14ac:dyDescent="0.15">
      <c r="D80" s="126" t="e">
        <f t="shared" ref="D80:Z80" ca="1" si="121">IF(BatSplit(D29,RunsScored)&gt;=50,BatSplit(D29,RunsScored)&amp;IF(BatSplit(D29,NotOuts)=1,"*","")&amp;"|"&amp;$C29&amp;"|"&amp;D$2&amp;"|"&amp;TEXT(D$1,"dd-mmm"),"x")</f>
        <v>#NAME?</v>
      </c>
      <c r="E80" s="126" t="e">
        <f t="shared" ca="1" si="121"/>
        <v>#NAME?</v>
      </c>
      <c r="F80" s="126" t="e">
        <f t="shared" ca="1" si="121"/>
        <v>#NAME?</v>
      </c>
      <c r="G80" s="126" t="e">
        <f t="shared" ca="1" si="121"/>
        <v>#NAME?</v>
      </c>
      <c r="H80" s="126" t="e">
        <f t="shared" ca="1" si="121"/>
        <v>#NAME?</v>
      </c>
      <c r="I80" s="126" t="e">
        <f t="shared" ca="1" si="121"/>
        <v>#NAME?</v>
      </c>
      <c r="J80" s="126" t="e">
        <f t="shared" ca="1" si="121"/>
        <v>#NAME?</v>
      </c>
      <c r="K80" s="126" t="e">
        <f t="shared" ca="1" si="121"/>
        <v>#NAME?</v>
      </c>
      <c r="L80" s="126" t="e">
        <f t="shared" ca="1" si="121"/>
        <v>#NAME?</v>
      </c>
      <c r="M80" s="126" t="e">
        <f t="shared" ca="1" si="121"/>
        <v>#NAME?</v>
      </c>
      <c r="N80" s="126" t="e">
        <f t="shared" ca="1" si="121"/>
        <v>#NAME?</v>
      </c>
      <c r="O80" s="126" t="e">
        <f t="shared" ca="1" si="121"/>
        <v>#NAME?</v>
      </c>
      <c r="P80" s="126" t="e">
        <f t="shared" ca="1" si="121"/>
        <v>#NAME?</v>
      </c>
      <c r="Q80" s="126" t="e">
        <f t="shared" ca="1" si="121"/>
        <v>#NAME?</v>
      </c>
      <c r="R80" s="126" t="e">
        <f t="shared" ca="1" si="121"/>
        <v>#NAME?</v>
      </c>
      <c r="S80" s="126" t="e">
        <f t="shared" ca="1" si="121"/>
        <v>#NAME?</v>
      </c>
      <c r="T80" s="126" t="e">
        <f t="shared" ca="1" si="121"/>
        <v>#NAME?</v>
      </c>
      <c r="U80" s="126" t="e">
        <f t="shared" ca="1" si="121"/>
        <v>#NAME?</v>
      </c>
      <c r="V80" s="126" t="e">
        <f t="shared" ca="1" si="121"/>
        <v>#NAME?</v>
      </c>
      <c r="W80" s="126" t="e">
        <f t="shared" ca="1" si="121"/>
        <v>#NAME?</v>
      </c>
      <c r="X80" s="126" t="e">
        <f t="shared" ca="1" si="121"/>
        <v>#NAME?</v>
      </c>
      <c r="Y80" s="126" t="e">
        <f t="shared" ca="1" si="121"/>
        <v>#NAME?</v>
      </c>
      <c r="Z80" s="126" t="e">
        <f t="shared" ca="1" si="121"/>
        <v>#NAME?</v>
      </c>
    </row>
    <row r="81" spans="4:26" customFormat="1" x14ac:dyDescent="0.15">
      <c r="D81" s="126" t="e">
        <f t="shared" ref="D81:Z81" ca="1" si="122">IF(BatSplit(D30,RunsScored)&gt;=50,BatSplit(D30,RunsScored)&amp;IF(BatSplit(D30,NotOuts)=1,"*","")&amp;"|"&amp;$C30&amp;"|"&amp;D$2&amp;"|"&amp;TEXT(D$1,"dd-mmm"),"x")</f>
        <v>#NAME?</v>
      </c>
      <c r="E81" s="126" t="e">
        <f t="shared" ca="1" si="122"/>
        <v>#NAME?</v>
      </c>
      <c r="F81" s="126" t="e">
        <f t="shared" ca="1" si="122"/>
        <v>#NAME?</v>
      </c>
      <c r="G81" s="126" t="e">
        <f t="shared" ca="1" si="122"/>
        <v>#NAME?</v>
      </c>
      <c r="H81" s="126" t="e">
        <f t="shared" ca="1" si="122"/>
        <v>#NAME?</v>
      </c>
      <c r="I81" s="126" t="e">
        <f t="shared" ca="1" si="122"/>
        <v>#NAME?</v>
      </c>
      <c r="J81" s="126" t="e">
        <f t="shared" ca="1" si="122"/>
        <v>#NAME?</v>
      </c>
      <c r="K81" s="126" t="e">
        <f t="shared" ca="1" si="122"/>
        <v>#NAME?</v>
      </c>
      <c r="L81" s="126" t="e">
        <f t="shared" ca="1" si="122"/>
        <v>#NAME?</v>
      </c>
      <c r="M81" s="126" t="e">
        <f t="shared" ca="1" si="122"/>
        <v>#NAME?</v>
      </c>
      <c r="N81" s="126" t="e">
        <f t="shared" ca="1" si="122"/>
        <v>#NAME?</v>
      </c>
      <c r="O81" s="126" t="e">
        <f t="shared" ca="1" si="122"/>
        <v>#NAME?</v>
      </c>
      <c r="P81" s="126" t="e">
        <f t="shared" ca="1" si="122"/>
        <v>#NAME?</v>
      </c>
      <c r="Q81" s="126" t="e">
        <f t="shared" ca="1" si="122"/>
        <v>#NAME?</v>
      </c>
      <c r="R81" s="126" t="e">
        <f t="shared" ca="1" si="122"/>
        <v>#NAME?</v>
      </c>
      <c r="S81" s="126" t="e">
        <f t="shared" ca="1" si="122"/>
        <v>#NAME?</v>
      </c>
      <c r="T81" s="126" t="e">
        <f t="shared" ca="1" si="122"/>
        <v>#NAME?</v>
      </c>
      <c r="U81" s="126" t="e">
        <f t="shared" ca="1" si="122"/>
        <v>#NAME?</v>
      </c>
      <c r="V81" s="126" t="e">
        <f t="shared" ca="1" si="122"/>
        <v>#NAME?</v>
      </c>
      <c r="W81" s="126" t="e">
        <f t="shared" ca="1" si="122"/>
        <v>#NAME?</v>
      </c>
      <c r="X81" s="126" t="e">
        <f t="shared" ca="1" si="122"/>
        <v>#NAME?</v>
      </c>
      <c r="Y81" s="126" t="e">
        <f t="shared" ca="1" si="122"/>
        <v>#NAME?</v>
      </c>
      <c r="Z81" s="126" t="e">
        <f t="shared" ca="1" si="122"/>
        <v>#NAME?</v>
      </c>
    </row>
    <row r="82" spans="4:26" customFormat="1" x14ac:dyDescent="0.15">
      <c r="D82" s="126" t="e">
        <f t="shared" ref="D82:Z82" ca="1" si="123">IF(BatSplit(D31,RunsScored)&gt;=50,BatSplit(D31,RunsScored)&amp;IF(BatSplit(D31,NotOuts)=1,"*","")&amp;"|"&amp;$C31&amp;"|"&amp;D$2&amp;"|"&amp;TEXT(D$1,"dd-mmm"),"x")</f>
        <v>#NAME?</v>
      </c>
      <c r="E82" s="126" t="e">
        <f t="shared" ca="1" si="123"/>
        <v>#NAME?</v>
      </c>
      <c r="F82" s="126" t="e">
        <f t="shared" ca="1" si="123"/>
        <v>#NAME?</v>
      </c>
      <c r="G82" s="126" t="e">
        <f t="shared" ca="1" si="123"/>
        <v>#NAME?</v>
      </c>
      <c r="H82" s="126" t="e">
        <f t="shared" ca="1" si="123"/>
        <v>#NAME?</v>
      </c>
      <c r="I82" s="126" t="e">
        <f t="shared" ca="1" si="123"/>
        <v>#NAME?</v>
      </c>
      <c r="J82" s="126" t="e">
        <f t="shared" ca="1" si="123"/>
        <v>#NAME?</v>
      </c>
      <c r="K82" s="126" t="e">
        <f t="shared" ca="1" si="123"/>
        <v>#NAME?</v>
      </c>
      <c r="L82" s="126" t="e">
        <f t="shared" ca="1" si="123"/>
        <v>#NAME?</v>
      </c>
      <c r="M82" s="126" t="e">
        <f t="shared" ca="1" si="123"/>
        <v>#NAME?</v>
      </c>
      <c r="N82" s="126" t="e">
        <f t="shared" ca="1" si="123"/>
        <v>#NAME?</v>
      </c>
      <c r="O82" s="126" t="e">
        <f t="shared" ca="1" si="123"/>
        <v>#NAME?</v>
      </c>
      <c r="P82" s="126" t="e">
        <f t="shared" ca="1" si="123"/>
        <v>#NAME?</v>
      </c>
      <c r="Q82" s="126" t="e">
        <f t="shared" ca="1" si="123"/>
        <v>#NAME?</v>
      </c>
      <c r="R82" s="126" t="e">
        <f t="shared" ca="1" si="123"/>
        <v>#NAME?</v>
      </c>
      <c r="S82" s="126" t="e">
        <f t="shared" ca="1" si="123"/>
        <v>#NAME?</v>
      </c>
      <c r="T82" s="126" t="e">
        <f t="shared" ca="1" si="123"/>
        <v>#NAME?</v>
      </c>
      <c r="U82" s="126" t="e">
        <f t="shared" ca="1" si="123"/>
        <v>#NAME?</v>
      </c>
      <c r="V82" s="126" t="e">
        <f t="shared" ca="1" si="123"/>
        <v>#NAME?</v>
      </c>
      <c r="W82" s="126" t="e">
        <f t="shared" ca="1" si="123"/>
        <v>#NAME?</v>
      </c>
      <c r="X82" s="126" t="e">
        <f t="shared" ca="1" si="123"/>
        <v>#NAME?</v>
      </c>
      <c r="Y82" s="126" t="e">
        <f t="shared" ca="1" si="123"/>
        <v>#NAME?</v>
      </c>
      <c r="Z82" s="126" t="e">
        <f t="shared" ca="1" si="123"/>
        <v>#NAME?</v>
      </c>
    </row>
    <row r="83" spans="4:26" customFormat="1" x14ac:dyDescent="0.15">
      <c r="D83" s="126" t="e">
        <f t="shared" ref="D83:Z83" ca="1" si="124">IF(BatSplit(D32,RunsScored)&gt;=50,BatSplit(D32,RunsScored)&amp;IF(BatSplit(D32,NotOuts)=1,"*","")&amp;"|"&amp;$C32&amp;"|"&amp;D$2&amp;"|"&amp;TEXT(D$1,"dd-mmm"),"x")</f>
        <v>#NAME?</v>
      </c>
      <c r="E83" s="126" t="e">
        <f t="shared" ca="1" si="124"/>
        <v>#NAME?</v>
      </c>
      <c r="F83" s="126" t="e">
        <f t="shared" ca="1" si="124"/>
        <v>#NAME?</v>
      </c>
      <c r="G83" s="126" t="e">
        <f t="shared" ca="1" si="124"/>
        <v>#NAME?</v>
      </c>
      <c r="H83" s="126" t="e">
        <f t="shared" ca="1" si="124"/>
        <v>#NAME?</v>
      </c>
      <c r="I83" s="126" t="e">
        <f t="shared" ca="1" si="124"/>
        <v>#NAME?</v>
      </c>
      <c r="J83" s="126" t="e">
        <f t="shared" ca="1" si="124"/>
        <v>#NAME?</v>
      </c>
      <c r="K83" s="126" t="e">
        <f t="shared" ca="1" si="124"/>
        <v>#NAME?</v>
      </c>
      <c r="L83" s="126" t="e">
        <f t="shared" ca="1" si="124"/>
        <v>#NAME?</v>
      </c>
      <c r="M83" s="126" t="e">
        <f t="shared" ca="1" si="124"/>
        <v>#NAME?</v>
      </c>
      <c r="N83" s="126" t="e">
        <f t="shared" ca="1" si="124"/>
        <v>#NAME?</v>
      </c>
      <c r="O83" s="126" t="e">
        <f t="shared" ca="1" si="124"/>
        <v>#NAME?</v>
      </c>
      <c r="P83" s="126" t="e">
        <f t="shared" ca="1" si="124"/>
        <v>#NAME?</v>
      </c>
      <c r="Q83" s="126" t="e">
        <f t="shared" ca="1" si="124"/>
        <v>#NAME?</v>
      </c>
      <c r="R83" s="126" t="e">
        <f t="shared" ca="1" si="124"/>
        <v>#NAME?</v>
      </c>
      <c r="S83" s="126" t="e">
        <f t="shared" ca="1" si="124"/>
        <v>#NAME?</v>
      </c>
      <c r="T83" s="126" t="e">
        <f t="shared" ca="1" si="124"/>
        <v>#NAME?</v>
      </c>
      <c r="U83" s="126" t="e">
        <f t="shared" ca="1" si="124"/>
        <v>#NAME?</v>
      </c>
      <c r="V83" s="126" t="e">
        <f t="shared" ca="1" si="124"/>
        <v>#NAME?</v>
      </c>
      <c r="W83" s="126" t="e">
        <f t="shared" ca="1" si="124"/>
        <v>#NAME?</v>
      </c>
      <c r="X83" s="126" t="e">
        <f t="shared" ca="1" si="124"/>
        <v>#NAME?</v>
      </c>
      <c r="Y83" s="126" t="e">
        <f t="shared" ca="1" si="124"/>
        <v>#NAME?</v>
      </c>
      <c r="Z83" s="126" t="e">
        <f t="shared" ca="1" si="124"/>
        <v>#NAME?</v>
      </c>
    </row>
    <row r="84" spans="4:26" customFormat="1" x14ac:dyDescent="0.15">
      <c r="D84" s="126" t="e">
        <f t="shared" ref="D84:Z84" ca="1" si="125">IF(BatSplit(D33,RunsScored)&gt;=50,BatSplit(D33,RunsScored)&amp;IF(BatSplit(D33,NotOuts)=1,"*","")&amp;"|"&amp;$C33&amp;"|"&amp;D$2&amp;"|"&amp;TEXT(D$1,"dd-mmm"),"x")</f>
        <v>#NAME?</v>
      </c>
      <c r="E84" s="126" t="e">
        <f t="shared" ca="1" si="125"/>
        <v>#NAME?</v>
      </c>
      <c r="F84" s="126" t="e">
        <f t="shared" ca="1" si="125"/>
        <v>#NAME?</v>
      </c>
      <c r="G84" s="126" t="e">
        <f t="shared" ca="1" si="125"/>
        <v>#NAME?</v>
      </c>
      <c r="H84" s="126" t="e">
        <f t="shared" ca="1" si="125"/>
        <v>#NAME?</v>
      </c>
      <c r="I84" s="126" t="e">
        <f t="shared" ca="1" si="125"/>
        <v>#NAME?</v>
      </c>
      <c r="J84" s="126" t="e">
        <f t="shared" ca="1" si="125"/>
        <v>#NAME?</v>
      </c>
      <c r="K84" s="126" t="e">
        <f t="shared" ca="1" si="125"/>
        <v>#NAME?</v>
      </c>
      <c r="L84" s="126" t="e">
        <f t="shared" ca="1" si="125"/>
        <v>#NAME?</v>
      </c>
      <c r="M84" s="126" t="e">
        <f t="shared" ca="1" si="125"/>
        <v>#NAME?</v>
      </c>
      <c r="N84" s="126" t="e">
        <f t="shared" ca="1" si="125"/>
        <v>#NAME?</v>
      </c>
      <c r="O84" s="126" t="e">
        <f t="shared" ca="1" si="125"/>
        <v>#NAME?</v>
      </c>
      <c r="P84" s="126" t="e">
        <f t="shared" ca="1" si="125"/>
        <v>#NAME?</v>
      </c>
      <c r="Q84" s="126" t="e">
        <f t="shared" ca="1" si="125"/>
        <v>#NAME?</v>
      </c>
      <c r="R84" s="126" t="e">
        <f t="shared" ca="1" si="125"/>
        <v>#NAME?</v>
      </c>
      <c r="S84" s="126" t="e">
        <f t="shared" ca="1" si="125"/>
        <v>#NAME?</v>
      </c>
      <c r="T84" s="126" t="e">
        <f t="shared" ca="1" si="125"/>
        <v>#NAME?</v>
      </c>
      <c r="U84" s="126" t="e">
        <f t="shared" ca="1" si="125"/>
        <v>#NAME?</v>
      </c>
      <c r="V84" s="126" t="e">
        <f t="shared" ca="1" si="125"/>
        <v>#NAME?</v>
      </c>
      <c r="W84" s="126" t="e">
        <f t="shared" ca="1" si="125"/>
        <v>#NAME?</v>
      </c>
      <c r="X84" s="126" t="e">
        <f t="shared" ca="1" si="125"/>
        <v>#NAME?</v>
      </c>
      <c r="Y84" s="126" t="e">
        <f t="shared" ca="1" si="125"/>
        <v>#NAME?</v>
      </c>
      <c r="Z84" s="126" t="e">
        <f t="shared" ca="1" si="125"/>
        <v>#NAME?</v>
      </c>
    </row>
    <row r="85" spans="4:26" customFormat="1" x14ac:dyDescent="0.15">
      <c r="D85" s="126" t="e">
        <f t="shared" ref="D85:Z85" ca="1" si="126">IF(BatSplit(D34,RunsScored)&gt;=50,BatSplit(D34,RunsScored)&amp;IF(BatSplit(D34,NotOuts)=1,"*","")&amp;"|"&amp;$C34&amp;"|"&amp;D$2&amp;"|"&amp;TEXT(D$1,"dd-mmm"),"x")</f>
        <v>#NAME?</v>
      </c>
      <c r="E85" s="126" t="e">
        <f t="shared" ca="1" si="126"/>
        <v>#NAME?</v>
      </c>
      <c r="F85" s="126" t="e">
        <f t="shared" ca="1" si="126"/>
        <v>#NAME?</v>
      </c>
      <c r="G85" s="126" t="e">
        <f t="shared" ca="1" si="126"/>
        <v>#NAME?</v>
      </c>
      <c r="H85" s="126" t="e">
        <f t="shared" ca="1" si="126"/>
        <v>#NAME?</v>
      </c>
      <c r="I85" s="126" t="e">
        <f t="shared" ca="1" si="126"/>
        <v>#NAME?</v>
      </c>
      <c r="J85" s="126" t="e">
        <f t="shared" ca="1" si="126"/>
        <v>#NAME?</v>
      </c>
      <c r="K85" s="126" t="e">
        <f t="shared" ca="1" si="126"/>
        <v>#NAME?</v>
      </c>
      <c r="L85" s="126" t="e">
        <f t="shared" ca="1" si="126"/>
        <v>#NAME?</v>
      </c>
      <c r="M85" s="126" t="e">
        <f t="shared" ca="1" si="126"/>
        <v>#NAME?</v>
      </c>
      <c r="N85" s="126" t="e">
        <f t="shared" ca="1" si="126"/>
        <v>#NAME?</v>
      </c>
      <c r="O85" s="126" t="e">
        <f t="shared" ca="1" si="126"/>
        <v>#NAME?</v>
      </c>
      <c r="P85" s="126" t="e">
        <f t="shared" ca="1" si="126"/>
        <v>#NAME?</v>
      </c>
      <c r="Q85" s="126" t="e">
        <f t="shared" ca="1" si="126"/>
        <v>#NAME?</v>
      </c>
      <c r="R85" s="126" t="e">
        <f t="shared" ca="1" si="126"/>
        <v>#NAME?</v>
      </c>
      <c r="S85" s="126" t="e">
        <f t="shared" ca="1" si="126"/>
        <v>#NAME?</v>
      </c>
      <c r="T85" s="126" t="e">
        <f t="shared" ca="1" si="126"/>
        <v>#NAME?</v>
      </c>
      <c r="U85" s="126" t="e">
        <f t="shared" ca="1" si="126"/>
        <v>#NAME?</v>
      </c>
      <c r="V85" s="126" t="e">
        <f t="shared" ca="1" si="126"/>
        <v>#NAME?</v>
      </c>
      <c r="W85" s="126" t="e">
        <f t="shared" ca="1" si="126"/>
        <v>#NAME?</v>
      </c>
      <c r="X85" s="126" t="e">
        <f t="shared" ca="1" si="126"/>
        <v>#NAME?</v>
      </c>
      <c r="Y85" s="126" t="e">
        <f t="shared" ca="1" si="126"/>
        <v>#NAME?</v>
      </c>
      <c r="Z85" s="126" t="e">
        <f t="shared" ca="1" si="126"/>
        <v>#NAME?</v>
      </c>
    </row>
    <row r="86" spans="4:26" customFormat="1" x14ac:dyDescent="0.15">
      <c r="D86" s="126" t="e">
        <f t="shared" ref="D86:Z86" ca="1" si="127">IF(BatSplit(D35,RunsScored)&gt;=50,BatSplit(D35,RunsScored)&amp;IF(BatSplit(D35,NotOuts)=1,"*","")&amp;"|"&amp;$C35&amp;"|"&amp;D$2&amp;"|"&amp;TEXT(D$1,"dd-mmm"),"x")</f>
        <v>#NAME?</v>
      </c>
      <c r="E86" s="126" t="e">
        <f t="shared" ca="1" si="127"/>
        <v>#NAME?</v>
      </c>
      <c r="F86" s="126" t="e">
        <f t="shared" ca="1" si="127"/>
        <v>#NAME?</v>
      </c>
      <c r="G86" s="126" t="e">
        <f t="shared" ca="1" si="127"/>
        <v>#NAME?</v>
      </c>
      <c r="H86" s="126" t="e">
        <f t="shared" ca="1" si="127"/>
        <v>#NAME?</v>
      </c>
      <c r="I86" s="126" t="e">
        <f t="shared" ca="1" si="127"/>
        <v>#NAME?</v>
      </c>
      <c r="J86" s="126" t="e">
        <f t="shared" ca="1" si="127"/>
        <v>#NAME?</v>
      </c>
      <c r="K86" s="126" t="e">
        <f t="shared" ca="1" si="127"/>
        <v>#NAME?</v>
      </c>
      <c r="L86" s="126" t="e">
        <f t="shared" ca="1" si="127"/>
        <v>#NAME?</v>
      </c>
      <c r="M86" s="126" t="e">
        <f t="shared" ca="1" si="127"/>
        <v>#NAME?</v>
      </c>
      <c r="N86" s="126" t="e">
        <f t="shared" ca="1" si="127"/>
        <v>#NAME?</v>
      </c>
      <c r="O86" s="126" t="e">
        <f t="shared" ca="1" si="127"/>
        <v>#NAME?</v>
      </c>
      <c r="P86" s="126" t="e">
        <f t="shared" ca="1" si="127"/>
        <v>#NAME?</v>
      </c>
      <c r="Q86" s="126" t="e">
        <f t="shared" ca="1" si="127"/>
        <v>#NAME?</v>
      </c>
      <c r="R86" s="126" t="e">
        <f t="shared" ca="1" si="127"/>
        <v>#NAME?</v>
      </c>
      <c r="S86" s="126" t="e">
        <f t="shared" ca="1" si="127"/>
        <v>#NAME?</v>
      </c>
      <c r="T86" s="126" t="e">
        <f t="shared" ca="1" si="127"/>
        <v>#NAME?</v>
      </c>
      <c r="U86" s="126" t="e">
        <f t="shared" ca="1" si="127"/>
        <v>#NAME?</v>
      </c>
      <c r="V86" s="126" t="e">
        <f t="shared" ca="1" si="127"/>
        <v>#NAME?</v>
      </c>
      <c r="W86" s="126" t="e">
        <f t="shared" ca="1" si="127"/>
        <v>#NAME?</v>
      </c>
      <c r="X86" s="126" t="e">
        <f t="shared" ca="1" si="127"/>
        <v>#NAME?</v>
      </c>
      <c r="Y86" s="126" t="e">
        <f t="shared" ca="1" si="127"/>
        <v>#NAME?</v>
      </c>
      <c r="Z86" s="126" t="e">
        <f t="shared" ca="1" si="127"/>
        <v>#NAME?</v>
      </c>
    </row>
    <row r="87" spans="4:26" customFormat="1" x14ac:dyDescent="0.15">
      <c r="D87" s="126" t="e">
        <f t="shared" ref="D87:Z87" ca="1" si="128">IF(BatSplit(D36,RunsScored)&gt;=50,BatSplit(D36,RunsScored)&amp;IF(BatSplit(D36,NotOuts)=1,"*","")&amp;"|"&amp;$C36&amp;"|"&amp;D$2&amp;"|"&amp;TEXT(D$1,"dd-mmm"),"x")</f>
        <v>#NAME?</v>
      </c>
      <c r="E87" s="126" t="e">
        <f t="shared" ca="1" si="128"/>
        <v>#NAME?</v>
      </c>
      <c r="F87" s="126" t="e">
        <f t="shared" ca="1" si="128"/>
        <v>#NAME?</v>
      </c>
      <c r="G87" s="126" t="e">
        <f t="shared" ca="1" si="128"/>
        <v>#NAME?</v>
      </c>
      <c r="H87" s="126" t="e">
        <f t="shared" ca="1" si="128"/>
        <v>#NAME?</v>
      </c>
      <c r="I87" s="126" t="e">
        <f t="shared" ca="1" si="128"/>
        <v>#NAME?</v>
      </c>
      <c r="J87" s="126" t="e">
        <f t="shared" ca="1" si="128"/>
        <v>#NAME?</v>
      </c>
      <c r="K87" s="126" t="e">
        <f t="shared" ca="1" si="128"/>
        <v>#NAME?</v>
      </c>
      <c r="L87" s="126" t="e">
        <f t="shared" ca="1" si="128"/>
        <v>#NAME?</v>
      </c>
      <c r="M87" s="126" t="e">
        <f t="shared" ca="1" si="128"/>
        <v>#NAME?</v>
      </c>
      <c r="N87" s="126" t="e">
        <f t="shared" ca="1" si="128"/>
        <v>#NAME?</v>
      </c>
      <c r="O87" s="126" t="e">
        <f t="shared" ca="1" si="128"/>
        <v>#NAME?</v>
      </c>
      <c r="P87" s="126" t="e">
        <f t="shared" ca="1" si="128"/>
        <v>#NAME?</v>
      </c>
      <c r="Q87" s="126" t="e">
        <f t="shared" ca="1" si="128"/>
        <v>#NAME?</v>
      </c>
      <c r="R87" s="126" t="e">
        <f t="shared" ca="1" si="128"/>
        <v>#NAME?</v>
      </c>
      <c r="S87" s="126" t="e">
        <f t="shared" ca="1" si="128"/>
        <v>#NAME?</v>
      </c>
      <c r="T87" s="126" t="e">
        <f t="shared" ca="1" si="128"/>
        <v>#NAME?</v>
      </c>
      <c r="U87" s="126" t="e">
        <f t="shared" ca="1" si="128"/>
        <v>#NAME?</v>
      </c>
      <c r="V87" s="126" t="e">
        <f t="shared" ca="1" si="128"/>
        <v>#NAME?</v>
      </c>
      <c r="W87" s="126" t="e">
        <f t="shared" ca="1" si="128"/>
        <v>#NAME?</v>
      </c>
      <c r="X87" s="126" t="e">
        <f t="shared" ca="1" si="128"/>
        <v>#NAME?</v>
      </c>
      <c r="Y87" s="126" t="e">
        <f t="shared" ca="1" si="128"/>
        <v>#NAME?</v>
      </c>
      <c r="Z87" s="126" t="e">
        <f t="shared" ca="1" si="128"/>
        <v>#NAME?</v>
      </c>
    </row>
    <row r="88" spans="4:26" customFormat="1" x14ac:dyDescent="0.15">
      <c r="D88" s="126" t="e">
        <f t="shared" ref="D88:Z88" ca="1" si="129">IF(BatSplit(D37,RunsScored)&gt;=50,BatSplit(D37,RunsScored)&amp;IF(BatSplit(D37,NotOuts)=1,"*","")&amp;"|"&amp;$C37&amp;"|"&amp;D$2&amp;"|"&amp;TEXT(D$1,"dd-mmm"),"x")</f>
        <v>#NAME?</v>
      </c>
      <c r="E88" s="126" t="e">
        <f t="shared" ca="1" si="129"/>
        <v>#NAME?</v>
      </c>
      <c r="F88" s="126" t="e">
        <f t="shared" ca="1" si="129"/>
        <v>#NAME?</v>
      </c>
      <c r="G88" s="126" t="e">
        <f t="shared" ca="1" si="129"/>
        <v>#NAME?</v>
      </c>
      <c r="H88" s="126" t="e">
        <f t="shared" ca="1" si="129"/>
        <v>#NAME?</v>
      </c>
      <c r="I88" s="126" t="e">
        <f t="shared" ca="1" si="129"/>
        <v>#NAME?</v>
      </c>
      <c r="J88" s="126" t="e">
        <f t="shared" ca="1" si="129"/>
        <v>#NAME?</v>
      </c>
      <c r="K88" s="126" t="e">
        <f t="shared" ca="1" si="129"/>
        <v>#NAME?</v>
      </c>
      <c r="L88" s="126" t="e">
        <f t="shared" ca="1" si="129"/>
        <v>#NAME?</v>
      </c>
      <c r="M88" s="126" t="e">
        <f t="shared" ca="1" si="129"/>
        <v>#NAME?</v>
      </c>
      <c r="N88" s="126" t="e">
        <f t="shared" ca="1" si="129"/>
        <v>#NAME?</v>
      </c>
      <c r="O88" s="126" t="e">
        <f t="shared" ca="1" si="129"/>
        <v>#NAME?</v>
      </c>
      <c r="P88" s="126" t="e">
        <f t="shared" ca="1" si="129"/>
        <v>#NAME?</v>
      </c>
      <c r="Q88" s="126" t="e">
        <f t="shared" ca="1" si="129"/>
        <v>#NAME?</v>
      </c>
      <c r="R88" s="126" t="e">
        <f t="shared" ca="1" si="129"/>
        <v>#NAME?</v>
      </c>
      <c r="S88" s="126" t="e">
        <f t="shared" ca="1" si="129"/>
        <v>#NAME?</v>
      </c>
      <c r="T88" s="126" t="e">
        <f t="shared" ca="1" si="129"/>
        <v>#NAME?</v>
      </c>
      <c r="U88" s="126" t="e">
        <f t="shared" ca="1" si="129"/>
        <v>#NAME?</v>
      </c>
      <c r="V88" s="126" t="e">
        <f t="shared" ca="1" si="129"/>
        <v>#NAME?</v>
      </c>
      <c r="W88" s="126" t="e">
        <f t="shared" ca="1" si="129"/>
        <v>#NAME?</v>
      </c>
      <c r="X88" s="126" t="e">
        <f t="shared" ca="1" si="129"/>
        <v>#NAME?</v>
      </c>
      <c r="Y88" s="126" t="e">
        <f t="shared" ca="1" si="129"/>
        <v>#NAME?</v>
      </c>
      <c r="Z88" s="126" t="e">
        <f t="shared" ca="1" si="129"/>
        <v>#NAME?</v>
      </c>
    </row>
    <row r="89" spans="4:26" customFormat="1" x14ac:dyDescent="0.15">
      <c r="D89" s="126" t="e">
        <f t="shared" ref="D89:Z89" ca="1" si="130">IF(BatSplit(D38,RunsScored)&gt;=50,BatSplit(D38,RunsScored)&amp;IF(BatSplit(D38,NotOuts)=1,"*","")&amp;"|"&amp;$C38&amp;"|"&amp;D$2&amp;"|"&amp;TEXT(D$1,"dd-mmm"),"x")</f>
        <v>#NAME?</v>
      </c>
      <c r="E89" s="126" t="e">
        <f t="shared" ca="1" si="130"/>
        <v>#NAME?</v>
      </c>
      <c r="F89" s="126" t="e">
        <f t="shared" ca="1" si="130"/>
        <v>#NAME?</v>
      </c>
      <c r="G89" s="126" t="e">
        <f t="shared" ca="1" si="130"/>
        <v>#NAME?</v>
      </c>
      <c r="H89" s="126" t="e">
        <f t="shared" ca="1" si="130"/>
        <v>#NAME?</v>
      </c>
      <c r="I89" s="126" t="e">
        <f t="shared" ca="1" si="130"/>
        <v>#NAME?</v>
      </c>
      <c r="J89" s="126" t="e">
        <f t="shared" ca="1" si="130"/>
        <v>#NAME?</v>
      </c>
      <c r="K89" s="126" t="e">
        <f t="shared" ca="1" si="130"/>
        <v>#NAME?</v>
      </c>
      <c r="L89" s="126" t="e">
        <f t="shared" ca="1" si="130"/>
        <v>#NAME?</v>
      </c>
      <c r="M89" s="126" t="e">
        <f t="shared" ca="1" si="130"/>
        <v>#NAME?</v>
      </c>
      <c r="N89" s="126" t="e">
        <f t="shared" ca="1" si="130"/>
        <v>#NAME?</v>
      </c>
      <c r="O89" s="126" t="e">
        <f t="shared" ca="1" si="130"/>
        <v>#NAME?</v>
      </c>
      <c r="P89" s="126" t="e">
        <f t="shared" ca="1" si="130"/>
        <v>#NAME?</v>
      </c>
      <c r="Q89" s="126" t="e">
        <f t="shared" ca="1" si="130"/>
        <v>#NAME?</v>
      </c>
      <c r="R89" s="126" t="e">
        <f t="shared" ca="1" si="130"/>
        <v>#NAME?</v>
      </c>
      <c r="S89" s="126" t="e">
        <f t="shared" ca="1" si="130"/>
        <v>#NAME?</v>
      </c>
      <c r="T89" s="126" t="e">
        <f t="shared" ca="1" si="130"/>
        <v>#NAME?</v>
      </c>
      <c r="U89" s="126" t="e">
        <f t="shared" ca="1" si="130"/>
        <v>#NAME?</v>
      </c>
      <c r="V89" s="126" t="e">
        <f t="shared" ca="1" si="130"/>
        <v>#NAME?</v>
      </c>
      <c r="W89" s="126" t="e">
        <f t="shared" ca="1" si="130"/>
        <v>#NAME?</v>
      </c>
      <c r="X89" s="126" t="e">
        <f t="shared" ca="1" si="130"/>
        <v>#NAME?</v>
      </c>
      <c r="Y89" s="126" t="e">
        <f t="shared" ca="1" si="130"/>
        <v>#NAME?</v>
      </c>
      <c r="Z89" s="126" t="e">
        <f t="shared" ca="1" si="130"/>
        <v>#NAME?</v>
      </c>
    </row>
    <row r="90" spans="4:26" customFormat="1" x14ac:dyDescent="0.15">
      <c r="D90" s="126" t="e">
        <f t="shared" ref="D90:Z90" ca="1" si="131">IF(BatSplit(D39,RunsScored)&gt;=50,BatSplit(D39,RunsScored)&amp;IF(BatSplit(D39,NotOuts)=1,"*","")&amp;"|"&amp;$C39&amp;"|"&amp;D$2&amp;"|"&amp;TEXT(D$1,"dd-mmm"),"x")</f>
        <v>#NAME?</v>
      </c>
      <c r="E90" s="126" t="e">
        <f t="shared" ca="1" si="131"/>
        <v>#NAME?</v>
      </c>
      <c r="F90" s="126" t="e">
        <f t="shared" ca="1" si="131"/>
        <v>#NAME?</v>
      </c>
      <c r="G90" s="126" t="e">
        <f t="shared" ca="1" si="131"/>
        <v>#NAME?</v>
      </c>
      <c r="H90" s="126" t="e">
        <f t="shared" ca="1" si="131"/>
        <v>#NAME?</v>
      </c>
      <c r="I90" s="126" t="e">
        <f t="shared" ca="1" si="131"/>
        <v>#NAME?</v>
      </c>
      <c r="J90" s="126" t="e">
        <f t="shared" ca="1" si="131"/>
        <v>#NAME?</v>
      </c>
      <c r="K90" s="126" t="e">
        <f t="shared" ca="1" si="131"/>
        <v>#NAME?</v>
      </c>
      <c r="L90" s="126" t="e">
        <f t="shared" ca="1" si="131"/>
        <v>#NAME?</v>
      </c>
      <c r="M90" s="126" t="e">
        <f t="shared" ca="1" si="131"/>
        <v>#NAME?</v>
      </c>
      <c r="N90" s="126" t="e">
        <f t="shared" ca="1" si="131"/>
        <v>#NAME?</v>
      </c>
      <c r="O90" s="126" t="e">
        <f t="shared" ca="1" si="131"/>
        <v>#NAME?</v>
      </c>
      <c r="P90" s="126" t="e">
        <f t="shared" ca="1" si="131"/>
        <v>#NAME?</v>
      </c>
      <c r="Q90" s="126" t="e">
        <f t="shared" ca="1" si="131"/>
        <v>#NAME?</v>
      </c>
      <c r="R90" s="126" t="e">
        <f t="shared" ca="1" si="131"/>
        <v>#NAME?</v>
      </c>
      <c r="S90" s="126" t="e">
        <f t="shared" ca="1" si="131"/>
        <v>#NAME?</v>
      </c>
      <c r="T90" s="126" t="e">
        <f t="shared" ca="1" si="131"/>
        <v>#NAME?</v>
      </c>
      <c r="U90" s="126" t="e">
        <f t="shared" ca="1" si="131"/>
        <v>#NAME?</v>
      </c>
      <c r="V90" s="126" t="e">
        <f t="shared" ca="1" si="131"/>
        <v>#NAME?</v>
      </c>
      <c r="W90" s="126" t="e">
        <f t="shared" ca="1" si="131"/>
        <v>#NAME?</v>
      </c>
      <c r="X90" s="126" t="e">
        <f t="shared" ca="1" si="131"/>
        <v>#NAME?</v>
      </c>
      <c r="Y90" s="126" t="e">
        <f t="shared" ca="1" si="131"/>
        <v>#NAME?</v>
      </c>
      <c r="Z90" s="126" t="e">
        <f t="shared" ca="1" si="131"/>
        <v>#NAME?</v>
      </c>
    </row>
    <row r="91" spans="4:26" customFormat="1" x14ac:dyDescent="0.15"/>
    <row r="92" spans="4:26" customFormat="1" x14ac:dyDescent="0.15"/>
    <row r="93" spans="4:26" customFormat="1" x14ac:dyDescent="0.15"/>
    <row r="94" spans="4:26" customFormat="1" x14ac:dyDescent="0.15"/>
    <row r="95" spans="4:26" customFormat="1" x14ac:dyDescent="0.15"/>
    <row r="96" spans="4:2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phoneticPr fontId="0" type="noConversion"/>
  <conditionalFormatting sqref="CE51:CE60">
    <cfRule type="cellIs" dxfId="5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91"/>
  <sheetViews>
    <sheetView zoomScaleNormal="100" workbookViewId="0">
      <pane xSplit="2" ySplit="4" topLeftCell="G61" activePane="bottomRight" state="frozenSplit"/>
      <selection pane="topRight" activeCell="B1" sqref="B1"/>
      <selection pane="bottomLeft" activeCell="A5" sqref="A5"/>
      <selection pane="bottomRight" activeCell="V102" sqref="V102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39929</v>
      </c>
      <c r="D1" s="4">
        <v>39936</v>
      </c>
      <c r="E1" s="4">
        <v>39943</v>
      </c>
      <c r="F1" s="4">
        <v>39950</v>
      </c>
      <c r="G1" s="4">
        <v>39956</v>
      </c>
      <c r="H1" s="4">
        <v>39957</v>
      </c>
      <c r="I1" s="4">
        <v>39958</v>
      </c>
      <c r="J1" s="4">
        <v>39964</v>
      </c>
      <c r="K1" s="4">
        <v>39971</v>
      </c>
      <c r="L1" s="4">
        <v>39978</v>
      </c>
      <c r="M1" s="4">
        <v>39985</v>
      </c>
      <c r="N1" s="4">
        <v>39991</v>
      </c>
      <c r="O1" s="4">
        <v>39999</v>
      </c>
      <c r="P1" s="4">
        <v>40006</v>
      </c>
      <c r="Q1" s="4">
        <v>40013</v>
      </c>
      <c r="R1" s="4">
        <v>40020</v>
      </c>
      <c r="S1" s="4">
        <v>40027</v>
      </c>
      <c r="T1" s="4">
        <v>40034</v>
      </c>
      <c r="U1" s="4">
        <v>40041</v>
      </c>
      <c r="V1" s="4">
        <v>40048</v>
      </c>
      <c r="W1" s="4">
        <v>40055</v>
      </c>
      <c r="X1" s="4">
        <v>40062</v>
      </c>
      <c r="Y1" s="4">
        <v>40075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 Lamgas</v>
      </c>
      <c r="D2" s="1" t="str">
        <v>Norwood</v>
      </c>
      <c r="E2" s="1" t="str">
        <v>Robinson Lakeside</v>
      </c>
      <c r="F2" s="1" t="str">
        <v>Sydenham</v>
      </c>
      <c r="G2" s="1" t="str">
        <v>Churchleigh</v>
      </c>
      <c r="H2" s="1" t="str">
        <v>Woodgreen</v>
      </c>
      <c r="I2" s="1" t="str">
        <v>Steeple Langford</v>
      </c>
      <c r="J2" s="1" t="str">
        <v>Beddington</v>
      </c>
      <c r="K2" s="1" t="str">
        <v>Vishwa</v>
      </c>
      <c r="L2" s="1" t="str">
        <v>Sanderstead</v>
      </c>
      <c r="M2" s="1" t="str">
        <v>LESSA</v>
      </c>
      <c r="N2" s="1" t="str">
        <v>Catford Cyphers</v>
      </c>
      <c r="O2" s="1" t="str">
        <v>Norwood Exiles</v>
      </c>
      <c r="P2" s="1" t="str">
        <v>Old Josephians</v>
      </c>
      <c r="Q2" s="1" t="str">
        <v>Southern Railways</v>
      </c>
      <c r="R2" s="1" t="str">
        <v>Norwood</v>
      </c>
      <c r="S2" s="1" t="str">
        <v>Bromley Town</v>
      </c>
      <c r="T2" s="1" t="str">
        <v>John Fisher Lamgas</v>
      </c>
      <c r="U2" s="1" t="str">
        <v>Weybridge Vandals</v>
      </c>
      <c r="V2" s="1" t="str">
        <v>Norwood Exiles</v>
      </c>
      <c r="W2" s="1" t="str">
        <v>LESSA</v>
      </c>
      <c r="X2" s="1" t="str">
        <v>Churchleigh</v>
      </c>
      <c r="Y2" s="1" t="str">
        <v>Ex-Blues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A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H</v>
      </c>
      <c r="X3" s="1" t="str">
        <v>H</v>
      </c>
      <c r="Y3" s="1" t="str">
        <v>A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 t="e">
        <f ca="1">SUM(CP5:CP37)</f>
        <v>#NAME?</v>
      </c>
      <c r="CQ3" s="55" t="e">
        <f ca="1">SUM(CQ5:CQ37)</f>
        <v>#NAME?</v>
      </c>
    </row>
    <row r="4" spans="1:98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L</v>
      </c>
      <c r="M4" s="1" t="str">
        <v>W</v>
      </c>
      <c r="N4" s="1" t="str">
        <v>W</v>
      </c>
      <c r="O4" s="1" t="str">
        <v>D</v>
      </c>
      <c r="P4" s="1" t="str">
        <v>D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L</v>
      </c>
      <c r="V4" s="1" t="str">
        <v>W</v>
      </c>
      <c r="W4" s="1" t="str">
        <v>L</v>
      </c>
      <c r="X4" s="1" t="str">
        <v>W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34</v>
      </c>
      <c r="CG4" s="50" t="s">
        <v>35</v>
      </c>
      <c r="CH4" s="50" t="s">
        <v>36</v>
      </c>
      <c r="CI4" s="50" t="s">
        <v>9</v>
      </c>
      <c r="CJ4" s="50" t="s">
        <v>37</v>
      </c>
      <c r="CK4" s="47" t="s">
        <v>38</v>
      </c>
      <c r="CL4" s="50" t="s">
        <v>39</v>
      </c>
      <c r="CM4" s="50" t="s">
        <v>40</v>
      </c>
      <c r="CN4" s="49" t="s">
        <v>98</v>
      </c>
      <c r="CO4" s="55" t="s">
        <v>41</v>
      </c>
      <c r="CP4" s="55" t="s">
        <v>117</v>
      </c>
      <c r="CQ4" s="55" t="s">
        <v>118</v>
      </c>
      <c r="CR4" s="76" t="s">
        <v>144</v>
      </c>
      <c r="CS4" s="2" t="s">
        <v>139</v>
      </c>
      <c r="CT4" s="2" t="s">
        <v>211</v>
      </c>
    </row>
    <row r="5" spans="1:98" ht="11.25" customHeight="1" x14ac:dyDescent="0.15">
      <c r="A5" s="2" t="s">
        <v>61</v>
      </c>
      <c r="B5" s="2" t="s">
        <v>147</v>
      </c>
      <c r="C5" s="2" t="s">
        <v>304</v>
      </c>
      <c r="E5" s="2" t="s">
        <v>349</v>
      </c>
      <c r="F5" s="2" t="s">
        <v>363</v>
      </c>
      <c r="I5" s="2" t="s">
        <v>419</v>
      </c>
      <c r="J5" s="2" t="s">
        <v>441</v>
      </c>
      <c r="L5" s="2" t="s">
        <v>477</v>
      </c>
      <c r="M5" s="2" t="s">
        <v>494</v>
      </c>
      <c r="N5" s="2" t="s">
        <v>517</v>
      </c>
      <c r="O5" s="2" t="s">
        <v>365</v>
      </c>
      <c r="P5" s="2" t="s">
        <v>546</v>
      </c>
      <c r="Q5" s="2" t="s">
        <v>565</v>
      </c>
      <c r="R5" s="2" t="s">
        <v>567</v>
      </c>
      <c r="T5" s="2" t="s">
        <v>623</v>
      </c>
      <c r="U5" s="2" t="s">
        <v>640</v>
      </c>
      <c r="V5" s="2" t="s">
        <v>655</v>
      </c>
      <c r="W5" s="2" t="s">
        <v>285</v>
      </c>
      <c r="X5" s="2" t="s">
        <v>680</v>
      </c>
      <c r="Y5" s="2" t="s">
        <v>694</v>
      </c>
      <c r="CE5" s="55" t="e">
        <f t="shared" ref="CE5:CE9" ca="1" si="0">BowlSplit(C5:BC5,InnsBowledIn)</f>
        <v>#NAME?</v>
      </c>
      <c r="CF5" s="55" t="e">
        <f t="shared" ref="CF5:CF9" ca="1" si="1">BowlSplit(C5:CC5,BallsBowled)</f>
        <v>#NAME?</v>
      </c>
      <c r="CG5" s="57" t="e">
        <f t="shared" ref="CG5:CG9" ca="1" si="2">BowlSplit(C5:CC5,OversBowled)</f>
        <v>#NAME?</v>
      </c>
      <c r="CH5" s="55" t="e">
        <f t="shared" ref="CH5:CH9" ca="1" si="3">BowlSplit(C5:CC5,Maidens)</f>
        <v>#NAME?</v>
      </c>
      <c r="CI5" s="55" t="e">
        <f t="shared" ref="CI5:CI9" ca="1" si="4">BowlSplit(C5:CC5,RunsConceded)</f>
        <v>#NAME?</v>
      </c>
      <c r="CJ5" s="55" t="e">
        <f t="shared" ref="CJ5:CJ9" ca="1" si="5">BowlSplit(C5:CC5,WicketsTaken)</f>
        <v>#NAME?</v>
      </c>
      <c r="CK5" s="58" t="e">
        <f ca="1">IF(CJ5&gt;0,ROUND(CI5/CJ5,2),"")</f>
        <v>#NAME?</v>
      </c>
      <c r="CL5" s="59" t="e">
        <f t="shared" ref="CL5:CL9" ca="1" si="6">IF(CJ5&gt;0,CF5/CJ5,"")</f>
        <v>#NAME?</v>
      </c>
      <c r="CM5" s="59" t="e">
        <f t="shared" ref="CM5:CM9" ca="1" si="7">IF(CF5&gt;0,6*CI5/CF5,"")</f>
        <v>#NAME?</v>
      </c>
      <c r="CN5" s="49" t="e">
        <f t="shared" ref="CN5:CN9" ca="1" si="8">BowlSplit(C5:CC5,BestBowling)</f>
        <v>#NAME?</v>
      </c>
      <c r="CO5" s="55" t="e">
        <f t="shared" ref="CO5:CO9" ca="1" si="9">BowlSplit(C5:CC5,BowlPts)</f>
        <v>#NAME?</v>
      </c>
      <c r="CP5" s="55" t="e">
        <f t="shared" ref="CP5:CP9" ca="1" si="10">BowlSplit(C5:CC5,Wides)</f>
        <v>#NAME?</v>
      </c>
      <c r="CQ5" s="55" t="e">
        <f t="shared" ref="CQ5:CQ9" ca="1" si="11">BowlSplit(C5:CC5,NoBalls)</f>
        <v>#NAME?</v>
      </c>
      <c r="CR5" s="60" t="e">
        <f t="shared" ref="CR5:CR9" ca="1" si="12">IF(CJ5&gt;0,CK5,IF(CF5&gt;0,CF5+1000,99999))+ROW(CQ5)/10000</f>
        <v>#NAME?</v>
      </c>
      <c r="CS5" s="2" t="e">
        <f t="shared" ref="CS5:CS31" ca="1" si="13">RANK(CR5,$CR$5:$CR$31,1)</f>
        <v>#NAME?</v>
      </c>
      <c r="CT5" s="109" t="e">
        <f t="shared" ref="CT5:CT9" ca="1" si="14">IF(CF5&gt;=120,CH5/CF5*6,"")</f>
        <v>#NAME?</v>
      </c>
    </row>
    <row r="6" spans="1:98" ht="11.25" customHeight="1" x14ac:dyDescent="0.15">
      <c r="A6" s="2" t="s">
        <v>99</v>
      </c>
      <c r="B6" s="2" t="s">
        <v>148</v>
      </c>
      <c r="C6" s="2" t="s">
        <v>303</v>
      </c>
      <c r="D6" s="133" t="s">
        <v>324</v>
      </c>
      <c r="E6" s="2" t="s">
        <v>348</v>
      </c>
      <c r="F6" s="2" t="s">
        <v>361</v>
      </c>
      <c r="G6" s="2" t="s">
        <v>380</v>
      </c>
      <c r="H6" s="2" t="s">
        <v>400</v>
      </c>
      <c r="I6" s="2" t="s">
        <v>421</v>
      </c>
      <c r="J6" s="2" t="s">
        <v>443</v>
      </c>
      <c r="K6" s="2" t="s">
        <v>460</v>
      </c>
      <c r="L6" s="2" t="s">
        <v>478</v>
      </c>
      <c r="M6" s="60" t="s">
        <v>492</v>
      </c>
      <c r="N6" s="2" t="s">
        <v>518</v>
      </c>
      <c r="O6" s="2" t="s">
        <v>531</v>
      </c>
      <c r="P6" s="2" t="s">
        <v>543</v>
      </c>
      <c r="Q6" s="2" t="s">
        <v>567</v>
      </c>
      <c r="R6" s="2" t="s">
        <v>584</v>
      </c>
      <c r="S6" s="2" t="s">
        <v>605</v>
      </c>
      <c r="T6" s="2" t="s">
        <v>621</v>
      </c>
      <c r="U6" s="2" t="s">
        <v>639</v>
      </c>
      <c r="V6" s="2" t="s">
        <v>657</v>
      </c>
      <c r="X6" s="2" t="s">
        <v>677</v>
      </c>
      <c r="Y6" s="2" t="s">
        <v>545</v>
      </c>
      <c r="CE6" s="55" t="e">
        <f t="shared" ca="1" si="0"/>
        <v>#NAME?</v>
      </c>
      <c r="CF6" s="55" t="e">
        <f t="shared" ca="1" si="1"/>
        <v>#NAME?</v>
      </c>
      <c r="CG6" s="57" t="e">
        <f t="shared" ca="1" si="2"/>
        <v>#NAME?</v>
      </c>
      <c r="CH6" s="55" t="e">
        <f t="shared" ca="1" si="3"/>
        <v>#NAME?</v>
      </c>
      <c r="CI6" s="55" t="e">
        <f t="shared" ca="1" si="4"/>
        <v>#NAME?</v>
      </c>
      <c r="CJ6" s="55" t="e">
        <f t="shared" ca="1" si="5"/>
        <v>#NAME?</v>
      </c>
      <c r="CK6" s="58" t="e">
        <f t="shared" ref="CK6:CK31" ca="1" si="15">IF(CJ6&gt;0,ROUND(CI6/CJ6,2),"")</f>
        <v>#NAME?</v>
      </c>
      <c r="CL6" s="59" t="e">
        <f t="shared" ca="1" si="6"/>
        <v>#NAME?</v>
      </c>
      <c r="CM6" s="59" t="e">
        <f t="shared" ca="1" si="7"/>
        <v>#NAME?</v>
      </c>
      <c r="CN6" s="49" t="e">
        <f t="shared" ca="1" si="8"/>
        <v>#NAME?</v>
      </c>
      <c r="CO6" s="55" t="e">
        <f t="shared" ca="1" si="9"/>
        <v>#NAME?</v>
      </c>
      <c r="CP6" s="55" t="e">
        <f t="shared" ca="1" si="10"/>
        <v>#NAME?</v>
      </c>
      <c r="CQ6" s="55" t="e">
        <f t="shared" ca="1" si="11"/>
        <v>#NAME?</v>
      </c>
      <c r="CR6" s="60" t="e">
        <f t="shared" ca="1" si="12"/>
        <v>#NAME?</v>
      </c>
      <c r="CS6" s="2" t="e">
        <f t="shared" ca="1" si="13"/>
        <v>#NAME?</v>
      </c>
      <c r="CT6" s="109" t="e">
        <f t="shared" ca="1" si="14"/>
        <v>#NAME?</v>
      </c>
    </row>
    <row r="7" spans="1:98" ht="11.25" customHeight="1" x14ac:dyDescent="0.15">
      <c r="B7" s="2" t="s">
        <v>276</v>
      </c>
      <c r="D7" s="133" t="s">
        <v>323</v>
      </c>
      <c r="G7" s="2" t="s">
        <v>382</v>
      </c>
      <c r="H7" s="2" t="s">
        <v>404</v>
      </c>
      <c r="I7" s="2" t="s">
        <v>420</v>
      </c>
      <c r="J7" s="2" t="s">
        <v>442</v>
      </c>
      <c r="M7" s="60"/>
      <c r="N7" s="2" t="s">
        <v>515</v>
      </c>
      <c r="Q7" s="2" t="s">
        <v>566</v>
      </c>
      <c r="T7" s="2" t="s">
        <v>624</v>
      </c>
      <c r="Y7" s="2" t="s">
        <v>692</v>
      </c>
      <c r="CE7" s="55" t="e">
        <f t="shared" ref="CE7" ca="1" si="16">BowlSplit(C7:BC7,InnsBowledIn)</f>
        <v>#NAME?</v>
      </c>
      <c r="CF7" s="55" t="e">
        <f t="shared" ref="CF7" ca="1" si="17">BowlSplit(C7:CC7,BallsBowled)</f>
        <v>#NAME?</v>
      </c>
      <c r="CG7" s="57" t="e">
        <f t="shared" ref="CG7" ca="1" si="18">BowlSplit(C7:CC7,OversBowled)</f>
        <v>#NAME?</v>
      </c>
      <c r="CH7" s="55" t="e">
        <f t="shared" ref="CH7" ca="1" si="19">BowlSplit(C7:CC7,Maidens)</f>
        <v>#NAME?</v>
      </c>
      <c r="CI7" s="55" t="e">
        <f t="shared" ref="CI7" ca="1" si="20">BowlSplit(C7:CC7,RunsConceded)</f>
        <v>#NAME?</v>
      </c>
      <c r="CJ7" s="55" t="e">
        <f t="shared" ref="CJ7" ca="1" si="21">BowlSplit(C7:CC7,WicketsTaken)</f>
        <v>#NAME?</v>
      </c>
      <c r="CK7" s="58" t="e">
        <f t="shared" ca="1" si="15"/>
        <v>#NAME?</v>
      </c>
      <c r="CL7" s="59" t="e">
        <f t="shared" ref="CL7" ca="1" si="22">IF(CJ7&gt;0,CF7/CJ7,"")</f>
        <v>#NAME?</v>
      </c>
      <c r="CM7" s="59" t="e">
        <f t="shared" ref="CM7" ca="1" si="23">IF(CF7&gt;0,6*CI7/CF7,"")</f>
        <v>#NAME?</v>
      </c>
      <c r="CN7" s="49" t="e">
        <f t="shared" ref="CN7" ca="1" si="24">BowlSplit(C7:CC7,BestBowling)</f>
        <v>#NAME?</v>
      </c>
      <c r="CO7" s="55" t="e">
        <f t="shared" ref="CO7" ca="1" si="25">BowlSplit(C7:CC7,BowlPts)</f>
        <v>#NAME?</v>
      </c>
      <c r="CP7" s="55" t="e">
        <f t="shared" ref="CP7" ca="1" si="26">BowlSplit(C7:CC7,Wides)</f>
        <v>#NAME?</v>
      </c>
      <c r="CQ7" s="55" t="e">
        <f t="shared" ref="CQ7" ca="1" si="27">BowlSplit(C7:CC7,NoBalls)</f>
        <v>#NAME?</v>
      </c>
      <c r="CR7" s="60" t="e">
        <f t="shared" ref="CR7" ca="1" si="28">IF(CJ7&gt;0,CK7,IF(CF7&gt;0,CF7+1000,99999))+ROW(CQ7)/10000</f>
        <v>#NAME?</v>
      </c>
      <c r="CS7" s="2" t="e">
        <f t="shared" ca="1" si="13"/>
        <v>#NAME?</v>
      </c>
      <c r="CT7" s="109" t="e">
        <f t="shared" ref="CT7" ca="1" si="29">IF(CF7&gt;=120,CH7/CF7*6,"")</f>
        <v>#NAME?</v>
      </c>
    </row>
    <row r="8" spans="1:98" ht="11.25" customHeight="1" x14ac:dyDescent="0.15">
      <c r="A8" s="2" t="s">
        <v>131</v>
      </c>
      <c r="B8" s="2" t="s">
        <v>149</v>
      </c>
      <c r="O8" s="2" t="s">
        <v>532</v>
      </c>
      <c r="CE8" s="55" t="e">
        <f t="shared" ca="1" si="0"/>
        <v>#NAME?</v>
      </c>
      <c r="CF8" s="55" t="e">
        <f t="shared" ca="1" si="1"/>
        <v>#NAME?</v>
      </c>
      <c r="CG8" s="57" t="e">
        <f t="shared" ca="1" si="2"/>
        <v>#NAME?</v>
      </c>
      <c r="CH8" s="55" t="e">
        <f t="shared" ca="1" si="3"/>
        <v>#NAME?</v>
      </c>
      <c r="CI8" s="55" t="e">
        <f t="shared" ca="1" si="4"/>
        <v>#NAME?</v>
      </c>
      <c r="CJ8" s="55" t="e">
        <f t="shared" ca="1" si="5"/>
        <v>#NAME?</v>
      </c>
      <c r="CK8" s="58" t="e">
        <f t="shared" ca="1" si="15"/>
        <v>#NAME?</v>
      </c>
      <c r="CL8" s="59" t="e">
        <f t="shared" ca="1" si="6"/>
        <v>#NAME?</v>
      </c>
      <c r="CM8" s="59" t="e">
        <f t="shared" ca="1" si="7"/>
        <v>#NAME?</v>
      </c>
      <c r="CN8" s="49" t="e">
        <f t="shared" ca="1" si="8"/>
        <v>#NAME?</v>
      </c>
      <c r="CO8" s="55" t="e">
        <f t="shared" ca="1" si="9"/>
        <v>#NAME?</v>
      </c>
      <c r="CP8" s="55" t="e">
        <f t="shared" ca="1" si="10"/>
        <v>#NAME?</v>
      </c>
      <c r="CQ8" s="55" t="e">
        <f t="shared" ca="1" si="11"/>
        <v>#NAME?</v>
      </c>
      <c r="CR8" s="60" t="e">
        <f t="shared" ca="1" si="12"/>
        <v>#NAME?</v>
      </c>
      <c r="CS8" s="2" t="e">
        <f t="shared" ca="1" si="13"/>
        <v>#NAME?</v>
      </c>
      <c r="CT8" s="109" t="e">
        <f t="shared" ca="1" si="14"/>
        <v>#NAME?</v>
      </c>
    </row>
    <row r="9" spans="1:98" ht="11.25" customHeight="1" x14ac:dyDescent="0.15">
      <c r="A9" s="2" t="s">
        <v>43</v>
      </c>
      <c r="B9" s="2" t="s">
        <v>44</v>
      </c>
      <c r="C9" s="2" t="s">
        <v>302</v>
      </c>
      <c r="D9" s="2" t="s">
        <v>321</v>
      </c>
      <c r="E9" s="2" t="s">
        <v>346</v>
      </c>
      <c r="F9" s="2" t="s">
        <v>364</v>
      </c>
      <c r="K9" s="2" t="s">
        <v>459</v>
      </c>
      <c r="L9" s="2" t="s">
        <v>476</v>
      </c>
      <c r="M9" s="60"/>
      <c r="N9" s="2" t="s">
        <v>280</v>
      </c>
      <c r="P9" s="2" t="s">
        <v>544</v>
      </c>
      <c r="CE9" s="55" t="e">
        <f t="shared" ca="1" si="0"/>
        <v>#NAME?</v>
      </c>
      <c r="CF9" s="55" t="e">
        <f t="shared" ca="1" si="1"/>
        <v>#NAME?</v>
      </c>
      <c r="CG9" s="57" t="e">
        <f t="shared" ca="1" si="2"/>
        <v>#NAME?</v>
      </c>
      <c r="CH9" s="55" t="e">
        <f t="shared" ca="1" si="3"/>
        <v>#NAME?</v>
      </c>
      <c r="CI9" s="55" t="e">
        <f t="shared" ca="1" si="4"/>
        <v>#NAME?</v>
      </c>
      <c r="CJ9" s="55" t="e">
        <f t="shared" ca="1" si="5"/>
        <v>#NAME?</v>
      </c>
      <c r="CK9" s="58" t="e">
        <f t="shared" ca="1" si="15"/>
        <v>#NAME?</v>
      </c>
      <c r="CL9" s="59" t="e">
        <f t="shared" ca="1" si="6"/>
        <v>#NAME?</v>
      </c>
      <c r="CM9" s="59" t="e">
        <f t="shared" ca="1" si="7"/>
        <v>#NAME?</v>
      </c>
      <c r="CN9" s="49" t="e">
        <f t="shared" ca="1" si="8"/>
        <v>#NAME?</v>
      </c>
      <c r="CO9" s="55" t="e">
        <f t="shared" ca="1" si="9"/>
        <v>#NAME?</v>
      </c>
      <c r="CP9" s="55" t="e">
        <f t="shared" ca="1" si="10"/>
        <v>#NAME?</v>
      </c>
      <c r="CQ9" s="55" t="e">
        <f t="shared" ca="1" si="11"/>
        <v>#NAME?</v>
      </c>
      <c r="CR9" s="60" t="e">
        <f t="shared" ca="1" si="12"/>
        <v>#NAME?</v>
      </c>
      <c r="CS9" s="2" t="e">
        <f t="shared" ca="1" si="13"/>
        <v>#NAME?</v>
      </c>
      <c r="CT9" s="109" t="e">
        <f t="shared" ca="1" si="14"/>
        <v>#NAME?</v>
      </c>
    </row>
    <row r="10" spans="1:98" ht="11.25" customHeight="1" x14ac:dyDescent="0.15">
      <c r="B10" s="2" t="s">
        <v>231</v>
      </c>
      <c r="M10" s="60"/>
      <c r="O10" s="2" t="s">
        <v>533</v>
      </c>
      <c r="P10" s="2" t="s">
        <v>545</v>
      </c>
      <c r="R10" s="2" t="s">
        <v>588</v>
      </c>
      <c r="X10" s="2" t="s">
        <v>679</v>
      </c>
      <c r="CE10" s="55" t="e">
        <f t="shared" ref="CE10" ca="1" si="30">BowlSplit(C10:BC10,InnsBowledIn)</f>
        <v>#NAME?</v>
      </c>
      <c r="CF10" s="55" t="e">
        <f t="shared" ref="CF10" ca="1" si="31">BowlSplit(C10:CC10,BallsBowled)</f>
        <v>#NAME?</v>
      </c>
      <c r="CG10" s="57" t="e">
        <f t="shared" ref="CG10" ca="1" si="32">BowlSplit(C10:CC10,OversBowled)</f>
        <v>#NAME?</v>
      </c>
      <c r="CH10" s="55" t="e">
        <f t="shared" ref="CH10" ca="1" si="33">BowlSplit(C10:CC10,Maidens)</f>
        <v>#NAME?</v>
      </c>
      <c r="CI10" s="55" t="e">
        <f t="shared" ref="CI10" ca="1" si="34">BowlSplit(C10:CC10,RunsConceded)</f>
        <v>#NAME?</v>
      </c>
      <c r="CJ10" s="55" t="e">
        <f t="shared" ref="CJ10" ca="1" si="35">BowlSplit(C10:CC10,WicketsTaken)</f>
        <v>#NAME?</v>
      </c>
      <c r="CK10" s="58" t="e">
        <f t="shared" ca="1" si="15"/>
        <v>#NAME?</v>
      </c>
      <c r="CL10" s="59" t="e">
        <f t="shared" ref="CL10" ca="1" si="36">IF(CJ10&gt;0,CF10/CJ10,"")</f>
        <v>#NAME?</v>
      </c>
      <c r="CM10" s="59" t="e">
        <f t="shared" ref="CM10" ca="1" si="37">IF(CF10&gt;0,6*CI10/CF10,"")</f>
        <v>#NAME?</v>
      </c>
      <c r="CN10" s="49" t="e">
        <f t="shared" ref="CN10" ca="1" si="38">BowlSplit(C10:CC10,BestBowling)</f>
        <v>#NAME?</v>
      </c>
      <c r="CO10" s="55" t="e">
        <f t="shared" ref="CO10" ca="1" si="39">BowlSplit(C10:CC10,BowlPts)</f>
        <v>#NAME?</v>
      </c>
      <c r="CP10" s="55" t="e">
        <f t="shared" ref="CP10" ca="1" si="40">BowlSplit(C10:CC10,Wides)</f>
        <v>#NAME?</v>
      </c>
      <c r="CQ10" s="55" t="e">
        <f t="shared" ref="CQ10" ca="1" si="41">BowlSplit(C10:CC10,NoBalls)</f>
        <v>#NAME?</v>
      </c>
      <c r="CR10" s="60" t="e">
        <f t="shared" ref="CR10" ca="1" si="42">IF(CJ10&gt;0,CK10,IF(CF10&gt;0,CF10+1000,99999))+ROW(CQ10)/10000</f>
        <v>#NAME?</v>
      </c>
      <c r="CS10" s="2" t="e">
        <f t="shared" ca="1" si="13"/>
        <v>#NAME?</v>
      </c>
      <c r="CT10" s="109" t="e">
        <f t="shared" ref="CT10" ca="1" si="43">IF(CF10&gt;=120,CH10/CF10*6,"")</f>
        <v>#NAME?</v>
      </c>
    </row>
    <row r="11" spans="1:98" ht="11.25" customHeight="1" x14ac:dyDescent="0.15">
      <c r="B11" s="2" t="s">
        <v>578</v>
      </c>
      <c r="M11" s="60"/>
      <c r="R11" s="2" t="s">
        <v>583</v>
      </c>
      <c r="S11" s="2" t="s">
        <v>604</v>
      </c>
      <c r="U11" s="2" t="s">
        <v>638</v>
      </c>
      <c r="V11" s="2" t="s">
        <v>656</v>
      </c>
      <c r="CE11" s="55" t="e">
        <f t="shared" ref="CE11:CE12" ca="1" si="44">BowlSplit(C11:BC11,InnsBowledIn)</f>
        <v>#NAME?</v>
      </c>
      <c r="CF11" s="55" t="e">
        <f t="shared" ref="CF11:CF12" ca="1" si="45">BowlSplit(C11:CC11,BallsBowled)</f>
        <v>#NAME?</v>
      </c>
      <c r="CG11" s="57" t="e">
        <f t="shared" ref="CG11:CG12" ca="1" si="46">BowlSplit(C11:CC11,OversBowled)</f>
        <v>#NAME?</v>
      </c>
      <c r="CH11" s="55" t="e">
        <f t="shared" ref="CH11:CH12" ca="1" si="47">BowlSplit(C11:CC11,Maidens)</f>
        <v>#NAME?</v>
      </c>
      <c r="CI11" s="55" t="e">
        <f t="shared" ref="CI11:CI12" ca="1" si="48">BowlSplit(C11:CC11,RunsConceded)</f>
        <v>#NAME?</v>
      </c>
      <c r="CJ11" s="55" t="e">
        <f t="shared" ref="CJ11:CJ12" ca="1" si="49">BowlSplit(C11:CC11,WicketsTaken)</f>
        <v>#NAME?</v>
      </c>
      <c r="CK11" s="58" t="e">
        <f t="shared" ref="CK11:CK12" ca="1" si="50">IF(CJ11&gt;0,ROUND(CI11/CJ11,2),"")</f>
        <v>#NAME?</v>
      </c>
      <c r="CL11" s="59" t="e">
        <f t="shared" ref="CL11:CL12" ca="1" si="51">IF(CJ11&gt;0,CF11/CJ11,"")</f>
        <v>#NAME?</v>
      </c>
      <c r="CM11" s="59" t="e">
        <f t="shared" ref="CM11:CM12" ca="1" si="52">IF(CF11&gt;0,6*CI11/CF11,"")</f>
        <v>#NAME?</v>
      </c>
      <c r="CN11" s="49" t="e">
        <f t="shared" ref="CN11:CN12" ca="1" si="53">BowlSplit(C11:CC11,BestBowling)</f>
        <v>#NAME?</v>
      </c>
      <c r="CO11" s="55" t="e">
        <f t="shared" ref="CO11:CO12" ca="1" si="54">BowlSplit(C11:CC11,BowlPts)</f>
        <v>#NAME?</v>
      </c>
      <c r="CP11" s="55" t="e">
        <f t="shared" ref="CP11:CP12" ca="1" si="55">BowlSplit(C11:CC11,Wides)</f>
        <v>#NAME?</v>
      </c>
      <c r="CQ11" s="55" t="e">
        <f t="shared" ref="CQ11:CQ12" ca="1" si="56">BowlSplit(C11:CC11,NoBalls)</f>
        <v>#NAME?</v>
      </c>
      <c r="CR11" s="60" t="e">
        <f t="shared" ref="CR11:CR12" ca="1" si="57">IF(CJ11&gt;0,CK11,IF(CF11&gt;0,CF11+1000,99999))+ROW(CQ11)/10000</f>
        <v>#NAME?</v>
      </c>
      <c r="CS11" s="2" t="e">
        <f t="shared" ca="1" si="13"/>
        <v>#NAME?</v>
      </c>
      <c r="CT11" s="109" t="e">
        <f t="shared" ref="CT11:CT12" ca="1" si="58">IF(CF11&gt;=120,CH11/CF11*6,"")</f>
        <v>#NAME?</v>
      </c>
    </row>
    <row r="12" spans="1:98" ht="11.25" customHeight="1" x14ac:dyDescent="0.15">
      <c r="B12" s="2" t="s">
        <v>230</v>
      </c>
      <c r="M12" s="60"/>
      <c r="S12" s="2" t="s">
        <v>603</v>
      </c>
      <c r="W12" s="2" t="s">
        <v>253</v>
      </c>
      <c r="CE12" s="55" t="e">
        <f t="shared" ca="1" si="44"/>
        <v>#NAME?</v>
      </c>
      <c r="CF12" s="55" t="e">
        <f t="shared" ca="1" si="45"/>
        <v>#NAME?</v>
      </c>
      <c r="CG12" s="57" t="e">
        <f t="shared" ca="1" si="46"/>
        <v>#NAME?</v>
      </c>
      <c r="CH12" s="55" t="e">
        <f t="shared" ca="1" si="47"/>
        <v>#NAME?</v>
      </c>
      <c r="CI12" s="55" t="e">
        <f t="shared" ca="1" si="48"/>
        <v>#NAME?</v>
      </c>
      <c r="CJ12" s="55" t="e">
        <f t="shared" ca="1" si="49"/>
        <v>#NAME?</v>
      </c>
      <c r="CK12" s="58" t="e">
        <f t="shared" ca="1" si="50"/>
        <v>#NAME?</v>
      </c>
      <c r="CL12" s="59" t="e">
        <f t="shared" ca="1" si="51"/>
        <v>#NAME?</v>
      </c>
      <c r="CM12" s="59" t="e">
        <f t="shared" ca="1" si="52"/>
        <v>#NAME?</v>
      </c>
      <c r="CN12" s="49" t="e">
        <f t="shared" ca="1" si="53"/>
        <v>#NAME?</v>
      </c>
      <c r="CO12" s="55" t="e">
        <f t="shared" ca="1" si="54"/>
        <v>#NAME?</v>
      </c>
      <c r="CP12" s="55" t="e">
        <f t="shared" ca="1" si="55"/>
        <v>#NAME?</v>
      </c>
      <c r="CQ12" s="55" t="e">
        <f t="shared" ca="1" si="56"/>
        <v>#NAME?</v>
      </c>
      <c r="CR12" s="60" t="e">
        <f t="shared" ca="1" si="57"/>
        <v>#NAME?</v>
      </c>
      <c r="CS12" s="2" t="e">
        <f t="shared" ca="1" si="13"/>
        <v>#NAME?</v>
      </c>
      <c r="CT12" s="109" t="e">
        <f t="shared" ca="1" si="58"/>
        <v>#NAME?</v>
      </c>
    </row>
    <row r="13" spans="1:98" ht="11.25" customHeight="1" x14ac:dyDescent="0.15">
      <c r="B13" s="2" t="s">
        <v>408</v>
      </c>
      <c r="I13" s="2" t="s">
        <v>423</v>
      </c>
      <c r="CE13" s="55" t="e">
        <f t="shared" ref="CE13:CE31" ca="1" si="59">BowlSplit(C13:BC13,InnsBowledIn)</f>
        <v>#NAME?</v>
      </c>
      <c r="CF13" s="55" t="e">
        <f t="shared" ref="CF13:CF31" ca="1" si="60">BowlSplit(C13:CC13,BallsBowled)</f>
        <v>#NAME?</v>
      </c>
      <c r="CG13" s="57" t="e">
        <f t="shared" ref="CG13:CG31" ca="1" si="61">BowlSplit(C13:CC13,OversBowled)</f>
        <v>#NAME?</v>
      </c>
      <c r="CH13" s="55" t="e">
        <f t="shared" ref="CH13:CH31" ca="1" si="62">BowlSplit(C13:CC13,Maidens)</f>
        <v>#NAME?</v>
      </c>
      <c r="CI13" s="55" t="e">
        <f t="shared" ref="CI13:CI31" ca="1" si="63">BowlSplit(C13:CC13,RunsConceded)</f>
        <v>#NAME?</v>
      </c>
      <c r="CJ13" s="55" t="e">
        <f t="shared" ref="CJ13:CJ31" ca="1" si="64">BowlSplit(C13:CC13,WicketsTaken)</f>
        <v>#NAME?</v>
      </c>
      <c r="CK13" s="58" t="e">
        <f t="shared" ca="1" si="15"/>
        <v>#NAME?</v>
      </c>
      <c r="CL13" s="59" t="e">
        <f t="shared" ref="CL13:CL31" ca="1" si="65">IF(CJ13&gt;0,CF13/CJ13,"")</f>
        <v>#NAME?</v>
      </c>
      <c r="CM13" s="59" t="e">
        <f t="shared" ref="CM13:CM31" ca="1" si="66">IF(CF13&gt;0,6*CI13/CF13,"")</f>
        <v>#NAME?</v>
      </c>
      <c r="CN13" s="49" t="e">
        <f t="shared" ref="CN13:CN31" ca="1" si="67">BowlSplit(C13:CC13,BestBowling)</f>
        <v>#NAME?</v>
      </c>
      <c r="CO13" s="55" t="e">
        <f t="shared" ref="CO13:CO31" ca="1" si="68">BowlSplit(C13:CC13,BowlPts)</f>
        <v>#NAME?</v>
      </c>
      <c r="CP13" s="55" t="e">
        <f t="shared" ref="CP13:CP31" ca="1" si="69">BowlSplit(C13:CC13,Wides)</f>
        <v>#NAME?</v>
      </c>
      <c r="CQ13" s="55" t="e">
        <f t="shared" ref="CQ13:CQ31" ca="1" si="70">BowlSplit(C13:CC13,NoBalls)</f>
        <v>#NAME?</v>
      </c>
      <c r="CR13" s="60" t="e">
        <f t="shared" ref="CR13:CR31" ca="1" si="71">IF(CJ13&gt;0,CK13,IF(CF13&gt;0,CF13+1000,99999))+ROW(CQ13)/10000</f>
        <v>#NAME?</v>
      </c>
      <c r="CS13" s="2" t="e">
        <f t="shared" ca="1" si="13"/>
        <v>#NAME?</v>
      </c>
      <c r="CT13" s="109" t="e">
        <f t="shared" ref="CT13:CT31" ca="1" si="72">IF(CF13&gt;=120,CH13/CF13*6,"")</f>
        <v>#NAME?</v>
      </c>
    </row>
    <row r="14" spans="1:98" ht="11.25" customHeight="1" x14ac:dyDescent="0.15">
      <c r="B14" s="2" t="s">
        <v>414</v>
      </c>
      <c r="I14" s="2" t="s">
        <v>424</v>
      </c>
      <c r="CE14" s="55" t="e">
        <f t="shared" ref="CE14" ca="1" si="73">BowlSplit(C14:BC14,InnsBowledIn)</f>
        <v>#NAME?</v>
      </c>
      <c r="CF14" s="55" t="e">
        <f t="shared" ref="CF14" ca="1" si="74">BowlSplit(C14:CC14,BallsBowled)</f>
        <v>#NAME?</v>
      </c>
      <c r="CG14" s="57" t="e">
        <f t="shared" ref="CG14" ca="1" si="75">BowlSplit(C14:CC14,OversBowled)</f>
        <v>#NAME?</v>
      </c>
      <c r="CH14" s="55" t="e">
        <f t="shared" ref="CH14" ca="1" si="76">BowlSplit(C14:CC14,Maidens)</f>
        <v>#NAME?</v>
      </c>
      <c r="CI14" s="55" t="e">
        <f t="shared" ref="CI14" ca="1" si="77">BowlSplit(C14:CC14,RunsConceded)</f>
        <v>#NAME?</v>
      </c>
      <c r="CJ14" s="55" t="e">
        <f t="shared" ref="CJ14" ca="1" si="78">BowlSplit(C14:CC14,WicketsTaken)</f>
        <v>#NAME?</v>
      </c>
      <c r="CK14" s="58" t="e">
        <f t="shared" ref="CK14" ca="1" si="79">IF(CJ14&gt;0,ROUND(CI14/CJ14,2),"")</f>
        <v>#NAME?</v>
      </c>
      <c r="CL14" s="59" t="e">
        <f t="shared" ref="CL14" ca="1" si="80">IF(CJ14&gt;0,CF14/CJ14,"")</f>
        <v>#NAME?</v>
      </c>
      <c r="CM14" s="59" t="e">
        <f t="shared" ref="CM14" ca="1" si="81">IF(CF14&gt;0,6*CI14/CF14,"")</f>
        <v>#NAME?</v>
      </c>
      <c r="CN14" s="49" t="e">
        <f t="shared" ref="CN14" ca="1" si="82">BowlSplit(C14:CC14,BestBowling)</f>
        <v>#NAME?</v>
      </c>
      <c r="CO14" s="55" t="e">
        <f t="shared" ref="CO14" ca="1" si="83">BowlSplit(C14:CC14,BowlPts)</f>
        <v>#NAME?</v>
      </c>
      <c r="CP14" s="55" t="e">
        <f t="shared" ref="CP14" ca="1" si="84">BowlSplit(C14:CC14,Wides)</f>
        <v>#NAME?</v>
      </c>
      <c r="CQ14" s="55" t="e">
        <f t="shared" ref="CQ14" ca="1" si="85">BowlSplit(C14:CC14,NoBalls)</f>
        <v>#NAME?</v>
      </c>
      <c r="CR14" s="60" t="e">
        <f t="shared" ref="CR14" ca="1" si="86">IF(CJ14&gt;0,CK14,IF(CF14&gt;0,CF14+1000,99999))+ROW(CQ14)/10000</f>
        <v>#NAME?</v>
      </c>
      <c r="CS14" s="2" t="e">
        <f t="shared" ca="1" si="13"/>
        <v>#NAME?</v>
      </c>
      <c r="CT14" s="109" t="e">
        <f t="shared" ref="CT14" ca="1" si="87">IF(CF14&gt;=120,CH14/CF14*6,"")</f>
        <v>#NAME?</v>
      </c>
    </row>
    <row r="15" spans="1:98" ht="11.25" customHeight="1" x14ac:dyDescent="0.15">
      <c r="B15" s="2" t="s">
        <v>204</v>
      </c>
      <c r="CE15" s="55" t="e">
        <f t="shared" ca="1" si="59"/>
        <v>#NAME?</v>
      </c>
      <c r="CF15" s="55" t="e">
        <f t="shared" ca="1" si="60"/>
        <v>#NAME?</v>
      </c>
      <c r="CG15" s="57" t="e">
        <f t="shared" ca="1" si="61"/>
        <v>#NAME?</v>
      </c>
      <c r="CH15" s="55" t="e">
        <f t="shared" ca="1" si="62"/>
        <v>#NAME?</v>
      </c>
      <c r="CI15" s="55" t="e">
        <f t="shared" ca="1" si="63"/>
        <v>#NAME?</v>
      </c>
      <c r="CJ15" s="55" t="e">
        <f t="shared" ca="1" si="64"/>
        <v>#NAME?</v>
      </c>
      <c r="CK15" s="58" t="e">
        <f t="shared" ca="1" si="15"/>
        <v>#NAME?</v>
      </c>
      <c r="CL15" s="59" t="e">
        <f t="shared" ca="1" si="65"/>
        <v>#NAME?</v>
      </c>
      <c r="CM15" s="59" t="e">
        <f t="shared" ca="1" si="66"/>
        <v>#NAME?</v>
      </c>
      <c r="CN15" s="49" t="e">
        <f t="shared" ca="1" si="67"/>
        <v>#NAME?</v>
      </c>
      <c r="CO15" s="55" t="e">
        <f t="shared" ca="1" si="68"/>
        <v>#NAME?</v>
      </c>
      <c r="CP15" s="55" t="e">
        <f t="shared" ca="1" si="69"/>
        <v>#NAME?</v>
      </c>
      <c r="CQ15" s="55" t="e">
        <f t="shared" ca="1" si="70"/>
        <v>#NAME?</v>
      </c>
      <c r="CR15" s="60" t="e">
        <f t="shared" ca="1" si="71"/>
        <v>#NAME?</v>
      </c>
      <c r="CS15" s="2" t="e">
        <f t="shared" ca="1" si="13"/>
        <v>#NAME?</v>
      </c>
      <c r="CT15" s="109" t="e">
        <f t="shared" ca="1" si="72"/>
        <v>#NAME?</v>
      </c>
    </row>
    <row r="16" spans="1:98" ht="11.25" customHeight="1" x14ac:dyDescent="0.15">
      <c r="B16" s="2" t="s">
        <v>690</v>
      </c>
      <c r="Y16" s="2" t="s">
        <v>695</v>
      </c>
      <c r="CE16" s="55" t="e">
        <f t="shared" ca="1" si="59"/>
        <v>#NAME?</v>
      </c>
      <c r="CF16" s="55" t="e">
        <f t="shared" ca="1" si="60"/>
        <v>#NAME?</v>
      </c>
      <c r="CG16" s="57" t="e">
        <f t="shared" ca="1" si="61"/>
        <v>#NAME?</v>
      </c>
      <c r="CH16" s="55" t="e">
        <f t="shared" ca="1" si="62"/>
        <v>#NAME?</v>
      </c>
      <c r="CI16" s="55" t="e">
        <f t="shared" ca="1" si="63"/>
        <v>#NAME?</v>
      </c>
      <c r="CJ16" s="55" t="e">
        <f t="shared" ca="1" si="64"/>
        <v>#NAME?</v>
      </c>
      <c r="CK16" s="58" t="e">
        <f t="shared" ca="1" si="15"/>
        <v>#NAME?</v>
      </c>
      <c r="CL16" s="59" t="e">
        <f t="shared" ca="1" si="65"/>
        <v>#NAME?</v>
      </c>
      <c r="CM16" s="59" t="e">
        <f t="shared" ca="1" si="66"/>
        <v>#NAME?</v>
      </c>
      <c r="CN16" s="49" t="e">
        <f t="shared" ca="1" si="67"/>
        <v>#NAME?</v>
      </c>
      <c r="CO16" s="55" t="e">
        <f t="shared" ca="1" si="68"/>
        <v>#NAME?</v>
      </c>
      <c r="CP16" s="55" t="e">
        <f t="shared" ca="1" si="69"/>
        <v>#NAME?</v>
      </c>
      <c r="CQ16" s="55" t="e">
        <f t="shared" ca="1" si="70"/>
        <v>#NAME?</v>
      </c>
      <c r="CR16" s="60" t="e">
        <f t="shared" ca="1" si="71"/>
        <v>#NAME?</v>
      </c>
      <c r="CS16" s="2" t="e">
        <f t="shared" ca="1" si="13"/>
        <v>#NAME?</v>
      </c>
      <c r="CT16" s="109" t="e">
        <f t="shared" ca="1" si="72"/>
        <v>#NAME?</v>
      </c>
    </row>
    <row r="17" spans="1:98" ht="11.25" customHeight="1" x14ac:dyDescent="0.15">
      <c r="B17" s="2" t="s">
        <v>228</v>
      </c>
      <c r="M17" s="60"/>
      <c r="O17" s="2" t="s">
        <v>534</v>
      </c>
      <c r="Y17" s="2" t="s">
        <v>696</v>
      </c>
      <c r="CE17" s="55" t="e">
        <f t="shared" ca="1" si="59"/>
        <v>#NAME?</v>
      </c>
      <c r="CF17" s="55" t="e">
        <f t="shared" ca="1" si="60"/>
        <v>#NAME?</v>
      </c>
      <c r="CG17" s="57" t="e">
        <f t="shared" ca="1" si="61"/>
        <v>#NAME?</v>
      </c>
      <c r="CH17" s="55" t="e">
        <f t="shared" ca="1" si="62"/>
        <v>#NAME?</v>
      </c>
      <c r="CI17" s="55" t="e">
        <f t="shared" ca="1" si="63"/>
        <v>#NAME?</v>
      </c>
      <c r="CJ17" s="55" t="e">
        <f t="shared" ca="1" si="64"/>
        <v>#NAME?</v>
      </c>
      <c r="CK17" s="58" t="e">
        <f t="shared" ca="1" si="15"/>
        <v>#NAME?</v>
      </c>
      <c r="CL17" s="59" t="e">
        <f t="shared" ca="1" si="65"/>
        <v>#NAME?</v>
      </c>
      <c r="CM17" s="59" t="e">
        <f t="shared" ca="1" si="66"/>
        <v>#NAME?</v>
      </c>
      <c r="CN17" s="49" t="e">
        <f t="shared" ca="1" si="67"/>
        <v>#NAME?</v>
      </c>
      <c r="CO17" s="55" t="e">
        <f t="shared" ca="1" si="68"/>
        <v>#NAME?</v>
      </c>
      <c r="CP17" s="55" t="e">
        <f t="shared" ca="1" si="69"/>
        <v>#NAME?</v>
      </c>
      <c r="CQ17" s="55" t="e">
        <f t="shared" ca="1" si="70"/>
        <v>#NAME?</v>
      </c>
      <c r="CR17" s="60" t="e">
        <f t="shared" ca="1" si="71"/>
        <v>#NAME?</v>
      </c>
      <c r="CS17" s="2" t="e">
        <f t="shared" ca="1" si="13"/>
        <v>#NAME?</v>
      </c>
      <c r="CT17" s="109" t="e">
        <f t="shared" ca="1" si="72"/>
        <v>#NAME?</v>
      </c>
    </row>
    <row r="18" spans="1:98" ht="11.25" customHeight="1" x14ac:dyDescent="0.15">
      <c r="A18" s="2" t="s">
        <v>47</v>
      </c>
      <c r="B18" s="2" t="s">
        <v>48</v>
      </c>
      <c r="G18" s="2" t="s">
        <v>383</v>
      </c>
      <c r="H18" s="2" t="s">
        <v>403</v>
      </c>
      <c r="CE18" s="55" t="e">
        <f t="shared" ca="1" si="59"/>
        <v>#NAME?</v>
      </c>
      <c r="CF18" s="55" t="e">
        <f t="shared" ca="1" si="60"/>
        <v>#NAME?</v>
      </c>
      <c r="CG18" s="57" t="e">
        <f t="shared" ca="1" si="61"/>
        <v>#NAME?</v>
      </c>
      <c r="CH18" s="55" t="e">
        <f t="shared" ca="1" si="62"/>
        <v>#NAME?</v>
      </c>
      <c r="CI18" s="55" t="e">
        <f t="shared" ca="1" si="63"/>
        <v>#NAME?</v>
      </c>
      <c r="CJ18" s="55" t="e">
        <f t="shared" ca="1" si="64"/>
        <v>#NAME?</v>
      </c>
      <c r="CK18" s="58" t="e">
        <f t="shared" ca="1" si="15"/>
        <v>#NAME?</v>
      </c>
      <c r="CL18" s="59" t="e">
        <f t="shared" ca="1" si="65"/>
        <v>#NAME?</v>
      </c>
      <c r="CM18" s="59" t="e">
        <f t="shared" ca="1" si="66"/>
        <v>#NAME?</v>
      </c>
      <c r="CN18" s="49" t="e">
        <f t="shared" ca="1" si="67"/>
        <v>#NAME?</v>
      </c>
      <c r="CO18" s="55" t="e">
        <f t="shared" ca="1" si="68"/>
        <v>#NAME?</v>
      </c>
      <c r="CP18" s="55" t="e">
        <f t="shared" ca="1" si="69"/>
        <v>#NAME?</v>
      </c>
      <c r="CQ18" s="55" t="e">
        <f t="shared" ca="1" si="70"/>
        <v>#NAME?</v>
      </c>
      <c r="CR18" s="60" t="e">
        <f t="shared" ca="1" si="71"/>
        <v>#NAME?</v>
      </c>
      <c r="CS18" s="2" t="e">
        <f t="shared" ca="1" si="13"/>
        <v>#NAME?</v>
      </c>
      <c r="CT18" s="109" t="e">
        <f t="shared" ca="1" si="72"/>
        <v>#NAME?</v>
      </c>
    </row>
    <row r="19" spans="1:98" ht="11.25" customHeight="1" x14ac:dyDescent="0.15">
      <c r="A19" s="2" t="s">
        <v>188</v>
      </c>
      <c r="B19" s="2" t="s">
        <v>183</v>
      </c>
      <c r="D19" s="2" t="s">
        <v>322</v>
      </c>
      <c r="F19" s="2" t="s">
        <v>365</v>
      </c>
      <c r="G19" s="2" t="s">
        <v>379</v>
      </c>
      <c r="I19" s="2" t="s">
        <v>422</v>
      </c>
      <c r="K19" s="2" t="s">
        <v>461</v>
      </c>
      <c r="V19" s="2" t="s">
        <v>265</v>
      </c>
      <c r="X19" s="2" t="s">
        <v>676</v>
      </c>
      <c r="CE19" s="55" t="e">
        <f t="shared" ca="1" si="59"/>
        <v>#NAME?</v>
      </c>
      <c r="CF19" s="55" t="e">
        <f t="shared" ca="1" si="60"/>
        <v>#NAME?</v>
      </c>
      <c r="CG19" s="57" t="e">
        <f t="shared" ca="1" si="61"/>
        <v>#NAME?</v>
      </c>
      <c r="CH19" s="55" t="e">
        <f t="shared" ca="1" si="62"/>
        <v>#NAME?</v>
      </c>
      <c r="CI19" s="55" t="e">
        <f t="shared" ca="1" si="63"/>
        <v>#NAME?</v>
      </c>
      <c r="CJ19" s="55" t="e">
        <f t="shared" ca="1" si="64"/>
        <v>#NAME?</v>
      </c>
      <c r="CK19" s="58" t="e">
        <f t="shared" ca="1" si="15"/>
        <v>#NAME?</v>
      </c>
      <c r="CL19" s="59" t="e">
        <f t="shared" ca="1" si="65"/>
        <v>#NAME?</v>
      </c>
      <c r="CM19" s="59" t="e">
        <f t="shared" ca="1" si="66"/>
        <v>#NAME?</v>
      </c>
      <c r="CN19" s="49" t="e">
        <f t="shared" ca="1" si="67"/>
        <v>#NAME?</v>
      </c>
      <c r="CO19" s="55" t="e">
        <f t="shared" ca="1" si="68"/>
        <v>#NAME?</v>
      </c>
      <c r="CP19" s="55" t="e">
        <f t="shared" ca="1" si="69"/>
        <v>#NAME?</v>
      </c>
      <c r="CQ19" s="55" t="e">
        <f t="shared" ca="1" si="70"/>
        <v>#NAME?</v>
      </c>
      <c r="CR19" s="60" t="e">
        <f t="shared" ca="1" si="71"/>
        <v>#NAME?</v>
      </c>
      <c r="CS19" s="2" t="e">
        <f t="shared" ca="1" si="13"/>
        <v>#NAME?</v>
      </c>
      <c r="CT19" s="109" t="e">
        <f t="shared" ca="1" si="72"/>
        <v>#NAME?</v>
      </c>
    </row>
    <row r="20" spans="1:98" ht="11.25" customHeight="1" x14ac:dyDescent="0.15">
      <c r="A20" s="2" t="s">
        <v>137</v>
      </c>
      <c r="B20" s="2" t="s">
        <v>150</v>
      </c>
      <c r="CE20" s="55" t="e">
        <f t="shared" ca="1" si="59"/>
        <v>#NAME?</v>
      </c>
      <c r="CF20" s="55" t="e">
        <f t="shared" ca="1" si="60"/>
        <v>#NAME?</v>
      </c>
      <c r="CG20" s="57" t="e">
        <f t="shared" ca="1" si="61"/>
        <v>#NAME?</v>
      </c>
      <c r="CH20" s="55" t="e">
        <f t="shared" ca="1" si="62"/>
        <v>#NAME?</v>
      </c>
      <c r="CI20" s="55" t="e">
        <f t="shared" ca="1" si="63"/>
        <v>#NAME?</v>
      </c>
      <c r="CJ20" s="55" t="e">
        <f t="shared" ca="1" si="64"/>
        <v>#NAME?</v>
      </c>
      <c r="CK20" s="58" t="e">
        <f t="shared" ca="1" si="15"/>
        <v>#NAME?</v>
      </c>
      <c r="CL20" s="59" t="e">
        <f t="shared" ca="1" si="65"/>
        <v>#NAME?</v>
      </c>
      <c r="CM20" s="59" t="e">
        <f t="shared" ca="1" si="66"/>
        <v>#NAME?</v>
      </c>
      <c r="CN20" s="49" t="e">
        <f t="shared" ca="1" si="67"/>
        <v>#NAME?</v>
      </c>
      <c r="CO20" s="55" t="e">
        <f t="shared" ca="1" si="68"/>
        <v>#NAME?</v>
      </c>
      <c r="CP20" s="55" t="e">
        <f t="shared" ca="1" si="69"/>
        <v>#NAME?</v>
      </c>
      <c r="CQ20" s="55" t="e">
        <f t="shared" ca="1" si="70"/>
        <v>#NAME?</v>
      </c>
      <c r="CR20" s="60" t="e">
        <f t="shared" ca="1" si="71"/>
        <v>#NAME?</v>
      </c>
      <c r="CS20" s="2" t="e">
        <f t="shared" ca="1" si="13"/>
        <v>#NAME?</v>
      </c>
      <c r="CT20" s="109" t="e">
        <f t="shared" ca="1" si="72"/>
        <v>#NAME?</v>
      </c>
    </row>
    <row r="21" spans="1:98" ht="11.25" customHeight="1" x14ac:dyDescent="0.15">
      <c r="B21" s="2" t="s">
        <v>425</v>
      </c>
      <c r="R21" s="2" t="s">
        <v>586</v>
      </c>
      <c r="W21" s="2" t="s">
        <v>667</v>
      </c>
      <c r="CE21" s="55" t="e">
        <f t="shared" ca="1" si="59"/>
        <v>#NAME?</v>
      </c>
      <c r="CF21" s="55" t="e">
        <f t="shared" ca="1" si="60"/>
        <v>#NAME?</v>
      </c>
      <c r="CG21" s="57" t="e">
        <f t="shared" ca="1" si="61"/>
        <v>#NAME?</v>
      </c>
      <c r="CH21" s="55" t="e">
        <f t="shared" ca="1" si="62"/>
        <v>#NAME?</v>
      </c>
      <c r="CI21" s="55" t="e">
        <f t="shared" ca="1" si="63"/>
        <v>#NAME?</v>
      </c>
      <c r="CJ21" s="55" t="e">
        <f t="shared" ca="1" si="64"/>
        <v>#NAME?</v>
      </c>
      <c r="CK21" s="58" t="e">
        <f t="shared" ca="1" si="15"/>
        <v>#NAME?</v>
      </c>
      <c r="CL21" s="59" t="e">
        <f t="shared" ca="1" si="65"/>
        <v>#NAME?</v>
      </c>
      <c r="CM21" s="59" t="e">
        <f t="shared" ca="1" si="66"/>
        <v>#NAME?</v>
      </c>
      <c r="CN21" s="49" t="e">
        <f t="shared" ca="1" si="67"/>
        <v>#NAME?</v>
      </c>
      <c r="CO21" s="55" t="e">
        <f t="shared" ca="1" si="68"/>
        <v>#NAME?</v>
      </c>
      <c r="CP21" s="55" t="e">
        <f t="shared" ca="1" si="69"/>
        <v>#NAME?</v>
      </c>
      <c r="CQ21" s="55" t="e">
        <f t="shared" ca="1" si="70"/>
        <v>#NAME?</v>
      </c>
      <c r="CR21" s="60" t="e">
        <f t="shared" ca="1" si="71"/>
        <v>#NAME?</v>
      </c>
      <c r="CS21" s="2" t="e">
        <f t="shared" ca="1" si="13"/>
        <v>#NAME?</v>
      </c>
      <c r="CT21" s="109" t="e">
        <f t="shared" ca="1" si="72"/>
        <v>#NAME?</v>
      </c>
    </row>
    <row r="22" spans="1:98" ht="11.25" customHeight="1" x14ac:dyDescent="0.15">
      <c r="B22" s="2" t="s">
        <v>254</v>
      </c>
      <c r="C22" s="2" t="s">
        <v>300</v>
      </c>
      <c r="D22" s="2" t="s">
        <v>319</v>
      </c>
      <c r="E22" s="2" t="s">
        <v>344</v>
      </c>
      <c r="F22" s="2" t="s">
        <v>362</v>
      </c>
      <c r="M22" s="60" t="s">
        <v>490</v>
      </c>
      <c r="N22" s="2" t="s">
        <v>512</v>
      </c>
      <c r="P22" s="2" t="s">
        <v>542</v>
      </c>
      <c r="Q22" s="2" t="s">
        <v>563</v>
      </c>
      <c r="V22" s="2" t="s">
        <v>654</v>
      </c>
      <c r="W22" s="2" t="s">
        <v>668</v>
      </c>
      <c r="X22" s="2" t="s">
        <v>675</v>
      </c>
      <c r="Y22" s="2" t="s">
        <v>691</v>
      </c>
      <c r="CE22" s="55" t="e">
        <f t="shared" ca="1" si="59"/>
        <v>#NAME?</v>
      </c>
      <c r="CF22" s="55" t="e">
        <f t="shared" ca="1" si="60"/>
        <v>#NAME?</v>
      </c>
      <c r="CG22" s="57" t="e">
        <f t="shared" ca="1" si="61"/>
        <v>#NAME?</v>
      </c>
      <c r="CH22" s="55" t="e">
        <f t="shared" ca="1" si="62"/>
        <v>#NAME?</v>
      </c>
      <c r="CI22" s="55" t="e">
        <f t="shared" ca="1" si="63"/>
        <v>#NAME?</v>
      </c>
      <c r="CJ22" s="55" t="e">
        <f t="shared" ca="1" si="64"/>
        <v>#NAME?</v>
      </c>
      <c r="CK22" s="58" t="e">
        <f t="shared" ca="1" si="15"/>
        <v>#NAME?</v>
      </c>
      <c r="CL22" s="59" t="e">
        <f t="shared" ca="1" si="65"/>
        <v>#NAME?</v>
      </c>
      <c r="CM22" s="59" t="e">
        <f t="shared" ca="1" si="66"/>
        <v>#NAME?</v>
      </c>
      <c r="CN22" s="49" t="e">
        <f t="shared" ca="1" si="67"/>
        <v>#NAME?</v>
      </c>
      <c r="CO22" s="55" t="e">
        <f t="shared" ca="1" si="68"/>
        <v>#NAME?</v>
      </c>
      <c r="CP22" s="55" t="e">
        <f t="shared" ca="1" si="69"/>
        <v>#NAME?</v>
      </c>
      <c r="CQ22" s="55" t="e">
        <f t="shared" ca="1" si="70"/>
        <v>#NAME?</v>
      </c>
      <c r="CR22" s="60" t="e">
        <f t="shared" ca="1" si="71"/>
        <v>#NAME?</v>
      </c>
      <c r="CS22" s="2" t="e">
        <f t="shared" ca="1" si="13"/>
        <v>#NAME?</v>
      </c>
      <c r="CT22" s="109" t="e">
        <f t="shared" ca="1" si="72"/>
        <v>#NAME?</v>
      </c>
    </row>
    <row r="23" spans="1:98" ht="11.25" customHeight="1" x14ac:dyDescent="0.15">
      <c r="B23" s="2" t="s">
        <v>297</v>
      </c>
      <c r="C23" s="2" t="s">
        <v>301</v>
      </c>
      <c r="D23" s="2" t="s">
        <v>320</v>
      </c>
      <c r="E23" s="2" t="s">
        <v>345</v>
      </c>
      <c r="F23" s="2" t="s">
        <v>360</v>
      </c>
      <c r="G23" s="2" t="s">
        <v>378</v>
      </c>
      <c r="H23" s="2" t="s">
        <v>399</v>
      </c>
      <c r="J23" s="2" t="s">
        <v>440</v>
      </c>
      <c r="K23" s="2" t="s">
        <v>458</v>
      </c>
      <c r="L23" s="2" t="s">
        <v>474</v>
      </c>
      <c r="M23" s="60" t="s">
        <v>491</v>
      </c>
      <c r="N23" s="2" t="s">
        <v>514</v>
      </c>
      <c r="O23" s="2" t="s">
        <v>530</v>
      </c>
      <c r="Q23" s="2" t="s">
        <v>564</v>
      </c>
      <c r="R23" s="2" t="s">
        <v>582</v>
      </c>
      <c r="S23" s="2" t="s">
        <v>602</v>
      </c>
      <c r="T23" s="2" t="s">
        <v>620</v>
      </c>
      <c r="U23" s="2" t="s">
        <v>637</v>
      </c>
      <c r="V23" s="2" t="s">
        <v>653</v>
      </c>
      <c r="CE23" s="55" t="e">
        <f t="shared" ref="CE23:CE24" ca="1" si="88">BowlSplit(C23:BC23,InnsBowledIn)</f>
        <v>#NAME?</v>
      </c>
      <c r="CF23" s="55" t="e">
        <f t="shared" ref="CF23:CF24" ca="1" si="89">BowlSplit(C23:CC23,BallsBowled)</f>
        <v>#NAME?</v>
      </c>
      <c r="CG23" s="57" t="e">
        <f t="shared" ref="CG23:CG24" ca="1" si="90">BowlSplit(C23:CC23,OversBowled)</f>
        <v>#NAME?</v>
      </c>
      <c r="CH23" s="55" t="e">
        <f t="shared" ref="CH23:CH24" ca="1" si="91">BowlSplit(C23:CC23,Maidens)</f>
        <v>#NAME?</v>
      </c>
      <c r="CI23" s="55" t="e">
        <f t="shared" ref="CI23:CI24" ca="1" si="92">BowlSplit(C23:CC23,RunsConceded)</f>
        <v>#NAME?</v>
      </c>
      <c r="CJ23" s="55" t="e">
        <f t="shared" ref="CJ23:CJ24" ca="1" si="93">BowlSplit(C23:CC23,WicketsTaken)</f>
        <v>#NAME?</v>
      </c>
      <c r="CK23" s="58" t="e">
        <f t="shared" ref="CK23:CK24" ca="1" si="94">IF(CJ23&gt;0,ROUND(CI23/CJ23,2),"")</f>
        <v>#NAME?</v>
      </c>
      <c r="CL23" s="59" t="e">
        <f t="shared" ref="CL23:CL24" ca="1" si="95">IF(CJ23&gt;0,CF23/CJ23,"")</f>
        <v>#NAME?</v>
      </c>
      <c r="CM23" s="59" t="e">
        <f t="shared" ref="CM23:CM24" ca="1" si="96">IF(CF23&gt;0,6*CI23/CF23,"")</f>
        <v>#NAME?</v>
      </c>
      <c r="CN23" s="49" t="e">
        <f t="shared" ref="CN23:CN24" ca="1" si="97">BowlSplit(C23:CC23,BestBowling)</f>
        <v>#NAME?</v>
      </c>
      <c r="CO23" s="55" t="e">
        <f t="shared" ref="CO23:CO24" ca="1" si="98">BowlSplit(C23:CC23,BowlPts)</f>
        <v>#NAME?</v>
      </c>
      <c r="CP23" s="55" t="e">
        <f t="shared" ref="CP23:CP24" ca="1" si="99">BowlSplit(C23:CC23,Wides)</f>
        <v>#NAME?</v>
      </c>
      <c r="CQ23" s="55" t="e">
        <f t="shared" ref="CQ23:CQ24" ca="1" si="100">BowlSplit(C23:CC23,NoBalls)</f>
        <v>#NAME?</v>
      </c>
      <c r="CR23" s="60" t="e">
        <f t="shared" ref="CR23:CR24" ca="1" si="101">IF(CJ23&gt;0,CK23,IF(CF23&gt;0,CF23+1000,99999))+ROW(CQ23)/10000</f>
        <v>#NAME?</v>
      </c>
      <c r="CS23" s="2" t="e">
        <f t="shared" ca="1" si="13"/>
        <v>#NAME?</v>
      </c>
      <c r="CT23" s="109" t="e">
        <f t="shared" ref="CT23:CT24" ca="1" si="102">IF(CF23&gt;=120,CH23/CF23*6,"")</f>
        <v>#NAME?</v>
      </c>
    </row>
    <row r="24" spans="1:98" ht="11.25" customHeight="1" x14ac:dyDescent="0.15">
      <c r="B24" s="2" t="s">
        <v>552</v>
      </c>
      <c r="M24" s="60"/>
      <c r="Y24" s="2" t="s">
        <v>287</v>
      </c>
      <c r="CE24" s="55" t="e">
        <f t="shared" ca="1" si="88"/>
        <v>#NAME?</v>
      </c>
      <c r="CF24" s="55" t="e">
        <f t="shared" ca="1" si="89"/>
        <v>#NAME?</v>
      </c>
      <c r="CG24" s="57" t="e">
        <f t="shared" ca="1" si="90"/>
        <v>#NAME?</v>
      </c>
      <c r="CH24" s="55" t="e">
        <f t="shared" ca="1" si="91"/>
        <v>#NAME?</v>
      </c>
      <c r="CI24" s="55" t="e">
        <f t="shared" ca="1" si="92"/>
        <v>#NAME?</v>
      </c>
      <c r="CJ24" s="55" t="e">
        <f t="shared" ca="1" si="93"/>
        <v>#NAME?</v>
      </c>
      <c r="CK24" s="58" t="e">
        <f t="shared" ca="1" si="94"/>
        <v>#NAME?</v>
      </c>
      <c r="CL24" s="59" t="e">
        <f t="shared" ca="1" si="95"/>
        <v>#NAME?</v>
      </c>
      <c r="CM24" s="59" t="e">
        <f t="shared" ca="1" si="96"/>
        <v>#NAME?</v>
      </c>
      <c r="CN24" s="49" t="e">
        <f t="shared" ca="1" si="97"/>
        <v>#NAME?</v>
      </c>
      <c r="CO24" s="55" t="e">
        <f t="shared" ca="1" si="98"/>
        <v>#NAME?</v>
      </c>
      <c r="CP24" s="55" t="e">
        <f t="shared" ca="1" si="99"/>
        <v>#NAME?</v>
      </c>
      <c r="CQ24" s="55" t="e">
        <f t="shared" ca="1" si="100"/>
        <v>#NAME?</v>
      </c>
      <c r="CR24" s="60" t="e">
        <f t="shared" ca="1" si="101"/>
        <v>#NAME?</v>
      </c>
      <c r="CS24" s="2" t="e">
        <f t="shared" ca="1" si="13"/>
        <v>#NAME?</v>
      </c>
      <c r="CT24" s="109" t="e">
        <f t="shared" ca="1" si="102"/>
        <v>#NAME?</v>
      </c>
    </row>
    <row r="25" spans="1:98" ht="11.25" customHeight="1" x14ac:dyDescent="0.15">
      <c r="B25" s="2" t="s">
        <v>233</v>
      </c>
      <c r="G25" s="2" t="s">
        <v>381</v>
      </c>
      <c r="H25" s="2" t="s">
        <v>401</v>
      </c>
      <c r="J25" s="2" t="s">
        <v>270</v>
      </c>
      <c r="K25" s="2" t="s">
        <v>345</v>
      </c>
      <c r="L25" s="2" t="s">
        <v>479</v>
      </c>
      <c r="M25" s="60" t="s">
        <v>493</v>
      </c>
      <c r="N25" s="2" t="s">
        <v>516</v>
      </c>
      <c r="P25" s="2" t="s">
        <v>547</v>
      </c>
      <c r="R25" s="2" t="s">
        <v>272</v>
      </c>
      <c r="S25" s="2" t="s">
        <v>606</v>
      </c>
      <c r="T25" s="2" t="s">
        <v>622</v>
      </c>
      <c r="X25" s="2" t="s">
        <v>678</v>
      </c>
      <c r="Y25" s="2" t="s">
        <v>693</v>
      </c>
      <c r="CE25" s="55" t="e">
        <f t="shared" ca="1" si="59"/>
        <v>#NAME?</v>
      </c>
      <c r="CF25" s="55" t="e">
        <f t="shared" ca="1" si="60"/>
        <v>#NAME?</v>
      </c>
      <c r="CG25" s="57" t="e">
        <f t="shared" ca="1" si="61"/>
        <v>#NAME?</v>
      </c>
      <c r="CH25" s="55" t="e">
        <f t="shared" ca="1" si="62"/>
        <v>#NAME?</v>
      </c>
      <c r="CI25" s="55" t="e">
        <f t="shared" ca="1" si="63"/>
        <v>#NAME?</v>
      </c>
      <c r="CJ25" s="55" t="e">
        <f t="shared" ca="1" si="64"/>
        <v>#NAME?</v>
      </c>
      <c r="CK25" s="58" t="e">
        <f t="shared" ca="1" si="15"/>
        <v>#NAME?</v>
      </c>
      <c r="CL25" s="59" t="e">
        <f t="shared" ca="1" si="65"/>
        <v>#NAME?</v>
      </c>
      <c r="CM25" s="59" t="e">
        <f t="shared" ca="1" si="66"/>
        <v>#NAME?</v>
      </c>
      <c r="CN25" s="49" t="e">
        <f t="shared" ca="1" si="67"/>
        <v>#NAME?</v>
      </c>
      <c r="CO25" s="55" t="e">
        <f t="shared" ca="1" si="68"/>
        <v>#NAME?</v>
      </c>
      <c r="CP25" s="55" t="e">
        <f t="shared" ca="1" si="69"/>
        <v>#NAME?</v>
      </c>
      <c r="CQ25" s="55" t="e">
        <f t="shared" ca="1" si="70"/>
        <v>#NAME?</v>
      </c>
      <c r="CR25" s="60" t="e">
        <f t="shared" ca="1" si="71"/>
        <v>#NAME?</v>
      </c>
      <c r="CS25" s="2" t="e">
        <f t="shared" ca="1" si="13"/>
        <v>#NAME?</v>
      </c>
      <c r="CT25" s="109" t="e">
        <f t="shared" ca="1" si="72"/>
        <v>#NAME?</v>
      </c>
    </row>
    <row r="26" spans="1:98" ht="11.25" customHeight="1" x14ac:dyDescent="0.15">
      <c r="A26" s="2" t="s">
        <v>53</v>
      </c>
      <c r="B26" s="2" t="s">
        <v>151</v>
      </c>
      <c r="C26" s="2" t="s">
        <v>299</v>
      </c>
      <c r="E26" s="2" t="s">
        <v>347</v>
      </c>
      <c r="H26" s="2" t="s">
        <v>402</v>
      </c>
      <c r="I26" s="2" t="s">
        <v>418</v>
      </c>
      <c r="J26" s="2" t="s">
        <v>439</v>
      </c>
      <c r="K26" s="2" t="s">
        <v>457</v>
      </c>
      <c r="L26" s="2" t="s">
        <v>475</v>
      </c>
      <c r="M26" s="60" t="s">
        <v>303</v>
      </c>
      <c r="Q26" s="2" t="s">
        <v>365</v>
      </c>
      <c r="R26" s="2" t="s">
        <v>585</v>
      </c>
      <c r="S26" s="2" t="s">
        <v>601</v>
      </c>
      <c r="T26" s="2" t="s">
        <v>619</v>
      </c>
      <c r="CE26" s="55" t="e">
        <f t="shared" ca="1" si="59"/>
        <v>#NAME?</v>
      </c>
      <c r="CF26" s="55" t="e">
        <f t="shared" ca="1" si="60"/>
        <v>#NAME?</v>
      </c>
      <c r="CG26" s="57" t="e">
        <f t="shared" ca="1" si="61"/>
        <v>#NAME?</v>
      </c>
      <c r="CH26" s="55" t="e">
        <f t="shared" ca="1" si="62"/>
        <v>#NAME?</v>
      </c>
      <c r="CI26" s="55" t="e">
        <f t="shared" ca="1" si="63"/>
        <v>#NAME?</v>
      </c>
      <c r="CJ26" s="55" t="e">
        <f t="shared" ca="1" si="64"/>
        <v>#NAME?</v>
      </c>
      <c r="CK26" s="58" t="e">
        <f t="shared" ca="1" si="15"/>
        <v>#NAME?</v>
      </c>
      <c r="CL26" s="59" t="e">
        <f t="shared" ca="1" si="65"/>
        <v>#NAME?</v>
      </c>
      <c r="CM26" s="59" t="e">
        <f t="shared" ca="1" si="66"/>
        <v>#NAME?</v>
      </c>
      <c r="CN26" s="49" t="e">
        <f t="shared" ca="1" si="67"/>
        <v>#NAME?</v>
      </c>
      <c r="CO26" s="55" t="e">
        <f t="shared" ca="1" si="68"/>
        <v>#NAME?</v>
      </c>
      <c r="CP26" s="55" t="e">
        <f t="shared" ca="1" si="69"/>
        <v>#NAME?</v>
      </c>
      <c r="CQ26" s="55" t="e">
        <f t="shared" ca="1" si="70"/>
        <v>#NAME?</v>
      </c>
      <c r="CR26" s="60" t="e">
        <f t="shared" ca="1" si="71"/>
        <v>#NAME?</v>
      </c>
      <c r="CS26" s="2" t="e">
        <f t="shared" ca="1" si="13"/>
        <v>#NAME?</v>
      </c>
      <c r="CT26" s="109" t="e">
        <f t="shared" ca="1" si="72"/>
        <v>#NAME?</v>
      </c>
    </row>
    <row r="27" spans="1:98" ht="11.25" customHeight="1" x14ac:dyDescent="0.15">
      <c r="B27" s="2" t="s">
        <v>219</v>
      </c>
      <c r="M27" s="60"/>
      <c r="CE27" s="55" t="e">
        <f t="shared" ca="1" si="59"/>
        <v>#NAME?</v>
      </c>
      <c r="CF27" s="55" t="e">
        <f t="shared" ca="1" si="60"/>
        <v>#NAME?</v>
      </c>
      <c r="CG27" s="57" t="e">
        <f t="shared" ca="1" si="61"/>
        <v>#NAME?</v>
      </c>
      <c r="CH27" s="55" t="e">
        <f t="shared" ca="1" si="62"/>
        <v>#NAME?</v>
      </c>
      <c r="CI27" s="55" t="e">
        <f t="shared" ca="1" si="63"/>
        <v>#NAME?</v>
      </c>
      <c r="CJ27" s="55" t="e">
        <f t="shared" ca="1" si="64"/>
        <v>#NAME?</v>
      </c>
      <c r="CK27" s="58" t="e">
        <f t="shared" ca="1" si="15"/>
        <v>#NAME?</v>
      </c>
      <c r="CL27" s="59" t="e">
        <f t="shared" ca="1" si="65"/>
        <v>#NAME?</v>
      </c>
      <c r="CM27" s="59" t="e">
        <f t="shared" ca="1" si="66"/>
        <v>#NAME?</v>
      </c>
      <c r="CN27" s="49" t="e">
        <f t="shared" ca="1" si="67"/>
        <v>#NAME?</v>
      </c>
      <c r="CO27" s="55" t="e">
        <f t="shared" ca="1" si="68"/>
        <v>#NAME?</v>
      </c>
      <c r="CP27" s="55" t="e">
        <f t="shared" ca="1" si="69"/>
        <v>#NAME?</v>
      </c>
      <c r="CQ27" s="55" t="e">
        <f t="shared" ca="1" si="70"/>
        <v>#NAME?</v>
      </c>
      <c r="CR27" s="60" t="e">
        <f t="shared" ca="1" si="71"/>
        <v>#NAME?</v>
      </c>
      <c r="CS27" s="2" t="e">
        <f t="shared" ca="1" si="13"/>
        <v>#NAME?</v>
      </c>
      <c r="CT27" s="109" t="e">
        <f t="shared" ca="1" si="72"/>
        <v>#NAME?</v>
      </c>
    </row>
    <row r="28" spans="1:98" ht="11.25" customHeight="1" x14ac:dyDescent="0.15">
      <c r="B28" s="2" t="s">
        <v>579</v>
      </c>
      <c r="M28" s="60"/>
      <c r="N28" s="2" t="s">
        <v>513</v>
      </c>
      <c r="W28" s="2" t="s">
        <v>666</v>
      </c>
      <c r="CE28" s="55" t="e">
        <f t="shared" ca="1" si="59"/>
        <v>#NAME?</v>
      </c>
      <c r="CF28" s="55" t="e">
        <f t="shared" ca="1" si="60"/>
        <v>#NAME?</v>
      </c>
      <c r="CG28" s="57" t="e">
        <f t="shared" ca="1" si="61"/>
        <v>#NAME?</v>
      </c>
      <c r="CH28" s="55" t="e">
        <f t="shared" ca="1" si="62"/>
        <v>#NAME?</v>
      </c>
      <c r="CI28" s="55" t="e">
        <f t="shared" ca="1" si="63"/>
        <v>#NAME?</v>
      </c>
      <c r="CJ28" s="55" t="e">
        <f t="shared" ca="1" si="64"/>
        <v>#NAME?</v>
      </c>
      <c r="CK28" s="58" t="e">
        <f t="shared" ca="1" si="15"/>
        <v>#NAME?</v>
      </c>
      <c r="CL28" s="59" t="e">
        <f t="shared" ca="1" si="65"/>
        <v>#NAME?</v>
      </c>
      <c r="CM28" s="59" t="e">
        <f t="shared" ca="1" si="66"/>
        <v>#NAME?</v>
      </c>
      <c r="CN28" s="49" t="e">
        <f t="shared" ca="1" si="67"/>
        <v>#NAME?</v>
      </c>
      <c r="CO28" s="55" t="e">
        <f t="shared" ca="1" si="68"/>
        <v>#NAME?</v>
      </c>
      <c r="CP28" s="55" t="e">
        <f t="shared" ca="1" si="69"/>
        <v>#NAME?</v>
      </c>
      <c r="CQ28" s="55" t="e">
        <f t="shared" ca="1" si="70"/>
        <v>#NAME?</v>
      </c>
      <c r="CR28" s="60" t="e">
        <f t="shared" ca="1" si="71"/>
        <v>#NAME?</v>
      </c>
      <c r="CS28" s="2" t="e">
        <f t="shared" ca="1" si="13"/>
        <v>#NAME?</v>
      </c>
      <c r="CT28" s="109" t="e">
        <f t="shared" ca="1" si="72"/>
        <v>#NAME?</v>
      </c>
    </row>
    <row r="29" spans="1:98" ht="11.25" customHeight="1" x14ac:dyDescent="0.15">
      <c r="B29" s="2" t="s">
        <v>213</v>
      </c>
      <c r="CE29" s="55" t="e">
        <f t="shared" ca="1" si="59"/>
        <v>#NAME?</v>
      </c>
      <c r="CF29" s="55" t="e">
        <f t="shared" ca="1" si="60"/>
        <v>#NAME?</v>
      </c>
      <c r="CG29" s="57" t="e">
        <f t="shared" ca="1" si="61"/>
        <v>#NAME?</v>
      </c>
      <c r="CH29" s="55" t="e">
        <f t="shared" ca="1" si="62"/>
        <v>#NAME?</v>
      </c>
      <c r="CI29" s="55" t="e">
        <f t="shared" ca="1" si="63"/>
        <v>#NAME?</v>
      </c>
      <c r="CJ29" s="55" t="e">
        <f t="shared" ca="1" si="64"/>
        <v>#NAME?</v>
      </c>
      <c r="CK29" s="58" t="e">
        <f t="shared" ca="1" si="15"/>
        <v>#NAME?</v>
      </c>
      <c r="CL29" s="59" t="e">
        <f t="shared" ca="1" si="65"/>
        <v>#NAME?</v>
      </c>
      <c r="CM29" s="59" t="e">
        <f t="shared" ca="1" si="66"/>
        <v>#NAME?</v>
      </c>
      <c r="CN29" s="49" t="e">
        <f t="shared" ca="1" si="67"/>
        <v>#NAME?</v>
      </c>
      <c r="CO29" s="55" t="e">
        <f t="shared" ca="1" si="68"/>
        <v>#NAME?</v>
      </c>
      <c r="CP29" s="55" t="e">
        <f t="shared" ca="1" si="69"/>
        <v>#NAME?</v>
      </c>
      <c r="CQ29" s="55" t="e">
        <f t="shared" ca="1" si="70"/>
        <v>#NAME?</v>
      </c>
      <c r="CR29" s="60" t="e">
        <f t="shared" ca="1" si="71"/>
        <v>#NAME?</v>
      </c>
      <c r="CS29" s="2" t="e">
        <f t="shared" ca="1" si="13"/>
        <v>#NAME?</v>
      </c>
      <c r="CT29" s="109" t="e">
        <f t="shared" ca="1" si="72"/>
        <v>#NAME?</v>
      </c>
    </row>
    <row r="30" spans="1:98" ht="11.25" customHeight="1" x14ac:dyDescent="0.15">
      <c r="A30" s="2" t="s">
        <v>60</v>
      </c>
      <c r="B30" s="2" t="s">
        <v>152</v>
      </c>
      <c r="CE30" s="55" t="e">
        <f t="shared" ca="1" si="59"/>
        <v>#NAME?</v>
      </c>
      <c r="CF30" s="55" t="e">
        <f t="shared" ca="1" si="60"/>
        <v>#NAME?</v>
      </c>
      <c r="CG30" s="57" t="e">
        <f t="shared" ca="1" si="61"/>
        <v>#NAME?</v>
      </c>
      <c r="CH30" s="55" t="e">
        <f t="shared" ca="1" si="62"/>
        <v>#NAME?</v>
      </c>
      <c r="CI30" s="55" t="e">
        <f t="shared" ca="1" si="63"/>
        <v>#NAME?</v>
      </c>
      <c r="CJ30" s="55" t="e">
        <f t="shared" ca="1" si="64"/>
        <v>#NAME?</v>
      </c>
      <c r="CK30" s="58" t="e">
        <f t="shared" ca="1" si="15"/>
        <v>#NAME?</v>
      </c>
      <c r="CL30" s="59" t="e">
        <f t="shared" ca="1" si="65"/>
        <v>#NAME?</v>
      </c>
      <c r="CM30" s="59" t="e">
        <f t="shared" ca="1" si="66"/>
        <v>#NAME?</v>
      </c>
      <c r="CN30" s="49" t="e">
        <f t="shared" ca="1" si="67"/>
        <v>#NAME?</v>
      </c>
      <c r="CO30" s="55" t="e">
        <f t="shared" ca="1" si="68"/>
        <v>#NAME?</v>
      </c>
      <c r="CP30" s="55" t="e">
        <f t="shared" ca="1" si="69"/>
        <v>#NAME?</v>
      </c>
      <c r="CQ30" s="55" t="e">
        <f t="shared" ca="1" si="70"/>
        <v>#NAME?</v>
      </c>
      <c r="CR30" s="60" t="e">
        <f t="shared" ca="1" si="71"/>
        <v>#NAME?</v>
      </c>
      <c r="CS30" s="2" t="e">
        <f t="shared" ca="1" si="13"/>
        <v>#NAME?</v>
      </c>
      <c r="CT30" s="109" t="e">
        <f t="shared" ca="1" si="72"/>
        <v>#NAME?</v>
      </c>
    </row>
    <row r="31" spans="1:98" ht="11.25" customHeight="1" x14ac:dyDescent="0.15">
      <c r="B31" s="2" t="s">
        <v>278</v>
      </c>
      <c r="U31" s="2" t="s">
        <v>641</v>
      </c>
      <c r="CE31" s="55" t="e">
        <f t="shared" ca="1" si="59"/>
        <v>#NAME?</v>
      </c>
      <c r="CF31" s="55" t="e">
        <f t="shared" ca="1" si="60"/>
        <v>#NAME?</v>
      </c>
      <c r="CG31" s="57" t="e">
        <f t="shared" ca="1" si="61"/>
        <v>#NAME?</v>
      </c>
      <c r="CH31" s="55" t="e">
        <f t="shared" ca="1" si="62"/>
        <v>#NAME?</v>
      </c>
      <c r="CI31" s="55" t="e">
        <f t="shared" ca="1" si="63"/>
        <v>#NAME?</v>
      </c>
      <c r="CJ31" s="55" t="e">
        <f t="shared" ca="1" si="64"/>
        <v>#NAME?</v>
      </c>
      <c r="CK31" s="58" t="e">
        <f t="shared" ca="1" si="15"/>
        <v>#NAME?</v>
      </c>
      <c r="CL31" s="59" t="e">
        <f t="shared" ca="1" si="65"/>
        <v>#NAME?</v>
      </c>
      <c r="CM31" s="59" t="e">
        <f t="shared" ca="1" si="66"/>
        <v>#NAME?</v>
      </c>
      <c r="CN31" s="49" t="e">
        <f t="shared" ca="1" si="67"/>
        <v>#NAME?</v>
      </c>
      <c r="CO31" s="55" t="e">
        <f t="shared" ca="1" si="68"/>
        <v>#NAME?</v>
      </c>
      <c r="CP31" s="55" t="e">
        <f t="shared" ca="1" si="69"/>
        <v>#NAME?</v>
      </c>
      <c r="CQ31" s="55" t="e">
        <f t="shared" ca="1" si="70"/>
        <v>#NAME?</v>
      </c>
      <c r="CR31" s="60" t="e">
        <f t="shared" ca="1" si="71"/>
        <v>#NAME?</v>
      </c>
      <c r="CS31" s="2" t="e">
        <f t="shared" ca="1" si="13"/>
        <v>#NAME?</v>
      </c>
      <c r="CT31" s="109" t="e">
        <f t="shared" ca="1" si="72"/>
        <v>#NAME?</v>
      </c>
    </row>
    <row r="33" spans="2:92" x14ac:dyDescent="0.15">
      <c r="B33" s="2" t="s">
        <v>123</v>
      </c>
      <c r="C33" s="2" t="e">
        <f t="shared" ref="C33:AH33" ca="1" si="103">BowlSplit(C5:C31,RunsConceded)</f>
        <v>#NAME?</v>
      </c>
      <c r="D33" s="2" t="e">
        <f t="shared" ca="1" si="103"/>
        <v>#NAME?</v>
      </c>
      <c r="E33" s="2" t="e">
        <f t="shared" ca="1" si="103"/>
        <v>#NAME?</v>
      </c>
      <c r="F33" s="2" t="e">
        <f t="shared" ca="1" si="103"/>
        <v>#NAME?</v>
      </c>
      <c r="G33" s="2" t="e">
        <f t="shared" ca="1" si="103"/>
        <v>#NAME?</v>
      </c>
      <c r="H33" s="2" t="e">
        <f t="shared" ca="1" si="103"/>
        <v>#NAME?</v>
      </c>
      <c r="I33" s="2" t="e">
        <f t="shared" ca="1" si="103"/>
        <v>#NAME?</v>
      </c>
      <c r="J33" s="2" t="e">
        <f t="shared" ca="1" si="103"/>
        <v>#NAME?</v>
      </c>
      <c r="K33" s="2" t="e">
        <f t="shared" ca="1" si="103"/>
        <v>#NAME?</v>
      </c>
      <c r="L33" s="2" t="e">
        <f t="shared" ca="1" si="103"/>
        <v>#NAME?</v>
      </c>
      <c r="M33" s="2" t="e">
        <f t="shared" ca="1" si="103"/>
        <v>#NAME?</v>
      </c>
      <c r="N33" s="2" t="e">
        <f t="shared" ca="1" si="103"/>
        <v>#NAME?</v>
      </c>
      <c r="O33" s="2" t="e">
        <f t="shared" ca="1" si="103"/>
        <v>#NAME?</v>
      </c>
      <c r="P33" s="2" t="e">
        <f t="shared" ca="1" si="103"/>
        <v>#NAME?</v>
      </c>
      <c r="Q33" s="2" t="e">
        <f ca="1">BowlSplit(Q5:Q31,RunsConceded)</f>
        <v>#NAME?</v>
      </c>
      <c r="R33" s="2" t="e">
        <f ca="1">BowlSplit(R5:R31,RunsConceded)</f>
        <v>#NAME?</v>
      </c>
      <c r="S33" s="2" t="e">
        <f t="shared" ca="1" si="103"/>
        <v>#NAME?</v>
      </c>
      <c r="T33" s="2" t="e">
        <f t="shared" ca="1" si="103"/>
        <v>#NAME?</v>
      </c>
      <c r="U33" s="2" t="e">
        <f t="shared" ca="1" si="103"/>
        <v>#NAME?</v>
      </c>
      <c r="V33" s="2" t="e">
        <f t="shared" ca="1" si="103"/>
        <v>#NAME?</v>
      </c>
      <c r="W33" s="2" t="e">
        <f t="shared" ca="1" si="103"/>
        <v>#NAME?</v>
      </c>
      <c r="X33" s="2" t="e">
        <f t="shared" ca="1" si="103"/>
        <v>#NAME?</v>
      </c>
      <c r="Y33" s="2" t="e">
        <f t="shared" ca="1" si="103"/>
        <v>#NAME?</v>
      </c>
      <c r="Z33" s="2" t="e">
        <f t="shared" ca="1" si="103"/>
        <v>#NAME?</v>
      </c>
      <c r="AA33" s="2" t="e">
        <f t="shared" ca="1" si="103"/>
        <v>#NAME?</v>
      </c>
      <c r="AB33" s="2" t="e">
        <f t="shared" ca="1" si="103"/>
        <v>#NAME?</v>
      </c>
      <c r="AC33" s="2" t="e">
        <f t="shared" ca="1" si="103"/>
        <v>#NAME?</v>
      </c>
      <c r="AD33" s="2" t="e">
        <f t="shared" ca="1" si="103"/>
        <v>#NAME?</v>
      </c>
      <c r="AE33" s="2" t="e">
        <f t="shared" ca="1" si="103"/>
        <v>#NAME?</v>
      </c>
      <c r="AF33" s="2" t="e">
        <f t="shared" ca="1" si="103"/>
        <v>#NAME?</v>
      </c>
      <c r="AG33" s="2" t="e">
        <f t="shared" ca="1" si="103"/>
        <v>#NAME?</v>
      </c>
      <c r="AH33" s="2" t="e">
        <f t="shared" ca="1" si="103"/>
        <v>#NAME?</v>
      </c>
      <c r="AI33" s="2" t="e">
        <f t="shared" ref="AI33:BF33" ca="1" si="104">BowlSplit(AI5:AI31,RunsConceded)</f>
        <v>#NAME?</v>
      </c>
      <c r="AJ33" s="2" t="e">
        <f t="shared" ca="1" si="104"/>
        <v>#NAME?</v>
      </c>
      <c r="AK33" s="2" t="e">
        <f t="shared" ca="1" si="104"/>
        <v>#NAME?</v>
      </c>
      <c r="AL33" s="2" t="e">
        <f t="shared" ca="1" si="104"/>
        <v>#NAME?</v>
      </c>
      <c r="AM33" s="2" t="e">
        <f t="shared" ca="1" si="104"/>
        <v>#NAME?</v>
      </c>
      <c r="AN33" s="2" t="e">
        <f t="shared" ca="1" si="104"/>
        <v>#NAME?</v>
      </c>
      <c r="AO33" s="2" t="e">
        <f t="shared" ca="1" si="104"/>
        <v>#NAME?</v>
      </c>
      <c r="AP33" s="2" t="e">
        <f t="shared" ca="1" si="104"/>
        <v>#NAME?</v>
      </c>
      <c r="AQ33" s="2" t="e">
        <f t="shared" ca="1" si="104"/>
        <v>#NAME?</v>
      </c>
      <c r="AR33" s="2" t="e">
        <f t="shared" ca="1" si="104"/>
        <v>#NAME?</v>
      </c>
      <c r="AS33" s="2" t="e">
        <f t="shared" ca="1" si="104"/>
        <v>#NAME?</v>
      </c>
      <c r="AT33" s="2" t="e">
        <f t="shared" ca="1" si="104"/>
        <v>#NAME?</v>
      </c>
      <c r="AU33" s="2" t="e">
        <f t="shared" ca="1" si="104"/>
        <v>#NAME?</v>
      </c>
      <c r="AV33" s="2" t="e">
        <f t="shared" ca="1" si="104"/>
        <v>#NAME?</v>
      </c>
      <c r="AW33" s="2" t="e">
        <f t="shared" ca="1" si="104"/>
        <v>#NAME?</v>
      </c>
      <c r="AX33" s="2" t="e">
        <f t="shared" ca="1" si="104"/>
        <v>#NAME?</v>
      </c>
      <c r="AY33" s="2" t="e">
        <f t="shared" ca="1" si="104"/>
        <v>#NAME?</v>
      </c>
      <c r="AZ33" s="2" t="e">
        <f t="shared" ca="1" si="104"/>
        <v>#NAME?</v>
      </c>
      <c r="BA33" s="2" t="e">
        <f t="shared" ca="1" si="104"/>
        <v>#NAME?</v>
      </c>
      <c r="BB33" s="2" t="e">
        <f t="shared" ca="1" si="104"/>
        <v>#NAME?</v>
      </c>
      <c r="BC33" s="2" t="e">
        <f t="shared" ca="1" si="104"/>
        <v>#NAME?</v>
      </c>
      <c r="BD33" s="2" t="e">
        <f t="shared" ca="1" si="104"/>
        <v>#NAME?</v>
      </c>
      <c r="BE33" s="2" t="e">
        <f t="shared" ca="1" si="104"/>
        <v>#NAME?</v>
      </c>
      <c r="BF33" s="2" t="e">
        <f t="shared" ca="1" si="104"/>
        <v>#NAME?</v>
      </c>
      <c r="CE33" s="55" t="e">
        <f ca="1">SUM(C33:BF33)</f>
        <v>#NAME?</v>
      </c>
      <c r="CF33" s="55" t="e">
        <f ca="1">SUM(CF5:CF31)</f>
        <v>#NAME?</v>
      </c>
      <c r="CJ33" s="55" t="e">
        <f ca="1">SUM(CJ5:CJ31)</f>
        <v>#NAME?</v>
      </c>
    </row>
    <row r="34" spans="2:92" x14ac:dyDescent="0.15">
      <c r="B34" s="2" t="s">
        <v>124</v>
      </c>
      <c r="C34" s="2">
        <f t="array" ref="C34:BE35">TRANSPOSE(Matches!S5:T59)</f>
        <v>9</v>
      </c>
      <c r="D34" s="2">
        <v>0</v>
      </c>
      <c r="E34" s="2">
        <v>6</v>
      </c>
      <c r="F34" s="2">
        <v>3</v>
      </c>
      <c r="G34" s="2">
        <v>1</v>
      </c>
      <c r="H34" s="2">
        <v>5</v>
      </c>
      <c r="I34" s="2">
        <v>7</v>
      </c>
      <c r="J34" s="2">
        <v>0</v>
      </c>
      <c r="K34" s="2">
        <v>0</v>
      </c>
      <c r="L34" s="2">
        <v>9</v>
      </c>
      <c r="M34" s="2">
        <v>6</v>
      </c>
      <c r="N34" s="2">
        <v>3</v>
      </c>
      <c r="O34" s="2">
        <v>5</v>
      </c>
      <c r="P34" s="2">
        <v>1</v>
      </c>
      <c r="Q34" s="2">
        <v>0</v>
      </c>
      <c r="R34" s="2">
        <v>10</v>
      </c>
      <c r="S34" s="2">
        <v>6</v>
      </c>
      <c r="T34" s="2">
        <v>5</v>
      </c>
      <c r="U34" s="2">
        <v>5</v>
      </c>
      <c r="V34" s="2">
        <v>10</v>
      </c>
      <c r="W34" s="2">
        <v>1</v>
      </c>
      <c r="X34" s="2">
        <v>10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CE34" s="55">
        <f>SUM(C34:BF34)</f>
        <v>102</v>
      </c>
    </row>
    <row r="35" spans="2:92" x14ac:dyDescent="0.15">
      <c r="B35" s="2" t="s">
        <v>125</v>
      </c>
      <c r="C35" s="2">
        <v>2</v>
      </c>
      <c r="D35" s="2">
        <v>0</v>
      </c>
      <c r="E35" s="2">
        <v>3</v>
      </c>
      <c r="F35" s="2">
        <v>1</v>
      </c>
      <c r="G35" s="2">
        <v>2</v>
      </c>
      <c r="H35" s="2">
        <v>2</v>
      </c>
      <c r="I35" s="2">
        <v>4</v>
      </c>
      <c r="J35" s="2">
        <v>0</v>
      </c>
      <c r="K35" s="2">
        <v>0</v>
      </c>
      <c r="L35" s="2">
        <v>1</v>
      </c>
      <c r="M35" s="2">
        <v>2</v>
      </c>
      <c r="N35" s="2">
        <v>1</v>
      </c>
      <c r="O35" s="2">
        <v>4</v>
      </c>
      <c r="P35" s="2">
        <v>0</v>
      </c>
      <c r="Q35" s="2">
        <v>0</v>
      </c>
      <c r="R35" s="2">
        <v>3</v>
      </c>
      <c r="S35" s="2">
        <v>1</v>
      </c>
      <c r="T35" s="2">
        <v>11</v>
      </c>
      <c r="U35" s="2">
        <v>1</v>
      </c>
      <c r="V35" s="2">
        <v>2</v>
      </c>
      <c r="W35" s="2">
        <v>1</v>
      </c>
      <c r="X35" s="2">
        <v>6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47</v>
      </c>
      <c r="CG35" s="55" t="s">
        <v>163</v>
      </c>
      <c r="CH35" s="55" t="s">
        <v>164</v>
      </c>
    </row>
    <row r="36" spans="2:92" s="56" customFormat="1" x14ac:dyDescent="0.15">
      <c r="B36" s="56" t="s">
        <v>122</v>
      </c>
      <c r="C36" s="56" t="e">
        <f ca="1">SUM(C33:C35)</f>
        <v>#NAME?</v>
      </c>
      <c r="D36" s="56" t="e">
        <f t="shared" ref="D36:BE36" ca="1" si="105">SUM(D33:D35)</f>
        <v>#NAME?</v>
      </c>
      <c r="E36" s="56" t="e">
        <f t="shared" ca="1" si="105"/>
        <v>#NAME?</v>
      </c>
      <c r="F36" s="56" t="e">
        <f t="shared" ca="1" si="105"/>
        <v>#NAME?</v>
      </c>
      <c r="G36" s="56" t="e">
        <f t="shared" ca="1" si="105"/>
        <v>#NAME?</v>
      </c>
      <c r="H36" s="56" t="e">
        <f t="shared" ca="1" si="105"/>
        <v>#NAME?</v>
      </c>
      <c r="I36" s="56" t="e">
        <f t="shared" ca="1" si="105"/>
        <v>#NAME?</v>
      </c>
      <c r="J36" s="56" t="e">
        <f t="shared" ca="1" si="105"/>
        <v>#NAME?</v>
      </c>
      <c r="K36" s="56" t="e">
        <f t="shared" ca="1" si="105"/>
        <v>#NAME?</v>
      </c>
      <c r="L36" s="56" t="e">
        <f t="shared" ca="1" si="105"/>
        <v>#NAME?</v>
      </c>
      <c r="M36" s="56" t="e">
        <f t="shared" ca="1" si="105"/>
        <v>#NAME?</v>
      </c>
      <c r="N36" s="56" t="e">
        <f t="shared" ca="1" si="105"/>
        <v>#NAME?</v>
      </c>
      <c r="O36" s="56" t="e">
        <f t="shared" ca="1" si="105"/>
        <v>#NAME?</v>
      </c>
      <c r="P36" s="56" t="e">
        <f t="shared" ca="1" si="105"/>
        <v>#NAME?</v>
      </c>
      <c r="Q36" s="56" t="e">
        <f t="shared" ca="1" si="105"/>
        <v>#NAME?</v>
      </c>
      <c r="R36" s="56" t="e">
        <f t="shared" ca="1" si="105"/>
        <v>#NAME?</v>
      </c>
      <c r="S36" s="56" t="e">
        <f t="shared" ca="1" si="105"/>
        <v>#NAME?</v>
      </c>
      <c r="T36" s="56" t="e">
        <f t="shared" ca="1" si="105"/>
        <v>#NAME?</v>
      </c>
      <c r="U36" s="56" t="e">
        <f t="shared" ca="1" si="105"/>
        <v>#NAME?</v>
      </c>
      <c r="V36" s="56" t="e">
        <f t="shared" ca="1" si="105"/>
        <v>#NAME?</v>
      </c>
      <c r="W36" s="56" t="e">
        <f t="shared" ca="1" si="105"/>
        <v>#NAME?</v>
      </c>
      <c r="X36" s="56" t="e">
        <f t="shared" ca="1" si="105"/>
        <v>#NAME?</v>
      </c>
      <c r="Y36" s="56" t="e">
        <f t="shared" ca="1" si="105"/>
        <v>#NAME?</v>
      </c>
      <c r="Z36" s="56" t="e">
        <f t="shared" ca="1" si="105"/>
        <v>#NAME?</v>
      </c>
      <c r="AA36" s="56" t="e">
        <f t="shared" ca="1" si="105"/>
        <v>#NAME?</v>
      </c>
      <c r="AB36" s="56" t="e">
        <f t="shared" ca="1" si="105"/>
        <v>#NAME?</v>
      </c>
      <c r="AC36" s="56" t="e">
        <f t="shared" ca="1" si="105"/>
        <v>#NAME?</v>
      </c>
      <c r="AD36" s="56" t="e">
        <f t="shared" ca="1" si="105"/>
        <v>#NAME?</v>
      </c>
      <c r="AE36" s="56" t="e">
        <f t="shared" ca="1" si="105"/>
        <v>#NAME?</v>
      </c>
      <c r="AF36" s="56" t="e">
        <f t="shared" ca="1" si="105"/>
        <v>#NAME?</v>
      </c>
      <c r="AG36" s="56" t="e">
        <f t="shared" ca="1" si="105"/>
        <v>#NAME?</v>
      </c>
      <c r="AH36" s="56" t="e">
        <f t="shared" ca="1" si="105"/>
        <v>#NAME?</v>
      </c>
      <c r="AI36" s="56" t="e">
        <f t="shared" ca="1" si="105"/>
        <v>#NAME?</v>
      </c>
      <c r="AJ36" s="56" t="e">
        <f t="shared" ca="1" si="105"/>
        <v>#NAME?</v>
      </c>
      <c r="AK36" s="56" t="e">
        <f t="shared" ca="1" si="105"/>
        <v>#NAME?</v>
      </c>
      <c r="AL36" s="56" t="e">
        <f t="shared" ca="1" si="105"/>
        <v>#NAME?</v>
      </c>
      <c r="AM36" s="56" t="e">
        <f t="shared" ca="1" si="105"/>
        <v>#NAME?</v>
      </c>
      <c r="AN36" s="56" t="e">
        <f t="shared" ca="1" si="105"/>
        <v>#NAME?</v>
      </c>
      <c r="AO36" s="56" t="e">
        <f t="shared" ca="1" si="105"/>
        <v>#NAME?</v>
      </c>
      <c r="AP36" s="56" t="e">
        <f t="shared" ca="1" si="105"/>
        <v>#NAME?</v>
      </c>
      <c r="AQ36" s="56" t="e">
        <f t="shared" ca="1" si="105"/>
        <v>#NAME?</v>
      </c>
      <c r="AR36" s="56" t="e">
        <f t="shared" ca="1" si="105"/>
        <v>#NAME?</v>
      </c>
      <c r="AS36" s="56" t="e">
        <f t="shared" ca="1" si="105"/>
        <v>#NAME?</v>
      </c>
      <c r="AT36" s="56" t="e">
        <f t="shared" ca="1" si="105"/>
        <v>#NAME?</v>
      </c>
      <c r="AU36" s="56" t="e">
        <f t="shared" ca="1" si="105"/>
        <v>#NAME?</v>
      </c>
      <c r="AV36" s="56" t="e">
        <f t="shared" ca="1" si="105"/>
        <v>#NAME?</v>
      </c>
      <c r="AW36" s="56" t="e">
        <f t="shared" ca="1" si="105"/>
        <v>#NAME?</v>
      </c>
      <c r="AX36" s="56" t="e">
        <f t="shared" ca="1" si="105"/>
        <v>#NAME?</v>
      </c>
      <c r="AY36" s="56" t="e">
        <f t="shared" ca="1" si="105"/>
        <v>#NAME?</v>
      </c>
      <c r="AZ36" s="56" t="e">
        <f t="shared" ca="1" si="105"/>
        <v>#NAME?</v>
      </c>
      <c r="BA36" s="56" t="e">
        <f t="shared" ca="1" si="105"/>
        <v>#NAME?</v>
      </c>
      <c r="BB36" s="56" t="e">
        <f t="shared" ca="1" si="105"/>
        <v>#NAME?</v>
      </c>
      <c r="BC36" s="56" t="e">
        <f t="shared" ca="1" si="105"/>
        <v>#NAME?</v>
      </c>
      <c r="BD36" s="56" t="e">
        <f t="shared" ca="1" si="105"/>
        <v>#NAME?</v>
      </c>
      <c r="BE36" s="56" t="e">
        <f t="shared" ca="1" si="105"/>
        <v>#NAME?</v>
      </c>
      <c r="CE36" s="56" t="e">
        <f ca="1">SUM(C36:BF36)</f>
        <v>#NAME?</v>
      </c>
      <c r="CG36" s="56" t="e">
        <f ca="1">MAX(C36:CB36)</f>
        <v>#NAME?</v>
      </c>
      <c r="CH36" s="56" t="e">
        <f t="array" aca="1" ref="CH36" ca="1">MIN(IF(C36:CB36&gt;0,C36:CB36,9999))</f>
        <v>#NAME?</v>
      </c>
      <c r="CN36" s="61"/>
    </row>
    <row r="37" spans="2:92" x14ac:dyDescent="0.15">
      <c r="B37" s="2" t="s">
        <v>35</v>
      </c>
      <c r="C37" s="2" t="e">
        <f t="shared" ref="C37:AH37" ca="1" si="106">BowlSplit(C5:C31,OversBowled)</f>
        <v>#NAME?</v>
      </c>
      <c r="D37" s="2" t="e">
        <f t="shared" ca="1" si="106"/>
        <v>#NAME?</v>
      </c>
      <c r="E37" s="2" t="e">
        <f t="shared" ca="1" si="106"/>
        <v>#NAME?</v>
      </c>
      <c r="F37" s="2" t="e">
        <f t="shared" ca="1" si="106"/>
        <v>#NAME?</v>
      </c>
      <c r="G37" s="2" t="e">
        <f t="shared" ca="1" si="106"/>
        <v>#NAME?</v>
      </c>
      <c r="H37" s="2" t="e">
        <f t="shared" ca="1" si="106"/>
        <v>#NAME?</v>
      </c>
      <c r="I37" s="2" t="e">
        <f t="shared" ca="1" si="106"/>
        <v>#NAME?</v>
      </c>
      <c r="J37" s="2" t="e">
        <f t="shared" ca="1" si="106"/>
        <v>#NAME?</v>
      </c>
      <c r="K37" s="2" t="e">
        <f t="shared" ca="1" si="106"/>
        <v>#NAME?</v>
      </c>
      <c r="L37" s="2" t="e">
        <f t="shared" ca="1" si="106"/>
        <v>#NAME?</v>
      </c>
      <c r="M37" s="2" t="e">
        <f t="shared" ca="1" si="106"/>
        <v>#NAME?</v>
      </c>
      <c r="N37" s="2" t="e">
        <f t="shared" ca="1" si="106"/>
        <v>#NAME?</v>
      </c>
      <c r="O37" s="2" t="e">
        <f t="shared" ca="1" si="106"/>
        <v>#NAME?</v>
      </c>
      <c r="P37" s="2" t="e">
        <f t="shared" ca="1" si="106"/>
        <v>#NAME?</v>
      </c>
      <c r="Q37" s="2" t="e">
        <f ca="1">BowlSplit(Q5:Q31,OversBowled)</f>
        <v>#NAME?</v>
      </c>
      <c r="R37" s="2" t="e">
        <f ca="1">BowlSplit(R5:R31,OversBowled)</f>
        <v>#NAME?</v>
      </c>
      <c r="S37" s="2" t="e">
        <f t="shared" ca="1" si="106"/>
        <v>#NAME?</v>
      </c>
      <c r="T37" s="2" t="e">
        <f t="shared" ca="1" si="106"/>
        <v>#NAME?</v>
      </c>
      <c r="U37" s="2" t="e">
        <f t="shared" ca="1" si="106"/>
        <v>#NAME?</v>
      </c>
      <c r="V37" s="2" t="e">
        <f t="shared" ca="1" si="106"/>
        <v>#NAME?</v>
      </c>
      <c r="W37" s="2" t="e">
        <f t="shared" ca="1" si="106"/>
        <v>#NAME?</v>
      </c>
      <c r="X37" s="2" t="e">
        <f t="shared" ca="1" si="106"/>
        <v>#NAME?</v>
      </c>
      <c r="Y37" s="2" t="e">
        <f t="shared" ca="1" si="106"/>
        <v>#NAME?</v>
      </c>
      <c r="Z37" s="2" t="e">
        <f t="shared" ca="1" si="106"/>
        <v>#NAME?</v>
      </c>
      <c r="AA37" s="2" t="e">
        <f t="shared" ca="1" si="106"/>
        <v>#NAME?</v>
      </c>
      <c r="AB37" s="2" t="e">
        <f t="shared" ca="1" si="106"/>
        <v>#NAME?</v>
      </c>
      <c r="AC37" s="2" t="e">
        <f t="shared" ca="1" si="106"/>
        <v>#NAME?</v>
      </c>
      <c r="AD37" s="2" t="e">
        <f t="shared" ca="1" si="106"/>
        <v>#NAME?</v>
      </c>
      <c r="AE37" s="2" t="e">
        <f t="shared" ca="1" si="106"/>
        <v>#NAME?</v>
      </c>
      <c r="AF37" s="2" t="e">
        <f t="shared" ca="1" si="106"/>
        <v>#NAME?</v>
      </c>
      <c r="AG37" s="2" t="e">
        <f t="shared" ca="1" si="106"/>
        <v>#NAME?</v>
      </c>
      <c r="AH37" s="2" t="e">
        <f t="shared" ca="1" si="106"/>
        <v>#NAME?</v>
      </c>
      <c r="AI37" s="2" t="e">
        <f t="shared" ref="AI37:BF37" ca="1" si="107">BowlSplit(AI5:AI31,OversBowled)</f>
        <v>#NAME?</v>
      </c>
      <c r="AJ37" s="2" t="e">
        <f t="shared" ca="1" si="107"/>
        <v>#NAME?</v>
      </c>
      <c r="AK37" s="2" t="e">
        <f t="shared" ca="1" si="107"/>
        <v>#NAME?</v>
      </c>
      <c r="AL37" s="2" t="e">
        <f t="shared" ca="1" si="107"/>
        <v>#NAME?</v>
      </c>
      <c r="AM37" s="2" t="e">
        <f t="shared" ca="1" si="107"/>
        <v>#NAME?</v>
      </c>
      <c r="AN37" s="2" t="e">
        <f t="shared" ca="1" si="107"/>
        <v>#NAME?</v>
      </c>
      <c r="AO37" s="2" t="e">
        <f t="shared" ca="1" si="107"/>
        <v>#NAME?</v>
      </c>
      <c r="AP37" s="2" t="e">
        <f t="shared" ca="1" si="107"/>
        <v>#NAME?</v>
      </c>
      <c r="AQ37" s="2" t="e">
        <f t="shared" ca="1" si="107"/>
        <v>#NAME?</v>
      </c>
      <c r="AR37" s="2" t="e">
        <f t="shared" ca="1" si="107"/>
        <v>#NAME?</v>
      </c>
      <c r="AS37" s="2" t="e">
        <f t="shared" ca="1" si="107"/>
        <v>#NAME?</v>
      </c>
      <c r="AT37" s="2" t="e">
        <f t="shared" ca="1" si="107"/>
        <v>#NAME?</v>
      </c>
      <c r="AU37" s="2" t="e">
        <f t="shared" ca="1" si="107"/>
        <v>#NAME?</v>
      </c>
      <c r="AV37" s="2" t="e">
        <f t="shared" ca="1" si="107"/>
        <v>#NAME?</v>
      </c>
      <c r="AW37" s="2" t="e">
        <f t="shared" ca="1" si="107"/>
        <v>#NAME?</v>
      </c>
      <c r="AX37" s="2" t="e">
        <f t="shared" ca="1" si="107"/>
        <v>#NAME?</v>
      </c>
      <c r="AY37" s="2" t="e">
        <f t="shared" ca="1" si="107"/>
        <v>#NAME?</v>
      </c>
      <c r="AZ37" s="2" t="e">
        <f t="shared" ca="1" si="107"/>
        <v>#NAME?</v>
      </c>
      <c r="BA37" s="2" t="e">
        <f t="shared" ca="1" si="107"/>
        <v>#NAME?</v>
      </c>
      <c r="BB37" s="2" t="e">
        <f t="shared" ca="1" si="107"/>
        <v>#NAME?</v>
      </c>
      <c r="BC37" s="2" t="e">
        <f t="shared" ca="1" si="107"/>
        <v>#NAME?</v>
      </c>
      <c r="BD37" s="2" t="e">
        <f t="shared" ca="1" si="107"/>
        <v>#NAME?</v>
      </c>
      <c r="BE37" s="2" t="e">
        <f t="shared" ca="1" si="107"/>
        <v>#NAME?</v>
      </c>
      <c r="BF37" s="2" t="e">
        <f t="shared" ca="1" si="107"/>
        <v>#NAME?</v>
      </c>
      <c r="CE37" s="55" t="e">
        <f ca="1">MAX(C37:CC37)</f>
        <v>#NAME?</v>
      </c>
    </row>
    <row r="38" spans="2:92" x14ac:dyDescent="0.15">
      <c r="B38" s="2" t="s">
        <v>34</v>
      </c>
      <c r="C38" s="2" t="e">
        <f t="shared" ref="C38:N38" ca="1" si="108">BowlSplit(C5:C31,BallsBowled)</f>
        <v>#NAME?</v>
      </c>
      <c r="D38" s="2" t="e">
        <f t="shared" ca="1" si="108"/>
        <v>#NAME?</v>
      </c>
      <c r="E38" s="2" t="e">
        <f t="shared" ca="1" si="108"/>
        <v>#NAME?</v>
      </c>
      <c r="F38" s="2" t="e">
        <f t="shared" ca="1" si="108"/>
        <v>#NAME?</v>
      </c>
      <c r="G38" s="2" t="e">
        <f t="shared" ca="1" si="108"/>
        <v>#NAME?</v>
      </c>
      <c r="H38" s="2" t="e">
        <f t="shared" ca="1" si="108"/>
        <v>#NAME?</v>
      </c>
      <c r="I38" s="2" t="e">
        <f t="shared" ca="1" si="108"/>
        <v>#NAME?</v>
      </c>
      <c r="J38" s="2" t="e">
        <f t="shared" ca="1" si="108"/>
        <v>#NAME?</v>
      </c>
      <c r="K38" s="2" t="e">
        <f t="shared" ca="1" si="108"/>
        <v>#NAME?</v>
      </c>
      <c r="L38" s="2" t="e">
        <f t="shared" ca="1" si="108"/>
        <v>#NAME?</v>
      </c>
      <c r="M38" s="2" t="e">
        <f t="shared" ca="1" si="108"/>
        <v>#NAME?</v>
      </c>
      <c r="N38" s="2" t="e">
        <f t="shared" ca="1" si="108"/>
        <v>#NAME?</v>
      </c>
      <c r="O38" s="2" t="e">
        <f ca="1">BowlSplit(T5:T31,BallsBowled)</f>
        <v>#NAME?</v>
      </c>
      <c r="P38" s="2" t="e">
        <f t="shared" ref="P38:BF38" ca="1" si="109">BowlSplit(P5:P31,BallsBowled)</f>
        <v>#NAME?</v>
      </c>
      <c r="Q38" s="2" t="e">
        <f ca="1">BowlSplit(Q5:Q31,BallsBowled)</f>
        <v>#NAME?</v>
      </c>
      <c r="R38" s="2" t="e">
        <f ca="1">BowlSplit(R5:R31,BallsBowled)</f>
        <v>#NAME?</v>
      </c>
      <c r="S38" s="2" t="e">
        <f t="shared" ca="1" si="109"/>
        <v>#NAME?</v>
      </c>
      <c r="T38" s="2" t="e">
        <f t="shared" ca="1" si="109"/>
        <v>#NAME?</v>
      </c>
      <c r="U38" s="2" t="e">
        <f t="shared" ca="1" si="109"/>
        <v>#NAME?</v>
      </c>
      <c r="V38" s="2" t="e">
        <f t="shared" ca="1" si="109"/>
        <v>#NAME?</v>
      </c>
      <c r="W38" s="2" t="e">
        <f t="shared" ca="1" si="109"/>
        <v>#NAME?</v>
      </c>
      <c r="X38" s="2" t="e">
        <f t="shared" ca="1" si="109"/>
        <v>#NAME?</v>
      </c>
      <c r="Y38" s="2" t="e">
        <f t="shared" ca="1" si="109"/>
        <v>#NAME?</v>
      </c>
      <c r="Z38" s="2" t="e">
        <f t="shared" ca="1" si="109"/>
        <v>#NAME?</v>
      </c>
      <c r="AA38" s="2" t="e">
        <f t="shared" ca="1" si="109"/>
        <v>#NAME?</v>
      </c>
      <c r="AB38" s="2" t="e">
        <f t="shared" ca="1" si="109"/>
        <v>#NAME?</v>
      </c>
      <c r="AC38" s="2" t="e">
        <f t="shared" ca="1" si="109"/>
        <v>#NAME?</v>
      </c>
      <c r="AD38" s="2" t="e">
        <f t="shared" ca="1" si="109"/>
        <v>#NAME?</v>
      </c>
      <c r="AE38" s="2" t="e">
        <f t="shared" ca="1" si="109"/>
        <v>#NAME?</v>
      </c>
      <c r="AF38" s="2" t="e">
        <f t="shared" ca="1" si="109"/>
        <v>#NAME?</v>
      </c>
      <c r="AG38" s="2" t="e">
        <f t="shared" ca="1" si="109"/>
        <v>#NAME?</v>
      </c>
      <c r="AH38" s="2" t="e">
        <f t="shared" ca="1" si="109"/>
        <v>#NAME?</v>
      </c>
      <c r="AI38" s="2" t="e">
        <f t="shared" ca="1" si="109"/>
        <v>#NAME?</v>
      </c>
      <c r="AJ38" s="2" t="e">
        <f t="shared" ca="1" si="109"/>
        <v>#NAME?</v>
      </c>
      <c r="AK38" s="2" t="e">
        <f t="shared" ca="1" si="109"/>
        <v>#NAME?</v>
      </c>
      <c r="AL38" s="2" t="e">
        <f t="shared" ca="1" si="109"/>
        <v>#NAME?</v>
      </c>
      <c r="AM38" s="2" t="e">
        <f t="shared" ca="1" si="109"/>
        <v>#NAME?</v>
      </c>
      <c r="AN38" s="2" t="e">
        <f t="shared" ca="1" si="109"/>
        <v>#NAME?</v>
      </c>
      <c r="AO38" s="2" t="e">
        <f t="shared" ca="1" si="109"/>
        <v>#NAME?</v>
      </c>
      <c r="AP38" s="2" t="e">
        <f t="shared" ca="1" si="109"/>
        <v>#NAME?</v>
      </c>
      <c r="AQ38" s="2" t="e">
        <f t="shared" ca="1" si="109"/>
        <v>#NAME?</v>
      </c>
      <c r="AR38" s="2" t="e">
        <f t="shared" ca="1" si="109"/>
        <v>#NAME?</v>
      </c>
      <c r="AS38" s="2" t="e">
        <f t="shared" ca="1" si="109"/>
        <v>#NAME?</v>
      </c>
      <c r="AT38" s="2" t="e">
        <f t="shared" ca="1" si="109"/>
        <v>#NAME?</v>
      </c>
      <c r="AU38" s="2" t="e">
        <f t="shared" ca="1" si="109"/>
        <v>#NAME?</v>
      </c>
      <c r="AV38" s="2" t="e">
        <f t="shared" ca="1" si="109"/>
        <v>#NAME?</v>
      </c>
      <c r="AW38" s="2" t="e">
        <f t="shared" ca="1" si="109"/>
        <v>#NAME?</v>
      </c>
      <c r="AX38" s="2" t="e">
        <f t="shared" ca="1" si="109"/>
        <v>#NAME?</v>
      </c>
      <c r="AY38" s="2" t="e">
        <f t="shared" ca="1" si="109"/>
        <v>#NAME?</v>
      </c>
      <c r="AZ38" s="2" t="e">
        <f t="shared" ca="1" si="109"/>
        <v>#NAME?</v>
      </c>
      <c r="BA38" s="2" t="e">
        <f t="shared" ca="1" si="109"/>
        <v>#NAME?</v>
      </c>
      <c r="BB38" s="2" t="e">
        <f t="shared" ca="1" si="109"/>
        <v>#NAME?</v>
      </c>
      <c r="BC38" s="2" t="e">
        <f t="shared" ca="1" si="109"/>
        <v>#NAME?</v>
      </c>
      <c r="BD38" s="2" t="e">
        <f t="shared" ca="1" si="109"/>
        <v>#NAME?</v>
      </c>
      <c r="BE38" s="2" t="e">
        <f t="shared" ca="1" si="109"/>
        <v>#NAME?</v>
      </c>
      <c r="BF38" s="2" t="e">
        <f t="shared" ca="1" si="109"/>
        <v>#NAME?</v>
      </c>
      <c r="CE38" s="55" t="e">
        <f ca="1">SUM(C38:BF38)</f>
        <v>#NAME?</v>
      </c>
      <c r="CF38" s="55" t="e">
        <f ca="1">INT(CE38/6)</f>
        <v>#NAME?</v>
      </c>
      <c r="CG38" s="55" t="e">
        <f ca="1">CE38-CF38*6</f>
        <v>#NAME?</v>
      </c>
      <c r="CH38" s="55" t="e">
        <f ca="1">CF38+CG38/10</f>
        <v>#NAME?</v>
      </c>
    </row>
    <row r="39" spans="2:92" x14ac:dyDescent="0.15">
      <c r="B39" s="2" t="s">
        <v>171</v>
      </c>
      <c r="C39" s="2">
        <f t="array" ref="C39:CC39">TRANSPOSE(Matches!P5:P59)</f>
        <v>29</v>
      </c>
      <c r="D39" s="2">
        <v>34.5</v>
      </c>
      <c r="E39" s="2">
        <v>33</v>
      </c>
      <c r="F39" s="2">
        <v>40</v>
      </c>
      <c r="G39" s="2">
        <v>27.4</v>
      </c>
      <c r="H39" s="2">
        <v>27</v>
      </c>
      <c r="I39" s="2">
        <v>40</v>
      </c>
      <c r="J39" s="2">
        <v>43</v>
      </c>
      <c r="K39" s="2">
        <v>38.200000000000003</v>
      </c>
      <c r="L39" s="2">
        <v>45</v>
      </c>
      <c r="M39" s="2">
        <v>31.1</v>
      </c>
      <c r="N39" s="2">
        <v>22.5</v>
      </c>
      <c r="O39" s="2">
        <v>42</v>
      </c>
      <c r="P39" s="2">
        <v>42</v>
      </c>
      <c r="Q39" s="2">
        <v>45</v>
      </c>
      <c r="R39" s="2">
        <v>38.200000000000003</v>
      </c>
      <c r="S39" s="2">
        <v>40</v>
      </c>
      <c r="T39" s="2">
        <v>42</v>
      </c>
      <c r="U39" s="2">
        <v>38.200000000000003</v>
      </c>
      <c r="V39" s="2">
        <v>43</v>
      </c>
      <c r="W39" s="2">
        <v>15.5</v>
      </c>
      <c r="X39" s="2">
        <v>37.1</v>
      </c>
      <c r="Y39" s="2">
        <v>34.299999999999997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BF39" s="2" t="e">
        <v>#N/A</v>
      </c>
      <c r="BG39" s="2" t="e">
        <v>#N/A</v>
      </c>
      <c r="BH39" s="2" t="e">
        <v>#N/A</v>
      </c>
      <c r="BI39" s="2" t="e">
        <v>#N/A</v>
      </c>
      <c r="BJ39" s="2" t="e">
        <v>#N/A</v>
      </c>
      <c r="BK39" s="2" t="e">
        <v>#N/A</v>
      </c>
      <c r="BL39" s="2" t="e">
        <v>#N/A</v>
      </c>
      <c r="BM39" s="2" t="e">
        <v>#N/A</v>
      </c>
      <c r="BN39" s="2" t="e">
        <v>#N/A</v>
      </c>
      <c r="BO39" s="2" t="e">
        <v>#N/A</v>
      </c>
      <c r="BP39" s="2" t="e">
        <v>#N/A</v>
      </c>
      <c r="BQ39" s="2" t="e">
        <v>#N/A</v>
      </c>
      <c r="BR39" s="2" t="e">
        <v>#N/A</v>
      </c>
      <c r="BS39" s="2" t="e">
        <v>#N/A</v>
      </c>
      <c r="BT39" s="2" t="e">
        <v>#N/A</v>
      </c>
      <c r="BU39" s="2" t="e">
        <v>#N/A</v>
      </c>
      <c r="BV39" s="2" t="e">
        <v>#N/A</v>
      </c>
      <c r="BW39" s="2" t="e">
        <v>#N/A</v>
      </c>
      <c r="BX39" s="2" t="e">
        <v>#N/A</v>
      </c>
      <c r="BY39" s="2" t="e">
        <v>#N/A</v>
      </c>
      <c r="BZ39" s="2" t="e">
        <v>#N/A</v>
      </c>
      <c r="CA39" s="2" t="e">
        <v>#N/A</v>
      </c>
      <c r="CB39" s="2" t="e">
        <v>#N/A</v>
      </c>
      <c r="CC39" s="2" t="e">
        <v>#N/A</v>
      </c>
    </row>
    <row r="40" spans="2:92" x14ac:dyDescent="0.15">
      <c r="B40" s="2">
        <f>WicketsTaken</f>
        <v>4</v>
      </c>
      <c r="C40" s="2">
        <f>WicketsTaken</f>
        <v>4</v>
      </c>
    </row>
    <row r="41" spans="2:92" x14ac:dyDescent="0.15">
      <c r="B41" s="2">
        <v>5</v>
      </c>
      <c r="C41" s="2" t="e">
        <f t="shared" ref="C41" ca="1" si="110">BowlSplit(C5,$C$40)</f>
        <v>#NAME?</v>
      </c>
      <c r="D41" s="2" t="e">
        <f t="shared" ref="D41:AR41" ca="1" si="111">BowlSplit(D5,$C$40)</f>
        <v>#NAME?</v>
      </c>
      <c r="E41" s="2" t="e">
        <f t="shared" ca="1" si="111"/>
        <v>#NAME?</v>
      </c>
      <c r="F41" s="2" t="e">
        <f t="shared" ca="1" si="111"/>
        <v>#NAME?</v>
      </c>
      <c r="G41" s="2" t="e">
        <f t="shared" ca="1" si="111"/>
        <v>#NAME?</v>
      </c>
      <c r="H41" s="2" t="e">
        <f t="shared" ca="1" si="111"/>
        <v>#NAME?</v>
      </c>
      <c r="I41" s="2" t="e">
        <f t="shared" ca="1" si="111"/>
        <v>#NAME?</v>
      </c>
      <c r="J41" s="2" t="e">
        <f t="shared" ca="1" si="111"/>
        <v>#NAME?</v>
      </c>
      <c r="K41" s="2" t="e">
        <f t="shared" ca="1" si="111"/>
        <v>#NAME?</v>
      </c>
      <c r="L41" s="2" t="e">
        <f t="shared" ca="1" si="111"/>
        <v>#NAME?</v>
      </c>
      <c r="M41" s="2" t="e">
        <f t="shared" ca="1" si="111"/>
        <v>#NAME?</v>
      </c>
      <c r="N41" s="2" t="e">
        <f t="shared" ca="1" si="111"/>
        <v>#NAME?</v>
      </c>
      <c r="O41" s="2" t="e">
        <f t="shared" ca="1" si="111"/>
        <v>#NAME?</v>
      </c>
      <c r="P41" s="2" t="e">
        <f t="shared" ca="1" si="111"/>
        <v>#NAME?</v>
      </c>
      <c r="Q41" s="2" t="e">
        <f t="shared" ca="1" si="111"/>
        <v>#NAME?</v>
      </c>
      <c r="R41" s="2" t="e">
        <f t="shared" ca="1" si="111"/>
        <v>#NAME?</v>
      </c>
      <c r="S41" s="2" t="e">
        <f t="shared" ca="1" si="111"/>
        <v>#NAME?</v>
      </c>
      <c r="T41" s="2" t="e">
        <f t="shared" ca="1" si="111"/>
        <v>#NAME?</v>
      </c>
      <c r="U41" s="2" t="e">
        <f t="shared" ca="1" si="111"/>
        <v>#NAME?</v>
      </c>
      <c r="V41" s="2" t="e">
        <f t="shared" ca="1" si="111"/>
        <v>#NAME?</v>
      </c>
      <c r="W41" s="2" t="e">
        <f t="shared" ca="1" si="111"/>
        <v>#NAME?</v>
      </c>
      <c r="X41" s="2" t="e">
        <f t="shared" ca="1" si="111"/>
        <v>#NAME?</v>
      </c>
      <c r="Y41" s="2" t="e">
        <f t="shared" ca="1" si="111"/>
        <v>#NAME?</v>
      </c>
      <c r="Z41" s="2" t="e">
        <f t="shared" ca="1" si="111"/>
        <v>#NAME?</v>
      </c>
      <c r="AA41" s="2" t="e">
        <f t="shared" ca="1" si="111"/>
        <v>#NAME?</v>
      </c>
      <c r="AB41" s="2" t="e">
        <f t="shared" ca="1" si="111"/>
        <v>#NAME?</v>
      </c>
      <c r="AC41" s="2" t="e">
        <f t="shared" ca="1" si="111"/>
        <v>#NAME?</v>
      </c>
      <c r="AD41" s="2" t="e">
        <f t="shared" ca="1" si="111"/>
        <v>#NAME?</v>
      </c>
      <c r="AE41" s="2" t="e">
        <f t="shared" ca="1" si="111"/>
        <v>#NAME?</v>
      </c>
      <c r="AF41" s="2" t="e">
        <f t="shared" ca="1" si="111"/>
        <v>#NAME?</v>
      </c>
      <c r="AG41" s="2" t="e">
        <f t="shared" ca="1" si="111"/>
        <v>#NAME?</v>
      </c>
      <c r="AH41" s="2" t="e">
        <f t="shared" ca="1" si="111"/>
        <v>#NAME?</v>
      </c>
      <c r="AI41" s="2" t="e">
        <f t="shared" ca="1" si="111"/>
        <v>#NAME?</v>
      </c>
      <c r="AJ41" s="2" t="e">
        <f t="shared" ca="1" si="111"/>
        <v>#NAME?</v>
      </c>
      <c r="AK41" s="2" t="e">
        <f t="shared" ca="1" si="111"/>
        <v>#NAME?</v>
      </c>
      <c r="AL41" s="2" t="e">
        <f t="shared" ca="1" si="111"/>
        <v>#NAME?</v>
      </c>
      <c r="AM41" s="2" t="e">
        <f t="shared" ca="1" si="111"/>
        <v>#NAME?</v>
      </c>
      <c r="AN41" s="2" t="e">
        <f t="shared" ca="1" si="111"/>
        <v>#NAME?</v>
      </c>
      <c r="AO41" s="2" t="e">
        <f t="shared" ca="1" si="111"/>
        <v>#NAME?</v>
      </c>
      <c r="AP41" s="2" t="e">
        <f t="shared" ca="1" si="111"/>
        <v>#NAME?</v>
      </c>
      <c r="AQ41" s="2" t="e">
        <f t="shared" ca="1" si="111"/>
        <v>#NAME?</v>
      </c>
      <c r="AR41" s="2" t="e">
        <f t="shared" ca="1" si="111"/>
        <v>#NAME?</v>
      </c>
    </row>
    <row r="42" spans="2:92" x14ac:dyDescent="0.15">
      <c r="C42" s="2" t="e">
        <f ca="1">BowlSplit(C5,$C$40)</f>
        <v>#NAME?</v>
      </c>
      <c r="D42" s="2" t="e">
        <f t="shared" ref="D42:AR42" ca="1" si="112">BowlSplit(D6,$C$40)</f>
        <v>#NAME?</v>
      </c>
      <c r="E42" s="2" t="e">
        <f t="shared" ca="1" si="112"/>
        <v>#NAME?</v>
      </c>
      <c r="F42" s="2" t="e">
        <f t="shared" ca="1" si="112"/>
        <v>#NAME?</v>
      </c>
      <c r="G42" s="2" t="e">
        <f t="shared" ca="1" si="112"/>
        <v>#NAME?</v>
      </c>
      <c r="H42" s="2" t="e">
        <f t="shared" ca="1" si="112"/>
        <v>#NAME?</v>
      </c>
      <c r="I42" s="2" t="e">
        <f t="shared" ca="1" si="112"/>
        <v>#NAME?</v>
      </c>
      <c r="J42" s="2" t="e">
        <f t="shared" ca="1" si="112"/>
        <v>#NAME?</v>
      </c>
      <c r="K42" s="2" t="e">
        <f t="shared" ca="1" si="112"/>
        <v>#NAME?</v>
      </c>
      <c r="L42" s="2" t="e">
        <f t="shared" ca="1" si="112"/>
        <v>#NAME?</v>
      </c>
      <c r="M42" s="2" t="e">
        <f t="shared" ca="1" si="112"/>
        <v>#NAME?</v>
      </c>
      <c r="N42" s="2" t="e">
        <f t="shared" ca="1" si="112"/>
        <v>#NAME?</v>
      </c>
      <c r="O42" s="2" t="e">
        <f t="shared" ca="1" si="112"/>
        <v>#NAME?</v>
      </c>
      <c r="P42" s="2" t="e">
        <f t="shared" ca="1" si="112"/>
        <v>#NAME?</v>
      </c>
      <c r="Q42" s="2" t="e">
        <f t="shared" ca="1" si="112"/>
        <v>#NAME?</v>
      </c>
      <c r="R42" s="2" t="e">
        <f t="shared" ca="1" si="112"/>
        <v>#NAME?</v>
      </c>
      <c r="S42" s="2" t="e">
        <f t="shared" ca="1" si="112"/>
        <v>#NAME?</v>
      </c>
      <c r="T42" s="2" t="e">
        <f t="shared" ca="1" si="112"/>
        <v>#NAME?</v>
      </c>
      <c r="U42" s="2" t="e">
        <f t="shared" ca="1" si="112"/>
        <v>#NAME?</v>
      </c>
      <c r="V42" s="2" t="e">
        <f t="shared" ca="1" si="112"/>
        <v>#NAME?</v>
      </c>
      <c r="W42" s="2" t="e">
        <f t="shared" ca="1" si="112"/>
        <v>#NAME?</v>
      </c>
      <c r="X42" s="2" t="e">
        <f t="shared" ca="1" si="112"/>
        <v>#NAME?</v>
      </c>
      <c r="Y42" s="2" t="e">
        <f t="shared" ca="1" si="112"/>
        <v>#NAME?</v>
      </c>
      <c r="Z42" s="2" t="e">
        <f t="shared" ca="1" si="112"/>
        <v>#NAME?</v>
      </c>
      <c r="AA42" s="2" t="e">
        <f t="shared" ca="1" si="112"/>
        <v>#NAME?</v>
      </c>
      <c r="AB42" s="2" t="e">
        <f t="shared" ca="1" si="112"/>
        <v>#NAME?</v>
      </c>
      <c r="AC42" s="2" t="e">
        <f t="shared" ca="1" si="112"/>
        <v>#NAME?</v>
      </c>
      <c r="AD42" s="2" t="e">
        <f t="shared" ca="1" si="112"/>
        <v>#NAME?</v>
      </c>
      <c r="AE42" s="2" t="e">
        <f t="shared" ca="1" si="112"/>
        <v>#NAME?</v>
      </c>
      <c r="AF42" s="2" t="e">
        <f t="shared" ca="1" si="112"/>
        <v>#NAME?</v>
      </c>
      <c r="AG42" s="2" t="e">
        <f t="shared" ca="1" si="112"/>
        <v>#NAME?</v>
      </c>
      <c r="AH42" s="2" t="e">
        <f t="shared" ca="1" si="112"/>
        <v>#NAME?</v>
      </c>
      <c r="AI42" s="2" t="e">
        <f t="shared" ca="1" si="112"/>
        <v>#NAME?</v>
      </c>
      <c r="AJ42" s="2" t="e">
        <f t="shared" ca="1" si="112"/>
        <v>#NAME?</v>
      </c>
      <c r="AK42" s="2" t="e">
        <f t="shared" ca="1" si="112"/>
        <v>#NAME?</v>
      </c>
      <c r="AL42" s="2" t="e">
        <f t="shared" ca="1" si="112"/>
        <v>#NAME?</v>
      </c>
      <c r="AM42" s="2" t="e">
        <f t="shared" ca="1" si="112"/>
        <v>#NAME?</v>
      </c>
      <c r="AN42" s="2" t="e">
        <f t="shared" ca="1" si="112"/>
        <v>#NAME?</v>
      </c>
      <c r="AO42" s="2" t="e">
        <f t="shared" ca="1" si="112"/>
        <v>#NAME?</v>
      </c>
      <c r="AP42" s="2" t="e">
        <f t="shared" ca="1" si="112"/>
        <v>#NAME?</v>
      </c>
      <c r="AQ42" s="2" t="e">
        <f t="shared" ca="1" si="112"/>
        <v>#NAME?</v>
      </c>
      <c r="AR42" s="2" t="e">
        <f t="shared" ca="1" si="112"/>
        <v>#NAME?</v>
      </c>
    </row>
    <row r="43" spans="2:92" x14ac:dyDescent="0.15">
      <c r="C43" s="2" t="e">
        <f ca="1">BowlSplit(C6,$C$40)</f>
        <v>#NAME?</v>
      </c>
      <c r="D43" s="2" t="e">
        <f t="shared" ref="D43:AR43" ca="1" si="113">BowlSplit(D7,$C$40)</f>
        <v>#NAME?</v>
      </c>
      <c r="E43" s="2" t="e">
        <f t="shared" ca="1" si="113"/>
        <v>#NAME?</v>
      </c>
      <c r="F43" s="2" t="e">
        <f t="shared" ca="1" si="113"/>
        <v>#NAME?</v>
      </c>
      <c r="G43" s="2" t="e">
        <f t="shared" ca="1" si="113"/>
        <v>#NAME?</v>
      </c>
      <c r="H43" s="2" t="e">
        <f t="shared" ca="1" si="113"/>
        <v>#NAME?</v>
      </c>
      <c r="I43" s="2" t="e">
        <f t="shared" ca="1" si="113"/>
        <v>#NAME?</v>
      </c>
      <c r="J43" s="2" t="e">
        <f t="shared" ca="1" si="113"/>
        <v>#NAME?</v>
      </c>
      <c r="K43" s="2" t="e">
        <f t="shared" ca="1" si="113"/>
        <v>#NAME?</v>
      </c>
      <c r="L43" s="2" t="e">
        <f t="shared" ca="1" si="113"/>
        <v>#NAME?</v>
      </c>
      <c r="M43" s="2" t="e">
        <f t="shared" ca="1" si="113"/>
        <v>#NAME?</v>
      </c>
      <c r="N43" s="2" t="e">
        <f t="shared" ca="1" si="113"/>
        <v>#NAME?</v>
      </c>
      <c r="O43" s="2" t="e">
        <f t="shared" ca="1" si="113"/>
        <v>#NAME?</v>
      </c>
      <c r="P43" s="2" t="e">
        <f t="shared" ca="1" si="113"/>
        <v>#NAME?</v>
      </c>
      <c r="Q43" s="2" t="e">
        <f t="shared" ca="1" si="113"/>
        <v>#NAME?</v>
      </c>
      <c r="R43" s="2" t="e">
        <f t="shared" ca="1" si="113"/>
        <v>#NAME?</v>
      </c>
      <c r="S43" s="2" t="e">
        <f t="shared" ca="1" si="113"/>
        <v>#NAME?</v>
      </c>
      <c r="T43" s="2" t="e">
        <f t="shared" ca="1" si="113"/>
        <v>#NAME?</v>
      </c>
      <c r="U43" s="2" t="e">
        <f t="shared" ca="1" si="113"/>
        <v>#NAME?</v>
      </c>
      <c r="V43" s="2" t="e">
        <f t="shared" ca="1" si="113"/>
        <v>#NAME?</v>
      </c>
      <c r="W43" s="2" t="e">
        <f t="shared" ca="1" si="113"/>
        <v>#NAME?</v>
      </c>
      <c r="X43" s="2" t="e">
        <f t="shared" ca="1" si="113"/>
        <v>#NAME?</v>
      </c>
      <c r="Y43" s="2" t="e">
        <f t="shared" ca="1" si="113"/>
        <v>#NAME?</v>
      </c>
      <c r="Z43" s="2" t="e">
        <f t="shared" ca="1" si="113"/>
        <v>#NAME?</v>
      </c>
      <c r="AA43" s="2" t="e">
        <f t="shared" ca="1" si="113"/>
        <v>#NAME?</v>
      </c>
      <c r="AB43" s="2" t="e">
        <f t="shared" ca="1" si="113"/>
        <v>#NAME?</v>
      </c>
      <c r="AC43" s="2" t="e">
        <f t="shared" ca="1" si="113"/>
        <v>#NAME?</v>
      </c>
      <c r="AD43" s="2" t="e">
        <f t="shared" ca="1" si="113"/>
        <v>#NAME?</v>
      </c>
      <c r="AE43" s="2" t="e">
        <f t="shared" ca="1" si="113"/>
        <v>#NAME?</v>
      </c>
      <c r="AF43" s="2" t="e">
        <f t="shared" ca="1" si="113"/>
        <v>#NAME?</v>
      </c>
      <c r="AG43" s="2" t="e">
        <f t="shared" ca="1" si="113"/>
        <v>#NAME?</v>
      </c>
      <c r="AH43" s="2" t="e">
        <f t="shared" ca="1" si="113"/>
        <v>#NAME?</v>
      </c>
      <c r="AI43" s="2" t="e">
        <f t="shared" ca="1" si="113"/>
        <v>#NAME?</v>
      </c>
      <c r="AJ43" s="2" t="e">
        <f t="shared" ca="1" si="113"/>
        <v>#NAME?</v>
      </c>
      <c r="AK43" s="2" t="e">
        <f t="shared" ca="1" si="113"/>
        <v>#NAME?</v>
      </c>
      <c r="AL43" s="2" t="e">
        <f t="shared" ca="1" si="113"/>
        <v>#NAME?</v>
      </c>
      <c r="AM43" s="2" t="e">
        <f t="shared" ca="1" si="113"/>
        <v>#NAME?</v>
      </c>
      <c r="AN43" s="2" t="e">
        <f t="shared" ca="1" si="113"/>
        <v>#NAME?</v>
      </c>
      <c r="AO43" s="2" t="e">
        <f t="shared" ca="1" si="113"/>
        <v>#NAME?</v>
      </c>
      <c r="AP43" s="2" t="e">
        <f t="shared" ca="1" si="113"/>
        <v>#NAME?</v>
      </c>
      <c r="AQ43" s="2" t="e">
        <f t="shared" ca="1" si="113"/>
        <v>#NAME?</v>
      </c>
      <c r="AR43" s="2" t="e">
        <f t="shared" ca="1" si="113"/>
        <v>#NAME?</v>
      </c>
    </row>
    <row r="44" spans="2:92" x14ac:dyDescent="0.15">
      <c r="C44" s="2" t="e">
        <f t="shared" ref="C44" ca="1" si="114">BowlSplit(C8,$C$40)</f>
        <v>#NAME?</v>
      </c>
      <c r="D44" s="2" t="e">
        <f t="shared" ref="D44:AR44" ca="1" si="115">BowlSplit(D8,$C$40)</f>
        <v>#NAME?</v>
      </c>
      <c r="E44" s="2" t="e">
        <f t="shared" ca="1" si="115"/>
        <v>#NAME?</v>
      </c>
      <c r="F44" s="2" t="e">
        <f t="shared" ca="1" si="115"/>
        <v>#NAME?</v>
      </c>
      <c r="G44" s="2" t="e">
        <f t="shared" ca="1" si="115"/>
        <v>#NAME?</v>
      </c>
      <c r="H44" s="2" t="e">
        <f t="shared" ca="1" si="115"/>
        <v>#NAME?</v>
      </c>
      <c r="I44" s="2" t="e">
        <f t="shared" ca="1" si="115"/>
        <v>#NAME?</v>
      </c>
      <c r="J44" s="2" t="e">
        <f t="shared" ca="1" si="115"/>
        <v>#NAME?</v>
      </c>
      <c r="K44" s="2" t="e">
        <f t="shared" ca="1" si="115"/>
        <v>#NAME?</v>
      </c>
      <c r="L44" s="2" t="e">
        <f t="shared" ca="1" si="115"/>
        <v>#NAME?</v>
      </c>
      <c r="M44" s="2" t="e">
        <f t="shared" ca="1" si="115"/>
        <v>#NAME?</v>
      </c>
      <c r="N44" s="2" t="e">
        <f t="shared" ca="1" si="115"/>
        <v>#NAME?</v>
      </c>
      <c r="O44" s="2" t="e">
        <f t="shared" ca="1" si="115"/>
        <v>#NAME?</v>
      </c>
      <c r="P44" s="2" t="e">
        <f t="shared" ca="1" si="115"/>
        <v>#NAME?</v>
      </c>
      <c r="Q44" s="2" t="e">
        <f t="shared" ca="1" si="115"/>
        <v>#NAME?</v>
      </c>
      <c r="R44" s="2" t="e">
        <f t="shared" ca="1" si="115"/>
        <v>#NAME?</v>
      </c>
      <c r="S44" s="2" t="e">
        <f t="shared" ca="1" si="115"/>
        <v>#NAME?</v>
      </c>
      <c r="T44" s="2" t="e">
        <f t="shared" ca="1" si="115"/>
        <v>#NAME?</v>
      </c>
      <c r="U44" s="2" t="e">
        <f t="shared" ca="1" si="115"/>
        <v>#NAME?</v>
      </c>
      <c r="V44" s="2" t="e">
        <f t="shared" ca="1" si="115"/>
        <v>#NAME?</v>
      </c>
      <c r="W44" s="2" t="e">
        <f t="shared" ca="1" si="115"/>
        <v>#NAME?</v>
      </c>
      <c r="X44" s="2" t="e">
        <f t="shared" ca="1" si="115"/>
        <v>#NAME?</v>
      </c>
      <c r="Y44" s="2" t="e">
        <f t="shared" ca="1" si="115"/>
        <v>#NAME?</v>
      </c>
      <c r="Z44" s="2" t="e">
        <f t="shared" ca="1" si="115"/>
        <v>#NAME?</v>
      </c>
      <c r="AA44" s="2" t="e">
        <f t="shared" ca="1" si="115"/>
        <v>#NAME?</v>
      </c>
      <c r="AB44" s="2" t="e">
        <f t="shared" ca="1" si="115"/>
        <v>#NAME?</v>
      </c>
      <c r="AC44" s="2" t="e">
        <f t="shared" ca="1" si="115"/>
        <v>#NAME?</v>
      </c>
      <c r="AD44" s="2" t="e">
        <f t="shared" ca="1" si="115"/>
        <v>#NAME?</v>
      </c>
      <c r="AE44" s="2" t="e">
        <f t="shared" ca="1" si="115"/>
        <v>#NAME?</v>
      </c>
      <c r="AF44" s="2" t="e">
        <f t="shared" ca="1" si="115"/>
        <v>#NAME?</v>
      </c>
      <c r="AG44" s="2" t="e">
        <f t="shared" ca="1" si="115"/>
        <v>#NAME?</v>
      </c>
      <c r="AH44" s="2" t="e">
        <f t="shared" ca="1" si="115"/>
        <v>#NAME?</v>
      </c>
      <c r="AI44" s="2" t="e">
        <f t="shared" ca="1" si="115"/>
        <v>#NAME?</v>
      </c>
      <c r="AJ44" s="2" t="e">
        <f t="shared" ca="1" si="115"/>
        <v>#NAME?</v>
      </c>
      <c r="AK44" s="2" t="e">
        <f t="shared" ca="1" si="115"/>
        <v>#NAME?</v>
      </c>
      <c r="AL44" s="2" t="e">
        <f t="shared" ca="1" si="115"/>
        <v>#NAME?</v>
      </c>
      <c r="AM44" s="2" t="e">
        <f t="shared" ca="1" si="115"/>
        <v>#NAME?</v>
      </c>
      <c r="AN44" s="2" t="e">
        <f t="shared" ca="1" si="115"/>
        <v>#NAME?</v>
      </c>
      <c r="AO44" s="2" t="e">
        <f t="shared" ca="1" si="115"/>
        <v>#NAME?</v>
      </c>
      <c r="AP44" s="2" t="e">
        <f t="shared" ca="1" si="115"/>
        <v>#NAME?</v>
      </c>
      <c r="AQ44" s="2" t="e">
        <f t="shared" ca="1" si="115"/>
        <v>#NAME?</v>
      </c>
      <c r="AR44" s="2" t="e">
        <f t="shared" ca="1" si="115"/>
        <v>#NAME?</v>
      </c>
      <c r="CE44" s="59"/>
    </row>
    <row r="45" spans="2:92" x14ac:dyDescent="0.15">
      <c r="C45" s="2" t="e">
        <f t="shared" ref="C45:C51" ca="1" si="116">BowlSplit(C9,$C$40)</f>
        <v>#NAME?</v>
      </c>
      <c r="D45" s="2" t="e">
        <f t="shared" ref="D45:AR45" ca="1" si="117">BowlSplit(D9,$C$40)</f>
        <v>#NAME?</v>
      </c>
      <c r="E45" s="2" t="e">
        <f t="shared" ca="1" si="117"/>
        <v>#NAME?</v>
      </c>
      <c r="F45" s="2" t="e">
        <f t="shared" ca="1" si="117"/>
        <v>#NAME?</v>
      </c>
      <c r="G45" s="2" t="e">
        <f t="shared" ca="1" si="117"/>
        <v>#NAME?</v>
      </c>
      <c r="H45" s="2" t="e">
        <f t="shared" ca="1" si="117"/>
        <v>#NAME?</v>
      </c>
      <c r="I45" s="2" t="e">
        <f t="shared" ca="1" si="117"/>
        <v>#NAME?</v>
      </c>
      <c r="J45" s="2" t="e">
        <f t="shared" ca="1" si="117"/>
        <v>#NAME?</v>
      </c>
      <c r="K45" s="2" t="e">
        <f t="shared" ca="1" si="117"/>
        <v>#NAME?</v>
      </c>
      <c r="L45" s="2" t="e">
        <f t="shared" ca="1" si="117"/>
        <v>#NAME?</v>
      </c>
      <c r="M45" s="2" t="e">
        <f t="shared" ca="1" si="117"/>
        <v>#NAME?</v>
      </c>
      <c r="N45" s="2" t="e">
        <f t="shared" ca="1" si="117"/>
        <v>#NAME?</v>
      </c>
      <c r="O45" s="2" t="e">
        <f t="shared" ca="1" si="117"/>
        <v>#NAME?</v>
      </c>
      <c r="P45" s="2" t="e">
        <f t="shared" ca="1" si="117"/>
        <v>#NAME?</v>
      </c>
      <c r="Q45" s="2" t="e">
        <f t="shared" ca="1" si="117"/>
        <v>#NAME?</v>
      </c>
      <c r="R45" s="2" t="e">
        <f t="shared" ca="1" si="117"/>
        <v>#NAME?</v>
      </c>
      <c r="S45" s="2" t="e">
        <f t="shared" ca="1" si="117"/>
        <v>#NAME?</v>
      </c>
      <c r="T45" s="2" t="e">
        <f t="shared" ca="1" si="117"/>
        <v>#NAME?</v>
      </c>
      <c r="U45" s="2" t="e">
        <f t="shared" ca="1" si="117"/>
        <v>#NAME?</v>
      </c>
      <c r="V45" s="2" t="e">
        <f t="shared" ca="1" si="117"/>
        <v>#NAME?</v>
      </c>
      <c r="W45" s="2" t="e">
        <f t="shared" ca="1" si="117"/>
        <v>#NAME?</v>
      </c>
      <c r="X45" s="2" t="e">
        <f t="shared" ca="1" si="117"/>
        <v>#NAME?</v>
      </c>
      <c r="Y45" s="2" t="e">
        <f t="shared" ca="1" si="117"/>
        <v>#NAME?</v>
      </c>
      <c r="Z45" s="2" t="e">
        <f t="shared" ca="1" si="117"/>
        <v>#NAME?</v>
      </c>
      <c r="AA45" s="2" t="e">
        <f t="shared" ca="1" si="117"/>
        <v>#NAME?</v>
      </c>
      <c r="AB45" s="2" t="e">
        <f t="shared" ca="1" si="117"/>
        <v>#NAME?</v>
      </c>
      <c r="AC45" s="2" t="e">
        <f t="shared" ca="1" si="117"/>
        <v>#NAME?</v>
      </c>
      <c r="AD45" s="2" t="e">
        <f t="shared" ca="1" si="117"/>
        <v>#NAME?</v>
      </c>
      <c r="AE45" s="2" t="e">
        <f t="shared" ca="1" si="117"/>
        <v>#NAME?</v>
      </c>
      <c r="AF45" s="2" t="e">
        <f t="shared" ca="1" si="117"/>
        <v>#NAME?</v>
      </c>
      <c r="AG45" s="2" t="e">
        <f t="shared" ca="1" si="117"/>
        <v>#NAME?</v>
      </c>
      <c r="AH45" s="2" t="e">
        <f t="shared" ca="1" si="117"/>
        <v>#NAME?</v>
      </c>
      <c r="AI45" s="2" t="e">
        <f t="shared" ca="1" si="117"/>
        <v>#NAME?</v>
      </c>
      <c r="AJ45" s="2" t="e">
        <f t="shared" ca="1" si="117"/>
        <v>#NAME?</v>
      </c>
      <c r="AK45" s="2" t="e">
        <f t="shared" ca="1" si="117"/>
        <v>#NAME?</v>
      </c>
      <c r="AL45" s="2" t="e">
        <f t="shared" ca="1" si="117"/>
        <v>#NAME?</v>
      </c>
      <c r="AM45" s="2" t="e">
        <f t="shared" ca="1" si="117"/>
        <v>#NAME?</v>
      </c>
      <c r="AN45" s="2" t="e">
        <f t="shared" ca="1" si="117"/>
        <v>#NAME?</v>
      </c>
      <c r="AO45" s="2" t="e">
        <f t="shared" ca="1" si="117"/>
        <v>#NAME?</v>
      </c>
      <c r="AP45" s="2" t="e">
        <f t="shared" ca="1" si="117"/>
        <v>#NAME?</v>
      </c>
      <c r="AQ45" s="2" t="e">
        <f t="shared" ca="1" si="117"/>
        <v>#NAME?</v>
      </c>
      <c r="AR45" s="2" t="e">
        <f t="shared" ca="1" si="117"/>
        <v>#NAME?</v>
      </c>
    </row>
    <row r="46" spans="2:92" x14ac:dyDescent="0.15">
      <c r="C46" s="2" t="e">
        <f t="shared" ca="1" si="116"/>
        <v>#NAME?</v>
      </c>
      <c r="D46" s="2" t="e">
        <f t="shared" ref="D46:AR46" ca="1" si="118">BowlSplit(D10,$C$40)</f>
        <v>#NAME?</v>
      </c>
      <c r="E46" s="2" t="e">
        <f t="shared" ca="1" si="118"/>
        <v>#NAME?</v>
      </c>
      <c r="F46" s="2" t="e">
        <f t="shared" ca="1" si="118"/>
        <v>#NAME?</v>
      </c>
      <c r="G46" s="2" t="e">
        <f t="shared" ca="1" si="118"/>
        <v>#NAME?</v>
      </c>
      <c r="H46" s="2" t="e">
        <f t="shared" ca="1" si="118"/>
        <v>#NAME?</v>
      </c>
      <c r="I46" s="2" t="e">
        <f t="shared" ca="1" si="118"/>
        <v>#NAME?</v>
      </c>
      <c r="J46" s="2" t="e">
        <f t="shared" ca="1" si="118"/>
        <v>#NAME?</v>
      </c>
      <c r="K46" s="2" t="e">
        <f t="shared" ca="1" si="118"/>
        <v>#NAME?</v>
      </c>
      <c r="L46" s="2" t="e">
        <f t="shared" ca="1" si="118"/>
        <v>#NAME?</v>
      </c>
      <c r="M46" s="2" t="e">
        <f t="shared" ca="1" si="118"/>
        <v>#NAME?</v>
      </c>
      <c r="N46" s="2" t="e">
        <f t="shared" ca="1" si="118"/>
        <v>#NAME?</v>
      </c>
      <c r="O46" s="2" t="e">
        <f t="shared" ca="1" si="118"/>
        <v>#NAME?</v>
      </c>
      <c r="P46" s="2" t="e">
        <f t="shared" ca="1" si="118"/>
        <v>#NAME?</v>
      </c>
      <c r="Q46" s="2" t="e">
        <f t="shared" ca="1" si="118"/>
        <v>#NAME?</v>
      </c>
      <c r="R46" s="2" t="e">
        <f t="shared" ca="1" si="118"/>
        <v>#NAME?</v>
      </c>
      <c r="S46" s="2" t="e">
        <f t="shared" ca="1" si="118"/>
        <v>#NAME?</v>
      </c>
      <c r="T46" s="2" t="e">
        <f t="shared" ca="1" si="118"/>
        <v>#NAME?</v>
      </c>
      <c r="U46" s="2" t="e">
        <f t="shared" ca="1" si="118"/>
        <v>#NAME?</v>
      </c>
      <c r="V46" s="2" t="e">
        <f t="shared" ca="1" si="118"/>
        <v>#NAME?</v>
      </c>
      <c r="W46" s="2" t="e">
        <f t="shared" ca="1" si="118"/>
        <v>#NAME?</v>
      </c>
      <c r="X46" s="2" t="e">
        <f t="shared" ca="1" si="118"/>
        <v>#NAME?</v>
      </c>
      <c r="Y46" s="2" t="e">
        <f t="shared" ca="1" si="118"/>
        <v>#NAME?</v>
      </c>
      <c r="Z46" s="2" t="e">
        <f t="shared" ca="1" si="118"/>
        <v>#NAME?</v>
      </c>
      <c r="AA46" s="2" t="e">
        <f t="shared" ca="1" si="118"/>
        <v>#NAME?</v>
      </c>
      <c r="AB46" s="2" t="e">
        <f t="shared" ca="1" si="118"/>
        <v>#NAME?</v>
      </c>
      <c r="AC46" s="2" t="e">
        <f t="shared" ca="1" si="118"/>
        <v>#NAME?</v>
      </c>
      <c r="AD46" s="2" t="e">
        <f t="shared" ca="1" si="118"/>
        <v>#NAME?</v>
      </c>
      <c r="AE46" s="2" t="e">
        <f t="shared" ca="1" si="118"/>
        <v>#NAME?</v>
      </c>
      <c r="AF46" s="2" t="e">
        <f t="shared" ca="1" si="118"/>
        <v>#NAME?</v>
      </c>
      <c r="AG46" s="2" t="e">
        <f t="shared" ca="1" si="118"/>
        <v>#NAME?</v>
      </c>
      <c r="AH46" s="2" t="e">
        <f t="shared" ca="1" si="118"/>
        <v>#NAME?</v>
      </c>
      <c r="AI46" s="2" t="e">
        <f t="shared" ca="1" si="118"/>
        <v>#NAME?</v>
      </c>
      <c r="AJ46" s="2" t="e">
        <f t="shared" ca="1" si="118"/>
        <v>#NAME?</v>
      </c>
      <c r="AK46" s="2" t="e">
        <f t="shared" ca="1" si="118"/>
        <v>#NAME?</v>
      </c>
      <c r="AL46" s="2" t="e">
        <f t="shared" ca="1" si="118"/>
        <v>#NAME?</v>
      </c>
      <c r="AM46" s="2" t="e">
        <f t="shared" ca="1" si="118"/>
        <v>#NAME?</v>
      </c>
      <c r="AN46" s="2" t="e">
        <f t="shared" ca="1" si="118"/>
        <v>#NAME?</v>
      </c>
      <c r="AO46" s="2" t="e">
        <f t="shared" ca="1" si="118"/>
        <v>#NAME?</v>
      </c>
      <c r="AP46" s="2" t="e">
        <f t="shared" ca="1" si="118"/>
        <v>#NAME?</v>
      </c>
      <c r="AQ46" s="2" t="e">
        <f t="shared" ca="1" si="118"/>
        <v>#NAME?</v>
      </c>
      <c r="AR46" s="2" t="e">
        <f t="shared" ca="1" si="118"/>
        <v>#NAME?</v>
      </c>
    </row>
    <row r="47" spans="2:92" x14ac:dyDescent="0.15">
      <c r="C47" s="2" t="e">
        <f t="shared" ca="1" si="116"/>
        <v>#NAME?</v>
      </c>
      <c r="D47" s="2" t="e">
        <f t="shared" ref="D47:AR47" ca="1" si="119">BowlSplit(D11,$C$40)</f>
        <v>#NAME?</v>
      </c>
      <c r="E47" s="2" t="e">
        <f t="shared" ca="1" si="119"/>
        <v>#NAME?</v>
      </c>
      <c r="F47" s="2" t="e">
        <f t="shared" ca="1" si="119"/>
        <v>#NAME?</v>
      </c>
      <c r="G47" s="2" t="e">
        <f t="shared" ca="1" si="119"/>
        <v>#NAME?</v>
      </c>
      <c r="H47" s="2" t="e">
        <f t="shared" ca="1" si="119"/>
        <v>#NAME?</v>
      </c>
      <c r="I47" s="2" t="e">
        <f t="shared" ca="1" si="119"/>
        <v>#NAME?</v>
      </c>
      <c r="J47" s="2" t="e">
        <f t="shared" ca="1" si="119"/>
        <v>#NAME?</v>
      </c>
      <c r="K47" s="2" t="e">
        <f t="shared" ca="1" si="119"/>
        <v>#NAME?</v>
      </c>
      <c r="L47" s="2" t="e">
        <f t="shared" ca="1" si="119"/>
        <v>#NAME?</v>
      </c>
      <c r="M47" s="2" t="e">
        <f t="shared" ca="1" si="119"/>
        <v>#NAME?</v>
      </c>
      <c r="N47" s="2" t="e">
        <f t="shared" ca="1" si="119"/>
        <v>#NAME?</v>
      </c>
      <c r="O47" s="2" t="e">
        <f t="shared" ca="1" si="119"/>
        <v>#NAME?</v>
      </c>
      <c r="P47" s="2" t="e">
        <f t="shared" ca="1" si="119"/>
        <v>#NAME?</v>
      </c>
      <c r="Q47" s="2" t="e">
        <f t="shared" ca="1" si="119"/>
        <v>#NAME?</v>
      </c>
      <c r="R47" s="2" t="e">
        <f t="shared" ca="1" si="119"/>
        <v>#NAME?</v>
      </c>
      <c r="S47" s="2" t="e">
        <f t="shared" ca="1" si="119"/>
        <v>#NAME?</v>
      </c>
      <c r="T47" s="2" t="e">
        <f t="shared" ca="1" si="119"/>
        <v>#NAME?</v>
      </c>
      <c r="U47" s="2" t="e">
        <f t="shared" ca="1" si="119"/>
        <v>#NAME?</v>
      </c>
      <c r="V47" s="2" t="e">
        <f t="shared" ca="1" si="119"/>
        <v>#NAME?</v>
      </c>
      <c r="W47" s="2" t="e">
        <f t="shared" ca="1" si="119"/>
        <v>#NAME?</v>
      </c>
      <c r="X47" s="2" t="e">
        <f t="shared" ca="1" si="119"/>
        <v>#NAME?</v>
      </c>
      <c r="Y47" s="2" t="e">
        <f t="shared" ca="1" si="119"/>
        <v>#NAME?</v>
      </c>
      <c r="Z47" s="2" t="e">
        <f t="shared" ca="1" si="119"/>
        <v>#NAME?</v>
      </c>
      <c r="AA47" s="2" t="e">
        <f t="shared" ca="1" si="119"/>
        <v>#NAME?</v>
      </c>
      <c r="AB47" s="2" t="e">
        <f t="shared" ca="1" si="119"/>
        <v>#NAME?</v>
      </c>
      <c r="AC47" s="2" t="e">
        <f t="shared" ca="1" si="119"/>
        <v>#NAME?</v>
      </c>
      <c r="AD47" s="2" t="e">
        <f t="shared" ca="1" si="119"/>
        <v>#NAME?</v>
      </c>
      <c r="AE47" s="2" t="e">
        <f t="shared" ca="1" si="119"/>
        <v>#NAME?</v>
      </c>
      <c r="AF47" s="2" t="e">
        <f t="shared" ca="1" si="119"/>
        <v>#NAME?</v>
      </c>
      <c r="AG47" s="2" t="e">
        <f t="shared" ca="1" si="119"/>
        <v>#NAME?</v>
      </c>
      <c r="AH47" s="2" t="e">
        <f t="shared" ca="1" si="119"/>
        <v>#NAME?</v>
      </c>
      <c r="AI47" s="2" t="e">
        <f t="shared" ca="1" si="119"/>
        <v>#NAME?</v>
      </c>
      <c r="AJ47" s="2" t="e">
        <f t="shared" ca="1" si="119"/>
        <v>#NAME?</v>
      </c>
      <c r="AK47" s="2" t="e">
        <f t="shared" ca="1" si="119"/>
        <v>#NAME?</v>
      </c>
      <c r="AL47" s="2" t="e">
        <f t="shared" ca="1" si="119"/>
        <v>#NAME?</v>
      </c>
      <c r="AM47" s="2" t="e">
        <f t="shared" ca="1" si="119"/>
        <v>#NAME?</v>
      </c>
      <c r="AN47" s="2" t="e">
        <f t="shared" ca="1" si="119"/>
        <v>#NAME?</v>
      </c>
      <c r="AO47" s="2" t="e">
        <f t="shared" ca="1" si="119"/>
        <v>#NAME?</v>
      </c>
      <c r="AP47" s="2" t="e">
        <f t="shared" ca="1" si="119"/>
        <v>#NAME?</v>
      </c>
      <c r="AQ47" s="2" t="e">
        <f t="shared" ca="1" si="119"/>
        <v>#NAME?</v>
      </c>
      <c r="AR47" s="2" t="e">
        <f t="shared" ca="1" si="119"/>
        <v>#NAME?</v>
      </c>
    </row>
    <row r="48" spans="2:92" x14ac:dyDescent="0.15">
      <c r="C48" s="2" t="e">
        <f t="shared" ca="1" si="116"/>
        <v>#NAME?</v>
      </c>
      <c r="D48" s="2" t="e">
        <f t="shared" ref="D48:AR48" ca="1" si="120">BowlSplit(D12,$C$40)</f>
        <v>#NAME?</v>
      </c>
      <c r="E48" s="2" t="e">
        <f t="shared" ca="1" si="120"/>
        <v>#NAME?</v>
      </c>
      <c r="F48" s="2" t="e">
        <f t="shared" ca="1" si="120"/>
        <v>#NAME?</v>
      </c>
      <c r="G48" s="2" t="e">
        <f t="shared" ca="1" si="120"/>
        <v>#NAME?</v>
      </c>
      <c r="H48" s="2" t="e">
        <f t="shared" ca="1" si="120"/>
        <v>#NAME?</v>
      </c>
      <c r="I48" s="2" t="e">
        <f t="shared" ca="1" si="120"/>
        <v>#NAME?</v>
      </c>
      <c r="J48" s="2" t="e">
        <f t="shared" ca="1" si="120"/>
        <v>#NAME?</v>
      </c>
      <c r="K48" s="2" t="e">
        <f t="shared" ca="1" si="120"/>
        <v>#NAME?</v>
      </c>
      <c r="L48" s="2" t="e">
        <f t="shared" ca="1" si="120"/>
        <v>#NAME?</v>
      </c>
      <c r="M48" s="2" t="e">
        <f t="shared" ca="1" si="120"/>
        <v>#NAME?</v>
      </c>
      <c r="N48" s="2" t="e">
        <f t="shared" ca="1" si="120"/>
        <v>#NAME?</v>
      </c>
      <c r="O48" s="2" t="e">
        <f t="shared" ca="1" si="120"/>
        <v>#NAME?</v>
      </c>
      <c r="P48" s="2" t="e">
        <f t="shared" ca="1" si="120"/>
        <v>#NAME?</v>
      </c>
      <c r="Q48" s="2" t="e">
        <f t="shared" ca="1" si="120"/>
        <v>#NAME?</v>
      </c>
      <c r="R48" s="2" t="e">
        <f t="shared" ca="1" si="120"/>
        <v>#NAME?</v>
      </c>
      <c r="S48" s="2" t="e">
        <f t="shared" ca="1" si="120"/>
        <v>#NAME?</v>
      </c>
      <c r="T48" s="2" t="e">
        <f t="shared" ca="1" si="120"/>
        <v>#NAME?</v>
      </c>
      <c r="U48" s="2" t="e">
        <f t="shared" ca="1" si="120"/>
        <v>#NAME?</v>
      </c>
      <c r="V48" s="2" t="e">
        <f t="shared" ca="1" si="120"/>
        <v>#NAME?</v>
      </c>
      <c r="W48" s="2" t="e">
        <f t="shared" ca="1" si="120"/>
        <v>#NAME?</v>
      </c>
      <c r="X48" s="2" t="e">
        <f t="shared" ca="1" si="120"/>
        <v>#NAME?</v>
      </c>
      <c r="Y48" s="2" t="e">
        <f t="shared" ca="1" si="120"/>
        <v>#NAME?</v>
      </c>
      <c r="Z48" s="2" t="e">
        <f t="shared" ca="1" si="120"/>
        <v>#NAME?</v>
      </c>
      <c r="AA48" s="2" t="e">
        <f t="shared" ca="1" si="120"/>
        <v>#NAME?</v>
      </c>
      <c r="AB48" s="2" t="e">
        <f t="shared" ca="1" si="120"/>
        <v>#NAME?</v>
      </c>
      <c r="AC48" s="2" t="e">
        <f t="shared" ca="1" si="120"/>
        <v>#NAME?</v>
      </c>
      <c r="AD48" s="2" t="e">
        <f t="shared" ca="1" si="120"/>
        <v>#NAME?</v>
      </c>
      <c r="AE48" s="2" t="e">
        <f t="shared" ca="1" si="120"/>
        <v>#NAME?</v>
      </c>
      <c r="AF48" s="2" t="e">
        <f t="shared" ca="1" si="120"/>
        <v>#NAME?</v>
      </c>
      <c r="AG48" s="2" t="e">
        <f t="shared" ca="1" si="120"/>
        <v>#NAME?</v>
      </c>
      <c r="AH48" s="2" t="e">
        <f t="shared" ca="1" si="120"/>
        <v>#NAME?</v>
      </c>
      <c r="AI48" s="2" t="e">
        <f t="shared" ca="1" si="120"/>
        <v>#NAME?</v>
      </c>
      <c r="AJ48" s="2" t="e">
        <f t="shared" ca="1" si="120"/>
        <v>#NAME?</v>
      </c>
      <c r="AK48" s="2" t="e">
        <f t="shared" ca="1" si="120"/>
        <v>#NAME?</v>
      </c>
      <c r="AL48" s="2" t="e">
        <f t="shared" ca="1" si="120"/>
        <v>#NAME?</v>
      </c>
      <c r="AM48" s="2" t="e">
        <f t="shared" ca="1" si="120"/>
        <v>#NAME?</v>
      </c>
      <c r="AN48" s="2" t="e">
        <f t="shared" ca="1" si="120"/>
        <v>#NAME?</v>
      </c>
      <c r="AO48" s="2" t="e">
        <f t="shared" ca="1" si="120"/>
        <v>#NAME?</v>
      </c>
      <c r="AP48" s="2" t="e">
        <f t="shared" ca="1" si="120"/>
        <v>#NAME?</v>
      </c>
      <c r="AQ48" s="2" t="e">
        <f t="shared" ca="1" si="120"/>
        <v>#NAME?</v>
      </c>
      <c r="AR48" s="2" t="e">
        <f t="shared" ca="1" si="120"/>
        <v>#NAME?</v>
      </c>
    </row>
    <row r="49" spans="3:44" x14ac:dyDescent="0.15">
      <c r="C49" s="2" t="e">
        <f t="shared" ca="1" si="116"/>
        <v>#NAME?</v>
      </c>
      <c r="D49" s="2" t="e">
        <f t="shared" ref="D49:AR49" ca="1" si="121">BowlSplit(D13,$C$40)</f>
        <v>#NAME?</v>
      </c>
      <c r="E49" s="2" t="e">
        <f t="shared" ca="1" si="121"/>
        <v>#NAME?</v>
      </c>
      <c r="F49" s="2" t="e">
        <f t="shared" ca="1" si="121"/>
        <v>#NAME?</v>
      </c>
      <c r="G49" s="2" t="e">
        <f t="shared" ca="1" si="121"/>
        <v>#NAME?</v>
      </c>
      <c r="H49" s="2" t="e">
        <f t="shared" ca="1" si="121"/>
        <v>#NAME?</v>
      </c>
      <c r="I49" s="2" t="e">
        <f t="shared" ca="1" si="121"/>
        <v>#NAME?</v>
      </c>
      <c r="J49" s="2" t="e">
        <f t="shared" ca="1" si="121"/>
        <v>#NAME?</v>
      </c>
      <c r="K49" s="2" t="e">
        <f t="shared" ca="1" si="121"/>
        <v>#NAME?</v>
      </c>
      <c r="L49" s="2" t="e">
        <f t="shared" ca="1" si="121"/>
        <v>#NAME?</v>
      </c>
      <c r="M49" s="2" t="e">
        <f t="shared" ca="1" si="121"/>
        <v>#NAME?</v>
      </c>
      <c r="N49" s="2" t="e">
        <f t="shared" ca="1" si="121"/>
        <v>#NAME?</v>
      </c>
      <c r="O49" s="2" t="e">
        <f t="shared" ca="1" si="121"/>
        <v>#NAME?</v>
      </c>
      <c r="P49" s="2" t="e">
        <f t="shared" ca="1" si="121"/>
        <v>#NAME?</v>
      </c>
      <c r="Q49" s="2" t="e">
        <f t="shared" ca="1" si="121"/>
        <v>#NAME?</v>
      </c>
      <c r="R49" s="2" t="e">
        <f t="shared" ca="1" si="121"/>
        <v>#NAME?</v>
      </c>
      <c r="S49" s="2" t="e">
        <f t="shared" ca="1" si="121"/>
        <v>#NAME?</v>
      </c>
      <c r="T49" s="2" t="e">
        <f t="shared" ca="1" si="121"/>
        <v>#NAME?</v>
      </c>
      <c r="U49" s="2" t="e">
        <f t="shared" ca="1" si="121"/>
        <v>#NAME?</v>
      </c>
      <c r="V49" s="2" t="e">
        <f t="shared" ca="1" si="121"/>
        <v>#NAME?</v>
      </c>
      <c r="W49" s="2" t="e">
        <f t="shared" ca="1" si="121"/>
        <v>#NAME?</v>
      </c>
      <c r="X49" s="2" t="e">
        <f t="shared" ca="1" si="121"/>
        <v>#NAME?</v>
      </c>
      <c r="Y49" s="2" t="e">
        <f t="shared" ca="1" si="121"/>
        <v>#NAME?</v>
      </c>
      <c r="Z49" s="2" t="e">
        <f t="shared" ca="1" si="121"/>
        <v>#NAME?</v>
      </c>
      <c r="AA49" s="2" t="e">
        <f t="shared" ca="1" si="121"/>
        <v>#NAME?</v>
      </c>
      <c r="AB49" s="2" t="e">
        <f t="shared" ca="1" si="121"/>
        <v>#NAME?</v>
      </c>
      <c r="AC49" s="2" t="e">
        <f t="shared" ca="1" si="121"/>
        <v>#NAME?</v>
      </c>
      <c r="AD49" s="2" t="e">
        <f t="shared" ca="1" si="121"/>
        <v>#NAME?</v>
      </c>
      <c r="AE49" s="2" t="e">
        <f t="shared" ca="1" si="121"/>
        <v>#NAME?</v>
      </c>
      <c r="AF49" s="2" t="e">
        <f t="shared" ca="1" si="121"/>
        <v>#NAME?</v>
      </c>
      <c r="AG49" s="2" t="e">
        <f t="shared" ca="1" si="121"/>
        <v>#NAME?</v>
      </c>
      <c r="AH49" s="2" t="e">
        <f t="shared" ca="1" si="121"/>
        <v>#NAME?</v>
      </c>
      <c r="AI49" s="2" t="e">
        <f t="shared" ca="1" si="121"/>
        <v>#NAME?</v>
      </c>
      <c r="AJ49" s="2" t="e">
        <f t="shared" ca="1" si="121"/>
        <v>#NAME?</v>
      </c>
      <c r="AK49" s="2" t="e">
        <f t="shared" ca="1" si="121"/>
        <v>#NAME?</v>
      </c>
      <c r="AL49" s="2" t="e">
        <f t="shared" ca="1" si="121"/>
        <v>#NAME?</v>
      </c>
      <c r="AM49" s="2" t="e">
        <f t="shared" ca="1" si="121"/>
        <v>#NAME?</v>
      </c>
      <c r="AN49" s="2" t="e">
        <f t="shared" ca="1" si="121"/>
        <v>#NAME?</v>
      </c>
      <c r="AO49" s="2" t="e">
        <f t="shared" ca="1" si="121"/>
        <v>#NAME?</v>
      </c>
      <c r="AP49" s="2" t="e">
        <f t="shared" ca="1" si="121"/>
        <v>#NAME?</v>
      </c>
      <c r="AQ49" s="2" t="e">
        <f t="shared" ca="1" si="121"/>
        <v>#NAME?</v>
      </c>
      <c r="AR49" s="2" t="e">
        <f t="shared" ca="1" si="121"/>
        <v>#NAME?</v>
      </c>
    </row>
    <row r="50" spans="3:44" x14ac:dyDescent="0.15">
      <c r="C50" s="2" t="e">
        <f t="shared" ca="1" si="116"/>
        <v>#NAME?</v>
      </c>
      <c r="D50" s="2" t="e">
        <f t="shared" ref="D50:AR50" ca="1" si="122">BowlSplit(D14,$C$40)</f>
        <v>#NAME?</v>
      </c>
      <c r="E50" s="2" t="e">
        <f t="shared" ca="1" si="122"/>
        <v>#NAME?</v>
      </c>
      <c r="F50" s="2" t="e">
        <f t="shared" ca="1" si="122"/>
        <v>#NAME?</v>
      </c>
      <c r="G50" s="2" t="e">
        <f t="shared" ca="1" si="122"/>
        <v>#NAME?</v>
      </c>
      <c r="H50" s="2" t="e">
        <f t="shared" ca="1" si="122"/>
        <v>#NAME?</v>
      </c>
      <c r="I50" s="2" t="e">
        <f t="shared" ca="1" si="122"/>
        <v>#NAME?</v>
      </c>
      <c r="J50" s="2" t="e">
        <f t="shared" ca="1" si="122"/>
        <v>#NAME?</v>
      </c>
      <c r="K50" s="2" t="e">
        <f t="shared" ca="1" si="122"/>
        <v>#NAME?</v>
      </c>
      <c r="L50" s="2" t="e">
        <f t="shared" ca="1" si="122"/>
        <v>#NAME?</v>
      </c>
      <c r="M50" s="2" t="e">
        <f t="shared" ca="1" si="122"/>
        <v>#NAME?</v>
      </c>
      <c r="N50" s="2" t="e">
        <f t="shared" ca="1" si="122"/>
        <v>#NAME?</v>
      </c>
      <c r="O50" s="2" t="e">
        <f t="shared" ca="1" si="122"/>
        <v>#NAME?</v>
      </c>
      <c r="P50" s="2" t="e">
        <f t="shared" ca="1" si="122"/>
        <v>#NAME?</v>
      </c>
      <c r="Q50" s="2" t="e">
        <f t="shared" ca="1" si="122"/>
        <v>#NAME?</v>
      </c>
      <c r="R50" s="2" t="e">
        <f t="shared" ca="1" si="122"/>
        <v>#NAME?</v>
      </c>
      <c r="S50" s="2" t="e">
        <f t="shared" ca="1" si="122"/>
        <v>#NAME?</v>
      </c>
      <c r="T50" s="2" t="e">
        <f t="shared" ca="1" si="122"/>
        <v>#NAME?</v>
      </c>
      <c r="U50" s="2" t="e">
        <f t="shared" ca="1" si="122"/>
        <v>#NAME?</v>
      </c>
      <c r="V50" s="2" t="e">
        <f t="shared" ca="1" si="122"/>
        <v>#NAME?</v>
      </c>
      <c r="W50" s="2" t="e">
        <f t="shared" ca="1" si="122"/>
        <v>#NAME?</v>
      </c>
      <c r="X50" s="2" t="e">
        <f t="shared" ca="1" si="122"/>
        <v>#NAME?</v>
      </c>
      <c r="Y50" s="2" t="e">
        <f t="shared" ca="1" si="122"/>
        <v>#NAME?</v>
      </c>
      <c r="Z50" s="2" t="e">
        <f t="shared" ca="1" si="122"/>
        <v>#NAME?</v>
      </c>
      <c r="AA50" s="2" t="e">
        <f t="shared" ca="1" si="122"/>
        <v>#NAME?</v>
      </c>
      <c r="AB50" s="2" t="e">
        <f t="shared" ca="1" si="122"/>
        <v>#NAME?</v>
      </c>
      <c r="AC50" s="2" t="e">
        <f t="shared" ca="1" si="122"/>
        <v>#NAME?</v>
      </c>
      <c r="AD50" s="2" t="e">
        <f t="shared" ca="1" si="122"/>
        <v>#NAME?</v>
      </c>
      <c r="AE50" s="2" t="e">
        <f t="shared" ca="1" si="122"/>
        <v>#NAME?</v>
      </c>
      <c r="AF50" s="2" t="e">
        <f t="shared" ca="1" si="122"/>
        <v>#NAME?</v>
      </c>
      <c r="AG50" s="2" t="e">
        <f t="shared" ca="1" si="122"/>
        <v>#NAME?</v>
      </c>
      <c r="AH50" s="2" t="e">
        <f t="shared" ca="1" si="122"/>
        <v>#NAME?</v>
      </c>
      <c r="AI50" s="2" t="e">
        <f t="shared" ca="1" si="122"/>
        <v>#NAME?</v>
      </c>
      <c r="AJ50" s="2" t="e">
        <f t="shared" ca="1" si="122"/>
        <v>#NAME?</v>
      </c>
      <c r="AK50" s="2" t="e">
        <f t="shared" ca="1" si="122"/>
        <v>#NAME?</v>
      </c>
      <c r="AL50" s="2" t="e">
        <f t="shared" ca="1" si="122"/>
        <v>#NAME?</v>
      </c>
      <c r="AM50" s="2" t="e">
        <f t="shared" ca="1" si="122"/>
        <v>#NAME?</v>
      </c>
      <c r="AN50" s="2" t="e">
        <f t="shared" ca="1" si="122"/>
        <v>#NAME?</v>
      </c>
      <c r="AO50" s="2" t="e">
        <f t="shared" ca="1" si="122"/>
        <v>#NAME?</v>
      </c>
      <c r="AP50" s="2" t="e">
        <f t="shared" ca="1" si="122"/>
        <v>#NAME?</v>
      </c>
      <c r="AQ50" s="2" t="e">
        <f t="shared" ca="1" si="122"/>
        <v>#NAME?</v>
      </c>
      <c r="AR50" s="2" t="e">
        <f t="shared" ca="1" si="122"/>
        <v>#NAME?</v>
      </c>
    </row>
    <row r="51" spans="3:44" x14ac:dyDescent="0.15">
      <c r="C51" s="2" t="e">
        <f t="shared" ca="1" si="116"/>
        <v>#NAME?</v>
      </c>
      <c r="D51" s="2" t="e">
        <f t="shared" ref="D51:AR51" ca="1" si="123">BowlSplit(D15,$C$40)</f>
        <v>#NAME?</v>
      </c>
      <c r="E51" s="2" t="e">
        <f t="shared" ca="1" si="123"/>
        <v>#NAME?</v>
      </c>
      <c r="F51" s="2" t="e">
        <f t="shared" ca="1" si="123"/>
        <v>#NAME?</v>
      </c>
      <c r="G51" s="2" t="e">
        <f t="shared" ca="1" si="123"/>
        <v>#NAME?</v>
      </c>
      <c r="H51" s="2" t="e">
        <f t="shared" ca="1" si="123"/>
        <v>#NAME?</v>
      </c>
      <c r="I51" s="2" t="e">
        <f t="shared" ca="1" si="123"/>
        <v>#NAME?</v>
      </c>
      <c r="J51" s="2" t="e">
        <f t="shared" ca="1" si="123"/>
        <v>#NAME?</v>
      </c>
      <c r="K51" s="2" t="e">
        <f t="shared" ca="1" si="123"/>
        <v>#NAME?</v>
      </c>
      <c r="L51" s="2" t="e">
        <f t="shared" ca="1" si="123"/>
        <v>#NAME?</v>
      </c>
      <c r="M51" s="2" t="e">
        <f t="shared" ca="1" si="123"/>
        <v>#NAME?</v>
      </c>
      <c r="N51" s="2" t="e">
        <f t="shared" ca="1" si="123"/>
        <v>#NAME?</v>
      </c>
      <c r="O51" s="2" t="e">
        <f t="shared" ca="1" si="123"/>
        <v>#NAME?</v>
      </c>
      <c r="P51" s="2" t="e">
        <f t="shared" ca="1" si="123"/>
        <v>#NAME?</v>
      </c>
      <c r="Q51" s="2" t="e">
        <f t="shared" ca="1" si="123"/>
        <v>#NAME?</v>
      </c>
      <c r="R51" s="2" t="e">
        <f t="shared" ca="1" si="123"/>
        <v>#NAME?</v>
      </c>
      <c r="S51" s="2" t="e">
        <f t="shared" ca="1" si="123"/>
        <v>#NAME?</v>
      </c>
      <c r="T51" s="2" t="e">
        <f t="shared" ca="1" si="123"/>
        <v>#NAME?</v>
      </c>
      <c r="U51" s="2" t="e">
        <f t="shared" ca="1" si="123"/>
        <v>#NAME?</v>
      </c>
      <c r="V51" s="2" t="e">
        <f t="shared" ca="1" si="123"/>
        <v>#NAME?</v>
      </c>
      <c r="W51" s="2" t="e">
        <f t="shared" ca="1" si="123"/>
        <v>#NAME?</v>
      </c>
      <c r="X51" s="2" t="e">
        <f t="shared" ca="1" si="123"/>
        <v>#NAME?</v>
      </c>
      <c r="Y51" s="2" t="e">
        <f t="shared" ca="1" si="123"/>
        <v>#NAME?</v>
      </c>
      <c r="Z51" s="2" t="e">
        <f t="shared" ca="1" si="123"/>
        <v>#NAME?</v>
      </c>
      <c r="AA51" s="2" t="e">
        <f t="shared" ca="1" si="123"/>
        <v>#NAME?</v>
      </c>
      <c r="AB51" s="2" t="e">
        <f t="shared" ca="1" si="123"/>
        <v>#NAME?</v>
      </c>
      <c r="AC51" s="2" t="e">
        <f t="shared" ca="1" si="123"/>
        <v>#NAME?</v>
      </c>
      <c r="AD51" s="2" t="e">
        <f t="shared" ca="1" si="123"/>
        <v>#NAME?</v>
      </c>
      <c r="AE51" s="2" t="e">
        <f t="shared" ca="1" si="123"/>
        <v>#NAME?</v>
      </c>
      <c r="AF51" s="2" t="e">
        <f t="shared" ca="1" si="123"/>
        <v>#NAME?</v>
      </c>
      <c r="AG51" s="2" t="e">
        <f t="shared" ca="1" si="123"/>
        <v>#NAME?</v>
      </c>
      <c r="AH51" s="2" t="e">
        <f t="shared" ca="1" si="123"/>
        <v>#NAME?</v>
      </c>
      <c r="AI51" s="2" t="e">
        <f t="shared" ca="1" si="123"/>
        <v>#NAME?</v>
      </c>
      <c r="AJ51" s="2" t="e">
        <f t="shared" ca="1" si="123"/>
        <v>#NAME?</v>
      </c>
      <c r="AK51" s="2" t="e">
        <f t="shared" ca="1" si="123"/>
        <v>#NAME?</v>
      </c>
      <c r="AL51" s="2" t="e">
        <f t="shared" ca="1" si="123"/>
        <v>#NAME?</v>
      </c>
      <c r="AM51" s="2" t="e">
        <f t="shared" ca="1" si="123"/>
        <v>#NAME?</v>
      </c>
      <c r="AN51" s="2" t="e">
        <f t="shared" ca="1" si="123"/>
        <v>#NAME?</v>
      </c>
      <c r="AO51" s="2" t="e">
        <f t="shared" ca="1" si="123"/>
        <v>#NAME?</v>
      </c>
      <c r="AP51" s="2" t="e">
        <f t="shared" ca="1" si="123"/>
        <v>#NAME?</v>
      </c>
      <c r="AQ51" s="2" t="e">
        <f t="shared" ca="1" si="123"/>
        <v>#NAME?</v>
      </c>
      <c r="AR51" s="2" t="e">
        <f t="shared" ca="1" si="123"/>
        <v>#NAME?</v>
      </c>
    </row>
    <row r="52" spans="3:44" x14ac:dyDescent="0.15">
      <c r="C52" s="2" t="e">
        <f t="shared" ref="C52:AR52" ca="1" si="124">BowlSplit(C17,$C$40)</f>
        <v>#NAME?</v>
      </c>
      <c r="D52" s="2" t="e">
        <f t="shared" ca="1" si="124"/>
        <v>#NAME?</v>
      </c>
      <c r="E52" s="2" t="e">
        <f t="shared" ca="1" si="124"/>
        <v>#NAME?</v>
      </c>
      <c r="F52" s="2" t="e">
        <f t="shared" ca="1" si="124"/>
        <v>#NAME?</v>
      </c>
      <c r="G52" s="2" t="e">
        <f t="shared" ca="1" si="124"/>
        <v>#NAME?</v>
      </c>
      <c r="H52" s="2" t="e">
        <f t="shared" ca="1" si="124"/>
        <v>#NAME?</v>
      </c>
      <c r="I52" s="2" t="e">
        <f t="shared" ca="1" si="124"/>
        <v>#NAME?</v>
      </c>
      <c r="J52" s="2" t="e">
        <f t="shared" ca="1" si="124"/>
        <v>#NAME?</v>
      </c>
      <c r="K52" s="2" t="e">
        <f t="shared" ca="1" si="124"/>
        <v>#NAME?</v>
      </c>
      <c r="L52" s="2" t="e">
        <f t="shared" ca="1" si="124"/>
        <v>#NAME?</v>
      </c>
      <c r="M52" s="2" t="e">
        <f t="shared" ca="1" si="124"/>
        <v>#NAME?</v>
      </c>
      <c r="N52" s="2" t="e">
        <f t="shared" ca="1" si="124"/>
        <v>#NAME?</v>
      </c>
      <c r="O52" s="2" t="e">
        <f t="shared" ca="1" si="124"/>
        <v>#NAME?</v>
      </c>
      <c r="P52" s="2" t="e">
        <f t="shared" ca="1" si="124"/>
        <v>#NAME?</v>
      </c>
      <c r="Q52" s="2" t="e">
        <f t="shared" ca="1" si="124"/>
        <v>#NAME?</v>
      </c>
      <c r="R52" s="2" t="e">
        <f t="shared" ca="1" si="124"/>
        <v>#NAME?</v>
      </c>
      <c r="S52" s="2" t="e">
        <f t="shared" ca="1" si="124"/>
        <v>#NAME?</v>
      </c>
      <c r="T52" s="2" t="e">
        <f t="shared" ca="1" si="124"/>
        <v>#NAME?</v>
      </c>
      <c r="U52" s="2" t="e">
        <f t="shared" ca="1" si="124"/>
        <v>#NAME?</v>
      </c>
      <c r="V52" s="2" t="e">
        <f t="shared" ca="1" si="124"/>
        <v>#NAME?</v>
      </c>
      <c r="W52" s="2" t="e">
        <f t="shared" ca="1" si="124"/>
        <v>#NAME?</v>
      </c>
      <c r="X52" s="2" t="e">
        <f t="shared" ca="1" si="124"/>
        <v>#NAME?</v>
      </c>
      <c r="Y52" s="2" t="e">
        <f t="shared" ca="1" si="124"/>
        <v>#NAME?</v>
      </c>
      <c r="Z52" s="2" t="e">
        <f t="shared" ca="1" si="124"/>
        <v>#NAME?</v>
      </c>
      <c r="AA52" s="2" t="e">
        <f t="shared" ca="1" si="124"/>
        <v>#NAME?</v>
      </c>
      <c r="AB52" s="2" t="e">
        <f t="shared" ca="1" si="124"/>
        <v>#NAME?</v>
      </c>
      <c r="AC52" s="2" t="e">
        <f t="shared" ca="1" si="124"/>
        <v>#NAME?</v>
      </c>
      <c r="AD52" s="2" t="e">
        <f t="shared" ca="1" si="124"/>
        <v>#NAME?</v>
      </c>
      <c r="AE52" s="2" t="e">
        <f t="shared" ca="1" si="124"/>
        <v>#NAME?</v>
      </c>
      <c r="AF52" s="2" t="e">
        <f t="shared" ca="1" si="124"/>
        <v>#NAME?</v>
      </c>
      <c r="AG52" s="2" t="e">
        <f t="shared" ca="1" si="124"/>
        <v>#NAME?</v>
      </c>
      <c r="AH52" s="2" t="e">
        <f t="shared" ca="1" si="124"/>
        <v>#NAME?</v>
      </c>
      <c r="AI52" s="2" t="e">
        <f t="shared" ca="1" si="124"/>
        <v>#NAME?</v>
      </c>
      <c r="AJ52" s="2" t="e">
        <f t="shared" ca="1" si="124"/>
        <v>#NAME?</v>
      </c>
      <c r="AK52" s="2" t="e">
        <f t="shared" ca="1" si="124"/>
        <v>#NAME?</v>
      </c>
      <c r="AL52" s="2" t="e">
        <f t="shared" ca="1" si="124"/>
        <v>#NAME?</v>
      </c>
      <c r="AM52" s="2" t="e">
        <f t="shared" ca="1" si="124"/>
        <v>#NAME?</v>
      </c>
      <c r="AN52" s="2" t="e">
        <f t="shared" ca="1" si="124"/>
        <v>#NAME?</v>
      </c>
      <c r="AO52" s="2" t="e">
        <f t="shared" ca="1" si="124"/>
        <v>#NAME?</v>
      </c>
      <c r="AP52" s="2" t="e">
        <f t="shared" ca="1" si="124"/>
        <v>#NAME?</v>
      </c>
      <c r="AQ52" s="2" t="e">
        <f t="shared" ca="1" si="124"/>
        <v>#NAME?</v>
      </c>
      <c r="AR52" s="2" t="e">
        <f t="shared" ca="1" si="124"/>
        <v>#NAME?</v>
      </c>
    </row>
    <row r="53" spans="3:44" x14ac:dyDescent="0.15">
      <c r="C53" s="2" t="e">
        <f t="shared" ref="C53:AR53" ca="1" si="125">BowlSplit(C18,$C$40)</f>
        <v>#NAME?</v>
      </c>
      <c r="D53" s="2" t="e">
        <f t="shared" ca="1" si="125"/>
        <v>#NAME?</v>
      </c>
      <c r="E53" s="2" t="e">
        <f t="shared" ca="1" si="125"/>
        <v>#NAME?</v>
      </c>
      <c r="F53" s="2" t="e">
        <f t="shared" ca="1" si="125"/>
        <v>#NAME?</v>
      </c>
      <c r="G53" s="2" t="e">
        <f t="shared" ca="1" si="125"/>
        <v>#NAME?</v>
      </c>
      <c r="H53" s="2" t="e">
        <f t="shared" ca="1" si="125"/>
        <v>#NAME?</v>
      </c>
      <c r="I53" s="2" t="e">
        <f t="shared" ca="1" si="125"/>
        <v>#NAME?</v>
      </c>
      <c r="J53" s="2" t="e">
        <f t="shared" ca="1" si="125"/>
        <v>#NAME?</v>
      </c>
      <c r="K53" s="2" t="e">
        <f t="shared" ca="1" si="125"/>
        <v>#NAME?</v>
      </c>
      <c r="L53" s="2" t="e">
        <f t="shared" ca="1" si="125"/>
        <v>#NAME?</v>
      </c>
      <c r="M53" s="2" t="e">
        <f t="shared" ca="1" si="125"/>
        <v>#NAME?</v>
      </c>
      <c r="N53" s="2" t="e">
        <f t="shared" ca="1" si="125"/>
        <v>#NAME?</v>
      </c>
      <c r="O53" s="2" t="e">
        <f t="shared" ca="1" si="125"/>
        <v>#NAME?</v>
      </c>
      <c r="P53" s="2" t="e">
        <f t="shared" ca="1" si="125"/>
        <v>#NAME?</v>
      </c>
      <c r="Q53" s="2" t="e">
        <f t="shared" ca="1" si="125"/>
        <v>#NAME?</v>
      </c>
      <c r="R53" s="2" t="e">
        <f t="shared" ca="1" si="125"/>
        <v>#NAME?</v>
      </c>
      <c r="S53" s="2" t="e">
        <f t="shared" ca="1" si="125"/>
        <v>#NAME?</v>
      </c>
      <c r="T53" s="2" t="e">
        <f t="shared" ca="1" si="125"/>
        <v>#NAME?</v>
      </c>
      <c r="U53" s="2" t="e">
        <f t="shared" ca="1" si="125"/>
        <v>#NAME?</v>
      </c>
      <c r="V53" s="2" t="e">
        <f t="shared" ca="1" si="125"/>
        <v>#NAME?</v>
      </c>
      <c r="W53" s="2" t="e">
        <f t="shared" ca="1" si="125"/>
        <v>#NAME?</v>
      </c>
      <c r="X53" s="2" t="e">
        <f t="shared" ca="1" si="125"/>
        <v>#NAME?</v>
      </c>
      <c r="Y53" s="2" t="e">
        <f t="shared" ca="1" si="125"/>
        <v>#NAME?</v>
      </c>
      <c r="Z53" s="2" t="e">
        <f t="shared" ca="1" si="125"/>
        <v>#NAME?</v>
      </c>
      <c r="AA53" s="2" t="e">
        <f t="shared" ca="1" si="125"/>
        <v>#NAME?</v>
      </c>
      <c r="AB53" s="2" t="e">
        <f t="shared" ca="1" si="125"/>
        <v>#NAME?</v>
      </c>
      <c r="AC53" s="2" t="e">
        <f t="shared" ca="1" si="125"/>
        <v>#NAME?</v>
      </c>
      <c r="AD53" s="2" t="e">
        <f t="shared" ca="1" si="125"/>
        <v>#NAME?</v>
      </c>
      <c r="AE53" s="2" t="e">
        <f t="shared" ca="1" si="125"/>
        <v>#NAME?</v>
      </c>
      <c r="AF53" s="2" t="e">
        <f t="shared" ca="1" si="125"/>
        <v>#NAME?</v>
      </c>
      <c r="AG53" s="2" t="e">
        <f t="shared" ca="1" si="125"/>
        <v>#NAME?</v>
      </c>
      <c r="AH53" s="2" t="e">
        <f t="shared" ca="1" si="125"/>
        <v>#NAME?</v>
      </c>
      <c r="AI53" s="2" t="e">
        <f t="shared" ca="1" si="125"/>
        <v>#NAME?</v>
      </c>
      <c r="AJ53" s="2" t="e">
        <f t="shared" ca="1" si="125"/>
        <v>#NAME?</v>
      </c>
      <c r="AK53" s="2" t="e">
        <f t="shared" ca="1" si="125"/>
        <v>#NAME?</v>
      </c>
      <c r="AL53" s="2" t="e">
        <f t="shared" ca="1" si="125"/>
        <v>#NAME?</v>
      </c>
      <c r="AM53" s="2" t="e">
        <f t="shared" ca="1" si="125"/>
        <v>#NAME?</v>
      </c>
      <c r="AN53" s="2" t="e">
        <f t="shared" ca="1" si="125"/>
        <v>#NAME?</v>
      </c>
      <c r="AO53" s="2" t="e">
        <f t="shared" ca="1" si="125"/>
        <v>#NAME?</v>
      </c>
      <c r="AP53" s="2" t="e">
        <f t="shared" ca="1" si="125"/>
        <v>#NAME?</v>
      </c>
      <c r="AQ53" s="2" t="e">
        <f t="shared" ca="1" si="125"/>
        <v>#NAME?</v>
      </c>
      <c r="AR53" s="2" t="e">
        <f t="shared" ca="1" si="125"/>
        <v>#NAME?</v>
      </c>
    </row>
    <row r="54" spans="3:44" x14ac:dyDescent="0.15">
      <c r="C54" s="2" t="e">
        <f t="shared" ref="C54:AR54" ca="1" si="126">BowlSplit(C19,$C$40)</f>
        <v>#NAME?</v>
      </c>
      <c r="D54" s="2" t="e">
        <f t="shared" ca="1" si="126"/>
        <v>#NAME?</v>
      </c>
      <c r="E54" s="2" t="e">
        <f t="shared" ca="1" si="126"/>
        <v>#NAME?</v>
      </c>
      <c r="F54" s="2" t="e">
        <f t="shared" ca="1" si="126"/>
        <v>#NAME?</v>
      </c>
      <c r="G54" s="2" t="e">
        <f t="shared" ca="1" si="126"/>
        <v>#NAME?</v>
      </c>
      <c r="H54" s="2" t="e">
        <f t="shared" ca="1" si="126"/>
        <v>#NAME?</v>
      </c>
      <c r="I54" s="2" t="e">
        <f t="shared" ca="1" si="126"/>
        <v>#NAME?</v>
      </c>
      <c r="J54" s="2" t="e">
        <f t="shared" ca="1" si="126"/>
        <v>#NAME?</v>
      </c>
      <c r="K54" s="2" t="e">
        <f t="shared" ca="1" si="126"/>
        <v>#NAME?</v>
      </c>
      <c r="L54" s="2" t="e">
        <f t="shared" ca="1" si="126"/>
        <v>#NAME?</v>
      </c>
      <c r="M54" s="2" t="e">
        <f t="shared" ca="1" si="126"/>
        <v>#NAME?</v>
      </c>
      <c r="N54" s="2" t="e">
        <f t="shared" ca="1" si="126"/>
        <v>#NAME?</v>
      </c>
      <c r="O54" s="2" t="e">
        <f t="shared" ca="1" si="126"/>
        <v>#NAME?</v>
      </c>
      <c r="P54" s="2" t="e">
        <f t="shared" ca="1" si="126"/>
        <v>#NAME?</v>
      </c>
      <c r="Q54" s="2" t="e">
        <f t="shared" ca="1" si="126"/>
        <v>#NAME?</v>
      </c>
      <c r="R54" s="2" t="e">
        <f t="shared" ca="1" si="126"/>
        <v>#NAME?</v>
      </c>
      <c r="S54" s="2" t="e">
        <f t="shared" ca="1" si="126"/>
        <v>#NAME?</v>
      </c>
      <c r="T54" s="2" t="e">
        <f t="shared" ca="1" si="126"/>
        <v>#NAME?</v>
      </c>
      <c r="U54" s="2" t="e">
        <f t="shared" ca="1" si="126"/>
        <v>#NAME?</v>
      </c>
      <c r="V54" s="2" t="e">
        <f t="shared" ca="1" si="126"/>
        <v>#NAME?</v>
      </c>
      <c r="W54" s="2" t="e">
        <f t="shared" ca="1" si="126"/>
        <v>#NAME?</v>
      </c>
      <c r="X54" s="2" t="e">
        <f t="shared" ca="1" si="126"/>
        <v>#NAME?</v>
      </c>
      <c r="Y54" s="2" t="e">
        <f t="shared" ca="1" si="126"/>
        <v>#NAME?</v>
      </c>
      <c r="Z54" s="2" t="e">
        <f t="shared" ca="1" si="126"/>
        <v>#NAME?</v>
      </c>
      <c r="AA54" s="2" t="e">
        <f t="shared" ca="1" si="126"/>
        <v>#NAME?</v>
      </c>
      <c r="AB54" s="2" t="e">
        <f t="shared" ca="1" si="126"/>
        <v>#NAME?</v>
      </c>
      <c r="AC54" s="2" t="e">
        <f t="shared" ca="1" si="126"/>
        <v>#NAME?</v>
      </c>
      <c r="AD54" s="2" t="e">
        <f t="shared" ca="1" si="126"/>
        <v>#NAME?</v>
      </c>
      <c r="AE54" s="2" t="e">
        <f t="shared" ca="1" si="126"/>
        <v>#NAME?</v>
      </c>
      <c r="AF54" s="2" t="e">
        <f t="shared" ca="1" si="126"/>
        <v>#NAME?</v>
      </c>
      <c r="AG54" s="2" t="e">
        <f t="shared" ca="1" si="126"/>
        <v>#NAME?</v>
      </c>
      <c r="AH54" s="2" t="e">
        <f t="shared" ca="1" si="126"/>
        <v>#NAME?</v>
      </c>
      <c r="AI54" s="2" t="e">
        <f t="shared" ca="1" si="126"/>
        <v>#NAME?</v>
      </c>
      <c r="AJ54" s="2" t="e">
        <f t="shared" ca="1" si="126"/>
        <v>#NAME?</v>
      </c>
      <c r="AK54" s="2" t="e">
        <f t="shared" ca="1" si="126"/>
        <v>#NAME?</v>
      </c>
      <c r="AL54" s="2" t="e">
        <f t="shared" ca="1" si="126"/>
        <v>#NAME?</v>
      </c>
      <c r="AM54" s="2" t="e">
        <f t="shared" ca="1" si="126"/>
        <v>#NAME?</v>
      </c>
      <c r="AN54" s="2" t="e">
        <f t="shared" ca="1" si="126"/>
        <v>#NAME?</v>
      </c>
      <c r="AO54" s="2" t="e">
        <f t="shared" ca="1" si="126"/>
        <v>#NAME?</v>
      </c>
      <c r="AP54" s="2" t="e">
        <f t="shared" ca="1" si="126"/>
        <v>#NAME?</v>
      </c>
      <c r="AQ54" s="2" t="e">
        <f t="shared" ca="1" si="126"/>
        <v>#NAME?</v>
      </c>
      <c r="AR54" s="2" t="e">
        <f t="shared" ca="1" si="126"/>
        <v>#NAME?</v>
      </c>
    </row>
    <row r="55" spans="3:44" x14ac:dyDescent="0.15">
      <c r="C55" s="2" t="e">
        <f t="shared" ref="C55:AR55" ca="1" si="127">BowlSplit(C20,$C$40)</f>
        <v>#NAME?</v>
      </c>
      <c r="D55" s="2" t="e">
        <f t="shared" ca="1" si="127"/>
        <v>#NAME?</v>
      </c>
      <c r="E55" s="2" t="e">
        <f t="shared" ca="1" si="127"/>
        <v>#NAME?</v>
      </c>
      <c r="F55" s="2" t="e">
        <f t="shared" ca="1" si="127"/>
        <v>#NAME?</v>
      </c>
      <c r="G55" s="2" t="e">
        <f t="shared" ca="1" si="127"/>
        <v>#NAME?</v>
      </c>
      <c r="H55" s="2" t="e">
        <f t="shared" ca="1" si="127"/>
        <v>#NAME?</v>
      </c>
      <c r="I55" s="2" t="e">
        <f t="shared" ca="1" si="127"/>
        <v>#NAME?</v>
      </c>
      <c r="J55" s="2" t="e">
        <f t="shared" ca="1" si="127"/>
        <v>#NAME?</v>
      </c>
      <c r="K55" s="2" t="e">
        <f t="shared" ca="1" si="127"/>
        <v>#NAME?</v>
      </c>
      <c r="L55" s="2" t="e">
        <f t="shared" ca="1" si="127"/>
        <v>#NAME?</v>
      </c>
      <c r="M55" s="2" t="e">
        <f t="shared" ca="1" si="127"/>
        <v>#NAME?</v>
      </c>
      <c r="N55" s="2" t="e">
        <f t="shared" ca="1" si="127"/>
        <v>#NAME?</v>
      </c>
      <c r="O55" s="2" t="e">
        <f t="shared" ca="1" si="127"/>
        <v>#NAME?</v>
      </c>
      <c r="P55" s="2" t="e">
        <f t="shared" ca="1" si="127"/>
        <v>#NAME?</v>
      </c>
      <c r="Q55" s="2" t="e">
        <f t="shared" ca="1" si="127"/>
        <v>#NAME?</v>
      </c>
      <c r="R55" s="2" t="e">
        <f t="shared" ca="1" si="127"/>
        <v>#NAME?</v>
      </c>
      <c r="S55" s="2" t="e">
        <f t="shared" ca="1" si="127"/>
        <v>#NAME?</v>
      </c>
      <c r="T55" s="2" t="e">
        <f t="shared" ca="1" si="127"/>
        <v>#NAME?</v>
      </c>
      <c r="U55" s="2" t="e">
        <f t="shared" ca="1" si="127"/>
        <v>#NAME?</v>
      </c>
      <c r="V55" s="2" t="e">
        <f t="shared" ca="1" si="127"/>
        <v>#NAME?</v>
      </c>
      <c r="W55" s="2" t="e">
        <f t="shared" ca="1" si="127"/>
        <v>#NAME?</v>
      </c>
      <c r="X55" s="2" t="e">
        <f t="shared" ca="1" si="127"/>
        <v>#NAME?</v>
      </c>
      <c r="Y55" s="2" t="e">
        <f t="shared" ca="1" si="127"/>
        <v>#NAME?</v>
      </c>
      <c r="Z55" s="2" t="e">
        <f t="shared" ca="1" si="127"/>
        <v>#NAME?</v>
      </c>
      <c r="AA55" s="2" t="e">
        <f t="shared" ca="1" si="127"/>
        <v>#NAME?</v>
      </c>
      <c r="AB55" s="2" t="e">
        <f t="shared" ca="1" si="127"/>
        <v>#NAME?</v>
      </c>
      <c r="AC55" s="2" t="e">
        <f t="shared" ca="1" si="127"/>
        <v>#NAME?</v>
      </c>
      <c r="AD55" s="2" t="e">
        <f t="shared" ca="1" si="127"/>
        <v>#NAME?</v>
      </c>
      <c r="AE55" s="2" t="e">
        <f t="shared" ca="1" si="127"/>
        <v>#NAME?</v>
      </c>
      <c r="AF55" s="2" t="e">
        <f t="shared" ca="1" si="127"/>
        <v>#NAME?</v>
      </c>
      <c r="AG55" s="2" t="e">
        <f t="shared" ca="1" si="127"/>
        <v>#NAME?</v>
      </c>
      <c r="AH55" s="2" t="e">
        <f t="shared" ca="1" si="127"/>
        <v>#NAME?</v>
      </c>
      <c r="AI55" s="2" t="e">
        <f t="shared" ca="1" si="127"/>
        <v>#NAME?</v>
      </c>
      <c r="AJ55" s="2" t="e">
        <f t="shared" ca="1" si="127"/>
        <v>#NAME?</v>
      </c>
      <c r="AK55" s="2" t="e">
        <f t="shared" ca="1" si="127"/>
        <v>#NAME?</v>
      </c>
      <c r="AL55" s="2" t="e">
        <f t="shared" ca="1" si="127"/>
        <v>#NAME?</v>
      </c>
      <c r="AM55" s="2" t="e">
        <f t="shared" ca="1" si="127"/>
        <v>#NAME?</v>
      </c>
      <c r="AN55" s="2" t="e">
        <f t="shared" ca="1" si="127"/>
        <v>#NAME?</v>
      </c>
      <c r="AO55" s="2" t="e">
        <f t="shared" ca="1" si="127"/>
        <v>#NAME?</v>
      </c>
      <c r="AP55" s="2" t="e">
        <f t="shared" ca="1" si="127"/>
        <v>#NAME?</v>
      </c>
      <c r="AQ55" s="2" t="e">
        <f t="shared" ca="1" si="127"/>
        <v>#NAME?</v>
      </c>
      <c r="AR55" s="2" t="e">
        <f t="shared" ca="1" si="127"/>
        <v>#NAME?</v>
      </c>
    </row>
    <row r="56" spans="3:44" x14ac:dyDescent="0.15">
      <c r="C56" s="2" t="e">
        <f t="shared" ref="C56:AR56" ca="1" si="128">BowlSplit(C21,$C$40)</f>
        <v>#NAME?</v>
      </c>
      <c r="D56" s="2" t="e">
        <f t="shared" ca="1" si="128"/>
        <v>#NAME?</v>
      </c>
      <c r="E56" s="2" t="e">
        <f t="shared" ca="1" si="128"/>
        <v>#NAME?</v>
      </c>
      <c r="F56" s="2" t="e">
        <f t="shared" ca="1" si="128"/>
        <v>#NAME?</v>
      </c>
      <c r="G56" s="2" t="e">
        <f t="shared" ca="1" si="128"/>
        <v>#NAME?</v>
      </c>
      <c r="H56" s="2" t="e">
        <f t="shared" ca="1" si="128"/>
        <v>#NAME?</v>
      </c>
      <c r="I56" s="2" t="e">
        <f t="shared" ca="1" si="128"/>
        <v>#NAME?</v>
      </c>
      <c r="J56" s="2" t="e">
        <f t="shared" ca="1" si="128"/>
        <v>#NAME?</v>
      </c>
      <c r="K56" s="2" t="e">
        <f t="shared" ca="1" si="128"/>
        <v>#NAME?</v>
      </c>
      <c r="L56" s="2" t="e">
        <f t="shared" ca="1" si="128"/>
        <v>#NAME?</v>
      </c>
      <c r="M56" s="2" t="e">
        <f t="shared" ca="1" si="128"/>
        <v>#NAME?</v>
      </c>
      <c r="N56" s="2" t="e">
        <f t="shared" ca="1" si="128"/>
        <v>#NAME?</v>
      </c>
      <c r="O56" s="2" t="e">
        <f t="shared" ca="1" si="128"/>
        <v>#NAME?</v>
      </c>
      <c r="P56" s="2" t="e">
        <f t="shared" ca="1" si="128"/>
        <v>#NAME?</v>
      </c>
      <c r="Q56" s="2" t="e">
        <f t="shared" ca="1" si="128"/>
        <v>#NAME?</v>
      </c>
      <c r="R56" s="2" t="e">
        <f t="shared" ca="1" si="128"/>
        <v>#NAME?</v>
      </c>
      <c r="S56" s="2" t="e">
        <f t="shared" ca="1" si="128"/>
        <v>#NAME?</v>
      </c>
      <c r="T56" s="2" t="e">
        <f t="shared" ca="1" si="128"/>
        <v>#NAME?</v>
      </c>
      <c r="U56" s="2" t="e">
        <f t="shared" ca="1" si="128"/>
        <v>#NAME?</v>
      </c>
      <c r="V56" s="2" t="e">
        <f t="shared" ca="1" si="128"/>
        <v>#NAME?</v>
      </c>
      <c r="W56" s="2" t="e">
        <f t="shared" ca="1" si="128"/>
        <v>#NAME?</v>
      </c>
      <c r="X56" s="2" t="e">
        <f t="shared" ca="1" si="128"/>
        <v>#NAME?</v>
      </c>
      <c r="Y56" s="2" t="e">
        <f t="shared" ca="1" si="128"/>
        <v>#NAME?</v>
      </c>
      <c r="Z56" s="2" t="e">
        <f t="shared" ca="1" si="128"/>
        <v>#NAME?</v>
      </c>
      <c r="AA56" s="2" t="e">
        <f t="shared" ca="1" si="128"/>
        <v>#NAME?</v>
      </c>
      <c r="AB56" s="2" t="e">
        <f t="shared" ca="1" si="128"/>
        <v>#NAME?</v>
      </c>
      <c r="AC56" s="2" t="e">
        <f t="shared" ca="1" si="128"/>
        <v>#NAME?</v>
      </c>
      <c r="AD56" s="2" t="e">
        <f t="shared" ca="1" si="128"/>
        <v>#NAME?</v>
      </c>
      <c r="AE56" s="2" t="e">
        <f t="shared" ca="1" si="128"/>
        <v>#NAME?</v>
      </c>
      <c r="AF56" s="2" t="e">
        <f t="shared" ca="1" si="128"/>
        <v>#NAME?</v>
      </c>
      <c r="AG56" s="2" t="e">
        <f t="shared" ca="1" si="128"/>
        <v>#NAME?</v>
      </c>
      <c r="AH56" s="2" t="e">
        <f t="shared" ca="1" si="128"/>
        <v>#NAME?</v>
      </c>
      <c r="AI56" s="2" t="e">
        <f t="shared" ca="1" si="128"/>
        <v>#NAME?</v>
      </c>
      <c r="AJ56" s="2" t="e">
        <f t="shared" ca="1" si="128"/>
        <v>#NAME?</v>
      </c>
      <c r="AK56" s="2" t="e">
        <f t="shared" ca="1" si="128"/>
        <v>#NAME?</v>
      </c>
      <c r="AL56" s="2" t="e">
        <f t="shared" ca="1" si="128"/>
        <v>#NAME?</v>
      </c>
      <c r="AM56" s="2" t="e">
        <f t="shared" ca="1" si="128"/>
        <v>#NAME?</v>
      </c>
      <c r="AN56" s="2" t="e">
        <f t="shared" ca="1" si="128"/>
        <v>#NAME?</v>
      </c>
      <c r="AO56" s="2" t="e">
        <f t="shared" ca="1" si="128"/>
        <v>#NAME?</v>
      </c>
      <c r="AP56" s="2" t="e">
        <f t="shared" ca="1" si="128"/>
        <v>#NAME?</v>
      </c>
      <c r="AQ56" s="2" t="e">
        <f t="shared" ca="1" si="128"/>
        <v>#NAME?</v>
      </c>
      <c r="AR56" s="2" t="e">
        <f t="shared" ca="1" si="128"/>
        <v>#NAME?</v>
      </c>
    </row>
    <row r="57" spans="3:44" x14ac:dyDescent="0.15">
      <c r="C57" s="2" t="e">
        <f t="shared" ref="C57:AR57" ca="1" si="129">BowlSplit(C22,$C$40)</f>
        <v>#NAME?</v>
      </c>
      <c r="D57" s="2" t="e">
        <f t="shared" ca="1" si="129"/>
        <v>#NAME?</v>
      </c>
      <c r="E57" s="2" t="e">
        <f t="shared" ca="1" si="129"/>
        <v>#NAME?</v>
      </c>
      <c r="F57" s="2" t="e">
        <f t="shared" ca="1" si="129"/>
        <v>#NAME?</v>
      </c>
      <c r="G57" s="2" t="e">
        <f t="shared" ca="1" si="129"/>
        <v>#NAME?</v>
      </c>
      <c r="H57" s="2" t="e">
        <f t="shared" ca="1" si="129"/>
        <v>#NAME?</v>
      </c>
      <c r="I57" s="2" t="e">
        <f t="shared" ca="1" si="129"/>
        <v>#NAME?</v>
      </c>
      <c r="J57" s="2" t="e">
        <f t="shared" ca="1" si="129"/>
        <v>#NAME?</v>
      </c>
      <c r="K57" s="2" t="e">
        <f t="shared" ca="1" si="129"/>
        <v>#NAME?</v>
      </c>
      <c r="L57" s="2" t="e">
        <f t="shared" ca="1" si="129"/>
        <v>#NAME?</v>
      </c>
      <c r="M57" s="2" t="e">
        <f t="shared" ca="1" si="129"/>
        <v>#NAME?</v>
      </c>
      <c r="N57" s="2" t="e">
        <f t="shared" ca="1" si="129"/>
        <v>#NAME?</v>
      </c>
      <c r="O57" s="2" t="e">
        <f t="shared" ca="1" si="129"/>
        <v>#NAME?</v>
      </c>
      <c r="P57" s="2" t="e">
        <f t="shared" ca="1" si="129"/>
        <v>#NAME?</v>
      </c>
      <c r="Q57" s="2" t="e">
        <f t="shared" ca="1" si="129"/>
        <v>#NAME?</v>
      </c>
      <c r="R57" s="2" t="e">
        <f t="shared" ca="1" si="129"/>
        <v>#NAME?</v>
      </c>
      <c r="S57" s="2" t="e">
        <f t="shared" ca="1" si="129"/>
        <v>#NAME?</v>
      </c>
      <c r="T57" s="2" t="e">
        <f t="shared" ca="1" si="129"/>
        <v>#NAME?</v>
      </c>
      <c r="U57" s="2" t="e">
        <f t="shared" ca="1" si="129"/>
        <v>#NAME?</v>
      </c>
      <c r="V57" s="2" t="e">
        <f t="shared" ca="1" si="129"/>
        <v>#NAME?</v>
      </c>
      <c r="W57" s="2" t="e">
        <f t="shared" ca="1" si="129"/>
        <v>#NAME?</v>
      </c>
      <c r="X57" s="2" t="e">
        <f t="shared" ca="1" si="129"/>
        <v>#NAME?</v>
      </c>
      <c r="Y57" s="2" t="e">
        <f t="shared" ca="1" si="129"/>
        <v>#NAME?</v>
      </c>
      <c r="Z57" s="2" t="e">
        <f t="shared" ca="1" si="129"/>
        <v>#NAME?</v>
      </c>
      <c r="AA57" s="2" t="e">
        <f t="shared" ca="1" si="129"/>
        <v>#NAME?</v>
      </c>
      <c r="AB57" s="2" t="e">
        <f t="shared" ca="1" si="129"/>
        <v>#NAME?</v>
      </c>
      <c r="AC57" s="2" t="e">
        <f t="shared" ca="1" si="129"/>
        <v>#NAME?</v>
      </c>
      <c r="AD57" s="2" t="e">
        <f t="shared" ca="1" si="129"/>
        <v>#NAME?</v>
      </c>
      <c r="AE57" s="2" t="e">
        <f t="shared" ca="1" si="129"/>
        <v>#NAME?</v>
      </c>
      <c r="AF57" s="2" t="e">
        <f t="shared" ca="1" si="129"/>
        <v>#NAME?</v>
      </c>
      <c r="AG57" s="2" t="e">
        <f t="shared" ca="1" si="129"/>
        <v>#NAME?</v>
      </c>
      <c r="AH57" s="2" t="e">
        <f t="shared" ca="1" si="129"/>
        <v>#NAME?</v>
      </c>
      <c r="AI57" s="2" t="e">
        <f t="shared" ca="1" si="129"/>
        <v>#NAME?</v>
      </c>
      <c r="AJ57" s="2" t="e">
        <f t="shared" ca="1" si="129"/>
        <v>#NAME?</v>
      </c>
      <c r="AK57" s="2" t="e">
        <f t="shared" ca="1" si="129"/>
        <v>#NAME?</v>
      </c>
      <c r="AL57" s="2" t="e">
        <f t="shared" ca="1" si="129"/>
        <v>#NAME?</v>
      </c>
      <c r="AM57" s="2" t="e">
        <f t="shared" ca="1" si="129"/>
        <v>#NAME?</v>
      </c>
      <c r="AN57" s="2" t="e">
        <f t="shared" ca="1" si="129"/>
        <v>#NAME?</v>
      </c>
      <c r="AO57" s="2" t="e">
        <f t="shared" ca="1" si="129"/>
        <v>#NAME?</v>
      </c>
      <c r="AP57" s="2" t="e">
        <f t="shared" ca="1" si="129"/>
        <v>#NAME?</v>
      </c>
      <c r="AQ57" s="2" t="e">
        <f t="shared" ca="1" si="129"/>
        <v>#NAME?</v>
      </c>
      <c r="AR57" s="2" t="e">
        <f t="shared" ca="1" si="129"/>
        <v>#NAME?</v>
      </c>
    </row>
    <row r="58" spans="3:44" x14ac:dyDescent="0.15">
      <c r="C58" s="2" t="e">
        <f t="shared" ref="C58:AR58" ca="1" si="130">BowlSplit(C23,$C$40)</f>
        <v>#NAME?</v>
      </c>
      <c r="D58" s="2" t="e">
        <f t="shared" ca="1" si="130"/>
        <v>#NAME?</v>
      </c>
      <c r="E58" s="2" t="e">
        <f t="shared" ca="1" si="130"/>
        <v>#NAME?</v>
      </c>
      <c r="F58" s="2" t="e">
        <f t="shared" ca="1" si="130"/>
        <v>#NAME?</v>
      </c>
      <c r="G58" s="2" t="e">
        <f t="shared" ca="1" si="130"/>
        <v>#NAME?</v>
      </c>
      <c r="H58" s="2" t="e">
        <f t="shared" ca="1" si="130"/>
        <v>#NAME?</v>
      </c>
      <c r="I58" s="2" t="e">
        <f t="shared" ca="1" si="130"/>
        <v>#NAME?</v>
      </c>
      <c r="J58" s="2" t="e">
        <f t="shared" ca="1" si="130"/>
        <v>#NAME?</v>
      </c>
      <c r="K58" s="2" t="e">
        <f t="shared" ca="1" si="130"/>
        <v>#NAME?</v>
      </c>
      <c r="L58" s="2" t="e">
        <f t="shared" ca="1" si="130"/>
        <v>#NAME?</v>
      </c>
      <c r="M58" s="2" t="e">
        <f t="shared" ca="1" si="130"/>
        <v>#NAME?</v>
      </c>
      <c r="N58" s="2" t="e">
        <f t="shared" ca="1" si="130"/>
        <v>#NAME?</v>
      </c>
      <c r="O58" s="2" t="e">
        <f t="shared" ca="1" si="130"/>
        <v>#NAME?</v>
      </c>
      <c r="P58" s="2" t="e">
        <f t="shared" ca="1" si="130"/>
        <v>#NAME?</v>
      </c>
      <c r="Q58" s="2" t="e">
        <f t="shared" ca="1" si="130"/>
        <v>#NAME?</v>
      </c>
      <c r="R58" s="2" t="e">
        <f t="shared" ca="1" si="130"/>
        <v>#NAME?</v>
      </c>
      <c r="S58" s="2" t="e">
        <f t="shared" ca="1" si="130"/>
        <v>#NAME?</v>
      </c>
      <c r="T58" s="2" t="e">
        <f t="shared" ca="1" si="130"/>
        <v>#NAME?</v>
      </c>
      <c r="U58" s="2" t="e">
        <f t="shared" ca="1" si="130"/>
        <v>#NAME?</v>
      </c>
      <c r="V58" s="2" t="e">
        <f t="shared" ca="1" si="130"/>
        <v>#NAME?</v>
      </c>
      <c r="W58" s="2" t="e">
        <f t="shared" ca="1" si="130"/>
        <v>#NAME?</v>
      </c>
      <c r="X58" s="2" t="e">
        <f t="shared" ca="1" si="130"/>
        <v>#NAME?</v>
      </c>
      <c r="Y58" s="2" t="e">
        <f t="shared" ca="1" si="130"/>
        <v>#NAME?</v>
      </c>
      <c r="Z58" s="2" t="e">
        <f t="shared" ca="1" si="130"/>
        <v>#NAME?</v>
      </c>
      <c r="AA58" s="2" t="e">
        <f t="shared" ca="1" si="130"/>
        <v>#NAME?</v>
      </c>
      <c r="AB58" s="2" t="e">
        <f t="shared" ca="1" si="130"/>
        <v>#NAME?</v>
      </c>
      <c r="AC58" s="2" t="e">
        <f t="shared" ca="1" si="130"/>
        <v>#NAME?</v>
      </c>
      <c r="AD58" s="2" t="e">
        <f t="shared" ca="1" si="130"/>
        <v>#NAME?</v>
      </c>
      <c r="AE58" s="2" t="e">
        <f t="shared" ca="1" si="130"/>
        <v>#NAME?</v>
      </c>
      <c r="AF58" s="2" t="e">
        <f t="shared" ca="1" si="130"/>
        <v>#NAME?</v>
      </c>
      <c r="AG58" s="2" t="e">
        <f t="shared" ca="1" si="130"/>
        <v>#NAME?</v>
      </c>
      <c r="AH58" s="2" t="e">
        <f t="shared" ca="1" si="130"/>
        <v>#NAME?</v>
      </c>
      <c r="AI58" s="2" t="e">
        <f t="shared" ca="1" si="130"/>
        <v>#NAME?</v>
      </c>
      <c r="AJ58" s="2" t="e">
        <f t="shared" ca="1" si="130"/>
        <v>#NAME?</v>
      </c>
      <c r="AK58" s="2" t="e">
        <f t="shared" ca="1" si="130"/>
        <v>#NAME?</v>
      </c>
      <c r="AL58" s="2" t="e">
        <f t="shared" ca="1" si="130"/>
        <v>#NAME?</v>
      </c>
      <c r="AM58" s="2" t="e">
        <f t="shared" ca="1" si="130"/>
        <v>#NAME?</v>
      </c>
      <c r="AN58" s="2" t="e">
        <f t="shared" ca="1" si="130"/>
        <v>#NAME?</v>
      </c>
      <c r="AO58" s="2" t="e">
        <f t="shared" ca="1" si="130"/>
        <v>#NAME?</v>
      </c>
      <c r="AP58" s="2" t="e">
        <f t="shared" ca="1" si="130"/>
        <v>#NAME?</v>
      </c>
      <c r="AQ58" s="2" t="e">
        <f t="shared" ca="1" si="130"/>
        <v>#NAME?</v>
      </c>
      <c r="AR58" s="2" t="e">
        <f t="shared" ca="1" si="130"/>
        <v>#NAME?</v>
      </c>
    </row>
    <row r="59" spans="3:44" x14ac:dyDescent="0.15">
      <c r="C59" s="2" t="e">
        <f t="shared" ref="C59:AR59" ca="1" si="131">BowlSplit(C25,$C$40)</f>
        <v>#NAME?</v>
      </c>
      <c r="D59" s="2" t="e">
        <f t="shared" ca="1" si="131"/>
        <v>#NAME?</v>
      </c>
      <c r="E59" s="2" t="e">
        <f t="shared" ca="1" si="131"/>
        <v>#NAME?</v>
      </c>
      <c r="F59" s="2" t="e">
        <f t="shared" ca="1" si="131"/>
        <v>#NAME?</v>
      </c>
      <c r="G59" s="2" t="e">
        <f t="shared" ca="1" si="131"/>
        <v>#NAME?</v>
      </c>
      <c r="H59" s="2" t="e">
        <f t="shared" ca="1" si="131"/>
        <v>#NAME?</v>
      </c>
      <c r="I59" s="2" t="e">
        <f t="shared" ca="1" si="131"/>
        <v>#NAME?</v>
      </c>
      <c r="J59" s="2" t="e">
        <f t="shared" ca="1" si="131"/>
        <v>#NAME?</v>
      </c>
      <c r="K59" s="2" t="e">
        <f t="shared" ca="1" si="131"/>
        <v>#NAME?</v>
      </c>
      <c r="L59" s="2" t="e">
        <f t="shared" ca="1" si="131"/>
        <v>#NAME?</v>
      </c>
      <c r="M59" s="2" t="e">
        <f t="shared" ca="1" si="131"/>
        <v>#NAME?</v>
      </c>
      <c r="N59" s="2" t="e">
        <f t="shared" ca="1" si="131"/>
        <v>#NAME?</v>
      </c>
      <c r="O59" s="2" t="e">
        <f t="shared" ca="1" si="131"/>
        <v>#NAME?</v>
      </c>
      <c r="P59" s="2" t="e">
        <f t="shared" ca="1" si="131"/>
        <v>#NAME?</v>
      </c>
      <c r="Q59" s="2" t="e">
        <f t="shared" ca="1" si="131"/>
        <v>#NAME?</v>
      </c>
      <c r="R59" s="2" t="e">
        <f t="shared" ca="1" si="131"/>
        <v>#NAME?</v>
      </c>
      <c r="S59" s="2" t="e">
        <f t="shared" ca="1" si="131"/>
        <v>#NAME?</v>
      </c>
      <c r="T59" s="2" t="e">
        <f t="shared" ca="1" si="131"/>
        <v>#NAME?</v>
      </c>
      <c r="U59" s="2" t="e">
        <f t="shared" ca="1" si="131"/>
        <v>#NAME?</v>
      </c>
      <c r="V59" s="2" t="e">
        <f t="shared" ca="1" si="131"/>
        <v>#NAME?</v>
      </c>
      <c r="W59" s="2" t="e">
        <f t="shared" ca="1" si="131"/>
        <v>#NAME?</v>
      </c>
      <c r="X59" s="2" t="e">
        <f t="shared" ca="1" si="131"/>
        <v>#NAME?</v>
      </c>
      <c r="Y59" s="2" t="e">
        <f t="shared" ca="1" si="131"/>
        <v>#NAME?</v>
      </c>
      <c r="Z59" s="2" t="e">
        <f t="shared" ca="1" si="131"/>
        <v>#NAME?</v>
      </c>
      <c r="AA59" s="2" t="e">
        <f t="shared" ca="1" si="131"/>
        <v>#NAME?</v>
      </c>
      <c r="AB59" s="2" t="e">
        <f t="shared" ca="1" si="131"/>
        <v>#NAME?</v>
      </c>
      <c r="AC59" s="2" t="e">
        <f t="shared" ca="1" si="131"/>
        <v>#NAME?</v>
      </c>
      <c r="AD59" s="2" t="e">
        <f t="shared" ca="1" si="131"/>
        <v>#NAME?</v>
      </c>
      <c r="AE59" s="2" t="e">
        <f t="shared" ca="1" si="131"/>
        <v>#NAME?</v>
      </c>
      <c r="AF59" s="2" t="e">
        <f t="shared" ca="1" si="131"/>
        <v>#NAME?</v>
      </c>
      <c r="AG59" s="2" t="e">
        <f t="shared" ca="1" si="131"/>
        <v>#NAME?</v>
      </c>
      <c r="AH59" s="2" t="e">
        <f t="shared" ca="1" si="131"/>
        <v>#NAME?</v>
      </c>
      <c r="AI59" s="2" t="e">
        <f t="shared" ca="1" si="131"/>
        <v>#NAME?</v>
      </c>
      <c r="AJ59" s="2" t="e">
        <f t="shared" ca="1" si="131"/>
        <v>#NAME?</v>
      </c>
      <c r="AK59" s="2" t="e">
        <f t="shared" ca="1" si="131"/>
        <v>#NAME?</v>
      </c>
      <c r="AL59" s="2" t="e">
        <f t="shared" ca="1" si="131"/>
        <v>#NAME?</v>
      </c>
      <c r="AM59" s="2" t="e">
        <f t="shared" ca="1" si="131"/>
        <v>#NAME?</v>
      </c>
      <c r="AN59" s="2" t="e">
        <f t="shared" ca="1" si="131"/>
        <v>#NAME?</v>
      </c>
      <c r="AO59" s="2" t="e">
        <f t="shared" ca="1" si="131"/>
        <v>#NAME?</v>
      </c>
      <c r="AP59" s="2" t="e">
        <f t="shared" ca="1" si="131"/>
        <v>#NAME?</v>
      </c>
      <c r="AQ59" s="2" t="e">
        <f t="shared" ca="1" si="131"/>
        <v>#NAME?</v>
      </c>
      <c r="AR59" s="2" t="e">
        <f t="shared" ca="1" si="131"/>
        <v>#NAME?</v>
      </c>
    </row>
    <row r="60" spans="3:44" x14ac:dyDescent="0.15">
      <c r="C60" s="2" t="e">
        <f t="shared" ref="C60:AR60" ca="1" si="132">BowlSplit(C26,$C$40)</f>
        <v>#NAME?</v>
      </c>
      <c r="D60" s="2" t="e">
        <f t="shared" ca="1" si="132"/>
        <v>#NAME?</v>
      </c>
      <c r="E60" s="2" t="e">
        <f t="shared" ca="1" si="132"/>
        <v>#NAME?</v>
      </c>
      <c r="F60" s="2" t="e">
        <f t="shared" ca="1" si="132"/>
        <v>#NAME?</v>
      </c>
      <c r="G60" s="2" t="e">
        <f t="shared" ca="1" si="132"/>
        <v>#NAME?</v>
      </c>
      <c r="H60" s="2" t="e">
        <f t="shared" ca="1" si="132"/>
        <v>#NAME?</v>
      </c>
      <c r="I60" s="2" t="e">
        <f t="shared" ca="1" si="132"/>
        <v>#NAME?</v>
      </c>
      <c r="J60" s="2" t="e">
        <f t="shared" ca="1" si="132"/>
        <v>#NAME?</v>
      </c>
      <c r="K60" s="2" t="e">
        <f t="shared" ca="1" si="132"/>
        <v>#NAME?</v>
      </c>
      <c r="L60" s="2" t="e">
        <f t="shared" ca="1" si="132"/>
        <v>#NAME?</v>
      </c>
      <c r="M60" s="2" t="e">
        <f t="shared" ca="1" si="132"/>
        <v>#NAME?</v>
      </c>
      <c r="N60" s="2" t="e">
        <f t="shared" ca="1" si="132"/>
        <v>#NAME?</v>
      </c>
      <c r="O60" s="2" t="e">
        <f t="shared" ca="1" si="132"/>
        <v>#NAME?</v>
      </c>
      <c r="P60" s="2" t="e">
        <f t="shared" ca="1" si="132"/>
        <v>#NAME?</v>
      </c>
      <c r="Q60" s="2" t="e">
        <f t="shared" ca="1" si="132"/>
        <v>#NAME?</v>
      </c>
      <c r="R60" s="2" t="e">
        <f t="shared" ca="1" si="132"/>
        <v>#NAME?</v>
      </c>
      <c r="S60" s="2" t="e">
        <f t="shared" ca="1" si="132"/>
        <v>#NAME?</v>
      </c>
      <c r="T60" s="2" t="e">
        <f t="shared" ca="1" si="132"/>
        <v>#NAME?</v>
      </c>
      <c r="U60" s="2" t="e">
        <f t="shared" ca="1" si="132"/>
        <v>#NAME?</v>
      </c>
      <c r="V60" s="2" t="e">
        <f t="shared" ca="1" si="132"/>
        <v>#NAME?</v>
      </c>
      <c r="W60" s="2" t="e">
        <f t="shared" ca="1" si="132"/>
        <v>#NAME?</v>
      </c>
      <c r="X60" s="2" t="e">
        <f t="shared" ca="1" si="132"/>
        <v>#NAME?</v>
      </c>
      <c r="Y60" s="2" t="e">
        <f t="shared" ca="1" si="132"/>
        <v>#NAME?</v>
      </c>
      <c r="Z60" s="2" t="e">
        <f t="shared" ca="1" si="132"/>
        <v>#NAME?</v>
      </c>
      <c r="AA60" s="2" t="e">
        <f t="shared" ca="1" si="132"/>
        <v>#NAME?</v>
      </c>
      <c r="AB60" s="2" t="e">
        <f t="shared" ca="1" si="132"/>
        <v>#NAME?</v>
      </c>
      <c r="AC60" s="2" t="e">
        <f t="shared" ca="1" si="132"/>
        <v>#NAME?</v>
      </c>
      <c r="AD60" s="2" t="e">
        <f t="shared" ca="1" si="132"/>
        <v>#NAME?</v>
      </c>
      <c r="AE60" s="2" t="e">
        <f t="shared" ca="1" si="132"/>
        <v>#NAME?</v>
      </c>
      <c r="AF60" s="2" t="e">
        <f t="shared" ca="1" si="132"/>
        <v>#NAME?</v>
      </c>
      <c r="AG60" s="2" t="e">
        <f t="shared" ca="1" si="132"/>
        <v>#NAME?</v>
      </c>
      <c r="AH60" s="2" t="e">
        <f t="shared" ca="1" si="132"/>
        <v>#NAME?</v>
      </c>
      <c r="AI60" s="2" t="e">
        <f t="shared" ca="1" si="132"/>
        <v>#NAME?</v>
      </c>
      <c r="AJ60" s="2" t="e">
        <f t="shared" ca="1" si="132"/>
        <v>#NAME?</v>
      </c>
      <c r="AK60" s="2" t="e">
        <f t="shared" ca="1" si="132"/>
        <v>#NAME?</v>
      </c>
      <c r="AL60" s="2" t="e">
        <f t="shared" ca="1" si="132"/>
        <v>#NAME?</v>
      </c>
      <c r="AM60" s="2" t="e">
        <f t="shared" ca="1" si="132"/>
        <v>#NAME?</v>
      </c>
      <c r="AN60" s="2" t="e">
        <f t="shared" ca="1" si="132"/>
        <v>#NAME?</v>
      </c>
      <c r="AO60" s="2" t="e">
        <f t="shared" ca="1" si="132"/>
        <v>#NAME?</v>
      </c>
      <c r="AP60" s="2" t="e">
        <f t="shared" ca="1" si="132"/>
        <v>#NAME?</v>
      </c>
      <c r="AQ60" s="2" t="e">
        <f t="shared" ca="1" si="132"/>
        <v>#NAME?</v>
      </c>
      <c r="AR60" s="2" t="e">
        <f t="shared" ca="1" si="132"/>
        <v>#NAME?</v>
      </c>
    </row>
    <row r="61" spans="3:44" x14ac:dyDescent="0.15">
      <c r="C61" s="2" t="e">
        <f t="shared" ref="C61:AR61" ca="1" si="133">BowlSplit(C27,$C$40)</f>
        <v>#NAME?</v>
      </c>
      <c r="D61" s="2" t="e">
        <f t="shared" ca="1" si="133"/>
        <v>#NAME?</v>
      </c>
      <c r="E61" s="2" t="e">
        <f t="shared" ca="1" si="133"/>
        <v>#NAME?</v>
      </c>
      <c r="F61" s="2" t="e">
        <f t="shared" ca="1" si="133"/>
        <v>#NAME?</v>
      </c>
      <c r="G61" s="2" t="e">
        <f t="shared" ca="1" si="133"/>
        <v>#NAME?</v>
      </c>
      <c r="H61" s="2" t="e">
        <f t="shared" ca="1" si="133"/>
        <v>#NAME?</v>
      </c>
      <c r="I61" s="2" t="e">
        <f t="shared" ca="1" si="133"/>
        <v>#NAME?</v>
      </c>
      <c r="J61" s="2" t="e">
        <f t="shared" ca="1" si="133"/>
        <v>#NAME?</v>
      </c>
      <c r="K61" s="2" t="e">
        <f t="shared" ca="1" si="133"/>
        <v>#NAME?</v>
      </c>
      <c r="L61" s="2" t="e">
        <f t="shared" ca="1" si="133"/>
        <v>#NAME?</v>
      </c>
      <c r="M61" s="2" t="e">
        <f t="shared" ca="1" si="133"/>
        <v>#NAME?</v>
      </c>
      <c r="N61" s="2" t="e">
        <f t="shared" ca="1" si="133"/>
        <v>#NAME?</v>
      </c>
      <c r="O61" s="2" t="e">
        <f t="shared" ca="1" si="133"/>
        <v>#NAME?</v>
      </c>
      <c r="P61" s="2" t="e">
        <f t="shared" ca="1" si="133"/>
        <v>#NAME?</v>
      </c>
      <c r="Q61" s="2" t="e">
        <f t="shared" ca="1" si="133"/>
        <v>#NAME?</v>
      </c>
      <c r="R61" s="2" t="e">
        <f t="shared" ca="1" si="133"/>
        <v>#NAME?</v>
      </c>
      <c r="S61" s="2" t="e">
        <f t="shared" ca="1" si="133"/>
        <v>#NAME?</v>
      </c>
      <c r="T61" s="2" t="e">
        <f t="shared" ca="1" si="133"/>
        <v>#NAME?</v>
      </c>
      <c r="U61" s="2" t="e">
        <f t="shared" ca="1" si="133"/>
        <v>#NAME?</v>
      </c>
      <c r="V61" s="2" t="e">
        <f t="shared" ca="1" si="133"/>
        <v>#NAME?</v>
      </c>
      <c r="W61" s="2" t="e">
        <f t="shared" ca="1" si="133"/>
        <v>#NAME?</v>
      </c>
      <c r="X61" s="2" t="e">
        <f t="shared" ca="1" si="133"/>
        <v>#NAME?</v>
      </c>
      <c r="Y61" s="2" t="e">
        <f t="shared" ca="1" si="133"/>
        <v>#NAME?</v>
      </c>
      <c r="Z61" s="2" t="e">
        <f t="shared" ca="1" si="133"/>
        <v>#NAME?</v>
      </c>
      <c r="AA61" s="2" t="e">
        <f t="shared" ca="1" si="133"/>
        <v>#NAME?</v>
      </c>
      <c r="AB61" s="2" t="e">
        <f t="shared" ca="1" si="133"/>
        <v>#NAME?</v>
      </c>
      <c r="AC61" s="2" t="e">
        <f t="shared" ca="1" si="133"/>
        <v>#NAME?</v>
      </c>
      <c r="AD61" s="2" t="e">
        <f t="shared" ca="1" si="133"/>
        <v>#NAME?</v>
      </c>
      <c r="AE61" s="2" t="e">
        <f t="shared" ca="1" si="133"/>
        <v>#NAME?</v>
      </c>
      <c r="AF61" s="2" t="e">
        <f t="shared" ca="1" si="133"/>
        <v>#NAME?</v>
      </c>
      <c r="AG61" s="2" t="e">
        <f t="shared" ca="1" si="133"/>
        <v>#NAME?</v>
      </c>
      <c r="AH61" s="2" t="e">
        <f t="shared" ca="1" si="133"/>
        <v>#NAME?</v>
      </c>
      <c r="AI61" s="2" t="e">
        <f t="shared" ca="1" si="133"/>
        <v>#NAME?</v>
      </c>
      <c r="AJ61" s="2" t="e">
        <f t="shared" ca="1" si="133"/>
        <v>#NAME?</v>
      </c>
      <c r="AK61" s="2" t="e">
        <f t="shared" ca="1" si="133"/>
        <v>#NAME?</v>
      </c>
      <c r="AL61" s="2" t="e">
        <f t="shared" ca="1" si="133"/>
        <v>#NAME?</v>
      </c>
      <c r="AM61" s="2" t="e">
        <f t="shared" ca="1" si="133"/>
        <v>#NAME?</v>
      </c>
      <c r="AN61" s="2" t="e">
        <f t="shared" ca="1" si="133"/>
        <v>#NAME?</v>
      </c>
      <c r="AO61" s="2" t="e">
        <f t="shared" ca="1" si="133"/>
        <v>#NAME?</v>
      </c>
      <c r="AP61" s="2" t="e">
        <f t="shared" ca="1" si="133"/>
        <v>#NAME?</v>
      </c>
      <c r="AQ61" s="2" t="e">
        <f t="shared" ca="1" si="133"/>
        <v>#NAME?</v>
      </c>
      <c r="AR61" s="2" t="e">
        <f t="shared" ca="1" si="133"/>
        <v>#NAME?</v>
      </c>
    </row>
    <row r="62" spans="3:44" x14ac:dyDescent="0.15">
      <c r="C62" s="2" t="e">
        <f t="shared" ref="C62:AR62" ca="1" si="134">BowlSplit(C28,$C$40)</f>
        <v>#NAME?</v>
      </c>
      <c r="D62" s="2" t="e">
        <f t="shared" ca="1" si="134"/>
        <v>#NAME?</v>
      </c>
      <c r="E62" s="2" t="e">
        <f t="shared" ca="1" si="134"/>
        <v>#NAME?</v>
      </c>
      <c r="F62" s="2" t="e">
        <f t="shared" ca="1" si="134"/>
        <v>#NAME?</v>
      </c>
      <c r="G62" s="2" t="e">
        <f t="shared" ca="1" si="134"/>
        <v>#NAME?</v>
      </c>
      <c r="H62" s="2" t="e">
        <f t="shared" ca="1" si="134"/>
        <v>#NAME?</v>
      </c>
      <c r="I62" s="2" t="e">
        <f t="shared" ca="1" si="134"/>
        <v>#NAME?</v>
      </c>
      <c r="J62" s="2" t="e">
        <f t="shared" ca="1" si="134"/>
        <v>#NAME?</v>
      </c>
      <c r="K62" s="2" t="e">
        <f t="shared" ca="1" si="134"/>
        <v>#NAME?</v>
      </c>
      <c r="L62" s="2" t="e">
        <f t="shared" ca="1" si="134"/>
        <v>#NAME?</v>
      </c>
      <c r="M62" s="2" t="e">
        <f t="shared" ca="1" si="134"/>
        <v>#NAME?</v>
      </c>
      <c r="N62" s="2" t="e">
        <f t="shared" ca="1" si="134"/>
        <v>#NAME?</v>
      </c>
      <c r="O62" s="2" t="e">
        <f t="shared" ca="1" si="134"/>
        <v>#NAME?</v>
      </c>
      <c r="P62" s="2" t="e">
        <f t="shared" ca="1" si="134"/>
        <v>#NAME?</v>
      </c>
      <c r="Q62" s="2" t="e">
        <f t="shared" ca="1" si="134"/>
        <v>#NAME?</v>
      </c>
      <c r="R62" s="2" t="e">
        <f t="shared" ca="1" si="134"/>
        <v>#NAME?</v>
      </c>
      <c r="S62" s="2" t="e">
        <f t="shared" ca="1" si="134"/>
        <v>#NAME?</v>
      </c>
      <c r="T62" s="2" t="e">
        <f t="shared" ca="1" si="134"/>
        <v>#NAME?</v>
      </c>
      <c r="U62" s="2" t="e">
        <f t="shared" ca="1" si="134"/>
        <v>#NAME?</v>
      </c>
      <c r="V62" s="2" t="e">
        <f t="shared" ca="1" si="134"/>
        <v>#NAME?</v>
      </c>
      <c r="W62" s="2" t="e">
        <f t="shared" ca="1" si="134"/>
        <v>#NAME?</v>
      </c>
      <c r="X62" s="2" t="e">
        <f t="shared" ca="1" si="134"/>
        <v>#NAME?</v>
      </c>
      <c r="Y62" s="2" t="e">
        <f t="shared" ca="1" si="134"/>
        <v>#NAME?</v>
      </c>
      <c r="Z62" s="2" t="e">
        <f t="shared" ca="1" si="134"/>
        <v>#NAME?</v>
      </c>
      <c r="AA62" s="2" t="e">
        <f t="shared" ca="1" si="134"/>
        <v>#NAME?</v>
      </c>
      <c r="AB62" s="2" t="e">
        <f t="shared" ca="1" si="134"/>
        <v>#NAME?</v>
      </c>
      <c r="AC62" s="2" t="e">
        <f t="shared" ca="1" si="134"/>
        <v>#NAME?</v>
      </c>
      <c r="AD62" s="2" t="e">
        <f t="shared" ca="1" si="134"/>
        <v>#NAME?</v>
      </c>
      <c r="AE62" s="2" t="e">
        <f t="shared" ca="1" si="134"/>
        <v>#NAME?</v>
      </c>
      <c r="AF62" s="2" t="e">
        <f t="shared" ca="1" si="134"/>
        <v>#NAME?</v>
      </c>
      <c r="AG62" s="2" t="e">
        <f t="shared" ca="1" si="134"/>
        <v>#NAME?</v>
      </c>
      <c r="AH62" s="2" t="e">
        <f t="shared" ca="1" si="134"/>
        <v>#NAME?</v>
      </c>
      <c r="AI62" s="2" t="e">
        <f t="shared" ca="1" si="134"/>
        <v>#NAME?</v>
      </c>
      <c r="AJ62" s="2" t="e">
        <f t="shared" ca="1" si="134"/>
        <v>#NAME?</v>
      </c>
      <c r="AK62" s="2" t="e">
        <f t="shared" ca="1" si="134"/>
        <v>#NAME?</v>
      </c>
      <c r="AL62" s="2" t="e">
        <f t="shared" ca="1" si="134"/>
        <v>#NAME?</v>
      </c>
      <c r="AM62" s="2" t="e">
        <f t="shared" ca="1" si="134"/>
        <v>#NAME?</v>
      </c>
      <c r="AN62" s="2" t="e">
        <f t="shared" ca="1" si="134"/>
        <v>#NAME?</v>
      </c>
      <c r="AO62" s="2" t="e">
        <f t="shared" ca="1" si="134"/>
        <v>#NAME?</v>
      </c>
      <c r="AP62" s="2" t="e">
        <f t="shared" ca="1" si="134"/>
        <v>#NAME?</v>
      </c>
      <c r="AQ62" s="2" t="e">
        <f t="shared" ca="1" si="134"/>
        <v>#NAME?</v>
      </c>
      <c r="AR62" s="2" t="e">
        <f t="shared" ca="1" si="134"/>
        <v>#NAME?</v>
      </c>
    </row>
    <row r="63" spans="3:44" x14ac:dyDescent="0.15">
      <c r="C63" s="2" t="e">
        <f t="shared" ref="C63:AR63" ca="1" si="135">BowlSplit(C29,$C$40)</f>
        <v>#NAME?</v>
      </c>
      <c r="D63" s="2" t="e">
        <f t="shared" ca="1" si="135"/>
        <v>#NAME?</v>
      </c>
      <c r="E63" s="2" t="e">
        <f t="shared" ca="1" si="135"/>
        <v>#NAME?</v>
      </c>
      <c r="F63" s="2" t="e">
        <f t="shared" ca="1" si="135"/>
        <v>#NAME?</v>
      </c>
      <c r="G63" s="2" t="e">
        <f t="shared" ca="1" si="135"/>
        <v>#NAME?</v>
      </c>
      <c r="H63" s="2" t="e">
        <f t="shared" ca="1" si="135"/>
        <v>#NAME?</v>
      </c>
      <c r="I63" s="2" t="e">
        <f t="shared" ca="1" si="135"/>
        <v>#NAME?</v>
      </c>
      <c r="J63" s="2" t="e">
        <f t="shared" ca="1" si="135"/>
        <v>#NAME?</v>
      </c>
      <c r="K63" s="2" t="e">
        <f t="shared" ca="1" si="135"/>
        <v>#NAME?</v>
      </c>
      <c r="L63" s="2" t="e">
        <f t="shared" ca="1" si="135"/>
        <v>#NAME?</v>
      </c>
      <c r="M63" s="2" t="e">
        <f t="shared" ca="1" si="135"/>
        <v>#NAME?</v>
      </c>
      <c r="N63" s="2" t="e">
        <f t="shared" ca="1" si="135"/>
        <v>#NAME?</v>
      </c>
      <c r="O63" s="2" t="e">
        <f t="shared" ca="1" si="135"/>
        <v>#NAME?</v>
      </c>
      <c r="P63" s="2" t="e">
        <f t="shared" ca="1" si="135"/>
        <v>#NAME?</v>
      </c>
      <c r="Q63" s="2" t="e">
        <f t="shared" ca="1" si="135"/>
        <v>#NAME?</v>
      </c>
      <c r="R63" s="2" t="e">
        <f t="shared" ca="1" si="135"/>
        <v>#NAME?</v>
      </c>
      <c r="S63" s="2" t="e">
        <f t="shared" ca="1" si="135"/>
        <v>#NAME?</v>
      </c>
      <c r="T63" s="2" t="e">
        <f t="shared" ca="1" si="135"/>
        <v>#NAME?</v>
      </c>
      <c r="U63" s="2" t="e">
        <f t="shared" ca="1" si="135"/>
        <v>#NAME?</v>
      </c>
      <c r="V63" s="2" t="e">
        <f t="shared" ca="1" si="135"/>
        <v>#NAME?</v>
      </c>
      <c r="W63" s="2" t="e">
        <f t="shared" ca="1" si="135"/>
        <v>#NAME?</v>
      </c>
      <c r="X63" s="2" t="e">
        <f t="shared" ca="1" si="135"/>
        <v>#NAME?</v>
      </c>
      <c r="Y63" s="2" t="e">
        <f t="shared" ca="1" si="135"/>
        <v>#NAME?</v>
      </c>
      <c r="Z63" s="2" t="e">
        <f t="shared" ca="1" si="135"/>
        <v>#NAME?</v>
      </c>
      <c r="AA63" s="2" t="e">
        <f t="shared" ca="1" si="135"/>
        <v>#NAME?</v>
      </c>
      <c r="AB63" s="2" t="e">
        <f t="shared" ca="1" si="135"/>
        <v>#NAME?</v>
      </c>
      <c r="AC63" s="2" t="e">
        <f t="shared" ca="1" si="135"/>
        <v>#NAME?</v>
      </c>
      <c r="AD63" s="2" t="e">
        <f t="shared" ca="1" si="135"/>
        <v>#NAME?</v>
      </c>
      <c r="AE63" s="2" t="e">
        <f t="shared" ca="1" si="135"/>
        <v>#NAME?</v>
      </c>
      <c r="AF63" s="2" t="e">
        <f t="shared" ca="1" si="135"/>
        <v>#NAME?</v>
      </c>
      <c r="AG63" s="2" t="e">
        <f t="shared" ca="1" si="135"/>
        <v>#NAME?</v>
      </c>
      <c r="AH63" s="2" t="e">
        <f t="shared" ca="1" si="135"/>
        <v>#NAME?</v>
      </c>
      <c r="AI63" s="2" t="e">
        <f t="shared" ca="1" si="135"/>
        <v>#NAME?</v>
      </c>
      <c r="AJ63" s="2" t="e">
        <f t="shared" ca="1" si="135"/>
        <v>#NAME?</v>
      </c>
      <c r="AK63" s="2" t="e">
        <f t="shared" ca="1" si="135"/>
        <v>#NAME?</v>
      </c>
      <c r="AL63" s="2" t="e">
        <f t="shared" ca="1" si="135"/>
        <v>#NAME?</v>
      </c>
      <c r="AM63" s="2" t="e">
        <f t="shared" ca="1" si="135"/>
        <v>#NAME?</v>
      </c>
      <c r="AN63" s="2" t="e">
        <f t="shared" ca="1" si="135"/>
        <v>#NAME?</v>
      </c>
      <c r="AO63" s="2" t="e">
        <f t="shared" ca="1" si="135"/>
        <v>#NAME?</v>
      </c>
      <c r="AP63" s="2" t="e">
        <f t="shared" ca="1" si="135"/>
        <v>#NAME?</v>
      </c>
      <c r="AQ63" s="2" t="e">
        <f t="shared" ca="1" si="135"/>
        <v>#NAME?</v>
      </c>
      <c r="AR63" s="2" t="e">
        <f t="shared" ca="1" si="135"/>
        <v>#NAME?</v>
      </c>
    </row>
    <row r="64" spans="3:44" x14ac:dyDescent="0.15">
      <c r="C64" s="2" t="e">
        <f t="shared" ref="C64:AR64" ca="1" si="136">BowlSplit(C30,$C$40)</f>
        <v>#NAME?</v>
      </c>
      <c r="D64" s="2" t="e">
        <f t="shared" ca="1" si="136"/>
        <v>#NAME?</v>
      </c>
      <c r="E64" s="2" t="e">
        <f t="shared" ca="1" si="136"/>
        <v>#NAME?</v>
      </c>
      <c r="F64" s="2" t="e">
        <f t="shared" ca="1" si="136"/>
        <v>#NAME?</v>
      </c>
      <c r="G64" s="2" t="e">
        <f t="shared" ca="1" si="136"/>
        <v>#NAME?</v>
      </c>
      <c r="H64" s="2" t="e">
        <f t="shared" ca="1" si="136"/>
        <v>#NAME?</v>
      </c>
      <c r="I64" s="2" t="e">
        <f t="shared" ca="1" si="136"/>
        <v>#NAME?</v>
      </c>
      <c r="J64" s="2" t="e">
        <f t="shared" ca="1" si="136"/>
        <v>#NAME?</v>
      </c>
      <c r="K64" s="2" t="e">
        <f t="shared" ca="1" si="136"/>
        <v>#NAME?</v>
      </c>
      <c r="L64" s="2" t="e">
        <f t="shared" ca="1" si="136"/>
        <v>#NAME?</v>
      </c>
      <c r="M64" s="2" t="e">
        <f t="shared" ca="1" si="136"/>
        <v>#NAME?</v>
      </c>
      <c r="N64" s="2" t="e">
        <f t="shared" ca="1" si="136"/>
        <v>#NAME?</v>
      </c>
      <c r="O64" s="2" t="e">
        <f t="shared" ca="1" si="136"/>
        <v>#NAME?</v>
      </c>
      <c r="P64" s="2" t="e">
        <f t="shared" ca="1" si="136"/>
        <v>#NAME?</v>
      </c>
      <c r="Q64" s="2" t="e">
        <f t="shared" ca="1" si="136"/>
        <v>#NAME?</v>
      </c>
      <c r="R64" s="2" t="e">
        <f t="shared" ca="1" si="136"/>
        <v>#NAME?</v>
      </c>
      <c r="S64" s="2" t="e">
        <f t="shared" ca="1" si="136"/>
        <v>#NAME?</v>
      </c>
      <c r="T64" s="2" t="e">
        <f t="shared" ca="1" si="136"/>
        <v>#NAME?</v>
      </c>
      <c r="U64" s="2" t="e">
        <f t="shared" ca="1" si="136"/>
        <v>#NAME?</v>
      </c>
      <c r="V64" s="2" t="e">
        <f t="shared" ca="1" si="136"/>
        <v>#NAME?</v>
      </c>
      <c r="W64" s="2" t="e">
        <f t="shared" ca="1" si="136"/>
        <v>#NAME?</v>
      </c>
      <c r="X64" s="2" t="e">
        <f t="shared" ca="1" si="136"/>
        <v>#NAME?</v>
      </c>
      <c r="Y64" s="2" t="e">
        <f t="shared" ca="1" si="136"/>
        <v>#NAME?</v>
      </c>
      <c r="Z64" s="2" t="e">
        <f t="shared" ca="1" si="136"/>
        <v>#NAME?</v>
      </c>
      <c r="AA64" s="2" t="e">
        <f t="shared" ca="1" si="136"/>
        <v>#NAME?</v>
      </c>
      <c r="AB64" s="2" t="e">
        <f t="shared" ca="1" si="136"/>
        <v>#NAME?</v>
      </c>
      <c r="AC64" s="2" t="e">
        <f t="shared" ca="1" si="136"/>
        <v>#NAME?</v>
      </c>
      <c r="AD64" s="2" t="e">
        <f t="shared" ca="1" si="136"/>
        <v>#NAME?</v>
      </c>
      <c r="AE64" s="2" t="e">
        <f t="shared" ca="1" si="136"/>
        <v>#NAME?</v>
      </c>
      <c r="AF64" s="2" t="e">
        <f t="shared" ca="1" si="136"/>
        <v>#NAME?</v>
      </c>
      <c r="AG64" s="2" t="e">
        <f t="shared" ca="1" si="136"/>
        <v>#NAME?</v>
      </c>
      <c r="AH64" s="2" t="e">
        <f t="shared" ca="1" si="136"/>
        <v>#NAME?</v>
      </c>
      <c r="AI64" s="2" t="e">
        <f t="shared" ca="1" si="136"/>
        <v>#NAME?</v>
      </c>
      <c r="AJ64" s="2" t="e">
        <f t="shared" ca="1" si="136"/>
        <v>#NAME?</v>
      </c>
      <c r="AK64" s="2" t="e">
        <f t="shared" ca="1" si="136"/>
        <v>#NAME?</v>
      </c>
      <c r="AL64" s="2" t="e">
        <f t="shared" ca="1" si="136"/>
        <v>#NAME?</v>
      </c>
      <c r="AM64" s="2" t="e">
        <f t="shared" ca="1" si="136"/>
        <v>#NAME?</v>
      </c>
      <c r="AN64" s="2" t="e">
        <f t="shared" ca="1" si="136"/>
        <v>#NAME?</v>
      </c>
      <c r="AO64" s="2" t="e">
        <f t="shared" ca="1" si="136"/>
        <v>#NAME?</v>
      </c>
      <c r="AP64" s="2" t="e">
        <f t="shared" ca="1" si="136"/>
        <v>#NAME?</v>
      </c>
      <c r="AQ64" s="2" t="e">
        <f t="shared" ca="1" si="136"/>
        <v>#NAME?</v>
      </c>
      <c r="AR64" s="2" t="e">
        <f t="shared" ca="1" si="136"/>
        <v>#NAME?</v>
      </c>
    </row>
    <row r="65" spans="1:44" x14ac:dyDescent="0.15">
      <c r="C65" s="2" t="e">
        <f t="shared" ref="C65:AR65" ca="1" si="137">BowlSplit(C31,$C$40)</f>
        <v>#NAME?</v>
      </c>
      <c r="D65" s="2" t="e">
        <f t="shared" ca="1" si="137"/>
        <v>#NAME?</v>
      </c>
      <c r="E65" s="2" t="e">
        <f t="shared" ca="1" si="137"/>
        <v>#NAME?</v>
      </c>
      <c r="F65" s="2" t="e">
        <f t="shared" ca="1" si="137"/>
        <v>#NAME?</v>
      </c>
      <c r="G65" s="2" t="e">
        <f t="shared" ca="1" si="137"/>
        <v>#NAME?</v>
      </c>
      <c r="H65" s="2" t="e">
        <f t="shared" ca="1" si="137"/>
        <v>#NAME?</v>
      </c>
      <c r="I65" s="2" t="e">
        <f t="shared" ca="1" si="137"/>
        <v>#NAME?</v>
      </c>
      <c r="J65" s="2" t="e">
        <f t="shared" ca="1" si="137"/>
        <v>#NAME?</v>
      </c>
      <c r="K65" s="2" t="e">
        <f t="shared" ca="1" si="137"/>
        <v>#NAME?</v>
      </c>
      <c r="L65" s="2" t="e">
        <f t="shared" ca="1" si="137"/>
        <v>#NAME?</v>
      </c>
      <c r="M65" s="2" t="e">
        <f t="shared" ca="1" si="137"/>
        <v>#NAME?</v>
      </c>
      <c r="N65" s="2" t="e">
        <f t="shared" ca="1" si="137"/>
        <v>#NAME?</v>
      </c>
      <c r="O65" s="2" t="e">
        <f t="shared" ca="1" si="137"/>
        <v>#NAME?</v>
      </c>
      <c r="P65" s="2" t="e">
        <f t="shared" ca="1" si="137"/>
        <v>#NAME?</v>
      </c>
      <c r="Q65" s="2" t="e">
        <f t="shared" ca="1" si="137"/>
        <v>#NAME?</v>
      </c>
      <c r="R65" s="2" t="e">
        <f t="shared" ca="1" si="137"/>
        <v>#NAME?</v>
      </c>
      <c r="S65" s="2" t="e">
        <f t="shared" ca="1" si="137"/>
        <v>#NAME?</v>
      </c>
      <c r="T65" s="2" t="e">
        <f t="shared" ca="1" si="137"/>
        <v>#NAME?</v>
      </c>
      <c r="U65" s="2" t="e">
        <f t="shared" ca="1" si="137"/>
        <v>#NAME?</v>
      </c>
      <c r="V65" s="2" t="e">
        <f t="shared" ca="1" si="137"/>
        <v>#NAME?</v>
      </c>
      <c r="W65" s="2" t="e">
        <f t="shared" ca="1" si="137"/>
        <v>#NAME?</v>
      </c>
      <c r="X65" s="2" t="e">
        <f t="shared" ca="1" si="137"/>
        <v>#NAME?</v>
      </c>
      <c r="Y65" s="2" t="e">
        <f t="shared" ca="1" si="137"/>
        <v>#NAME?</v>
      </c>
      <c r="Z65" s="2" t="e">
        <f t="shared" ca="1" si="137"/>
        <v>#NAME?</v>
      </c>
      <c r="AA65" s="2" t="e">
        <f t="shared" ca="1" si="137"/>
        <v>#NAME?</v>
      </c>
      <c r="AB65" s="2" t="e">
        <f t="shared" ca="1" si="137"/>
        <v>#NAME?</v>
      </c>
      <c r="AC65" s="2" t="e">
        <f t="shared" ca="1" si="137"/>
        <v>#NAME?</v>
      </c>
      <c r="AD65" s="2" t="e">
        <f t="shared" ca="1" si="137"/>
        <v>#NAME?</v>
      </c>
      <c r="AE65" s="2" t="e">
        <f t="shared" ca="1" si="137"/>
        <v>#NAME?</v>
      </c>
      <c r="AF65" s="2" t="e">
        <f t="shared" ca="1" si="137"/>
        <v>#NAME?</v>
      </c>
      <c r="AG65" s="2" t="e">
        <f t="shared" ca="1" si="137"/>
        <v>#NAME?</v>
      </c>
      <c r="AH65" s="2" t="e">
        <f t="shared" ca="1" si="137"/>
        <v>#NAME?</v>
      </c>
      <c r="AI65" s="2" t="e">
        <f t="shared" ca="1" si="137"/>
        <v>#NAME?</v>
      </c>
      <c r="AJ65" s="2" t="e">
        <f t="shared" ca="1" si="137"/>
        <v>#NAME?</v>
      </c>
      <c r="AK65" s="2" t="e">
        <f t="shared" ca="1" si="137"/>
        <v>#NAME?</v>
      </c>
      <c r="AL65" s="2" t="e">
        <f t="shared" ca="1" si="137"/>
        <v>#NAME?</v>
      </c>
      <c r="AM65" s="2" t="e">
        <f t="shared" ca="1" si="137"/>
        <v>#NAME?</v>
      </c>
      <c r="AN65" s="2" t="e">
        <f t="shared" ca="1" si="137"/>
        <v>#NAME?</v>
      </c>
      <c r="AO65" s="2" t="e">
        <f t="shared" ca="1" si="137"/>
        <v>#NAME?</v>
      </c>
      <c r="AP65" s="2" t="e">
        <f t="shared" ca="1" si="137"/>
        <v>#NAME?</v>
      </c>
      <c r="AQ65" s="2" t="e">
        <f t="shared" ca="1" si="137"/>
        <v>#NAME?</v>
      </c>
      <c r="AR65" s="2" t="e">
        <f t="shared" ca="1" si="137"/>
        <v>#NAME?</v>
      </c>
    </row>
    <row r="67" spans="1:44" x14ac:dyDescent="0.15">
      <c r="A67" s="2">
        <f>RunsConceded</f>
        <v>3</v>
      </c>
      <c r="B67" s="2" t="e">
        <f ca="1">MAX(C67:AR91)</f>
        <v>#NAME?</v>
      </c>
      <c r="C67" s="2" t="e">
        <f ca="1">BowlSplit(C5,$A$67)</f>
        <v>#NAME?</v>
      </c>
      <c r="D67" s="2" t="e">
        <f t="shared" ref="D67:AR67" ca="1" si="138">BowlSplit(D5,$A$67)</f>
        <v>#NAME?</v>
      </c>
      <c r="E67" s="2" t="e">
        <f t="shared" ca="1" si="138"/>
        <v>#NAME?</v>
      </c>
      <c r="F67" s="2" t="e">
        <f t="shared" ca="1" si="138"/>
        <v>#NAME?</v>
      </c>
      <c r="G67" s="2" t="e">
        <f t="shared" ca="1" si="138"/>
        <v>#NAME?</v>
      </c>
      <c r="H67" s="2" t="e">
        <f t="shared" ca="1" si="138"/>
        <v>#NAME?</v>
      </c>
      <c r="I67" s="2" t="e">
        <f t="shared" ca="1" si="138"/>
        <v>#NAME?</v>
      </c>
      <c r="J67" s="2" t="e">
        <f t="shared" ca="1" si="138"/>
        <v>#NAME?</v>
      </c>
      <c r="K67" s="2" t="e">
        <f t="shared" ca="1" si="138"/>
        <v>#NAME?</v>
      </c>
      <c r="L67" s="2" t="e">
        <f t="shared" ca="1" si="138"/>
        <v>#NAME?</v>
      </c>
      <c r="M67" s="2" t="e">
        <f t="shared" ca="1" si="138"/>
        <v>#NAME?</v>
      </c>
      <c r="N67" s="2" t="e">
        <f t="shared" ca="1" si="138"/>
        <v>#NAME?</v>
      </c>
      <c r="O67" s="2" t="e">
        <f t="shared" ca="1" si="138"/>
        <v>#NAME?</v>
      </c>
      <c r="P67" s="2" t="e">
        <f t="shared" ca="1" si="138"/>
        <v>#NAME?</v>
      </c>
      <c r="Q67" s="2" t="e">
        <f t="shared" ca="1" si="138"/>
        <v>#NAME?</v>
      </c>
      <c r="R67" s="2" t="e">
        <f t="shared" ca="1" si="138"/>
        <v>#NAME?</v>
      </c>
      <c r="S67" s="2" t="e">
        <f t="shared" ca="1" si="138"/>
        <v>#NAME?</v>
      </c>
      <c r="T67" s="2" t="e">
        <f t="shared" ca="1" si="138"/>
        <v>#NAME?</v>
      </c>
      <c r="U67" s="2" t="e">
        <f t="shared" ca="1" si="138"/>
        <v>#NAME?</v>
      </c>
      <c r="V67" s="2" t="e">
        <f t="shared" ca="1" si="138"/>
        <v>#NAME?</v>
      </c>
      <c r="W67" s="2" t="e">
        <f t="shared" ca="1" si="138"/>
        <v>#NAME?</v>
      </c>
      <c r="X67" s="2" t="e">
        <f t="shared" ca="1" si="138"/>
        <v>#NAME?</v>
      </c>
      <c r="Y67" s="2" t="e">
        <f t="shared" ca="1" si="138"/>
        <v>#NAME?</v>
      </c>
      <c r="Z67" s="2" t="e">
        <f t="shared" ca="1" si="138"/>
        <v>#NAME?</v>
      </c>
      <c r="AA67" s="2" t="e">
        <f t="shared" ca="1" si="138"/>
        <v>#NAME?</v>
      </c>
      <c r="AB67" s="2" t="e">
        <f t="shared" ca="1" si="138"/>
        <v>#NAME?</v>
      </c>
      <c r="AC67" s="2" t="e">
        <f t="shared" ca="1" si="138"/>
        <v>#NAME?</v>
      </c>
      <c r="AD67" s="2" t="e">
        <f t="shared" ca="1" si="138"/>
        <v>#NAME?</v>
      </c>
      <c r="AE67" s="2" t="e">
        <f t="shared" ca="1" si="138"/>
        <v>#NAME?</v>
      </c>
      <c r="AF67" s="2" t="e">
        <f t="shared" ca="1" si="138"/>
        <v>#NAME?</v>
      </c>
      <c r="AG67" s="2" t="e">
        <f t="shared" ca="1" si="138"/>
        <v>#NAME?</v>
      </c>
      <c r="AH67" s="2" t="e">
        <f t="shared" ca="1" si="138"/>
        <v>#NAME?</v>
      </c>
      <c r="AI67" s="2" t="e">
        <f t="shared" ca="1" si="138"/>
        <v>#NAME?</v>
      </c>
      <c r="AJ67" s="2" t="e">
        <f t="shared" ca="1" si="138"/>
        <v>#NAME?</v>
      </c>
      <c r="AK67" s="2" t="e">
        <f t="shared" ca="1" si="138"/>
        <v>#NAME?</v>
      </c>
      <c r="AL67" s="2" t="e">
        <f t="shared" ca="1" si="138"/>
        <v>#NAME?</v>
      </c>
      <c r="AM67" s="2" t="e">
        <f t="shared" ca="1" si="138"/>
        <v>#NAME?</v>
      </c>
      <c r="AN67" s="2" t="e">
        <f t="shared" ca="1" si="138"/>
        <v>#NAME?</v>
      </c>
      <c r="AO67" s="2" t="e">
        <f t="shared" ca="1" si="138"/>
        <v>#NAME?</v>
      </c>
      <c r="AP67" s="2" t="e">
        <f t="shared" ca="1" si="138"/>
        <v>#NAME?</v>
      </c>
      <c r="AQ67" s="2" t="e">
        <f t="shared" ca="1" si="138"/>
        <v>#NAME?</v>
      </c>
      <c r="AR67" s="2" t="e">
        <f t="shared" ca="1" si="138"/>
        <v>#NAME?</v>
      </c>
    </row>
    <row r="68" spans="1:44" x14ac:dyDescent="0.15">
      <c r="C68" s="2" t="e">
        <f t="shared" ref="C68:AR68" ca="1" si="139">BowlSplit(C6,$A$67)</f>
        <v>#NAME?</v>
      </c>
      <c r="D68" s="2" t="e">
        <f t="shared" ca="1" si="139"/>
        <v>#NAME?</v>
      </c>
      <c r="E68" s="2" t="e">
        <f t="shared" ca="1" si="139"/>
        <v>#NAME?</v>
      </c>
      <c r="F68" s="2" t="e">
        <f t="shared" ca="1" si="139"/>
        <v>#NAME?</v>
      </c>
      <c r="G68" s="2" t="e">
        <f t="shared" ca="1" si="139"/>
        <v>#NAME?</v>
      </c>
      <c r="H68" s="2" t="e">
        <f t="shared" ca="1" si="139"/>
        <v>#NAME?</v>
      </c>
      <c r="I68" s="2" t="e">
        <f t="shared" ca="1" si="139"/>
        <v>#NAME?</v>
      </c>
      <c r="J68" s="2" t="e">
        <f t="shared" ca="1" si="139"/>
        <v>#NAME?</v>
      </c>
      <c r="K68" s="2" t="e">
        <f t="shared" ca="1" si="139"/>
        <v>#NAME?</v>
      </c>
      <c r="L68" s="2" t="e">
        <f t="shared" ca="1" si="139"/>
        <v>#NAME?</v>
      </c>
      <c r="M68" s="2" t="e">
        <f t="shared" ca="1" si="139"/>
        <v>#NAME?</v>
      </c>
      <c r="N68" s="2" t="e">
        <f t="shared" ca="1" si="139"/>
        <v>#NAME?</v>
      </c>
      <c r="O68" s="2" t="e">
        <f t="shared" ca="1" si="139"/>
        <v>#NAME?</v>
      </c>
      <c r="P68" s="2" t="e">
        <f t="shared" ca="1" si="139"/>
        <v>#NAME?</v>
      </c>
      <c r="Q68" s="2" t="e">
        <f t="shared" ca="1" si="139"/>
        <v>#NAME?</v>
      </c>
      <c r="R68" s="2" t="e">
        <f t="shared" ca="1" si="139"/>
        <v>#NAME?</v>
      </c>
      <c r="S68" s="2" t="e">
        <f t="shared" ca="1" si="139"/>
        <v>#NAME?</v>
      </c>
      <c r="T68" s="2" t="e">
        <f t="shared" ca="1" si="139"/>
        <v>#NAME?</v>
      </c>
      <c r="U68" s="2" t="e">
        <f t="shared" ca="1" si="139"/>
        <v>#NAME?</v>
      </c>
      <c r="V68" s="2" t="e">
        <f t="shared" ca="1" si="139"/>
        <v>#NAME?</v>
      </c>
      <c r="W68" s="2" t="e">
        <f t="shared" ca="1" si="139"/>
        <v>#NAME?</v>
      </c>
      <c r="X68" s="2" t="e">
        <f t="shared" ca="1" si="139"/>
        <v>#NAME?</v>
      </c>
      <c r="Y68" s="2" t="e">
        <f t="shared" ca="1" si="139"/>
        <v>#NAME?</v>
      </c>
      <c r="Z68" s="2" t="e">
        <f t="shared" ca="1" si="139"/>
        <v>#NAME?</v>
      </c>
      <c r="AA68" s="2" t="e">
        <f t="shared" ca="1" si="139"/>
        <v>#NAME?</v>
      </c>
      <c r="AB68" s="2" t="e">
        <f t="shared" ca="1" si="139"/>
        <v>#NAME?</v>
      </c>
      <c r="AC68" s="2" t="e">
        <f t="shared" ca="1" si="139"/>
        <v>#NAME?</v>
      </c>
      <c r="AD68" s="2" t="e">
        <f t="shared" ca="1" si="139"/>
        <v>#NAME?</v>
      </c>
      <c r="AE68" s="2" t="e">
        <f t="shared" ca="1" si="139"/>
        <v>#NAME?</v>
      </c>
      <c r="AF68" s="2" t="e">
        <f t="shared" ca="1" si="139"/>
        <v>#NAME?</v>
      </c>
      <c r="AG68" s="2" t="e">
        <f t="shared" ca="1" si="139"/>
        <v>#NAME?</v>
      </c>
      <c r="AH68" s="2" t="e">
        <f t="shared" ca="1" si="139"/>
        <v>#NAME?</v>
      </c>
      <c r="AI68" s="2" t="e">
        <f t="shared" ca="1" si="139"/>
        <v>#NAME?</v>
      </c>
      <c r="AJ68" s="2" t="e">
        <f t="shared" ca="1" si="139"/>
        <v>#NAME?</v>
      </c>
      <c r="AK68" s="2" t="e">
        <f t="shared" ca="1" si="139"/>
        <v>#NAME?</v>
      </c>
      <c r="AL68" s="2" t="e">
        <f t="shared" ca="1" si="139"/>
        <v>#NAME?</v>
      </c>
      <c r="AM68" s="2" t="e">
        <f t="shared" ca="1" si="139"/>
        <v>#NAME?</v>
      </c>
      <c r="AN68" s="2" t="e">
        <f t="shared" ca="1" si="139"/>
        <v>#NAME?</v>
      </c>
      <c r="AO68" s="2" t="e">
        <f t="shared" ca="1" si="139"/>
        <v>#NAME?</v>
      </c>
      <c r="AP68" s="2" t="e">
        <f t="shared" ca="1" si="139"/>
        <v>#NAME?</v>
      </c>
      <c r="AQ68" s="2" t="e">
        <f t="shared" ca="1" si="139"/>
        <v>#NAME?</v>
      </c>
      <c r="AR68" s="2" t="e">
        <f t="shared" ca="1" si="139"/>
        <v>#NAME?</v>
      </c>
    </row>
    <row r="69" spans="1:44" x14ac:dyDescent="0.15">
      <c r="C69" s="2" t="e">
        <f t="shared" ref="C69:AR69" ca="1" si="140">BowlSplit(C7,$A$67)</f>
        <v>#NAME?</v>
      </c>
      <c r="D69" s="2" t="e">
        <f t="shared" ca="1" si="140"/>
        <v>#NAME?</v>
      </c>
      <c r="E69" s="2" t="e">
        <f t="shared" ca="1" si="140"/>
        <v>#NAME?</v>
      </c>
      <c r="F69" s="2" t="e">
        <f t="shared" ca="1" si="140"/>
        <v>#NAME?</v>
      </c>
      <c r="G69" s="2" t="e">
        <f t="shared" ca="1" si="140"/>
        <v>#NAME?</v>
      </c>
      <c r="H69" s="2" t="e">
        <f t="shared" ca="1" si="140"/>
        <v>#NAME?</v>
      </c>
      <c r="I69" s="2" t="e">
        <f t="shared" ca="1" si="140"/>
        <v>#NAME?</v>
      </c>
      <c r="J69" s="2" t="e">
        <f t="shared" ca="1" si="140"/>
        <v>#NAME?</v>
      </c>
      <c r="K69" s="2" t="e">
        <f t="shared" ca="1" si="140"/>
        <v>#NAME?</v>
      </c>
      <c r="L69" s="2" t="e">
        <f t="shared" ca="1" si="140"/>
        <v>#NAME?</v>
      </c>
      <c r="M69" s="2" t="e">
        <f t="shared" ca="1" si="140"/>
        <v>#NAME?</v>
      </c>
      <c r="N69" s="2" t="e">
        <f t="shared" ca="1" si="140"/>
        <v>#NAME?</v>
      </c>
      <c r="O69" s="2" t="e">
        <f t="shared" ca="1" si="140"/>
        <v>#NAME?</v>
      </c>
      <c r="P69" s="2" t="e">
        <f t="shared" ca="1" si="140"/>
        <v>#NAME?</v>
      </c>
      <c r="Q69" s="2" t="e">
        <f t="shared" ca="1" si="140"/>
        <v>#NAME?</v>
      </c>
      <c r="R69" s="2" t="e">
        <f t="shared" ca="1" si="140"/>
        <v>#NAME?</v>
      </c>
      <c r="S69" s="2" t="e">
        <f t="shared" ca="1" si="140"/>
        <v>#NAME?</v>
      </c>
      <c r="T69" s="2" t="e">
        <f t="shared" ca="1" si="140"/>
        <v>#NAME?</v>
      </c>
      <c r="U69" s="2" t="e">
        <f t="shared" ca="1" si="140"/>
        <v>#NAME?</v>
      </c>
      <c r="V69" s="2" t="e">
        <f t="shared" ca="1" si="140"/>
        <v>#NAME?</v>
      </c>
      <c r="W69" s="2" t="e">
        <f t="shared" ca="1" si="140"/>
        <v>#NAME?</v>
      </c>
      <c r="X69" s="2" t="e">
        <f t="shared" ca="1" si="140"/>
        <v>#NAME?</v>
      </c>
      <c r="Y69" s="2" t="e">
        <f t="shared" ca="1" si="140"/>
        <v>#NAME?</v>
      </c>
      <c r="Z69" s="2" t="e">
        <f t="shared" ca="1" si="140"/>
        <v>#NAME?</v>
      </c>
      <c r="AA69" s="2" t="e">
        <f t="shared" ca="1" si="140"/>
        <v>#NAME?</v>
      </c>
      <c r="AB69" s="2" t="e">
        <f t="shared" ca="1" si="140"/>
        <v>#NAME?</v>
      </c>
      <c r="AC69" s="2" t="e">
        <f t="shared" ca="1" si="140"/>
        <v>#NAME?</v>
      </c>
      <c r="AD69" s="2" t="e">
        <f t="shared" ca="1" si="140"/>
        <v>#NAME?</v>
      </c>
      <c r="AE69" s="2" t="e">
        <f t="shared" ca="1" si="140"/>
        <v>#NAME?</v>
      </c>
      <c r="AF69" s="2" t="e">
        <f t="shared" ca="1" si="140"/>
        <v>#NAME?</v>
      </c>
      <c r="AG69" s="2" t="e">
        <f t="shared" ca="1" si="140"/>
        <v>#NAME?</v>
      </c>
      <c r="AH69" s="2" t="e">
        <f t="shared" ca="1" si="140"/>
        <v>#NAME?</v>
      </c>
      <c r="AI69" s="2" t="e">
        <f t="shared" ca="1" si="140"/>
        <v>#NAME?</v>
      </c>
      <c r="AJ69" s="2" t="e">
        <f t="shared" ca="1" si="140"/>
        <v>#NAME?</v>
      </c>
      <c r="AK69" s="2" t="e">
        <f t="shared" ca="1" si="140"/>
        <v>#NAME?</v>
      </c>
      <c r="AL69" s="2" t="e">
        <f t="shared" ca="1" si="140"/>
        <v>#NAME?</v>
      </c>
      <c r="AM69" s="2" t="e">
        <f t="shared" ca="1" si="140"/>
        <v>#NAME?</v>
      </c>
      <c r="AN69" s="2" t="e">
        <f t="shared" ca="1" si="140"/>
        <v>#NAME?</v>
      </c>
      <c r="AO69" s="2" t="e">
        <f t="shared" ca="1" si="140"/>
        <v>#NAME?</v>
      </c>
      <c r="AP69" s="2" t="e">
        <f t="shared" ca="1" si="140"/>
        <v>#NAME?</v>
      </c>
      <c r="AQ69" s="2" t="e">
        <f t="shared" ca="1" si="140"/>
        <v>#NAME?</v>
      </c>
      <c r="AR69" s="2" t="e">
        <f t="shared" ca="1" si="140"/>
        <v>#NAME?</v>
      </c>
    </row>
    <row r="70" spans="1:44" x14ac:dyDescent="0.15">
      <c r="C70" s="2" t="e">
        <f t="shared" ref="C70:AR70" ca="1" si="141">BowlSplit(C8,$A$67)</f>
        <v>#NAME?</v>
      </c>
      <c r="D70" s="2" t="e">
        <f t="shared" ca="1" si="141"/>
        <v>#NAME?</v>
      </c>
      <c r="E70" s="2" t="e">
        <f t="shared" ca="1" si="141"/>
        <v>#NAME?</v>
      </c>
      <c r="F70" s="2" t="e">
        <f t="shared" ca="1" si="141"/>
        <v>#NAME?</v>
      </c>
      <c r="G70" s="2" t="e">
        <f t="shared" ca="1" si="141"/>
        <v>#NAME?</v>
      </c>
      <c r="H70" s="2" t="e">
        <f t="shared" ca="1" si="141"/>
        <v>#NAME?</v>
      </c>
      <c r="I70" s="2" t="e">
        <f t="shared" ca="1" si="141"/>
        <v>#NAME?</v>
      </c>
      <c r="J70" s="2" t="e">
        <f t="shared" ca="1" si="141"/>
        <v>#NAME?</v>
      </c>
      <c r="K70" s="2" t="e">
        <f t="shared" ca="1" si="141"/>
        <v>#NAME?</v>
      </c>
      <c r="L70" s="2" t="e">
        <f t="shared" ca="1" si="141"/>
        <v>#NAME?</v>
      </c>
      <c r="M70" s="2" t="e">
        <f t="shared" ca="1" si="141"/>
        <v>#NAME?</v>
      </c>
      <c r="N70" s="2" t="e">
        <f t="shared" ca="1" si="141"/>
        <v>#NAME?</v>
      </c>
      <c r="O70" s="2" t="e">
        <f t="shared" ca="1" si="141"/>
        <v>#NAME?</v>
      </c>
      <c r="P70" s="2" t="e">
        <f t="shared" ca="1" si="141"/>
        <v>#NAME?</v>
      </c>
      <c r="Q70" s="2" t="e">
        <f t="shared" ca="1" si="141"/>
        <v>#NAME?</v>
      </c>
      <c r="R70" s="2" t="e">
        <f t="shared" ca="1" si="141"/>
        <v>#NAME?</v>
      </c>
      <c r="S70" s="2" t="e">
        <f t="shared" ca="1" si="141"/>
        <v>#NAME?</v>
      </c>
      <c r="T70" s="2" t="e">
        <f t="shared" ca="1" si="141"/>
        <v>#NAME?</v>
      </c>
      <c r="U70" s="2" t="e">
        <f t="shared" ca="1" si="141"/>
        <v>#NAME?</v>
      </c>
      <c r="V70" s="2" t="e">
        <f t="shared" ca="1" si="141"/>
        <v>#NAME?</v>
      </c>
      <c r="W70" s="2" t="e">
        <f t="shared" ca="1" si="141"/>
        <v>#NAME?</v>
      </c>
      <c r="X70" s="2" t="e">
        <f t="shared" ca="1" si="141"/>
        <v>#NAME?</v>
      </c>
      <c r="Y70" s="2" t="e">
        <f t="shared" ca="1" si="141"/>
        <v>#NAME?</v>
      </c>
      <c r="Z70" s="2" t="e">
        <f t="shared" ca="1" si="141"/>
        <v>#NAME?</v>
      </c>
      <c r="AA70" s="2" t="e">
        <f t="shared" ca="1" si="141"/>
        <v>#NAME?</v>
      </c>
      <c r="AB70" s="2" t="e">
        <f t="shared" ca="1" si="141"/>
        <v>#NAME?</v>
      </c>
      <c r="AC70" s="2" t="e">
        <f t="shared" ca="1" si="141"/>
        <v>#NAME?</v>
      </c>
      <c r="AD70" s="2" t="e">
        <f t="shared" ca="1" si="141"/>
        <v>#NAME?</v>
      </c>
      <c r="AE70" s="2" t="e">
        <f t="shared" ca="1" si="141"/>
        <v>#NAME?</v>
      </c>
      <c r="AF70" s="2" t="e">
        <f t="shared" ca="1" si="141"/>
        <v>#NAME?</v>
      </c>
      <c r="AG70" s="2" t="e">
        <f t="shared" ca="1" si="141"/>
        <v>#NAME?</v>
      </c>
      <c r="AH70" s="2" t="e">
        <f t="shared" ca="1" si="141"/>
        <v>#NAME?</v>
      </c>
      <c r="AI70" s="2" t="e">
        <f t="shared" ca="1" si="141"/>
        <v>#NAME?</v>
      </c>
      <c r="AJ70" s="2" t="e">
        <f t="shared" ca="1" si="141"/>
        <v>#NAME?</v>
      </c>
      <c r="AK70" s="2" t="e">
        <f t="shared" ca="1" si="141"/>
        <v>#NAME?</v>
      </c>
      <c r="AL70" s="2" t="e">
        <f t="shared" ca="1" si="141"/>
        <v>#NAME?</v>
      </c>
      <c r="AM70" s="2" t="e">
        <f t="shared" ca="1" si="141"/>
        <v>#NAME?</v>
      </c>
      <c r="AN70" s="2" t="e">
        <f t="shared" ca="1" si="141"/>
        <v>#NAME?</v>
      </c>
      <c r="AO70" s="2" t="e">
        <f t="shared" ca="1" si="141"/>
        <v>#NAME?</v>
      </c>
      <c r="AP70" s="2" t="e">
        <f t="shared" ca="1" si="141"/>
        <v>#NAME?</v>
      </c>
      <c r="AQ70" s="2" t="e">
        <f t="shared" ca="1" si="141"/>
        <v>#NAME?</v>
      </c>
      <c r="AR70" s="2" t="e">
        <f t="shared" ca="1" si="141"/>
        <v>#NAME?</v>
      </c>
    </row>
    <row r="71" spans="1:44" x14ac:dyDescent="0.15">
      <c r="C71" s="2" t="e">
        <f t="shared" ref="C71:AR71" ca="1" si="142">BowlSplit(C9,$A$67)</f>
        <v>#NAME?</v>
      </c>
      <c r="D71" s="2" t="e">
        <f t="shared" ca="1" si="142"/>
        <v>#NAME?</v>
      </c>
      <c r="E71" s="2" t="e">
        <f t="shared" ca="1" si="142"/>
        <v>#NAME?</v>
      </c>
      <c r="F71" s="2" t="e">
        <f t="shared" ca="1" si="142"/>
        <v>#NAME?</v>
      </c>
      <c r="G71" s="2" t="e">
        <f t="shared" ca="1" si="142"/>
        <v>#NAME?</v>
      </c>
      <c r="H71" s="2" t="e">
        <f t="shared" ca="1" si="142"/>
        <v>#NAME?</v>
      </c>
      <c r="I71" s="2" t="e">
        <f t="shared" ca="1" si="142"/>
        <v>#NAME?</v>
      </c>
      <c r="J71" s="2" t="e">
        <f t="shared" ca="1" si="142"/>
        <v>#NAME?</v>
      </c>
      <c r="K71" s="2" t="e">
        <f t="shared" ca="1" si="142"/>
        <v>#NAME?</v>
      </c>
      <c r="L71" s="2" t="e">
        <f t="shared" ca="1" si="142"/>
        <v>#NAME?</v>
      </c>
      <c r="M71" s="2" t="e">
        <f t="shared" ca="1" si="142"/>
        <v>#NAME?</v>
      </c>
      <c r="N71" s="2" t="e">
        <f t="shared" ca="1" si="142"/>
        <v>#NAME?</v>
      </c>
      <c r="O71" s="2" t="e">
        <f t="shared" ca="1" si="142"/>
        <v>#NAME?</v>
      </c>
      <c r="P71" s="2" t="e">
        <f t="shared" ca="1" si="142"/>
        <v>#NAME?</v>
      </c>
      <c r="Q71" s="2" t="e">
        <f t="shared" ca="1" si="142"/>
        <v>#NAME?</v>
      </c>
      <c r="R71" s="2" t="e">
        <f t="shared" ca="1" si="142"/>
        <v>#NAME?</v>
      </c>
      <c r="S71" s="2" t="e">
        <f t="shared" ca="1" si="142"/>
        <v>#NAME?</v>
      </c>
      <c r="T71" s="2" t="e">
        <f t="shared" ca="1" si="142"/>
        <v>#NAME?</v>
      </c>
      <c r="U71" s="2" t="e">
        <f t="shared" ca="1" si="142"/>
        <v>#NAME?</v>
      </c>
      <c r="V71" s="2" t="e">
        <f t="shared" ca="1" si="142"/>
        <v>#NAME?</v>
      </c>
      <c r="W71" s="2" t="e">
        <f t="shared" ca="1" si="142"/>
        <v>#NAME?</v>
      </c>
      <c r="X71" s="2" t="e">
        <f t="shared" ca="1" si="142"/>
        <v>#NAME?</v>
      </c>
      <c r="Y71" s="2" t="e">
        <f t="shared" ca="1" si="142"/>
        <v>#NAME?</v>
      </c>
      <c r="Z71" s="2" t="e">
        <f t="shared" ca="1" si="142"/>
        <v>#NAME?</v>
      </c>
      <c r="AA71" s="2" t="e">
        <f t="shared" ca="1" si="142"/>
        <v>#NAME?</v>
      </c>
      <c r="AB71" s="2" t="e">
        <f t="shared" ca="1" si="142"/>
        <v>#NAME?</v>
      </c>
      <c r="AC71" s="2" t="e">
        <f t="shared" ca="1" si="142"/>
        <v>#NAME?</v>
      </c>
      <c r="AD71" s="2" t="e">
        <f t="shared" ca="1" si="142"/>
        <v>#NAME?</v>
      </c>
      <c r="AE71" s="2" t="e">
        <f t="shared" ca="1" si="142"/>
        <v>#NAME?</v>
      </c>
      <c r="AF71" s="2" t="e">
        <f t="shared" ca="1" si="142"/>
        <v>#NAME?</v>
      </c>
      <c r="AG71" s="2" t="e">
        <f t="shared" ca="1" si="142"/>
        <v>#NAME?</v>
      </c>
      <c r="AH71" s="2" t="e">
        <f t="shared" ca="1" si="142"/>
        <v>#NAME?</v>
      </c>
      <c r="AI71" s="2" t="e">
        <f t="shared" ca="1" si="142"/>
        <v>#NAME?</v>
      </c>
      <c r="AJ71" s="2" t="e">
        <f t="shared" ca="1" si="142"/>
        <v>#NAME?</v>
      </c>
      <c r="AK71" s="2" t="e">
        <f t="shared" ca="1" si="142"/>
        <v>#NAME?</v>
      </c>
      <c r="AL71" s="2" t="e">
        <f t="shared" ca="1" si="142"/>
        <v>#NAME?</v>
      </c>
      <c r="AM71" s="2" t="e">
        <f t="shared" ca="1" si="142"/>
        <v>#NAME?</v>
      </c>
      <c r="AN71" s="2" t="e">
        <f t="shared" ca="1" si="142"/>
        <v>#NAME?</v>
      </c>
      <c r="AO71" s="2" t="e">
        <f t="shared" ca="1" si="142"/>
        <v>#NAME?</v>
      </c>
      <c r="AP71" s="2" t="e">
        <f t="shared" ca="1" si="142"/>
        <v>#NAME?</v>
      </c>
      <c r="AQ71" s="2" t="e">
        <f t="shared" ca="1" si="142"/>
        <v>#NAME?</v>
      </c>
      <c r="AR71" s="2" t="e">
        <f t="shared" ca="1" si="142"/>
        <v>#NAME?</v>
      </c>
    </row>
    <row r="72" spans="1:44" x14ac:dyDescent="0.15">
      <c r="C72" s="2" t="e">
        <f t="shared" ref="C72:AR72" ca="1" si="143">BowlSplit(C10,$A$67)</f>
        <v>#NAME?</v>
      </c>
      <c r="D72" s="2" t="e">
        <f t="shared" ca="1" si="143"/>
        <v>#NAME?</v>
      </c>
      <c r="E72" s="2" t="e">
        <f t="shared" ca="1" si="143"/>
        <v>#NAME?</v>
      </c>
      <c r="F72" s="2" t="e">
        <f t="shared" ca="1" si="143"/>
        <v>#NAME?</v>
      </c>
      <c r="G72" s="2" t="e">
        <f t="shared" ca="1" si="143"/>
        <v>#NAME?</v>
      </c>
      <c r="H72" s="2" t="e">
        <f t="shared" ca="1" si="143"/>
        <v>#NAME?</v>
      </c>
      <c r="I72" s="2" t="e">
        <f t="shared" ca="1" si="143"/>
        <v>#NAME?</v>
      </c>
      <c r="J72" s="2" t="e">
        <f t="shared" ca="1" si="143"/>
        <v>#NAME?</v>
      </c>
      <c r="K72" s="2" t="e">
        <f t="shared" ca="1" si="143"/>
        <v>#NAME?</v>
      </c>
      <c r="L72" s="2" t="e">
        <f t="shared" ca="1" si="143"/>
        <v>#NAME?</v>
      </c>
      <c r="M72" s="2" t="e">
        <f t="shared" ca="1" si="143"/>
        <v>#NAME?</v>
      </c>
      <c r="N72" s="2" t="e">
        <f t="shared" ca="1" si="143"/>
        <v>#NAME?</v>
      </c>
      <c r="O72" s="2" t="e">
        <f t="shared" ca="1" si="143"/>
        <v>#NAME?</v>
      </c>
      <c r="P72" s="2" t="e">
        <f t="shared" ca="1" si="143"/>
        <v>#NAME?</v>
      </c>
      <c r="Q72" s="2" t="e">
        <f t="shared" ca="1" si="143"/>
        <v>#NAME?</v>
      </c>
      <c r="R72" s="2" t="e">
        <f t="shared" ca="1" si="143"/>
        <v>#NAME?</v>
      </c>
      <c r="S72" s="2" t="e">
        <f t="shared" ca="1" si="143"/>
        <v>#NAME?</v>
      </c>
      <c r="T72" s="2" t="e">
        <f t="shared" ca="1" si="143"/>
        <v>#NAME?</v>
      </c>
      <c r="U72" s="2" t="e">
        <f t="shared" ca="1" si="143"/>
        <v>#NAME?</v>
      </c>
      <c r="V72" s="2" t="e">
        <f t="shared" ca="1" si="143"/>
        <v>#NAME?</v>
      </c>
      <c r="W72" s="2" t="e">
        <f t="shared" ca="1" si="143"/>
        <v>#NAME?</v>
      </c>
      <c r="X72" s="2" t="e">
        <f t="shared" ca="1" si="143"/>
        <v>#NAME?</v>
      </c>
      <c r="Y72" s="2" t="e">
        <f t="shared" ca="1" si="143"/>
        <v>#NAME?</v>
      </c>
      <c r="Z72" s="2" t="e">
        <f t="shared" ca="1" si="143"/>
        <v>#NAME?</v>
      </c>
      <c r="AA72" s="2" t="e">
        <f t="shared" ca="1" si="143"/>
        <v>#NAME?</v>
      </c>
      <c r="AB72" s="2" t="e">
        <f t="shared" ca="1" si="143"/>
        <v>#NAME?</v>
      </c>
      <c r="AC72" s="2" t="e">
        <f t="shared" ca="1" si="143"/>
        <v>#NAME?</v>
      </c>
      <c r="AD72" s="2" t="e">
        <f t="shared" ca="1" si="143"/>
        <v>#NAME?</v>
      </c>
      <c r="AE72" s="2" t="e">
        <f t="shared" ca="1" si="143"/>
        <v>#NAME?</v>
      </c>
      <c r="AF72" s="2" t="e">
        <f t="shared" ca="1" si="143"/>
        <v>#NAME?</v>
      </c>
      <c r="AG72" s="2" t="e">
        <f t="shared" ca="1" si="143"/>
        <v>#NAME?</v>
      </c>
      <c r="AH72" s="2" t="e">
        <f t="shared" ca="1" si="143"/>
        <v>#NAME?</v>
      </c>
      <c r="AI72" s="2" t="e">
        <f t="shared" ca="1" si="143"/>
        <v>#NAME?</v>
      </c>
      <c r="AJ72" s="2" t="e">
        <f t="shared" ca="1" si="143"/>
        <v>#NAME?</v>
      </c>
      <c r="AK72" s="2" t="e">
        <f t="shared" ca="1" si="143"/>
        <v>#NAME?</v>
      </c>
      <c r="AL72" s="2" t="e">
        <f t="shared" ca="1" si="143"/>
        <v>#NAME?</v>
      </c>
      <c r="AM72" s="2" t="e">
        <f t="shared" ca="1" si="143"/>
        <v>#NAME?</v>
      </c>
      <c r="AN72" s="2" t="e">
        <f t="shared" ca="1" si="143"/>
        <v>#NAME?</v>
      </c>
      <c r="AO72" s="2" t="e">
        <f t="shared" ca="1" si="143"/>
        <v>#NAME?</v>
      </c>
      <c r="AP72" s="2" t="e">
        <f t="shared" ca="1" si="143"/>
        <v>#NAME?</v>
      </c>
      <c r="AQ72" s="2" t="e">
        <f t="shared" ca="1" si="143"/>
        <v>#NAME?</v>
      </c>
      <c r="AR72" s="2" t="e">
        <f t="shared" ca="1" si="143"/>
        <v>#NAME?</v>
      </c>
    </row>
    <row r="73" spans="1:44" x14ac:dyDescent="0.15">
      <c r="C73" s="2" t="e">
        <f t="shared" ref="C73:AR73" ca="1" si="144">BowlSplit(C11,$A$67)</f>
        <v>#NAME?</v>
      </c>
      <c r="D73" s="2" t="e">
        <f t="shared" ca="1" si="144"/>
        <v>#NAME?</v>
      </c>
      <c r="E73" s="2" t="e">
        <f t="shared" ca="1" si="144"/>
        <v>#NAME?</v>
      </c>
      <c r="F73" s="2" t="e">
        <f t="shared" ca="1" si="144"/>
        <v>#NAME?</v>
      </c>
      <c r="G73" s="2" t="e">
        <f t="shared" ca="1" si="144"/>
        <v>#NAME?</v>
      </c>
      <c r="H73" s="2" t="e">
        <f t="shared" ca="1" si="144"/>
        <v>#NAME?</v>
      </c>
      <c r="I73" s="2" t="e">
        <f t="shared" ca="1" si="144"/>
        <v>#NAME?</v>
      </c>
      <c r="J73" s="2" t="e">
        <f t="shared" ca="1" si="144"/>
        <v>#NAME?</v>
      </c>
      <c r="K73" s="2" t="e">
        <f t="shared" ca="1" si="144"/>
        <v>#NAME?</v>
      </c>
      <c r="L73" s="2" t="e">
        <f t="shared" ca="1" si="144"/>
        <v>#NAME?</v>
      </c>
      <c r="M73" s="2" t="e">
        <f t="shared" ca="1" si="144"/>
        <v>#NAME?</v>
      </c>
      <c r="N73" s="2" t="e">
        <f t="shared" ca="1" si="144"/>
        <v>#NAME?</v>
      </c>
      <c r="O73" s="2" t="e">
        <f t="shared" ca="1" si="144"/>
        <v>#NAME?</v>
      </c>
      <c r="P73" s="2" t="e">
        <f t="shared" ca="1" si="144"/>
        <v>#NAME?</v>
      </c>
      <c r="Q73" s="2" t="e">
        <f t="shared" ca="1" si="144"/>
        <v>#NAME?</v>
      </c>
      <c r="R73" s="2" t="e">
        <f t="shared" ca="1" si="144"/>
        <v>#NAME?</v>
      </c>
      <c r="S73" s="2" t="e">
        <f t="shared" ca="1" si="144"/>
        <v>#NAME?</v>
      </c>
      <c r="T73" s="2" t="e">
        <f t="shared" ca="1" si="144"/>
        <v>#NAME?</v>
      </c>
      <c r="U73" s="2" t="e">
        <f t="shared" ca="1" si="144"/>
        <v>#NAME?</v>
      </c>
      <c r="V73" s="2" t="e">
        <f t="shared" ca="1" si="144"/>
        <v>#NAME?</v>
      </c>
      <c r="W73" s="2" t="e">
        <f t="shared" ca="1" si="144"/>
        <v>#NAME?</v>
      </c>
      <c r="X73" s="2" t="e">
        <f t="shared" ca="1" si="144"/>
        <v>#NAME?</v>
      </c>
      <c r="Y73" s="2" t="e">
        <f t="shared" ca="1" si="144"/>
        <v>#NAME?</v>
      </c>
      <c r="Z73" s="2" t="e">
        <f t="shared" ca="1" si="144"/>
        <v>#NAME?</v>
      </c>
      <c r="AA73" s="2" t="e">
        <f t="shared" ca="1" si="144"/>
        <v>#NAME?</v>
      </c>
      <c r="AB73" s="2" t="e">
        <f t="shared" ca="1" si="144"/>
        <v>#NAME?</v>
      </c>
      <c r="AC73" s="2" t="e">
        <f t="shared" ca="1" si="144"/>
        <v>#NAME?</v>
      </c>
      <c r="AD73" s="2" t="e">
        <f t="shared" ca="1" si="144"/>
        <v>#NAME?</v>
      </c>
      <c r="AE73" s="2" t="e">
        <f t="shared" ca="1" si="144"/>
        <v>#NAME?</v>
      </c>
      <c r="AF73" s="2" t="e">
        <f t="shared" ca="1" si="144"/>
        <v>#NAME?</v>
      </c>
      <c r="AG73" s="2" t="e">
        <f t="shared" ca="1" si="144"/>
        <v>#NAME?</v>
      </c>
      <c r="AH73" s="2" t="e">
        <f t="shared" ca="1" si="144"/>
        <v>#NAME?</v>
      </c>
      <c r="AI73" s="2" t="e">
        <f t="shared" ca="1" si="144"/>
        <v>#NAME?</v>
      </c>
      <c r="AJ73" s="2" t="e">
        <f t="shared" ca="1" si="144"/>
        <v>#NAME?</v>
      </c>
      <c r="AK73" s="2" t="e">
        <f t="shared" ca="1" si="144"/>
        <v>#NAME?</v>
      </c>
      <c r="AL73" s="2" t="e">
        <f t="shared" ca="1" si="144"/>
        <v>#NAME?</v>
      </c>
      <c r="AM73" s="2" t="e">
        <f t="shared" ca="1" si="144"/>
        <v>#NAME?</v>
      </c>
      <c r="AN73" s="2" t="e">
        <f t="shared" ca="1" si="144"/>
        <v>#NAME?</v>
      </c>
      <c r="AO73" s="2" t="e">
        <f t="shared" ca="1" si="144"/>
        <v>#NAME?</v>
      </c>
      <c r="AP73" s="2" t="e">
        <f t="shared" ca="1" si="144"/>
        <v>#NAME?</v>
      </c>
      <c r="AQ73" s="2" t="e">
        <f t="shared" ca="1" si="144"/>
        <v>#NAME?</v>
      </c>
      <c r="AR73" s="2" t="e">
        <f t="shared" ca="1" si="144"/>
        <v>#NAME?</v>
      </c>
    </row>
    <row r="74" spans="1:44" x14ac:dyDescent="0.15">
      <c r="C74" s="2" t="e">
        <f t="shared" ref="C74:AR74" ca="1" si="145">BowlSplit(C12,$A$67)</f>
        <v>#NAME?</v>
      </c>
      <c r="D74" s="2" t="e">
        <f t="shared" ca="1" si="145"/>
        <v>#NAME?</v>
      </c>
      <c r="E74" s="2" t="e">
        <f t="shared" ca="1" si="145"/>
        <v>#NAME?</v>
      </c>
      <c r="F74" s="2" t="e">
        <f t="shared" ca="1" si="145"/>
        <v>#NAME?</v>
      </c>
      <c r="G74" s="2" t="e">
        <f t="shared" ca="1" si="145"/>
        <v>#NAME?</v>
      </c>
      <c r="H74" s="2" t="e">
        <f t="shared" ca="1" si="145"/>
        <v>#NAME?</v>
      </c>
      <c r="I74" s="2" t="e">
        <f t="shared" ca="1" si="145"/>
        <v>#NAME?</v>
      </c>
      <c r="J74" s="2" t="e">
        <f t="shared" ca="1" si="145"/>
        <v>#NAME?</v>
      </c>
      <c r="K74" s="2" t="e">
        <f t="shared" ca="1" si="145"/>
        <v>#NAME?</v>
      </c>
      <c r="L74" s="2" t="e">
        <f t="shared" ca="1" si="145"/>
        <v>#NAME?</v>
      </c>
      <c r="M74" s="2" t="e">
        <f t="shared" ca="1" si="145"/>
        <v>#NAME?</v>
      </c>
      <c r="N74" s="2" t="e">
        <f t="shared" ca="1" si="145"/>
        <v>#NAME?</v>
      </c>
      <c r="O74" s="2" t="e">
        <f t="shared" ca="1" si="145"/>
        <v>#NAME?</v>
      </c>
      <c r="P74" s="2" t="e">
        <f t="shared" ca="1" si="145"/>
        <v>#NAME?</v>
      </c>
      <c r="Q74" s="2" t="e">
        <f t="shared" ca="1" si="145"/>
        <v>#NAME?</v>
      </c>
      <c r="R74" s="2" t="e">
        <f t="shared" ca="1" si="145"/>
        <v>#NAME?</v>
      </c>
      <c r="S74" s="2" t="e">
        <f t="shared" ca="1" si="145"/>
        <v>#NAME?</v>
      </c>
      <c r="T74" s="2" t="e">
        <f t="shared" ca="1" si="145"/>
        <v>#NAME?</v>
      </c>
      <c r="U74" s="2" t="e">
        <f t="shared" ca="1" si="145"/>
        <v>#NAME?</v>
      </c>
      <c r="V74" s="2" t="e">
        <f t="shared" ca="1" si="145"/>
        <v>#NAME?</v>
      </c>
      <c r="W74" s="2" t="e">
        <f t="shared" ca="1" si="145"/>
        <v>#NAME?</v>
      </c>
      <c r="X74" s="2" t="e">
        <f t="shared" ca="1" si="145"/>
        <v>#NAME?</v>
      </c>
      <c r="Y74" s="2" t="e">
        <f t="shared" ca="1" si="145"/>
        <v>#NAME?</v>
      </c>
      <c r="Z74" s="2" t="e">
        <f t="shared" ca="1" si="145"/>
        <v>#NAME?</v>
      </c>
      <c r="AA74" s="2" t="e">
        <f t="shared" ca="1" si="145"/>
        <v>#NAME?</v>
      </c>
      <c r="AB74" s="2" t="e">
        <f t="shared" ca="1" si="145"/>
        <v>#NAME?</v>
      </c>
      <c r="AC74" s="2" t="e">
        <f t="shared" ca="1" si="145"/>
        <v>#NAME?</v>
      </c>
      <c r="AD74" s="2" t="e">
        <f t="shared" ca="1" si="145"/>
        <v>#NAME?</v>
      </c>
      <c r="AE74" s="2" t="e">
        <f t="shared" ca="1" si="145"/>
        <v>#NAME?</v>
      </c>
      <c r="AF74" s="2" t="e">
        <f t="shared" ca="1" si="145"/>
        <v>#NAME?</v>
      </c>
      <c r="AG74" s="2" t="e">
        <f t="shared" ca="1" si="145"/>
        <v>#NAME?</v>
      </c>
      <c r="AH74" s="2" t="e">
        <f t="shared" ca="1" si="145"/>
        <v>#NAME?</v>
      </c>
      <c r="AI74" s="2" t="e">
        <f t="shared" ca="1" si="145"/>
        <v>#NAME?</v>
      </c>
      <c r="AJ74" s="2" t="e">
        <f t="shared" ca="1" si="145"/>
        <v>#NAME?</v>
      </c>
      <c r="AK74" s="2" t="e">
        <f t="shared" ca="1" si="145"/>
        <v>#NAME?</v>
      </c>
      <c r="AL74" s="2" t="e">
        <f t="shared" ca="1" si="145"/>
        <v>#NAME?</v>
      </c>
      <c r="AM74" s="2" t="e">
        <f t="shared" ca="1" si="145"/>
        <v>#NAME?</v>
      </c>
      <c r="AN74" s="2" t="e">
        <f t="shared" ca="1" si="145"/>
        <v>#NAME?</v>
      </c>
      <c r="AO74" s="2" t="e">
        <f t="shared" ca="1" si="145"/>
        <v>#NAME?</v>
      </c>
      <c r="AP74" s="2" t="e">
        <f t="shared" ca="1" si="145"/>
        <v>#NAME?</v>
      </c>
      <c r="AQ74" s="2" t="e">
        <f t="shared" ca="1" si="145"/>
        <v>#NAME?</v>
      </c>
      <c r="AR74" s="2" t="e">
        <f t="shared" ca="1" si="145"/>
        <v>#NAME?</v>
      </c>
    </row>
    <row r="75" spans="1:44" x14ac:dyDescent="0.15">
      <c r="C75" s="2" t="e">
        <f t="shared" ref="C75:AR75" ca="1" si="146">BowlSplit(C13,$A$67)</f>
        <v>#NAME?</v>
      </c>
      <c r="D75" s="2" t="e">
        <f t="shared" ca="1" si="146"/>
        <v>#NAME?</v>
      </c>
      <c r="E75" s="2" t="e">
        <f t="shared" ca="1" si="146"/>
        <v>#NAME?</v>
      </c>
      <c r="F75" s="2" t="e">
        <f t="shared" ca="1" si="146"/>
        <v>#NAME?</v>
      </c>
      <c r="G75" s="2" t="e">
        <f t="shared" ca="1" si="146"/>
        <v>#NAME?</v>
      </c>
      <c r="H75" s="2" t="e">
        <f t="shared" ca="1" si="146"/>
        <v>#NAME?</v>
      </c>
      <c r="I75" s="2" t="e">
        <f t="shared" ca="1" si="146"/>
        <v>#NAME?</v>
      </c>
      <c r="J75" s="2" t="e">
        <f t="shared" ca="1" si="146"/>
        <v>#NAME?</v>
      </c>
      <c r="K75" s="2" t="e">
        <f t="shared" ca="1" si="146"/>
        <v>#NAME?</v>
      </c>
      <c r="L75" s="2" t="e">
        <f t="shared" ca="1" si="146"/>
        <v>#NAME?</v>
      </c>
      <c r="M75" s="2" t="e">
        <f t="shared" ca="1" si="146"/>
        <v>#NAME?</v>
      </c>
      <c r="N75" s="2" t="e">
        <f t="shared" ca="1" si="146"/>
        <v>#NAME?</v>
      </c>
      <c r="O75" s="2" t="e">
        <f t="shared" ca="1" si="146"/>
        <v>#NAME?</v>
      </c>
      <c r="P75" s="2" t="e">
        <f t="shared" ca="1" si="146"/>
        <v>#NAME?</v>
      </c>
      <c r="Q75" s="2" t="e">
        <f t="shared" ca="1" si="146"/>
        <v>#NAME?</v>
      </c>
      <c r="R75" s="2" t="e">
        <f t="shared" ca="1" si="146"/>
        <v>#NAME?</v>
      </c>
      <c r="S75" s="2" t="e">
        <f t="shared" ca="1" si="146"/>
        <v>#NAME?</v>
      </c>
      <c r="T75" s="2" t="e">
        <f t="shared" ca="1" si="146"/>
        <v>#NAME?</v>
      </c>
      <c r="U75" s="2" t="e">
        <f t="shared" ca="1" si="146"/>
        <v>#NAME?</v>
      </c>
      <c r="V75" s="2" t="e">
        <f t="shared" ca="1" si="146"/>
        <v>#NAME?</v>
      </c>
      <c r="W75" s="2" t="e">
        <f t="shared" ca="1" si="146"/>
        <v>#NAME?</v>
      </c>
      <c r="X75" s="2" t="e">
        <f t="shared" ca="1" si="146"/>
        <v>#NAME?</v>
      </c>
      <c r="Y75" s="2" t="e">
        <f t="shared" ca="1" si="146"/>
        <v>#NAME?</v>
      </c>
      <c r="Z75" s="2" t="e">
        <f t="shared" ca="1" si="146"/>
        <v>#NAME?</v>
      </c>
      <c r="AA75" s="2" t="e">
        <f t="shared" ca="1" si="146"/>
        <v>#NAME?</v>
      </c>
      <c r="AB75" s="2" t="e">
        <f t="shared" ca="1" si="146"/>
        <v>#NAME?</v>
      </c>
      <c r="AC75" s="2" t="e">
        <f t="shared" ca="1" si="146"/>
        <v>#NAME?</v>
      </c>
      <c r="AD75" s="2" t="e">
        <f t="shared" ca="1" si="146"/>
        <v>#NAME?</v>
      </c>
      <c r="AE75" s="2" t="e">
        <f t="shared" ca="1" si="146"/>
        <v>#NAME?</v>
      </c>
      <c r="AF75" s="2" t="e">
        <f t="shared" ca="1" si="146"/>
        <v>#NAME?</v>
      </c>
      <c r="AG75" s="2" t="e">
        <f t="shared" ca="1" si="146"/>
        <v>#NAME?</v>
      </c>
      <c r="AH75" s="2" t="e">
        <f t="shared" ca="1" si="146"/>
        <v>#NAME?</v>
      </c>
      <c r="AI75" s="2" t="e">
        <f t="shared" ca="1" si="146"/>
        <v>#NAME?</v>
      </c>
      <c r="AJ75" s="2" t="e">
        <f t="shared" ca="1" si="146"/>
        <v>#NAME?</v>
      </c>
      <c r="AK75" s="2" t="e">
        <f t="shared" ca="1" si="146"/>
        <v>#NAME?</v>
      </c>
      <c r="AL75" s="2" t="e">
        <f t="shared" ca="1" si="146"/>
        <v>#NAME?</v>
      </c>
      <c r="AM75" s="2" t="e">
        <f t="shared" ca="1" si="146"/>
        <v>#NAME?</v>
      </c>
      <c r="AN75" s="2" t="e">
        <f t="shared" ca="1" si="146"/>
        <v>#NAME?</v>
      </c>
      <c r="AO75" s="2" t="e">
        <f t="shared" ca="1" si="146"/>
        <v>#NAME?</v>
      </c>
      <c r="AP75" s="2" t="e">
        <f t="shared" ca="1" si="146"/>
        <v>#NAME?</v>
      </c>
      <c r="AQ75" s="2" t="e">
        <f t="shared" ca="1" si="146"/>
        <v>#NAME?</v>
      </c>
      <c r="AR75" s="2" t="e">
        <f t="shared" ca="1" si="146"/>
        <v>#NAME?</v>
      </c>
    </row>
    <row r="76" spans="1:44" x14ac:dyDescent="0.15">
      <c r="C76" s="2" t="e">
        <f t="shared" ref="C76:AR76" ca="1" si="147">BowlSplit(C14,$A$67)</f>
        <v>#NAME?</v>
      </c>
      <c r="D76" s="2" t="e">
        <f t="shared" ca="1" si="147"/>
        <v>#NAME?</v>
      </c>
      <c r="E76" s="2" t="e">
        <f t="shared" ca="1" si="147"/>
        <v>#NAME?</v>
      </c>
      <c r="F76" s="2" t="e">
        <f t="shared" ca="1" si="147"/>
        <v>#NAME?</v>
      </c>
      <c r="G76" s="2" t="e">
        <f t="shared" ca="1" si="147"/>
        <v>#NAME?</v>
      </c>
      <c r="H76" s="2" t="e">
        <f t="shared" ca="1" si="147"/>
        <v>#NAME?</v>
      </c>
      <c r="I76" s="2" t="e">
        <f t="shared" ca="1" si="147"/>
        <v>#NAME?</v>
      </c>
      <c r="J76" s="2" t="e">
        <f t="shared" ca="1" si="147"/>
        <v>#NAME?</v>
      </c>
      <c r="K76" s="2" t="e">
        <f t="shared" ca="1" si="147"/>
        <v>#NAME?</v>
      </c>
      <c r="L76" s="2" t="e">
        <f t="shared" ca="1" si="147"/>
        <v>#NAME?</v>
      </c>
      <c r="M76" s="2" t="e">
        <f t="shared" ca="1" si="147"/>
        <v>#NAME?</v>
      </c>
      <c r="N76" s="2" t="e">
        <f t="shared" ca="1" si="147"/>
        <v>#NAME?</v>
      </c>
      <c r="O76" s="2" t="e">
        <f t="shared" ca="1" si="147"/>
        <v>#NAME?</v>
      </c>
      <c r="P76" s="2" t="e">
        <f t="shared" ca="1" si="147"/>
        <v>#NAME?</v>
      </c>
      <c r="Q76" s="2" t="e">
        <f t="shared" ca="1" si="147"/>
        <v>#NAME?</v>
      </c>
      <c r="R76" s="2" t="e">
        <f t="shared" ca="1" si="147"/>
        <v>#NAME?</v>
      </c>
      <c r="S76" s="2" t="e">
        <f t="shared" ca="1" si="147"/>
        <v>#NAME?</v>
      </c>
      <c r="T76" s="2" t="e">
        <f t="shared" ca="1" si="147"/>
        <v>#NAME?</v>
      </c>
      <c r="U76" s="2" t="e">
        <f t="shared" ca="1" si="147"/>
        <v>#NAME?</v>
      </c>
      <c r="V76" s="2" t="e">
        <f t="shared" ca="1" si="147"/>
        <v>#NAME?</v>
      </c>
      <c r="W76" s="2" t="e">
        <f t="shared" ca="1" si="147"/>
        <v>#NAME?</v>
      </c>
      <c r="X76" s="2" t="e">
        <f t="shared" ca="1" si="147"/>
        <v>#NAME?</v>
      </c>
      <c r="Y76" s="2" t="e">
        <f t="shared" ca="1" si="147"/>
        <v>#NAME?</v>
      </c>
      <c r="Z76" s="2" t="e">
        <f t="shared" ca="1" si="147"/>
        <v>#NAME?</v>
      </c>
      <c r="AA76" s="2" t="e">
        <f t="shared" ca="1" si="147"/>
        <v>#NAME?</v>
      </c>
      <c r="AB76" s="2" t="e">
        <f t="shared" ca="1" si="147"/>
        <v>#NAME?</v>
      </c>
      <c r="AC76" s="2" t="e">
        <f t="shared" ca="1" si="147"/>
        <v>#NAME?</v>
      </c>
      <c r="AD76" s="2" t="e">
        <f t="shared" ca="1" si="147"/>
        <v>#NAME?</v>
      </c>
      <c r="AE76" s="2" t="e">
        <f t="shared" ca="1" si="147"/>
        <v>#NAME?</v>
      </c>
      <c r="AF76" s="2" t="e">
        <f t="shared" ca="1" si="147"/>
        <v>#NAME?</v>
      </c>
      <c r="AG76" s="2" t="e">
        <f t="shared" ca="1" si="147"/>
        <v>#NAME?</v>
      </c>
      <c r="AH76" s="2" t="e">
        <f t="shared" ca="1" si="147"/>
        <v>#NAME?</v>
      </c>
      <c r="AI76" s="2" t="e">
        <f t="shared" ca="1" si="147"/>
        <v>#NAME?</v>
      </c>
      <c r="AJ76" s="2" t="e">
        <f t="shared" ca="1" si="147"/>
        <v>#NAME?</v>
      </c>
      <c r="AK76" s="2" t="e">
        <f t="shared" ca="1" si="147"/>
        <v>#NAME?</v>
      </c>
      <c r="AL76" s="2" t="e">
        <f t="shared" ca="1" si="147"/>
        <v>#NAME?</v>
      </c>
      <c r="AM76" s="2" t="e">
        <f t="shared" ca="1" si="147"/>
        <v>#NAME?</v>
      </c>
      <c r="AN76" s="2" t="e">
        <f t="shared" ca="1" si="147"/>
        <v>#NAME?</v>
      </c>
      <c r="AO76" s="2" t="e">
        <f t="shared" ca="1" si="147"/>
        <v>#NAME?</v>
      </c>
      <c r="AP76" s="2" t="e">
        <f t="shared" ca="1" si="147"/>
        <v>#NAME?</v>
      </c>
      <c r="AQ76" s="2" t="e">
        <f t="shared" ca="1" si="147"/>
        <v>#NAME?</v>
      </c>
      <c r="AR76" s="2" t="e">
        <f t="shared" ca="1" si="147"/>
        <v>#NAME?</v>
      </c>
    </row>
    <row r="77" spans="1:44" x14ac:dyDescent="0.15">
      <c r="C77" s="2" t="e">
        <f t="shared" ref="C77:AR77" ca="1" si="148">BowlSplit(C15,$A$67)</f>
        <v>#NAME?</v>
      </c>
      <c r="D77" s="2" t="e">
        <f t="shared" ca="1" si="148"/>
        <v>#NAME?</v>
      </c>
      <c r="E77" s="2" t="e">
        <f t="shared" ca="1" si="148"/>
        <v>#NAME?</v>
      </c>
      <c r="F77" s="2" t="e">
        <f t="shared" ca="1" si="148"/>
        <v>#NAME?</v>
      </c>
      <c r="G77" s="2" t="e">
        <f t="shared" ca="1" si="148"/>
        <v>#NAME?</v>
      </c>
      <c r="H77" s="2" t="e">
        <f t="shared" ca="1" si="148"/>
        <v>#NAME?</v>
      </c>
      <c r="I77" s="2" t="e">
        <f t="shared" ca="1" si="148"/>
        <v>#NAME?</v>
      </c>
      <c r="J77" s="2" t="e">
        <f t="shared" ca="1" si="148"/>
        <v>#NAME?</v>
      </c>
      <c r="K77" s="2" t="e">
        <f t="shared" ca="1" si="148"/>
        <v>#NAME?</v>
      </c>
      <c r="L77" s="2" t="e">
        <f t="shared" ca="1" si="148"/>
        <v>#NAME?</v>
      </c>
      <c r="M77" s="2" t="e">
        <f t="shared" ca="1" si="148"/>
        <v>#NAME?</v>
      </c>
      <c r="N77" s="2" t="e">
        <f t="shared" ca="1" si="148"/>
        <v>#NAME?</v>
      </c>
      <c r="O77" s="2" t="e">
        <f t="shared" ca="1" si="148"/>
        <v>#NAME?</v>
      </c>
      <c r="P77" s="2" t="e">
        <f t="shared" ca="1" si="148"/>
        <v>#NAME?</v>
      </c>
      <c r="Q77" s="2" t="e">
        <f t="shared" ca="1" si="148"/>
        <v>#NAME?</v>
      </c>
      <c r="R77" s="2" t="e">
        <f t="shared" ca="1" si="148"/>
        <v>#NAME?</v>
      </c>
      <c r="S77" s="2" t="e">
        <f t="shared" ca="1" si="148"/>
        <v>#NAME?</v>
      </c>
      <c r="T77" s="2" t="e">
        <f t="shared" ca="1" si="148"/>
        <v>#NAME?</v>
      </c>
      <c r="U77" s="2" t="e">
        <f t="shared" ca="1" si="148"/>
        <v>#NAME?</v>
      </c>
      <c r="V77" s="2" t="e">
        <f t="shared" ca="1" si="148"/>
        <v>#NAME?</v>
      </c>
      <c r="W77" s="2" t="e">
        <f t="shared" ca="1" si="148"/>
        <v>#NAME?</v>
      </c>
      <c r="X77" s="2" t="e">
        <f t="shared" ca="1" si="148"/>
        <v>#NAME?</v>
      </c>
      <c r="Y77" s="2" t="e">
        <f t="shared" ca="1" si="148"/>
        <v>#NAME?</v>
      </c>
      <c r="Z77" s="2" t="e">
        <f t="shared" ca="1" si="148"/>
        <v>#NAME?</v>
      </c>
      <c r="AA77" s="2" t="e">
        <f t="shared" ca="1" si="148"/>
        <v>#NAME?</v>
      </c>
      <c r="AB77" s="2" t="e">
        <f t="shared" ca="1" si="148"/>
        <v>#NAME?</v>
      </c>
      <c r="AC77" s="2" t="e">
        <f t="shared" ca="1" si="148"/>
        <v>#NAME?</v>
      </c>
      <c r="AD77" s="2" t="e">
        <f t="shared" ca="1" si="148"/>
        <v>#NAME?</v>
      </c>
      <c r="AE77" s="2" t="e">
        <f t="shared" ca="1" si="148"/>
        <v>#NAME?</v>
      </c>
      <c r="AF77" s="2" t="e">
        <f t="shared" ca="1" si="148"/>
        <v>#NAME?</v>
      </c>
      <c r="AG77" s="2" t="e">
        <f t="shared" ca="1" si="148"/>
        <v>#NAME?</v>
      </c>
      <c r="AH77" s="2" t="e">
        <f t="shared" ca="1" si="148"/>
        <v>#NAME?</v>
      </c>
      <c r="AI77" s="2" t="e">
        <f t="shared" ca="1" si="148"/>
        <v>#NAME?</v>
      </c>
      <c r="AJ77" s="2" t="e">
        <f t="shared" ca="1" si="148"/>
        <v>#NAME?</v>
      </c>
      <c r="AK77" s="2" t="e">
        <f t="shared" ca="1" si="148"/>
        <v>#NAME?</v>
      </c>
      <c r="AL77" s="2" t="e">
        <f t="shared" ca="1" si="148"/>
        <v>#NAME?</v>
      </c>
      <c r="AM77" s="2" t="e">
        <f t="shared" ca="1" si="148"/>
        <v>#NAME?</v>
      </c>
      <c r="AN77" s="2" t="e">
        <f t="shared" ca="1" si="148"/>
        <v>#NAME?</v>
      </c>
      <c r="AO77" s="2" t="e">
        <f t="shared" ca="1" si="148"/>
        <v>#NAME?</v>
      </c>
      <c r="AP77" s="2" t="e">
        <f t="shared" ca="1" si="148"/>
        <v>#NAME?</v>
      </c>
      <c r="AQ77" s="2" t="e">
        <f t="shared" ca="1" si="148"/>
        <v>#NAME?</v>
      </c>
      <c r="AR77" s="2" t="e">
        <f t="shared" ca="1" si="148"/>
        <v>#NAME?</v>
      </c>
    </row>
    <row r="78" spans="1:44" x14ac:dyDescent="0.15">
      <c r="C78" s="2" t="e">
        <f t="shared" ref="C78:AR78" ca="1" si="149">BowlSplit(C16,$A$67)</f>
        <v>#NAME?</v>
      </c>
      <c r="D78" s="2" t="e">
        <f t="shared" ca="1" si="149"/>
        <v>#NAME?</v>
      </c>
      <c r="E78" s="2" t="e">
        <f t="shared" ca="1" si="149"/>
        <v>#NAME?</v>
      </c>
      <c r="F78" s="2" t="e">
        <f t="shared" ca="1" si="149"/>
        <v>#NAME?</v>
      </c>
      <c r="G78" s="2" t="e">
        <f t="shared" ca="1" si="149"/>
        <v>#NAME?</v>
      </c>
      <c r="H78" s="2" t="e">
        <f t="shared" ca="1" si="149"/>
        <v>#NAME?</v>
      </c>
      <c r="I78" s="2" t="e">
        <f t="shared" ca="1" si="149"/>
        <v>#NAME?</v>
      </c>
      <c r="J78" s="2" t="e">
        <f t="shared" ca="1" si="149"/>
        <v>#NAME?</v>
      </c>
      <c r="K78" s="2" t="e">
        <f t="shared" ca="1" si="149"/>
        <v>#NAME?</v>
      </c>
      <c r="L78" s="2" t="e">
        <f t="shared" ca="1" si="149"/>
        <v>#NAME?</v>
      </c>
      <c r="M78" s="2" t="e">
        <f t="shared" ca="1" si="149"/>
        <v>#NAME?</v>
      </c>
      <c r="N78" s="2" t="e">
        <f t="shared" ca="1" si="149"/>
        <v>#NAME?</v>
      </c>
      <c r="O78" s="2" t="e">
        <f t="shared" ca="1" si="149"/>
        <v>#NAME?</v>
      </c>
      <c r="P78" s="2" t="e">
        <f t="shared" ca="1" si="149"/>
        <v>#NAME?</v>
      </c>
      <c r="Q78" s="2" t="e">
        <f t="shared" ca="1" si="149"/>
        <v>#NAME?</v>
      </c>
      <c r="R78" s="2" t="e">
        <f t="shared" ca="1" si="149"/>
        <v>#NAME?</v>
      </c>
      <c r="S78" s="2" t="e">
        <f t="shared" ca="1" si="149"/>
        <v>#NAME?</v>
      </c>
      <c r="T78" s="2" t="e">
        <f t="shared" ca="1" si="149"/>
        <v>#NAME?</v>
      </c>
      <c r="U78" s="2" t="e">
        <f t="shared" ca="1" si="149"/>
        <v>#NAME?</v>
      </c>
      <c r="V78" s="2" t="e">
        <f t="shared" ca="1" si="149"/>
        <v>#NAME?</v>
      </c>
      <c r="W78" s="2" t="e">
        <f t="shared" ca="1" si="149"/>
        <v>#NAME?</v>
      </c>
      <c r="X78" s="2" t="e">
        <f t="shared" ca="1" si="149"/>
        <v>#NAME?</v>
      </c>
      <c r="Y78" s="2" t="e">
        <f t="shared" ca="1" si="149"/>
        <v>#NAME?</v>
      </c>
      <c r="Z78" s="2" t="e">
        <f t="shared" ca="1" si="149"/>
        <v>#NAME?</v>
      </c>
      <c r="AA78" s="2" t="e">
        <f t="shared" ca="1" si="149"/>
        <v>#NAME?</v>
      </c>
      <c r="AB78" s="2" t="e">
        <f t="shared" ca="1" si="149"/>
        <v>#NAME?</v>
      </c>
      <c r="AC78" s="2" t="e">
        <f t="shared" ca="1" si="149"/>
        <v>#NAME?</v>
      </c>
      <c r="AD78" s="2" t="e">
        <f t="shared" ca="1" si="149"/>
        <v>#NAME?</v>
      </c>
      <c r="AE78" s="2" t="e">
        <f t="shared" ca="1" si="149"/>
        <v>#NAME?</v>
      </c>
      <c r="AF78" s="2" t="e">
        <f t="shared" ca="1" si="149"/>
        <v>#NAME?</v>
      </c>
      <c r="AG78" s="2" t="e">
        <f t="shared" ca="1" si="149"/>
        <v>#NAME?</v>
      </c>
      <c r="AH78" s="2" t="e">
        <f t="shared" ca="1" si="149"/>
        <v>#NAME?</v>
      </c>
      <c r="AI78" s="2" t="e">
        <f t="shared" ca="1" si="149"/>
        <v>#NAME?</v>
      </c>
      <c r="AJ78" s="2" t="e">
        <f t="shared" ca="1" si="149"/>
        <v>#NAME?</v>
      </c>
      <c r="AK78" s="2" t="e">
        <f t="shared" ca="1" si="149"/>
        <v>#NAME?</v>
      </c>
      <c r="AL78" s="2" t="e">
        <f t="shared" ca="1" si="149"/>
        <v>#NAME?</v>
      </c>
      <c r="AM78" s="2" t="e">
        <f t="shared" ca="1" si="149"/>
        <v>#NAME?</v>
      </c>
      <c r="AN78" s="2" t="e">
        <f t="shared" ca="1" si="149"/>
        <v>#NAME?</v>
      </c>
      <c r="AO78" s="2" t="e">
        <f t="shared" ca="1" si="149"/>
        <v>#NAME?</v>
      </c>
      <c r="AP78" s="2" t="e">
        <f t="shared" ca="1" si="149"/>
        <v>#NAME?</v>
      </c>
      <c r="AQ78" s="2" t="e">
        <f t="shared" ca="1" si="149"/>
        <v>#NAME?</v>
      </c>
      <c r="AR78" s="2" t="e">
        <f t="shared" ca="1" si="149"/>
        <v>#NAME?</v>
      </c>
    </row>
    <row r="79" spans="1:44" x14ac:dyDescent="0.15">
      <c r="C79" s="2" t="e">
        <f t="shared" ref="C79:AR79" ca="1" si="150">BowlSplit(C17,$A$67)</f>
        <v>#NAME?</v>
      </c>
      <c r="D79" s="2" t="e">
        <f t="shared" ca="1" si="150"/>
        <v>#NAME?</v>
      </c>
      <c r="E79" s="2" t="e">
        <f t="shared" ca="1" si="150"/>
        <v>#NAME?</v>
      </c>
      <c r="F79" s="2" t="e">
        <f t="shared" ca="1" si="150"/>
        <v>#NAME?</v>
      </c>
      <c r="G79" s="2" t="e">
        <f t="shared" ca="1" si="150"/>
        <v>#NAME?</v>
      </c>
      <c r="H79" s="2" t="e">
        <f t="shared" ca="1" si="150"/>
        <v>#NAME?</v>
      </c>
      <c r="I79" s="2" t="e">
        <f t="shared" ca="1" si="150"/>
        <v>#NAME?</v>
      </c>
      <c r="J79" s="2" t="e">
        <f t="shared" ca="1" si="150"/>
        <v>#NAME?</v>
      </c>
      <c r="K79" s="2" t="e">
        <f t="shared" ca="1" si="150"/>
        <v>#NAME?</v>
      </c>
      <c r="L79" s="2" t="e">
        <f t="shared" ca="1" si="150"/>
        <v>#NAME?</v>
      </c>
      <c r="M79" s="2" t="e">
        <f t="shared" ca="1" si="150"/>
        <v>#NAME?</v>
      </c>
      <c r="N79" s="2" t="e">
        <f t="shared" ca="1" si="150"/>
        <v>#NAME?</v>
      </c>
      <c r="O79" s="2" t="e">
        <f t="shared" ca="1" si="150"/>
        <v>#NAME?</v>
      </c>
      <c r="P79" s="2" t="e">
        <f t="shared" ca="1" si="150"/>
        <v>#NAME?</v>
      </c>
      <c r="Q79" s="2" t="e">
        <f t="shared" ca="1" si="150"/>
        <v>#NAME?</v>
      </c>
      <c r="R79" s="2" t="e">
        <f t="shared" ca="1" si="150"/>
        <v>#NAME?</v>
      </c>
      <c r="S79" s="2" t="e">
        <f t="shared" ca="1" si="150"/>
        <v>#NAME?</v>
      </c>
      <c r="T79" s="2" t="e">
        <f t="shared" ca="1" si="150"/>
        <v>#NAME?</v>
      </c>
      <c r="U79" s="2" t="e">
        <f t="shared" ca="1" si="150"/>
        <v>#NAME?</v>
      </c>
      <c r="V79" s="2" t="e">
        <f t="shared" ca="1" si="150"/>
        <v>#NAME?</v>
      </c>
      <c r="W79" s="2" t="e">
        <f t="shared" ca="1" si="150"/>
        <v>#NAME?</v>
      </c>
      <c r="X79" s="2" t="e">
        <f t="shared" ca="1" si="150"/>
        <v>#NAME?</v>
      </c>
      <c r="Y79" s="2" t="e">
        <f t="shared" ca="1" si="150"/>
        <v>#NAME?</v>
      </c>
      <c r="Z79" s="2" t="e">
        <f t="shared" ca="1" si="150"/>
        <v>#NAME?</v>
      </c>
      <c r="AA79" s="2" t="e">
        <f t="shared" ca="1" si="150"/>
        <v>#NAME?</v>
      </c>
      <c r="AB79" s="2" t="e">
        <f t="shared" ca="1" si="150"/>
        <v>#NAME?</v>
      </c>
      <c r="AC79" s="2" t="e">
        <f t="shared" ca="1" si="150"/>
        <v>#NAME?</v>
      </c>
      <c r="AD79" s="2" t="e">
        <f t="shared" ca="1" si="150"/>
        <v>#NAME?</v>
      </c>
      <c r="AE79" s="2" t="e">
        <f t="shared" ca="1" si="150"/>
        <v>#NAME?</v>
      </c>
      <c r="AF79" s="2" t="e">
        <f t="shared" ca="1" si="150"/>
        <v>#NAME?</v>
      </c>
      <c r="AG79" s="2" t="e">
        <f t="shared" ca="1" si="150"/>
        <v>#NAME?</v>
      </c>
      <c r="AH79" s="2" t="e">
        <f t="shared" ca="1" si="150"/>
        <v>#NAME?</v>
      </c>
      <c r="AI79" s="2" t="e">
        <f t="shared" ca="1" si="150"/>
        <v>#NAME?</v>
      </c>
      <c r="AJ79" s="2" t="e">
        <f t="shared" ca="1" si="150"/>
        <v>#NAME?</v>
      </c>
      <c r="AK79" s="2" t="e">
        <f t="shared" ca="1" si="150"/>
        <v>#NAME?</v>
      </c>
      <c r="AL79" s="2" t="e">
        <f t="shared" ca="1" si="150"/>
        <v>#NAME?</v>
      </c>
      <c r="AM79" s="2" t="e">
        <f t="shared" ca="1" si="150"/>
        <v>#NAME?</v>
      </c>
      <c r="AN79" s="2" t="e">
        <f t="shared" ca="1" si="150"/>
        <v>#NAME?</v>
      </c>
      <c r="AO79" s="2" t="e">
        <f t="shared" ca="1" si="150"/>
        <v>#NAME?</v>
      </c>
      <c r="AP79" s="2" t="e">
        <f t="shared" ca="1" si="150"/>
        <v>#NAME?</v>
      </c>
      <c r="AQ79" s="2" t="e">
        <f t="shared" ca="1" si="150"/>
        <v>#NAME?</v>
      </c>
      <c r="AR79" s="2" t="e">
        <f t="shared" ca="1" si="150"/>
        <v>#NAME?</v>
      </c>
    </row>
    <row r="80" spans="1:44" x14ac:dyDescent="0.15">
      <c r="C80" s="2" t="e">
        <f t="shared" ref="C80:AR80" ca="1" si="151">BowlSplit(C18,$A$67)</f>
        <v>#NAME?</v>
      </c>
      <c r="D80" s="2" t="e">
        <f t="shared" ca="1" si="151"/>
        <v>#NAME?</v>
      </c>
      <c r="E80" s="2" t="e">
        <f t="shared" ca="1" si="151"/>
        <v>#NAME?</v>
      </c>
      <c r="F80" s="2" t="e">
        <f t="shared" ca="1" si="151"/>
        <v>#NAME?</v>
      </c>
      <c r="G80" s="2" t="e">
        <f t="shared" ca="1" si="151"/>
        <v>#NAME?</v>
      </c>
      <c r="H80" s="2" t="e">
        <f t="shared" ca="1" si="151"/>
        <v>#NAME?</v>
      </c>
      <c r="I80" s="2" t="e">
        <f t="shared" ca="1" si="151"/>
        <v>#NAME?</v>
      </c>
      <c r="J80" s="2" t="e">
        <f t="shared" ca="1" si="151"/>
        <v>#NAME?</v>
      </c>
      <c r="K80" s="2" t="e">
        <f t="shared" ca="1" si="151"/>
        <v>#NAME?</v>
      </c>
      <c r="L80" s="2" t="e">
        <f t="shared" ca="1" si="151"/>
        <v>#NAME?</v>
      </c>
      <c r="M80" s="2" t="e">
        <f t="shared" ca="1" si="151"/>
        <v>#NAME?</v>
      </c>
      <c r="N80" s="2" t="e">
        <f t="shared" ca="1" si="151"/>
        <v>#NAME?</v>
      </c>
      <c r="O80" s="2" t="e">
        <f t="shared" ca="1" si="151"/>
        <v>#NAME?</v>
      </c>
      <c r="P80" s="2" t="e">
        <f t="shared" ca="1" si="151"/>
        <v>#NAME?</v>
      </c>
      <c r="Q80" s="2" t="e">
        <f t="shared" ca="1" si="151"/>
        <v>#NAME?</v>
      </c>
      <c r="R80" s="2" t="e">
        <f t="shared" ca="1" si="151"/>
        <v>#NAME?</v>
      </c>
      <c r="S80" s="2" t="e">
        <f t="shared" ca="1" si="151"/>
        <v>#NAME?</v>
      </c>
      <c r="T80" s="2" t="e">
        <f t="shared" ca="1" si="151"/>
        <v>#NAME?</v>
      </c>
      <c r="U80" s="2" t="e">
        <f t="shared" ca="1" si="151"/>
        <v>#NAME?</v>
      </c>
      <c r="V80" s="2" t="e">
        <f t="shared" ca="1" si="151"/>
        <v>#NAME?</v>
      </c>
      <c r="W80" s="2" t="e">
        <f t="shared" ca="1" si="151"/>
        <v>#NAME?</v>
      </c>
      <c r="X80" s="2" t="e">
        <f t="shared" ca="1" si="151"/>
        <v>#NAME?</v>
      </c>
      <c r="Y80" s="2" t="e">
        <f t="shared" ca="1" si="151"/>
        <v>#NAME?</v>
      </c>
      <c r="Z80" s="2" t="e">
        <f t="shared" ca="1" si="151"/>
        <v>#NAME?</v>
      </c>
      <c r="AA80" s="2" t="e">
        <f t="shared" ca="1" si="151"/>
        <v>#NAME?</v>
      </c>
      <c r="AB80" s="2" t="e">
        <f t="shared" ca="1" si="151"/>
        <v>#NAME?</v>
      </c>
      <c r="AC80" s="2" t="e">
        <f t="shared" ca="1" si="151"/>
        <v>#NAME?</v>
      </c>
      <c r="AD80" s="2" t="e">
        <f t="shared" ca="1" si="151"/>
        <v>#NAME?</v>
      </c>
      <c r="AE80" s="2" t="e">
        <f t="shared" ca="1" si="151"/>
        <v>#NAME?</v>
      </c>
      <c r="AF80" s="2" t="e">
        <f t="shared" ca="1" si="151"/>
        <v>#NAME?</v>
      </c>
      <c r="AG80" s="2" t="e">
        <f t="shared" ca="1" si="151"/>
        <v>#NAME?</v>
      </c>
      <c r="AH80" s="2" t="e">
        <f t="shared" ca="1" si="151"/>
        <v>#NAME?</v>
      </c>
      <c r="AI80" s="2" t="e">
        <f t="shared" ca="1" si="151"/>
        <v>#NAME?</v>
      </c>
      <c r="AJ80" s="2" t="e">
        <f t="shared" ca="1" si="151"/>
        <v>#NAME?</v>
      </c>
      <c r="AK80" s="2" t="e">
        <f t="shared" ca="1" si="151"/>
        <v>#NAME?</v>
      </c>
      <c r="AL80" s="2" t="e">
        <f t="shared" ca="1" si="151"/>
        <v>#NAME?</v>
      </c>
      <c r="AM80" s="2" t="e">
        <f t="shared" ca="1" si="151"/>
        <v>#NAME?</v>
      </c>
      <c r="AN80" s="2" t="e">
        <f t="shared" ca="1" si="151"/>
        <v>#NAME?</v>
      </c>
      <c r="AO80" s="2" t="e">
        <f t="shared" ca="1" si="151"/>
        <v>#NAME?</v>
      </c>
      <c r="AP80" s="2" t="e">
        <f t="shared" ca="1" si="151"/>
        <v>#NAME?</v>
      </c>
      <c r="AQ80" s="2" t="e">
        <f t="shared" ca="1" si="151"/>
        <v>#NAME?</v>
      </c>
      <c r="AR80" s="2" t="e">
        <f t="shared" ca="1" si="151"/>
        <v>#NAME?</v>
      </c>
    </row>
    <row r="81" spans="3:44" x14ac:dyDescent="0.15">
      <c r="C81" s="2" t="e">
        <f t="shared" ref="C81:AR81" ca="1" si="152">BowlSplit(C19,$A$67)</f>
        <v>#NAME?</v>
      </c>
      <c r="D81" s="2" t="e">
        <f t="shared" ca="1" si="152"/>
        <v>#NAME?</v>
      </c>
      <c r="E81" s="2" t="e">
        <f t="shared" ca="1" si="152"/>
        <v>#NAME?</v>
      </c>
      <c r="F81" s="2" t="e">
        <f t="shared" ca="1" si="152"/>
        <v>#NAME?</v>
      </c>
      <c r="G81" s="2" t="e">
        <f t="shared" ca="1" si="152"/>
        <v>#NAME?</v>
      </c>
      <c r="H81" s="2" t="e">
        <f t="shared" ca="1" si="152"/>
        <v>#NAME?</v>
      </c>
      <c r="I81" s="2" t="e">
        <f t="shared" ca="1" si="152"/>
        <v>#NAME?</v>
      </c>
      <c r="J81" s="2" t="e">
        <f t="shared" ca="1" si="152"/>
        <v>#NAME?</v>
      </c>
      <c r="K81" s="2" t="e">
        <f t="shared" ca="1" si="152"/>
        <v>#NAME?</v>
      </c>
      <c r="L81" s="2" t="e">
        <f t="shared" ca="1" si="152"/>
        <v>#NAME?</v>
      </c>
      <c r="M81" s="2" t="e">
        <f t="shared" ca="1" si="152"/>
        <v>#NAME?</v>
      </c>
      <c r="N81" s="2" t="e">
        <f t="shared" ca="1" si="152"/>
        <v>#NAME?</v>
      </c>
      <c r="O81" s="2" t="e">
        <f t="shared" ca="1" si="152"/>
        <v>#NAME?</v>
      </c>
      <c r="P81" s="2" t="e">
        <f t="shared" ca="1" si="152"/>
        <v>#NAME?</v>
      </c>
      <c r="Q81" s="2" t="e">
        <f t="shared" ca="1" si="152"/>
        <v>#NAME?</v>
      </c>
      <c r="R81" s="2" t="e">
        <f t="shared" ca="1" si="152"/>
        <v>#NAME?</v>
      </c>
      <c r="S81" s="2" t="e">
        <f t="shared" ca="1" si="152"/>
        <v>#NAME?</v>
      </c>
      <c r="T81" s="2" t="e">
        <f t="shared" ca="1" si="152"/>
        <v>#NAME?</v>
      </c>
      <c r="U81" s="2" t="e">
        <f t="shared" ca="1" si="152"/>
        <v>#NAME?</v>
      </c>
      <c r="V81" s="2" t="e">
        <f t="shared" ca="1" si="152"/>
        <v>#NAME?</v>
      </c>
      <c r="W81" s="2" t="e">
        <f t="shared" ca="1" si="152"/>
        <v>#NAME?</v>
      </c>
      <c r="X81" s="2" t="e">
        <f t="shared" ca="1" si="152"/>
        <v>#NAME?</v>
      </c>
      <c r="Y81" s="2" t="e">
        <f t="shared" ca="1" si="152"/>
        <v>#NAME?</v>
      </c>
      <c r="Z81" s="2" t="e">
        <f t="shared" ca="1" si="152"/>
        <v>#NAME?</v>
      </c>
      <c r="AA81" s="2" t="e">
        <f t="shared" ca="1" si="152"/>
        <v>#NAME?</v>
      </c>
      <c r="AB81" s="2" t="e">
        <f t="shared" ca="1" si="152"/>
        <v>#NAME?</v>
      </c>
      <c r="AC81" s="2" t="e">
        <f t="shared" ca="1" si="152"/>
        <v>#NAME?</v>
      </c>
      <c r="AD81" s="2" t="e">
        <f t="shared" ca="1" si="152"/>
        <v>#NAME?</v>
      </c>
      <c r="AE81" s="2" t="e">
        <f t="shared" ca="1" si="152"/>
        <v>#NAME?</v>
      </c>
      <c r="AF81" s="2" t="e">
        <f t="shared" ca="1" si="152"/>
        <v>#NAME?</v>
      </c>
      <c r="AG81" s="2" t="e">
        <f t="shared" ca="1" si="152"/>
        <v>#NAME?</v>
      </c>
      <c r="AH81" s="2" t="e">
        <f t="shared" ca="1" si="152"/>
        <v>#NAME?</v>
      </c>
      <c r="AI81" s="2" t="e">
        <f t="shared" ca="1" si="152"/>
        <v>#NAME?</v>
      </c>
      <c r="AJ81" s="2" t="e">
        <f t="shared" ca="1" si="152"/>
        <v>#NAME?</v>
      </c>
      <c r="AK81" s="2" t="e">
        <f t="shared" ca="1" si="152"/>
        <v>#NAME?</v>
      </c>
      <c r="AL81" s="2" t="e">
        <f t="shared" ca="1" si="152"/>
        <v>#NAME?</v>
      </c>
      <c r="AM81" s="2" t="e">
        <f t="shared" ca="1" si="152"/>
        <v>#NAME?</v>
      </c>
      <c r="AN81" s="2" t="e">
        <f t="shared" ca="1" si="152"/>
        <v>#NAME?</v>
      </c>
      <c r="AO81" s="2" t="e">
        <f t="shared" ca="1" si="152"/>
        <v>#NAME?</v>
      </c>
      <c r="AP81" s="2" t="e">
        <f t="shared" ca="1" si="152"/>
        <v>#NAME?</v>
      </c>
      <c r="AQ81" s="2" t="e">
        <f t="shared" ca="1" si="152"/>
        <v>#NAME?</v>
      </c>
      <c r="AR81" s="2" t="e">
        <f t="shared" ca="1" si="152"/>
        <v>#NAME?</v>
      </c>
    </row>
    <row r="82" spans="3:44" x14ac:dyDescent="0.15">
      <c r="C82" s="2" t="e">
        <f t="shared" ref="C82:AR82" ca="1" si="153">BowlSplit(C20,$A$67)</f>
        <v>#NAME?</v>
      </c>
      <c r="D82" s="2" t="e">
        <f t="shared" ca="1" si="153"/>
        <v>#NAME?</v>
      </c>
      <c r="E82" s="2" t="e">
        <f t="shared" ca="1" si="153"/>
        <v>#NAME?</v>
      </c>
      <c r="F82" s="2" t="e">
        <f t="shared" ca="1" si="153"/>
        <v>#NAME?</v>
      </c>
      <c r="G82" s="2" t="e">
        <f t="shared" ca="1" si="153"/>
        <v>#NAME?</v>
      </c>
      <c r="H82" s="2" t="e">
        <f t="shared" ca="1" si="153"/>
        <v>#NAME?</v>
      </c>
      <c r="I82" s="2" t="e">
        <f t="shared" ca="1" si="153"/>
        <v>#NAME?</v>
      </c>
      <c r="J82" s="2" t="e">
        <f t="shared" ca="1" si="153"/>
        <v>#NAME?</v>
      </c>
      <c r="K82" s="2" t="e">
        <f t="shared" ca="1" si="153"/>
        <v>#NAME?</v>
      </c>
      <c r="L82" s="2" t="e">
        <f t="shared" ca="1" si="153"/>
        <v>#NAME?</v>
      </c>
      <c r="M82" s="2" t="e">
        <f t="shared" ca="1" si="153"/>
        <v>#NAME?</v>
      </c>
      <c r="N82" s="2" t="e">
        <f t="shared" ca="1" si="153"/>
        <v>#NAME?</v>
      </c>
      <c r="O82" s="2" t="e">
        <f t="shared" ca="1" si="153"/>
        <v>#NAME?</v>
      </c>
      <c r="P82" s="2" t="e">
        <f t="shared" ca="1" si="153"/>
        <v>#NAME?</v>
      </c>
      <c r="Q82" s="2" t="e">
        <f t="shared" ca="1" si="153"/>
        <v>#NAME?</v>
      </c>
      <c r="R82" s="2" t="e">
        <f t="shared" ca="1" si="153"/>
        <v>#NAME?</v>
      </c>
      <c r="S82" s="2" t="e">
        <f t="shared" ca="1" si="153"/>
        <v>#NAME?</v>
      </c>
      <c r="T82" s="2" t="e">
        <f t="shared" ca="1" si="153"/>
        <v>#NAME?</v>
      </c>
      <c r="U82" s="2" t="e">
        <f t="shared" ca="1" si="153"/>
        <v>#NAME?</v>
      </c>
      <c r="V82" s="2" t="e">
        <f t="shared" ca="1" si="153"/>
        <v>#NAME?</v>
      </c>
      <c r="W82" s="2" t="e">
        <f t="shared" ca="1" si="153"/>
        <v>#NAME?</v>
      </c>
      <c r="X82" s="2" t="e">
        <f t="shared" ca="1" si="153"/>
        <v>#NAME?</v>
      </c>
      <c r="Y82" s="2" t="e">
        <f t="shared" ca="1" si="153"/>
        <v>#NAME?</v>
      </c>
      <c r="Z82" s="2" t="e">
        <f t="shared" ca="1" si="153"/>
        <v>#NAME?</v>
      </c>
      <c r="AA82" s="2" t="e">
        <f t="shared" ca="1" si="153"/>
        <v>#NAME?</v>
      </c>
      <c r="AB82" s="2" t="e">
        <f t="shared" ca="1" si="153"/>
        <v>#NAME?</v>
      </c>
      <c r="AC82" s="2" t="e">
        <f t="shared" ca="1" si="153"/>
        <v>#NAME?</v>
      </c>
      <c r="AD82" s="2" t="e">
        <f t="shared" ca="1" si="153"/>
        <v>#NAME?</v>
      </c>
      <c r="AE82" s="2" t="e">
        <f t="shared" ca="1" si="153"/>
        <v>#NAME?</v>
      </c>
      <c r="AF82" s="2" t="e">
        <f t="shared" ca="1" si="153"/>
        <v>#NAME?</v>
      </c>
      <c r="AG82" s="2" t="e">
        <f t="shared" ca="1" si="153"/>
        <v>#NAME?</v>
      </c>
      <c r="AH82" s="2" t="e">
        <f t="shared" ca="1" si="153"/>
        <v>#NAME?</v>
      </c>
      <c r="AI82" s="2" t="e">
        <f t="shared" ca="1" si="153"/>
        <v>#NAME?</v>
      </c>
      <c r="AJ82" s="2" t="e">
        <f t="shared" ca="1" si="153"/>
        <v>#NAME?</v>
      </c>
      <c r="AK82" s="2" t="e">
        <f t="shared" ca="1" si="153"/>
        <v>#NAME?</v>
      </c>
      <c r="AL82" s="2" t="e">
        <f t="shared" ca="1" si="153"/>
        <v>#NAME?</v>
      </c>
      <c r="AM82" s="2" t="e">
        <f t="shared" ca="1" si="153"/>
        <v>#NAME?</v>
      </c>
      <c r="AN82" s="2" t="e">
        <f t="shared" ca="1" si="153"/>
        <v>#NAME?</v>
      </c>
      <c r="AO82" s="2" t="e">
        <f t="shared" ca="1" si="153"/>
        <v>#NAME?</v>
      </c>
      <c r="AP82" s="2" t="e">
        <f t="shared" ca="1" si="153"/>
        <v>#NAME?</v>
      </c>
      <c r="AQ82" s="2" t="e">
        <f t="shared" ca="1" si="153"/>
        <v>#NAME?</v>
      </c>
      <c r="AR82" s="2" t="e">
        <f t="shared" ca="1" si="153"/>
        <v>#NAME?</v>
      </c>
    </row>
    <row r="83" spans="3:44" x14ac:dyDescent="0.15">
      <c r="C83" s="2" t="e">
        <f t="shared" ref="C83:AR83" ca="1" si="154">BowlSplit(C21,$A$67)</f>
        <v>#NAME?</v>
      </c>
      <c r="D83" s="2" t="e">
        <f t="shared" ca="1" si="154"/>
        <v>#NAME?</v>
      </c>
      <c r="E83" s="2" t="e">
        <f t="shared" ca="1" si="154"/>
        <v>#NAME?</v>
      </c>
      <c r="F83" s="2" t="e">
        <f t="shared" ca="1" si="154"/>
        <v>#NAME?</v>
      </c>
      <c r="G83" s="2" t="e">
        <f t="shared" ca="1" si="154"/>
        <v>#NAME?</v>
      </c>
      <c r="H83" s="2" t="e">
        <f t="shared" ca="1" si="154"/>
        <v>#NAME?</v>
      </c>
      <c r="I83" s="2" t="e">
        <f t="shared" ca="1" si="154"/>
        <v>#NAME?</v>
      </c>
      <c r="J83" s="2" t="e">
        <f t="shared" ca="1" si="154"/>
        <v>#NAME?</v>
      </c>
      <c r="K83" s="2" t="e">
        <f t="shared" ca="1" si="154"/>
        <v>#NAME?</v>
      </c>
      <c r="L83" s="2" t="e">
        <f t="shared" ca="1" si="154"/>
        <v>#NAME?</v>
      </c>
      <c r="M83" s="2" t="e">
        <f t="shared" ca="1" si="154"/>
        <v>#NAME?</v>
      </c>
      <c r="N83" s="2" t="e">
        <f t="shared" ca="1" si="154"/>
        <v>#NAME?</v>
      </c>
      <c r="O83" s="2" t="e">
        <f t="shared" ca="1" si="154"/>
        <v>#NAME?</v>
      </c>
      <c r="P83" s="2" t="e">
        <f t="shared" ca="1" si="154"/>
        <v>#NAME?</v>
      </c>
      <c r="Q83" s="2" t="e">
        <f t="shared" ca="1" si="154"/>
        <v>#NAME?</v>
      </c>
      <c r="R83" s="2" t="e">
        <f t="shared" ca="1" si="154"/>
        <v>#NAME?</v>
      </c>
      <c r="S83" s="2" t="e">
        <f t="shared" ca="1" si="154"/>
        <v>#NAME?</v>
      </c>
      <c r="T83" s="2" t="e">
        <f t="shared" ca="1" si="154"/>
        <v>#NAME?</v>
      </c>
      <c r="U83" s="2" t="e">
        <f t="shared" ca="1" si="154"/>
        <v>#NAME?</v>
      </c>
      <c r="V83" s="2" t="e">
        <f t="shared" ca="1" si="154"/>
        <v>#NAME?</v>
      </c>
      <c r="W83" s="2" t="e">
        <f t="shared" ca="1" si="154"/>
        <v>#NAME?</v>
      </c>
      <c r="X83" s="2" t="e">
        <f t="shared" ca="1" si="154"/>
        <v>#NAME?</v>
      </c>
      <c r="Y83" s="2" t="e">
        <f t="shared" ca="1" si="154"/>
        <v>#NAME?</v>
      </c>
      <c r="Z83" s="2" t="e">
        <f t="shared" ca="1" si="154"/>
        <v>#NAME?</v>
      </c>
      <c r="AA83" s="2" t="e">
        <f t="shared" ca="1" si="154"/>
        <v>#NAME?</v>
      </c>
      <c r="AB83" s="2" t="e">
        <f t="shared" ca="1" si="154"/>
        <v>#NAME?</v>
      </c>
      <c r="AC83" s="2" t="e">
        <f t="shared" ca="1" si="154"/>
        <v>#NAME?</v>
      </c>
      <c r="AD83" s="2" t="e">
        <f t="shared" ca="1" si="154"/>
        <v>#NAME?</v>
      </c>
      <c r="AE83" s="2" t="e">
        <f t="shared" ca="1" si="154"/>
        <v>#NAME?</v>
      </c>
      <c r="AF83" s="2" t="e">
        <f t="shared" ca="1" si="154"/>
        <v>#NAME?</v>
      </c>
      <c r="AG83" s="2" t="e">
        <f t="shared" ca="1" si="154"/>
        <v>#NAME?</v>
      </c>
      <c r="AH83" s="2" t="e">
        <f t="shared" ca="1" si="154"/>
        <v>#NAME?</v>
      </c>
      <c r="AI83" s="2" t="e">
        <f t="shared" ca="1" si="154"/>
        <v>#NAME?</v>
      </c>
      <c r="AJ83" s="2" t="e">
        <f t="shared" ca="1" si="154"/>
        <v>#NAME?</v>
      </c>
      <c r="AK83" s="2" t="e">
        <f t="shared" ca="1" si="154"/>
        <v>#NAME?</v>
      </c>
      <c r="AL83" s="2" t="e">
        <f t="shared" ca="1" si="154"/>
        <v>#NAME?</v>
      </c>
      <c r="AM83" s="2" t="e">
        <f t="shared" ca="1" si="154"/>
        <v>#NAME?</v>
      </c>
      <c r="AN83" s="2" t="e">
        <f t="shared" ca="1" si="154"/>
        <v>#NAME?</v>
      </c>
      <c r="AO83" s="2" t="e">
        <f t="shared" ca="1" si="154"/>
        <v>#NAME?</v>
      </c>
      <c r="AP83" s="2" t="e">
        <f t="shared" ca="1" si="154"/>
        <v>#NAME?</v>
      </c>
      <c r="AQ83" s="2" t="e">
        <f t="shared" ca="1" si="154"/>
        <v>#NAME?</v>
      </c>
      <c r="AR83" s="2" t="e">
        <f t="shared" ca="1" si="154"/>
        <v>#NAME?</v>
      </c>
    </row>
    <row r="84" spans="3:44" x14ac:dyDescent="0.15">
      <c r="C84" s="2" t="e">
        <f t="shared" ref="C84:AR84" ca="1" si="155">BowlSplit(C22,$A$67)</f>
        <v>#NAME?</v>
      </c>
      <c r="D84" s="2" t="e">
        <f t="shared" ca="1" si="155"/>
        <v>#NAME?</v>
      </c>
      <c r="E84" s="2" t="e">
        <f t="shared" ca="1" si="155"/>
        <v>#NAME?</v>
      </c>
      <c r="F84" s="2" t="e">
        <f t="shared" ca="1" si="155"/>
        <v>#NAME?</v>
      </c>
      <c r="G84" s="2" t="e">
        <f t="shared" ca="1" si="155"/>
        <v>#NAME?</v>
      </c>
      <c r="H84" s="2" t="e">
        <f t="shared" ca="1" si="155"/>
        <v>#NAME?</v>
      </c>
      <c r="I84" s="2" t="e">
        <f t="shared" ca="1" si="155"/>
        <v>#NAME?</v>
      </c>
      <c r="J84" s="2" t="e">
        <f t="shared" ca="1" si="155"/>
        <v>#NAME?</v>
      </c>
      <c r="K84" s="2" t="e">
        <f t="shared" ca="1" si="155"/>
        <v>#NAME?</v>
      </c>
      <c r="L84" s="2" t="e">
        <f t="shared" ca="1" si="155"/>
        <v>#NAME?</v>
      </c>
      <c r="M84" s="2" t="e">
        <f t="shared" ca="1" si="155"/>
        <v>#NAME?</v>
      </c>
      <c r="N84" s="2" t="e">
        <f t="shared" ca="1" si="155"/>
        <v>#NAME?</v>
      </c>
      <c r="O84" s="2" t="e">
        <f t="shared" ca="1" si="155"/>
        <v>#NAME?</v>
      </c>
      <c r="P84" s="2" t="e">
        <f t="shared" ca="1" si="155"/>
        <v>#NAME?</v>
      </c>
      <c r="Q84" s="2" t="e">
        <f t="shared" ca="1" si="155"/>
        <v>#NAME?</v>
      </c>
      <c r="R84" s="2" t="e">
        <f t="shared" ca="1" si="155"/>
        <v>#NAME?</v>
      </c>
      <c r="S84" s="2" t="e">
        <f t="shared" ca="1" si="155"/>
        <v>#NAME?</v>
      </c>
      <c r="T84" s="2" t="e">
        <f t="shared" ca="1" si="155"/>
        <v>#NAME?</v>
      </c>
      <c r="U84" s="2" t="e">
        <f t="shared" ca="1" si="155"/>
        <v>#NAME?</v>
      </c>
      <c r="V84" s="2" t="e">
        <f t="shared" ca="1" si="155"/>
        <v>#NAME?</v>
      </c>
      <c r="W84" s="2" t="e">
        <f t="shared" ca="1" si="155"/>
        <v>#NAME?</v>
      </c>
      <c r="X84" s="2" t="e">
        <f t="shared" ca="1" si="155"/>
        <v>#NAME?</v>
      </c>
      <c r="Y84" s="2" t="e">
        <f t="shared" ca="1" si="155"/>
        <v>#NAME?</v>
      </c>
      <c r="Z84" s="2" t="e">
        <f t="shared" ca="1" si="155"/>
        <v>#NAME?</v>
      </c>
      <c r="AA84" s="2" t="e">
        <f t="shared" ca="1" si="155"/>
        <v>#NAME?</v>
      </c>
      <c r="AB84" s="2" t="e">
        <f t="shared" ca="1" si="155"/>
        <v>#NAME?</v>
      </c>
      <c r="AC84" s="2" t="e">
        <f t="shared" ca="1" si="155"/>
        <v>#NAME?</v>
      </c>
      <c r="AD84" s="2" t="e">
        <f t="shared" ca="1" si="155"/>
        <v>#NAME?</v>
      </c>
      <c r="AE84" s="2" t="e">
        <f t="shared" ca="1" si="155"/>
        <v>#NAME?</v>
      </c>
      <c r="AF84" s="2" t="e">
        <f t="shared" ca="1" si="155"/>
        <v>#NAME?</v>
      </c>
      <c r="AG84" s="2" t="e">
        <f t="shared" ca="1" si="155"/>
        <v>#NAME?</v>
      </c>
      <c r="AH84" s="2" t="e">
        <f t="shared" ca="1" si="155"/>
        <v>#NAME?</v>
      </c>
      <c r="AI84" s="2" t="e">
        <f t="shared" ca="1" si="155"/>
        <v>#NAME?</v>
      </c>
      <c r="AJ84" s="2" t="e">
        <f t="shared" ca="1" si="155"/>
        <v>#NAME?</v>
      </c>
      <c r="AK84" s="2" t="e">
        <f t="shared" ca="1" si="155"/>
        <v>#NAME?</v>
      </c>
      <c r="AL84" s="2" t="e">
        <f t="shared" ca="1" si="155"/>
        <v>#NAME?</v>
      </c>
      <c r="AM84" s="2" t="e">
        <f t="shared" ca="1" si="155"/>
        <v>#NAME?</v>
      </c>
      <c r="AN84" s="2" t="e">
        <f t="shared" ca="1" si="155"/>
        <v>#NAME?</v>
      </c>
      <c r="AO84" s="2" t="e">
        <f t="shared" ca="1" si="155"/>
        <v>#NAME?</v>
      </c>
      <c r="AP84" s="2" t="e">
        <f t="shared" ca="1" si="155"/>
        <v>#NAME?</v>
      </c>
      <c r="AQ84" s="2" t="e">
        <f t="shared" ca="1" si="155"/>
        <v>#NAME?</v>
      </c>
      <c r="AR84" s="2" t="e">
        <f t="shared" ca="1" si="155"/>
        <v>#NAME?</v>
      </c>
    </row>
    <row r="85" spans="3:44" x14ac:dyDescent="0.15">
      <c r="C85" s="2" t="e">
        <f t="shared" ref="C85:AR85" ca="1" si="156">BowlSplit(C23,$A$67)</f>
        <v>#NAME?</v>
      </c>
      <c r="D85" s="2" t="e">
        <f t="shared" ca="1" si="156"/>
        <v>#NAME?</v>
      </c>
      <c r="E85" s="2" t="e">
        <f t="shared" ca="1" si="156"/>
        <v>#NAME?</v>
      </c>
      <c r="F85" s="2" t="e">
        <f t="shared" ca="1" si="156"/>
        <v>#NAME?</v>
      </c>
      <c r="G85" s="2" t="e">
        <f t="shared" ca="1" si="156"/>
        <v>#NAME?</v>
      </c>
      <c r="H85" s="2" t="e">
        <f t="shared" ca="1" si="156"/>
        <v>#NAME?</v>
      </c>
      <c r="I85" s="2" t="e">
        <f t="shared" ca="1" si="156"/>
        <v>#NAME?</v>
      </c>
      <c r="J85" s="2" t="e">
        <f t="shared" ca="1" si="156"/>
        <v>#NAME?</v>
      </c>
      <c r="K85" s="2" t="e">
        <f t="shared" ca="1" si="156"/>
        <v>#NAME?</v>
      </c>
      <c r="L85" s="2" t="e">
        <f t="shared" ca="1" si="156"/>
        <v>#NAME?</v>
      </c>
      <c r="M85" s="2" t="e">
        <f t="shared" ca="1" si="156"/>
        <v>#NAME?</v>
      </c>
      <c r="N85" s="2" t="e">
        <f t="shared" ca="1" si="156"/>
        <v>#NAME?</v>
      </c>
      <c r="O85" s="2" t="e">
        <f t="shared" ca="1" si="156"/>
        <v>#NAME?</v>
      </c>
      <c r="P85" s="2" t="e">
        <f t="shared" ca="1" si="156"/>
        <v>#NAME?</v>
      </c>
      <c r="Q85" s="2" t="e">
        <f t="shared" ca="1" si="156"/>
        <v>#NAME?</v>
      </c>
      <c r="R85" s="2" t="e">
        <f t="shared" ca="1" si="156"/>
        <v>#NAME?</v>
      </c>
      <c r="S85" s="2" t="e">
        <f t="shared" ca="1" si="156"/>
        <v>#NAME?</v>
      </c>
      <c r="T85" s="2" t="e">
        <f t="shared" ca="1" si="156"/>
        <v>#NAME?</v>
      </c>
      <c r="U85" s="2" t="e">
        <f t="shared" ca="1" si="156"/>
        <v>#NAME?</v>
      </c>
      <c r="V85" s="2" t="e">
        <f t="shared" ca="1" si="156"/>
        <v>#NAME?</v>
      </c>
      <c r="W85" s="2" t="e">
        <f t="shared" ca="1" si="156"/>
        <v>#NAME?</v>
      </c>
      <c r="X85" s="2" t="e">
        <f t="shared" ca="1" si="156"/>
        <v>#NAME?</v>
      </c>
      <c r="Y85" s="2" t="e">
        <f t="shared" ca="1" si="156"/>
        <v>#NAME?</v>
      </c>
      <c r="Z85" s="2" t="e">
        <f t="shared" ca="1" si="156"/>
        <v>#NAME?</v>
      </c>
      <c r="AA85" s="2" t="e">
        <f t="shared" ca="1" si="156"/>
        <v>#NAME?</v>
      </c>
      <c r="AB85" s="2" t="e">
        <f t="shared" ca="1" si="156"/>
        <v>#NAME?</v>
      </c>
      <c r="AC85" s="2" t="e">
        <f t="shared" ca="1" si="156"/>
        <v>#NAME?</v>
      </c>
      <c r="AD85" s="2" t="e">
        <f t="shared" ca="1" si="156"/>
        <v>#NAME?</v>
      </c>
      <c r="AE85" s="2" t="e">
        <f t="shared" ca="1" si="156"/>
        <v>#NAME?</v>
      </c>
      <c r="AF85" s="2" t="e">
        <f t="shared" ca="1" si="156"/>
        <v>#NAME?</v>
      </c>
      <c r="AG85" s="2" t="e">
        <f t="shared" ca="1" si="156"/>
        <v>#NAME?</v>
      </c>
      <c r="AH85" s="2" t="e">
        <f t="shared" ca="1" si="156"/>
        <v>#NAME?</v>
      </c>
      <c r="AI85" s="2" t="e">
        <f t="shared" ca="1" si="156"/>
        <v>#NAME?</v>
      </c>
      <c r="AJ85" s="2" t="e">
        <f t="shared" ca="1" si="156"/>
        <v>#NAME?</v>
      </c>
      <c r="AK85" s="2" t="e">
        <f t="shared" ca="1" si="156"/>
        <v>#NAME?</v>
      </c>
      <c r="AL85" s="2" t="e">
        <f t="shared" ca="1" si="156"/>
        <v>#NAME?</v>
      </c>
      <c r="AM85" s="2" t="e">
        <f t="shared" ca="1" si="156"/>
        <v>#NAME?</v>
      </c>
      <c r="AN85" s="2" t="e">
        <f t="shared" ca="1" si="156"/>
        <v>#NAME?</v>
      </c>
      <c r="AO85" s="2" t="e">
        <f t="shared" ca="1" si="156"/>
        <v>#NAME?</v>
      </c>
      <c r="AP85" s="2" t="e">
        <f t="shared" ca="1" si="156"/>
        <v>#NAME?</v>
      </c>
      <c r="AQ85" s="2" t="e">
        <f t="shared" ca="1" si="156"/>
        <v>#NAME?</v>
      </c>
      <c r="AR85" s="2" t="e">
        <f t="shared" ca="1" si="156"/>
        <v>#NAME?</v>
      </c>
    </row>
    <row r="86" spans="3:44" x14ac:dyDescent="0.15">
      <c r="C86" s="2" t="e">
        <f t="shared" ref="C86:AR86" ca="1" si="157">BowlSplit(C24,$A$67)</f>
        <v>#NAME?</v>
      </c>
      <c r="D86" s="2" t="e">
        <f t="shared" ca="1" si="157"/>
        <v>#NAME?</v>
      </c>
      <c r="E86" s="2" t="e">
        <f t="shared" ca="1" si="157"/>
        <v>#NAME?</v>
      </c>
      <c r="F86" s="2" t="e">
        <f t="shared" ca="1" si="157"/>
        <v>#NAME?</v>
      </c>
      <c r="G86" s="2" t="e">
        <f t="shared" ca="1" si="157"/>
        <v>#NAME?</v>
      </c>
      <c r="H86" s="2" t="e">
        <f t="shared" ca="1" si="157"/>
        <v>#NAME?</v>
      </c>
      <c r="I86" s="2" t="e">
        <f t="shared" ca="1" si="157"/>
        <v>#NAME?</v>
      </c>
      <c r="J86" s="2" t="e">
        <f t="shared" ca="1" si="157"/>
        <v>#NAME?</v>
      </c>
      <c r="K86" s="2" t="e">
        <f t="shared" ca="1" si="157"/>
        <v>#NAME?</v>
      </c>
      <c r="L86" s="2" t="e">
        <f t="shared" ca="1" si="157"/>
        <v>#NAME?</v>
      </c>
      <c r="M86" s="2" t="e">
        <f t="shared" ca="1" si="157"/>
        <v>#NAME?</v>
      </c>
      <c r="N86" s="2" t="e">
        <f t="shared" ca="1" si="157"/>
        <v>#NAME?</v>
      </c>
      <c r="O86" s="2" t="e">
        <f t="shared" ca="1" si="157"/>
        <v>#NAME?</v>
      </c>
      <c r="P86" s="2" t="e">
        <f t="shared" ca="1" si="157"/>
        <v>#NAME?</v>
      </c>
      <c r="Q86" s="2" t="e">
        <f t="shared" ca="1" si="157"/>
        <v>#NAME?</v>
      </c>
      <c r="R86" s="2" t="e">
        <f t="shared" ca="1" si="157"/>
        <v>#NAME?</v>
      </c>
      <c r="S86" s="2" t="e">
        <f t="shared" ca="1" si="157"/>
        <v>#NAME?</v>
      </c>
      <c r="T86" s="2" t="e">
        <f t="shared" ca="1" si="157"/>
        <v>#NAME?</v>
      </c>
      <c r="U86" s="2" t="e">
        <f t="shared" ca="1" si="157"/>
        <v>#NAME?</v>
      </c>
      <c r="V86" s="2" t="e">
        <f t="shared" ca="1" si="157"/>
        <v>#NAME?</v>
      </c>
      <c r="W86" s="2" t="e">
        <f t="shared" ca="1" si="157"/>
        <v>#NAME?</v>
      </c>
      <c r="X86" s="2" t="e">
        <f t="shared" ca="1" si="157"/>
        <v>#NAME?</v>
      </c>
      <c r="Y86" s="2" t="e">
        <f t="shared" ca="1" si="157"/>
        <v>#NAME?</v>
      </c>
      <c r="Z86" s="2" t="e">
        <f t="shared" ca="1" si="157"/>
        <v>#NAME?</v>
      </c>
      <c r="AA86" s="2" t="e">
        <f t="shared" ca="1" si="157"/>
        <v>#NAME?</v>
      </c>
      <c r="AB86" s="2" t="e">
        <f t="shared" ca="1" si="157"/>
        <v>#NAME?</v>
      </c>
      <c r="AC86" s="2" t="e">
        <f t="shared" ca="1" si="157"/>
        <v>#NAME?</v>
      </c>
      <c r="AD86" s="2" t="e">
        <f t="shared" ca="1" si="157"/>
        <v>#NAME?</v>
      </c>
      <c r="AE86" s="2" t="e">
        <f t="shared" ca="1" si="157"/>
        <v>#NAME?</v>
      </c>
      <c r="AF86" s="2" t="e">
        <f t="shared" ca="1" si="157"/>
        <v>#NAME?</v>
      </c>
      <c r="AG86" s="2" t="e">
        <f t="shared" ca="1" si="157"/>
        <v>#NAME?</v>
      </c>
      <c r="AH86" s="2" t="e">
        <f t="shared" ca="1" si="157"/>
        <v>#NAME?</v>
      </c>
      <c r="AI86" s="2" t="e">
        <f t="shared" ca="1" si="157"/>
        <v>#NAME?</v>
      </c>
      <c r="AJ86" s="2" t="e">
        <f t="shared" ca="1" si="157"/>
        <v>#NAME?</v>
      </c>
      <c r="AK86" s="2" t="e">
        <f t="shared" ca="1" si="157"/>
        <v>#NAME?</v>
      </c>
      <c r="AL86" s="2" t="e">
        <f t="shared" ca="1" si="157"/>
        <v>#NAME?</v>
      </c>
      <c r="AM86" s="2" t="e">
        <f t="shared" ca="1" si="157"/>
        <v>#NAME?</v>
      </c>
      <c r="AN86" s="2" t="e">
        <f t="shared" ca="1" si="157"/>
        <v>#NAME?</v>
      </c>
      <c r="AO86" s="2" t="e">
        <f t="shared" ca="1" si="157"/>
        <v>#NAME?</v>
      </c>
      <c r="AP86" s="2" t="e">
        <f t="shared" ca="1" si="157"/>
        <v>#NAME?</v>
      </c>
      <c r="AQ86" s="2" t="e">
        <f t="shared" ca="1" si="157"/>
        <v>#NAME?</v>
      </c>
      <c r="AR86" s="2" t="e">
        <f t="shared" ca="1" si="157"/>
        <v>#NAME?</v>
      </c>
    </row>
    <row r="87" spans="3:44" x14ac:dyDescent="0.15">
      <c r="C87" s="2" t="e">
        <f t="shared" ref="C87:AR87" ca="1" si="158">BowlSplit(C25,$A$67)</f>
        <v>#NAME?</v>
      </c>
      <c r="D87" s="2" t="e">
        <f t="shared" ca="1" si="158"/>
        <v>#NAME?</v>
      </c>
      <c r="E87" s="2" t="e">
        <f t="shared" ca="1" si="158"/>
        <v>#NAME?</v>
      </c>
      <c r="F87" s="2" t="e">
        <f t="shared" ca="1" si="158"/>
        <v>#NAME?</v>
      </c>
      <c r="G87" s="2" t="e">
        <f t="shared" ca="1" si="158"/>
        <v>#NAME?</v>
      </c>
      <c r="H87" s="2" t="e">
        <f t="shared" ca="1" si="158"/>
        <v>#NAME?</v>
      </c>
      <c r="I87" s="2" t="e">
        <f t="shared" ca="1" si="158"/>
        <v>#NAME?</v>
      </c>
      <c r="J87" s="2" t="e">
        <f t="shared" ca="1" si="158"/>
        <v>#NAME?</v>
      </c>
      <c r="K87" s="2" t="e">
        <f t="shared" ca="1" si="158"/>
        <v>#NAME?</v>
      </c>
      <c r="L87" s="2" t="e">
        <f t="shared" ca="1" si="158"/>
        <v>#NAME?</v>
      </c>
      <c r="M87" s="2" t="e">
        <f t="shared" ca="1" si="158"/>
        <v>#NAME?</v>
      </c>
      <c r="N87" s="2" t="e">
        <f t="shared" ca="1" si="158"/>
        <v>#NAME?</v>
      </c>
      <c r="O87" s="2" t="e">
        <f t="shared" ca="1" si="158"/>
        <v>#NAME?</v>
      </c>
      <c r="P87" s="2" t="e">
        <f t="shared" ca="1" si="158"/>
        <v>#NAME?</v>
      </c>
      <c r="Q87" s="2" t="e">
        <f t="shared" ca="1" si="158"/>
        <v>#NAME?</v>
      </c>
      <c r="R87" s="2" t="e">
        <f t="shared" ca="1" si="158"/>
        <v>#NAME?</v>
      </c>
      <c r="S87" s="2" t="e">
        <f t="shared" ca="1" si="158"/>
        <v>#NAME?</v>
      </c>
      <c r="T87" s="2" t="e">
        <f t="shared" ca="1" si="158"/>
        <v>#NAME?</v>
      </c>
      <c r="U87" s="2" t="e">
        <f t="shared" ca="1" si="158"/>
        <v>#NAME?</v>
      </c>
      <c r="V87" s="2" t="e">
        <f t="shared" ca="1" si="158"/>
        <v>#NAME?</v>
      </c>
      <c r="W87" s="2" t="e">
        <f t="shared" ca="1" si="158"/>
        <v>#NAME?</v>
      </c>
      <c r="X87" s="2" t="e">
        <f t="shared" ca="1" si="158"/>
        <v>#NAME?</v>
      </c>
      <c r="Y87" s="2" t="e">
        <f t="shared" ca="1" si="158"/>
        <v>#NAME?</v>
      </c>
      <c r="Z87" s="2" t="e">
        <f t="shared" ca="1" si="158"/>
        <v>#NAME?</v>
      </c>
      <c r="AA87" s="2" t="e">
        <f t="shared" ca="1" si="158"/>
        <v>#NAME?</v>
      </c>
      <c r="AB87" s="2" t="e">
        <f t="shared" ca="1" si="158"/>
        <v>#NAME?</v>
      </c>
      <c r="AC87" s="2" t="e">
        <f t="shared" ca="1" si="158"/>
        <v>#NAME?</v>
      </c>
      <c r="AD87" s="2" t="e">
        <f t="shared" ca="1" si="158"/>
        <v>#NAME?</v>
      </c>
      <c r="AE87" s="2" t="e">
        <f t="shared" ca="1" si="158"/>
        <v>#NAME?</v>
      </c>
      <c r="AF87" s="2" t="e">
        <f t="shared" ca="1" si="158"/>
        <v>#NAME?</v>
      </c>
      <c r="AG87" s="2" t="e">
        <f t="shared" ca="1" si="158"/>
        <v>#NAME?</v>
      </c>
      <c r="AH87" s="2" t="e">
        <f t="shared" ca="1" si="158"/>
        <v>#NAME?</v>
      </c>
      <c r="AI87" s="2" t="e">
        <f t="shared" ca="1" si="158"/>
        <v>#NAME?</v>
      </c>
      <c r="AJ87" s="2" t="e">
        <f t="shared" ca="1" si="158"/>
        <v>#NAME?</v>
      </c>
      <c r="AK87" s="2" t="e">
        <f t="shared" ca="1" si="158"/>
        <v>#NAME?</v>
      </c>
      <c r="AL87" s="2" t="e">
        <f t="shared" ca="1" si="158"/>
        <v>#NAME?</v>
      </c>
      <c r="AM87" s="2" t="e">
        <f t="shared" ca="1" si="158"/>
        <v>#NAME?</v>
      </c>
      <c r="AN87" s="2" t="e">
        <f t="shared" ca="1" si="158"/>
        <v>#NAME?</v>
      </c>
      <c r="AO87" s="2" t="e">
        <f t="shared" ca="1" si="158"/>
        <v>#NAME?</v>
      </c>
      <c r="AP87" s="2" t="e">
        <f t="shared" ca="1" si="158"/>
        <v>#NAME?</v>
      </c>
      <c r="AQ87" s="2" t="e">
        <f t="shared" ca="1" si="158"/>
        <v>#NAME?</v>
      </c>
      <c r="AR87" s="2" t="e">
        <f t="shared" ca="1" si="158"/>
        <v>#NAME?</v>
      </c>
    </row>
    <row r="88" spans="3:44" x14ac:dyDescent="0.15">
      <c r="C88" s="2" t="e">
        <f t="shared" ref="C88:AR88" ca="1" si="159">BowlSplit(C26,$A$67)</f>
        <v>#NAME?</v>
      </c>
      <c r="D88" s="2" t="e">
        <f t="shared" ca="1" si="159"/>
        <v>#NAME?</v>
      </c>
      <c r="E88" s="2" t="e">
        <f t="shared" ca="1" si="159"/>
        <v>#NAME?</v>
      </c>
      <c r="F88" s="2" t="e">
        <f t="shared" ca="1" si="159"/>
        <v>#NAME?</v>
      </c>
      <c r="G88" s="2" t="e">
        <f t="shared" ca="1" si="159"/>
        <v>#NAME?</v>
      </c>
      <c r="H88" s="2" t="e">
        <f t="shared" ca="1" si="159"/>
        <v>#NAME?</v>
      </c>
      <c r="I88" s="2" t="e">
        <f t="shared" ca="1" si="159"/>
        <v>#NAME?</v>
      </c>
      <c r="J88" s="2" t="e">
        <f t="shared" ca="1" si="159"/>
        <v>#NAME?</v>
      </c>
      <c r="K88" s="2" t="e">
        <f t="shared" ca="1" si="159"/>
        <v>#NAME?</v>
      </c>
      <c r="L88" s="2" t="e">
        <f t="shared" ca="1" si="159"/>
        <v>#NAME?</v>
      </c>
      <c r="M88" s="2" t="e">
        <f t="shared" ca="1" si="159"/>
        <v>#NAME?</v>
      </c>
      <c r="N88" s="2" t="e">
        <f t="shared" ca="1" si="159"/>
        <v>#NAME?</v>
      </c>
      <c r="O88" s="2" t="e">
        <f t="shared" ca="1" si="159"/>
        <v>#NAME?</v>
      </c>
      <c r="P88" s="2" t="e">
        <f t="shared" ca="1" si="159"/>
        <v>#NAME?</v>
      </c>
      <c r="Q88" s="2" t="e">
        <f t="shared" ca="1" si="159"/>
        <v>#NAME?</v>
      </c>
      <c r="R88" s="2" t="e">
        <f t="shared" ca="1" si="159"/>
        <v>#NAME?</v>
      </c>
      <c r="S88" s="2" t="e">
        <f t="shared" ca="1" si="159"/>
        <v>#NAME?</v>
      </c>
      <c r="T88" s="2" t="e">
        <f t="shared" ca="1" si="159"/>
        <v>#NAME?</v>
      </c>
      <c r="U88" s="2" t="e">
        <f t="shared" ca="1" si="159"/>
        <v>#NAME?</v>
      </c>
      <c r="V88" s="2" t="e">
        <f t="shared" ca="1" si="159"/>
        <v>#NAME?</v>
      </c>
      <c r="W88" s="2" t="e">
        <f t="shared" ca="1" si="159"/>
        <v>#NAME?</v>
      </c>
      <c r="X88" s="2" t="e">
        <f t="shared" ca="1" si="159"/>
        <v>#NAME?</v>
      </c>
      <c r="Y88" s="2" t="e">
        <f t="shared" ca="1" si="159"/>
        <v>#NAME?</v>
      </c>
      <c r="Z88" s="2" t="e">
        <f t="shared" ca="1" si="159"/>
        <v>#NAME?</v>
      </c>
      <c r="AA88" s="2" t="e">
        <f t="shared" ca="1" si="159"/>
        <v>#NAME?</v>
      </c>
      <c r="AB88" s="2" t="e">
        <f t="shared" ca="1" si="159"/>
        <v>#NAME?</v>
      </c>
      <c r="AC88" s="2" t="e">
        <f t="shared" ca="1" si="159"/>
        <v>#NAME?</v>
      </c>
      <c r="AD88" s="2" t="e">
        <f t="shared" ca="1" si="159"/>
        <v>#NAME?</v>
      </c>
      <c r="AE88" s="2" t="e">
        <f t="shared" ca="1" si="159"/>
        <v>#NAME?</v>
      </c>
      <c r="AF88" s="2" t="e">
        <f t="shared" ca="1" si="159"/>
        <v>#NAME?</v>
      </c>
      <c r="AG88" s="2" t="e">
        <f t="shared" ca="1" si="159"/>
        <v>#NAME?</v>
      </c>
      <c r="AH88" s="2" t="e">
        <f t="shared" ca="1" si="159"/>
        <v>#NAME?</v>
      </c>
      <c r="AI88" s="2" t="e">
        <f t="shared" ca="1" si="159"/>
        <v>#NAME?</v>
      </c>
      <c r="AJ88" s="2" t="e">
        <f t="shared" ca="1" si="159"/>
        <v>#NAME?</v>
      </c>
      <c r="AK88" s="2" t="e">
        <f t="shared" ca="1" si="159"/>
        <v>#NAME?</v>
      </c>
      <c r="AL88" s="2" t="e">
        <f t="shared" ca="1" si="159"/>
        <v>#NAME?</v>
      </c>
      <c r="AM88" s="2" t="e">
        <f t="shared" ca="1" si="159"/>
        <v>#NAME?</v>
      </c>
      <c r="AN88" s="2" t="e">
        <f t="shared" ca="1" si="159"/>
        <v>#NAME?</v>
      </c>
      <c r="AO88" s="2" t="e">
        <f t="shared" ca="1" si="159"/>
        <v>#NAME?</v>
      </c>
      <c r="AP88" s="2" t="e">
        <f t="shared" ca="1" si="159"/>
        <v>#NAME?</v>
      </c>
      <c r="AQ88" s="2" t="e">
        <f t="shared" ca="1" si="159"/>
        <v>#NAME?</v>
      </c>
      <c r="AR88" s="2" t="e">
        <f t="shared" ca="1" si="159"/>
        <v>#NAME?</v>
      </c>
    </row>
    <row r="89" spans="3:44" x14ac:dyDescent="0.15">
      <c r="C89" s="2" t="e">
        <f t="shared" ref="C89:AR89" ca="1" si="160">BowlSplit(C27,$A$67)</f>
        <v>#NAME?</v>
      </c>
      <c r="D89" s="2" t="e">
        <f t="shared" ca="1" si="160"/>
        <v>#NAME?</v>
      </c>
      <c r="E89" s="2" t="e">
        <f t="shared" ca="1" si="160"/>
        <v>#NAME?</v>
      </c>
      <c r="F89" s="2" t="e">
        <f t="shared" ca="1" si="160"/>
        <v>#NAME?</v>
      </c>
      <c r="G89" s="2" t="e">
        <f t="shared" ca="1" si="160"/>
        <v>#NAME?</v>
      </c>
      <c r="H89" s="2" t="e">
        <f t="shared" ca="1" si="160"/>
        <v>#NAME?</v>
      </c>
      <c r="I89" s="2" t="e">
        <f t="shared" ca="1" si="160"/>
        <v>#NAME?</v>
      </c>
      <c r="J89" s="2" t="e">
        <f t="shared" ca="1" si="160"/>
        <v>#NAME?</v>
      </c>
      <c r="K89" s="2" t="e">
        <f t="shared" ca="1" si="160"/>
        <v>#NAME?</v>
      </c>
      <c r="L89" s="2" t="e">
        <f t="shared" ca="1" si="160"/>
        <v>#NAME?</v>
      </c>
      <c r="M89" s="2" t="e">
        <f t="shared" ca="1" si="160"/>
        <v>#NAME?</v>
      </c>
      <c r="N89" s="2" t="e">
        <f t="shared" ca="1" si="160"/>
        <v>#NAME?</v>
      </c>
      <c r="O89" s="2" t="e">
        <f t="shared" ca="1" si="160"/>
        <v>#NAME?</v>
      </c>
      <c r="P89" s="2" t="e">
        <f t="shared" ca="1" si="160"/>
        <v>#NAME?</v>
      </c>
      <c r="Q89" s="2" t="e">
        <f t="shared" ca="1" si="160"/>
        <v>#NAME?</v>
      </c>
      <c r="R89" s="2" t="e">
        <f t="shared" ca="1" si="160"/>
        <v>#NAME?</v>
      </c>
      <c r="S89" s="2" t="e">
        <f t="shared" ca="1" si="160"/>
        <v>#NAME?</v>
      </c>
      <c r="T89" s="2" t="e">
        <f t="shared" ca="1" si="160"/>
        <v>#NAME?</v>
      </c>
      <c r="U89" s="2" t="e">
        <f t="shared" ca="1" si="160"/>
        <v>#NAME?</v>
      </c>
      <c r="V89" s="2" t="e">
        <f t="shared" ca="1" si="160"/>
        <v>#NAME?</v>
      </c>
      <c r="W89" s="2" t="e">
        <f t="shared" ca="1" si="160"/>
        <v>#NAME?</v>
      </c>
      <c r="X89" s="2" t="e">
        <f t="shared" ca="1" si="160"/>
        <v>#NAME?</v>
      </c>
      <c r="Y89" s="2" t="e">
        <f t="shared" ca="1" si="160"/>
        <v>#NAME?</v>
      </c>
      <c r="Z89" s="2" t="e">
        <f t="shared" ca="1" si="160"/>
        <v>#NAME?</v>
      </c>
      <c r="AA89" s="2" t="e">
        <f t="shared" ca="1" si="160"/>
        <v>#NAME?</v>
      </c>
      <c r="AB89" s="2" t="e">
        <f t="shared" ca="1" si="160"/>
        <v>#NAME?</v>
      </c>
      <c r="AC89" s="2" t="e">
        <f t="shared" ca="1" si="160"/>
        <v>#NAME?</v>
      </c>
      <c r="AD89" s="2" t="e">
        <f t="shared" ca="1" si="160"/>
        <v>#NAME?</v>
      </c>
      <c r="AE89" s="2" t="e">
        <f t="shared" ca="1" si="160"/>
        <v>#NAME?</v>
      </c>
      <c r="AF89" s="2" t="e">
        <f t="shared" ca="1" si="160"/>
        <v>#NAME?</v>
      </c>
      <c r="AG89" s="2" t="e">
        <f t="shared" ca="1" si="160"/>
        <v>#NAME?</v>
      </c>
      <c r="AH89" s="2" t="e">
        <f t="shared" ca="1" si="160"/>
        <v>#NAME?</v>
      </c>
      <c r="AI89" s="2" t="e">
        <f t="shared" ca="1" si="160"/>
        <v>#NAME?</v>
      </c>
      <c r="AJ89" s="2" t="e">
        <f t="shared" ca="1" si="160"/>
        <v>#NAME?</v>
      </c>
      <c r="AK89" s="2" t="e">
        <f t="shared" ca="1" si="160"/>
        <v>#NAME?</v>
      </c>
      <c r="AL89" s="2" t="e">
        <f t="shared" ca="1" si="160"/>
        <v>#NAME?</v>
      </c>
      <c r="AM89" s="2" t="e">
        <f t="shared" ca="1" si="160"/>
        <v>#NAME?</v>
      </c>
      <c r="AN89" s="2" t="e">
        <f t="shared" ca="1" si="160"/>
        <v>#NAME?</v>
      </c>
      <c r="AO89" s="2" t="e">
        <f t="shared" ca="1" si="160"/>
        <v>#NAME?</v>
      </c>
      <c r="AP89" s="2" t="e">
        <f t="shared" ca="1" si="160"/>
        <v>#NAME?</v>
      </c>
      <c r="AQ89" s="2" t="e">
        <f t="shared" ca="1" si="160"/>
        <v>#NAME?</v>
      </c>
      <c r="AR89" s="2" t="e">
        <f t="shared" ca="1" si="160"/>
        <v>#NAME?</v>
      </c>
    </row>
    <row r="90" spans="3:44" x14ac:dyDescent="0.15">
      <c r="C90" s="2" t="e">
        <f t="shared" ref="C90:AR90" ca="1" si="161">BowlSplit(C28,$A$67)</f>
        <v>#NAME?</v>
      </c>
      <c r="D90" s="2" t="e">
        <f t="shared" ca="1" si="161"/>
        <v>#NAME?</v>
      </c>
      <c r="E90" s="2" t="e">
        <f t="shared" ca="1" si="161"/>
        <v>#NAME?</v>
      </c>
      <c r="F90" s="2" t="e">
        <f t="shared" ca="1" si="161"/>
        <v>#NAME?</v>
      </c>
      <c r="G90" s="2" t="e">
        <f t="shared" ca="1" si="161"/>
        <v>#NAME?</v>
      </c>
      <c r="H90" s="2" t="e">
        <f t="shared" ca="1" si="161"/>
        <v>#NAME?</v>
      </c>
      <c r="I90" s="2" t="e">
        <f t="shared" ca="1" si="161"/>
        <v>#NAME?</v>
      </c>
      <c r="J90" s="2" t="e">
        <f t="shared" ca="1" si="161"/>
        <v>#NAME?</v>
      </c>
      <c r="K90" s="2" t="e">
        <f t="shared" ca="1" si="161"/>
        <v>#NAME?</v>
      </c>
      <c r="L90" s="2" t="e">
        <f t="shared" ca="1" si="161"/>
        <v>#NAME?</v>
      </c>
      <c r="M90" s="2" t="e">
        <f t="shared" ca="1" si="161"/>
        <v>#NAME?</v>
      </c>
      <c r="N90" s="2" t="e">
        <f t="shared" ca="1" si="161"/>
        <v>#NAME?</v>
      </c>
      <c r="O90" s="2" t="e">
        <f t="shared" ca="1" si="161"/>
        <v>#NAME?</v>
      </c>
      <c r="P90" s="2" t="e">
        <f t="shared" ca="1" si="161"/>
        <v>#NAME?</v>
      </c>
      <c r="Q90" s="2" t="e">
        <f t="shared" ca="1" si="161"/>
        <v>#NAME?</v>
      </c>
      <c r="R90" s="2" t="e">
        <f t="shared" ca="1" si="161"/>
        <v>#NAME?</v>
      </c>
      <c r="S90" s="2" t="e">
        <f t="shared" ca="1" si="161"/>
        <v>#NAME?</v>
      </c>
      <c r="T90" s="2" t="e">
        <f t="shared" ca="1" si="161"/>
        <v>#NAME?</v>
      </c>
      <c r="U90" s="2" t="e">
        <f t="shared" ca="1" si="161"/>
        <v>#NAME?</v>
      </c>
      <c r="V90" s="2" t="e">
        <f t="shared" ca="1" si="161"/>
        <v>#NAME?</v>
      </c>
      <c r="W90" s="2" t="e">
        <f t="shared" ca="1" si="161"/>
        <v>#NAME?</v>
      </c>
      <c r="X90" s="2" t="e">
        <f t="shared" ca="1" si="161"/>
        <v>#NAME?</v>
      </c>
      <c r="Y90" s="2" t="e">
        <f t="shared" ca="1" si="161"/>
        <v>#NAME?</v>
      </c>
      <c r="Z90" s="2" t="e">
        <f t="shared" ca="1" si="161"/>
        <v>#NAME?</v>
      </c>
      <c r="AA90" s="2" t="e">
        <f t="shared" ca="1" si="161"/>
        <v>#NAME?</v>
      </c>
      <c r="AB90" s="2" t="e">
        <f t="shared" ca="1" si="161"/>
        <v>#NAME?</v>
      </c>
      <c r="AC90" s="2" t="e">
        <f t="shared" ca="1" si="161"/>
        <v>#NAME?</v>
      </c>
      <c r="AD90" s="2" t="e">
        <f t="shared" ca="1" si="161"/>
        <v>#NAME?</v>
      </c>
      <c r="AE90" s="2" t="e">
        <f t="shared" ca="1" si="161"/>
        <v>#NAME?</v>
      </c>
      <c r="AF90" s="2" t="e">
        <f t="shared" ca="1" si="161"/>
        <v>#NAME?</v>
      </c>
      <c r="AG90" s="2" t="e">
        <f t="shared" ca="1" si="161"/>
        <v>#NAME?</v>
      </c>
      <c r="AH90" s="2" t="e">
        <f t="shared" ca="1" si="161"/>
        <v>#NAME?</v>
      </c>
      <c r="AI90" s="2" t="e">
        <f t="shared" ca="1" si="161"/>
        <v>#NAME?</v>
      </c>
      <c r="AJ90" s="2" t="e">
        <f t="shared" ca="1" si="161"/>
        <v>#NAME?</v>
      </c>
      <c r="AK90" s="2" t="e">
        <f t="shared" ca="1" si="161"/>
        <v>#NAME?</v>
      </c>
      <c r="AL90" s="2" t="e">
        <f t="shared" ca="1" si="161"/>
        <v>#NAME?</v>
      </c>
      <c r="AM90" s="2" t="e">
        <f t="shared" ca="1" si="161"/>
        <v>#NAME?</v>
      </c>
      <c r="AN90" s="2" t="e">
        <f t="shared" ca="1" si="161"/>
        <v>#NAME?</v>
      </c>
      <c r="AO90" s="2" t="e">
        <f t="shared" ca="1" si="161"/>
        <v>#NAME?</v>
      </c>
      <c r="AP90" s="2" t="e">
        <f t="shared" ca="1" si="161"/>
        <v>#NAME?</v>
      </c>
      <c r="AQ90" s="2" t="e">
        <f t="shared" ca="1" si="161"/>
        <v>#NAME?</v>
      </c>
      <c r="AR90" s="2" t="e">
        <f t="shared" ca="1" si="161"/>
        <v>#NAME?</v>
      </c>
    </row>
    <row r="91" spans="3:44" x14ac:dyDescent="0.15">
      <c r="C91" s="2" t="e">
        <f t="shared" ref="C91:AR91" ca="1" si="162">BowlSplit(C29,$A$67)</f>
        <v>#NAME?</v>
      </c>
      <c r="D91" s="2" t="e">
        <f t="shared" ca="1" si="162"/>
        <v>#NAME?</v>
      </c>
      <c r="E91" s="2" t="e">
        <f t="shared" ca="1" si="162"/>
        <v>#NAME?</v>
      </c>
      <c r="F91" s="2" t="e">
        <f t="shared" ca="1" si="162"/>
        <v>#NAME?</v>
      </c>
      <c r="G91" s="2" t="e">
        <f t="shared" ca="1" si="162"/>
        <v>#NAME?</v>
      </c>
      <c r="H91" s="2" t="e">
        <f t="shared" ca="1" si="162"/>
        <v>#NAME?</v>
      </c>
      <c r="I91" s="2" t="e">
        <f t="shared" ca="1" si="162"/>
        <v>#NAME?</v>
      </c>
      <c r="J91" s="2" t="e">
        <f t="shared" ca="1" si="162"/>
        <v>#NAME?</v>
      </c>
      <c r="K91" s="2" t="e">
        <f t="shared" ca="1" si="162"/>
        <v>#NAME?</v>
      </c>
      <c r="L91" s="2" t="e">
        <f t="shared" ca="1" si="162"/>
        <v>#NAME?</v>
      </c>
      <c r="M91" s="2" t="e">
        <f t="shared" ca="1" si="162"/>
        <v>#NAME?</v>
      </c>
      <c r="N91" s="2" t="e">
        <f t="shared" ca="1" si="162"/>
        <v>#NAME?</v>
      </c>
      <c r="O91" s="2" t="e">
        <f t="shared" ca="1" si="162"/>
        <v>#NAME?</v>
      </c>
      <c r="P91" s="2" t="e">
        <f t="shared" ca="1" si="162"/>
        <v>#NAME?</v>
      </c>
      <c r="Q91" s="2" t="e">
        <f t="shared" ca="1" si="162"/>
        <v>#NAME?</v>
      </c>
      <c r="R91" s="2" t="e">
        <f t="shared" ca="1" si="162"/>
        <v>#NAME?</v>
      </c>
      <c r="S91" s="2" t="e">
        <f t="shared" ca="1" si="162"/>
        <v>#NAME?</v>
      </c>
      <c r="T91" s="2" t="e">
        <f t="shared" ca="1" si="162"/>
        <v>#NAME?</v>
      </c>
      <c r="U91" s="2" t="e">
        <f t="shared" ca="1" si="162"/>
        <v>#NAME?</v>
      </c>
      <c r="V91" s="2" t="e">
        <f t="shared" ca="1" si="162"/>
        <v>#NAME?</v>
      </c>
      <c r="W91" s="2" t="e">
        <f t="shared" ca="1" si="162"/>
        <v>#NAME?</v>
      </c>
      <c r="X91" s="2" t="e">
        <f t="shared" ca="1" si="162"/>
        <v>#NAME?</v>
      </c>
      <c r="Y91" s="2" t="e">
        <f t="shared" ca="1" si="162"/>
        <v>#NAME?</v>
      </c>
      <c r="Z91" s="2" t="e">
        <f t="shared" ca="1" si="162"/>
        <v>#NAME?</v>
      </c>
      <c r="AA91" s="2" t="e">
        <f t="shared" ca="1" si="162"/>
        <v>#NAME?</v>
      </c>
      <c r="AB91" s="2" t="e">
        <f t="shared" ca="1" si="162"/>
        <v>#NAME?</v>
      </c>
      <c r="AC91" s="2" t="e">
        <f t="shared" ca="1" si="162"/>
        <v>#NAME?</v>
      </c>
      <c r="AD91" s="2" t="e">
        <f t="shared" ca="1" si="162"/>
        <v>#NAME?</v>
      </c>
      <c r="AE91" s="2" t="e">
        <f t="shared" ca="1" si="162"/>
        <v>#NAME?</v>
      </c>
      <c r="AF91" s="2" t="e">
        <f t="shared" ca="1" si="162"/>
        <v>#NAME?</v>
      </c>
      <c r="AG91" s="2" t="e">
        <f t="shared" ca="1" si="162"/>
        <v>#NAME?</v>
      </c>
      <c r="AH91" s="2" t="e">
        <f t="shared" ca="1" si="162"/>
        <v>#NAME?</v>
      </c>
      <c r="AI91" s="2" t="e">
        <f t="shared" ca="1" si="162"/>
        <v>#NAME?</v>
      </c>
      <c r="AJ91" s="2" t="e">
        <f t="shared" ca="1" si="162"/>
        <v>#NAME?</v>
      </c>
      <c r="AK91" s="2" t="e">
        <f t="shared" ca="1" si="162"/>
        <v>#NAME?</v>
      </c>
      <c r="AL91" s="2" t="e">
        <f t="shared" ca="1" si="162"/>
        <v>#NAME?</v>
      </c>
      <c r="AM91" s="2" t="e">
        <f t="shared" ca="1" si="162"/>
        <v>#NAME?</v>
      </c>
      <c r="AN91" s="2" t="e">
        <f t="shared" ca="1" si="162"/>
        <v>#NAME?</v>
      </c>
      <c r="AO91" s="2" t="e">
        <f t="shared" ca="1" si="162"/>
        <v>#NAME?</v>
      </c>
      <c r="AP91" s="2" t="e">
        <f t="shared" ca="1" si="162"/>
        <v>#NAME?</v>
      </c>
      <c r="AQ91" s="2" t="e">
        <f t="shared" ca="1" si="162"/>
        <v>#NAME?</v>
      </c>
      <c r="AR91" s="2" t="e">
        <f t="shared" ca="1" si="162"/>
        <v>#NAME?</v>
      </c>
    </row>
  </sheetData>
  <phoneticPr fontId="0" type="noConversion"/>
  <conditionalFormatting sqref="AU41:BB81 AS41:AT89 AG92:AG101">
    <cfRule type="cellIs" dxfId="4" priority="6" operator="greaterThan">
      <formula>5</formula>
    </cfRule>
  </conditionalFormatting>
  <conditionalFormatting sqref="C39:CC39">
    <cfRule type="cellIs" dxfId="3" priority="7" stopIfTrue="1" operator="notEqual">
      <formula>C37</formula>
    </cfRule>
  </conditionalFormatting>
  <conditionalFormatting sqref="C41:AR66">
    <cfRule type="cellIs" dxfId="2" priority="8" operator="equal">
      <formula>$B$41</formula>
    </cfRule>
  </conditionalFormatting>
  <conditionalFormatting sqref="C67:AR91">
    <cfRule type="cellIs" dxfId="1" priority="2" operator="greaterThan">
      <formula>10</formula>
    </cfRule>
    <cfRule type="cellIs" dxfId="0" priority="1" operator="greaterThan">
      <formula>50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A4" workbookViewId="0">
      <selection activeCell="W28" sqref="W28:W37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36" bestFit="1" customWidth="1"/>
    <col min="15" max="15" width="13.140625" style="138" bestFit="1" customWidth="1"/>
    <col min="16" max="16" width="4.5703125" style="136" bestFit="1" customWidth="1"/>
    <col min="17" max="17" width="7.140625" style="136" bestFit="1" customWidth="1"/>
    <col min="18" max="18" width="5" style="139" bestFit="1" customWidth="1"/>
    <col min="19" max="19" width="5" style="136" bestFit="1" customWidth="1"/>
    <col min="20" max="20" width="8.85546875" style="137" bestFit="1" customWidth="1"/>
    <col min="21" max="16384" width="9.140625" style="70"/>
  </cols>
  <sheetData>
    <row r="1" spans="1:23" ht="12.75" x14ac:dyDescent="0.15">
      <c r="A1" s="62" t="s">
        <v>141</v>
      </c>
      <c r="C1" s="74" t="s">
        <v>5</v>
      </c>
      <c r="D1" s="74" t="s">
        <v>7</v>
      </c>
      <c r="E1" s="74" t="s">
        <v>8</v>
      </c>
      <c r="F1" s="74" t="s">
        <v>142</v>
      </c>
      <c r="G1" s="74" t="s">
        <v>9</v>
      </c>
      <c r="H1" s="80" t="s">
        <v>10</v>
      </c>
      <c r="J1" s="74"/>
      <c r="L1" s="70" t="s">
        <v>225</v>
      </c>
      <c r="M1" s="70">
        <f t="array" aca="1" ref="M1" ca="1">SUM(IF(NOT(ISNA(B2:B60)),1,0))</f>
        <v>0</v>
      </c>
      <c r="N1" s="140"/>
      <c r="O1" s="143" t="s">
        <v>84</v>
      </c>
      <c r="P1" s="141" t="s">
        <v>7</v>
      </c>
      <c r="Q1" s="141" t="s">
        <v>255</v>
      </c>
      <c r="R1" s="141" t="s">
        <v>142</v>
      </c>
      <c r="S1" s="141" t="s">
        <v>9</v>
      </c>
      <c r="T1" s="141" t="s">
        <v>38</v>
      </c>
    </row>
    <row r="2" spans="1:23" ht="12.75" x14ac:dyDescent="0.15">
      <c r="A2" s="70">
        <v>1</v>
      </c>
      <c r="B2" s="70" t="e">
        <f ca="1">OFFSET(Batting!$C$4,BatAves!$I2,0)</f>
        <v>#N/A</v>
      </c>
      <c r="C2" s="74" t="e">
        <f ca="1">OFFSET(Batting!$CE$4,BatAves!$I2,0)</f>
        <v>#N/A</v>
      </c>
      <c r="D2" s="74" t="e">
        <f ca="1">OFFSET(Batting!$CG$4,BatAves!$I2,0)</f>
        <v>#N/A</v>
      </c>
      <c r="E2" s="74" t="e">
        <f ca="1">OFFSET(Batting!$CH$4,BatAves!$I2,0)</f>
        <v>#N/A</v>
      </c>
      <c r="F2" s="74" t="e">
        <f ca="1">OFFSET(Batting!$CJ$4,BatAves!$I2,0)</f>
        <v>#N/A</v>
      </c>
      <c r="G2" s="74" t="e">
        <f ca="1">OFFSET(Batting!$CK$4,BatAves!$I2,0)</f>
        <v>#N/A</v>
      </c>
      <c r="H2" s="79" t="e">
        <f ca="1">OFFSET(Batting!$CL$4,BatAves!$I2,0)</f>
        <v>#N/A</v>
      </c>
      <c r="I2" s="70" t="e">
        <f ca="1">MATCH(A2,Batting!$DF$5:$DF$39,0)</f>
        <v>#N/A</v>
      </c>
      <c r="J2" s="70" t="e">
        <f ca="1">IF(D2&gt;=5,A2,1000+A2)</f>
        <v>#N/A</v>
      </c>
      <c r="K2" s="70" t="e">
        <f ca="1">RANK(J2,OFFSET($J$2,0,0,$M$1,1),-1)</f>
        <v>#N/A</v>
      </c>
      <c r="L2" s="70" t="e">
        <f ca="1">IF(D2&lt;5,B2&amp;" "&amp;D2&amp;"-"&amp;E2&amp;"-"&amp;F2&amp;"-"&amp;G2,"")</f>
        <v>#N/A</v>
      </c>
      <c r="M2" s="70" t="e">
        <f ca="1">MATCH(N2,OFFSET($K$2,0,0,$M$1,1),0)</f>
        <v>#REF!</v>
      </c>
      <c r="N2" s="140">
        <v>1</v>
      </c>
      <c r="O2" s="140" t="e">
        <f ca="1">OFFSET(B$1,$M2,0)</f>
        <v>#REF!</v>
      </c>
      <c r="P2" s="140" t="e">
        <f ca="1">OFFSET(D$1,$M2,0)</f>
        <v>#REF!</v>
      </c>
      <c r="Q2" s="140" t="e">
        <f ca="1">OFFSET(E$1,$M2,0)</f>
        <v>#REF!</v>
      </c>
      <c r="R2" s="140" t="e">
        <f ca="1">OFFSET(F$1,$M2,0)</f>
        <v>#REF!</v>
      </c>
      <c r="S2" s="140" t="e">
        <f ca="1">OFFSET(G$1,$M2,0)</f>
        <v>#REF!</v>
      </c>
      <c r="T2" s="142" t="e">
        <f ca="1">OFFSET(H$1,$M2,0)</f>
        <v>#REF!</v>
      </c>
      <c r="U2" s="74"/>
      <c r="W2" s="70" t="s">
        <v>224</v>
      </c>
    </row>
    <row r="3" spans="1:23" ht="12.75" x14ac:dyDescent="0.15">
      <c r="A3" s="70">
        <v>2</v>
      </c>
      <c r="B3" s="70" t="e">
        <f ca="1">OFFSET(Batting!$C$4,BatAves!$I3,0)</f>
        <v>#N/A</v>
      </c>
      <c r="C3" s="74" t="e">
        <f ca="1">OFFSET(Batting!$CE$4,BatAves!$I3,0)</f>
        <v>#N/A</v>
      </c>
      <c r="D3" s="74" t="e">
        <f ca="1">OFFSET(Batting!$CG$4,BatAves!$I3,0)</f>
        <v>#N/A</v>
      </c>
      <c r="E3" s="74" t="e">
        <f ca="1">OFFSET(Batting!$CH$4,BatAves!$I3,0)</f>
        <v>#N/A</v>
      </c>
      <c r="F3" s="74" t="e">
        <f ca="1">OFFSET(Batting!$CJ$4,BatAves!$I3,0)</f>
        <v>#N/A</v>
      </c>
      <c r="G3" s="74" t="e">
        <f ca="1">OFFSET(Batting!$CK$4,BatAves!$I3,0)</f>
        <v>#N/A</v>
      </c>
      <c r="H3" s="79" t="e">
        <f ca="1">OFFSET(Batting!$CL$4,BatAves!$I3,0)</f>
        <v>#N/A</v>
      </c>
      <c r="I3" s="70" t="e">
        <f ca="1">MATCH(A3,Batting!$DF$5:$DF$39,0)</f>
        <v>#N/A</v>
      </c>
      <c r="J3" s="70" t="e">
        <f t="shared" ref="J3:J60" ca="1" si="0">IF(D3&gt;=5,A3,1000+A3)</f>
        <v>#N/A</v>
      </c>
      <c r="K3" s="70" t="e">
        <f t="shared" ref="K3:K60" ca="1" si="1">RANK(J3,OFFSET($J$2,0,0,$M$1,1),-1)</f>
        <v>#N/A</v>
      </c>
      <c r="L3" s="70" t="e">
        <f t="shared" ref="L3:L60" ca="1" si="2">IF(D3&lt;5,B3&amp;" "&amp;D3&amp;"-"&amp;E3&amp;"-"&amp;F3&amp;"-"&amp;G3,"")</f>
        <v>#N/A</v>
      </c>
      <c r="M3" s="70" t="e">
        <f t="shared" ref="M3:M43" ca="1" si="3">MATCH(N3,OFFSET($K$2,0,0,$M$1,1),0)</f>
        <v>#REF!</v>
      </c>
      <c r="N3" s="140">
        <v>2</v>
      </c>
      <c r="O3" s="140" t="e">
        <f t="shared" ref="O3:O43" ca="1" si="4">OFFSET(B$1,$M3,0)</f>
        <v>#REF!</v>
      </c>
      <c r="P3" s="140" t="e">
        <f t="shared" ref="P3:P43" ca="1" si="5">OFFSET(D$1,$M3,0)</f>
        <v>#REF!</v>
      </c>
      <c r="Q3" s="140" t="e">
        <f t="shared" ref="Q3:Q43" ca="1" si="6">OFFSET(E$1,$M3,0)</f>
        <v>#REF!</v>
      </c>
      <c r="R3" s="140" t="e">
        <f t="shared" ref="R3:R43" ca="1" si="7">OFFSET(F$1,$M3,0)</f>
        <v>#REF!</v>
      </c>
      <c r="S3" s="140" t="e">
        <f t="shared" ref="S3:S43" ca="1" si="8">OFFSET(G$1,$M3,0)</f>
        <v>#REF!</v>
      </c>
      <c r="T3" s="142" t="e">
        <f t="shared" ref="T3:T43" ca="1" si="9">OFFSET(H$1,$M3,0)</f>
        <v>#REF!</v>
      </c>
      <c r="W3" s="70" t="s">
        <v>224</v>
      </c>
    </row>
    <row r="4" spans="1:23" ht="12.75" x14ac:dyDescent="0.15">
      <c r="A4" s="70">
        <v>3</v>
      </c>
      <c r="B4" s="70" t="e">
        <f ca="1">OFFSET(Batting!$C$4,BatAves!$I4,0)</f>
        <v>#N/A</v>
      </c>
      <c r="C4" s="74" t="e">
        <f ca="1">OFFSET(Batting!$CE$4,BatAves!$I4,0)</f>
        <v>#N/A</v>
      </c>
      <c r="D4" s="74" t="e">
        <f ca="1">OFFSET(Batting!$CG$4,BatAves!$I4,0)</f>
        <v>#N/A</v>
      </c>
      <c r="E4" s="74" t="e">
        <f ca="1">OFFSET(Batting!$CH$4,BatAves!$I4,0)</f>
        <v>#N/A</v>
      </c>
      <c r="F4" s="74" t="e">
        <f ca="1">OFFSET(Batting!$CJ$4,BatAves!$I4,0)</f>
        <v>#N/A</v>
      </c>
      <c r="G4" s="74" t="e">
        <f ca="1">OFFSET(Batting!$CK$4,BatAves!$I4,0)</f>
        <v>#N/A</v>
      </c>
      <c r="H4" s="79" t="e">
        <f ca="1">OFFSET(Batting!$CL$4,BatAves!$I4,0)</f>
        <v>#N/A</v>
      </c>
      <c r="I4" s="70" t="e">
        <f ca="1">MATCH(A4,Batting!$DF$5:$DF$39,0)</f>
        <v>#N/A</v>
      </c>
      <c r="J4" s="70" t="e">
        <f t="shared" ca="1" si="0"/>
        <v>#N/A</v>
      </c>
      <c r="K4" s="70" t="e">
        <f t="shared" ca="1" si="1"/>
        <v>#N/A</v>
      </c>
      <c r="L4" s="70" t="e">
        <f t="shared" ca="1" si="2"/>
        <v>#N/A</v>
      </c>
      <c r="M4" s="70" t="e">
        <f t="shared" ca="1" si="3"/>
        <v>#REF!</v>
      </c>
      <c r="N4" s="140">
        <v>3</v>
      </c>
      <c r="O4" s="140" t="e">
        <f t="shared" ca="1" si="4"/>
        <v>#REF!</v>
      </c>
      <c r="P4" s="140" t="e">
        <f t="shared" ca="1" si="5"/>
        <v>#REF!</v>
      </c>
      <c r="Q4" s="140" t="e">
        <f t="shared" ca="1" si="6"/>
        <v>#REF!</v>
      </c>
      <c r="R4" s="140" t="e">
        <f t="shared" ca="1" si="7"/>
        <v>#REF!</v>
      </c>
      <c r="S4" s="140" t="e">
        <f t="shared" ca="1" si="8"/>
        <v>#REF!</v>
      </c>
      <c r="T4" s="142" t="e">
        <f t="shared" ca="1" si="9"/>
        <v>#REF!</v>
      </c>
      <c r="W4" s="70" t="s">
        <v>224</v>
      </c>
    </row>
    <row r="5" spans="1:23" ht="12.75" x14ac:dyDescent="0.15">
      <c r="A5" s="70">
        <v>4</v>
      </c>
      <c r="B5" s="70" t="e">
        <f ca="1">OFFSET(Batting!$C$4,BatAves!$I5,0)</f>
        <v>#N/A</v>
      </c>
      <c r="C5" s="74" t="e">
        <f ca="1">OFFSET(Batting!$CE$4,BatAves!$I5,0)</f>
        <v>#N/A</v>
      </c>
      <c r="D5" s="74" t="e">
        <f ca="1">OFFSET(Batting!$CG$4,BatAves!$I5,0)</f>
        <v>#N/A</v>
      </c>
      <c r="E5" s="74" t="e">
        <f ca="1">OFFSET(Batting!$CH$4,BatAves!$I5,0)</f>
        <v>#N/A</v>
      </c>
      <c r="F5" s="74" t="e">
        <f ca="1">OFFSET(Batting!$CJ$4,BatAves!$I5,0)</f>
        <v>#N/A</v>
      </c>
      <c r="G5" s="74" t="e">
        <f ca="1">OFFSET(Batting!$CK$4,BatAves!$I5,0)</f>
        <v>#N/A</v>
      </c>
      <c r="H5" s="79" t="e">
        <f ca="1">OFFSET(Batting!$CL$4,BatAves!$I5,0)</f>
        <v>#N/A</v>
      </c>
      <c r="I5" s="70" t="e">
        <f ca="1">MATCH(A5,Batting!$DF$5:$DF$39,0)</f>
        <v>#N/A</v>
      </c>
      <c r="J5" s="70" t="e">
        <f t="shared" ca="1" si="0"/>
        <v>#N/A</v>
      </c>
      <c r="K5" s="70" t="e">
        <f t="shared" ca="1" si="1"/>
        <v>#N/A</v>
      </c>
      <c r="L5" s="70" t="e">
        <f t="shared" ca="1" si="2"/>
        <v>#N/A</v>
      </c>
      <c r="M5" s="70" t="e">
        <f t="shared" ca="1" si="3"/>
        <v>#REF!</v>
      </c>
      <c r="N5" s="140">
        <v>4</v>
      </c>
      <c r="O5" s="140" t="e">
        <f t="shared" ca="1" si="4"/>
        <v>#REF!</v>
      </c>
      <c r="P5" s="140" t="e">
        <f t="shared" ca="1" si="5"/>
        <v>#REF!</v>
      </c>
      <c r="Q5" s="140" t="e">
        <f t="shared" ca="1" si="6"/>
        <v>#REF!</v>
      </c>
      <c r="R5" s="140" t="e">
        <f t="shared" ca="1" si="7"/>
        <v>#REF!</v>
      </c>
      <c r="S5" s="140" t="e">
        <f t="shared" ca="1" si="8"/>
        <v>#REF!</v>
      </c>
      <c r="T5" s="142" t="e">
        <f t="shared" ca="1" si="9"/>
        <v>#REF!</v>
      </c>
      <c r="W5" s="70" t="s">
        <v>224</v>
      </c>
    </row>
    <row r="6" spans="1:23" ht="12.75" x14ac:dyDescent="0.15">
      <c r="A6" s="70">
        <v>5</v>
      </c>
      <c r="B6" s="70" t="e">
        <f ca="1">OFFSET(Batting!$C$4,BatAves!$I6,0)</f>
        <v>#N/A</v>
      </c>
      <c r="C6" s="74" t="e">
        <f ca="1">OFFSET(Batting!$CE$4,BatAves!$I6,0)</f>
        <v>#N/A</v>
      </c>
      <c r="D6" s="74" t="e">
        <f ca="1">OFFSET(Batting!$CG$4,BatAves!$I6,0)</f>
        <v>#N/A</v>
      </c>
      <c r="E6" s="74" t="e">
        <f ca="1">OFFSET(Batting!$CH$4,BatAves!$I6,0)</f>
        <v>#N/A</v>
      </c>
      <c r="F6" s="74" t="e">
        <f ca="1">OFFSET(Batting!$CJ$4,BatAves!$I6,0)</f>
        <v>#N/A</v>
      </c>
      <c r="G6" s="74" t="e">
        <f ca="1">OFFSET(Batting!$CK$4,BatAves!$I6,0)</f>
        <v>#N/A</v>
      </c>
      <c r="H6" s="79" t="e">
        <f ca="1">OFFSET(Batting!$CL$4,BatAves!$I6,0)</f>
        <v>#N/A</v>
      </c>
      <c r="I6" s="70" t="e">
        <f ca="1">MATCH(A6,Batting!$DF$5:$DF$39,0)</f>
        <v>#N/A</v>
      </c>
      <c r="J6" s="70" t="e">
        <f t="shared" ca="1" si="0"/>
        <v>#N/A</v>
      </c>
      <c r="K6" s="70" t="e">
        <f t="shared" ca="1" si="1"/>
        <v>#N/A</v>
      </c>
      <c r="L6" s="70" t="e">
        <f t="shared" ca="1" si="2"/>
        <v>#N/A</v>
      </c>
      <c r="M6" s="70" t="e">
        <f t="shared" ca="1" si="3"/>
        <v>#REF!</v>
      </c>
      <c r="N6" s="140">
        <v>5</v>
      </c>
      <c r="O6" s="140" t="e">
        <f t="shared" ca="1" si="4"/>
        <v>#REF!</v>
      </c>
      <c r="P6" s="140" t="e">
        <f t="shared" ca="1" si="5"/>
        <v>#REF!</v>
      </c>
      <c r="Q6" s="140" t="e">
        <f t="shared" ca="1" si="6"/>
        <v>#REF!</v>
      </c>
      <c r="R6" s="140" t="e">
        <f t="shared" ca="1" si="7"/>
        <v>#REF!</v>
      </c>
      <c r="S6" s="140" t="e">
        <f t="shared" ca="1" si="8"/>
        <v>#REF!</v>
      </c>
      <c r="T6" s="142" t="e">
        <f t="shared" ca="1" si="9"/>
        <v>#REF!</v>
      </c>
      <c r="W6" s="70" t="s">
        <v>224</v>
      </c>
    </row>
    <row r="7" spans="1:23" ht="12.75" x14ac:dyDescent="0.15">
      <c r="A7" s="70">
        <v>6</v>
      </c>
      <c r="B7" s="70" t="e">
        <f ca="1">OFFSET(Batting!$C$4,BatAves!$I7,0)</f>
        <v>#N/A</v>
      </c>
      <c r="C7" s="74" t="e">
        <f ca="1">OFFSET(Batting!$CE$4,BatAves!$I7,0)</f>
        <v>#N/A</v>
      </c>
      <c r="D7" s="74" t="e">
        <f ca="1">OFFSET(Batting!$CG$4,BatAves!$I7,0)</f>
        <v>#N/A</v>
      </c>
      <c r="E7" s="74" t="e">
        <f ca="1">OFFSET(Batting!$CH$4,BatAves!$I7,0)</f>
        <v>#N/A</v>
      </c>
      <c r="F7" s="74" t="e">
        <f ca="1">OFFSET(Batting!$CJ$4,BatAves!$I7,0)</f>
        <v>#N/A</v>
      </c>
      <c r="G7" s="74" t="e">
        <f ca="1">OFFSET(Batting!$CK$4,BatAves!$I7,0)</f>
        <v>#N/A</v>
      </c>
      <c r="H7" s="79" t="e">
        <f ca="1">OFFSET(Batting!$CL$4,BatAves!$I7,0)</f>
        <v>#N/A</v>
      </c>
      <c r="I7" s="70" t="e">
        <f ca="1">MATCH(A7,Batting!$DF$5:$DF$39,0)</f>
        <v>#N/A</v>
      </c>
      <c r="J7" s="70" t="e">
        <f t="shared" ca="1" si="0"/>
        <v>#N/A</v>
      </c>
      <c r="K7" s="70" t="e">
        <f t="shared" ca="1" si="1"/>
        <v>#N/A</v>
      </c>
      <c r="L7" s="70" t="e">
        <f t="shared" ca="1" si="2"/>
        <v>#N/A</v>
      </c>
      <c r="M7" s="70" t="e">
        <f t="shared" ca="1" si="3"/>
        <v>#REF!</v>
      </c>
      <c r="N7" s="140">
        <v>6</v>
      </c>
      <c r="O7" s="140" t="e">
        <f t="shared" ca="1" si="4"/>
        <v>#REF!</v>
      </c>
      <c r="P7" s="140" t="e">
        <f t="shared" ca="1" si="5"/>
        <v>#REF!</v>
      </c>
      <c r="Q7" s="140" t="e">
        <f t="shared" ca="1" si="6"/>
        <v>#REF!</v>
      </c>
      <c r="R7" s="140" t="e">
        <f t="shared" ca="1" si="7"/>
        <v>#REF!</v>
      </c>
      <c r="S7" s="140" t="e">
        <f t="shared" ca="1" si="8"/>
        <v>#REF!</v>
      </c>
      <c r="T7" s="142" t="e">
        <f t="shared" ca="1" si="9"/>
        <v>#REF!</v>
      </c>
      <c r="W7" s="70" t="s">
        <v>224</v>
      </c>
    </row>
    <row r="8" spans="1:23" ht="12.75" x14ac:dyDescent="0.15">
      <c r="A8" s="70">
        <v>7</v>
      </c>
      <c r="B8" s="70" t="e">
        <f ca="1">OFFSET(Batting!$C$4,BatAves!$I8,0)</f>
        <v>#N/A</v>
      </c>
      <c r="C8" s="74" t="e">
        <f ca="1">OFFSET(Batting!$CE$4,BatAves!$I8,0)</f>
        <v>#N/A</v>
      </c>
      <c r="D8" s="74" t="e">
        <f ca="1">OFFSET(Batting!$CG$4,BatAves!$I8,0)</f>
        <v>#N/A</v>
      </c>
      <c r="E8" s="74" t="e">
        <f ca="1">OFFSET(Batting!$CH$4,BatAves!$I8,0)</f>
        <v>#N/A</v>
      </c>
      <c r="F8" s="74" t="e">
        <f ca="1">OFFSET(Batting!$CJ$4,BatAves!$I8,0)</f>
        <v>#N/A</v>
      </c>
      <c r="G8" s="74" t="e">
        <f ca="1">OFFSET(Batting!$CK$4,BatAves!$I8,0)</f>
        <v>#N/A</v>
      </c>
      <c r="H8" s="79" t="e">
        <f ca="1">OFFSET(Batting!$CL$4,BatAves!$I8,0)</f>
        <v>#N/A</v>
      </c>
      <c r="I8" s="70" t="e">
        <f ca="1">MATCH(A8,Batting!$DF$5:$DF$39,0)</f>
        <v>#N/A</v>
      </c>
      <c r="J8" s="70" t="e">
        <f t="shared" ca="1" si="0"/>
        <v>#N/A</v>
      </c>
      <c r="K8" s="70" t="e">
        <f t="shared" ca="1" si="1"/>
        <v>#N/A</v>
      </c>
      <c r="L8" s="70" t="e">
        <f t="shared" ca="1" si="2"/>
        <v>#N/A</v>
      </c>
      <c r="M8" s="70" t="e">
        <f t="shared" ca="1" si="3"/>
        <v>#REF!</v>
      </c>
      <c r="N8" s="140">
        <v>7</v>
      </c>
      <c r="O8" s="140" t="e">
        <f t="shared" ca="1" si="4"/>
        <v>#REF!</v>
      </c>
      <c r="P8" s="140" t="e">
        <f t="shared" ca="1" si="5"/>
        <v>#REF!</v>
      </c>
      <c r="Q8" s="140" t="e">
        <f t="shared" ca="1" si="6"/>
        <v>#REF!</v>
      </c>
      <c r="R8" s="140" t="e">
        <f t="shared" ca="1" si="7"/>
        <v>#REF!</v>
      </c>
      <c r="S8" s="140" t="e">
        <f t="shared" ca="1" si="8"/>
        <v>#REF!</v>
      </c>
      <c r="T8" s="142" t="e">
        <f t="shared" ca="1" si="9"/>
        <v>#REF!</v>
      </c>
      <c r="W8" s="70" t="s">
        <v>224</v>
      </c>
    </row>
    <row r="9" spans="1:23" ht="12.75" x14ac:dyDescent="0.15">
      <c r="A9" s="70">
        <v>8</v>
      </c>
      <c r="B9" s="70" t="e">
        <f ca="1">OFFSET(Batting!$C$4,BatAves!$I9,0)</f>
        <v>#N/A</v>
      </c>
      <c r="C9" s="74" t="e">
        <f ca="1">OFFSET(Batting!$CE$4,BatAves!$I9,0)</f>
        <v>#N/A</v>
      </c>
      <c r="D9" s="74" t="e">
        <f ca="1">OFFSET(Batting!$CG$4,BatAves!$I9,0)</f>
        <v>#N/A</v>
      </c>
      <c r="E9" s="74" t="e">
        <f ca="1">OFFSET(Batting!$CH$4,BatAves!$I9,0)</f>
        <v>#N/A</v>
      </c>
      <c r="F9" s="74" t="e">
        <f ca="1">OFFSET(Batting!$CJ$4,BatAves!$I9,0)</f>
        <v>#N/A</v>
      </c>
      <c r="G9" s="74" t="e">
        <f ca="1">OFFSET(Batting!$CK$4,BatAves!$I9,0)</f>
        <v>#N/A</v>
      </c>
      <c r="H9" s="79" t="e">
        <f ca="1">OFFSET(Batting!$CL$4,BatAves!$I9,0)</f>
        <v>#N/A</v>
      </c>
      <c r="I9" s="70" t="e">
        <f ca="1">MATCH(A9,Batting!$DF$5:$DF$39,0)</f>
        <v>#N/A</v>
      </c>
      <c r="J9" s="70" t="e">
        <f t="shared" ca="1" si="0"/>
        <v>#N/A</v>
      </c>
      <c r="K9" s="70" t="e">
        <f t="shared" ca="1" si="1"/>
        <v>#N/A</v>
      </c>
      <c r="L9" s="70" t="e">
        <f t="shared" ca="1" si="2"/>
        <v>#N/A</v>
      </c>
      <c r="M9" s="70" t="e">
        <f t="shared" ca="1" si="3"/>
        <v>#REF!</v>
      </c>
      <c r="N9" s="140">
        <v>8</v>
      </c>
      <c r="O9" s="140" t="e">
        <f t="shared" ca="1" si="4"/>
        <v>#REF!</v>
      </c>
      <c r="P9" s="140" t="e">
        <f t="shared" ca="1" si="5"/>
        <v>#REF!</v>
      </c>
      <c r="Q9" s="140" t="e">
        <f t="shared" ca="1" si="6"/>
        <v>#REF!</v>
      </c>
      <c r="R9" s="140" t="e">
        <f t="shared" ca="1" si="7"/>
        <v>#REF!</v>
      </c>
      <c r="S9" s="140" t="e">
        <f t="shared" ca="1" si="8"/>
        <v>#REF!</v>
      </c>
      <c r="T9" s="142" t="e">
        <f t="shared" ca="1" si="9"/>
        <v>#REF!</v>
      </c>
      <c r="W9" s="70" t="s">
        <v>224</v>
      </c>
    </row>
    <row r="10" spans="1:23" ht="12.75" x14ac:dyDescent="0.15">
      <c r="A10" s="70">
        <v>9</v>
      </c>
      <c r="B10" s="70" t="e">
        <f ca="1">OFFSET(Batting!$C$4,BatAves!$I10,0)</f>
        <v>#N/A</v>
      </c>
      <c r="C10" s="74" t="e">
        <f ca="1">OFFSET(Batting!$CE$4,BatAves!$I10,0)</f>
        <v>#N/A</v>
      </c>
      <c r="D10" s="74" t="e">
        <f ca="1">OFFSET(Batting!$CG$4,BatAves!$I10,0)</f>
        <v>#N/A</v>
      </c>
      <c r="E10" s="74" t="e">
        <f ca="1">OFFSET(Batting!$CH$4,BatAves!$I10,0)</f>
        <v>#N/A</v>
      </c>
      <c r="F10" s="74" t="e">
        <f ca="1">OFFSET(Batting!$CJ$4,BatAves!$I10,0)</f>
        <v>#N/A</v>
      </c>
      <c r="G10" s="74" t="e">
        <f ca="1">OFFSET(Batting!$CK$4,BatAves!$I10,0)</f>
        <v>#N/A</v>
      </c>
      <c r="H10" s="79" t="e">
        <f ca="1">OFFSET(Batting!$CL$4,BatAves!$I10,0)</f>
        <v>#N/A</v>
      </c>
      <c r="I10" s="70" t="e">
        <f ca="1">MATCH(A10,Batting!$DF$5:$DF$39,0)</f>
        <v>#N/A</v>
      </c>
      <c r="J10" s="70" t="e">
        <f t="shared" ca="1" si="0"/>
        <v>#N/A</v>
      </c>
      <c r="K10" s="70" t="e">
        <f t="shared" ca="1" si="1"/>
        <v>#N/A</v>
      </c>
      <c r="L10" s="70" t="e">
        <f t="shared" ca="1" si="2"/>
        <v>#N/A</v>
      </c>
      <c r="M10" s="70" t="e">
        <f t="shared" ca="1" si="3"/>
        <v>#REF!</v>
      </c>
      <c r="N10" s="140">
        <v>9</v>
      </c>
      <c r="O10" s="140" t="e">
        <f t="shared" ca="1" si="4"/>
        <v>#REF!</v>
      </c>
      <c r="P10" s="140" t="e">
        <f t="shared" ca="1" si="5"/>
        <v>#REF!</v>
      </c>
      <c r="Q10" s="140" t="e">
        <f t="shared" ca="1" si="6"/>
        <v>#REF!</v>
      </c>
      <c r="R10" s="140" t="e">
        <f t="shared" ca="1" si="7"/>
        <v>#REF!</v>
      </c>
      <c r="S10" s="140" t="e">
        <f t="shared" ca="1" si="8"/>
        <v>#REF!</v>
      </c>
      <c r="T10" s="142" t="e">
        <f t="shared" ca="1" si="9"/>
        <v>#REF!</v>
      </c>
      <c r="W10" s="70" t="s">
        <v>224</v>
      </c>
    </row>
    <row r="11" spans="1:23" ht="12.75" x14ac:dyDescent="0.15">
      <c r="A11" s="70">
        <v>10</v>
      </c>
      <c r="B11" s="70" t="e">
        <f ca="1">OFFSET(Batting!$C$4,BatAves!$I11,0)</f>
        <v>#N/A</v>
      </c>
      <c r="C11" s="74" t="e">
        <f ca="1">OFFSET(Batting!$CE$4,BatAves!$I11,0)</f>
        <v>#N/A</v>
      </c>
      <c r="D11" s="74" t="e">
        <f ca="1">OFFSET(Batting!$CG$4,BatAves!$I11,0)</f>
        <v>#N/A</v>
      </c>
      <c r="E11" s="74" t="e">
        <f ca="1">OFFSET(Batting!$CH$4,BatAves!$I11,0)</f>
        <v>#N/A</v>
      </c>
      <c r="F11" s="74" t="e">
        <f ca="1">OFFSET(Batting!$CJ$4,BatAves!$I11,0)</f>
        <v>#N/A</v>
      </c>
      <c r="G11" s="74" t="e">
        <f ca="1">OFFSET(Batting!$CK$4,BatAves!$I11,0)</f>
        <v>#N/A</v>
      </c>
      <c r="H11" s="79" t="e">
        <f ca="1">OFFSET(Batting!$CL$4,BatAves!$I11,0)</f>
        <v>#N/A</v>
      </c>
      <c r="I11" s="70" t="e">
        <f ca="1">MATCH(A11,Batting!$DF$5:$DF$39,0)</f>
        <v>#N/A</v>
      </c>
      <c r="J11" s="70" t="e">
        <f t="shared" ca="1" si="0"/>
        <v>#N/A</v>
      </c>
      <c r="K11" s="70" t="e">
        <f t="shared" ca="1" si="1"/>
        <v>#N/A</v>
      </c>
      <c r="L11" s="70" t="e">
        <f t="shared" ca="1" si="2"/>
        <v>#N/A</v>
      </c>
      <c r="M11" s="70" t="e">
        <f t="shared" ca="1" si="3"/>
        <v>#REF!</v>
      </c>
      <c r="N11" s="140">
        <v>10</v>
      </c>
      <c r="O11" s="140" t="e">
        <f t="shared" ca="1" si="4"/>
        <v>#REF!</v>
      </c>
      <c r="P11" s="140" t="e">
        <f t="shared" ca="1" si="5"/>
        <v>#REF!</v>
      </c>
      <c r="Q11" s="140" t="e">
        <f t="shared" ca="1" si="6"/>
        <v>#REF!</v>
      </c>
      <c r="R11" s="140" t="e">
        <f t="shared" ca="1" si="7"/>
        <v>#REF!</v>
      </c>
      <c r="S11" s="140" t="e">
        <f t="shared" ca="1" si="8"/>
        <v>#REF!</v>
      </c>
      <c r="T11" s="142" t="e">
        <f t="shared" ca="1" si="9"/>
        <v>#REF!</v>
      </c>
      <c r="W11" s="70" t="s">
        <v>224</v>
      </c>
    </row>
    <row r="12" spans="1:23" ht="12.75" x14ac:dyDescent="0.15">
      <c r="A12" s="70">
        <v>11</v>
      </c>
      <c r="B12" s="70" t="e">
        <f ca="1">OFFSET(Batting!$C$4,BatAves!$I12,0)</f>
        <v>#N/A</v>
      </c>
      <c r="C12" s="74" t="e">
        <f ca="1">OFFSET(Batting!$CE$4,BatAves!$I12,0)</f>
        <v>#N/A</v>
      </c>
      <c r="D12" s="74" t="e">
        <f ca="1">OFFSET(Batting!$CG$4,BatAves!$I12,0)</f>
        <v>#N/A</v>
      </c>
      <c r="E12" s="74" t="e">
        <f ca="1">OFFSET(Batting!$CH$4,BatAves!$I12,0)</f>
        <v>#N/A</v>
      </c>
      <c r="F12" s="74" t="e">
        <f ca="1">OFFSET(Batting!$CJ$4,BatAves!$I12,0)</f>
        <v>#N/A</v>
      </c>
      <c r="G12" s="74" t="e">
        <f ca="1">OFFSET(Batting!$CK$4,BatAves!$I12,0)</f>
        <v>#N/A</v>
      </c>
      <c r="H12" s="79" t="e">
        <f ca="1">OFFSET(Batting!$CL$4,BatAves!$I12,0)</f>
        <v>#N/A</v>
      </c>
      <c r="I12" s="70" t="e">
        <f ca="1">MATCH(A12,Batting!$DF$5:$DF$39,0)</f>
        <v>#N/A</v>
      </c>
      <c r="J12" s="70" t="e">
        <f t="shared" ca="1" si="0"/>
        <v>#N/A</v>
      </c>
      <c r="K12" s="70" t="e">
        <f t="shared" ca="1" si="1"/>
        <v>#N/A</v>
      </c>
      <c r="L12" s="70" t="e">
        <f t="shared" ca="1" si="2"/>
        <v>#N/A</v>
      </c>
      <c r="M12" s="70" t="e">
        <f t="shared" ca="1" si="3"/>
        <v>#REF!</v>
      </c>
      <c r="N12" s="140">
        <v>11</v>
      </c>
      <c r="O12" s="140" t="e">
        <f t="shared" ca="1" si="4"/>
        <v>#REF!</v>
      </c>
      <c r="P12" s="140" t="e">
        <f t="shared" ca="1" si="5"/>
        <v>#REF!</v>
      </c>
      <c r="Q12" s="140" t="e">
        <f t="shared" ca="1" si="6"/>
        <v>#REF!</v>
      </c>
      <c r="R12" s="140" t="e">
        <f t="shared" ca="1" si="7"/>
        <v>#REF!</v>
      </c>
      <c r="S12" s="140" t="e">
        <f t="shared" ca="1" si="8"/>
        <v>#REF!</v>
      </c>
      <c r="T12" s="142" t="e">
        <f t="shared" ca="1" si="9"/>
        <v>#REF!</v>
      </c>
      <c r="W12" s="70" t="s">
        <v>224</v>
      </c>
    </row>
    <row r="13" spans="1:23" ht="12.75" x14ac:dyDescent="0.15">
      <c r="A13" s="70">
        <v>12</v>
      </c>
      <c r="B13" s="70" t="e">
        <f ca="1">OFFSET(Batting!$C$4,BatAves!$I13,0)</f>
        <v>#N/A</v>
      </c>
      <c r="C13" s="74" t="e">
        <f ca="1">OFFSET(Batting!$CE$4,BatAves!$I13,0)</f>
        <v>#N/A</v>
      </c>
      <c r="D13" s="74" t="e">
        <f ca="1">OFFSET(Batting!$CG$4,BatAves!$I13,0)</f>
        <v>#N/A</v>
      </c>
      <c r="E13" s="74" t="e">
        <f ca="1">OFFSET(Batting!$CH$4,BatAves!$I13,0)</f>
        <v>#N/A</v>
      </c>
      <c r="F13" s="74" t="e">
        <f ca="1">OFFSET(Batting!$CJ$4,BatAves!$I13,0)</f>
        <v>#N/A</v>
      </c>
      <c r="G13" s="74" t="e">
        <f ca="1">OFFSET(Batting!$CK$4,BatAves!$I13,0)</f>
        <v>#N/A</v>
      </c>
      <c r="H13" s="79" t="e">
        <f ca="1">OFFSET(Batting!$CL$4,BatAves!$I13,0)</f>
        <v>#N/A</v>
      </c>
      <c r="I13" s="70" t="e">
        <f ca="1">MATCH(A13,Batting!$DF$5:$DF$39,0)</f>
        <v>#N/A</v>
      </c>
      <c r="J13" s="70" t="e">
        <f t="shared" ca="1" si="0"/>
        <v>#N/A</v>
      </c>
      <c r="K13" s="70" t="e">
        <f t="shared" ca="1" si="1"/>
        <v>#N/A</v>
      </c>
      <c r="L13" s="70" t="e">
        <f t="shared" ca="1" si="2"/>
        <v>#N/A</v>
      </c>
      <c r="M13" s="70" t="e">
        <f t="shared" ca="1" si="3"/>
        <v>#REF!</v>
      </c>
      <c r="N13" s="140">
        <v>12</v>
      </c>
      <c r="O13" s="140" t="e">
        <f t="shared" ca="1" si="4"/>
        <v>#REF!</v>
      </c>
      <c r="P13" s="140" t="e">
        <f t="shared" ca="1" si="5"/>
        <v>#REF!</v>
      </c>
      <c r="Q13" s="140" t="e">
        <f t="shared" ca="1" si="6"/>
        <v>#REF!</v>
      </c>
      <c r="R13" s="140" t="e">
        <f t="shared" ca="1" si="7"/>
        <v>#REF!</v>
      </c>
      <c r="S13" s="140" t="e">
        <f t="shared" ca="1" si="8"/>
        <v>#REF!</v>
      </c>
      <c r="T13" s="142" t="e">
        <f t="shared" ca="1" si="9"/>
        <v>#REF!</v>
      </c>
      <c r="W13" s="70" t="s">
        <v>224</v>
      </c>
    </row>
    <row r="14" spans="1:23" ht="12.75" x14ac:dyDescent="0.15">
      <c r="A14" s="70">
        <v>13</v>
      </c>
      <c r="B14" s="70" t="e">
        <f ca="1">OFFSET(Batting!$C$4,BatAves!$I14,0)</f>
        <v>#N/A</v>
      </c>
      <c r="C14" s="74" t="e">
        <f ca="1">OFFSET(Batting!$CE$4,BatAves!$I14,0)</f>
        <v>#N/A</v>
      </c>
      <c r="D14" s="74" t="e">
        <f ca="1">OFFSET(Batting!$CG$4,BatAves!$I14,0)</f>
        <v>#N/A</v>
      </c>
      <c r="E14" s="74" t="e">
        <f ca="1">OFFSET(Batting!$CH$4,BatAves!$I14,0)</f>
        <v>#N/A</v>
      </c>
      <c r="F14" s="74" t="e">
        <f ca="1">OFFSET(Batting!$CJ$4,BatAves!$I14,0)</f>
        <v>#N/A</v>
      </c>
      <c r="G14" s="74" t="e">
        <f ca="1">OFFSET(Batting!$CK$4,BatAves!$I14,0)</f>
        <v>#N/A</v>
      </c>
      <c r="H14" s="79" t="e">
        <f ca="1">OFFSET(Batting!$CL$4,BatAves!$I14,0)</f>
        <v>#N/A</v>
      </c>
      <c r="I14" s="70" t="e">
        <f ca="1">MATCH(A14,Batting!$DF$5:$DF$39,0)</f>
        <v>#N/A</v>
      </c>
      <c r="J14" s="70" t="e">
        <f t="shared" ca="1" si="0"/>
        <v>#N/A</v>
      </c>
      <c r="K14" s="70" t="e">
        <f t="shared" ca="1" si="1"/>
        <v>#N/A</v>
      </c>
      <c r="L14" s="70" t="e">
        <f t="shared" ca="1" si="2"/>
        <v>#N/A</v>
      </c>
      <c r="M14" s="70" t="e">
        <f t="shared" ca="1" si="3"/>
        <v>#REF!</v>
      </c>
      <c r="N14" s="140">
        <v>13</v>
      </c>
      <c r="O14" s="140" t="e">
        <f t="shared" ca="1" si="4"/>
        <v>#REF!</v>
      </c>
      <c r="P14" s="140" t="e">
        <f t="shared" ca="1" si="5"/>
        <v>#REF!</v>
      </c>
      <c r="Q14" s="140" t="e">
        <f t="shared" ca="1" si="6"/>
        <v>#REF!</v>
      </c>
      <c r="R14" s="140" t="e">
        <f t="shared" ca="1" si="7"/>
        <v>#REF!</v>
      </c>
      <c r="S14" s="140" t="e">
        <f t="shared" ca="1" si="8"/>
        <v>#REF!</v>
      </c>
      <c r="T14" s="142" t="e">
        <f t="shared" ca="1" si="9"/>
        <v>#REF!</v>
      </c>
      <c r="W14" s="70" t="s">
        <v>224</v>
      </c>
    </row>
    <row r="15" spans="1:23" ht="12.75" x14ac:dyDescent="0.15">
      <c r="A15" s="70">
        <v>14</v>
      </c>
      <c r="B15" s="70" t="e">
        <f ca="1">OFFSET(Batting!$C$4,BatAves!$I15,0)</f>
        <v>#N/A</v>
      </c>
      <c r="C15" s="74" t="e">
        <f ca="1">OFFSET(Batting!$CE$4,BatAves!$I15,0)</f>
        <v>#N/A</v>
      </c>
      <c r="D15" s="74" t="e">
        <f ca="1">OFFSET(Batting!$CG$4,BatAves!$I15,0)</f>
        <v>#N/A</v>
      </c>
      <c r="E15" s="74" t="e">
        <f ca="1">OFFSET(Batting!$CH$4,BatAves!$I15,0)</f>
        <v>#N/A</v>
      </c>
      <c r="F15" s="74" t="e">
        <f ca="1">OFFSET(Batting!$CJ$4,BatAves!$I15,0)</f>
        <v>#N/A</v>
      </c>
      <c r="G15" s="74" t="e">
        <f ca="1">OFFSET(Batting!$CK$4,BatAves!$I15,0)</f>
        <v>#N/A</v>
      </c>
      <c r="H15" s="79" t="e">
        <f ca="1">OFFSET(Batting!$CL$4,BatAves!$I15,0)</f>
        <v>#N/A</v>
      </c>
      <c r="I15" s="70" t="e">
        <f ca="1">MATCH(A15,Batting!$DF$5:$DF$39,0)</f>
        <v>#N/A</v>
      </c>
      <c r="J15" s="70" t="e">
        <f t="shared" ca="1" si="0"/>
        <v>#N/A</v>
      </c>
      <c r="K15" s="70" t="e">
        <f t="shared" ca="1" si="1"/>
        <v>#N/A</v>
      </c>
      <c r="L15" s="70" t="e">
        <f t="shared" ca="1" si="2"/>
        <v>#N/A</v>
      </c>
      <c r="M15" s="70" t="e">
        <f t="shared" ca="1" si="3"/>
        <v>#REF!</v>
      </c>
      <c r="N15" s="140">
        <v>14</v>
      </c>
      <c r="O15" s="140" t="e">
        <f t="shared" ca="1" si="4"/>
        <v>#REF!</v>
      </c>
      <c r="P15" s="140" t="e">
        <f t="shared" ca="1" si="5"/>
        <v>#REF!</v>
      </c>
      <c r="Q15" s="140" t="e">
        <f t="shared" ca="1" si="6"/>
        <v>#REF!</v>
      </c>
      <c r="R15" s="140" t="e">
        <f t="shared" ca="1" si="7"/>
        <v>#REF!</v>
      </c>
      <c r="S15" s="140" t="e">
        <f t="shared" ca="1" si="8"/>
        <v>#REF!</v>
      </c>
      <c r="T15" s="142" t="e">
        <f t="shared" ca="1" si="9"/>
        <v>#REF!</v>
      </c>
      <c r="W15" s="70" t="s">
        <v>224</v>
      </c>
    </row>
    <row r="16" spans="1:23" ht="12.75" x14ac:dyDescent="0.15">
      <c r="A16" s="70">
        <v>15</v>
      </c>
      <c r="B16" s="70" t="e">
        <f ca="1">OFFSET(Batting!$C$4,BatAves!$I16,0)</f>
        <v>#N/A</v>
      </c>
      <c r="C16" s="74" t="e">
        <f ca="1">OFFSET(Batting!$CE$4,BatAves!$I16,0)</f>
        <v>#N/A</v>
      </c>
      <c r="D16" s="74" t="e">
        <f ca="1">OFFSET(Batting!$CG$4,BatAves!$I16,0)</f>
        <v>#N/A</v>
      </c>
      <c r="E16" s="74" t="e">
        <f ca="1">OFFSET(Batting!$CH$4,BatAves!$I16,0)</f>
        <v>#N/A</v>
      </c>
      <c r="F16" s="74" t="e">
        <f ca="1">OFFSET(Batting!$CJ$4,BatAves!$I16,0)</f>
        <v>#N/A</v>
      </c>
      <c r="G16" s="74" t="e">
        <f ca="1">OFFSET(Batting!$CK$4,BatAves!$I16,0)</f>
        <v>#N/A</v>
      </c>
      <c r="H16" s="79" t="e">
        <f ca="1">OFFSET(Batting!$CL$4,BatAves!$I16,0)</f>
        <v>#N/A</v>
      </c>
      <c r="I16" s="70" t="e">
        <f ca="1">MATCH(A16,Batting!$DF$5:$DF$39,0)</f>
        <v>#N/A</v>
      </c>
      <c r="J16" s="70" t="e">
        <f t="shared" ca="1" si="0"/>
        <v>#N/A</v>
      </c>
      <c r="K16" s="70" t="e">
        <f t="shared" ca="1" si="1"/>
        <v>#N/A</v>
      </c>
      <c r="L16" s="70" t="e">
        <f t="shared" ca="1" si="2"/>
        <v>#N/A</v>
      </c>
      <c r="M16" s="70" t="e">
        <f t="shared" ca="1" si="3"/>
        <v>#REF!</v>
      </c>
      <c r="N16" s="140">
        <v>15</v>
      </c>
      <c r="O16" s="140" t="e">
        <f t="shared" ca="1" si="4"/>
        <v>#REF!</v>
      </c>
      <c r="P16" s="140" t="e">
        <f t="shared" ca="1" si="5"/>
        <v>#REF!</v>
      </c>
      <c r="Q16" s="140" t="e">
        <f t="shared" ca="1" si="6"/>
        <v>#REF!</v>
      </c>
      <c r="R16" s="140" t="e">
        <f t="shared" ca="1" si="7"/>
        <v>#REF!</v>
      </c>
      <c r="S16" s="140" t="e">
        <f t="shared" ca="1" si="8"/>
        <v>#REF!</v>
      </c>
      <c r="T16" s="142" t="e">
        <f t="shared" ca="1" si="9"/>
        <v>#REF!</v>
      </c>
      <c r="W16" s="70" t="s">
        <v>224</v>
      </c>
    </row>
    <row r="17" spans="1:23" ht="12.75" x14ac:dyDescent="0.15">
      <c r="A17" s="70">
        <v>16</v>
      </c>
      <c r="B17" s="70" t="e">
        <f ca="1">OFFSET(Batting!$C$4,BatAves!$I17,0)</f>
        <v>#N/A</v>
      </c>
      <c r="C17" s="74" t="e">
        <f ca="1">OFFSET(Batting!$CE$4,BatAves!$I17,0)</f>
        <v>#N/A</v>
      </c>
      <c r="D17" s="74" t="e">
        <f ca="1">OFFSET(Batting!$CG$4,BatAves!$I17,0)</f>
        <v>#N/A</v>
      </c>
      <c r="E17" s="74" t="e">
        <f ca="1">OFFSET(Batting!$CH$4,BatAves!$I17,0)</f>
        <v>#N/A</v>
      </c>
      <c r="F17" s="74" t="e">
        <f ca="1">OFFSET(Batting!$CJ$4,BatAves!$I17,0)</f>
        <v>#N/A</v>
      </c>
      <c r="G17" s="74" t="e">
        <f ca="1">OFFSET(Batting!$CK$4,BatAves!$I17,0)</f>
        <v>#N/A</v>
      </c>
      <c r="H17" s="79" t="e">
        <f ca="1">OFFSET(Batting!$CL$4,BatAves!$I17,0)</f>
        <v>#N/A</v>
      </c>
      <c r="I17" s="70" t="e">
        <f ca="1">MATCH(A17,Batting!$DF$5:$DF$39,0)</f>
        <v>#N/A</v>
      </c>
      <c r="J17" s="70" t="e">
        <f t="shared" ca="1" si="0"/>
        <v>#N/A</v>
      </c>
      <c r="K17" s="70" t="e">
        <f t="shared" ca="1" si="1"/>
        <v>#N/A</v>
      </c>
      <c r="L17" s="70" t="e">
        <f t="shared" ca="1" si="2"/>
        <v>#N/A</v>
      </c>
      <c r="M17" s="70" t="e">
        <f t="shared" ca="1" si="3"/>
        <v>#REF!</v>
      </c>
      <c r="N17" s="140">
        <v>16</v>
      </c>
      <c r="O17" s="140" t="e">
        <f t="shared" ca="1" si="4"/>
        <v>#REF!</v>
      </c>
      <c r="P17" s="140" t="e">
        <f t="shared" ca="1" si="5"/>
        <v>#REF!</v>
      </c>
      <c r="Q17" s="140" t="e">
        <f t="shared" ca="1" si="6"/>
        <v>#REF!</v>
      </c>
      <c r="R17" s="140" t="e">
        <f t="shared" ca="1" si="7"/>
        <v>#REF!</v>
      </c>
      <c r="S17" s="140" t="e">
        <f t="shared" ca="1" si="8"/>
        <v>#REF!</v>
      </c>
      <c r="T17" s="142" t="e">
        <f t="shared" ca="1" si="9"/>
        <v>#REF!</v>
      </c>
      <c r="W17" s="70" t="s">
        <v>224</v>
      </c>
    </row>
    <row r="18" spans="1:23" ht="12.75" x14ac:dyDescent="0.15">
      <c r="A18" s="70">
        <v>17</v>
      </c>
      <c r="B18" s="70" t="e">
        <f ca="1">OFFSET(Batting!$C$4,BatAves!$I18,0)</f>
        <v>#N/A</v>
      </c>
      <c r="C18" s="74" t="e">
        <f ca="1">OFFSET(Batting!$CE$4,BatAves!$I18,0)</f>
        <v>#N/A</v>
      </c>
      <c r="D18" s="74" t="e">
        <f ca="1">OFFSET(Batting!$CG$4,BatAves!$I18,0)</f>
        <v>#N/A</v>
      </c>
      <c r="E18" s="74" t="e">
        <f ca="1">OFFSET(Batting!$CH$4,BatAves!$I18,0)</f>
        <v>#N/A</v>
      </c>
      <c r="F18" s="74" t="e">
        <f ca="1">OFFSET(Batting!$CJ$4,BatAves!$I18,0)</f>
        <v>#N/A</v>
      </c>
      <c r="G18" s="74" t="e">
        <f ca="1">OFFSET(Batting!$CK$4,BatAves!$I18,0)</f>
        <v>#N/A</v>
      </c>
      <c r="H18" s="79" t="e">
        <f ca="1">OFFSET(Batting!$CL$4,BatAves!$I18,0)</f>
        <v>#N/A</v>
      </c>
      <c r="I18" s="70" t="e">
        <f ca="1">MATCH(A18,Batting!$DF$5:$DF$39,0)</f>
        <v>#N/A</v>
      </c>
      <c r="J18" s="70" t="e">
        <f t="shared" ca="1" si="0"/>
        <v>#N/A</v>
      </c>
      <c r="K18" s="70" t="e">
        <f t="shared" ca="1" si="1"/>
        <v>#N/A</v>
      </c>
      <c r="L18" s="70" t="e">
        <f t="shared" ca="1" si="2"/>
        <v>#N/A</v>
      </c>
      <c r="M18" s="70" t="e">
        <f t="shared" ca="1" si="3"/>
        <v>#REF!</v>
      </c>
      <c r="N18" s="140">
        <v>17</v>
      </c>
      <c r="O18" s="140" t="e">
        <f t="shared" ca="1" si="4"/>
        <v>#REF!</v>
      </c>
      <c r="P18" s="140" t="e">
        <f t="shared" ca="1" si="5"/>
        <v>#REF!</v>
      </c>
      <c r="Q18" s="140" t="e">
        <f t="shared" ca="1" si="6"/>
        <v>#REF!</v>
      </c>
      <c r="R18" s="140" t="e">
        <f t="shared" ca="1" si="7"/>
        <v>#REF!</v>
      </c>
      <c r="S18" s="140" t="e">
        <f t="shared" ca="1" si="8"/>
        <v>#REF!</v>
      </c>
      <c r="T18" s="142" t="e">
        <f t="shared" ca="1" si="9"/>
        <v>#REF!</v>
      </c>
      <c r="V18" s="70" t="s">
        <v>224</v>
      </c>
      <c r="W18" s="70" t="s">
        <v>224</v>
      </c>
    </row>
    <row r="19" spans="1:23" ht="12.75" x14ac:dyDescent="0.15">
      <c r="A19" s="70">
        <v>18</v>
      </c>
      <c r="B19" s="70" t="e">
        <f ca="1">OFFSET(Batting!$C$4,BatAves!$I19,0)</f>
        <v>#N/A</v>
      </c>
      <c r="C19" s="74" t="e">
        <f ca="1">OFFSET(Batting!$CE$4,BatAves!$I19,0)</f>
        <v>#N/A</v>
      </c>
      <c r="D19" s="74" t="e">
        <f ca="1">OFFSET(Batting!$CG$4,BatAves!$I19,0)</f>
        <v>#N/A</v>
      </c>
      <c r="E19" s="74" t="e">
        <f ca="1">OFFSET(Batting!$CH$4,BatAves!$I19,0)</f>
        <v>#N/A</v>
      </c>
      <c r="F19" s="74" t="e">
        <f ca="1">OFFSET(Batting!$CJ$4,BatAves!$I19,0)</f>
        <v>#N/A</v>
      </c>
      <c r="G19" s="74" t="e">
        <f ca="1">OFFSET(Batting!$CK$4,BatAves!$I19,0)</f>
        <v>#N/A</v>
      </c>
      <c r="H19" s="79" t="e">
        <f ca="1">OFFSET(Batting!$CL$4,BatAves!$I19,0)</f>
        <v>#N/A</v>
      </c>
      <c r="I19" s="70" t="e">
        <f ca="1">MATCH(A19,Batting!$DF$5:$DF$39,0)</f>
        <v>#N/A</v>
      </c>
      <c r="J19" s="70" t="e">
        <f t="shared" ca="1" si="0"/>
        <v>#N/A</v>
      </c>
      <c r="K19" s="70" t="e">
        <f t="shared" ca="1" si="1"/>
        <v>#N/A</v>
      </c>
      <c r="L19" s="70" t="e">
        <f t="shared" ca="1" si="2"/>
        <v>#N/A</v>
      </c>
      <c r="M19" s="70" t="e">
        <f t="shared" ca="1" si="3"/>
        <v>#REF!</v>
      </c>
      <c r="N19" s="140">
        <v>18</v>
      </c>
      <c r="O19" s="140" t="e">
        <f t="shared" ca="1" si="4"/>
        <v>#REF!</v>
      </c>
      <c r="P19" s="140" t="e">
        <f t="shared" ca="1" si="5"/>
        <v>#REF!</v>
      </c>
      <c r="Q19" s="140" t="e">
        <f t="shared" ca="1" si="6"/>
        <v>#REF!</v>
      </c>
      <c r="R19" s="140" t="e">
        <f t="shared" ca="1" si="7"/>
        <v>#REF!</v>
      </c>
      <c r="S19" s="140" t="e">
        <f t="shared" ca="1" si="8"/>
        <v>#REF!</v>
      </c>
      <c r="T19" s="142" t="e">
        <f t="shared" ca="1" si="9"/>
        <v>#REF!</v>
      </c>
      <c r="V19" s="70" t="s">
        <v>224</v>
      </c>
      <c r="W19" s="70" t="s">
        <v>224</v>
      </c>
    </row>
    <row r="20" spans="1:23" ht="12.75" x14ac:dyDescent="0.15">
      <c r="A20" s="70">
        <v>19</v>
      </c>
      <c r="B20" s="70" t="e">
        <f ca="1">OFFSET(Batting!$C$4,BatAves!$I20,0)</f>
        <v>#N/A</v>
      </c>
      <c r="C20" s="74" t="e">
        <f ca="1">OFFSET(Batting!$CE$4,BatAves!$I20,0)</f>
        <v>#N/A</v>
      </c>
      <c r="D20" s="74" t="e">
        <f ca="1">OFFSET(Batting!$CG$4,BatAves!$I20,0)</f>
        <v>#N/A</v>
      </c>
      <c r="E20" s="74" t="e">
        <f ca="1">OFFSET(Batting!$CH$4,BatAves!$I20,0)</f>
        <v>#N/A</v>
      </c>
      <c r="F20" s="74" t="e">
        <f ca="1">OFFSET(Batting!$CJ$4,BatAves!$I20,0)</f>
        <v>#N/A</v>
      </c>
      <c r="G20" s="74" t="e">
        <f ca="1">OFFSET(Batting!$CK$4,BatAves!$I20,0)</f>
        <v>#N/A</v>
      </c>
      <c r="H20" s="79" t="e">
        <f ca="1">OFFSET(Batting!$CL$4,BatAves!$I20,0)</f>
        <v>#N/A</v>
      </c>
      <c r="I20" s="70" t="e">
        <f ca="1">MATCH(A20,Batting!$DF$5:$DF$39,0)</f>
        <v>#N/A</v>
      </c>
      <c r="J20" s="70" t="e">
        <f t="shared" ca="1" si="0"/>
        <v>#N/A</v>
      </c>
      <c r="K20" s="70" t="e">
        <f t="shared" ca="1" si="1"/>
        <v>#N/A</v>
      </c>
      <c r="L20" s="70" t="e">
        <f t="shared" ca="1" si="2"/>
        <v>#N/A</v>
      </c>
      <c r="M20" s="70" t="e">
        <f t="shared" ca="1" si="3"/>
        <v>#REF!</v>
      </c>
      <c r="N20" s="140">
        <v>19</v>
      </c>
      <c r="O20" s="140" t="e">
        <f t="shared" ca="1" si="4"/>
        <v>#REF!</v>
      </c>
      <c r="P20" s="140" t="e">
        <f t="shared" ca="1" si="5"/>
        <v>#REF!</v>
      </c>
      <c r="Q20" s="140" t="e">
        <f t="shared" ca="1" si="6"/>
        <v>#REF!</v>
      </c>
      <c r="R20" s="140" t="e">
        <f t="shared" ca="1" si="7"/>
        <v>#REF!</v>
      </c>
      <c r="S20" s="140" t="e">
        <f t="shared" ca="1" si="8"/>
        <v>#REF!</v>
      </c>
      <c r="T20" s="142" t="e">
        <f t="shared" ca="1" si="9"/>
        <v>#REF!</v>
      </c>
      <c r="V20" s="70" t="s">
        <v>224</v>
      </c>
      <c r="W20" s="70" t="s">
        <v>224</v>
      </c>
    </row>
    <row r="21" spans="1:23" ht="12.75" x14ac:dyDescent="0.15">
      <c r="A21" s="70">
        <v>20</v>
      </c>
      <c r="B21" s="70" t="e">
        <f ca="1">OFFSET(Batting!$C$4,BatAves!$I21,0)</f>
        <v>#N/A</v>
      </c>
      <c r="C21" s="74" t="e">
        <f ca="1">OFFSET(Batting!$CE$4,BatAves!$I21,0)</f>
        <v>#N/A</v>
      </c>
      <c r="D21" s="74" t="e">
        <f ca="1">OFFSET(Batting!$CG$4,BatAves!$I21,0)</f>
        <v>#N/A</v>
      </c>
      <c r="E21" s="74" t="e">
        <f ca="1">OFFSET(Batting!$CH$4,BatAves!$I21,0)</f>
        <v>#N/A</v>
      </c>
      <c r="F21" s="74" t="e">
        <f ca="1">OFFSET(Batting!$CJ$4,BatAves!$I21,0)</f>
        <v>#N/A</v>
      </c>
      <c r="G21" s="74" t="e">
        <f ca="1">OFFSET(Batting!$CK$4,BatAves!$I21,0)</f>
        <v>#N/A</v>
      </c>
      <c r="H21" s="79" t="e">
        <f ca="1">OFFSET(Batting!$CL$4,BatAves!$I21,0)</f>
        <v>#N/A</v>
      </c>
      <c r="I21" s="70" t="e">
        <f ca="1">MATCH(A21,Batting!$DF$5:$DF$39,0)</f>
        <v>#N/A</v>
      </c>
      <c r="J21" s="70" t="e">
        <f t="shared" ca="1" si="0"/>
        <v>#N/A</v>
      </c>
      <c r="K21" s="70" t="e">
        <f t="shared" ca="1" si="1"/>
        <v>#N/A</v>
      </c>
      <c r="L21" s="70" t="e">
        <f t="shared" ca="1" si="2"/>
        <v>#N/A</v>
      </c>
      <c r="M21" s="70" t="e">
        <f t="shared" ca="1" si="3"/>
        <v>#REF!</v>
      </c>
      <c r="N21" s="140">
        <v>20</v>
      </c>
      <c r="O21" s="140" t="e">
        <f t="shared" ca="1" si="4"/>
        <v>#REF!</v>
      </c>
      <c r="P21" s="140" t="e">
        <f t="shared" ca="1" si="5"/>
        <v>#REF!</v>
      </c>
      <c r="Q21" s="140" t="e">
        <f t="shared" ca="1" si="6"/>
        <v>#REF!</v>
      </c>
      <c r="R21" s="140" t="e">
        <f t="shared" ca="1" si="7"/>
        <v>#REF!</v>
      </c>
      <c r="S21" s="140" t="e">
        <f t="shared" ca="1" si="8"/>
        <v>#REF!</v>
      </c>
      <c r="T21" s="142" t="e">
        <f t="shared" ca="1" si="9"/>
        <v>#REF!</v>
      </c>
      <c r="V21" s="70" t="s">
        <v>224</v>
      </c>
      <c r="W21" s="70" t="s">
        <v>224</v>
      </c>
    </row>
    <row r="22" spans="1:23" ht="12.75" x14ac:dyDescent="0.15">
      <c r="A22" s="70">
        <v>21</v>
      </c>
      <c r="B22" s="70" t="e">
        <f ca="1">OFFSET(Batting!$C$4,BatAves!$I22,0)</f>
        <v>#N/A</v>
      </c>
      <c r="C22" s="74" t="e">
        <f ca="1">OFFSET(Batting!$CE$4,BatAves!$I22,0)</f>
        <v>#N/A</v>
      </c>
      <c r="D22" s="74" t="e">
        <f ca="1">OFFSET(Batting!$CG$4,BatAves!$I22,0)</f>
        <v>#N/A</v>
      </c>
      <c r="E22" s="74" t="e">
        <f ca="1">OFFSET(Batting!$CH$4,BatAves!$I22,0)</f>
        <v>#N/A</v>
      </c>
      <c r="F22" s="74" t="e">
        <f ca="1">OFFSET(Batting!$CJ$4,BatAves!$I22,0)</f>
        <v>#N/A</v>
      </c>
      <c r="G22" s="74" t="e">
        <f ca="1">OFFSET(Batting!$CK$4,BatAves!$I22,0)</f>
        <v>#N/A</v>
      </c>
      <c r="H22" s="79" t="e">
        <f ca="1">OFFSET(Batting!$CL$4,BatAves!$I22,0)</f>
        <v>#N/A</v>
      </c>
      <c r="I22" s="70" t="e">
        <f ca="1">MATCH(A22,Batting!$DF$5:$DF$39,0)</f>
        <v>#N/A</v>
      </c>
      <c r="J22" s="70" t="e">
        <f t="shared" ca="1" si="0"/>
        <v>#N/A</v>
      </c>
      <c r="K22" s="70" t="e">
        <f t="shared" ca="1" si="1"/>
        <v>#N/A</v>
      </c>
      <c r="L22" s="70" t="e">
        <f t="shared" ca="1" si="2"/>
        <v>#N/A</v>
      </c>
      <c r="M22" s="70" t="e">
        <f t="shared" ca="1" si="3"/>
        <v>#REF!</v>
      </c>
      <c r="N22" s="140">
        <v>21</v>
      </c>
      <c r="O22" s="140" t="e">
        <f t="shared" ca="1" si="4"/>
        <v>#REF!</v>
      </c>
      <c r="P22" s="140" t="e">
        <f t="shared" ca="1" si="5"/>
        <v>#REF!</v>
      </c>
      <c r="Q22" s="140" t="e">
        <f t="shared" ca="1" si="6"/>
        <v>#REF!</v>
      </c>
      <c r="R22" s="140" t="e">
        <f t="shared" ca="1" si="7"/>
        <v>#REF!</v>
      </c>
      <c r="S22" s="140" t="e">
        <f t="shared" ca="1" si="8"/>
        <v>#REF!</v>
      </c>
      <c r="T22" s="142" t="e">
        <f t="shared" ca="1" si="9"/>
        <v>#REF!</v>
      </c>
      <c r="V22" s="70" t="s">
        <v>224</v>
      </c>
      <c r="W22" s="70" t="s">
        <v>224</v>
      </c>
    </row>
    <row r="23" spans="1:23" ht="12.75" x14ac:dyDescent="0.15">
      <c r="A23" s="70">
        <v>22</v>
      </c>
      <c r="B23" s="70" t="e">
        <f ca="1">OFFSET(Batting!$C$4,BatAves!$I23,0)</f>
        <v>#N/A</v>
      </c>
      <c r="C23" s="74" t="e">
        <f ca="1">OFFSET(Batting!$CE$4,BatAves!$I23,0)</f>
        <v>#N/A</v>
      </c>
      <c r="D23" s="74" t="e">
        <f ca="1">OFFSET(Batting!$CG$4,BatAves!$I23,0)</f>
        <v>#N/A</v>
      </c>
      <c r="E23" s="74" t="e">
        <f ca="1">OFFSET(Batting!$CH$4,BatAves!$I23,0)</f>
        <v>#N/A</v>
      </c>
      <c r="F23" s="74" t="e">
        <f ca="1">OFFSET(Batting!$CJ$4,BatAves!$I23,0)</f>
        <v>#N/A</v>
      </c>
      <c r="G23" s="74" t="e">
        <f ca="1">OFFSET(Batting!$CK$4,BatAves!$I23,0)</f>
        <v>#N/A</v>
      </c>
      <c r="H23" s="79" t="e">
        <f ca="1">OFFSET(Batting!$CL$4,BatAves!$I23,0)</f>
        <v>#N/A</v>
      </c>
      <c r="I23" s="70" t="e">
        <f ca="1">MATCH(A23,Batting!$DF$5:$DF$39,0)</f>
        <v>#N/A</v>
      </c>
      <c r="J23" s="70" t="e">
        <f t="shared" ca="1" si="0"/>
        <v>#N/A</v>
      </c>
      <c r="K23" s="70" t="e">
        <f t="shared" ca="1" si="1"/>
        <v>#N/A</v>
      </c>
      <c r="L23" s="70" t="e">
        <f t="shared" ca="1" si="2"/>
        <v>#N/A</v>
      </c>
      <c r="M23" s="70" t="e">
        <f t="shared" ca="1" si="3"/>
        <v>#REF!</v>
      </c>
      <c r="N23" s="140">
        <v>22</v>
      </c>
      <c r="O23" s="140" t="e">
        <f t="shared" ca="1" si="4"/>
        <v>#REF!</v>
      </c>
      <c r="P23" s="140" t="e">
        <f t="shared" ca="1" si="5"/>
        <v>#REF!</v>
      </c>
      <c r="Q23" s="140" t="e">
        <f t="shared" ca="1" si="6"/>
        <v>#REF!</v>
      </c>
      <c r="R23" s="140" t="e">
        <f t="shared" ca="1" si="7"/>
        <v>#REF!</v>
      </c>
      <c r="S23" s="140" t="e">
        <f t="shared" ca="1" si="8"/>
        <v>#REF!</v>
      </c>
      <c r="T23" s="142" t="e">
        <f t="shared" ca="1" si="9"/>
        <v>#REF!</v>
      </c>
      <c r="V23" s="70" t="s">
        <v>224</v>
      </c>
      <c r="W23" s="70" t="s">
        <v>224</v>
      </c>
    </row>
    <row r="24" spans="1:23" ht="12.75" x14ac:dyDescent="0.15">
      <c r="A24" s="70">
        <v>23</v>
      </c>
      <c r="B24" s="70" t="e">
        <f ca="1">OFFSET(Batting!$C$4,BatAves!$I24,0)</f>
        <v>#N/A</v>
      </c>
      <c r="C24" s="74" t="e">
        <f ca="1">OFFSET(Batting!$CE$4,BatAves!$I24,0)</f>
        <v>#N/A</v>
      </c>
      <c r="D24" s="74" t="e">
        <f ca="1">OFFSET(Batting!$CG$4,BatAves!$I24,0)</f>
        <v>#N/A</v>
      </c>
      <c r="E24" s="74" t="e">
        <f ca="1">OFFSET(Batting!$CH$4,BatAves!$I24,0)</f>
        <v>#N/A</v>
      </c>
      <c r="F24" s="74" t="e">
        <f ca="1">OFFSET(Batting!$CJ$4,BatAves!$I24,0)</f>
        <v>#N/A</v>
      </c>
      <c r="G24" s="74" t="e">
        <f ca="1">OFFSET(Batting!$CK$4,BatAves!$I24,0)</f>
        <v>#N/A</v>
      </c>
      <c r="H24" s="79" t="e">
        <f ca="1">OFFSET(Batting!$CL$4,BatAves!$I24,0)</f>
        <v>#N/A</v>
      </c>
      <c r="I24" s="70" t="e">
        <f ca="1">MATCH(A24,Batting!$DF$5:$DF$39,0)</f>
        <v>#N/A</v>
      </c>
      <c r="J24" s="70" t="e">
        <f t="shared" ca="1" si="0"/>
        <v>#N/A</v>
      </c>
      <c r="K24" s="70" t="e">
        <f t="shared" ca="1" si="1"/>
        <v>#N/A</v>
      </c>
      <c r="L24" s="70" t="e">
        <f t="shared" ca="1" si="2"/>
        <v>#N/A</v>
      </c>
      <c r="M24" s="70" t="e">
        <f t="shared" ca="1" si="3"/>
        <v>#REF!</v>
      </c>
      <c r="N24" s="140">
        <v>23</v>
      </c>
      <c r="O24" s="140" t="e">
        <f t="shared" ca="1" si="4"/>
        <v>#REF!</v>
      </c>
      <c r="P24" s="140" t="e">
        <f t="shared" ca="1" si="5"/>
        <v>#REF!</v>
      </c>
      <c r="Q24" s="140" t="e">
        <f t="shared" ca="1" si="6"/>
        <v>#REF!</v>
      </c>
      <c r="R24" s="140" t="e">
        <f t="shared" ca="1" si="7"/>
        <v>#REF!</v>
      </c>
      <c r="S24" s="140" t="e">
        <f t="shared" ca="1" si="8"/>
        <v>#REF!</v>
      </c>
      <c r="T24" s="142" t="e">
        <f t="shared" ca="1" si="9"/>
        <v>#REF!</v>
      </c>
      <c r="V24" s="70" t="s">
        <v>224</v>
      </c>
      <c r="W24" s="70" t="s">
        <v>224</v>
      </c>
    </row>
    <row r="25" spans="1:23" ht="12.75" x14ac:dyDescent="0.15">
      <c r="A25" s="70">
        <v>24</v>
      </c>
      <c r="B25" s="70" t="e">
        <f ca="1">OFFSET(Batting!$C$4,BatAves!$I25,0)</f>
        <v>#N/A</v>
      </c>
      <c r="C25" s="74" t="e">
        <f ca="1">OFFSET(Batting!$CE$4,BatAves!$I25,0)</f>
        <v>#N/A</v>
      </c>
      <c r="D25" s="74" t="e">
        <f ca="1">OFFSET(Batting!$CG$4,BatAves!$I25,0)</f>
        <v>#N/A</v>
      </c>
      <c r="E25" s="74" t="e">
        <f ca="1">OFFSET(Batting!$CH$4,BatAves!$I25,0)</f>
        <v>#N/A</v>
      </c>
      <c r="F25" s="74" t="e">
        <f ca="1">OFFSET(Batting!$CJ$4,BatAves!$I25,0)</f>
        <v>#N/A</v>
      </c>
      <c r="G25" s="74" t="e">
        <f ca="1">OFFSET(Batting!$CK$4,BatAves!$I25,0)</f>
        <v>#N/A</v>
      </c>
      <c r="H25" s="79" t="e">
        <f ca="1">OFFSET(Batting!$CL$4,BatAves!$I25,0)</f>
        <v>#N/A</v>
      </c>
      <c r="I25" s="70" t="e">
        <f ca="1">MATCH(A25,Batting!$DF$5:$DF$39,0)</f>
        <v>#N/A</v>
      </c>
      <c r="J25" s="70" t="e">
        <f t="shared" ca="1" si="0"/>
        <v>#N/A</v>
      </c>
      <c r="K25" s="70" t="e">
        <f t="shared" ca="1" si="1"/>
        <v>#N/A</v>
      </c>
      <c r="L25" s="70" t="e">
        <f t="shared" ca="1" si="2"/>
        <v>#N/A</v>
      </c>
      <c r="M25" s="70" t="e">
        <f t="shared" ca="1" si="3"/>
        <v>#REF!</v>
      </c>
      <c r="N25" s="140">
        <v>24</v>
      </c>
      <c r="O25" s="140" t="e">
        <f t="shared" ca="1" si="4"/>
        <v>#REF!</v>
      </c>
      <c r="P25" s="140" t="e">
        <f t="shared" ca="1" si="5"/>
        <v>#REF!</v>
      </c>
      <c r="Q25" s="140" t="e">
        <f t="shared" ca="1" si="6"/>
        <v>#REF!</v>
      </c>
      <c r="R25" s="140" t="e">
        <f t="shared" ca="1" si="7"/>
        <v>#REF!</v>
      </c>
      <c r="S25" s="140" t="e">
        <f t="shared" ca="1" si="8"/>
        <v>#REF!</v>
      </c>
      <c r="T25" s="142" t="e">
        <f t="shared" ca="1" si="9"/>
        <v>#REF!</v>
      </c>
      <c r="V25" s="70" t="s">
        <v>224</v>
      </c>
      <c r="W25" s="70" t="s">
        <v>224</v>
      </c>
    </row>
    <row r="26" spans="1:23" ht="12.75" x14ac:dyDescent="0.15">
      <c r="A26" s="70">
        <v>25</v>
      </c>
      <c r="B26" s="70" t="e">
        <f ca="1">OFFSET(Batting!$C$4,BatAves!$I26,0)</f>
        <v>#N/A</v>
      </c>
      <c r="C26" s="74" t="e">
        <f ca="1">OFFSET(Batting!$CE$4,BatAves!$I26,0)</f>
        <v>#N/A</v>
      </c>
      <c r="D26" s="74" t="e">
        <f ca="1">OFFSET(Batting!$CG$4,BatAves!$I26,0)</f>
        <v>#N/A</v>
      </c>
      <c r="E26" s="74" t="e">
        <f ca="1">OFFSET(Batting!$CH$4,BatAves!$I26,0)</f>
        <v>#N/A</v>
      </c>
      <c r="F26" s="74" t="e">
        <f ca="1">OFFSET(Batting!$CJ$4,BatAves!$I26,0)</f>
        <v>#N/A</v>
      </c>
      <c r="G26" s="74" t="e">
        <f ca="1">OFFSET(Batting!$CK$4,BatAves!$I26,0)</f>
        <v>#N/A</v>
      </c>
      <c r="H26" s="79" t="e">
        <f ca="1">OFFSET(Batting!$CL$4,BatAves!$I26,0)</f>
        <v>#N/A</v>
      </c>
      <c r="I26" s="70" t="e">
        <f ca="1">MATCH(A26,Batting!$DF$5:$DF$39,0)</f>
        <v>#N/A</v>
      </c>
      <c r="J26" s="70" t="e">
        <f t="shared" ca="1" si="0"/>
        <v>#N/A</v>
      </c>
      <c r="K26" s="70" t="e">
        <f t="shared" ca="1" si="1"/>
        <v>#N/A</v>
      </c>
      <c r="L26" s="70" t="e">
        <f t="shared" ca="1" si="2"/>
        <v>#N/A</v>
      </c>
      <c r="M26" s="70" t="e">
        <f t="shared" ca="1" si="3"/>
        <v>#REF!</v>
      </c>
      <c r="N26" s="140">
        <v>25</v>
      </c>
      <c r="O26" s="140" t="e">
        <f t="shared" ca="1" si="4"/>
        <v>#REF!</v>
      </c>
      <c r="P26" s="140" t="e">
        <f t="shared" ca="1" si="5"/>
        <v>#REF!</v>
      </c>
      <c r="Q26" s="140" t="e">
        <f t="shared" ca="1" si="6"/>
        <v>#REF!</v>
      </c>
      <c r="R26" s="140" t="e">
        <f t="shared" ca="1" si="7"/>
        <v>#REF!</v>
      </c>
      <c r="S26" s="140" t="e">
        <f t="shared" ca="1" si="8"/>
        <v>#REF!</v>
      </c>
      <c r="T26" s="142" t="e">
        <f t="shared" ca="1" si="9"/>
        <v>#REF!</v>
      </c>
      <c r="V26" s="70" t="s">
        <v>224</v>
      </c>
      <c r="W26" s="70" t="s">
        <v>224</v>
      </c>
    </row>
    <row r="27" spans="1:23" ht="12.75" x14ac:dyDescent="0.15">
      <c r="A27" s="70">
        <v>26</v>
      </c>
      <c r="B27" s="70" t="e">
        <f ca="1">OFFSET(Batting!$C$4,BatAves!$I27,0)</f>
        <v>#N/A</v>
      </c>
      <c r="C27" s="74" t="e">
        <f ca="1">OFFSET(Batting!$CE$4,BatAves!$I27,0)</f>
        <v>#N/A</v>
      </c>
      <c r="D27" s="74" t="e">
        <f ca="1">OFFSET(Batting!$CG$4,BatAves!$I27,0)</f>
        <v>#N/A</v>
      </c>
      <c r="E27" s="74" t="e">
        <f ca="1">OFFSET(Batting!$CH$4,BatAves!$I27,0)</f>
        <v>#N/A</v>
      </c>
      <c r="F27" s="74" t="e">
        <f ca="1">OFFSET(Batting!$CJ$4,BatAves!$I27,0)</f>
        <v>#N/A</v>
      </c>
      <c r="G27" s="74" t="e">
        <f ca="1">OFFSET(Batting!$CK$4,BatAves!$I27,0)</f>
        <v>#N/A</v>
      </c>
      <c r="H27" s="79" t="e">
        <f ca="1">OFFSET(Batting!$CL$4,BatAves!$I27,0)</f>
        <v>#N/A</v>
      </c>
      <c r="I27" s="70" t="e">
        <f ca="1">MATCH(A27,Batting!$DF$5:$DF$39,0)</f>
        <v>#N/A</v>
      </c>
      <c r="J27" s="70" t="e">
        <f t="shared" ca="1" si="0"/>
        <v>#N/A</v>
      </c>
      <c r="K27" s="70" t="e">
        <f t="shared" ca="1" si="1"/>
        <v>#N/A</v>
      </c>
      <c r="L27" s="70" t="e">
        <f t="shared" ca="1" si="2"/>
        <v>#N/A</v>
      </c>
      <c r="M27" s="70" t="e">
        <f t="shared" ca="1" si="3"/>
        <v>#REF!</v>
      </c>
      <c r="N27" s="140">
        <v>26</v>
      </c>
      <c r="O27" s="140" t="e">
        <f t="shared" ca="1" si="4"/>
        <v>#REF!</v>
      </c>
      <c r="P27" s="140" t="e">
        <f t="shared" ca="1" si="5"/>
        <v>#REF!</v>
      </c>
      <c r="Q27" s="140" t="e">
        <f t="shared" ca="1" si="6"/>
        <v>#REF!</v>
      </c>
      <c r="R27" s="140" t="e">
        <f t="shared" ca="1" si="7"/>
        <v>#REF!</v>
      </c>
      <c r="S27" s="140" t="e">
        <f t="shared" ca="1" si="8"/>
        <v>#REF!</v>
      </c>
      <c r="T27" s="142" t="e">
        <f t="shared" ca="1" si="9"/>
        <v>#REF!</v>
      </c>
      <c r="W27" s="70" t="s">
        <v>224</v>
      </c>
    </row>
    <row r="28" spans="1:23" ht="12.75" x14ac:dyDescent="0.15">
      <c r="A28" s="70">
        <v>27</v>
      </c>
      <c r="B28" s="70" t="e">
        <f ca="1">OFFSET(Batting!$C$4,BatAves!$I28,0)</f>
        <v>#N/A</v>
      </c>
      <c r="C28" s="74" t="e">
        <f ca="1">OFFSET(Batting!$CE$4,BatAves!$I28,0)</f>
        <v>#N/A</v>
      </c>
      <c r="D28" s="74" t="e">
        <f ca="1">OFFSET(Batting!$CG$4,BatAves!$I28,0)</f>
        <v>#N/A</v>
      </c>
      <c r="E28" s="74" t="e">
        <f ca="1">OFFSET(Batting!$CH$4,BatAves!$I28,0)</f>
        <v>#N/A</v>
      </c>
      <c r="F28" s="74" t="e">
        <f ca="1">OFFSET(Batting!$CJ$4,BatAves!$I28,0)</f>
        <v>#N/A</v>
      </c>
      <c r="G28" s="74" t="e">
        <f ca="1">OFFSET(Batting!$CK$4,BatAves!$I28,0)</f>
        <v>#N/A</v>
      </c>
      <c r="H28" s="79" t="e">
        <f ca="1">OFFSET(Batting!$CL$4,BatAves!$I28,0)</f>
        <v>#N/A</v>
      </c>
      <c r="I28" s="70" t="e">
        <f ca="1">MATCH(A28,Batting!$DF$5:$DF$39,0)</f>
        <v>#N/A</v>
      </c>
      <c r="J28" s="70" t="e">
        <f t="shared" ca="1" si="0"/>
        <v>#N/A</v>
      </c>
      <c r="K28" s="70" t="e">
        <f t="shared" ca="1" si="1"/>
        <v>#N/A</v>
      </c>
      <c r="L28" s="70" t="e">
        <f t="shared" ca="1" si="2"/>
        <v>#N/A</v>
      </c>
      <c r="M28" s="70" t="e">
        <f t="shared" ca="1" si="3"/>
        <v>#REF!</v>
      </c>
      <c r="N28" s="140">
        <v>27</v>
      </c>
      <c r="O28" s="140" t="e">
        <f t="shared" ca="1" si="4"/>
        <v>#REF!</v>
      </c>
      <c r="P28" s="140" t="e">
        <f t="shared" ca="1" si="5"/>
        <v>#REF!</v>
      </c>
      <c r="Q28" s="140" t="e">
        <f t="shared" ca="1" si="6"/>
        <v>#REF!</v>
      </c>
      <c r="R28" s="140" t="e">
        <f t="shared" ca="1" si="7"/>
        <v>#REF!</v>
      </c>
      <c r="S28" s="140" t="e">
        <f t="shared" ca="1" si="8"/>
        <v>#REF!</v>
      </c>
      <c r="T28" s="142" t="e">
        <f t="shared" ca="1" si="9"/>
        <v>#REF!</v>
      </c>
      <c r="V28" s="70" t="s">
        <v>224</v>
      </c>
      <c r="W28" s="155" t="s">
        <v>701</v>
      </c>
    </row>
    <row r="29" spans="1:23" ht="12.75" x14ac:dyDescent="0.15">
      <c r="A29" s="70">
        <v>28</v>
      </c>
      <c r="B29" s="70" t="e">
        <f ca="1">OFFSET(Batting!$C$4,BatAves!$I29,0)</f>
        <v>#N/A</v>
      </c>
      <c r="C29" s="74" t="e">
        <f ca="1">OFFSET(Batting!$CE$4,BatAves!$I29,0)</f>
        <v>#N/A</v>
      </c>
      <c r="D29" s="74" t="e">
        <f ca="1">OFFSET(Batting!$CG$4,BatAves!$I29,0)</f>
        <v>#N/A</v>
      </c>
      <c r="E29" s="74" t="e">
        <f ca="1">OFFSET(Batting!$CH$4,BatAves!$I29,0)</f>
        <v>#N/A</v>
      </c>
      <c r="F29" s="74" t="e">
        <f ca="1">OFFSET(Batting!$CJ$4,BatAves!$I29,0)</f>
        <v>#N/A</v>
      </c>
      <c r="G29" s="74" t="e">
        <f ca="1">OFFSET(Batting!$CK$4,BatAves!$I29,0)</f>
        <v>#N/A</v>
      </c>
      <c r="H29" s="79" t="e">
        <f ca="1">OFFSET(Batting!$CL$4,BatAves!$I29,0)</f>
        <v>#N/A</v>
      </c>
      <c r="I29" s="70" t="e">
        <f ca="1">MATCH(A29,Batting!$DF$5:$DF$39,0)</f>
        <v>#N/A</v>
      </c>
      <c r="J29" s="70" t="e">
        <f t="shared" ca="1" si="0"/>
        <v>#N/A</v>
      </c>
      <c r="K29" s="70" t="e">
        <f t="shared" ca="1" si="1"/>
        <v>#N/A</v>
      </c>
      <c r="L29" s="70" t="e">
        <f t="shared" ca="1" si="2"/>
        <v>#N/A</v>
      </c>
      <c r="M29" s="70" t="e">
        <f t="shared" ca="1" si="3"/>
        <v>#REF!</v>
      </c>
      <c r="N29" s="140">
        <v>28</v>
      </c>
      <c r="O29" s="140" t="e">
        <f t="shared" ca="1" si="4"/>
        <v>#REF!</v>
      </c>
      <c r="P29" s="140" t="e">
        <f t="shared" ca="1" si="5"/>
        <v>#REF!</v>
      </c>
      <c r="Q29" s="140" t="e">
        <f t="shared" ca="1" si="6"/>
        <v>#REF!</v>
      </c>
      <c r="R29" s="140" t="e">
        <f t="shared" ca="1" si="7"/>
        <v>#REF!</v>
      </c>
      <c r="S29" s="140" t="e">
        <f t="shared" ca="1" si="8"/>
        <v>#REF!</v>
      </c>
      <c r="T29" s="142" t="e">
        <f t="shared" ca="1" si="9"/>
        <v>#REF!</v>
      </c>
      <c r="W29" s="155" t="s">
        <v>697</v>
      </c>
    </row>
    <row r="30" spans="1:23" ht="12.75" x14ac:dyDescent="0.15">
      <c r="A30" s="70">
        <v>29</v>
      </c>
      <c r="B30" s="70" t="e">
        <f ca="1">OFFSET(Batting!$C$4,BatAves!$I30,0)</f>
        <v>#N/A</v>
      </c>
      <c r="C30" s="74" t="e">
        <f ca="1">OFFSET(Batting!$CE$4,BatAves!$I30,0)</f>
        <v>#N/A</v>
      </c>
      <c r="D30" s="74" t="e">
        <f ca="1">OFFSET(Batting!$CG$4,BatAves!$I30,0)</f>
        <v>#N/A</v>
      </c>
      <c r="E30" s="74" t="e">
        <f ca="1">OFFSET(Batting!$CH$4,BatAves!$I30,0)</f>
        <v>#N/A</v>
      </c>
      <c r="F30" s="74" t="e">
        <f ca="1">OFFSET(Batting!$CJ$4,BatAves!$I30,0)</f>
        <v>#N/A</v>
      </c>
      <c r="G30" s="74" t="e">
        <f ca="1">OFFSET(Batting!$CK$4,BatAves!$I30,0)</f>
        <v>#N/A</v>
      </c>
      <c r="H30" s="79" t="e">
        <f ca="1">OFFSET(Batting!$CL$4,BatAves!$I30,0)</f>
        <v>#N/A</v>
      </c>
      <c r="I30" s="70" t="e">
        <f ca="1">MATCH(A30,Batting!$DF$5:$DF$39,0)</f>
        <v>#N/A</v>
      </c>
      <c r="J30" s="70" t="e">
        <f t="shared" ca="1" si="0"/>
        <v>#N/A</v>
      </c>
      <c r="K30" s="70" t="e">
        <f t="shared" ca="1" si="1"/>
        <v>#N/A</v>
      </c>
      <c r="L30" s="70" t="e">
        <f t="shared" ca="1" si="2"/>
        <v>#N/A</v>
      </c>
      <c r="M30" s="70" t="e">
        <f t="shared" ca="1" si="3"/>
        <v>#REF!</v>
      </c>
      <c r="N30" s="140">
        <v>29</v>
      </c>
      <c r="O30" s="140" t="e">
        <f t="shared" ca="1" si="4"/>
        <v>#REF!</v>
      </c>
      <c r="P30" s="140" t="e">
        <f t="shared" ca="1" si="5"/>
        <v>#REF!</v>
      </c>
      <c r="Q30" s="140" t="e">
        <f t="shared" ca="1" si="6"/>
        <v>#REF!</v>
      </c>
      <c r="R30" s="140" t="e">
        <f t="shared" ca="1" si="7"/>
        <v>#REF!</v>
      </c>
      <c r="S30" s="140" t="e">
        <f t="shared" ca="1" si="8"/>
        <v>#REF!</v>
      </c>
      <c r="T30" s="142" t="e">
        <f t="shared" ca="1" si="9"/>
        <v>#REF!</v>
      </c>
      <c r="V30" s="70" t="s">
        <v>224</v>
      </c>
      <c r="W30" s="155" t="s">
        <v>702</v>
      </c>
    </row>
    <row r="31" spans="1:23" ht="12.75" x14ac:dyDescent="0.15">
      <c r="A31" s="70">
        <v>30</v>
      </c>
      <c r="B31" s="70" t="e">
        <f ca="1">OFFSET(Batting!$C$4,BatAves!$I31,0)</f>
        <v>#N/A</v>
      </c>
      <c r="C31" s="74" t="e">
        <f ca="1">OFFSET(Batting!$CE$4,BatAves!$I31,0)</f>
        <v>#N/A</v>
      </c>
      <c r="D31" s="74" t="e">
        <f ca="1">OFFSET(Batting!$CG$4,BatAves!$I31,0)</f>
        <v>#N/A</v>
      </c>
      <c r="E31" s="74" t="e">
        <f ca="1">OFFSET(Batting!$CH$4,BatAves!$I31,0)</f>
        <v>#N/A</v>
      </c>
      <c r="F31" s="74" t="e">
        <f ca="1">OFFSET(Batting!$CJ$4,BatAves!$I31,0)</f>
        <v>#N/A</v>
      </c>
      <c r="G31" s="74" t="e">
        <f ca="1">OFFSET(Batting!$CK$4,BatAves!$I31,0)</f>
        <v>#N/A</v>
      </c>
      <c r="H31" s="79" t="e">
        <f ca="1">OFFSET(Batting!$CL$4,BatAves!$I31,0)</f>
        <v>#N/A</v>
      </c>
      <c r="I31" s="70" t="e">
        <f ca="1">MATCH(A31,Batting!$DF$5:$DF$39,0)</f>
        <v>#N/A</v>
      </c>
      <c r="J31" s="70" t="e">
        <f t="shared" ca="1" si="0"/>
        <v>#N/A</v>
      </c>
      <c r="K31" s="70" t="e">
        <f t="shared" ca="1" si="1"/>
        <v>#N/A</v>
      </c>
      <c r="L31" s="70" t="e">
        <f t="shared" ca="1" si="2"/>
        <v>#N/A</v>
      </c>
      <c r="M31" s="70" t="e">
        <f t="shared" ca="1" si="3"/>
        <v>#REF!</v>
      </c>
      <c r="N31" s="140">
        <v>30</v>
      </c>
      <c r="O31" s="140" t="e">
        <f t="shared" ca="1" si="4"/>
        <v>#REF!</v>
      </c>
      <c r="P31" s="140" t="e">
        <f t="shared" ca="1" si="5"/>
        <v>#REF!</v>
      </c>
      <c r="Q31" s="140" t="e">
        <f t="shared" ca="1" si="6"/>
        <v>#REF!</v>
      </c>
      <c r="R31" s="140" t="e">
        <f t="shared" ca="1" si="7"/>
        <v>#REF!</v>
      </c>
      <c r="S31" s="140" t="e">
        <f t="shared" ca="1" si="8"/>
        <v>#REF!</v>
      </c>
      <c r="T31" s="142" t="e">
        <f t="shared" ca="1" si="9"/>
        <v>#REF!</v>
      </c>
      <c r="V31" s="70" t="s">
        <v>224</v>
      </c>
      <c r="W31" s="155" t="s">
        <v>698</v>
      </c>
    </row>
    <row r="32" spans="1:23" ht="12.75" x14ac:dyDescent="0.15">
      <c r="A32" s="70">
        <v>31</v>
      </c>
      <c r="B32" s="70" t="e">
        <f ca="1">OFFSET(Batting!$C$4,BatAves!$I32,0)</f>
        <v>#N/A</v>
      </c>
      <c r="C32" s="74" t="e">
        <f ca="1">OFFSET(Batting!$CE$4,BatAves!$I32,0)</f>
        <v>#N/A</v>
      </c>
      <c r="D32" s="74" t="e">
        <f ca="1">OFFSET(Batting!$CG$4,BatAves!$I32,0)</f>
        <v>#N/A</v>
      </c>
      <c r="E32" s="74" t="e">
        <f ca="1">OFFSET(Batting!$CH$4,BatAves!$I32,0)</f>
        <v>#N/A</v>
      </c>
      <c r="F32" s="74" t="e">
        <f ca="1">OFFSET(Batting!$CJ$4,BatAves!$I32,0)</f>
        <v>#N/A</v>
      </c>
      <c r="G32" s="74" t="e">
        <f ca="1">OFFSET(Batting!$CK$4,BatAves!$I32,0)</f>
        <v>#N/A</v>
      </c>
      <c r="H32" s="79" t="e">
        <f ca="1">OFFSET(Batting!$CL$4,BatAves!$I32,0)</f>
        <v>#N/A</v>
      </c>
      <c r="I32" s="70" t="e">
        <f ca="1">MATCH(A32,Batting!$DF$5:$DF$39,0)</f>
        <v>#N/A</v>
      </c>
      <c r="J32" s="70" t="e">
        <f t="shared" ca="1" si="0"/>
        <v>#N/A</v>
      </c>
      <c r="K32" s="70" t="e">
        <f t="shared" ca="1" si="1"/>
        <v>#N/A</v>
      </c>
      <c r="L32" s="70" t="e">
        <f t="shared" ca="1" si="2"/>
        <v>#N/A</v>
      </c>
      <c r="M32" s="70" t="e">
        <f t="shared" ca="1" si="3"/>
        <v>#REF!</v>
      </c>
      <c r="N32" s="140">
        <v>31</v>
      </c>
      <c r="O32" s="140" t="e">
        <f t="shared" ca="1" si="4"/>
        <v>#REF!</v>
      </c>
      <c r="P32" s="140" t="e">
        <f t="shared" ca="1" si="5"/>
        <v>#REF!</v>
      </c>
      <c r="Q32" s="140" t="e">
        <f t="shared" ca="1" si="6"/>
        <v>#REF!</v>
      </c>
      <c r="R32" s="140" t="e">
        <f t="shared" ca="1" si="7"/>
        <v>#REF!</v>
      </c>
      <c r="S32" s="140" t="e">
        <f t="shared" ca="1" si="8"/>
        <v>#REF!</v>
      </c>
      <c r="T32" s="142" t="e">
        <f t="shared" ca="1" si="9"/>
        <v>#REF!</v>
      </c>
      <c r="V32" s="70" t="s">
        <v>224</v>
      </c>
      <c r="W32" s="155" t="s">
        <v>705</v>
      </c>
    </row>
    <row r="33" spans="1:23" ht="12.75" x14ac:dyDescent="0.15">
      <c r="A33" s="70">
        <v>32</v>
      </c>
      <c r="B33" s="70" t="e">
        <f ca="1">OFFSET(Batting!$C$4,BatAves!$I33,0)</f>
        <v>#N/A</v>
      </c>
      <c r="C33" s="74" t="e">
        <f ca="1">OFFSET(Batting!$CE$4,BatAves!$I33,0)</f>
        <v>#N/A</v>
      </c>
      <c r="D33" s="74" t="e">
        <f ca="1">OFFSET(Batting!$CG$4,BatAves!$I33,0)</f>
        <v>#N/A</v>
      </c>
      <c r="E33" s="74" t="e">
        <f ca="1">OFFSET(Batting!$CH$4,BatAves!$I33,0)</f>
        <v>#N/A</v>
      </c>
      <c r="F33" s="74" t="e">
        <f ca="1">OFFSET(Batting!$CJ$4,BatAves!$I33,0)</f>
        <v>#N/A</v>
      </c>
      <c r="G33" s="74" t="e">
        <f ca="1">OFFSET(Batting!$CK$4,BatAves!$I33,0)</f>
        <v>#N/A</v>
      </c>
      <c r="H33" s="79" t="e">
        <f ca="1">OFFSET(Batting!$CL$4,BatAves!$I33,0)</f>
        <v>#N/A</v>
      </c>
      <c r="I33" s="70" t="e">
        <f ca="1">MATCH(A33,Batting!$DF$5:$DF$39,0)</f>
        <v>#N/A</v>
      </c>
      <c r="J33" s="70" t="e">
        <f t="shared" ca="1" si="0"/>
        <v>#N/A</v>
      </c>
      <c r="K33" s="70" t="e">
        <f t="shared" ca="1" si="1"/>
        <v>#N/A</v>
      </c>
      <c r="L33" s="70" t="e">
        <f t="shared" ca="1" si="2"/>
        <v>#N/A</v>
      </c>
      <c r="M33" s="70" t="e">
        <f t="shared" ca="1" si="3"/>
        <v>#REF!</v>
      </c>
      <c r="N33" s="140">
        <v>32</v>
      </c>
      <c r="O33" s="140" t="e">
        <f t="shared" ca="1" si="4"/>
        <v>#REF!</v>
      </c>
      <c r="P33" s="140" t="e">
        <f t="shared" ca="1" si="5"/>
        <v>#REF!</v>
      </c>
      <c r="Q33" s="140" t="e">
        <f t="shared" ca="1" si="6"/>
        <v>#REF!</v>
      </c>
      <c r="R33" s="140" t="e">
        <f t="shared" ca="1" si="7"/>
        <v>#REF!</v>
      </c>
      <c r="S33" s="140" t="e">
        <f t="shared" ca="1" si="8"/>
        <v>#REF!</v>
      </c>
      <c r="T33" s="142" t="e">
        <f t="shared" ca="1" si="9"/>
        <v>#REF!</v>
      </c>
      <c r="V33" s="70" t="s">
        <v>224</v>
      </c>
      <c r="W33" s="155" t="s">
        <v>704</v>
      </c>
    </row>
    <row r="34" spans="1:23" ht="12.75" x14ac:dyDescent="0.15">
      <c r="A34" s="70">
        <v>33</v>
      </c>
      <c r="B34" s="70" t="e">
        <f ca="1">OFFSET(Batting!$C$4,BatAves!$I34,0)</f>
        <v>#N/A</v>
      </c>
      <c r="C34" s="74" t="e">
        <f ca="1">OFFSET(Batting!$CE$4,BatAves!$I34,0)</f>
        <v>#N/A</v>
      </c>
      <c r="D34" s="74" t="e">
        <f ca="1">OFFSET(Batting!$CG$4,BatAves!$I34,0)</f>
        <v>#N/A</v>
      </c>
      <c r="E34" s="74" t="e">
        <f ca="1">OFFSET(Batting!$CH$4,BatAves!$I34,0)</f>
        <v>#N/A</v>
      </c>
      <c r="F34" s="74" t="e">
        <f ca="1">OFFSET(Batting!$CJ$4,BatAves!$I34,0)</f>
        <v>#N/A</v>
      </c>
      <c r="G34" s="74" t="e">
        <f ca="1">OFFSET(Batting!$CK$4,BatAves!$I34,0)</f>
        <v>#N/A</v>
      </c>
      <c r="H34" s="79" t="e">
        <f ca="1">OFFSET(Batting!$CL$4,BatAves!$I34,0)</f>
        <v>#N/A</v>
      </c>
      <c r="I34" s="70" t="e">
        <f ca="1">MATCH(A34,Batting!$DF$5:$DF$39,0)</f>
        <v>#N/A</v>
      </c>
      <c r="J34" s="70" t="e">
        <f t="shared" ca="1" si="0"/>
        <v>#N/A</v>
      </c>
      <c r="K34" s="70" t="e">
        <f t="shared" ca="1" si="1"/>
        <v>#N/A</v>
      </c>
      <c r="L34" s="70" t="e">
        <f t="shared" ca="1" si="2"/>
        <v>#N/A</v>
      </c>
      <c r="M34" s="70" t="e">
        <f t="shared" ca="1" si="3"/>
        <v>#REF!</v>
      </c>
      <c r="N34" s="140">
        <v>33</v>
      </c>
      <c r="O34" s="140" t="e">
        <f t="shared" ca="1" si="4"/>
        <v>#REF!</v>
      </c>
      <c r="P34" s="140" t="e">
        <f t="shared" ca="1" si="5"/>
        <v>#REF!</v>
      </c>
      <c r="Q34" s="140" t="e">
        <f t="shared" ca="1" si="6"/>
        <v>#REF!</v>
      </c>
      <c r="R34" s="140" t="e">
        <f t="shared" ca="1" si="7"/>
        <v>#REF!</v>
      </c>
      <c r="S34" s="140" t="e">
        <f t="shared" ca="1" si="8"/>
        <v>#REF!</v>
      </c>
      <c r="T34" s="142" t="e">
        <f t="shared" ca="1" si="9"/>
        <v>#REF!</v>
      </c>
      <c r="V34" s="70" t="s">
        <v>224</v>
      </c>
      <c r="W34" s="155" t="s">
        <v>703</v>
      </c>
    </row>
    <row r="35" spans="1:23" ht="12.75" x14ac:dyDescent="0.15">
      <c r="A35" s="70">
        <v>34</v>
      </c>
      <c r="B35" s="70" t="e">
        <f ca="1">OFFSET(Batting!$C$4,BatAves!$I35,0)</f>
        <v>#N/A</v>
      </c>
      <c r="C35" s="74" t="e">
        <f ca="1">OFFSET(Batting!$CE$4,BatAves!$I35,0)</f>
        <v>#N/A</v>
      </c>
      <c r="D35" s="74" t="e">
        <f ca="1">OFFSET(Batting!$CG$4,BatAves!$I35,0)</f>
        <v>#N/A</v>
      </c>
      <c r="E35" s="74" t="e">
        <f ca="1">OFFSET(Batting!$CH$4,BatAves!$I35,0)</f>
        <v>#N/A</v>
      </c>
      <c r="F35" s="74" t="e">
        <f ca="1">OFFSET(Batting!$CJ$4,BatAves!$I35,0)</f>
        <v>#N/A</v>
      </c>
      <c r="G35" s="74" t="e">
        <f ca="1">OFFSET(Batting!$CK$4,BatAves!$I35,0)</f>
        <v>#N/A</v>
      </c>
      <c r="H35" s="79" t="e">
        <f ca="1">OFFSET(Batting!$CL$4,BatAves!$I35,0)</f>
        <v>#N/A</v>
      </c>
      <c r="I35" s="70" t="e">
        <f ca="1">MATCH(A35,Batting!$DF$5:$DF$39,0)</f>
        <v>#N/A</v>
      </c>
      <c r="J35" s="70" t="e">
        <f t="shared" ca="1" si="0"/>
        <v>#N/A</v>
      </c>
      <c r="K35" s="70" t="e">
        <f t="shared" ca="1" si="1"/>
        <v>#N/A</v>
      </c>
      <c r="L35" s="70" t="e">
        <f t="shared" ca="1" si="2"/>
        <v>#N/A</v>
      </c>
      <c r="M35" s="70" t="e">
        <f t="shared" ca="1" si="3"/>
        <v>#REF!</v>
      </c>
      <c r="N35" s="140">
        <v>34</v>
      </c>
      <c r="O35" s="140" t="e">
        <f t="shared" ca="1" si="4"/>
        <v>#REF!</v>
      </c>
      <c r="P35" s="140" t="e">
        <f t="shared" ca="1" si="5"/>
        <v>#REF!</v>
      </c>
      <c r="Q35" s="140" t="e">
        <f t="shared" ca="1" si="6"/>
        <v>#REF!</v>
      </c>
      <c r="R35" s="140" t="e">
        <f t="shared" ca="1" si="7"/>
        <v>#REF!</v>
      </c>
      <c r="S35" s="140" t="e">
        <f t="shared" ca="1" si="8"/>
        <v>#REF!</v>
      </c>
      <c r="T35" s="142" t="e">
        <f t="shared" ca="1" si="9"/>
        <v>#REF!</v>
      </c>
      <c r="W35" s="155" t="s">
        <v>706</v>
      </c>
    </row>
    <row r="36" spans="1:23" ht="12.75" x14ac:dyDescent="0.15">
      <c r="A36" s="70">
        <v>35</v>
      </c>
      <c r="B36" s="70" t="e">
        <f ca="1">OFFSET(Batting!$C$4,BatAves!$I36,0)</f>
        <v>#N/A</v>
      </c>
      <c r="C36" s="74" t="e">
        <f ca="1">OFFSET(Batting!$CE$4,BatAves!$I36,0)</f>
        <v>#N/A</v>
      </c>
      <c r="D36" s="74" t="e">
        <f ca="1">OFFSET(Batting!$CG$4,BatAves!$I36,0)</f>
        <v>#N/A</v>
      </c>
      <c r="E36" s="74" t="e">
        <f ca="1">OFFSET(Batting!$CH$4,BatAves!$I36,0)</f>
        <v>#N/A</v>
      </c>
      <c r="F36" s="74" t="e">
        <f ca="1">OFFSET(Batting!$CJ$4,BatAves!$I36,0)</f>
        <v>#N/A</v>
      </c>
      <c r="G36" s="74" t="e">
        <f ca="1">OFFSET(Batting!$CK$4,BatAves!$I36,0)</f>
        <v>#N/A</v>
      </c>
      <c r="H36" s="79" t="e">
        <f ca="1">OFFSET(Batting!$CL$4,BatAves!$I36,0)</f>
        <v>#N/A</v>
      </c>
      <c r="I36" s="70" t="e">
        <f ca="1">MATCH(A36,Batting!$DF$5:$DF$39,0)</f>
        <v>#N/A</v>
      </c>
      <c r="J36" s="70" t="e">
        <f t="shared" ca="1" si="0"/>
        <v>#N/A</v>
      </c>
      <c r="K36" s="70" t="e">
        <f t="shared" ca="1" si="1"/>
        <v>#N/A</v>
      </c>
      <c r="L36" s="70" t="e">
        <f t="shared" ca="1" si="2"/>
        <v>#N/A</v>
      </c>
      <c r="M36" s="70" t="e">
        <f t="shared" ca="1" si="3"/>
        <v>#REF!</v>
      </c>
      <c r="N36" s="140">
        <v>35</v>
      </c>
      <c r="O36" s="140" t="e">
        <f t="shared" ca="1" si="4"/>
        <v>#REF!</v>
      </c>
      <c r="P36" s="140" t="e">
        <f t="shared" ca="1" si="5"/>
        <v>#REF!</v>
      </c>
      <c r="Q36" s="140" t="e">
        <f t="shared" ca="1" si="6"/>
        <v>#REF!</v>
      </c>
      <c r="R36" s="140" t="e">
        <f t="shared" ca="1" si="7"/>
        <v>#REF!</v>
      </c>
      <c r="S36" s="140" t="e">
        <f t="shared" ca="1" si="8"/>
        <v>#REF!</v>
      </c>
      <c r="T36" s="142" t="e">
        <f t="shared" ca="1" si="9"/>
        <v>#REF!</v>
      </c>
      <c r="V36" s="70" t="s">
        <v>224</v>
      </c>
      <c r="W36" s="155" t="s">
        <v>700</v>
      </c>
    </row>
    <row r="37" spans="1:23" ht="12.75" x14ac:dyDescent="0.15">
      <c r="A37" s="70">
        <v>36</v>
      </c>
      <c r="B37" s="70" t="e">
        <f ca="1">OFFSET(Batting!$C$4,BatAves!$I37,0)</f>
        <v>#N/A</v>
      </c>
      <c r="C37" s="74" t="e">
        <f ca="1">OFFSET(Batting!$CE$4,BatAves!$I37,0)</f>
        <v>#N/A</v>
      </c>
      <c r="D37" s="74" t="e">
        <f ca="1">OFFSET(Batting!$CG$4,BatAves!$I37,0)</f>
        <v>#N/A</v>
      </c>
      <c r="E37" s="74" t="e">
        <f ca="1">OFFSET(Batting!$CH$4,BatAves!$I37,0)</f>
        <v>#N/A</v>
      </c>
      <c r="F37" s="74" t="e">
        <f ca="1">OFFSET(Batting!$CJ$4,BatAves!$I37,0)</f>
        <v>#N/A</v>
      </c>
      <c r="G37" s="74" t="e">
        <f ca="1">OFFSET(Batting!$CK$4,BatAves!$I37,0)</f>
        <v>#N/A</v>
      </c>
      <c r="H37" s="79" t="e">
        <f ca="1">OFFSET(Batting!$CL$4,BatAves!$I37,0)</f>
        <v>#N/A</v>
      </c>
      <c r="I37" s="70" t="e">
        <f ca="1">MATCH(A37,Batting!$DF$5:$DF$39,0)</f>
        <v>#N/A</v>
      </c>
      <c r="J37" s="70" t="e">
        <f t="shared" ca="1" si="0"/>
        <v>#N/A</v>
      </c>
      <c r="K37" s="70" t="e">
        <f t="shared" ca="1" si="1"/>
        <v>#N/A</v>
      </c>
      <c r="L37" s="70" t="e">
        <f t="shared" ca="1" si="2"/>
        <v>#N/A</v>
      </c>
      <c r="M37" s="70" t="e">
        <f t="shared" ca="1" si="3"/>
        <v>#REF!</v>
      </c>
      <c r="N37" s="140">
        <v>36</v>
      </c>
      <c r="O37" s="140" t="e">
        <f t="shared" ca="1" si="4"/>
        <v>#REF!</v>
      </c>
      <c r="P37" s="140" t="e">
        <f t="shared" ca="1" si="5"/>
        <v>#REF!</v>
      </c>
      <c r="Q37" s="140" t="e">
        <f t="shared" ca="1" si="6"/>
        <v>#REF!</v>
      </c>
      <c r="R37" s="140" t="e">
        <f t="shared" ca="1" si="7"/>
        <v>#REF!</v>
      </c>
      <c r="S37" s="140" t="e">
        <f t="shared" ca="1" si="8"/>
        <v>#REF!</v>
      </c>
      <c r="T37" s="142" t="e">
        <f t="shared" ca="1" si="9"/>
        <v>#REF!</v>
      </c>
      <c r="V37" s="70" t="s">
        <v>224</v>
      </c>
      <c r="W37" s="155" t="s">
        <v>699</v>
      </c>
    </row>
    <row r="38" spans="1:23" ht="12.75" x14ac:dyDescent="0.15">
      <c r="A38" s="70">
        <v>37</v>
      </c>
      <c r="B38" s="70" t="e">
        <f ca="1">OFFSET(Batting!$C$4,BatAves!$I38,0)</f>
        <v>#N/A</v>
      </c>
      <c r="C38" s="74" t="e">
        <f ca="1">OFFSET(Batting!$CE$4,BatAves!$I38,0)</f>
        <v>#N/A</v>
      </c>
      <c r="D38" s="74" t="e">
        <f ca="1">OFFSET(Batting!$CG$4,BatAves!$I38,0)</f>
        <v>#N/A</v>
      </c>
      <c r="E38" s="74" t="e">
        <f ca="1">OFFSET(Batting!$CH$4,BatAves!$I38,0)</f>
        <v>#N/A</v>
      </c>
      <c r="F38" s="74" t="e">
        <f ca="1">OFFSET(Batting!$CJ$4,BatAves!$I38,0)</f>
        <v>#N/A</v>
      </c>
      <c r="G38" s="74" t="e">
        <f ca="1">OFFSET(Batting!$CK$4,BatAves!$I38,0)</f>
        <v>#N/A</v>
      </c>
      <c r="H38" s="79" t="e">
        <f ca="1">OFFSET(Batting!$CL$4,BatAves!$I38,0)</f>
        <v>#N/A</v>
      </c>
      <c r="I38" s="70" t="e">
        <f ca="1">MATCH(A38,Batting!$DF$5:$DF$39,0)</f>
        <v>#N/A</v>
      </c>
      <c r="J38" s="70" t="e">
        <f t="shared" ca="1" si="0"/>
        <v>#N/A</v>
      </c>
      <c r="K38" s="70" t="e">
        <f t="shared" ca="1" si="1"/>
        <v>#N/A</v>
      </c>
      <c r="L38" s="70" t="e">
        <f t="shared" ca="1" si="2"/>
        <v>#N/A</v>
      </c>
      <c r="M38" s="70" t="e">
        <f t="shared" ca="1" si="3"/>
        <v>#REF!</v>
      </c>
      <c r="N38" s="140">
        <v>37</v>
      </c>
      <c r="O38" s="140" t="e">
        <f t="shared" ca="1" si="4"/>
        <v>#REF!</v>
      </c>
      <c r="P38" s="140" t="e">
        <f t="shared" ca="1" si="5"/>
        <v>#REF!</v>
      </c>
      <c r="Q38" s="140" t="e">
        <f t="shared" ca="1" si="6"/>
        <v>#REF!</v>
      </c>
      <c r="R38" s="140" t="e">
        <f t="shared" ca="1" si="7"/>
        <v>#REF!</v>
      </c>
      <c r="S38" s="140" t="e">
        <f t="shared" ca="1" si="8"/>
        <v>#REF!</v>
      </c>
      <c r="T38" s="142" t="e">
        <f t="shared" ca="1" si="9"/>
        <v>#REF!</v>
      </c>
    </row>
    <row r="39" spans="1:23" ht="12.75" x14ac:dyDescent="0.15">
      <c r="A39" s="70">
        <v>38</v>
      </c>
      <c r="B39" s="70" t="e">
        <f ca="1">OFFSET(Batting!$C$4,BatAves!$I39,0)</f>
        <v>#N/A</v>
      </c>
      <c r="C39" s="74" t="e">
        <f ca="1">OFFSET(Batting!$CE$4,BatAves!$I39,0)</f>
        <v>#N/A</v>
      </c>
      <c r="D39" s="74" t="e">
        <f ca="1">OFFSET(Batting!$CG$4,BatAves!$I39,0)</f>
        <v>#N/A</v>
      </c>
      <c r="E39" s="74" t="e">
        <f ca="1">OFFSET(Batting!$CH$4,BatAves!$I39,0)</f>
        <v>#N/A</v>
      </c>
      <c r="F39" s="74" t="e">
        <f ca="1">OFFSET(Batting!$CJ$4,BatAves!$I39,0)</f>
        <v>#N/A</v>
      </c>
      <c r="G39" s="74" t="e">
        <f ca="1">OFFSET(Batting!$CK$4,BatAves!$I39,0)</f>
        <v>#N/A</v>
      </c>
      <c r="H39" s="79" t="e">
        <f ca="1">OFFSET(Batting!$CL$4,BatAves!$I39,0)</f>
        <v>#N/A</v>
      </c>
      <c r="I39" s="70" t="e">
        <f ca="1">MATCH(A39,Batting!$DF$5:$DF$39,0)</f>
        <v>#N/A</v>
      </c>
      <c r="J39" s="70" t="e">
        <f t="shared" ca="1" si="0"/>
        <v>#N/A</v>
      </c>
      <c r="K39" s="70" t="e">
        <f t="shared" ca="1" si="1"/>
        <v>#N/A</v>
      </c>
      <c r="L39" s="70" t="e">
        <f t="shared" ca="1" si="2"/>
        <v>#N/A</v>
      </c>
      <c r="M39" s="70" t="e">
        <f t="shared" ca="1" si="3"/>
        <v>#REF!</v>
      </c>
      <c r="N39" s="140">
        <v>38</v>
      </c>
      <c r="O39" s="140" t="e">
        <f t="shared" ca="1" si="4"/>
        <v>#REF!</v>
      </c>
      <c r="P39" s="140" t="e">
        <f t="shared" ca="1" si="5"/>
        <v>#REF!</v>
      </c>
      <c r="Q39" s="140" t="e">
        <f t="shared" ca="1" si="6"/>
        <v>#REF!</v>
      </c>
      <c r="R39" s="140" t="e">
        <f t="shared" ca="1" si="7"/>
        <v>#REF!</v>
      </c>
      <c r="S39" s="140" t="e">
        <f t="shared" ca="1" si="8"/>
        <v>#REF!</v>
      </c>
      <c r="T39" s="142" t="e">
        <f t="shared" ca="1" si="9"/>
        <v>#REF!</v>
      </c>
    </row>
    <row r="40" spans="1:23" ht="12.75" x14ac:dyDescent="0.15">
      <c r="A40" s="70">
        <v>39</v>
      </c>
      <c r="B40" s="70" t="e">
        <f ca="1">OFFSET(Batting!$C$4,BatAves!$I40,0)</f>
        <v>#N/A</v>
      </c>
      <c r="C40" s="74" t="e">
        <f ca="1">OFFSET(Batting!$CE$4,BatAves!$I40,0)</f>
        <v>#N/A</v>
      </c>
      <c r="D40" s="74" t="e">
        <f ca="1">OFFSET(Batting!$CG$4,BatAves!$I40,0)</f>
        <v>#N/A</v>
      </c>
      <c r="E40" s="74" t="e">
        <f ca="1">OFFSET(Batting!$CH$4,BatAves!$I40,0)</f>
        <v>#N/A</v>
      </c>
      <c r="F40" s="74" t="e">
        <f ca="1">OFFSET(Batting!$CJ$4,BatAves!$I40,0)</f>
        <v>#N/A</v>
      </c>
      <c r="G40" s="74" t="e">
        <f ca="1">OFFSET(Batting!$CK$4,BatAves!$I40,0)</f>
        <v>#N/A</v>
      </c>
      <c r="H40" s="79" t="e">
        <f ca="1">OFFSET(Batting!$CL$4,BatAves!$I40,0)</f>
        <v>#N/A</v>
      </c>
      <c r="I40" s="70" t="e">
        <f ca="1">MATCH(A40,Batting!$DF$5:$DF$39,0)</f>
        <v>#N/A</v>
      </c>
      <c r="J40" s="70" t="e">
        <f t="shared" ca="1" si="0"/>
        <v>#N/A</v>
      </c>
      <c r="K40" s="70" t="e">
        <f t="shared" ca="1" si="1"/>
        <v>#N/A</v>
      </c>
      <c r="L40" s="70" t="e">
        <f t="shared" ca="1" si="2"/>
        <v>#N/A</v>
      </c>
      <c r="M40" s="70" t="e">
        <f t="shared" ca="1" si="3"/>
        <v>#REF!</v>
      </c>
      <c r="N40" s="140">
        <v>39</v>
      </c>
      <c r="O40" s="140" t="e">
        <f t="shared" ca="1" si="4"/>
        <v>#REF!</v>
      </c>
      <c r="P40" s="140" t="e">
        <f t="shared" ca="1" si="5"/>
        <v>#REF!</v>
      </c>
      <c r="Q40" s="140" t="e">
        <f t="shared" ca="1" si="6"/>
        <v>#REF!</v>
      </c>
      <c r="R40" s="140" t="e">
        <f t="shared" ca="1" si="7"/>
        <v>#REF!</v>
      </c>
      <c r="S40" s="140" t="e">
        <f t="shared" ca="1" si="8"/>
        <v>#REF!</v>
      </c>
      <c r="T40" s="142" t="e">
        <f t="shared" ca="1" si="9"/>
        <v>#REF!</v>
      </c>
    </row>
    <row r="41" spans="1:23" ht="12.75" x14ac:dyDescent="0.15">
      <c r="A41" s="70">
        <v>40</v>
      </c>
      <c r="B41" s="70" t="e">
        <f ca="1">OFFSET(Batting!$C$4,BatAves!$I41,0)</f>
        <v>#N/A</v>
      </c>
      <c r="C41" s="74" t="e">
        <f ca="1">OFFSET(Batting!$CE$4,BatAves!$I41,0)</f>
        <v>#N/A</v>
      </c>
      <c r="D41" s="74" t="e">
        <f ca="1">OFFSET(Batting!$CG$4,BatAves!$I41,0)</f>
        <v>#N/A</v>
      </c>
      <c r="E41" s="74" t="e">
        <f ca="1">OFFSET(Batting!$CH$4,BatAves!$I41,0)</f>
        <v>#N/A</v>
      </c>
      <c r="F41" s="74" t="e">
        <f ca="1">OFFSET(Batting!$CJ$4,BatAves!$I41,0)</f>
        <v>#N/A</v>
      </c>
      <c r="G41" s="74" t="e">
        <f ca="1">OFFSET(Batting!$CK$4,BatAves!$I41,0)</f>
        <v>#N/A</v>
      </c>
      <c r="H41" s="79" t="e">
        <f ca="1">OFFSET(Batting!$CL$4,BatAves!$I41,0)</f>
        <v>#N/A</v>
      </c>
      <c r="I41" s="70" t="e">
        <f ca="1">MATCH(A41,Batting!$DF$5:$DF$39,0)</f>
        <v>#N/A</v>
      </c>
      <c r="J41" s="70" t="e">
        <f t="shared" ca="1" si="0"/>
        <v>#N/A</v>
      </c>
      <c r="K41" s="70" t="e">
        <f t="shared" ca="1" si="1"/>
        <v>#N/A</v>
      </c>
      <c r="L41" s="70" t="e">
        <f t="shared" ca="1" si="2"/>
        <v>#N/A</v>
      </c>
      <c r="M41" s="70" t="e">
        <f t="shared" ca="1" si="3"/>
        <v>#REF!</v>
      </c>
      <c r="N41" s="140">
        <v>40</v>
      </c>
      <c r="O41" s="140" t="e">
        <f t="shared" ca="1" si="4"/>
        <v>#REF!</v>
      </c>
      <c r="P41" s="140" t="e">
        <f t="shared" ca="1" si="5"/>
        <v>#REF!</v>
      </c>
      <c r="Q41" s="140" t="e">
        <f t="shared" ca="1" si="6"/>
        <v>#REF!</v>
      </c>
      <c r="R41" s="140" t="e">
        <f t="shared" ca="1" si="7"/>
        <v>#REF!</v>
      </c>
      <c r="S41" s="140" t="e">
        <f t="shared" ca="1" si="8"/>
        <v>#REF!</v>
      </c>
      <c r="T41" s="142" t="e">
        <f t="shared" ca="1" si="9"/>
        <v>#REF!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 ca="1">MATCH(A42,Batting!$DF$5:$DF$39,0)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#REF!</v>
      </c>
      <c r="N42" s="136">
        <v>41</v>
      </c>
      <c r="O42" s="136" t="e">
        <f t="shared" ca="1" si="4"/>
        <v>#REF!</v>
      </c>
      <c r="P42" s="136" t="e">
        <f t="shared" ca="1" si="5"/>
        <v>#REF!</v>
      </c>
      <c r="Q42" s="136" t="e">
        <f t="shared" ca="1" si="6"/>
        <v>#REF!</v>
      </c>
      <c r="R42" s="136" t="e">
        <f t="shared" ca="1" si="7"/>
        <v>#REF!</v>
      </c>
      <c r="S42" s="136" t="e">
        <f t="shared" ca="1" si="8"/>
        <v>#REF!</v>
      </c>
      <c r="T42" s="137" t="e">
        <f t="shared" ca="1" si="9"/>
        <v>#REF!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 ca="1">MATCH(A43,Batting!$DF$5:$DF$39,0)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#REF!</v>
      </c>
      <c r="N43" s="136">
        <v>42</v>
      </c>
      <c r="O43" s="136" t="e">
        <f t="shared" ca="1" si="4"/>
        <v>#REF!</v>
      </c>
      <c r="P43" s="136" t="e">
        <f t="shared" ca="1" si="5"/>
        <v>#REF!</v>
      </c>
      <c r="Q43" s="136" t="e">
        <f t="shared" ca="1" si="6"/>
        <v>#REF!</v>
      </c>
      <c r="R43" s="136" t="e">
        <f t="shared" ca="1" si="7"/>
        <v>#REF!</v>
      </c>
      <c r="S43" s="136" t="e">
        <f t="shared" ca="1" si="8"/>
        <v>#REF!</v>
      </c>
      <c r="T43" s="137" t="e">
        <f t="shared" ca="1" si="9"/>
        <v>#REF!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 ca="1">MATCH(A44,Batting!$DF$5:$DF$39,0)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 ca="1">MATCH(A45,Batting!$DF$5:$DF$39,0)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 ca="1">MATCH(A46,Batting!$DF$5:$DF$39,0)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 ca="1">MATCH(A47,Batting!$DF$5:$DF$39,0)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38" t="s">
        <v>224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 ca="1">MATCH(A48,Batting!$DF$5:$DF$39,0)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38" t="s">
        <v>224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 ca="1">MATCH(A49,Batting!$DF$5:$DF$39,0)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38" t="s">
        <v>224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 ca="1">MATCH(A50,Batting!$DF$5:$DF$39,0)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38" t="s">
        <v>224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 ca="1">MATCH(A51,Batting!$DF$5:$DF$39,0)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38" t="s">
        <v>224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 ca="1">MATCH(A52,Batting!$DF$5:$DF$39,0)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38" t="s">
        <v>224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 ca="1">MATCH(A53,Batting!$DF$5:$DF$39,0)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38" t="s">
        <v>224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 ca="1">MATCH(A54,Batting!$DF$5:$DF$39,0)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38" t="s">
        <v>224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 ca="1">MATCH(A55,Batting!$DF$5:$DF$39,0)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38" t="s">
        <v>224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 ca="1">MATCH(A56,Batting!$DF$5:$DF$39,0)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38" t="s">
        <v>224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 ca="1">MATCH(A57,Batting!$DF$5:$DF$39,0)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38" t="s">
        <v>224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 ca="1">MATCH(A58,Batting!$DF$5:$DF$39,0)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38" t="s">
        <v>224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 ca="1">MATCH(A59,Batting!$DF$5:$DF$39,0)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38" t="s">
        <v>224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 ca="1">MATCH(A60,Batting!$DF$5:$DF$39,0)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38" t="s">
        <v>224</v>
      </c>
    </row>
    <row r="61" spans="1:15" x14ac:dyDescent="0.15">
      <c r="O61" s="138" t="s">
        <v>224</v>
      </c>
    </row>
    <row r="62" spans="1:15" x14ac:dyDescent="0.15">
      <c r="O62" s="138" t="s">
        <v>224</v>
      </c>
    </row>
    <row r="63" spans="1:15" x14ac:dyDescent="0.15">
      <c r="O63" s="138" t="s">
        <v>224</v>
      </c>
    </row>
    <row r="64" spans="1:15" x14ac:dyDescent="0.15">
      <c r="O64" s="138" t="s">
        <v>224</v>
      </c>
    </row>
    <row r="65" spans="15:15" x14ac:dyDescent="0.15">
      <c r="O65" s="138" t="s">
        <v>224</v>
      </c>
    </row>
    <row r="66" spans="15:15" x14ac:dyDescent="0.15">
      <c r="O66" s="138" t="s">
        <v>224</v>
      </c>
    </row>
    <row r="67" spans="15:15" x14ac:dyDescent="0.15">
      <c r="O67" s="138" t="s">
        <v>224</v>
      </c>
    </row>
    <row r="68" spans="15:15" x14ac:dyDescent="0.15">
      <c r="O68" s="138" t="s">
        <v>224</v>
      </c>
    </row>
    <row r="69" spans="15:15" x14ac:dyDescent="0.15">
      <c r="O69" s="138" t="s">
        <v>224</v>
      </c>
    </row>
    <row r="70" spans="15:15" x14ac:dyDescent="0.15">
      <c r="O70" s="138" t="s">
        <v>224</v>
      </c>
    </row>
    <row r="71" spans="15:15" x14ac:dyDescent="0.15">
      <c r="O71" s="138" t="s">
        <v>224</v>
      </c>
    </row>
    <row r="72" spans="15:15" x14ac:dyDescent="0.15">
      <c r="O72" s="138" t="s">
        <v>224</v>
      </c>
    </row>
    <row r="73" spans="15:15" x14ac:dyDescent="0.15">
      <c r="O73" s="138" t="s">
        <v>224</v>
      </c>
    </row>
    <row r="74" spans="15:15" x14ac:dyDescent="0.15">
      <c r="O74" s="138" t="s">
        <v>224</v>
      </c>
    </row>
    <row r="75" spans="15:15" x14ac:dyDescent="0.15">
      <c r="O75" s="138" t="s">
        <v>224</v>
      </c>
    </row>
    <row r="76" spans="15:15" x14ac:dyDescent="0.15">
      <c r="O76" s="138" t="s">
        <v>224</v>
      </c>
    </row>
    <row r="77" spans="15:15" x14ac:dyDescent="0.15">
      <c r="O77" s="138" t="s">
        <v>224</v>
      </c>
    </row>
    <row r="78" spans="15:15" x14ac:dyDescent="0.15">
      <c r="O78" s="138" t="s">
        <v>224</v>
      </c>
    </row>
    <row r="79" spans="15:15" x14ac:dyDescent="0.15">
      <c r="O79" s="138" t="s">
        <v>224</v>
      </c>
    </row>
    <row r="80" spans="15:15" x14ac:dyDescent="0.15">
      <c r="O80" s="138" t="s">
        <v>224</v>
      </c>
    </row>
    <row r="81" spans="15:15" x14ac:dyDescent="0.15">
      <c r="O81" s="138" t="s">
        <v>224</v>
      </c>
    </row>
    <row r="82" spans="15:15" x14ac:dyDescent="0.15">
      <c r="O82" s="138" t="s">
        <v>224</v>
      </c>
    </row>
    <row r="83" spans="15:15" x14ac:dyDescent="0.15">
      <c r="O83" s="138" t="s">
        <v>224</v>
      </c>
    </row>
    <row r="84" spans="15:15" x14ac:dyDescent="0.15">
      <c r="O84" s="138" t="s">
        <v>224</v>
      </c>
    </row>
    <row r="85" spans="15:15" x14ac:dyDescent="0.15">
      <c r="O85" s="138" t="s">
        <v>224</v>
      </c>
    </row>
  </sheetData>
  <sortState ref="V2:W37">
    <sortCondition ref="W1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52"/>
  <sheetViews>
    <sheetView topLeftCell="T1" workbookViewId="0">
      <selection activeCell="AB4" sqref="AB4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4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5" bestFit="1" customWidth="1"/>
    <col min="10" max="10" width="5.5703125" style="135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6" width="9.140625" style="70"/>
    <col min="17" max="17" width="10.85546875" style="70" bestFit="1" customWidth="1"/>
    <col min="18" max="18" width="13.140625" style="70" bestFit="1" customWidth="1"/>
    <col min="19" max="19" width="9.140625" style="148"/>
    <col min="20" max="21" width="9.140625" style="70"/>
    <col min="22" max="22" width="9.140625" style="62"/>
    <col min="23" max="23" width="9.140625" style="132"/>
    <col min="24" max="16384" width="9.140625" style="70"/>
  </cols>
  <sheetData>
    <row r="1" spans="1:38" x14ac:dyDescent="0.15">
      <c r="A1" s="62" t="s">
        <v>143</v>
      </c>
      <c r="D1" s="134" t="s">
        <v>35</v>
      </c>
      <c r="E1" s="74" t="s">
        <v>36</v>
      </c>
      <c r="F1" s="74" t="s">
        <v>9</v>
      </c>
      <c r="G1" s="74" t="s">
        <v>145</v>
      </c>
      <c r="H1" s="77" t="s">
        <v>38</v>
      </c>
      <c r="I1" s="78" t="s">
        <v>39</v>
      </c>
      <c r="J1" s="78" t="s">
        <v>40</v>
      </c>
      <c r="K1" s="50" t="s">
        <v>98</v>
      </c>
      <c r="L1" s="50"/>
      <c r="M1" s="50"/>
      <c r="O1" s="70" t="s">
        <v>222</v>
      </c>
      <c r="P1" s="70">
        <f t="array" aca="1" ref="P1" ca="1">SUM(IF(NOT(ISNA(C2:C51)),1,0))</f>
        <v>0</v>
      </c>
      <c r="Q1" s="70" t="s">
        <v>223</v>
      </c>
      <c r="R1" s="70" t="e">
        <f t="array" aca="1" ref="R1" ca="1">SUM(IF(OFFSET(G2,0,0,P1,1)&gt;=10,1,0))</f>
        <v>#REF!</v>
      </c>
    </row>
    <row r="2" spans="1:38" ht="12.75" x14ac:dyDescent="0.15">
      <c r="A2" s="70">
        <v>1</v>
      </c>
      <c r="B2" s="70" t="e">
        <f ca="1">MATCH(A2,Bowling!$CS$5:$CS$31,0)</f>
        <v>#N/A</v>
      </c>
      <c r="C2" s="70" t="e">
        <f ca="1">OFFSET(Bowling!$B$4,BowlAves!B2,0)</f>
        <v>#N/A</v>
      </c>
      <c r="D2" s="134" t="e">
        <f t="array" aca="1" ref="D2:K2" ca="1">OFFSET(Bowling!$CG$4,BowlAves!B2,0,1,8)</f>
        <v>#N/A</v>
      </c>
      <c r="E2" s="74" t="e">
        <f ca="1"/>
        <v>#N/A</v>
      </c>
      <c r="F2" s="74" t="e">
        <f ca="1"/>
        <v>#N/A</v>
      </c>
      <c r="G2" s="74" t="e">
        <f ca="1"/>
        <v>#N/A</v>
      </c>
      <c r="H2" s="79" t="e">
        <f ca="1"/>
        <v>#N/A</v>
      </c>
      <c r="I2" s="135" t="e">
        <f ca="1"/>
        <v>#N/A</v>
      </c>
      <c r="J2" s="135" t="e">
        <f ca="1"/>
        <v>#N/A</v>
      </c>
      <c r="K2" s="136" t="e">
        <f ca="1"/>
        <v>#N/A</v>
      </c>
      <c r="L2" s="136" t="e">
        <f ca="1">IF(G2&gt;=10,A2,1000+A2)</f>
        <v>#N/A</v>
      </c>
      <c r="M2" s="136" t="e">
        <f ca="1">RANK(L2,OFFSET($L$2,0,0,$P$1,1),-1)</f>
        <v>#N/A</v>
      </c>
      <c r="N2" s="70" t="e">
        <f ca="1">IF(G2&gt;=10,"",C2&amp;" "&amp;D2&amp;"-"&amp;E2&amp;"-"&amp;F2&amp;"-"&amp;G2&amp;",")</f>
        <v>#N/A</v>
      </c>
      <c r="Q2" s="143" t="s">
        <v>84</v>
      </c>
      <c r="R2" s="141" t="s">
        <v>35</v>
      </c>
      <c r="S2" s="154" t="s">
        <v>36</v>
      </c>
      <c r="T2" s="141" t="s">
        <v>9</v>
      </c>
      <c r="U2" s="141" t="s">
        <v>145</v>
      </c>
      <c r="V2" s="141" t="s">
        <v>38</v>
      </c>
      <c r="W2" s="141" t="s">
        <v>39</v>
      </c>
      <c r="X2" s="141" t="s">
        <v>40</v>
      </c>
      <c r="Y2" s="141" t="s">
        <v>98</v>
      </c>
      <c r="Z2" s="141" t="s">
        <v>743</v>
      </c>
      <c r="AB2" s="70" t="s">
        <v>84</v>
      </c>
      <c r="AC2" s="70" t="s">
        <v>35</v>
      </c>
      <c r="AD2" s="70" t="s">
        <v>36</v>
      </c>
      <c r="AE2" s="70" t="s">
        <v>9</v>
      </c>
      <c r="AF2" s="70" t="s">
        <v>145</v>
      </c>
      <c r="AG2" s="70" t="s">
        <v>38</v>
      </c>
      <c r="AH2" s="70" t="s">
        <v>39</v>
      </c>
      <c r="AI2" s="70" t="s">
        <v>40</v>
      </c>
      <c r="AJ2" s="70" t="s">
        <v>98</v>
      </c>
      <c r="AK2" s="70" t="s">
        <v>743</v>
      </c>
    </row>
    <row r="3" spans="1:38" ht="12.75" x14ac:dyDescent="0.2">
      <c r="A3" s="70">
        <v>2</v>
      </c>
      <c r="B3" s="70" t="e">
        <f ca="1">MATCH(A3,Bowling!$CS$5:$CS$31,0)</f>
        <v>#N/A</v>
      </c>
      <c r="C3" s="70" t="e">
        <f ca="1">OFFSET(Bowling!$B$4,BowlAves!B3,0)</f>
        <v>#N/A</v>
      </c>
      <c r="D3" s="134" t="e">
        <f t="array" aca="1" ref="D3:K3" ca="1">OFFSET(Bowling!$CG$4,BowlAves!B3,0,1,8)</f>
        <v>#N/A</v>
      </c>
      <c r="E3" s="74" t="e">
        <f ca="1"/>
        <v>#N/A</v>
      </c>
      <c r="F3" s="74" t="e">
        <f ca="1"/>
        <v>#N/A</v>
      </c>
      <c r="G3" s="74" t="e">
        <f ca="1"/>
        <v>#N/A</v>
      </c>
      <c r="H3" s="79" t="e">
        <f ca="1"/>
        <v>#N/A</v>
      </c>
      <c r="I3" s="135" t="e">
        <f ca="1"/>
        <v>#N/A</v>
      </c>
      <c r="J3" s="135" t="e">
        <f ca="1"/>
        <v>#N/A</v>
      </c>
      <c r="K3" s="136" t="e">
        <f ca="1"/>
        <v>#N/A</v>
      </c>
      <c r="L3" s="136" t="e">
        <f t="shared" ref="L3:L51" ca="1" si="0">IF(G3&gt;=10,A3,1000+A3)</f>
        <v>#N/A</v>
      </c>
      <c r="M3" s="136" t="e">
        <f t="shared" ref="M3:M51" ca="1" si="1">RANK(L3,OFFSET($L$2,0,0,$P$1,1),-1)</f>
        <v>#N/A</v>
      </c>
      <c r="N3" s="70" t="e">
        <f t="shared" ref="N3:N51" ca="1" si="2">IF(G3&gt;=10,"",C3&amp;" "&amp;D3&amp;"-"&amp;E3&amp;"-"&amp;F3&amp;"-"&amp;G3&amp;",")</f>
        <v>#N/A</v>
      </c>
      <c r="P3" s="106">
        <v>1</v>
      </c>
      <c r="Q3" s="153" t="e">
        <f t="array" aca="1" ref="Q3:Y3" ca="1">OFFSET($C$2,MATCH(P3,$M$2:$M$51,0)-1,0,1,9)</f>
        <v>#N/A</v>
      </c>
      <c r="R3" s="140" t="e">
        <f ca="1"/>
        <v>#N/A</v>
      </c>
      <c r="S3" s="149" t="e">
        <f ca="1"/>
        <v>#N/A</v>
      </c>
      <c r="T3" s="140" t="e">
        <f ca="1"/>
        <v>#N/A</v>
      </c>
      <c r="U3" s="140" t="e">
        <f ca="1"/>
        <v>#N/A</v>
      </c>
      <c r="V3" s="142" t="e">
        <f ca="1"/>
        <v>#N/A</v>
      </c>
      <c r="W3" s="145" t="e">
        <f ca="1"/>
        <v>#N/A</v>
      </c>
      <c r="X3" s="145" t="e">
        <f ca="1"/>
        <v>#N/A</v>
      </c>
      <c r="Y3" s="145" t="e">
        <f ca="1"/>
        <v>#N/A</v>
      </c>
      <c r="Z3" s="49" t="e">
        <f ca="1">S3/R3</f>
        <v>#N/A</v>
      </c>
      <c r="AB3" s="70" t="s">
        <v>297</v>
      </c>
      <c r="AC3" s="70">
        <v>135.4</v>
      </c>
      <c r="AD3" s="70">
        <v>26</v>
      </c>
      <c r="AE3" s="70">
        <v>476</v>
      </c>
      <c r="AF3" s="70">
        <v>35</v>
      </c>
      <c r="AG3" s="70">
        <v>13.6</v>
      </c>
      <c r="AH3" s="70">
        <v>23.257142857142856</v>
      </c>
      <c r="AI3" s="70">
        <v>3.5085995085995085</v>
      </c>
      <c r="AJ3" s="70" t="s">
        <v>744</v>
      </c>
      <c r="AK3" s="70">
        <v>0.19202363367799113</v>
      </c>
      <c r="AL3" s="70">
        <f>26/135</f>
        <v>0.19259259259259259</v>
      </c>
    </row>
    <row r="4" spans="1:38" ht="12.75" x14ac:dyDescent="0.2">
      <c r="A4" s="70">
        <v>3</v>
      </c>
      <c r="B4" s="70" t="e">
        <f ca="1">MATCH(A4,Bowling!$CS$5:$CS$31,0)</f>
        <v>#N/A</v>
      </c>
      <c r="C4" s="70" t="e">
        <f ca="1">OFFSET(Bowling!$B$4,BowlAves!B4,0)</f>
        <v>#N/A</v>
      </c>
      <c r="D4" s="134" t="e">
        <f t="array" aca="1" ref="D4:K4" ca="1">OFFSET(Bowling!$CG$4,BowlAves!B4,0,1,8)</f>
        <v>#N/A</v>
      </c>
      <c r="E4" s="74" t="e">
        <f ca="1"/>
        <v>#N/A</v>
      </c>
      <c r="F4" s="74" t="e">
        <f ca="1"/>
        <v>#N/A</v>
      </c>
      <c r="G4" s="74" t="e">
        <f ca="1"/>
        <v>#N/A</v>
      </c>
      <c r="H4" s="79" t="e">
        <f ca="1"/>
        <v>#N/A</v>
      </c>
      <c r="I4" s="135" t="e">
        <f ca="1"/>
        <v>#N/A</v>
      </c>
      <c r="J4" s="135" t="e">
        <f ca="1"/>
        <v>#N/A</v>
      </c>
      <c r="K4" s="136" t="e">
        <f ca="1"/>
        <v>#N/A</v>
      </c>
      <c r="L4" s="136" t="e">
        <f t="shared" ca="1" si="0"/>
        <v>#N/A</v>
      </c>
      <c r="M4" s="136" t="e">
        <f t="shared" ca="1" si="1"/>
        <v>#N/A</v>
      </c>
      <c r="N4" s="70" t="e">
        <f t="shared" ca="1" si="2"/>
        <v>#N/A</v>
      </c>
      <c r="P4" s="106">
        <v>2</v>
      </c>
      <c r="Q4" s="153" t="e">
        <f t="array" aca="1" ref="Q4:Y4" ca="1">OFFSET($C$2,MATCH(P4,$M$2:$M$51,0)-1,0,1,9)</f>
        <v>#N/A</v>
      </c>
      <c r="R4" s="140" t="e">
        <f ca="1"/>
        <v>#N/A</v>
      </c>
      <c r="S4" s="149" t="e">
        <f ca="1"/>
        <v>#N/A</v>
      </c>
      <c r="T4" s="140" t="e">
        <f ca="1"/>
        <v>#N/A</v>
      </c>
      <c r="U4" s="140" t="e">
        <f ca="1"/>
        <v>#N/A</v>
      </c>
      <c r="V4" s="142" t="e">
        <f ca="1"/>
        <v>#N/A</v>
      </c>
      <c r="W4" s="145" t="e">
        <f ca="1"/>
        <v>#N/A</v>
      </c>
      <c r="X4" s="145" t="e">
        <f ca="1"/>
        <v>#N/A</v>
      </c>
      <c r="Y4" s="145" t="e">
        <f ca="1"/>
        <v>#N/A</v>
      </c>
      <c r="Z4" s="49" t="e">
        <f t="shared" ref="Z4:Z25" ca="1" si="3">S4/R4</f>
        <v>#N/A</v>
      </c>
      <c r="AB4" s="70" t="s">
        <v>148</v>
      </c>
      <c r="AC4" s="70">
        <v>135.4</v>
      </c>
      <c r="AD4" s="70">
        <v>20</v>
      </c>
      <c r="AE4" s="70">
        <v>528</v>
      </c>
      <c r="AF4" s="70">
        <v>27</v>
      </c>
      <c r="AG4" s="70">
        <v>19.559999999999999</v>
      </c>
      <c r="AH4" s="70">
        <v>30.148148148148149</v>
      </c>
      <c r="AI4" s="70">
        <v>3.8918918918918921</v>
      </c>
      <c r="AJ4" s="70" t="s">
        <v>746</v>
      </c>
      <c r="AK4" s="70">
        <v>0.14771048744460857</v>
      </c>
    </row>
    <row r="5" spans="1:38" ht="12.75" x14ac:dyDescent="0.2">
      <c r="A5" s="70">
        <v>4</v>
      </c>
      <c r="B5" s="70" t="e">
        <f ca="1">MATCH(A5,Bowling!$CS$5:$CS$31,0)</f>
        <v>#N/A</v>
      </c>
      <c r="C5" s="70" t="e">
        <f ca="1">OFFSET(Bowling!$B$4,BowlAves!B5,0)</f>
        <v>#N/A</v>
      </c>
      <c r="D5" s="134" t="e">
        <f t="array" aca="1" ref="D5:K5" ca="1">OFFSET(Bowling!$CG$4,BowlAves!B5,0,1,8)</f>
        <v>#N/A</v>
      </c>
      <c r="E5" s="74" t="e">
        <f ca="1"/>
        <v>#N/A</v>
      </c>
      <c r="F5" s="74" t="e">
        <f ca="1"/>
        <v>#N/A</v>
      </c>
      <c r="G5" s="74" t="e">
        <f ca="1"/>
        <v>#N/A</v>
      </c>
      <c r="H5" s="79" t="e">
        <f ca="1"/>
        <v>#N/A</v>
      </c>
      <c r="I5" s="135" t="e">
        <f ca="1"/>
        <v>#N/A</v>
      </c>
      <c r="J5" s="135" t="e">
        <f ca="1"/>
        <v>#N/A</v>
      </c>
      <c r="K5" s="136" t="e">
        <f ca="1"/>
        <v>#N/A</v>
      </c>
      <c r="L5" s="136" t="e">
        <f t="shared" ca="1" si="0"/>
        <v>#N/A</v>
      </c>
      <c r="M5" s="136" t="e">
        <f t="shared" ca="1" si="1"/>
        <v>#N/A</v>
      </c>
      <c r="N5" s="70" t="e">
        <f t="shared" ca="1" si="2"/>
        <v>#N/A</v>
      </c>
      <c r="P5" s="106">
        <v>3</v>
      </c>
      <c r="Q5" s="153" t="e">
        <f t="array" aca="1" ref="Q5:Y5" ca="1">OFFSET($C$2,MATCH(P5,$M$2:$M$51,0)-1,0,1,9)</f>
        <v>#N/A</v>
      </c>
      <c r="R5" s="140" t="e">
        <f ca="1"/>
        <v>#N/A</v>
      </c>
      <c r="S5" s="149" t="e">
        <f ca="1"/>
        <v>#N/A</v>
      </c>
      <c r="T5" s="140" t="e">
        <f ca="1"/>
        <v>#N/A</v>
      </c>
      <c r="U5" s="140" t="e">
        <f ca="1"/>
        <v>#N/A</v>
      </c>
      <c r="V5" s="142" t="e">
        <f ca="1"/>
        <v>#N/A</v>
      </c>
      <c r="W5" s="145" t="e">
        <f ca="1"/>
        <v>#N/A</v>
      </c>
      <c r="X5" s="145" t="e">
        <f ca="1"/>
        <v>#N/A</v>
      </c>
      <c r="Y5" s="145" t="e">
        <f ca="1"/>
        <v>#N/A</v>
      </c>
      <c r="Z5" s="49" t="e">
        <f t="shared" ca="1" si="3"/>
        <v>#N/A</v>
      </c>
      <c r="AB5" s="70" t="s">
        <v>147</v>
      </c>
      <c r="AC5" s="70">
        <v>106.1</v>
      </c>
      <c r="AD5" s="70">
        <v>16</v>
      </c>
      <c r="AE5" s="70">
        <v>490</v>
      </c>
      <c r="AF5" s="70">
        <v>19</v>
      </c>
      <c r="AG5" s="70">
        <v>25.79</v>
      </c>
      <c r="AH5" s="70">
        <v>33.526315789473685</v>
      </c>
      <c r="AI5" s="70">
        <v>4.615384615384615</v>
      </c>
      <c r="AJ5" s="70" t="s">
        <v>749</v>
      </c>
      <c r="AK5" s="70">
        <v>0.15080113100848258</v>
      </c>
    </row>
    <row r="6" spans="1:38" ht="12.75" x14ac:dyDescent="0.2">
      <c r="A6" s="70">
        <v>5</v>
      </c>
      <c r="B6" s="70" t="e">
        <f ca="1">MATCH(A6,Bowling!$CS$5:$CS$31,0)</f>
        <v>#N/A</v>
      </c>
      <c r="C6" s="70" t="e">
        <f ca="1">OFFSET(Bowling!$B$4,BowlAves!B6,0)</f>
        <v>#N/A</v>
      </c>
      <c r="D6" s="134" t="e">
        <f t="array" aca="1" ref="D6:K6" ca="1">OFFSET(Bowling!$CG$4,BowlAves!B6,0,1,8)</f>
        <v>#N/A</v>
      </c>
      <c r="E6" s="74" t="e">
        <f ca="1"/>
        <v>#N/A</v>
      </c>
      <c r="F6" s="74" t="e">
        <f ca="1"/>
        <v>#N/A</v>
      </c>
      <c r="G6" s="74" t="e">
        <f ca="1"/>
        <v>#N/A</v>
      </c>
      <c r="H6" s="79" t="e">
        <f ca="1"/>
        <v>#N/A</v>
      </c>
      <c r="I6" s="135" t="e">
        <f ca="1"/>
        <v>#N/A</v>
      </c>
      <c r="J6" s="135" t="e">
        <f ca="1"/>
        <v>#N/A</v>
      </c>
      <c r="K6" s="136" t="e">
        <f ca="1"/>
        <v>#N/A</v>
      </c>
      <c r="L6" s="136" t="e">
        <f t="shared" ca="1" si="0"/>
        <v>#N/A</v>
      </c>
      <c r="M6" s="136" t="e">
        <f t="shared" ca="1" si="1"/>
        <v>#N/A</v>
      </c>
      <c r="N6" s="70" t="e">
        <f t="shared" ca="1" si="2"/>
        <v>#N/A</v>
      </c>
      <c r="P6" s="106">
        <v>4</v>
      </c>
      <c r="Q6" s="153" t="e">
        <f t="array" aca="1" ref="Q6:Y6" ca="1">OFFSET($C$2,MATCH(P6,$M$2:$M$51,0)-1,0,1,9)</f>
        <v>#N/A</v>
      </c>
      <c r="R6" s="140" t="e">
        <f ca="1"/>
        <v>#N/A</v>
      </c>
      <c r="S6" s="149" t="e">
        <f ca="1"/>
        <v>#N/A</v>
      </c>
      <c r="T6" s="140" t="e">
        <f ca="1"/>
        <v>#N/A</v>
      </c>
      <c r="U6" s="140" t="e">
        <f ca="1"/>
        <v>#N/A</v>
      </c>
      <c r="V6" s="142" t="e">
        <f ca="1"/>
        <v>#N/A</v>
      </c>
      <c r="W6" s="145" t="e">
        <f ca="1"/>
        <v>#N/A</v>
      </c>
      <c r="X6" s="145" t="e">
        <f ca="1"/>
        <v>#N/A</v>
      </c>
      <c r="Y6" s="145" t="e">
        <f ca="1"/>
        <v>#N/A</v>
      </c>
      <c r="Z6" s="49" t="e">
        <f t="shared" ca="1" si="3"/>
        <v>#N/A</v>
      </c>
      <c r="AB6" s="70" t="s">
        <v>254</v>
      </c>
      <c r="AC6" s="70">
        <v>77</v>
      </c>
      <c r="AD6" s="70">
        <v>15</v>
      </c>
      <c r="AE6" s="70">
        <v>221</v>
      </c>
      <c r="AF6" s="70">
        <v>15</v>
      </c>
      <c r="AG6" s="70">
        <v>14.73</v>
      </c>
      <c r="AH6" s="70">
        <v>30.8</v>
      </c>
      <c r="AI6" s="70">
        <v>2.8701298701298703</v>
      </c>
      <c r="AJ6" s="70" t="s">
        <v>745</v>
      </c>
      <c r="AK6" s="70">
        <v>0.19480519480519481</v>
      </c>
      <c r="AL6" s="70">
        <f>15/77</f>
        <v>0.19480519480519481</v>
      </c>
    </row>
    <row r="7" spans="1:38" ht="12.75" x14ac:dyDescent="0.2">
      <c r="A7" s="70">
        <v>6</v>
      </c>
      <c r="B7" s="70" t="e">
        <f ca="1">MATCH(A7,Bowling!$CS$5:$CS$31,0)</f>
        <v>#N/A</v>
      </c>
      <c r="C7" s="70" t="e">
        <f ca="1">OFFSET(Bowling!$B$4,BowlAves!B7,0)</f>
        <v>#N/A</v>
      </c>
      <c r="D7" s="134" t="e">
        <f t="array" aca="1" ref="D7:K7" ca="1">OFFSET(Bowling!$CG$4,BowlAves!B7,0,1,8)</f>
        <v>#N/A</v>
      </c>
      <c r="E7" s="74" t="e">
        <f ca="1"/>
        <v>#N/A</v>
      </c>
      <c r="F7" s="74" t="e">
        <f ca="1"/>
        <v>#N/A</v>
      </c>
      <c r="G7" s="74" t="e">
        <f ca="1"/>
        <v>#N/A</v>
      </c>
      <c r="H7" s="79" t="e">
        <f ca="1"/>
        <v>#N/A</v>
      </c>
      <c r="I7" s="135" t="e">
        <f ca="1"/>
        <v>#N/A</v>
      </c>
      <c r="J7" s="135" t="e">
        <f ca="1"/>
        <v>#N/A</v>
      </c>
      <c r="K7" s="136" t="e">
        <f ca="1"/>
        <v>#N/A</v>
      </c>
      <c r="L7" s="136" t="e">
        <f t="shared" ca="1" si="0"/>
        <v>#N/A</v>
      </c>
      <c r="M7" s="136" t="e">
        <f t="shared" ca="1" si="1"/>
        <v>#N/A</v>
      </c>
      <c r="N7" s="70" t="e">
        <f t="shared" ca="1" si="2"/>
        <v>#N/A</v>
      </c>
      <c r="P7" s="106">
        <v>5</v>
      </c>
      <c r="Q7" s="153" t="e">
        <f t="array" aca="1" ref="Q7:Y7" ca="1">OFFSET($C$2,MATCH(P7,$M$2:$M$51,0)-1,0,1,9)</f>
        <v>#N/A</v>
      </c>
      <c r="R7" s="140" t="e">
        <f ca="1"/>
        <v>#N/A</v>
      </c>
      <c r="S7" s="149" t="e">
        <f ca="1"/>
        <v>#N/A</v>
      </c>
      <c r="T7" s="140" t="e">
        <f ca="1"/>
        <v>#N/A</v>
      </c>
      <c r="U7" s="140" t="e">
        <f ca="1"/>
        <v>#N/A</v>
      </c>
      <c r="V7" s="142" t="e">
        <f ca="1"/>
        <v>#N/A</v>
      </c>
      <c r="W7" s="145" t="e">
        <f ca="1"/>
        <v>#N/A</v>
      </c>
      <c r="X7" s="145" t="e">
        <f ca="1"/>
        <v>#N/A</v>
      </c>
      <c r="Y7" s="145" t="e">
        <f ca="1"/>
        <v>#N/A</v>
      </c>
      <c r="Z7" s="49" t="e">
        <f t="shared" ca="1" si="3"/>
        <v>#N/A</v>
      </c>
      <c r="AB7" s="70" t="s">
        <v>233</v>
      </c>
      <c r="AC7" s="70">
        <v>71</v>
      </c>
      <c r="AD7" s="70">
        <v>6</v>
      </c>
      <c r="AE7" s="70">
        <v>351</v>
      </c>
      <c r="AF7" s="70">
        <v>16</v>
      </c>
      <c r="AG7" s="70">
        <v>21.94</v>
      </c>
      <c r="AH7" s="70">
        <v>26.625</v>
      </c>
      <c r="AI7" s="70">
        <v>4.943661971830986</v>
      </c>
      <c r="AJ7" s="70" t="s">
        <v>747</v>
      </c>
      <c r="AK7" s="70">
        <v>8.4507042253521125E-2</v>
      </c>
    </row>
    <row r="8" spans="1:38" ht="12.75" x14ac:dyDescent="0.2">
      <c r="A8" s="70">
        <v>7</v>
      </c>
      <c r="B8" s="70" t="e">
        <f ca="1">MATCH(A8,Bowling!$CS$5:$CS$31,0)</f>
        <v>#N/A</v>
      </c>
      <c r="C8" s="70" t="e">
        <f ca="1">OFFSET(Bowling!$B$4,BowlAves!B8,0)</f>
        <v>#N/A</v>
      </c>
      <c r="D8" s="134" t="e">
        <f t="array" aca="1" ref="D8:K8" ca="1">OFFSET(Bowling!$CG$4,BowlAves!B8,0,1,8)</f>
        <v>#N/A</v>
      </c>
      <c r="E8" s="74" t="e">
        <f ca="1"/>
        <v>#N/A</v>
      </c>
      <c r="F8" s="74" t="e">
        <f ca="1"/>
        <v>#N/A</v>
      </c>
      <c r="G8" s="74" t="e">
        <f ca="1"/>
        <v>#N/A</v>
      </c>
      <c r="H8" s="79" t="e">
        <f ca="1"/>
        <v>#N/A</v>
      </c>
      <c r="I8" s="135" t="e">
        <f ca="1"/>
        <v>#N/A</v>
      </c>
      <c r="J8" s="135" t="e">
        <f ca="1"/>
        <v>#N/A</v>
      </c>
      <c r="K8" s="136" t="e">
        <f ca="1"/>
        <v>#N/A</v>
      </c>
      <c r="L8" s="136" t="e">
        <f t="shared" ca="1" si="0"/>
        <v>#N/A</v>
      </c>
      <c r="M8" s="136" t="e">
        <f t="shared" ca="1" si="1"/>
        <v>#N/A</v>
      </c>
      <c r="N8" s="70" t="e">
        <f t="shared" ca="1" si="2"/>
        <v>#N/A</v>
      </c>
      <c r="P8" s="106">
        <v>6</v>
      </c>
      <c r="Q8" s="153" t="e">
        <f t="array" aca="1" ref="Q8:Y8" ca="1">OFFSET($C$2,MATCH(P8,$M$2:$M$51,0)-1,0,1,9)</f>
        <v>#N/A</v>
      </c>
      <c r="R8" s="140" t="e">
        <f ca="1"/>
        <v>#N/A</v>
      </c>
      <c r="S8" s="149" t="e">
        <f ca="1"/>
        <v>#N/A</v>
      </c>
      <c r="T8" s="140" t="e">
        <f ca="1"/>
        <v>#N/A</v>
      </c>
      <c r="U8" s="140" t="e">
        <f ca="1"/>
        <v>#N/A</v>
      </c>
      <c r="V8" s="142" t="e">
        <f ca="1"/>
        <v>#N/A</v>
      </c>
      <c r="W8" s="145" t="e">
        <f ca="1"/>
        <v>#N/A</v>
      </c>
      <c r="X8" s="145" t="e">
        <f ca="1"/>
        <v>#N/A</v>
      </c>
      <c r="Y8" s="145" t="e">
        <f ca="1"/>
        <v>#N/A</v>
      </c>
      <c r="Z8" s="49" t="e">
        <f t="shared" ca="1" si="3"/>
        <v>#N/A</v>
      </c>
      <c r="AB8" s="70" t="s">
        <v>151</v>
      </c>
      <c r="AC8" s="70">
        <v>70.2</v>
      </c>
      <c r="AD8" s="70">
        <v>5</v>
      </c>
      <c r="AE8" s="70">
        <v>338</v>
      </c>
      <c r="AF8" s="70">
        <v>8</v>
      </c>
      <c r="AG8" s="70">
        <v>42.25</v>
      </c>
      <c r="AH8" s="70">
        <v>52.75</v>
      </c>
      <c r="AI8" s="70">
        <v>4.8056872037914689</v>
      </c>
      <c r="AJ8" s="70" t="s">
        <v>756</v>
      </c>
      <c r="AK8" s="70">
        <v>7.1225071225071226E-2</v>
      </c>
    </row>
    <row r="9" spans="1:38" ht="12.75" x14ac:dyDescent="0.2">
      <c r="A9" s="70">
        <v>8</v>
      </c>
      <c r="B9" s="70" t="e">
        <f ca="1">MATCH(A9,Bowling!$CS$5:$CS$31,0)</f>
        <v>#N/A</v>
      </c>
      <c r="C9" s="70" t="e">
        <f ca="1">OFFSET(Bowling!$B$4,BowlAves!B9,0)</f>
        <v>#N/A</v>
      </c>
      <c r="D9" s="134" t="e">
        <f t="array" aca="1" ref="D9:K9" ca="1">OFFSET(Bowling!$CG$4,BowlAves!B9,0,1,8)</f>
        <v>#N/A</v>
      </c>
      <c r="E9" s="74" t="e">
        <f ca="1"/>
        <v>#N/A</v>
      </c>
      <c r="F9" s="74" t="e">
        <f ca="1"/>
        <v>#N/A</v>
      </c>
      <c r="G9" s="74" t="e">
        <f ca="1"/>
        <v>#N/A</v>
      </c>
      <c r="H9" s="79" t="e">
        <f ca="1"/>
        <v>#N/A</v>
      </c>
      <c r="I9" s="135" t="e">
        <f ca="1"/>
        <v>#N/A</v>
      </c>
      <c r="J9" s="135" t="e">
        <f ca="1"/>
        <v>#N/A</v>
      </c>
      <c r="K9" s="136" t="e">
        <f ca="1"/>
        <v>#N/A</v>
      </c>
      <c r="L9" s="136" t="e">
        <f t="shared" ca="1" si="0"/>
        <v>#N/A</v>
      </c>
      <c r="M9" s="136" t="e">
        <f t="shared" ca="1" si="1"/>
        <v>#N/A</v>
      </c>
      <c r="N9" s="70" t="e">
        <f t="shared" ca="1" si="2"/>
        <v>#N/A</v>
      </c>
      <c r="P9" s="106">
        <v>7</v>
      </c>
      <c r="Q9" s="153" t="e">
        <f t="array" aca="1" ref="Q9:Y9" ca="1">OFFSET($C$2,MATCH(P9,$M$2:$M$51,0)-1,0,1,9)</f>
        <v>#N/A</v>
      </c>
      <c r="R9" s="140" t="e">
        <f ca="1"/>
        <v>#N/A</v>
      </c>
      <c r="S9" s="149" t="e">
        <f ca="1"/>
        <v>#N/A</v>
      </c>
      <c r="T9" s="140" t="e">
        <f ca="1"/>
        <v>#N/A</v>
      </c>
      <c r="U9" s="140" t="e">
        <f ca="1"/>
        <v>#N/A</v>
      </c>
      <c r="V9" s="142" t="e">
        <f ca="1"/>
        <v>#N/A</v>
      </c>
      <c r="W9" s="145" t="e">
        <f ca="1"/>
        <v>#N/A</v>
      </c>
      <c r="X9" s="145" t="e">
        <f ca="1"/>
        <v>#N/A</v>
      </c>
      <c r="Y9" s="145" t="e">
        <f ca="1"/>
        <v>#N/A</v>
      </c>
      <c r="Z9" s="49" t="e">
        <f t="shared" ca="1" si="3"/>
        <v>#N/A</v>
      </c>
      <c r="AB9" s="70" t="s">
        <v>44</v>
      </c>
      <c r="AC9" s="70">
        <v>62</v>
      </c>
      <c r="AD9" s="70">
        <v>9</v>
      </c>
      <c r="AE9" s="70">
        <v>253</v>
      </c>
      <c r="AF9" s="70">
        <v>10</v>
      </c>
      <c r="AG9" s="70">
        <v>25.3</v>
      </c>
      <c r="AH9" s="70">
        <v>37.200000000000003</v>
      </c>
      <c r="AI9" s="70">
        <v>4.080645161290323</v>
      </c>
      <c r="AJ9" s="70" t="s">
        <v>748</v>
      </c>
      <c r="AK9" s="70">
        <v>0.14516129032258066</v>
      </c>
    </row>
    <row r="10" spans="1:38" ht="12.75" x14ac:dyDescent="0.2">
      <c r="A10" s="70">
        <v>9</v>
      </c>
      <c r="B10" s="70" t="e">
        <f ca="1">MATCH(A10,Bowling!$CS$5:$CS$31,0)</f>
        <v>#N/A</v>
      </c>
      <c r="C10" s="70" t="e">
        <f ca="1">OFFSET(Bowling!$B$4,BowlAves!B10,0)</f>
        <v>#N/A</v>
      </c>
      <c r="D10" s="134" t="e">
        <f t="array" aca="1" ref="D10:K10" ca="1">OFFSET(Bowling!$CG$4,BowlAves!B10,0,1,8)</f>
        <v>#N/A</v>
      </c>
      <c r="E10" s="74" t="e">
        <f ca="1"/>
        <v>#N/A</v>
      </c>
      <c r="F10" s="74" t="e">
        <f ca="1"/>
        <v>#N/A</v>
      </c>
      <c r="G10" s="74" t="e">
        <f ca="1"/>
        <v>#N/A</v>
      </c>
      <c r="H10" s="79" t="e">
        <f ca="1"/>
        <v>#N/A</v>
      </c>
      <c r="I10" s="135" t="e">
        <f ca="1"/>
        <v>#N/A</v>
      </c>
      <c r="J10" s="135" t="e">
        <f ca="1"/>
        <v>#N/A</v>
      </c>
      <c r="K10" s="136" t="e">
        <f ca="1"/>
        <v>#N/A</v>
      </c>
      <c r="L10" s="136" t="e">
        <f t="shared" ca="1" si="0"/>
        <v>#N/A</v>
      </c>
      <c r="M10" s="136" t="e">
        <f t="shared" ca="1" si="1"/>
        <v>#N/A</v>
      </c>
      <c r="N10" s="70" t="e">
        <f t="shared" ca="1" si="2"/>
        <v>#N/A</v>
      </c>
      <c r="P10" s="106">
        <v>8</v>
      </c>
      <c r="Q10" s="153" t="e">
        <f t="array" aca="1" ref="Q10:Y10" ca="1">OFFSET($C$2,MATCH(P10,$M$2:$M$51,0)-1,0,1,9)</f>
        <v>#N/A</v>
      </c>
      <c r="R10" s="140" t="e">
        <f ca="1"/>
        <v>#N/A</v>
      </c>
      <c r="S10" s="149" t="e">
        <f ca="1"/>
        <v>#N/A</v>
      </c>
      <c r="T10" s="140" t="e">
        <f ca="1"/>
        <v>#N/A</v>
      </c>
      <c r="U10" s="140" t="e">
        <f ca="1"/>
        <v>#N/A</v>
      </c>
      <c r="V10" s="142" t="e">
        <f ca="1"/>
        <v>#N/A</v>
      </c>
      <c r="W10" s="145" t="e">
        <f ca="1"/>
        <v>#N/A</v>
      </c>
      <c r="X10" s="145" t="e">
        <f ca="1"/>
        <v>#N/A</v>
      </c>
      <c r="Y10" s="145" t="e">
        <f ca="1"/>
        <v>#N/A</v>
      </c>
      <c r="Z10" s="49" t="e">
        <f t="shared" ca="1" si="3"/>
        <v>#N/A</v>
      </c>
      <c r="AB10" s="70" t="s">
        <v>183</v>
      </c>
      <c r="AC10" s="70">
        <v>38</v>
      </c>
      <c r="AD10" s="70">
        <v>0</v>
      </c>
      <c r="AE10" s="70">
        <v>232</v>
      </c>
      <c r="AF10" s="70">
        <v>5</v>
      </c>
      <c r="AG10" s="70">
        <v>46.4</v>
      </c>
      <c r="AH10" s="70">
        <v>45.6</v>
      </c>
      <c r="AI10" s="70">
        <v>6.1052631578947372</v>
      </c>
      <c r="AJ10" s="70" t="s">
        <v>758</v>
      </c>
      <c r="AK10" s="70">
        <v>0</v>
      </c>
    </row>
    <row r="11" spans="1:38" ht="12.75" x14ac:dyDescent="0.2">
      <c r="A11" s="70">
        <v>10</v>
      </c>
      <c r="B11" s="70" t="e">
        <f ca="1">MATCH(A11,Bowling!$CS$5:$CS$31,0)</f>
        <v>#N/A</v>
      </c>
      <c r="C11" s="70" t="e">
        <f ca="1">OFFSET(Bowling!$B$4,BowlAves!B11,0)</f>
        <v>#N/A</v>
      </c>
      <c r="D11" s="134" t="e">
        <f t="array" aca="1" ref="D11:K11" ca="1">OFFSET(Bowling!$CG$4,BowlAves!B11,0,1,8)</f>
        <v>#N/A</v>
      </c>
      <c r="E11" s="74" t="e">
        <f ca="1"/>
        <v>#N/A</v>
      </c>
      <c r="F11" s="74" t="e">
        <f ca="1"/>
        <v>#N/A</v>
      </c>
      <c r="G11" s="74" t="e">
        <f ca="1"/>
        <v>#N/A</v>
      </c>
      <c r="H11" s="79" t="e">
        <f ca="1"/>
        <v>#N/A</v>
      </c>
      <c r="I11" s="135" t="e">
        <f ca="1"/>
        <v>#N/A</v>
      </c>
      <c r="J11" s="135" t="e">
        <f ca="1"/>
        <v>#N/A</v>
      </c>
      <c r="K11" s="136" t="e">
        <f ca="1"/>
        <v>#N/A</v>
      </c>
      <c r="L11" s="136" t="e">
        <f t="shared" ca="1" si="0"/>
        <v>#N/A</v>
      </c>
      <c r="M11" s="136" t="e">
        <f t="shared" ca="1" si="1"/>
        <v>#N/A</v>
      </c>
      <c r="N11" s="70" t="e">
        <f t="shared" ca="1" si="2"/>
        <v>#N/A</v>
      </c>
      <c r="P11" s="106">
        <v>9</v>
      </c>
      <c r="Q11" s="153" t="e">
        <f t="array" aca="1" ref="Q11:Y11" ca="1">OFFSET($C$2,MATCH(P11,$M$2:$M$51,0)-1,0,1,9)</f>
        <v>#N/A</v>
      </c>
      <c r="R11" s="140" t="e">
        <f ca="1"/>
        <v>#N/A</v>
      </c>
      <c r="S11" s="149" t="e">
        <f ca="1"/>
        <v>#N/A</v>
      </c>
      <c r="T11" s="140" t="e">
        <f ca="1"/>
        <v>#N/A</v>
      </c>
      <c r="U11" s="140" t="e">
        <f ca="1"/>
        <v>#N/A</v>
      </c>
      <c r="V11" s="142" t="e">
        <f ca="1"/>
        <v>#N/A</v>
      </c>
      <c r="W11" s="145" t="e">
        <f ca="1"/>
        <v>#N/A</v>
      </c>
      <c r="X11" s="145" t="e">
        <f ca="1"/>
        <v>#N/A</v>
      </c>
      <c r="Y11" s="145" t="e">
        <f ca="1"/>
        <v>#N/A</v>
      </c>
      <c r="Z11" s="49" t="e">
        <f t="shared" ca="1" si="3"/>
        <v>#N/A</v>
      </c>
      <c r="AB11" s="70" t="s">
        <v>276</v>
      </c>
      <c r="AC11" s="70">
        <v>31.4</v>
      </c>
      <c r="AD11" s="70">
        <v>1</v>
      </c>
      <c r="AE11" s="70">
        <v>171</v>
      </c>
      <c r="AF11" s="70">
        <v>4</v>
      </c>
      <c r="AG11" s="70">
        <v>42.75</v>
      </c>
      <c r="AH11" s="70">
        <v>47.5</v>
      </c>
      <c r="AI11" s="70">
        <v>5.4</v>
      </c>
      <c r="AJ11" s="70" t="s">
        <v>751</v>
      </c>
      <c r="AK11" s="70">
        <v>3.1847133757961783E-2</v>
      </c>
    </row>
    <row r="12" spans="1:38" ht="12.75" x14ac:dyDescent="0.2">
      <c r="A12" s="70">
        <v>11</v>
      </c>
      <c r="B12" s="70" t="e">
        <f ca="1">MATCH(A12,Bowling!$CS$5:$CS$31,0)</f>
        <v>#N/A</v>
      </c>
      <c r="C12" s="70" t="e">
        <f ca="1">OFFSET(Bowling!$B$4,BowlAves!B12,0)</f>
        <v>#N/A</v>
      </c>
      <c r="D12" s="134" t="e">
        <f t="array" aca="1" ref="D12:K12" ca="1">OFFSET(Bowling!$CG$4,BowlAves!B12,0,1,8)</f>
        <v>#N/A</v>
      </c>
      <c r="E12" s="74" t="e">
        <f ca="1"/>
        <v>#N/A</v>
      </c>
      <c r="F12" s="74" t="e">
        <f ca="1"/>
        <v>#N/A</v>
      </c>
      <c r="G12" s="74" t="e">
        <f ca="1"/>
        <v>#N/A</v>
      </c>
      <c r="H12" s="79" t="e">
        <f ca="1"/>
        <v>#N/A</v>
      </c>
      <c r="I12" s="135" t="e">
        <f ca="1"/>
        <v>#N/A</v>
      </c>
      <c r="J12" s="135" t="e">
        <f ca="1"/>
        <v>#N/A</v>
      </c>
      <c r="K12" s="136" t="e">
        <f ca="1"/>
        <v>#N/A</v>
      </c>
      <c r="L12" s="136" t="e">
        <f t="shared" ca="1" si="0"/>
        <v>#N/A</v>
      </c>
      <c r="M12" s="136" t="e">
        <f t="shared" ca="1" si="1"/>
        <v>#N/A</v>
      </c>
      <c r="N12" s="70" t="e">
        <f t="shared" ca="1" si="2"/>
        <v>#N/A</v>
      </c>
      <c r="P12" s="106">
        <v>10</v>
      </c>
      <c r="Q12" s="153" t="e">
        <f t="array" aca="1" ref="Q12:Y12" ca="1">OFFSET($C$2,MATCH(P12,$M$2:$M$51,0)-1,0,1,9)</f>
        <v>#N/A</v>
      </c>
      <c r="R12" s="140" t="e">
        <f ca="1"/>
        <v>#N/A</v>
      </c>
      <c r="S12" s="149" t="e">
        <f ca="1"/>
        <v>#N/A</v>
      </c>
      <c r="T12" s="140" t="e">
        <f ca="1"/>
        <v>#N/A</v>
      </c>
      <c r="U12" s="140" t="e">
        <f ca="1"/>
        <v>#N/A</v>
      </c>
      <c r="V12" s="142" t="e">
        <f ca="1"/>
        <v>#N/A</v>
      </c>
      <c r="W12" s="145" t="e">
        <f ca="1"/>
        <v>#N/A</v>
      </c>
      <c r="X12" s="145" t="e">
        <f ca="1"/>
        <v>#N/A</v>
      </c>
      <c r="Y12" s="145" t="e">
        <f ca="1"/>
        <v>#N/A</v>
      </c>
      <c r="Z12" s="49" t="e">
        <f t="shared" ca="1" si="3"/>
        <v>#N/A</v>
      </c>
      <c r="AB12" s="70" t="s">
        <v>578</v>
      </c>
      <c r="AC12" s="70">
        <v>26</v>
      </c>
      <c r="AD12" s="70">
        <v>4</v>
      </c>
      <c r="AE12" s="70">
        <v>87</v>
      </c>
      <c r="AF12" s="70">
        <v>5</v>
      </c>
      <c r="AG12" s="70">
        <v>17.399999999999999</v>
      </c>
      <c r="AH12" s="70">
        <v>31.2</v>
      </c>
      <c r="AI12" s="70">
        <v>3.3461538461538463</v>
      </c>
      <c r="AJ12" s="70" t="s">
        <v>750</v>
      </c>
      <c r="AK12" s="70">
        <v>0.15384615384615385</v>
      </c>
    </row>
    <row r="13" spans="1:38" ht="12.75" x14ac:dyDescent="0.2">
      <c r="A13" s="70">
        <v>12</v>
      </c>
      <c r="B13" s="70" t="e">
        <f ca="1">MATCH(A13,Bowling!$CS$5:$CS$31,0)</f>
        <v>#N/A</v>
      </c>
      <c r="C13" s="70" t="e">
        <f ca="1">OFFSET(Bowling!$B$4,BowlAves!B13,0)</f>
        <v>#N/A</v>
      </c>
      <c r="D13" s="134" t="e">
        <f t="array" aca="1" ref="D13:K13" ca="1">OFFSET(Bowling!$CG$4,BowlAves!B13,0,1,8)</f>
        <v>#N/A</v>
      </c>
      <c r="E13" s="74" t="e">
        <f ca="1"/>
        <v>#N/A</v>
      </c>
      <c r="F13" s="74" t="e">
        <f ca="1"/>
        <v>#N/A</v>
      </c>
      <c r="G13" s="74" t="e">
        <f ca="1"/>
        <v>#N/A</v>
      </c>
      <c r="H13" s="79" t="e">
        <f ca="1"/>
        <v>#N/A</v>
      </c>
      <c r="I13" s="135" t="e">
        <f ca="1"/>
        <v>#N/A</v>
      </c>
      <c r="J13" s="135" t="e">
        <f ca="1"/>
        <v>#N/A</v>
      </c>
      <c r="K13" s="136" t="e">
        <f ca="1"/>
        <v>#N/A</v>
      </c>
      <c r="L13" s="136" t="e">
        <f t="shared" ca="1" si="0"/>
        <v>#N/A</v>
      </c>
      <c r="M13" s="136" t="e">
        <f t="shared" ca="1" si="1"/>
        <v>#N/A</v>
      </c>
      <c r="N13" s="70" t="e">
        <f t="shared" ca="1" si="2"/>
        <v>#N/A</v>
      </c>
      <c r="P13" s="106">
        <v>11</v>
      </c>
      <c r="Q13" s="153" t="e">
        <f t="array" aca="1" ref="Q13:Y13" ca="1">OFFSET($C$2,MATCH(P13,$M$2:$M$51,0)-1,0,1,9)</f>
        <v>#N/A</v>
      </c>
      <c r="R13" s="140" t="e">
        <f ca="1"/>
        <v>#N/A</v>
      </c>
      <c r="S13" s="149" t="e">
        <f ca="1"/>
        <v>#N/A</v>
      </c>
      <c r="T13" s="140" t="e">
        <f ca="1"/>
        <v>#N/A</v>
      </c>
      <c r="U13" s="140" t="e">
        <f ca="1"/>
        <v>#N/A</v>
      </c>
      <c r="V13" s="142" t="e">
        <f ca="1"/>
        <v>#N/A</v>
      </c>
      <c r="W13" s="145" t="e">
        <f ca="1"/>
        <v>#N/A</v>
      </c>
      <c r="X13" s="145" t="e">
        <f ca="1"/>
        <v>#N/A</v>
      </c>
      <c r="Y13" s="145" t="e">
        <f ca="1"/>
        <v>#N/A</v>
      </c>
      <c r="Z13" s="49" t="e">
        <f t="shared" ca="1" si="3"/>
        <v>#N/A</v>
      </c>
      <c r="AB13" s="70" t="s">
        <v>231</v>
      </c>
      <c r="AC13" s="70">
        <v>15</v>
      </c>
      <c r="AD13" s="70">
        <v>1</v>
      </c>
      <c r="AE13" s="70">
        <v>97</v>
      </c>
      <c r="AF13" s="70">
        <v>3</v>
      </c>
      <c r="AG13" s="70">
        <v>32.33</v>
      </c>
      <c r="AH13" s="70">
        <v>30</v>
      </c>
      <c r="AI13" s="70">
        <v>6.4666666666666668</v>
      </c>
      <c r="AJ13" s="70" t="s">
        <v>755</v>
      </c>
      <c r="AK13" s="70">
        <v>6.6666666666666666E-2</v>
      </c>
    </row>
    <row r="14" spans="1:38" ht="12.75" x14ac:dyDescent="0.2">
      <c r="A14" s="70">
        <v>13</v>
      </c>
      <c r="B14" s="70" t="e">
        <f ca="1">MATCH(A14,Bowling!$CS$5:$CS$31,0)</f>
        <v>#N/A</v>
      </c>
      <c r="C14" s="70" t="e">
        <f ca="1">OFFSET(Bowling!$B$4,BowlAves!B14,0)</f>
        <v>#N/A</v>
      </c>
      <c r="D14" s="134" t="e">
        <f t="array" aca="1" ref="D14:K14" ca="1">OFFSET(Bowling!$CG$4,BowlAves!B14,0,1,8)</f>
        <v>#N/A</v>
      </c>
      <c r="E14" s="74" t="e">
        <f ca="1"/>
        <v>#N/A</v>
      </c>
      <c r="F14" s="74" t="e">
        <f ca="1"/>
        <v>#N/A</v>
      </c>
      <c r="G14" s="74" t="e">
        <f ca="1"/>
        <v>#N/A</v>
      </c>
      <c r="H14" s="79" t="e">
        <f ca="1"/>
        <v>#N/A</v>
      </c>
      <c r="I14" s="135" t="e">
        <f ca="1"/>
        <v>#N/A</v>
      </c>
      <c r="J14" s="135" t="e">
        <f ca="1"/>
        <v>#N/A</v>
      </c>
      <c r="K14" s="136" t="e">
        <f ca="1"/>
        <v>#N/A</v>
      </c>
      <c r="L14" s="136" t="e">
        <f t="shared" ca="1" si="0"/>
        <v>#N/A</v>
      </c>
      <c r="M14" s="136" t="e">
        <f t="shared" ca="1" si="1"/>
        <v>#N/A</v>
      </c>
      <c r="N14" s="70" t="e">
        <f t="shared" ca="1" si="2"/>
        <v>#N/A</v>
      </c>
      <c r="P14" s="106">
        <v>12</v>
      </c>
      <c r="Q14" s="153" t="e">
        <f t="array" aca="1" ref="Q14:Y14" ca="1">OFFSET($C$2,MATCH(P14,$M$2:$M$51,0)-1,0,1,9)</f>
        <v>#N/A</v>
      </c>
      <c r="R14" s="140" t="e">
        <f ca="1"/>
        <v>#N/A</v>
      </c>
      <c r="S14" s="149" t="e">
        <f ca="1"/>
        <v>#N/A</v>
      </c>
      <c r="T14" s="140" t="e">
        <f ca="1"/>
        <v>#N/A</v>
      </c>
      <c r="U14" s="140" t="e">
        <f ca="1"/>
        <v>#N/A</v>
      </c>
      <c r="V14" s="142" t="e">
        <f ca="1"/>
        <v>#N/A</v>
      </c>
      <c r="W14" s="145" t="e">
        <f ca="1"/>
        <v>#N/A</v>
      </c>
      <c r="X14" s="145" t="e">
        <f ca="1"/>
        <v>#N/A</v>
      </c>
      <c r="Y14" s="145" t="e">
        <f ca="1"/>
        <v>#N/A</v>
      </c>
      <c r="Z14" s="49" t="e">
        <f t="shared" ca="1" si="3"/>
        <v>#N/A</v>
      </c>
      <c r="AB14" s="70" t="s">
        <v>149</v>
      </c>
      <c r="AC14" s="70">
        <v>11</v>
      </c>
      <c r="AD14" s="70">
        <v>3</v>
      </c>
      <c r="AE14" s="70">
        <v>52</v>
      </c>
      <c r="AF14" s="70">
        <v>1</v>
      </c>
      <c r="AG14" s="70">
        <v>52</v>
      </c>
      <c r="AH14" s="70">
        <v>66</v>
      </c>
      <c r="AI14" s="70">
        <v>4.7272727272727275</v>
      </c>
      <c r="AJ14" s="70" t="s">
        <v>759</v>
      </c>
      <c r="AK14" s="70">
        <v>0.27272727272727271</v>
      </c>
    </row>
    <row r="15" spans="1:38" ht="12.75" x14ac:dyDescent="0.2">
      <c r="A15" s="70">
        <v>14</v>
      </c>
      <c r="B15" s="70" t="e">
        <f ca="1">MATCH(A15,Bowling!$CS$5:$CS$31,0)</f>
        <v>#N/A</v>
      </c>
      <c r="C15" s="70" t="e">
        <f ca="1">OFFSET(Bowling!$B$4,BowlAves!B15,0)</f>
        <v>#N/A</v>
      </c>
      <c r="D15" s="134" t="e">
        <f t="array" aca="1" ref="D15:K15" ca="1">OFFSET(Bowling!$CG$4,BowlAves!B15,0,1,8)</f>
        <v>#N/A</v>
      </c>
      <c r="E15" s="74" t="e">
        <f ca="1"/>
        <v>#N/A</v>
      </c>
      <c r="F15" s="74" t="e">
        <f ca="1"/>
        <v>#N/A</v>
      </c>
      <c r="G15" s="74" t="e">
        <f ca="1"/>
        <v>#N/A</v>
      </c>
      <c r="H15" s="79" t="e">
        <f ca="1"/>
        <v>#N/A</v>
      </c>
      <c r="I15" s="135" t="e">
        <f ca="1"/>
        <v>#N/A</v>
      </c>
      <c r="J15" s="135" t="e">
        <f ca="1"/>
        <v>#N/A</v>
      </c>
      <c r="K15" s="136" t="e">
        <f ca="1"/>
        <v>#N/A</v>
      </c>
      <c r="L15" s="136" t="e">
        <f t="shared" ca="1" si="0"/>
        <v>#N/A</v>
      </c>
      <c r="M15" s="136" t="e">
        <f t="shared" ca="1" si="1"/>
        <v>#N/A</v>
      </c>
      <c r="N15" s="70" t="e">
        <f t="shared" ca="1" si="2"/>
        <v>#N/A</v>
      </c>
      <c r="P15" s="106">
        <v>13</v>
      </c>
      <c r="Q15" s="153" t="e">
        <f t="array" aca="1" ref="Q15:Y15" ca="1">OFFSET($C$2,MATCH(P15,$M$2:$M$51,0)-1,0,1,9)</f>
        <v>#N/A</v>
      </c>
      <c r="R15" s="140" t="e">
        <f ca="1"/>
        <v>#N/A</v>
      </c>
      <c r="S15" s="149" t="e">
        <f ca="1"/>
        <v>#N/A</v>
      </c>
      <c r="T15" s="140" t="e">
        <f ca="1"/>
        <v>#N/A</v>
      </c>
      <c r="U15" s="140" t="e">
        <f ca="1"/>
        <v>#N/A</v>
      </c>
      <c r="V15" s="142" t="e">
        <f ca="1"/>
        <v>#N/A</v>
      </c>
      <c r="W15" s="145" t="e">
        <f ca="1"/>
        <v>#N/A</v>
      </c>
      <c r="X15" s="145" t="e">
        <f ca="1"/>
        <v>#N/A</v>
      </c>
      <c r="Y15" s="145" t="e">
        <f ca="1"/>
        <v>#N/A</v>
      </c>
      <c r="Z15" s="49" t="e">
        <f t="shared" ca="1" si="3"/>
        <v>#N/A</v>
      </c>
      <c r="AB15" s="70" t="s">
        <v>230</v>
      </c>
      <c r="AC15" s="70">
        <v>8</v>
      </c>
      <c r="AD15" s="70">
        <v>0</v>
      </c>
      <c r="AE15" s="70">
        <v>39</v>
      </c>
      <c r="AF15" s="70">
        <v>2</v>
      </c>
      <c r="AG15" s="70">
        <v>19.5</v>
      </c>
      <c r="AH15" s="70">
        <v>24</v>
      </c>
      <c r="AI15" s="70">
        <v>4.875</v>
      </c>
      <c r="AJ15" s="70" t="s">
        <v>752</v>
      </c>
      <c r="AK15" s="70">
        <v>0</v>
      </c>
    </row>
    <row r="16" spans="1:38" ht="12.75" x14ac:dyDescent="0.2">
      <c r="A16" s="70">
        <v>15</v>
      </c>
      <c r="B16" s="70" t="e">
        <f ca="1">MATCH(A16,Bowling!$CS$5:$CS$31,0)</f>
        <v>#N/A</v>
      </c>
      <c r="C16" s="70" t="e">
        <f ca="1">OFFSET(Bowling!$B$4,BowlAves!B16,0)</f>
        <v>#N/A</v>
      </c>
      <c r="D16" s="134" t="e">
        <f t="array" aca="1" ref="D16:K16" ca="1">OFFSET(Bowling!$CG$4,BowlAves!B16,0,1,8)</f>
        <v>#N/A</v>
      </c>
      <c r="E16" s="74" t="e">
        <f ca="1"/>
        <v>#N/A</v>
      </c>
      <c r="F16" s="74" t="e">
        <f ca="1"/>
        <v>#N/A</v>
      </c>
      <c r="G16" s="74" t="e">
        <f ca="1"/>
        <v>#N/A</v>
      </c>
      <c r="H16" s="79" t="e">
        <f ca="1"/>
        <v>#N/A</v>
      </c>
      <c r="I16" s="135" t="e">
        <f ca="1"/>
        <v>#N/A</v>
      </c>
      <c r="J16" s="135" t="e">
        <f ca="1"/>
        <v>#N/A</v>
      </c>
      <c r="K16" s="136" t="e">
        <f ca="1"/>
        <v>#N/A</v>
      </c>
      <c r="L16" s="136" t="e">
        <f t="shared" ca="1" si="0"/>
        <v>#N/A</v>
      </c>
      <c r="M16" s="136" t="e">
        <f t="shared" ca="1" si="1"/>
        <v>#N/A</v>
      </c>
      <c r="N16" s="70" t="e">
        <f t="shared" ca="1" si="2"/>
        <v>#N/A</v>
      </c>
      <c r="P16" s="106">
        <v>14</v>
      </c>
      <c r="Q16" s="153" t="e">
        <f t="array" aca="1" ref="Q16:Y16" ca="1">OFFSET($C$2,MATCH(P16,$M$2:$M$51,0)-1,0,1,9)</f>
        <v>#N/A</v>
      </c>
      <c r="R16" s="140" t="e">
        <f ca="1"/>
        <v>#N/A</v>
      </c>
      <c r="S16" s="149" t="e">
        <f ca="1"/>
        <v>#N/A</v>
      </c>
      <c r="T16" s="140" t="e">
        <f ca="1"/>
        <v>#N/A</v>
      </c>
      <c r="U16" s="140" t="e">
        <f ca="1"/>
        <v>#N/A</v>
      </c>
      <c r="V16" s="142" t="e">
        <f ca="1"/>
        <v>#N/A</v>
      </c>
      <c r="W16" s="145" t="e">
        <f ca="1"/>
        <v>#N/A</v>
      </c>
      <c r="X16" s="145" t="e">
        <f ca="1"/>
        <v>#N/A</v>
      </c>
      <c r="Y16" s="145" t="e">
        <f ca="1"/>
        <v>#N/A</v>
      </c>
      <c r="Z16" s="49" t="e">
        <f t="shared" ca="1" si="3"/>
        <v>#N/A</v>
      </c>
      <c r="AB16" s="70" t="s">
        <v>278</v>
      </c>
      <c r="AC16" s="70">
        <v>7</v>
      </c>
      <c r="AD16" s="70">
        <v>0</v>
      </c>
      <c r="AE16" s="70">
        <v>44</v>
      </c>
      <c r="AF16" s="70">
        <v>1</v>
      </c>
      <c r="AG16" s="70">
        <v>44</v>
      </c>
      <c r="AH16" s="70">
        <v>42</v>
      </c>
      <c r="AI16" s="70">
        <v>6.2857142857142856</v>
      </c>
      <c r="AJ16" s="70" t="s">
        <v>757</v>
      </c>
      <c r="AK16" s="70">
        <v>0</v>
      </c>
    </row>
    <row r="17" spans="1:37" ht="12.75" x14ac:dyDescent="0.2">
      <c r="A17" s="70">
        <v>16</v>
      </c>
      <c r="B17" s="70" t="e">
        <f ca="1">MATCH(A17,Bowling!$CS$5:$CS$31,0)</f>
        <v>#N/A</v>
      </c>
      <c r="C17" s="70" t="e">
        <f ca="1">OFFSET(Bowling!$B$4,BowlAves!B17,0)</f>
        <v>#N/A</v>
      </c>
      <c r="D17" s="134" t="e">
        <f t="array" aca="1" ref="D17:K17" ca="1">OFFSET(Bowling!$CG$4,BowlAves!B17,0,1,8)</f>
        <v>#N/A</v>
      </c>
      <c r="E17" s="74" t="e">
        <f ca="1"/>
        <v>#N/A</v>
      </c>
      <c r="F17" s="74" t="e">
        <f ca="1"/>
        <v>#N/A</v>
      </c>
      <c r="G17" s="74" t="e">
        <f ca="1"/>
        <v>#N/A</v>
      </c>
      <c r="H17" s="79" t="e">
        <f ca="1"/>
        <v>#N/A</v>
      </c>
      <c r="I17" s="135" t="e">
        <f ca="1"/>
        <v>#N/A</v>
      </c>
      <c r="J17" s="135" t="e">
        <f ca="1"/>
        <v>#N/A</v>
      </c>
      <c r="K17" s="136" t="e">
        <f ca="1"/>
        <v>#N/A</v>
      </c>
      <c r="L17" s="136" t="e">
        <f t="shared" ca="1" si="0"/>
        <v>#N/A</v>
      </c>
      <c r="M17" s="136" t="e">
        <f t="shared" ca="1" si="1"/>
        <v>#N/A</v>
      </c>
      <c r="N17" s="70" t="e">
        <f t="shared" ca="1" si="2"/>
        <v>#N/A</v>
      </c>
      <c r="P17" s="106">
        <v>15</v>
      </c>
      <c r="Q17" s="153" t="e">
        <f t="array" aca="1" ref="Q17:Y17" ca="1">OFFSET($C$2,MATCH(P17,$M$2:$M$51,0)-1,0,1,9)</f>
        <v>#N/A</v>
      </c>
      <c r="R17" s="140" t="e">
        <f ca="1"/>
        <v>#N/A</v>
      </c>
      <c r="S17" s="149" t="e">
        <f ca="1"/>
        <v>#N/A</v>
      </c>
      <c r="T17" s="140" t="e">
        <f ca="1"/>
        <v>#N/A</v>
      </c>
      <c r="U17" s="140" t="e">
        <f ca="1"/>
        <v>#N/A</v>
      </c>
      <c r="V17" s="142" t="e">
        <f ca="1"/>
        <v>#N/A</v>
      </c>
      <c r="W17" s="145" t="e">
        <f ca="1"/>
        <v>#N/A</v>
      </c>
      <c r="X17" s="145" t="e">
        <f ca="1"/>
        <v>#N/A</v>
      </c>
      <c r="Y17" s="145" t="e">
        <f ca="1"/>
        <v>#N/A</v>
      </c>
      <c r="Z17" s="49" t="e">
        <f t="shared" ca="1" si="3"/>
        <v>#N/A</v>
      </c>
      <c r="AB17" s="70" t="s">
        <v>425</v>
      </c>
      <c r="AC17" s="70">
        <v>6</v>
      </c>
      <c r="AD17" s="70">
        <v>0</v>
      </c>
      <c r="AE17" s="70">
        <v>32</v>
      </c>
      <c r="AF17" s="70">
        <v>1</v>
      </c>
      <c r="AG17" s="70">
        <v>32</v>
      </c>
      <c r="AH17" s="70">
        <v>36</v>
      </c>
      <c r="AI17" s="70">
        <v>5.333333333333333</v>
      </c>
      <c r="AJ17" s="70" t="s">
        <v>754</v>
      </c>
      <c r="AK17" s="70">
        <v>0</v>
      </c>
    </row>
    <row r="18" spans="1:37" ht="12.75" x14ac:dyDescent="0.2">
      <c r="A18" s="70">
        <v>17</v>
      </c>
      <c r="B18" s="70" t="e">
        <f ca="1">MATCH(A18,Bowling!$CS$5:$CS$31,0)</f>
        <v>#N/A</v>
      </c>
      <c r="C18" s="70" t="e">
        <f ca="1">OFFSET(Bowling!$B$4,BowlAves!B18,0)</f>
        <v>#N/A</v>
      </c>
      <c r="D18" s="134" t="e">
        <f t="array" aca="1" ref="D18:K18" ca="1">OFFSET(Bowling!$CG$4,BowlAves!B18,0,1,8)</f>
        <v>#N/A</v>
      </c>
      <c r="E18" s="74" t="e">
        <f ca="1"/>
        <v>#N/A</v>
      </c>
      <c r="F18" s="74" t="e">
        <f ca="1"/>
        <v>#N/A</v>
      </c>
      <c r="G18" s="74" t="e">
        <f ca="1"/>
        <v>#N/A</v>
      </c>
      <c r="H18" s="79" t="e">
        <f ca="1"/>
        <v>#N/A</v>
      </c>
      <c r="I18" s="135" t="e">
        <f ca="1"/>
        <v>#N/A</v>
      </c>
      <c r="J18" s="135" t="e">
        <f ca="1"/>
        <v>#N/A</v>
      </c>
      <c r="K18" s="136" t="e">
        <f ca="1"/>
        <v>#N/A</v>
      </c>
      <c r="L18" s="136" t="e">
        <f t="shared" ca="1" si="0"/>
        <v>#N/A</v>
      </c>
      <c r="M18" s="136" t="e">
        <f t="shared" ca="1" si="1"/>
        <v>#N/A</v>
      </c>
      <c r="N18" s="70" t="e">
        <f t="shared" ca="1" si="2"/>
        <v>#N/A</v>
      </c>
      <c r="P18" s="106">
        <v>16</v>
      </c>
      <c r="Q18" s="153" t="e">
        <f t="array" aca="1" ref="Q18:Y18" ca="1">OFFSET($C$2,MATCH(P18,$M$2:$M$51,0)-1,0,1,9)</f>
        <v>#N/A</v>
      </c>
      <c r="R18" s="140" t="e">
        <f ca="1"/>
        <v>#N/A</v>
      </c>
      <c r="S18" s="149" t="e">
        <f ca="1"/>
        <v>#N/A</v>
      </c>
      <c r="T18" s="140" t="e">
        <f ca="1"/>
        <v>#N/A</v>
      </c>
      <c r="U18" s="140" t="e">
        <f ca="1"/>
        <v>#N/A</v>
      </c>
      <c r="V18" s="142" t="e">
        <f ca="1"/>
        <v>#N/A</v>
      </c>
      <c r="W18" s="145" t="e">
        <f ca="1"/>
        <v>#N/A</v>
      </c>
      <c r="X18" s="145" t="e">
        <f ca="1"/>
        <v>#N/A</v>
      </c>
      <c r="Y18" s="145" t="e">
        <f ca="1"/>
        <v>#N/A</v>
      </c>
      <c r="Z18" s="49" t="e">
        <f t="shared" ca="1" si="3"/>
        <v>#N/A</v>
      </c>
      <c r="AB18" s="70" t="s">
        <v>579</v>
      </c>
      <c r="AC18" s="70">
        <v>6</v>
      </c>
      <c r="AD18" s="70">
        <v>1</v>
      </c>
      <c r="AE18" s="70">
        <v>17</v>
      </c>
      <c r="AF18" s="70">
        <v>0</v>
      </c>
      <c r="AG18" s="70" t="s">
        <v>224</v>
      </c>
      <c r="AH18" s="70" t="s">
        <v>224</v>
      </c>
      <c r="AI18" s="70">
        <v>2.8333333333333335</v>
      </c>
      <c r="AJ18" s="70" t="s">
        <v>762</v>
      </c>
      <c r="AK18" s="70">
        <v>0.16666666666666666</v>
      </c>
    </row>
    <row r="19" spans="1:37" ht="12.75" x14ac:dyDescent="0.2">
      <c r="A19" s="70">
        <v>18</v>
      </c>
      <c r="B19" s="70" t="e">
        <f ca="1">MATCH(A19,Bowling!$CS$5:$CS$31,0)</f>
        <v>#N/A</v>
      </c>
      <c r="C19" s="70" t="e">
        <f ca="1">OFFSET(Bowling!$B$4,BowlAves!B19,0)</f>
        <v>#N/A</v>
      </c>
      <c r="D19" s="134" t="e">
        <f t="array" aca="1" ref="D19:K19" ca="1">OFFSET(Bowling!$CG$4,BowlAves!B19,0,1,8)</f>
        <v>#N/A</v>
      </c>
      <c r="E19" s="74" t="e">
        <f ca="1"/>
        <v>#N/A</v>
      </c>
      <c r="F19" s="74" t="e">
        <f ca="1"/>
        <v>#N/A</v>
      </c>
      <c r="G19" s="74" t="e">
        <f ca="1"/>
        <v>#N/A</v>
      </c>
      <c r="H19" s="79" t="e">
        <f ca="1"/>
        <v>#N/A</v>
      </c>
      <c r="I19" s="135" t="e">
        <f ca="1"/>
        <v>#N/A</v>
      </c>
      <c r="J19" s="135" t="e">
        <f ca="1"/>
        <v>#N/A</v>
      </c>
      <c r="K19" s="136" t="e">
        <f ca="1"/>
        <v>#N/A</v>
      </c>
      <c r="L19" s="136" t="e">
        <f t="shared" ca="1" si="0"/>
        <v>#N/A</v>
      </c>
      <c r="M19" s="136" t="e">
        <f t="shared" ca="1" si="1"/>
        <v>#N/A</v>
      </c>
      <c r="N19" s="70" t="e">
        <f t="shared" ca="1" si="2"/>
        <v>#N/A</v>
      </c>
      <c r="P19" s="106">
        <v>17</v>
      </c>
      <c r="Q19" s="153" t="e">
        <f t="array" aca="1" ref="Q19:Y19" ca="1">OFFSET($C$2,MATCH(P19,$M$2:$M$51,0)-1,0,1,9)</f>
        <v>#N/A</v>
      </c>
      <c r="R19" s="140" t="e">
        <f ca="1"/>
        <v>#N/A</v>
      </c>
      <c r="S19" s="149" t="e">
        <f ca="1"/>
        <v>#N/A</v>
      </c>
      <c r="T19" s="140" t="e">
        <f ca="1"/>
        <v>#N/A</v>
      </c>
      <c r="U19" s="140" t="e">
        <f ca="1"/>
        <v>#N/A</v>
      </c>
      <c r="V19" s="142" t="e">
        <f ca="1"/>
        <v>#N/A</v>
      </c>
      <c r="W19" s="145" t="e">
        <f ca="1"/>
        <v>#N/A</v>
      </c>
      <c r="X19" s="145" t="e">
        <f ca="1"/>
        <v>#N/A</v>
      </c>
      <c r="Y19" s="145" t="e">
        <f ca="1"/>
        <v>#N/A</v>
      </c>
      <c r="Z19" s="49" t="e">
        <f t="shared" ca="1" si="3"/>
        <v>#N/A</v>
      </c>
      <c r="AB19" s="70" t="s">
        <v>48</v>
      </c>
      <c r="AC19" s="70">
        <v>5</v>
      </c>
      <c r="AD19" s="70">
        <v>0</v>
      </c>
      <c r="AE19" s="70">
        <v>19</v>
      </c>
      <c r="AF19" s="70">
        <v>2</v>
      </c>
      <c r="AG19" s="70">
        <v>9.5</v>
      </c>
      <c r="AH19" s="70">
        <v>15</v>
      </c>
      <c r="AI19" s="70">
        <v>3.8</v>
      </c>
      <c r="AJ19" s="70" t="s">
        <v>745</v>
      </c>
      <c r="AK19" s="70">
        <v>0</v>
      </c>
    </row>
    <row r="20" spans="1:37" ht="12.75" x14ac:dyDescent="0.2">
      <c r="A20" s="70">
        <v>19</v>
      </c>
      <c r="B20" s="70" t="e">
        <f ca="1">MATCH(A20,Bowling!$CS$5:$CS$31,0)</f>
        <v>#N/A</v>
      </c>
      <c r="C20" s="70" t="e">
        <f ca="1">OFFSET(Bowling!$B$4,BowlAves!B20,0)</f>
        <v>#N/A</v>
      </c>
      <c r="D20" s="134" t="e">
        <f t="array" aca="1" ref="D20:K20" ca="1">OFFSET(Bowling!$CG$4,BowlAves!B20,0,1,8)</f>
        <v>#N/A</v>
      </c>
      <c r="E20" s="74" t="e">
        <f ca="1"/>
        <v>#N/A</v>
      </c>
      <c r="F20" s="74" t="e">
        <f ca="1"/>
        <v>#N/A</v>
      </c>
      <c r="G20" s="74" t="e">
        <f ca="1"/>
        <v>#N/A</v>
      </c>
      <c r="H20" s="79" t="e">
        <f ca="1"/>
        <v>#N/A</v>
      </c>
      <c r="I20" s="135" t="e">
        <f ca="1"/>
        <v>#N/A</v>
      </c>
      <c r="J20" s="135" t="e">
        <f ca="1"/>
        <v>#N/A</v>
      </c>
      <c r="K20" s="136" t="e">
        <f ca="1"/>
        <v>#N/A</v>
      </c>
      <c r="L20" s="136" t="e">
        <f t="shared" ca="1" si="0"/>
        <v>#N/A</v>
      </c>
      <c r="M20" s="136" t="e">
        <f t="shared" ca="1" si="1"/>
        <v>#N/A</v>
      </c>
      <c r="N20" s="70" t="e">
        <f t="shared" ca="1" si="2"/>
        <v>#N/A</v>
      </c>
      <c r="P20" s="106">
        <v>18</v>
      </c>
      <c r="Q20" s="153" t="e">
        <f t="array" aca="1" ref="Q20:Y20" ca="1">OFFSET($C$2,MATCH(P20,$M$2:$M$51,0)-1,0,1,9)</f>
        <v>#N/A</v>
      </c>
      <c r="R20" s="140" t="e">
        <f ca="1"/>
        <v>#N/A</v>
      </c>
      <c r="S20" s="149" t="e">
        <f ca="1"/>
        <v>#N/A</v>
      </c>
      <c r="T20" s="140" t="e">
        <f ca="1"/>
        <v>#N/A</v>
      </c>
      <c r="U20" s="140" t="e">
        <f ca="1"/>
        <v>#N/A</v>
      </c>
      <c r="V20" s="142" t="e">
        <f ca="1"/>
        <v>#N/A</v>
      </c>
      <c r="W20" s="145" t="e">
        <f ca="1"/>
        <v>#N/A</v>
      </c>
      <c r="X20" s="145" t="e">
        <f ca="1"/>
        <v>#N/A</v>
      </c>
      <c r="Y20" s="145" t="e">
        <f ca="1"/>
        <v>#N/A</v>
      </c>
      <c r="Z20" s="49" t="e">
        <f t="shared" ca="1" si="3"/>
        <v>#N/A</v>
      </c>
      <c r="AB20" s="70" t="s">
        <v>408</v>
      </c>
      <c r="AC20" s="70">
        <v>5</v>
      </c>
      <c r="AD20" s="70">
        <v>0</v>
      </c>
      <c r="AE20" s="70">
        <v>24</v>
      </c>
      <c r="AF20" s="70">
        <v>2</v>
      </c>
      <c r="AG20" s="70">
        <v>12</v>
      </c>
      <c r="AH20" s="70">
        <v>15</v>
      </c>
      <c r="AI20" s="70">
        <v>4.8</v>
      </c>
      <c r="AJ20" s="70" t="s">
        <v>750</v>
      </c>
      <c r="AK20" s="70">
        <v>0</v>
      </c>
    </row>
    <row r="21" spans="1:37" ht="12.75" x14ac:dyDescent="0.2">
      <c r="A21" s="70">
        <v>20</v>
      </c>
      <c r="B21" s="70" t="e">
        <f ca="1">MATCH(A21,Bowling!$CS$5:$CS$31,0)</f>
        <v>#N/A</v>
      </c>
      <c r="C21" s="70" t="e">
        <f ca="1">OFFSET(Bowling!$B$4,BowlAves!B21,0)</f>
        <v>#N/A</v>
      </c>
      <c r="D21" s="134" t="e">
        <f t="array" aca="1" ref="D21:K21" ca="1">OFFSET(Bowling!$CG$4,BowlAves!B21,0,1,8)</f>
        <v>#N/A</v>
      </c>
      <c r="E21" s="74" t="e">
        <f ca="1"/>
        <v>#N/A</v>
      </c>
      <c r="F21" s="74" t="e">
        <f ca="1"/>
        <v>#N/A</v>
      </c>
      <c r="G21" s="74" t="e">
        <f ca="1"/>
        <v>#N/A</v>
      </c>
      <c r="H21" s="79" t="e">
        <f ca="1"/>
        <v>#N/A</v>
      </c>
      <c r="I21" s="135" t="e">
        <f ca="1"/>
        <v>#N/A</v>
      </c>
      <c r="J21" s="135" t="e">
        <f ca="1"/>
        <v>#N/A</v>
      </c>
      <c r="K21" s="136" t="e">
        <f ca="1"/>
        <v>#N/A</v>
      </c>
      <c r="L21" s="136" t="e">
        <f t="shared" ca="1" si="0"/>
        <v>#N/A</v>
      </c>
      <c r="M21" s="136" t="e">
        <f t="shared" ca="1" si="1"/>
        <v>#N/A</v>
      </c>
      <c r="N21" s="70" t="e">
        <f t="shared" ca="1" si="2"/>
        <v>#N/A</v>
      </c>
      <c r="P21" s="106">
        <v>19</v>
      </c>
      <c r="Q21" s="153" t="e">
        <f t="array" aca="1" ref="Q21:Y21" ca="1">OFFSET($C$2,MATCH(P21,$M$2:$M$51,0)-1,0,1,9)</f>
        <v>#N/A</v>
      </c>
      <c r="R21" s="140" t="e">
        <f ca="1"/>
        <v>#N/A</v>
      </c>
      <c r="S21" s="149" t="e">
        <f ca="1"/>
        <v>#N/A</v>
      </c>
      <c r="T21" s="140" t="e">
        <f ca="1"/>
        <v>#N/A</v>
      </c>
      <c r="U21" s="140" t="e">
        <f ca="1"/>
        <v>#N/A</v>
      </c>
      <c r="V21" s="142" t="e">
        <f ca="1"/>
        <v>#N/A</v>
      </c>
      <c r="W21" s="145" t="e">
        <f ca="1"/>
        <v>#N/A</v>
      </c>
      <c r="X21" s="145" t="e">
        <f ca="1"/>
        <v>#N/A</v>
      </c>
      <c r="Y21" s="145" t="e">
        <f ca="1"/>
        <v>#N/A</v>
      </c>
      <c r="Z21" s="49" t="e">
        <f t="shared" ca="1" si="3"/>
        <v>#N/A</v>
      </c>
      <c r="AB21" s="70" t="s">
        <v>690</v>
      </c>
      <c r="AC21" s="70">
        <v>5</v>
      </c>
      <c r="AD21" s="70">
        <v>0</v>
      </c>
      <c r="AE21" s="70">
        <v>41</v>
      </c>
      <c r="AF21" s="70">
        <v>2</v>
      </c>
      <c r="AG21" s="70">
        <v>20.5</v>
      </c>
      <c r="AH21" s="70">
        <v>15</v>
      </c>
      <c r="AI21" s="70">
        <v>8.1999999999999993</v>
      </c>
      <c r="AJ21" s="70" t="s">
        <v>753</v>
      </c>
      <c r="AK21" s="70">
        <v>0</v>
      </c>
    </row>
    <row r="22" spans="1:37" ht="12.75" x14ac:dyDescent="0.2">
      <c r="A22" s="70">
        <v>21</v>
      </c>
      <c r="B22" s="70" t="e">
        <f ca="1">MATCH(A22,Bowling!$CS$5:$CS$31,0)</f>
        <v>#N/A</v>
      </c>
      <c r="C22" s="70" t="e">
        <f ca="1">OFFSET(Bowling!$B$4,BowlAves!B22,0)</f>
        <v>#N/A</v>
      </c>
      <c r="D22" s="134" t="e">
        <f t="array" aca="1" ref="D22:K22" ca="1">OFFSET(Bowling!$CG$4,BowlAves!B22,0,1,8)</f>
        <v>#N/A</v>
      </c>
      <c r="E22" s="74" t="e">
        <f ca="1"/>
        <v>#N/A</v>
      </c>
      <c r="F22" s="74" t="e">
        <f ca="1"/>
        <v>#N/A</v>
      </c>
      <c r="G22" s="74" t="e">
        <f ca="1"/>
        <v>#N/A</v>
      </c>
      <c r="H22" s="79" t="e">
        <f ca="1"/>
        <v>#N/A</v>
      </c>
      <c r="I22" s="135" t="e">
        <f ca="1"/>
        <v>#N/A</v>
      </c>
      <c r="J22" s="135" t="e">
        <f ca="1"/>
        <v>#N/A</v>
      </c>
      <c r="K22" s="136" t="e">
        <f ca="1"/>
        <v>#N/A</v>
      </c>
      <c r="L22" s="136" t="e">
        <f t="shared" ca="1" si="0"/>
        <v>#N/A</v>
      </c>
      <c r="M22" s="136" t="e">
        <f t="shared" ca="1" si="1"/>
        <v>#N/A</v>
      </c>
      <c r="N22" s="70" t="e">
        <f t="shared" ca="1" si="2"/>
        <v>#N/A</v>
      </c>
      <c r="P22" s="106">
        <v>20</v>
      </c>
      <c r="Q22" s="153" t="e">
        <f t="array" aca="1" ref="Q22:Y22" ca="1">OFFSET($C$2,MATCH(P22,$M$2:$M$51,0)-1,0,1,9)</f>
        <v>#N/A</v>
      </c>
      <c r="R22" s="140" t="e">
        <f ca="1"/>
        <v>#N/A</v>
      </c>
      <c r="S22" s="149" t="e">
        <f ca="1"/>
        <v>#N/A</v>
      </c>
      <c r="T22" s="140" t="e">
        <f ca="1"/>
        <v>#N/A</v>
      </c>
      <c r="U22" s="140" t="e">
        <f ca="1"/>
        <v>#N/A</v>
      </c>
      <c r="V22" s="142" t="e">
        <f ca="1"/>
        <v>#N/A</v>
      </c>
      <c r="W22" s="145" t="e">
        <f ca="1"/>
        <v>#N/A</v>
      </c>
      <c r="X22" s="145" t="e">
        <f ca="1"/>
        <v>#N/A</v>
      </c>
      <c r="Y22" s="145" t="e">
        <f ca="1"/>
        <v>#N/A</v>
      </c>
      <c r="Z22" s="49" t="e">
        <f t="shared" ca="1" si="3"/>
        <v>#N/A</v>
      </c>
      <c r="AB22" s="70" t="s">
        <v>414</v>
      </c>
      <c r="AC22" s="70">
        <v>3</v>
      </c>
      <c r="AD22" s="70">
        <v>0</v>
      </c>
      <c r="AE22" s="70">
        <v>16</v>
      </c>
      <c r="AF22" s="70">
        <v>0</v>
      </c>
      <c r="AG22" s="70" t="s">
        <v>224</v>
      </c>
      <c r="AH22" s="70" t="s">
        <v>224</v>
      </c>
      <c r="AI22" s="70">
        <v>5.333333333333333</v>
      </c>
      <c r="AJ22" s="70" t="s">
        <v>760</v>
      </c>
      <c r="AK22" s="70">
        <v>0</v>
      </c>
    </row>
    <row r="23" spans="1:37" ht="12.75" x14ac:dyDescent="0.2">
      <c r="A23" s="70">
        <v>22</v>
      </c>
      <c r="B23" s="70" t="e">
        <f ca="1">MATCH(A23,Bowling!$CS$5:$CS$31,0)</f>
        <v>#N/A</v>
      </c>
      <c r="C23" s="70" t="e">
        <f ca="1">OFFSET(Bowling!$B$4,BowlAves!B23,0)</f>
        <v>#N/A</v>
      </c>
      <c r="D23" s="134" t="e">
        <f t="array" aca="1" ref="D23:K23" ca="1">OFFSET(Bowling!$CG$4,BowlAves!B23,0,1,8)</f>
        <v>#N/A</v>
      </c>
      <c r="E23" s="74" t="e">
        <f ca="1"/>
        <v>#N/A</v>
      </c>
      <c r="F23" s="74" t="e">
        <f ca="1"/>
        <v>#N/A</v>
      </c>
      <c r="G23" s="74" t="e">
        <f ca="1"/>
        <v>#N/A</v>
      </c>
      <c r="H23" s="79" t="e">
        <f ca="1"/>
        <v>#N/A</v>
      </c>
      <c r="I23" s="135" t="e">
        <f ca="1"/>
        <v>#N/A</v>
      </c>
      <c r="J23" s="135" t="e">
        <f ca="1"/>
        <v>#N/A</v>
      </c>
      <c r="K23" s="136" t="e">
        <f ca="1"/>
        <v>#N/A</v>
      </c>
      <c r="L23" s="136" t="e">
        <f t="shared" ca="1" si="0"/>
        <v>#N/A</v>
      </c>
      <c r="M23" s="136" t="e">
        <f t="shared" ca="1" si="1"/>
        <v>#N/A</v>
      </c>
      <c r="N23" s="70" t="e">
        <f t="shared" ca="1" si="2"/>
        <v>#N/A</v>
      </c>
      <c r="P23" s="106">
        <v>21</v>
      </c>
      <c r="Q23" s="153" t="e">
        <f t="array" aca="1" ref="Q23:Y23" ca="1">OFFSET($C$2,MATCH(P23,$M$2:$M$51,0)-1,0,1,9)</f>
        <v>#N/A</v>
      </c>
      <c r="R23" s="140" t="e">
        <f ca="1"/>
        <v>#N/A</v>
      </c>
      <c r="S23" s="149" t="e">
        <f ca="1"/>
        <v>#N/A</v>
      </c>
      <c r="T23" s="140" t="e">
        <f ca="1"/>
        <v>#N/A</v>
      </c>
      <c r="U23" s="140" t="e">
        <f ca="1"/>
        <v>#N/A</v>
      </c>
      <c r="V23" s="142" t="e">
        <f ca="1"/>
        <v>#N/A</v>
      </c>
      <c r="W23" s="145" t="e">
        <f ca="1"/>
        <v>#N/A</v>
      </c>
      <c r="X23" s="145" t="e">
        <f ca="1"/>
        <v>#N/A</v>
      </c>
      <c r="Y23" s="145" t="e">
        <f ca="1"/>
        <v>#N/A</v>
      </c>
      <c r="Z23" s="49" t="e">
        <f t="shared" ca="1" si="3"/>
        <v>#N/A</v>
      </c>
      <c r="AB23" s="70" t="s">
        <v>552</v>
      </c>
      <c r="AC23" s="70">
        <v>3</v>
      </c>
      <c r="AD23" s="70">
        <v>0</v>
      </c>
      <c r="AE23" s="70">
        <v>26</v>
      </c>
      <c r="AF23" s="70">
        <v>0</v>
      </c>
      <c r="AG23" s="70" t="s">
        <v>224</v>
      </c>
      <c r="AH23" s="70" t="s">
        <v>224</v>
      </c>
      <c r="AI23" s="70">
        <v>8.6666666666666661</v>
      </c>
      <c r="AJ23" s="70" t="s">
        <v>761</v>
      </c>
      <c r="AK23" s="70">
        <v>0</v>
      </c>
    </row>
    <row r="24" spans="1:37" ht="12.75" x14ac:dyDescent="0.2">
      <c r="A24" s="70">
        <v>23</v>
      </c>
      <c r="B24" s="70" t="e">
        <f ca="1">MATCH(A24,Bowling!$CS$5:$CS$31,0)</f>
        <v>#N/A</v>
      </c>
      <c r="C24" s="70" t="e">
        <f ca="1">OFFSET(Bowling!$B$4,BowlAves!B24,0)</f>
        <v>#N/A</v>
      </c>
      <c r="D24" s="134" t="e">
        <f t="array" aca="1" ref="D24:K24" ca="1">OFFSET(Bowling!$CG$4,BowlAves!B24,0,1,8)</f>
        <v>#N/A</v>
      </c>
      <c r="E24" s="74" t="e">
        <f ca="1"/>
        <v>#N/A</v>
      </c>
      <c r="F24" s="74" t="e">
        <f ca="1"/>
        <v>#N/A</v>
      </c>
      <c r="G24" s="74" t="e">
        <f ca="1"/>
        <v>#N/A</v>
      </c>
      <c r="H24" s="79" t="e">
        <f ca="1"/>
        <v>#N/A</v>
      </c>
      <c r="I24" s="135" t="e">
        <f ca="1"/>
        <v>#N/A</v>
      </c>
      <c r="J24" s="135" t="e">
        <f ca="1"/>
        <v>#N/A</v>
      </c>
      <c r="K24" s="136" t="e">
        <f ca="1"/>
        <v>#N/A</v>
      </c>
      <c r="L24" s="136" t="e">
        <f t="shared" ca="1" si="0"/>
        <v>#N/A</v>
      </c>
      <c r="M24" s="136" t="e">
        <f t="shared" ca="1" si="1"/>
        <v>#N/A</v>
      </c>
      <c r="N24" s="70" t="e">
        <f t="shared" ca="1" si="2"/>
        <v>#N/A</v>
      </c>
      <c r="P24" s="106">
        <v>22</v>
      </c>
      <c r="Q24" s="153" t="e">
        <f t="array" aca="1" ref="Q24:Y24" ca="1">OFFSET($C$2,MATCH(P24,$M$2:$M$51,0)-1,0,1,9)</f>
        <v>#N/A</v>
      </c>
      <c r="R24" s="140" t="e">
        <f ca="1"/>
        <v>#N/A</v>
      </c>
      <c r="S24" s="149" t="e">
        <f ca="1"/>
        <v>#N/A</v>
      </c>
      <c r="T24" s="140" t="e">
        <f ca="1"/>
        <v>#N/A</v>
      </c>
      <c r="U24" s="140" t="e">
        <f ca="1"/>
        <v>#N/A</v>
      </c>
      <c r="V24" s="142" t="e">
        <f ca="1"/>
        <v>#N/A</v>
      </c>
      <c r="W24" s="145" t="e">
        <f ca="1"/>
        <v>#N/A</v>
      </c>
      <c r="X24" s="145" t="e">
        <f ca="1"/>
        <v>#N/A</v>
      </c>
      <c r="Y24" s="145" t="e">
        <f ca="1"/>
        <v>#N/A</v>
      </c>
      <c r="Z24" s="49" t="e">
        <f t="shared" ca="1" si="3"/>
        <v>#N/A</v>
      </c>
      <c r="AB24" s="70" t="s">
        <v>228</v>
      </c>
      <c r="AC24" s="70">
        <v>2.2999999999999998</v>
      </c>
      <c r="AD24" s="70">
        <v>0</v>
      </c>
      <c r="AE24" s="70">
        <v>19</v>
      </c>
      <c r="AF24" s="70">
        <v>1</v>
      </c>
      <c r="AG24" s="70">
        <v>19</v>
      </c>
      <c r="AH24" s="70">
        <v>15</v>
      </c>
      <c r="AI24" s="70">
        <v>7.6</v>
      </c>
      <c r="AJ24" s="70" t="s">
        <v>751</v>
      </c>
      <c r="AK24" s="70">
        <v>0</v>
      </c>
    </row>
    <row r="25" spans="1:37" ht="12.75" x14ac:dyDescent="0.2">
      <c r="A25" s="70">
        <v>24</v>
      </c>
      <c r="B25" s="70" t="e">
        <f ca="1">MATCH(A25,Bowling!$CS$5:$CS$31,0)</f>
        <v>#N/A</v>
      </c>
      <c r="C25" s="70" t="e">
        <f ca="1">OFFSET(Bowling!$B$4,BowlAves!B25,0)</f>
        <v>#N/A</v>
      </c>
      <c r="D25" s="134" t="e">
        <f t="array" aca="1" ref="D25:K25" ca="1">OFFSET(Bowling!$CG$4,BowlAves!B25,0,1,8)</f>
        <v>#N/A</v>
      </c>
      <c r="E25" s="74" t="e">
        <f ca="1"/>
        <v>#N/A</v>
      </c>
      <c r="F25" s="74" t="e">
        <f ca="1"/>
        <v>#N/A</v>
      </c>
      <c r="G25" s="74" t="e">
        <f ca="1"/>
        <v>#N/A</v>
      </c>
      <c r="H25" s="79" t="e">
        <f ca="1"/>
        <v>#N/A</v>
      </c>
      <c r="I25" s="135" t="e">
        <f ca="1"/>
        <v>#N/A</v>
      </c>
      <c r="J25" s="135" t="e">
        <f ca="1"/>
        <v>#N/A</v>
      </c>
      <c r="K25" s="136" t="e">
        <f ca="1"/>
        <v>#N/A</v>
      </c>
      <c r="L25" s="136" t="e">
        <f t="shared" ca="1" si="0"/>
        <v>#N/A</v>
      </c>
      <c r="M25" s="136" t="e">
        <f t="shared" ca="1" si="1"/>
        <v>#N/A</v>
      </c>
      <c r="N25" s="70" t="e">
        <f t="shared" ca="1" si="2"/>
        <v>#N/A</v>
      </c>
      <c r="P25" s="106">
        <v>23</v>
      </c>
      <c r="Q25" s="153" t="e">
        <f t="array" aca="1" ref="Q25:Y25" ca="1">OFFSET($C$2,MATCH(P25,$M$2:$M$51,0)-1,0,1,9)</f>
        <v>#N/A</v>
      </c>
      <c r="R25" s="140" t="e">
        <f ca="1"/>
        <v>#N/A</v>
      </c>
      <c r="S25" s="149" t="e">
        <f ca="1"/>
        <v>#N/A</v>
      </c>
      <c r="T25" s="140" t="e">
        <f ca="1"/>
        <v>#N/A</v>
      </c>
      <c r="U25" s="140" t="e">
        <f ca="1"/>
        <v>#N/A</v>
      </c>
      <c r="V25" s="142" t="e">
        <f ca="1"/>
        <v>#N/A</v>
      </c>
      <c r="W25" s="145" t="e">
        <f ca="1"/>
        <v>#N/A</v>
      </c>
      <c r="X25" s="145" t="e">
        <f ca="1"/>
        <v>#N/A</v>
      </c>
      <c r="Y25" s="145" t="e">
        <f ca="1"/>
        <v>#N/A</v>
      </c>
      <c r="Z25" s="49" t="e">
        <f t="shared" ca="1" si="3"/>
        <v>#N/A</v>
      </c>
      <c r="AB25" s="70" t="s">
        <v>204</v>
      </c>
      <c r="AC25" s="70">
        <v>0</v>
      </c>
      <c r="AD25" s="70">
        <v>0</v>
      </c>
      <c r="AE25" s="70">
        <v>0</v>
      </c>
      <c r="AF25" s="70">
        <v>0</v>
      </c>
      <c r="AG25" s="70" t="s">
        <v>224</v>
      </c>
      <c r="AH25" s="70" t="s">
        <v>224</v>
      </c>
      <c r="AI25" s="70" t="s">
        <v>224</v>
      </c>
      <c r="AJ25" s="70" t="s">
        <v>224</v>
      </c>
      <c r="AK25" s="70" t="e">
        <v>#DIV/0!</v>
      </c>
    </row>
    <row r="26" spans="1:37" x14ac:dyDescent="0.15">
      <c r="A26" s="70">
        <v>25</v>
      </c>
      <c r="B26" s="70" t="e">
        <f ca="1">MATCH(A26,Bowling!$CS$5:$CS$31,0)</f>
        <v>#N/A</v>
      </c>
      <c r="C26" s="70" t="e">
        <f ca="1">OFFSET(Bowling!$B$4,BowlAves!B26,0)</f>
        <v>#N/A</v>
      </c>
      <c r="D26" s="134" t="e">
        <f t="array" aca="1" ref="D26:K26" ca="1">OFFSET(Bowling!$CG$4,BowlAves!B26,0,1,8)</f>
        <v>#N/A</v>
      </c>
      <c r="E26" s="74" t="e">
        <f ca="1"/>
        <v>#N/A</v>
      </c>
      <c r="F26" s="74" t="e">
        <f ca="1"/>
        <v>#N/A</v>
      </c>
      <c r="G26" s="74" t="e">
        <f ca="1"/>
        <v>#N/A</v>
      </c>
      <c r="H26" s="79" t="e">
        <f ca="1"/>
        <v>#N/A</v>
      </c>
      <c r="I26" s="135" t="e">
        <f ca="1"/>
        <v>#N/A</v>
      </c>
      <c r="J26" s="135" t="e">
        <f ca="1"/>
        <v>#N/A</v>
      </c>
      <c r="K26" s="136" t="e">
        <f ca="1"/>
        <v>#N/A</v>
      </c>
      <c r="L26" s="136" t="e">
        <f t="shared" ca="1" si="0"/>
        <v>#N/A</v>
      </c>
      <c r="M26" s="136" t="e">
        <f t="shared" ca="1" si="1"/>
        <v>#N/A</v>
      </c>
      <c r="N26" s="70" t="e">
        <f t="shared" ca="1" si="2"/>
        <v>#N/A</v>
      </c>
      <c r="Q26" s="136"/>
      <c r="R26" s="136"/>
      <c r="S26" s="150"/>
      <c r="T26" s="136"/>
      <c r="U26" s="136"/>
      <c r="V26" s="147"/>
      <c r="W26" s="146"/>
      <c r="X26" s="137"/>
      <c r="Y26" s="137"/>
      <c r="Z26" s="136"/>
    </row>
    <row r="27" spans="1:37" x14ac:dyDescent="0.15">
      <c r="A27" s="70">
        <v>26</v>
      </c>
      <c r="B27" s="70" t="e">
        <f ca="1">MATCH(A27,Bowling!$CS$5:$CS$31,0)</f>
        <v>#N/A</v>
      </c>
      <c r="C27" s="70" t="e">
        <f ca="1">OFFSET(Bowling!$B$4,BowlAves!B27,0)</f>
        <v>#N/A</v>
      </c>
      <c r="D27" s="134" t="e">
        <f t="array" aca="1" ref="D27:K27" ca="1">OFFSET(Bowling!$CG$4,BowlAves!B27,0,1,8)</f>
        <v>#N/A</v>
      </c>
      <c r="E27" s="74" t="e">
        <f ca="1"/>
        <v>#N/A</v>
      </c>
      <c r="F27" s="74" t="e">
        <f ca="1"/>
        <v>#N/A</v>
      </c>
      <c r="G27" s="74" t="e">
        <f ca="1"/>
        <v>#N/A</v>
      </c>
      <c r="H27" s="79" t="e">
        <f ca="1"/>
        <v>#N/A</v>
      </c>
      <c r="I27" s="135" t="e">
        <f ca="1"/>
        <v>#N/A</v>
      </c>
      <c r="J27" s="135" t="e">
        <f ca="1"/>
        <v>#N/A</v>
      </c>
      <c r="K27" s="136" t="e">
        <f ca="1"/>
        <v>#N/A</v>
      </c>
      <c r="L27" s="136" t="e">
        <f t="shared" ca="1" si="0"/>
        <v>#N/A</v>
      </c>
      <c r="M27" s="136" t="e">
        <f t="shared" ca="1" si="1"/>
        <v>#N/A</v>
      </c>
      <c r="N27" s="70" t="e">
        <f t="shared" ca="1" si="2"/>
        <v>#N/A</v>
      </c>
      <c r="Q27" s="136"/>
      <c r="R27" s="136"/>
      <c r="S27" s="150"/>
      <c r="T27" s="136"/>
      <c r="U27" s="136"/>
      <c r="V27" s="147"/>
      <c r="W27" s="146"/>
      <c r="X27" s="137"/>
      <c r="Y27" s="137"/>
      <c r="Z27" s="136"/>
    </row>
    <row r="28" spans="1:37" x14ac:dyDescent="0.15">
      <c r="A28" s="70">
        <v>27</v>
      </c>
      <c r="B28" s="70" t="e">
        <f ca="1">MATCH(A28,Bowling!$CS$5:$CS$31,0)</f>
        <v>#N/A</v>
      </c>
      <c r="C28" s="70" t="e">
        <f ca="1">OFFSET(Bowling!$B$4,BowlAves!B28,0)</f>
        <v>#N/A</v>
      </c>
      <c r="D28" s="134" t="e">
        <f t="array" aca="1" ref="D28:K28" ca="1">OFFSET(Bowling!$CG$4,BowlAves!B28,0,1,8)</f>
        <v>#N/A</v>
      </c>
      <c r="E28" s="74" t="e">
        <f ca="1"/>
        <v>#N/A</v>
      </c>
      <c r="F28" s="74" t="e">
        <f ca="1"/>
        <v>#N/A</v>
      </c>
      <c r="G28" s="74" t="e">
        <f ca="1"/>
        <v>#N/A</v>
      </c>
      <c r="H28" s="79" t="e">
        <f ca="1"/>
        <v>#N/A</v>
      </c>
      <c r="I28" s="135" t="e">
        <f ca="1"/>
        <v>#N/A</v>
      </c>
      <c r="J28" s="135" t="e">
        <f ca="1"/>
        <v>#N/A</v>
      </c>
      <c r="K28" s="136" t="e">
        <f ca="1"/>
        <v>#N/A</v>
      </c>
      <c r="L28" s="136" t="e">
        <f t="shared" ca="1" si="0"/>
        <v>#N/A</v>
      </c>
      <c r="M28" s="136" t="e">
        <f t="shared" ca="1" si="1"/>
        <v>#N/A</v>
      </c>
      <c r="N28" s="70" t="e">
        <f t="shared" ca="1" si="2"/>
        <v>#N/A</v>
      </c>
      <c r="Q28" s="136"/>
      <c r="R28" s="136"/>
      <c r="S28" s="150"/>
      <c r="T28" s="136"/>
      <c r="U28" s="136"/>
      <c r="V28" s="147"/>
      <c r="W28" s="146"/>
      <c r="X28" s="137"/>
      <c r="Y28" s="137"/>
      <c r="Z28" s="136"/>
    </row>
    <row r="29" spans="1:37" x14ac:dyDescent="0.15">
      <c r="A29" s="70">
        <v>28</v>
      </c>
      <c r="B29" s="70" t="e">
        <f ca="1">MATCH(A29,Bowling!$CS$5:$CS$31,0)</f>
        <v>#N/A</v>
      </c>
      <c r="C29" s="70" t="e">
        <f ca="1">OFFSET(Bowling!$B$4,BowlAves!B29,0)</f>
        <v>#N/A</v>
      </c>
      <c r="D29" s="134" t="e">
        <f t="array" aca="1" ref="D29:K29" ca="1">OFFSET(Bowling!$CG$4,BowlAves!B29,0,1,8)</f>
        <v>#N/A</v>
      </c>
      <c r="E29" s="74" t="e">
        <f ca="1"/>
        <v>#N/A</v>
      </c>
      <c r="F29" s="74" t="e">
        <f ca="1"/>
        <v>#N/A</v>
      </c>
      <c r="G29" s="74" t="e">
        <f ca="1"/>
        <v>#N/A</v>
      </c>
      <c r="H29" s="79" t="e">
        <f ca="1"/>
        <v>#N/A</v>
      </c>
      <c r="I29" s="135" t="e">
        <f ca="1"/>
        <v>#N/A</v>
      </c>
      <c r="J29" s="135" t="e">
        <f ca="1"/>
        <v>#N/A</v>
      </c>
      <c r="K29" s="136" t="e">
        <f ca="1"/>
        <v>#N/A</v>
      </c>
      <c r="L29" s="136" t="e">
        <f t="shared" ca="1" si="0"/>
        <v>#N/A</v>
      </c>
      <c r="M29" s="136" t="e">
        <f t="shared" ca="1" si="1"/>
        <v>#N/A</v>
      </c>
      <c r="N29" s="70" t="e">
        <f t="shared" ca="1" si="2"/>
        <v>#N/A</v>
      </c>
      <c r="Q29" s="136"/>
      <c r="R29" s="136"/>
      <c r="S29" s="150"/>
      <c r="T29" s="136"/>
      <c r="U29" s="136"/>
      <c r="V29" s="147"/>
      <c r="W29" s="146"/>
      <c r="X29" s="137"/>
      <c r="Y29" s="137"/>
      <c r="Z29" s="136"/>
    </row>
    <row r="30" spans="1:37" x14ac:dyDescent="0.15">
      <c r="A30" s="70">
        <v>29</v>
      </c>
      <c r="B30" s="70" t="e">
        <f ca="1">MATCH(A30,Bowling!$CS$5:$CS$31,0)</f>
        <v>#N/A</v>
      </c>
      <c r="C30" s="70" t="e">
        <f ca="1">OFFSET(Bowling!$B$4,BowlAves!B30,0)</f>
        <v>#N/A</v>
      </c>
      <c r="D30" s="134" t="e">
        <f t="array" aca="1" ref="D30:K30" ca="1">OFFSET(Bowling!$CG$4,BowlAves!B30,0,1,8)</f>
        <v>#N/A</v>
      </c>
      <c r="E30" s="74" t="e">
        <f ca="1"/>
        <v>#N/A</v>
      </c>
      <c r="F30" s="74" t="e">
        <f ca="1"/>
        <v>#N/A</v>
      </c>
      <c r="G30" s="74" t="e">
        <f ca="1"/>
        <v>#N/A</v>
      </c>
      <c r="H30" s="79" t="e">
        <f ca="1"/>
        <v>#N/A</v>
      </c>
      <c r="I30" s="135" t="e">
        <f ca="1"/>
        <v>#N/A</v>
      </c>
      <c r="J30" s="135" t="e">
        <f ca="1"/>
        <v>#N/A</v>
      </c>
      <c r="K30" s="136" t="e">
        <f ca="1"/>
        <v>#N/A</v>
      </c>
      <c r="L30" s="136" t="e">
        <f t="shared" ca="1" si="0"/>
        <v>#N/A</v>
      </c>
      <c r="M30" s="136" t="e">
        <f t="shared" ca="1" si="1"/>
        <v>#N/A</v>
      </c>
      <c r="N30" s="70" t="e">
        <f t="shared" ca="1" si="2"/>
        <v>#N/A</v>
      </c>
    </row>
    <row r="31" spans="1:37" x14ac:dyDescent="0.15">
      <c r="A31" s="70">
        <v>30</v>
      </c>
      <c r="B31" s="70" t="e">
        <f ca="1">MATCH(A31,Bowling!$CS$5:$CS$31,0)</f>
        <v>#N/A</v>
      </c>
      <c r="C31" s="70" t="e">
        <f ca="1">OFFSET(Bowling!$B$4,BowlAves!B31,0)</f>
        <v>#N/A</v>
      </c>
      <c r="D31" s="134" t="e">
        <f t="array" aca="1" ref="D31:K31" ca="1">OFFSET(Bowling!$CG$4,BowlAves!B31,0,1,8)</f>
        <v>#N/A</v>
      </c>
      <c r="E31" s="74" t="e">
        <f ca="1"/>
        <v>#N/A</v>
      </c>
      <c r="F31" s="74" t="e">
        <f ca="1"/>
        <v>#N/A</v>
      </c>
      <c r="G31" s="74" t="e">
        <f ca="1"/>
        <v>#N/A</v>
      </c>
      <c r="H31" s="79" t="e">
        <f ca="1"/>
        <v>#N/A</v>
      </c>
      <c r="I31" s="135" t="e">
        <f ca="1"/>
        <v>#N/A</v>
      </c>
      <c r="J31" s="135" t="e">
        <f ca="1"/>
        <v>#N/A</v>
      </c>
      <c r="K31" s="136" t="e">
        <f ca="1"/>
        <v>#N/A</v>
      </c>
      <c r="L31" s="136" t="e">
        <f t="shared" ca="1" si="0"/>
        <v>#N/A</v>
      </c>
      <c r="M31" s="136" t="e">
        <f t="shared" ca="1" si="1"/>
        <v>#N/A</v>
      </c>
      <c r="N31" s="70" t="e">
        <f t="shared" ca="1" si="2"/>
        <v>#N/A</v>
      </c>
      <c r="W31" s="132" t="s">
        <v>224</v>
      </c>
    </row>
    <row r="32" spans="1:37" x14ac:dyDescent="0.15">
      <c r="A32" s="70">
        <v>31</v>
      </c>
      <c r="B32" s="70" t="e">
        <f ca="1">MATCH(A32,Bowling!$CS$5:$CS$31,0)</f>
        <v>#N/A</v>
      </c>
      <c r="C32" s="70" t="e">
        <f ca="1">OFFSET(Bowling!$B$4,BowlAves!B32,0)</f>
        <v>#N/A</v>
      </c>
      <c r="D32" s="134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5" t="e">
        <f ca="1"/>
        <v>#N/A</v>
      </c>
      <c r="J32" s="135" t="e">
        <f ca="1"/>
        <v>#N/A</v>
      </c>
      <c r="K32" s="136" t="e">
        <f ca="1"/>
        <v>#N/A</v>
      </c>
      <c r="L32" s="136" t="e">
        <f t="shared" ca="1" si="0"/>
        <v>#N/A</v>
      </c>
      <c r="M32" s="136" t="e">
        <f t="shared" ca="1" si="1"/>
        <v>#N/A</v>
      </c>
      <c r="N32" s="70" t="e">
        <f t="shared" ca="1" si="2"/>
        <v>#N/A</v>
      </c>
      <c r="W32" s="132" t="s">
        <v>224</v>
      </c>
    </row>
    <row r="33" spans="1:23" x14ac:dyDescent="0.15">
      <c r="A33" s="70">
        <v>32</v>
      </c>
      <c r="B33" s="70" t="e">
        <f ca="1">MATCH(A33,Bowling!$CS$5:$CS$31,0)</f>
        <v>#N/A</v>
      </c>
      <c r="C33" s="70" t="e">
        <f ca="1">OFFSET(Bowling!$B$4,BowlAves!B33,0)</f>
        <v>#N/A</v>
      </c>
      <c r="D33" s="134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5" t="e">
        <f ca="1"/>
        <v>#N/A</v>
      </c>
      <c r="J33" s="135" t="e">
        <f ca="1"/>
        <v>#N/A</v>
      </c>
      <c r="K33" s="136" t="e">
        <f ca="1"/>
        <v>#N/A</v>
      </c>
      <c r="L33" s="136" t="e">
        <f t="shared" ca="1" si="0"/>
        <v>#N/A</v>
      </c>
      <c r="M33" s="136" t="e">
        <f t="shared" ca="1" si="1"/>
        <v>#N/A</v>
      </c>
      <c r="N33" s="70" t="e">
        <f t="shared" ca="1" si="2"/>
        <v>#N/A</v>
      </c>
    </row>
    <row r="34" spans="1:23" x14ac:dyDescent="0.15">
      <c r="A34" s="70">
        <v>33</v>
      </c>
      <c r="B34" s="70" t="e">
        <f ca="1">MATCH(A34,Bowling!$CS$5:$CS$31,0)</f>
        <v>#N/A</v>
      </c>
      <c r="C34" s="70" t="e">
        <f ca="1">OFFSET(Bowling!$B$4,BowlAves!B34,0)</f>
        <v>#N/A</v>
      </c>
      <c r="D34" s="134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5" t="e">
        <f ca="1"/>
        <v>#N/A</v>
      </c>
      <c r="J34" s="135" t="e">
        <f ca="1"/>
        <v>#N/A</v>
      </c>
      <c r="K34" s="136" t="e">
        <f ca="1"/>
        <v>#N/A</v>
      </c>
      <c r="L34" s="136" t="e">
        <f t="shared" ca="1" si="0"/>
        <v>#N/A</v>
      </c>
      <c r="M34" s="136" t="e">
        <f t="shared" ca="1" si="1"/>
        <v>#N/A</v>
      </c>
      <c r="N34" s="70" t="e">
        <f t="shared" ca="1" si="2"/>
        <v>#N/A</v>
      </c>
    </row>
    <row r="35" spans="1:23" x14ac:dyDescent="0.15">
      <c r="A35" s="70">
        <v>34</v>
      </c>
      <c r="B35" s="70" t="e">
        <f ca="1">MATCH(A35,Bowling!$CS$5:$CS$31,0)</f>
        <v>#N/A</v>
      </c>
      <c r="C35" s="70" t="e">
        <f ca="1">OFFSET(Bowling!$B$4,BowlAves!B35,0)</f>
        <v>#N/A</v>
      </c>
      <c r="D35" s="134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5" t="e">
        <f ca="1"/>
        <v>#N/A</v>
      </c>
      <c r="J35" s="135" t="e">
        <f ca="1"/>
        <v>#N/A</v>
      </c>
      <c r="K35" s="136" t="e">
        <f ca="1"/>
        <v>#N/A</v>
      </c>
      <c r="L35" s="136" t="e">
        <f t="shared" ca="1" si="0"/>
        <v>#N/A</v>
      </c>
      <c r="M35" s="136" t="e">
        <f t="shared" ca="1" si="1"/>
        <v>#N/A</v>
      </c>
      <c r="N35" s="70" t="e">
        <f t="shared" ca="1" si="2"/>
        <v>#N/A</v>
      </c>
    </row>
    <row r="36" spans="1:23" x14ac:dyDescent="0.15">
      <c r="A36" s="70">
        <v>35</v>
      </c>
      <c r="B36" s="70" t="e">
        <f ca="1">MATCH(A36,Bowling!$CS$5:$CS$31,0)</f>
        <v>#N/A</v>
      </c>
      <c r="C36" s="70" t="e">
        <f ca="1">OFFSET(Bowling!$B$4,BowlAves!B36,0)</f>
        <v>#N/A</v>
      </c>
      <c r="D36" s="134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5" t="e">
        <f ca="1"/>
        <v>#N/A</v>
      </c>
      <c r="J36" s="135" t="e">
        <f ca="1"/>
        <v>#N/A</v>
      </c>
      <c r="K36" s="136" t="e">
        <f ca="1"/>
        <v>#N/A</v>
      </c>
      <c r="L36" s="136" t="e">
        <f t="shared" ca="1" si="0"/>
        <v>#N/A</v>
      </c>
      <c r="M36" s="136" t="e">
        <f t="shared" ca="1" si="1"/>
        <v>#N/A</v>
      </c>
      <c r="N36" s="70" t="e">
        <f t="shared" ca="1" si="2"/>
        <v>#N/A</v>
      </c>
    </row>
    <row r="37" spans="1:23" ht="12.75" x14ac:dyDescent="0.15">
      <c r="A37" s="70">
        <v>36</v>
      </c>
      <c r="B37" s="70" t="e">
        <f ca="1">MATCH(A37,Bowling!$CS$5:$CS$31,0)</f>
        <v>#N/A</v>
      </c>
      <c r="C37" s="70" t="e">
        <f ca="1">OFFSET(Bowling!$B$4,BowlAves!B37,0)</f>
        <v>#N/A</v>
      </c>
      <c r="D37" s="134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5" t="e">
        <f ca="1"/>
        <v>#N/A</v>
      </c>
      <c r="J37" s="135" t="e">
        <f ca="1"/>
        <v>#N/A</v>
      </c>
      <c r="K37" s="136" t="e">
        <f ca="1"/>
        <v>#N/A</v>
      </c>
      <c r="L37" s="136" t="e">
        <f t="shared" ca="1" si="0"/>
        <v>#N/A</v>
      </c>
      <c r="M37" s="136" t="e">
        <f t="shared" ca="1" si="1"/>
        <v>#N/A</v>
      </c>
      <c r="N37" s="70" t="e">
        <f t="shared" ca="1" si="2"/>
        <v>#N/A</v>
      </c>
      <c r="W37" s="106"/>
    </row>
    <row r="38" spans="1:23" ht="12.75" x14ac:dyDescent="0.15">
      <c r="A38" s="70">
        <v>37</v>
      </c>
      <c r="B38" s="70" t="e">
        <f ca="1">MATCH(A38,Bowling!$CS$5:$CS$31,0)</f>
        <v>#N/A</v>
      </c>
      <c r="C38" s="70" t="e">
        <f ca="1">OFFSET(Bowling!$B$4,BowlAves!B38,0)</f>
        <v>#N/A</v>
      </c>
      <c r="D38" s="134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5" t="e">
        <f ca="1"/>
        <v>#N/A</v>
      </c>
      <c r="J38" s="135" t="e">
        <f ca="1"/>
        <v>#N/A</v>
      </c>
      <c r="K38" s="136" t="e">
        <f ca="1"/>
        <v>#N/A</v>
      </c>
      <c r="L38" s="136" t="e">
        <f t="shared" ca="1" si="0"/>
        <v>#N/A</v>
      </c>
      <c r="M38" s="136" t="e">
        <f t="shared" ca="1" si="1"/>
        <v>#N/A</v>
      </c>
      <c r="N38" s="70" t="e">
        <f t="shared" ca="1" si="2"/>
        <v>#N/A</v>
      </c>
      <c r="W38" s="106"/>
    </row>
    <row r="39" spans="1:23" ht="12.75" x14ac:dyDescent="0.15">
      <c r="A39" s="70">
        <v>38</v>
      </c>
      <c r="B39" s="70" t="e">
        <f ca="1">MATCH(A39,Bowling!$CS$5:$CS$31,0)</f>
        <v>#N/A</v>
      </c>
      <c r="C39" s="70" t="e">
        <f ca="1">OFFSET(Bowling!$B$4,BowlAves!B39,0)</f>
        <v>#N/A</v>
      </c>
      <c r="D39" s="134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5" t="e">
        <f ca="1"/>
        <v>#N/A</v>
      </c>
      <c r="J39" s="135" t="e">
        <f ca="1"/>
        <v>#N/A</v>
      </c>
      <c r="K39" s="136" t="e">
        <f ca="1"/>
        <v>#N/A</v>
      </c>
      <c r="L39" s="136" t="e">
        <f t="shared" ca="1" si="0"/>
        <v>#N/A</v>
      </c>
      <c r="M39" s="136" t="e">
        <f t="shared" ca="1" si="1"/>
        <v>#N/A</v>
      </c>
      <c r="N39" s="70" t="e">
        <f t="shared" ca="1" si="2"/>
        <v>#N/A</v>
      </c>
      <c r="W39" s="106"/>
    </row>
    <row r="40" spans="1:23" ht="12.75" x14ac:dyDescent="0.15">
      <c r="A40" s="70">
        <v>39</v>
      </c>
      <c r="B40" s="70" t="e">
        <f ca="1">MATCH(A40,Bowling!$CS$5:$CS$31,0)</f>
        <v>#N/A</v>
      </c>
      <c r="C40" s="70" t="e">
        <f ca="1">OFFSET(Bowling!$B$4,BowlAves!B40,0)</f>
        <v>#N/A</v>
      </c>
      <c r="D40" s="134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5" t="e">
        <f ca="1"/>
        <v>#N/A</v>
      </c>
      <c r="J40" s="135" t="e">
        <f ca="1"/>
        <v>#N/A</v>
      </c>
      <c r="K40" s="136" t="e">
        <f ca="1"/>
        <v>#N/A</v>
      </c>
      <c r="L40" s="136" t="e">
        <f t="shared" ca="1" si="0"/>
        <v>#N/A</v>
      </c>
      <c r="M40" s="136" t="e">
        <f t="shared" ca="1" si="1"/>
        <v>#N/A</v>
      </c>
      <c r="N40" s="70" t="e">
        <f t="shared" ca="1" si="2"/>
        <v>#N/A</v>
      </c>
      <c r="W40" s="106"/>
    </row>
    <row r="41" spans="1:23" ht="12.75" x14ac:dyDescent="0.15">
      <c r="A41" s="70">
        <v>40</v>
      </c>
      <c r="B41" s="70" t="e">
        <f ca="1">MATCH(A41,Bowling!$CS$5:$CS$31,0)</f>
        <v>#N/A</v>
      </c>
      <c r="C41" s="70" t="e">
        <f ca="1">OFFSET(Bowling!$B$4,BowlAves!B41,0)</f>
        <v>#N/A</v>
      </c>
      <c r="D41" s="134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5" t="e">
        <f ca="1"/>
        <v>#N/A</v>
      </c>
      <c r="J41" s="135" t="e">
        <f ca="1"/>
        <v>#N/A</v>
      </c>
      <c r="K41" s="136" t="e">
        <f ca="1"/>
        <v>#N/A</v>
      </c>
      <c r="L41" s="136" t="e">
        <f t="shared" ca="1" si="0"/>
        <v>#N/A</v>
      </c>
      <c r="M41" s="136" t="e">
        <f t="shared" ca="1" si="1"/>
        <v>#N/A</v>
      </c>
      <c r="N41" s="70" t="e">
        <f t="shared" ca="1" si="2"/>
        <v>#N/A</v>
      </c>
      <c r="W41" s="106"/>
    </row>
    <row r="42" spans="1:23" ht="12.75" x14ac:dyDescent="0.15">
      <c r="A42" s="70">
        <v>41</v>
      </c>
      <c r="B42" s="70" t="e">
        <f ca="1">MATCH(A42,Bowling!$CS$5:$CS$31,0)</f>
        <v>#N/A</v>
      </c>
      <c r="C42" s="70" t="e">
        <f ca="1">OFFSET(Bowling!$B$4,BowlAves!B42,0)</f>
        <v>#N/A</v>
      </c>
      <c r="D42" s="134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5" t="e">
        <f ca="1"/>
        <v>#N/A</v>
      </c>
      <c r="J42" s="135" t="e">
        <f ca="1"/>
        <v>#N/A</v>
      </c>
      <c r="K42" s="136" t="e">
        <f ca="1"/>
        <v>#N/A</v>
      </c>
      <c r="L42" s="136" t="e">
        <f t="shared" ca="1" si="0"/>
        <v>#N/A</v>
      </c>
      <c r="M42" s="136" t="e">
        <f t="shared" ca="1" si="1"/>
        <v>#N/A</v>
      </c>
      <c r="N42" s="70" t="e">
        <f t="shared" ca="1" si="2"/>
        <v>#N/A</v>
      </c>
      <c r="W42" s="106"/>
    </row>
    <row r="43" spans="1:23" ht="12.75" x14ac:dyDescent="0.15">
      <c r="A43" s="70">
        <v>42</v>
      </c>
      <c r="B43" s="70" t="e">
        <f ca="1">MATCH(A43,Bowling!$CS$5:$CS$31,0)</f>
        <v>#N/A</v>
      </c>
      <c r="C43" s="70" t="e">
        <f ca="1">OFFSET(Bowling!$B$4,BowlAves!B43,0)</f>
        <v>#N/A</v>
      </c>
      <c r="D43" s="134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5" t="e">
        <f ca="1"/>
        <v>#N/A</v>
      </c>
      <c r="J43" s="135" t="e">
        <f ca="1"/>
        <v>#N/A</v>
      </c>
      <c r="K43" s="136" t="e">
        <f ca="1"/>
        <v>#N/A</v>
      </c>
      <c r="L43" s="136" t="e">
        <f t="shared" ca="1" si="0"/>
        <v>#N/A</v>
      </c>
      <c r="M43" s="136" t="e">
        <f t="shared" ca="1" si="1"/>
        <v>#N/A</v>
      </c>
      <c r="N43" s="70" t="e">
        <f t="shared" ca="1" si="2"/>
        <v>#N/A</v>
      </c>
      <c r="W43" s="106"/>
    </row>
    <row r="44" spans="1:23" ht="12.75" x14ac:dyDescent="0.15">
      <c r="A44" s="70">
        <v>43</v>
      </c>
      <c r="B44" s="70" t="e">
        <f ca="1">MATCH(A44,Bowling!$CS$5:$CS$31,0)</f>
        <v>#N/A</v>
      </c>
      <c r="C44" s="70" t="e">
        <f ca="1">OFFSET(Bowling!$B$4,BowlAves!B44,0)</f>
        <v>#N/A</v>
      </c>
      <c r="D44" s="134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5" t="e">
        <f ca="1"/>
        <v>#N/A</v>
      </c>
      <c r="J44" s="135" t="e">
        <f ca="1"/>
        <v>#N/A</v>
      </c>
      <c r="K44" s="136" t="e">
        <f ca="1"/>
        <v>#N/A</v>
      </c>
      <c r="L44" s="136" t="e">
        <f t="shared" ca="1" si="0"/>
        <v>#N/A</v>
      </c>
      <c r="M44" s="136" t="e">
        <f t="shared" ca="1" si="1"/>
        <v>#N/A</v>
      </c>
      <c r="N44" s="70" t="e">
        <f t="shared" ca="1" si="2"/>
        <v>#N/A</v>
      </c>
      <c r="W44" s="106"/>
    </row>
    <row r="45" spans="1:23" ht="12.75" x14ac:dyDescent="0.15">
      <c r="A45" s="70">
        <v>44</v>
      </c>
      <c r="B45" s="70" t="e">
        <f ca="1">MATCH(A45,Bowling!$CS$5:$CS$31,0)</f>
        <v>#N/A</v>
      </c>
      <c r="C45" s="70" t="e">
        <f ca="1">OFFSET(Bowling!$B$4,BowlAves!B45,0)</f>
        <v>#N/A</v>
      </c>
      <c r="D45" s="134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5" t="e">
        <f ca="1"/>
        <v>#N/A</v>
      </c>
      <c r="J45" s="135" t="e">
        <f ca="1"/>
        <v>#N/A</v>
      </c>
      <c r="K45" s="136" t="e">
        <f ca="1"/>
        <v>#N/A</v>
      </c>
      <c r="L45" s="136" t="e">
        <f t="shared" ca="1" si="0"/>
        <v>#N/A</v>
      </c>
      <c r="M45" s="136" t="e">
        <f t="shared" ca="1" si="1"/>
        <v>#N/A</v>
      </c>
      <c r="N45" s="70" t="e">
        <f t="shared" ca="1" si="2"/>
        <v>#N/A</v>
      </c>
      <c r="W45" s="106"/>
    </row>
    <row r="46" spans="1:23" ht="12.75" x14ac:dyDescent="0.15">
      <c r="A46" s="70">
        <v>45</v>
      </c>
      <c r="B46" s="70" t="e">
        <f ca="1">MATCH(A46,Bowling!$CS$5:$CS$31,0)</f>
        <v>#N/A</v>
      </c>
      <c r="C46" s="70" t="e">
        <f ca="1">OFFSET(Bowling!$B$4,BowlAves!B46,0)</f>
        <v>#N/A</v>
      </c>
      <c r="D46" s="134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5" t="e">
        <f ca="1"/>
        <v>#N/A</v>
      </c>
      <c r="J46" s="135" t="e">
        <f ca="1"/>
        <v>#N/A</v>
      </c>
      <c r="K46" s="136" t="e">
        <f ca="1"/>
        <v>#N/A</v>
      </c>
      <c r="L46" s="136" t="e">
        <f t="shared" ca="1" si="0"/>
        <v>#N/A</v>
      </c>
      <c r="M46" s="136" t="e">
        <f t="shared" ca="1" si="1"/>
        <v>#N/A</v>
      </c>
      <c r="N46" s="70" t="e">
        <f t="shared" ca="1" si="2"/>
        <v>#N/A</v>
      </c>
      <c r="W46" s="106"/>
    </row>
    <row r="47" spans="1:23" ht="12.75" x14ac:dyDescent="0.15">
      <c r="A47" s="70">
        <v>46</v>
      </c>
      <c r="B47" s="70" t="e">
        <f ca="1">MATCH(A47,Bowling!$CS$5:$CS$31,0)</f>
        <v>#N/A</v>
      </c>
      <c r="C47" s="70" t="e">
        <f ca="1">OFFSET(Bowling!$B$4,BowlAves!B47,0)</f>
        <v>#N/A</v>
      </c>
      <c r="D47" s="134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5" t="e">
        <f ca="1"/>
        <v>#N/A</v>
      </c>
      <c r="J47" s="135" t="e">
        <f ca="1"/>
        <v>#N/A</v>
      </c>
      <c r="K47" s="136" t="e">
        <f ca="1"/>
        <v>#N/A</v>
      </c>
      <c r="L47" s="136" t="e">
        <f t="shared" ca="1" si="0"/>
        <v>#N/A</v>
      </c>
      <c r="M47" s="136" t="e">
        <f t="shared" ca="1" si="1"/>
        <v>#N/A</v>
      </c>
      <c r="N47" s="70" t="e">
        <f t="shared" ca="1" si="2"/>
        <v>#N/A</v>
      </c>
      <c r="W47" s="106"/>
    </row>
    <row r="48" spans="1:23" ht="12.75" x14ac:dyDescent="0.15">
      <c r="A48" s="70">
        <v>47</v>
      </c>
      <c r="B48" s="70" t="e">
        <f ca="1">MATCH(A48,Bowling!$CS$5:$CS$31,0)</f>
        <v>#N/A</v>
      </c>
      <c r="C48" s="70" t="e">
        <f ca="1">OFFSET(Bowling!$B$4,BowlAves!B48,0)</f>
        <v>#N/A</v>
      </c>
      <c r="D48" s="134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5" t="e">
        <f ca="1"/>
        <v>#N/A</v>
      </c>
      <c r="J48" s="135" t="e">
        <f ca="1"/>
        <v>#N/A</v>
      </c>
      <c r="K48" s="136" t="e">
        <f ca="1"/>
        <v>#N/A</v>
      </c>
      <c r="L48" s="136" t="e">
        <f t="shared" ca="1" si="0"/>
        <v>#N/A</v>
      </c>
      <c r="M48" s="136" t="e">
        <f t="shared" ca="1" si="1"/>
        <v>#N/A</v>
      </c>
      <c r="N48" s="70" t="e">
        <f t="shared" ca="1" si="2"/>
        <v>#N/A</v>
      </c>
      <c r="W48" s="106"/>
    </row>
    <row r="49" spans="1:23" ht="12.75" x14ac:dyDescent="0.15">
      <c r="A49" s="70">
        <v>48</v>
      </c>
      <c r="B49" s="70" t="e">
        <f ca="1">MATCH(A49,Bowling!$CS$5:$CS$31,0)</f>
        <v>#N/A</v>
      </c>
      <c r="C49" s="70" t="e">
        <f ca="1">OFFSET(Bowling!$B$4,BowlAves!B49,0)</f>
        <v>#N/A</v>
      </c>
      <c r="D49" s="134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5" t="e">
        <f ca="1"/>
        <v>#N/A</v>
      </c>
      <c r="J49" s="135" t="e">
        <f ca="1"/>
        <v>#N/A</v>
      </c>
      <c r="K49" s="136" t="e">
        <f ca="1"/>
        <v>#N/A</v>
      </c>
      <c r="L49" s="136" t="e">
        <f t="shared" ca="1" si="0"/>
        <v>#N/A</v>
      </c>
      <c r="M49" s="136" t="e">
        <f t="shared" ca="1" si="1"/>
        <v>#N/A</v>
      </c>
      <c r="N49" s="70" t="e">
        <f t="shared" ca="1" si="2"/>
        <v>#N/A</v>
      </c>
      <c r="W49" s="106"/>
    </row>
    <row r="50" spans="1:23" ht="12.75" x14ac:dyDescent="0.15">
      <c r="A50" s="70">
        <v>49</v>
      </c>
      <c r="B50" s="70" t="e">
        <f ca="1">MATCH(A50,Bowling!$CS$5:$CS$31,0)</f>
        <v>#N/A</v>
      </c>
      <c r="C50" s="70" t="e">
        <f ca="1">OFFSET(Bowling!$B$4,BowlAves!B50,0)</f>
        <v>#N/A</v>
      </c>
      <c r="D50" s="134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5" t="e">
        <f ca="1"/>
        <v>#N/A</v>
      </c>
      <c r="J50" s="135" t="e">
        <f ca="1"/>
        <v>#N/A</v>
      </c>
      <c r="K50" s="136" t="e">
        <f ca="1"/>
        <v>#N/A</v>
      </c>
      <c r="L50" s="136" t="e">
        <f t="shared" ca="1" si="0"/>
        <v>#N/A</v>
      </c>
      <c r="M50" s="136" t="e">
        <f t="shared" ca="1" si="1"/>
        <v>#N/A</v>
      </c>
      <c r="N50" s="70" t="e">
        <f t="shared" ca="1" si="2"/>
        <v>#N/A</v>
      </c>
      <c r="W50" s="106"/>
    </row>
    <row r="51" spans="1:23" ht="12.75" x14ac:dyDescent="0.15">
      <c r="A51" s="70">
        <v>50</v>
      </c>
      <c r="B51" s="70" t="e">
        <f ca="1">MATCH(A51,Bowling!$CS$5:$CS$31,0)</f>
        <v>#N/A</v>
      </c>
      <c r="C51" s="70" t="e">
        <f ca="1">OFFSET(Bowling!$B$4,BowlAves!B51,0)</f>
        <v>#N/A</v>
      </c>
      <c r="D51" s="134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5" t="e">
        <f ca="1"/>
        <v>#N/A</v>
      </c>
      <c r="J51" s="135" t="e">
        <f ca="1"/>
        <v>#N/A</v>
      </c>
      <c r="K51" s="136" t="e">
        <f ca="1"/>
        <v>#N/A</v>
      </c>
      <c r="L51" s="136" t="e">
        <f t="shared" ca="1" si="0"/>
        <v>#N/A</v>
      </c>
      <c r="M51" s="136" t="e">
        <f t="shared" ca="1" si="1"/>
        <v>#N/A</v>
      </c>
      <c r="N51" s="70" t="e">
        <f t="shared" ca="1" si="2"/>
        <v>#N/A</v>
      </c>
      <c r="W51" s="106"/>
    </row>
    <row r="52" spans="1:23" ht="12.75" x14ac:dyDescent="0.15">
      <c r="W52" s="106"/>
    </row>
  </sheetData>
  <sortState ref="AB3:AK25">
    <sortCondition descending="1" ref="AC3:AC2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5" customFormat="1" x14ac:dyDescent="0.15"/>
    <row r="2" spans="1:41" s="86" customFormat="1" x14ac:dyDescent="0.15"/>
    <row r="13" spans="1:41" s="6" customFormat="1" x14ac:dyDescent="0.15"/>
    <row r="14" spans="1:41" s="101" customFormat="1" x14ac:dyDescent="0.15">
      <c r="K14" s="105"/>
    </row>
    <row r="15" spans="1:41" x14ac:dyDescent="0.15">
      <c r="A15" s="84">
        <f t="array" ref="A15">SUM(IF(ISNA(A16:A26),0,A16:A26))</f>
        <v>0</v>
      </c>
      <c r="B15" s="84" t="e">
        <f t="shared" ref="B15:O15" si="0">SUM(B16:B26)</f>
        <v>#N/A</v>
      </c>
      <c r="C15" s="84" t="e">
        <f t="shared" si="0"/>
        <v>#N/A</v>
      </c>
      <c r="D15" s="84" t="e">
        <f t="shared" si="0"/>
        <v>#N/A</v>
      </c>
      <c r="E15" s="84" t="e">
        <f t="shared" si="0"/>
        <v>#N/A</v>
      </c>
      <c r="F15" s="84" t="e">
        <f t="shared" si="0"/>
        <v>#N/A</v>
      </c>
      <c r="G15" s="84" t="e">
        <f t="shared" si="0"/>
        <v>#N/A</v>
      </c>
      <c r="H15" s="84" t="e">
        <f t="shared" si="0"/>
        <v>#N/A</v>
      </c>
      <c r="I15" s="84" t="e">
        <f t="shared" si="0"/>
        <v>#N/A</v>
      </c>
      <c r="J15" s="84" t="e">
        <f t="shared" si="0"/>
        <v>#N/A</v>
      </c>
      <c r="K15" s="84" t="e">
        <f t="shared" si="0"/>
        <v>#N/A</v>
      </c>
      <c r="L15" s="84" t="e">
        <f t="shared" si="0"/>
        <v>#N/A</v>
      </c>
      <c r="M15" s="84" t="e">
        <f t="shared" si="0"/>
        <v>#N/A</v>
      </c>
      <c r="N15" s="84" t="e">
        <f t="shared" si="0"/>
        <v>#N/A</v>
      </c>
      <c r="O15" s="84" t="e">
        <f t="shared" si="0"/>
        <v>#N/A</v>
      </c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 t="e">
        <f t="shared" ref="Z15:AG15" si="1">SUM(Z16:Z26)</f>
        <v>#N/A</v>
      </c>
      <c r="AA15" s="84" t="e">
        <f t="shared" si="1"/>
        <v>#N/A</v>
      </c>
      <c r="AB15" s="84" t="e">
        <f t="shared" si="1"/>
        <v>#N/A</v>
      </c>
      <c r="AC15" s="84" t="e">
        <f t="shared" si="1"/>
        <v>#N/A</v>
      </c>
      <c r="AD15" s="84" t="e">
        <f t="shared" si="1"/>
        <v>#N/A</v>
      </c>
      <c r="AE15" s="84" t="e">
        <f t="shared" si="1"/>
        <v>#N/A</v>
      </c>
      <c r="AF15" s="84" t="e">
        <f t="shared" si="1"/>
        <v>#N/A</v>
      </c>
      <c r="AG15" s="84" t="e">
        <f t="shared" si="1"/>
        <v>#N/A</v>
      </c>
      <c r="AH15" s="84" t="e">
        <f t="shared" ref="AH15:AO15" si="2">SUM(AH16:AH26)</f>
        <v>#N/A</v>
      </c>
      <c r="AI15" s="84" t="e">
        <f t="shared" si="2"/>
        <v>#N/A</v>
      </c>
      <c r="AJ15" s="84" t="e">
        <f t="shared" si="2"/>
        <v>#N/A</v>
      </c>
      <c r="AK15" s="84" t="e">
        <f t="shared" si="2"/>
        <v>#N/A</v>
      </c>
      <c r="AL15" s="84" t="e">
        <f t="shared" si="2"/>
        <v>#N/A</v>
      </c>
      <c r="AM15" s="84" t="e">
        <f t="shared" si="2"/>
        <v>#N/A</v>
      </c>
      <c r="AN15" s="84" t="e">
        <f t="shared" si="2"/>
        <v>#N/A</v>
      </c>
      <c r="AO15" s="84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7" customFormat="1" x14ac:dyDescent="0.15">
      <c r="A28" s="88">
        <f>83-166</f>
        <v>-83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>
        <v>-51</v>
      </c>
      <c r="AG28" s="88"/>
      <c r="AH28" s="88"/>
      <c r="AI28" s="88"/>
      <c r="AJ28" s="88"/>
      <c r="AK28" s="88"/>
      <c r="AL28" s="88"/>
      <c r="AM28" s="88"/>
      <c r="AN28" s="88"/>
      <c r="AO28" s="88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1" t="s">
        <v>78</v>
      </c>
      <c r="D44" s="91" t="s">
        <v>158</v>
      </c>
      <c r="E44" s="91" t="s">
        <v>79</v>
      </c>
      <c r="F44" s="91" t="s">
        <v>80</v>
      </c>
      <c r="G44" s="89" t="s">
        <v>81</v>
      </c>
      <c r="H44" s="90">
        <f>COUNTA(1:1)</f>
        <v>0</v>
      </c>
    </row>
    <row r="45" spans="1:41" x14ac:dyDescent="0.15">
      <c r="A45" s="70" t="s">
        <v>187</v>
      </c>
      <c r="B45" t="s">
        <v>190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188</v>
      </c>
      <c r="B46" t="s">
        <v>196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 t="e">
        <f ca="1">OFFSET(FantasyPts!$C$4,E46,0)</f>
        <v>#NAME?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131</v>
      </c>
      <c r="B47" t="s">
        <v>179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 t="e">
        <f ca="1">OFFSET(FantasyPts!$C$4,E47,0)</f>
        <v>#NAME?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99</v>
      </c>
      <c r="B50" t="s">
        <v>161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 t="e">
        <f ca="1">OFFSET(FantasyPts!$C$4,E50,0)</f>
        <v>#NAME?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186</v>
      </c>
      <c r="B51" t="s">
        <v>191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 t="e">
        <f ca="1">OFFSET(FantasyPts!$C$4,E51,0)</f>
        <v>#NAME?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156</v>
      </c>
      <c r="B53" t="s">
        <v>173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 t="e">
        <f ca="1">OFFSET(FantasyPts!$C$4,E56,0)</f>
        <v>#NAME?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 t="e">
        <f ca="1">OFFSET(FantasyPts!$C$4,E59,0)</f>
        <v>#NAME?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172</v>
      </c>
      <c r="B60" t="s">
        <v>192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169</v>
      </c>
      <c r="B62" t="s">
        <v>168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 t="e">
        <f ca="1">OFFSET(FantasyPts!$C$4,E63,0)</f>
        <v>#NAME?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 t="e">
        <f ca="1">OFFSET(FantasyPts!$C$4,E65,0)</f>
        <v>#NAME?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189</v>
      </c>
      <c r="B67" t="s">
        <v>193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166</v>
      </c>
      <c r="B68" t="s">
        <v>167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 t="e">
        <f ca="1">OFFSET(FantasyPts!$C$4,E69,0)</f>
        <v>#NAME?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 t="e">
        <f ca="1">OFFSET(FantasyPts!$C$4,E71,0)</f>
        <v>#NAME?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76</v>
      </c>
      <c r="B72" t="s">
        <v>174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 t="e">
        <f ca="1">OFFSET(FantasyPts!$C$4,E74,0)</f>
        <v>#NAME?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177</v>
      </c>
      <c r="B75" t="s">
        <v>194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165</v>
      </c>
      <c r="B76" t="s">
        <v>175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176</v>
      </c>
      <c r="B77" t="s">
        <v>195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170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210</v>
      </c>
      <c r="M4" s="8" t="s">
        <v>91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MATCH(A5,Bowling!$A$5:$A$35,0)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 t="e">
        <f ca="1">RANK(L5,$L$5:$L$40)</f>
        <v>#NAME?</v>
      </c>
      <c r="N5" s="5" t="e">
        <f ca="1">MATCH(O5,$M$5:$M$55,0)</f>
        <v>#N/A</v>
      </c>
      <c r="O5" s="5">
        <v>1</v>
      </c>
      <c r="P5" s="5" t="e">
        <f t="shared" ref="P5:P31" ca="1" si="1">OFFSET($B$4,N5,0)</f>
        <v>#N/A</v>
      </c>
      <c r="Q5" s="7" t="e">
        <f t="shared" ref="Q5:Q31" ca="1" si="2">OFFSET($K$4,N5,0)</f>
        <v>#N/A</v>
      </c>
      <c r="R5" s="5" t="e">
        <f t="shared" ref="R5:R46" ca="1" si="3">OFFSET($J$4,N5,0)</f>
        <v>#N/A</v>
      </c>
    </row>
    <row r="6" spans="1:20" x14ac:dyDescent="0.2">
      <c r="A6" s="70" t="str">
        <f ca="1"/>
        <v>ADLE</v>
      </c>
      <c r="B6" t="str">
        <f ca="1"/>
        <v>Adam Lestrelle</v>
      </c>
      <c r="C6" s="9" t="e">
        <f t="shared" ca="1" si="0"/>
        <v>#NAME?</v>
      </c>
      <c r="D6" s="9" t="e">
        <f ca="1">IF(NOT(ISNA(E6)),5*OFFSET(Batting!$CE$4,E6,0,1,1),0)</f>
        <v>#NAME?</v>
      </c>
      <c r="E6" s="9">
        <f ca="1">MATCH(A6,Batting!$A$5:$A$51,0)</f>
        <v>21</v>
      </c>
      <c r="F6" s="9" t="e">
        <f ca="1">IF(NOT(ISNA(E6)),OFFSET(Batting!$B$4,E6,$C$1,1,1),0)</f>
        <v>#NAME?</v>
      </c>
      <c r="G6" s="9">
        <f ca="1">MATCH(A6,Bowling!$A$5:$A$35,0)</f>
        <v>15</v>
      </c>
      <c r="H6" s="9" t="e">
        <f ca="1">IF(NOT(ISNA(G6)),OFFSET(Bowling!$CO$4,G6,0,1,1),0)</f>
        <v>#NAME?</v>
      </c>
      <c r="I6" s="9" t="e">
        <f ca="1">IF(NOT(ISNA(E6)),OFFSET(Batting!$B$4,E6,$C$1+1,1,1),0)</f>
        <v>#NAME?</v>
      </c>
      <c r="J6" s="9">
        <f ca="1">VLOOKUP(A6,'Fantasy Teams'!$A$45:$C$87,3,FALSE)</f>
        <v>2</v>
      </c>
      <c r="K6" s="10" t="e">
        <f t="shared" ref="K6:K46" ca="1" si="4">INT(C6*1000/J6)/1000</f>
        <v>#NAME?</v>
      </c>
      <c r="L6" s="5" t="e">
        <f t="shared" ref="L6:L46" ca="1" si="5">K6+ROW(K6)/100000</f>
        <v>#NAME?</v>
      </c>
      <c r="M6" s="5" t="e">
        <f t="shared" ref="M6:M46" ca="1" si="6">RANK(L6,$L$5:$L$40)</f>
        <v>#NAME?</v>
      </c>
      <c r="N6" s="5" t="e">
        <f t="shared" ref="N6:N46" ca="1" si="7">MATCH(O6,$M$5:$M$55,0)</f>
        <v>#N/A</v>
      </c>
      <c r="O6" s="5">
        <f>O5+1</f>
        <v>2</v>
      </c>
      <c r="P6" s="5" t="e">
        <f t="shared" ca="1" si="1"/>
        <v>#N/A</v>
      </c>
      <c r="Q6" s="7" t="e">
        <f t="shared" ca="1" si="2"/>
        <v>#N/A</v>
      </c>
      <c r="R6" s="5" t="e">
        <f t="shared" ca="1" si="3"/>
        <v>#N/A</v>
      </c>
    </row>
    <row r="7" spans="1:20" x14ac:dyDescent="0.2">
      <c r="A7" s="70" t="str">
        <f ca="1"/>
        <v>AICO</v>
      </c>
      <c r="B7" t="str">
        <f ca="1"/>
        <v>Aiden Coloe</v>
      </c>
      <c r="C7" s="9" t="e">
        <f t="shared" ca="1" si="0"/>
        <v>#NAME?</v>
      </c>
      <c r="D7" s="9" t="e">
        <f ca="1">IF(NOT(ISNA(E7)),5*OFFSET(Batting!$CE$4,E7,0,1,1),0)</f>
        <v>#NAME?</v>
      </c>
      <c r="E7" s="9">
        <f ca="1">MATCH(A7,Batting!$A$5:$A$51,0)</f>
        <v>5</v>
      </c>
      <c r="F7" s="9" t="e">
        <f ca="1">IF(NOT(ISNA(E7)),OFFSET(Batting!$B$4,E7,$C$1,1,1),0)</f>
        <v>#NAME?</v>
      </c>
      <c r="G7" s="9">
        <f ca="1">MATCH(A7,Bowling!$A$5:$A$35,0)</f>
        <v>4</v>
      </c>
      <c r="H7" s="9" t="e">
        <f ca="1">IF(NOT(ISNA(G7)),OFFSET(Bowling!$CO$4,G7,0,1,1),0)</f>
        <v>#NAME?</v>
      </c>
      <c r="I7" s="9" t="e">
        <f ca="1">IF(NOT(ISNA(E7)),OFFSET(Batting!$B$4,E7,$C$1+1,1,1),0)</f>
        <v>#NAME?</v>
      </c>
      <c r="J7" s="9">
        <f ca="1">VLOOKUP(A7,'Fantasy Teams'!$A$45:$C$87,3,FALSE)</f>
        <v>3</v>
      </c>
      <c r="K7" s="10" t="e">
        <f t="shared" ca="1" si="4"/>
        <v>#NAME?</v>
      </c>
      <c r="L7" s="5" t="e">
        <f t="shared" ca="1" si="5"/>
        <v>#NAME?</v>
      </c>
      <c r="M7" s="5" t="e">
        <f t="shared" ca="1" si="6"/>
        <v>#NAME?</v>
      </c>
      <c r="N7" s="5" t="e">
        <f t="shared" ca="1" si="7"/>
        <v>#N/A</v>
      </c>
      <c r="O7" s="5">
        <f t="shared" ref="O7:O46" si="8">O6+1</f>
        <v>3</v>
      </c>
      <c r="P7" s="5" t="e">
        <f t="shared" ca="1" si="1"/>
        <v>#N/A</v>
      </c>
      <c r="Q7" s="7" t="e">
        <f t="shared" ca="1" si="2"/>
        <v>#N/A</v>
      </c>
      <c r="R7" s="5" t="e">
        <f t="shared" ca="1" si="3"/>
        <v>#N/A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MATCH(A8,Bowling!$A$5:$A$35,0)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 t="e">
        <f t="shared" ca="1" si="6"/>
        <v>#NAME?</v>
      </c>
      <c r="N8" s="5" t="e">
        <f t="shared" ca="1" si="7"/>
        <v>#N/A</v>
      </c>
      <c r="O8" s="5">
        <f t="shared" si="8"/>
        <v>4</v>
      </c>
      <c r="P8" s="5" t="e">
        <f t="shared" ca="1" si="1"/>
        <v>#N/A</v>
      </c>
      <c r="Q8" s="7" t="e">
        <f t="shared" ca="1" si="2"/>
        <v>#N/A</v>
      </c>
      <c r="R8" s="5" t="e">
        <f t="shared" ca="1" si="3"/>
        <v>#N/A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MATCH(A9,Bowling!$A$5:$A$35,0)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 t="e">
        <f t="shared" ca="1" si="6"/>
        <v>#NAME?</v>
      </c>
      <c r="N9" s="5" t="e">
        <f t="shared" ca="1" si="7"/>
        <v>#N/A</v>
      </c>
      <c r="O9" s="5">
        <f t="shared" si="8"/>
        <v>5</v>
      </c>
      <c r="P9" s="5" t="e">
        <f t="shared" ca="1" si="1"/>
        <v>#N/A</v>
      </c>
      <c r="Q9" s="7" t="e">
        <f t="shared" ca="1" si="2"/>
        <v>#N/A</v>
      </c>
      <c r="R9" s="5" t="e">
        <f t="shared" ca="1" si="3"/>
        <v>#N/A</v>
      </c>
    </row>
    <row r="10" spans="1:20" x14ac:dyDescent="0.2">
      <c r="A10" s="70" t="str">
        <f ca="1"/>
        <v>CHCL</v>
      </c>
      <c r="B10" t="str">
        <f ca="1"/>
        <v>Chris Clark</v>
      </c>
      <c r="C10" s="9" t="e">
        <f t="shared" ca="1" si="0"/>
        <v>#NAME?</v>
      </c>
      <c r="D10" s="9" t="e">
        <f ca="1">IF(NOT(ISNA(E10)),5*OFFSET(Batting!$CE$4,E10,0,1,1),0)</f>
        <v>#NAME?</v>
      </c>
      <c r="E10" s="9">
        <f ca="1">MATCH(A10,Batting!$A$5:$A$51,0)</f>
        <v>3</v>
      </c>
      <c r="F10" s="9" t="e">
        <f ca="1">IF(NOT(ISNA(E10)),OFFSET(Batting!$B$4,E10,$C$1,1,1),0)</f>
        <v>#NAME?</v>
      </c>
      <c r="G10" s="9">
        <f ca="1">MATCH(A10,Bowling!$A$5:$A$35,0)</f>
        <v>2</v>
      </c>
      <c r="H10" s="9" t="e">
        <f ca="1">IF(NOT(ISNA(G10)),OFFSET(Bowling!$CO$4,G10,0,1,1),0)</f>
        <v>#NAME?</v>
      </c>
      <c r="I10" s="9" t="e">
        <f ca="1">IF(NOT(ISNA(E10)),OFFSET(Batting!$B$4,E10,$C$1+1,1,1),0)</f>
        <v>#NAME?</v>
      </c>
      <c r="J10" s="9">
        <f ca="1">VLOOKUP(A10,'Fantasy Teams'!$A$45:$C$87,3,FALSE)</f>
        <v>6</v>
      </c>
      <c r="K10" s="10" t="e">
        <f t="shared" ca="1" si="4"/>
        <v>#NAME?</v>
      </c>
      <c r="L10" s="5" t="e">
        <f t="shared" ca="1" si="5"/>
        <v>#NAME?</v>
      </c>
      <c r="M10" s="5" t="e">
        <f t="shared" ca="1" si="6"/>
        <v>#NAME?</v>
      </c>
      <c r="N10" s="5" t="e">
        <f t="shared" ca="1" si="7"/>
        <v>#N/A</v>
      </c>
      <c r="O10" s="5">
        <f t="shared" si="8"/>
        <v>6</v>
      </c>
      <c r="P10" s="5" t="e">
        <f t="shared" ca="1" si="1"/>
        <v>#N/A</v>
      </c>
      <c r="Q10" s="7" t="e">
        <f t="shared" ca="1" si="2"/>
        <v>#N/A</v>
      </c>
      <c r="R10" s="5" t="e">
        <f t="shared" ca="1" si="3"/>
        <v>#N/A</v>
      </c>
    </row>
    <row r="11" spans="1:20" x14ac:dyDescent="0.2">
      <c r="A11" s="70" t="str">
        <f ca="1"/>
        <v>CLED</v>
      </c>
      <c r="B11" t="str">
        <f ca="1"/>
        <v>Clive Edghill</v>
      </c>
      <c r="C11" s="9" t="e">
        <f t="shared" ca="1" si="0"/>
        <v>#NAME?</v>
      </c>
      <c r="D11" s="9" t="e">
        <f ca="1">IF(NOT(ISNA(E11)),5*OFFSET(Batting!$CE$4,E11,0,1,1),0)</f>
        <v>#NAME?</v>
      </c>
      <c r="E11" s="9">
        <f ca="1">MATCH(A11,Batting!$A$5:$A$51,0)</f>
        <v>11</v>
      </c>
      <c r="F11" s="9" t="e">
        <f ca="1">IF(NOT(ISNA(E11)),OFFSET(Batting!$B$4,E11,$C$1,1,1),0)</f>
        <v>#NAME?</v>
      </c>
      <c r="G11" s="9" t="e">
        <f ca="1">MATCH(A11,Bowling!$A$5:$A$35,0)</f>
        <v>#N/A</v>
      </c>
      <c r="H11" s="9">
        <f ca="1">IF(NOT(ISNA(G11)),OFFSET(Bowling!$CO$4,G11,0,1,1),0)</f>
        <v>0</v>
      </c>
      <c r="I11" s="9" t="e">
        <f ca="1">IF(NOT(ISNA(E11)),OFFSET(Batting!$B$4,E11,$C$1+1,1,1),0)</f>
        <v>#NAME?</v>
      </c>
      <c r="J11" s="9">
        <f ca="1">VLOOKUP(A11,'Fantasy Teams'!$A$45:$C$87,3,FALSE)</f>
        <v>2</v>
      </c>
      <c r="K11" s="10" t="e">
        <f t="shared" ca="1" si="4"/>
        <v>#NAME?</v>
      </c>
      <c r="L11" s="5" t="e">
        <f t="shared" ca="1" si="5"/>
        <v>#NAME?</v>
      </c>
      <c r="M11" s="5" t="e">
        <f t="shared" ca="1" si="6"/>
        <v>#NAME?</v>
      </c>
      <c r="N11" s="5" t="e">
        <f t="shared" ca="1" si="7"/>
        <v>#N/A</v>
      </c>
      <c r="O11" s="5">
        <f t="shared" si="8"/>
        <v>7</v>
      </c>
      <c r="P11" s="5" t="e">
        <f t="shared" ca="1" si="1"/>
        <v>#N/A</v>
      </c>
      <c r="Q11" s="7" t="e">
        <f t="shared" ca="1" si="2"/>
        <v>#N/A</v>
      </c>
      <c r="R11" s="5" t="e">
        <f t="shared" ca="1" si="3"/>
        <v>#N/A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MATCH(A12,Bowling!$A$5:$A$35,0)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 t="e">
        <f t="shared" ca="1" si="6"/>
        <v>#NAME?</v>
      </c>
      <c r="N12" s="5" t="e">
        <f t="shared" ca="1" si="7"/>
        <v>#N/A</v>
      </c>
      <c r="O12" s="5">
        <f t="shared" si="8"/>
        <v>8</v>
      </c>
      <c r="P12" s="5" t="e">
        <f t="shared" ca="1" si="1"/>
        <v>#N/A</v>
      </c>
      <c r="Q12" s="7" t="e">
        <f t="shared" ca="1" si="2"/>
        <v>#N/A</v>
      </c>
      <c r="R12" s="5" t="e">
        <f t="shared" ca="1" si="3"/>
        <v>#N/A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MATCH(A13,Bowling!$A$5:$A$35,0)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 t="e">
        <f t="shared" ca="1" si="6"/>
        <v>#NAME?</v>
      </c>
      <c r="N13" s="5" t="e">
        <f t="shared" ca="1" si="7"/>
        <v>#N/A</v>
      </c>
      <c r="O13" s="5">
        <f t="shared" si="8"/>
        <v>9</v>
      </c>
      <c r="P13" s="5" t="e">
        <f t="shared" ca="1" si="1"/>
        <v>#N/A</v>
      </c>
      <c r="Q13" s="7" t="e">
        <f t="shared" ca="1" si="2"/>
        <v>#N/A</v>
      </c>
      <c r="R13" s="5" t="e">
        <f t="shared" ca="1" si="3"/>
        <v>#N/A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MATCH(A14,Bowling!$A$5:$A$35,0)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 t="e">
        <f t="shared" ca="1" si="6"/>
        <v>#NAME?</v>
      </c>
      <c r="N14" s="5" t="e">
        <f t="shared" ca="1" si="7"/>
        <v>#N/A</v>
      </c>
      <c r="O14" s="5">
        <f t="shared" si="8"/>
        <v>10</v>
      </c>
      <c r="P14" s="5" t="e">
        <f t="shared" ca="1" si="1"/>
        <v>#N/A</v>
      </c>
      <c r="Q14" s="7" t="e">
        <f t="shared" ca="1" si="2"/>
        <v>#N/A</v>
      </c>
      <c r="R14" s="5" t="e">
        <f t="shared" ca="1" si="3"/>
        <v>#N/A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MATCH(A15,Bowling!$A$5:$A$35,0)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 t="e">
        <f t="shared" ca="1" si="6"/>
        <v>#NAME?</v>
      </c>
      <c r="N15" s="5" t="e">
        <f t="shared" ca="1" si="7"/>
        <v>#N/A</v>
      </c>
      <c r="O15" s="5">
        <f t="shared" si="8"/>
        <v>11</v>
      </c>
      <c r="P15" s="5" t="e">
        <f t="shared" ca="1" si="1"/>
        <v>#N/A</v>
      </c>
      <c r="Q15" s="7" t="e">
        <f t="shared" ca="1" si="2"/>
        <v>#N/A</v>
      </c>
      <c r="R15" s="5" t="e">
        <f t="shared" ca="1" si="3"/>
        <v>#N/A</v>
      </c>
      <c r="S15" s="5" t="e">
        <f ca="1">SUM(R5:R15)</f>
        <v>#N/A</v>
      </c>
      <c r="T15" s="107" t="e">
        <f t="array" aca="1" ref="T15" ca="1">SUM(Q5:Q15*R5:R15)</f>
        <v>#N/A</v>
      </c>
    </row>
    <row r="16" spans="1:20" x14ac:dyDescent="0.2">
      <c r="A16" s="70" t="str">
        <f ca="1"/>
        <v>DASH</v>
      </c>
      <c r="B16" t="str">
        <f ca="1"/>
        <v>David Sharpe</v>
      </c>
      <c r="C16" s="9" t="e">
        <f t="shared" ca="1" si="0"/>
        <v>#NAME?</v>
      </c>
      <c r="D16" s="9" t="e">
        <f ca="1">IF(NOT(ISNA(E16)),5*OFFSET(Batting!$CE$4,E16,0,1,1),0)</f>
        <v>#NAME?</v>
      </c>
      <c r="E16" s="9">
        <f ca="1">MATCH(A16,Batting!$A$5:$A$51,0)</f>
        <v>29</v>
      </c>
      <c r="F16" s="9" t="e">
        <f ca="1">IF(NOT(ISNA(E16)),OFFSET(Batting!$B$4,E16,$C$1,1,1),0)</f>
        <v>#NAME?</v>
      </c>
      <c r="G16" s="9">
        <f ca="1">MATCH(A16,Bowling!$A$5:$A$35,0)</f>
        <v>22</v>
      </c>
      <c r="H16" s="9" t="e">
        <f ca="1">IF(NOT(ISNA(G16)),OFFSET(Bowling!$CO$4,G16,0,1,1),0)</f>
        <v>#NAME?</v>
      </c>
      <c r="I16" s="9" t="e">
        <f ca="1">IF(NOT(ISNA(E16)),OFFSET(Batting!$B$4,E16,$C$1+1,1,1),0)</f>
        <v>#NAME?</v>
      </c>
      <c r="J16" s="9">
        <f ca="1">VLOOKUP(A16,'Fantasy Teams'!$A$45:$C$87,3,FALSE)</f>
        <v>3</v>
      </c>
      <c r="K16" s="10" t="e">
        <f t="shared" ca="1" si="4"/>
        <v>#NAME?</v>
      </c>
      <c r="L16" s="5" t="e">
        <f t="shared" ca="1" si="5"/>
        <v>#NAME?</v>
      </c>
      <c r="M16" s="5" t="e">
        <f t="shared" ca="1" si="6"/>
        <v>#NAME?</v>
      </c>
      <c r="N16" s="5" t="e">
        <f t="shared" ca="1" si="7"/>
        <v>#N/A</v>
      </c>
      <c r="O16" s="5">
        <f t="shared" si="8"/>
        <v>12</v>
      </c>
      <c r="P16" s="5" t="e">
        <f t="shared" ca="1" si="1"/>
        <v>#N/A</v>
      </c>
      <c r="Q16" s="7" t="e">
        <f t="shared" ca="1" si="2"/>
        <v>#N/A</v>
      </c>
      <c r="R16" s="5" t="e">
        <f t="shared" ca="1" si="3"/>
        <v>#N/A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MATCH(A17,Bowling!$A$5:$A$35,0)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 t="e">
        <f t="shared" ca="1" si="6"/>
        <v>#NAME?</v>
      </c>
      <c r="N17" s="5" t="e">
        <f t="shared" ca="1" si="7"/>
        <v>#N/A</v>
      </c>
      <c r="O17" s="5">
        <f t="shared" si="8"/>
        <v>13</v>
      </c>
      <c r="P17" s="5" t="e">
        <f t="shared" ca="1" si="1"/>
        <v>#N/A</v>
      </c>
      <c r="Q17" s="7" t="e">
        <f t="shared" ca="1" si="2"/>
        <v>#N/A</v>
      </c>
      <c r="R17" s="5" t="e">
        <f t="shared" ca="1" si="3"/>
        <v>#N/A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MATCH(A18,Bowling!$A$5:$A$35,0)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 t="e">
        <f t="shared" ca="1" si="6"/>
        <v>#NAME?</v>
      </c>
      <c r="N18" s="5" t="e">
        <f t="shared" ca="1" si="7"/>
        <v>#N/A</v>
      </c>
      <c r="O18" s="5">
        <f t="shared" si="8"/>
        <v>14</v>
      </c>
      <c r="P18" s="5" t="e">
        <f t="shared" ca="1" si="1"/>
        <v>#N/A</v>
      </c>
      <c r="Q18" s="7" t="e">
        <f t="shared" ca="1" si="2"/>
        <v>#N/A</v>
      </c>
      <c r="R18" s="5" t="e">
        <f t="shared" ca="1" si="3"/>
        <v>#N/A</v>
      </c>
    </row>
    <row r="19" spans="1:18" x14ac:dyDescent="0.2">
      <c r="A19" s="70" t="str">
        <f ca="1"/>
        <v>GECO</v>
      </c>
      <c r="B19" t="str">
        <f ca="1"/>
        <v>Geoff Cooper</v>
      </c>
      <c r="C19" s="9" t="e">
        <f t="shared" ca="1" si="9"/>
        <v>#NAME?</v>
      </c>
      <c r="D19" s="9" t="e">
        <f ca="1">IF(NOT(ISNA(E19)),5*OFFSET(Batting!$CE$4,E19,0,1,1),0)</f>
        <v>#NAME?</v>
      </c>
      <c r="E19" s="9">
        <f ca="1">MATCH(A19,Batting!$A$5:$A$51,0)</f>
        <v>6</v>
      </c>
      <c r="F19" s="9" t="e">
        <f ca="1">IF(NOT(ISNA(E19)),OFFSET(Batting!$B$4,E19,$C$1,1,1),0)</f>
        <v>#NAME?</v>
      </c>
      <c r="G19" s="9">
        <f ca="1">MATCH(A19,Bowling!$A$5:$A$35,0)</f>
        <v>5</v>
      </c>
      <c r="H19" s="9" t="e">
        <f ca="1">IF(NOT(ISNA(G19)),OFFSET(Bowling!$CO$4,G19,0,1,1),0)</f>
        <v>#NAME?</v>
      </c>
      <c r="I19" s="9" t="e">
        <f ca="1">IF(NOT(ISNA(E19)),OFFSET(Batting!$B$4,E19,$C$1+1,1,1),0)</f>
        <v>#NAME?</v>
      </c>
      <c r="J19" s="9">
        <f ca="1">VLOOKUP(A19,'Fantasy Teams'!$A$45:$C$87,3,FALSE)</f>
        <v>6</v>
      </c>
      <c r="K19" s="10" t="e">
        <f t="shared" ca="1" si="4"/>
        <v>#NAME?</v>
      </c>
      <c r="L19" s="5" t="e">
        <f t="shared" ca="1" si="5"/>
        <v>#NAME?</v>
      </c>
      <c r="M19" s="5" t="e">
        <f t="shared" ca="1" si="6"/>
        <v>#NAME?</v>
      </c>
      <c r="N19" s="5" t="e">
        <f t="shared" ca="1" si="7"/>
        <v>#N/A</v>
      </c>
      <c r="O19" s="5">
        <f t="shared" si="8"/>
        <v>15</v>
      </c>
      <c r="P19" s="5" t="e">
        <f t="shared" ca="1" si="1"/>
        <v>#N/A</v>
      </c>
      <c r="Q19" s="7" t="e">
        <f t="shared" ca="1" si="2"/>
        <v>#N/A</v>
      </c>
      <c r="R19" s="5" t="e">
        <f t="shared" ca="1" si="3"/>
        <v>#N/A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MATCH(A20,Bowling!$A$5:$A$35,0)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 t="e">
        <f t="shared" ca="1" si="6"/>
        <v>#NAME?</v>
      </c>
      <c r="N20" s="5" t="e">
        <f t="shared" ca="1" si="7"/>
        <v>#N/A</v>
      </c>
      <c r="O20" s="5">
        <f t="shared" si="8"/>
        <v>16</v>
      </c>
      <c r="P20" s="5" t="e">
        <f t="shared" ca="1" si="1"/>
        <v>#N/A</v>
      </c>
      <c r="Q20" s="7" t="e">
        <f t="shared" ca="1" si="2"/>
        <v>#N/A</v>
      </c>
      <c r="R20" s="5" t="e">
        <f t="shared" ca="1" si="3"/>
        <v>#N/A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MATCH(A21,Bowling!$A$5:$A$35,0)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 t="e">
        <f t="shared" ca="1" si="6"/>
        <v>#NAME?</v>
      </c>
      <c r="N21" s="5" t="e">
        <f t="shared" ca="1" si="7"/>
        <v>#N/A</v>
      </c>
      <c r="O21" s="5">
        <f t="shared" si="8"/>
        <v>17</v>
      </c>
      <c r="P21" s="5" t="e">
        <f t="shared" ca="1" si="1"/>
        <v>#N/A</v>
      </c>
      <c r="Q21" s="7" t="e">
        <f t="shared" ca="1" si="2"/>
        <v>#N/A</v>
      </c>
      <c r="R21" s="5" t="e">
        <f t="shared" ca="1" si="3"/>
        <v>#N/A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MATCH(A22,Bowling!$A$5:$A$35,0)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 t="e">
        <f t="shared" ca="1" si="6"/>
        <v>#NAME?</v>
      </c>
      <c r="N22" s="5" t="e">
        <f t="shared" ca="1" si="7"/>
        <v>#N/A</v>
      </c>
      <c r="O22" s="5">
        <f t="shared" si="8"/>
        <v>18</v>
      </c>
      <c r="P22" s="5" t="e">
        <f t="shared" ca="1" si="1"/>
        <v>#N/A</v>
      </c>
      <c r="Q22" s="7" t="e">
        <f t="shared" ca="1" si="2"/>
        <v>#N/A</v>
      </c>
      <c r="R22" s="5" t="e">
        <f t="shared" ca="1" si="3"/>
        <v>#N/A</v>
      </c>
    </row>
    <row r="23" spans="1:18" x14ac:dyDescent="0.2">
      <c r="A23" s="70" t="str">
        <f ca="1"/>
        <v>JELE</v>
      </c>
      <c r="B23" t="str">
        <f ca="1"/>
        <v>Jeff Lestrelle</v>
      </c>
      <c r="C23" s="9" t="e">
        <f t="shared" ca="1" si="9"/>
        <v>#NAME?</v>
      </c>
      <c r="D23" s="9" t="e">
        <f ca="1">IF(NOT(ISNA(E23)),5*OFFSET(Batting!$CE$4,E23,0,1,1),0)</f>
        <v>#NAME?</v>
      </c>
      <c r="E23" s="9">
        <f ca="1">MATCH(A23,Batting!$A$5:$A$51,0)</f>
        <v>22</v>
      </c>
      <c r="F23" s="9" t="e">
        <f ca="1">IF(NOT(ISNA(E23)),OFFSET(Batting!$B$4,E23,$C$1,1,1),0)</f>
        <v>#NAME?</v>
      </c>
      <c r="G23" s="9">
        <f ca="1">MATCH(A23,Bowling!$A$5:$A$35,0)</f>
        <v>16</v>
      </c>
      <c r="H23" s="9" t="e">
        <f ca="1">IF(NOT(ISNA(G23)),OFFSET(Bowling!$CO$4,G23,0,1,1),0)</f>
        <v>#NAME?</v>
      </c>
      <c r="I23" s="9" t="e">
        <f ca="1">IF(NOT(ISNA(E23)),OFFSET(Batting!$B$4,E23,$C$1+1,1,1),0)</f>
        <v>#NAME?</v>
      </c>
      <c r="J23" s="9">
        <f ca="1">VLOOKUP(A23,'Fantasy Teams'!$A$45:$C$87,3,FALSE)</f>
        <v>4</v>
      </c>
      <c r="K23" s="10" t="e">
        <f t="shared" ca="1" si="4"/>
        <v>#NAME?</v>
      </c>
      <c r="L23" s="5" t="e">
        <f t="shared" ca="1" si="5"/>
        <v>#NAME?</v>
      </c>
      <c r="M23" s="5" t="e">
        <f t="shared" ca="1" si="6"/>
        <v>#NAME?</v>
      </c>
      <c r="N23" s="5" t="e">
        <f t="shared" ca="1" si="7"/>
        <v>#N/A</v>
      </c>
      <c r="O23" s="5">
        <f t="shared" si="8"/>
        <v>19</v>
      </c>
      <c r="P23" s="5" t="e">
        <f t="shared" ca="1" si="1"/>
        <v>#N/A</v>
      </c>
      <c r="Q23" s="7" t="e">
        <f t="shared" ca="1" si="2"/>
        <v>#N/A</v>
      </c>
      <c r="R23" s="5" t="e">
        <f t="shared" ca="1" si="3"/>
        <v>#N/A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MATCH(A24,Bowling!$A$5:$A$35,0)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 t="e">
        <f t="shared" ca="1" si="6"/>
        <v>#NAME?</v>
      </c>
      <c r="N24" s="5" t="e">
        <f t="shared" ca="1" si="7"/>
        <v>#N/A</v>
      </c>
      <c r="O24" s="5">
        <f t="shared" si="8"/>
        <v>20</v>
      </c>
      <c r="P24" s="5" t="e">
        <f t="shared" ca="1" si="1"/>
        <v>#N/A</v>
      </c>
      <c r="Q24" s="7" t="e">
        <f t="shared" ca="1" si="2"/>
        <v>#N/A</v>
      </c>
      <c r="R24" s="5" t="e">
        <f t="shared" ca="1" si="3"/>
        <v>#N/A</v>
      </c>
    </row>
    <row r="25" spans="1:18" x14ac:dyDescent="0.2">
      <c r="A25" s="70" t="str">
        <f ca="1"/>
        <v>JOLE</v>
      </c>
      <c r="B25" t="str">
        <f ca="1"/>
        <v>John Leadley</v>
      </c>
      <c r="C25" s="9" t="e">
        <f t="shared" ca="1" si="9"/>
        <v>#NAME?</v>
      </c>
      <c r="D25" s="9" t="e">
        <f ca="1">IF(NOT(ISNA(E25)),5*OFFSET(Batting!$CE$4,E25,0,1,1),0)</f>
        <v>#NAME?</v>
      </c>
      <c r="E25" s="9">
        <f ca="1">MATCH(A25,Batting!$A$5:$A$51,0)</f>
        <v>20</v>
      </c>
      <c r="F25" s="9" t="e">
        <f ca="1">IF(NOT(ISNA(E25)),OFFSET(Batting!$B$4,E25,$C$1,1,1),0)</f>
        <v>#NAME?</v>
      </c>
      <c r="G25" s="9">
        <f ca="1">MATCH(A25,Bowling!$A$5:$A$35,0)</f>
        <v>14</v>
      </c>
      <c r="H25" s="9" t="e">
        <f ca="1">IF(NOT(ISNA(G25)),OFFSET(Bowling!$CO$4,G25,0,1,1),0)</f>
        <v>#NAME?</v>
      </c>
      <c r="I25" s="9" t="e">
        <f ca="1">IF(NOT(ISNA(E25)),OFFSET(Batting!$B$4,E25,$C$1+1,1,1),0)</f>
        <v>#NAME?</v>
      </c>
      <c r="J25" s="9">
        <f ca="1">VLOOKUP(A25,'Fantasy Teams'!$A$45:$C$87,3,FALSE)</f>
        <v>11</v>
      </c>
      <c r="K25" s="10" t="e">
        <f t="shared" ca="1" si="4"/>
        <v>#NAME?</v>
      </c>
      <c r="L25" s="5" t="e">
        <f t="shared" ca="1" si="5"/>
        <v>#NAME?</v>
      </c>
      <c r="M25" s="5" t="e">
        <f t="shared" ca="1" si="6"/>
        <v>#NAME?</v>
      </c>
      <c r="N25" s="5" t="e">
        <f t="shared" ca="1" si="7"/>
        <v>#N/A</v>
      </c>
      <c r="O25" s="5">
        <f t="shared" si="8"/>
        <v>21</v>
      </c>
      <c r="P25" s="5" t="e">
        <f t="shared" ca="1" si="1"/>
        <v>#N/A</v>
      </c>
      <c r="Q25" s="7" t="e">
        <f t="shared" ca="1" si="2"/>
        <v>#N/A</v>
      </c>
      <c r="R25" s="5" t="e">
        <f t="shared" ca="1" si="3"/>
        <v>#N/A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MATCH(A26,Bowling!$A$5:$A$35,0)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 t="e">
        <f t="shared" ca="1" si="6"/>
        <v>#NAME?</v>
      </c>
      <c r="N26" s="5" t="e">
        <f t="shared" ca="1" si="7"/>
        <v>#N/A</v>
      </c>
      <c r="O26" s="5">
        <f t="shared" si="8"/>
        <v>22</v>
      </c>
      <c r="P26" s="5" t="e">
        <f t="shared" ca="1" si="1"/>
        <v>#N/A</v>
      </c>
      <c r="Q26" s="7" t="e">
        <f t="shared" ca="1" si="2"/>
        <v>#N/A</v>
      </c>
      <c r="R26" s="5" t="e">
        <f t="shared" ca="1" si="3"/>
        <v>#N/A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MATCH(A27,Bowling!$A$5:$A$35,0)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 t="e">
        <f t="shared" ca="1" si="6"/>
        <v>#NAME?</v>
      </c>
      <c r="N27" s="5" t="e">
        <f t="shared" ca="1" si="7"/>
        <v>#N/A</v>
      </c>
      <c r="O27" s="5">
        <f t="shared" si="8"/>
        <v>23</v>
      </c>
      <c r="P27" s="5" t="e">
        <f t="shared" ca="1" si="1"/>
        <v>#N/A</v>
      </c>
      <c r="Q27" s="7" t="e">
        <f t="shared" ca="1" si="2"/>
        <v>#N/A</v>
      </c>
      <c r="R27" s="5" t="e">
        <f t="shared" ca="1" si="3"/>
        <v>#N/A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MATCH(A28,Bowling!$A$5:$A$35,0)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 t="e">
        <f t="shared" ca="1" si="6"/>
        <v>#NAME?</v>
      </c>
      <c r="N28" s="5" t="e">
        <f t="shared" ca="1" si="7"/>
        <v>#N/A</v>
      </c>
      <c r="O28" s="5">
        <f t="shared" si="8"/>
        <v>24</v>
      </c>
      <c r="P28" s="5" t="e">
        <f t="shared" ca="1" si="1"/>
        <v>#N/A</v>
      </c>
      <c r="Q28" s="7" t="e">
        <f t="shared" ca="1" si="2"/>
        <v>#N/A</v>
      </c>
      <c r="R28" s="5" t="e">
        <f t="shared" ca="1" si="3"/>
        <v>#N/A</v>
      </c>
    </row>
    <row r="29" spans="1:18" x14ac:dyDescent="0.2">
      <c r="A29" s="70" t="str">
        <f ca="1"/>
        <v>MIBO</v>
      </c>
      <c r="B29" t="str">
        <f ca="1"/>
        <v>Mike Bowers</v>
      </c>
      <c r="C29" s="9" t="e">
        <f t="shared" ca="1" si="9"/>
        <v>#NAME?</v>
      </c>
      <c r="D29" s="9" t="e">
        <f ca="1">IF(NOT(ISNA(E29)),5*OFFSET(Batting!$CE$4,E29,0,1,1),0)</f>
        <v>#NAME?</v>
      </c>
      <c r="E29" s="9">
        <f ca="1">MATCH(A29,Batting!$A$5:$A$51,0)</f>
        <v>1</v>
      </c>
      <c r="F29" s="9" t="e">
        <f ca="1">IF(NOT(ISNA(E29)),OFFSET(Batting!$B$4,E29,$C$1,1,1),0)</f>
        <v>#NAME?</v>
      </c>
      <c r="G29" s="9">
        <f ca="1">MATCH(A29,Bowling!$A$5:$A$35,0)</f>
        <v>1</v>
      </c>
      <c r="H29" s="9" t="e">
        <f ca="1">IF(NOT(ISNA(G29)),OFFSET(Bowling!$CO$4,G29,0,1,1),0)</f>
        <v>#NAME?</v>
      </c>
      <c r="I29" s="9" t="e">
        <f ca="1">IF(NOT(ISNA(E29)),OFFSET(Batting!$B$4,E29,$C$1+1,1,1),0)</f>
        <v>#NAME?</v>
      </c>
      <c r="J29" s="9">
        <f ca="1">VLOOKUP(A29,'Fantasy Teams'!$A$45:$C$87,3,FALSE)</f>
        <v>3</v>
      </c>
      <c r="K29" s="10" t="e">
        <f t="shared" ca="1" si="4"/>
        <v>#NAME?</v>
      </c>
      <c r="L29" s="5" t="e">
        <f t="shared" ca="1" si="5"/>
        <v>#NAME?</v>
      </c>
      <c r="M29" s="5" t="e">
        <f t="shared" ca="1" si="6"/>
        <v>#NAME?</v>
      </c>
      <c r="N29" s="5" t="e">
        <f t="shared" ca="1" si="7"/>
        <v>#N/A</v>
      </c>
      <c r="O29" s="5">
        <f t="shared" si="8"/>
        <v>25</v>
      </c>
      <c r="P29" s="5" t="e">
        <f t="shared" ca="1" si="1"/>
        <v>#N/A</v>
      </c>
      <c r="Q29" s="7" t="e">
        <f t="shared" ca="1" si="2"/>
        <v>#N/A</v>
      </c>
      <c r="R29" s="5" t="e">
        <f t="shared" ca="1" si="3"/>
        <v>#N/A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MATCH(A30,Bowling!$A$5:$A$35,0)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 t="e">
        <f t="shared" ca="1" si="6"/>
        <v>#NAME?</v>
      </c>
      <c r="N30" s="5" t="e">
        <f t="shared" ca="1" si="7"/>
        <v>#N/A</v>
      </c>
      <c r="O30" s="5">
        <f t="shared" si="8"/>
        <v>26</v>
      </c>
      <c r="P30" s="5" t="e">
        <f t="shared" ca="1" si="1"/>
        <v>#N/A</v>
      </c>
      <c r="Q30" s="7" t="e">
        <f t="shared" ca="1" si="2"/>
        <v>#N/A</v>
      </c>
      <c r="R30" s="5" t="e">
        <f t="shared" ca="1" si="3"/>
        <v>#N/A</v>
      </c>
    </row>
    <row r="31" spans="1:18" x14ac:dyDescent="0.2">
      <c r="A31" s="70" t="str">
        <f ca="1"/>
        <v>MIWO</v>
      </c>
      <c r="B31" t="str">
        <f ca="1"/>
        <v>Mike Woodhouse</v>
      </c>
      <c r="C31" s="9" t="e">
        <f t="shared" ca="1" si="9"/>
        <v>#NAME?</v>
      </c>
      <c r="D31" s="9" t="e">
        <f ca="1">IF(NOT(ISNA(E31)),5*OFFSET(Batting!$CE$4,E31,0,1,1),0)</f>
        <v>#NAME?</v>
      </c>
      <c r="E31" s="9">
        <f ca="1">MATCH(A31,Batting!$A$5:$A$51,0)</f>
        <v>33</v>
      </c>
      <c r="F31" s="9" t="e">
        <f ca="1">IF(NOT(ISNA(E31)),OFFSET(Batting!$B$4,E31,$C$1,1,1),0)</f>
        <v>#NAME?</v>
      </c>
      <c r="G31" s="9">
        <f ca="1">MATCH(A31,Bowling!$A$5:$A$35,0)</f>
        <v>26</v>
      </c>
      <c r="H31" s="9" t="e">
        <f ca="1">IF(NOT(ISNA(G31)),OFFSET(Bowling!$CO$4,G31,0,1,1),0)</f>
        <v>#NAME?</v>
      </c>
      <c r="I31" s="9" t="e">
        <f ca="1">IF(NOT(ISNA(E31)),OFFSET(Batting!$B$4,E31,$C$1+1,1,1),0)</f>
        <v>#NAME?</v>
      </c>
      <c r="J31" s="9">
        <f ca="1">VLOOKUP(A31,'Fantasy Teams'!$A$45:$C$87,3,FALSE)</f>
        <v>5</v>
      </c>
      <c r="K31" s="10" t="e">
        <f t="shared" ca="1" si="4"/>
        <v>#NAME?</v>
      </c>
      <c r="L31" s="5" t="e">
        <f t="shared" ca="1" si="5"/>
        <v>#NAME?</v>
      </c>
      <c r="M31" s="5" t="e">
        <f t="shared" ca="1" si="6"/>
        <v>#NAME?</v>
      </c>
      <c r="N31" s="5" t="e">
        <f t="shared" ca="1" si="7"/>
        <v>#N/A</v>
      </c>
      <c r="O31" s="5">
        <f t="shared" si="8"/>
        <v>27</v>
      </c>
      <c r="P31" s="5" t="e">
        <f t="shared" ca="1" si="1"/>
        <v>#N/A</v>
      </c>
      <c r="Q31" s="7" t="e">
        <f t="shared" ca="1" si="2"/>
        <v>#N/A</v>
      </c>
      <c r="R31" s="5" t="e">
        <f t="shared" ca="1" si="3"/>
        <v>#N/A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MATCH(A32,Bowling!$A$5:$A$35,0)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 t="e">
        <f t="shared" ca="1" si="6"/>
        <v>#NAME?</v>
      </c>
      <c r="N32" s="5" t="e">
        <f t="shared" ca="1" si="7"/>
        <v>#N/A</v>
      </c>
      <c r="O32" s="5">
        <f t="shared" si="8"/>
        <v>28</v>
      </c>
      <c r="P32" s="5" t="e">
        <f t="shared" ref="P32:P46" ca="1" si="10">OFFSET($B$4,N32,0)</f>
        <v>#N/A</v>
      </c>
      <c r="Q32" s="7" t="e">
        <f t="shared" ref="Q32:Q46" ca="1" si="11">OFFSET($K$4,N32,0)</f>
        <v>#N/A</v>
      </c>
      <c r="R32" s="5" t="e">
        <f t="shared" ca="1" si="3"/>
        <v>#N/A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MATCH(A33,Bowling!$A$5:$A$35,0)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 t="e">
        <f t="shared" ca="1" si="6"/>
        <v>#NAME?</v>
      </c>
      <c r="N33" s="5" t="e">
        <f t="shared" ca="1" si="7"/>
        <v>#N/A</v>
      </c>
      <c r="O33" s="5">
        <f t="shared" si="8"/>
        <v>29</v>
      </c>
      <c r="P33" s="5" t="e">
        <f t="shared" ca="1" si="10"/>
        <v>#N/A</v>
      </c>
      <c r="Q33" s="7" t="e">
        <f t="shared" ca="1" si="11"/>
        <v>#N/A</v>
      </c>
      <c r="R33" s="5" t="e">
        <f t="shared" ca="1" si="3"/>
        <v>#N/A</v>
      </c>
    </row>
    <row r="34" spans="1:18" x14ac:dyDescent="0.2">
      <c r="A34" s="70" t="str">
        <f ca="1"/>
        <v>RIWO</v>
      </c>
      <c r="B34" t="str">
        <f ca="1"/>
        <v>Rick Worthington</v>
      </c>
      <c r="C34" s="9" t="e">
        <f t="shared" ca="1" si="12"/>
        <v>#NAME?</v>
      </c>
      <c r="D34" s="9" t="e">
        <f ca="1">IF(NOT(ISNA(E34)),5*OFFSET(Batting!$CE$4,E34,0,1,1),0)</f>
        <v>#NAME?</v>
      </c>
      <c r="E34" s="9">
        <f ca="1">MATCH(A34,Batting!$A$5:$A$51,0)</f>
        <v>34</v>
      </c>
      <c r="F34" s="9" t="e">
        <f ca="1">IF(NOT(ISNA(E34)),OFFSET(Batting!$B$4,E34,$C$1,1,1),0)</f>
        <v>#NAME?</v>
      </c>
      <c r="G34" s="9" t="e">
        <f ca="1">MATCH(A34,Bowling!$A$5:$A$35,0)</f>
        <v>#N/A</v>
      </c>
      <c r="H34" s="9">
        <f ca="1">IF(NOT(ISNA(G34)),OFFSET(Bowling!$CO$4,G34,0,1,1),0)</f>
        <v>0</v>
      </c>
      <c r="I34" s="9" t="e">
        <f ca="1">IF(NOT(ISNA(E34)),OFFSET(Batting!$B$4,E34,$C$1+1,1,1),0)</f>
        <v>#NAME?</v>
      </c>
      <c r="J34" s="9">
        <f ca="1">VLOOKUP(A34,'Fantasy Teams'!$A$45:$C$87,3,FALSE)</f>
        <v>4</v>
      </c>
      <c r="K34" s="10" t="e">
        <f t="shared" ca="1" si="4"/>
        <v>#NAME?</v>
      </c>
      <c r="L34" s="5" t="e">
        <f t="shared" ca="1" si="5"/>
        <v>#NAME?</v>
      </c>
      <c r="M34" s="5" t="e">
        <f t="shared" ca="1" si="6"/>
        <v>#NAME?</v>
      </c>
      <c r="N34" s="5" t="e">
        <f t="shared" ca="1" si="7"/>
        <v>#N/A</v>
      </c>
      <c r="O34" s="5">
        <f t="shared" si="8"/>
        <v>30</v>
      </c>
      <c r="P34" s="5" t="e">
        <f t="shared" ca="1" si="10"/>
        <v>#N/A</v>
      </c>
      <c r="Q34" s="7" t="e">
        <f t="shared" ca="1" si="11"/>
        <v>#N/A</v>
      </c>
      <c r="R34" s="5" t="e">
        <f t="shared" ca="1" si="3"/>
        <v>#N/A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MATCH(A35,Bowling!$A$5:$A$35,0)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 t="e">
        <f t="shared" ca="1" si="6"/>
        <v>#NAME?</v>
      </c>
      <c r="N35" s="5" t="e">
        <f t="shared" ca="1" si="7"/>
        <v>#N/A</v>
      </c>
      <c r="O35" s="5">
        <f t="shared" si="8"/>
        <v>31</v>
      </c>
      <c r="P35" s="5" t="e">
        <f t="shared" ca="1" si="10"/>
        <v>#N/A</v>
      </c>
      <c r="Q35" s="7" t="e">
        <f t="shared" ca="1" si="11"/>
        <v>#N/A</v>
      </c>
      <c r="R35" s="5" t="e">
        <f t="shared" ca="1" si="3"/>
        <v>#N/A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MATCH(A36,Bowling!$A$5:$A$35,0)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 t="e">
        <f t="shared" ca="1" si="6"/>
        <v>#NAME?</v>
      </c>
      <c r="N36" s="5" t="e">
        <f t="shared" ca="1" si="7"/>
        <v>#N/A</v>
      </c>
      <c r="O36" s="5">
        <f t="shared" si="8"/>
        <v>32</v>
      </c>
      <c r="P36" s="5" t="e">
        <f t="shared" ca="1" si="10"/>
        <v>#N/A</v>
      </c>
      <c r="Q36" s="7" t="e">
        <f t="shared" ca="1" si="11"/>
        <v>#N/A</v>
      </c>
      <c r="R36" s="5" t="e">
        <f t="shared" ca="1" si="3"/>
        <v>#N/A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MATCH(A37,Bowling!$A$5:$A$35,0)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 t="e">
        <f t="shared" ca="1" si="6"/>
        <v>#NAME?</v>
      </c>
      <c r="N37" s="5" t="e">
        <f t="shared" ca="1" si="7"/>
        <v>#N/A</v>
      </c>
      <c r="O37" s="5">
        <f t="shared" si="8"/>
        <v>33</v>
      </c>
      <c r="P37" s="5" t="e">
        <f t="shared" ca="1" si="10"/>
        <v>#N/A</v>
      </c>
      <c r="Q37" s="7" t="e">
        <f t="shared" ca="1" si="11"/>
        <v>#N/A</v>
      </c>
      <c r="R37" s="5" t="e">
        <f t="shared" ca="1" si="3"/>
        <v>#N/A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MATCH(A38,Bowling!$A$5:$A$35,0)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 t="e">
        <f t="shared" ca="1" si="6"/>
        <v>#NAME?</v>
      </c>
      <c r="N38" s="5" t="e">
        <f t="shared" ca="1" si="7"/>
        <v>#N/A</v>
      </c>
      <c r="O38" s="5">
        <f t="shared" si="8"/>
        <v>34</v>
      </c>
      <c r="P38" s="5" t="e">
        <f t="shared" ca="1" si="10"/>
        <v>#N/A</v>
      </c>
      <c r="Q38" s="7" t="e">
        <f t="shared" ca="1" si="11"/>
        <v>#N/A</v>
      </c>
      <c r="R38" s="5" t="e">
        <f t="shared" ca="1" si="3"/>
        <v>#N/A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MATCH(A39,Bowling!$A$5:$A$35,0)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 t="e">
        <f t="shared" ca="1" si="6"/>
        <v>#NAME?</v>
      </c>
      <c r="N39" s="5" t="e">
        <f t="shared" ca="1" si="7"/>
        <v>#N/A</v>
      </c>
      <c r="O39" s="5">
        <f t="shared" si="8"/>
        <v>35</v>
      </c>
      <c r="P39" s="5" t="e">
        <f t="shared" ca="1" si="10"/>
        <v>#N/A</v>
      </c>
      <c r="Q39" s="7" t="e">
        <f t="shared" ca="1" si="11"/>
        <v>#N/A</v>
      </c>
      <c r="R39" s="5" t="e">
        <f t="shared" ca="1" si="3"/>
        <v>#N/A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MATCH(A40,Bowling!$A$5:$A$35,0)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 t="e">
        <f t="shared" ca="1" si="6"/>
        <v>#NAME?</v>
      </c>
      <c r="N40" s="5" t="e">
        <f t="shared" ca="1" si="7"/>
        <v>#N/A</v>
      </c>
      <c r="O40" s="5">
        <f t="shared" si="8"/>
        <v>36</v>
      </c>
      <c r="P40" s="5" t="e">
        <f t="shared" ca="1" si="10"/>
        <v>#N/A</v>
      </c>
      <c r="Q40" s="7" t="e">
        <f t="shared" ca="1" si="11"/>
        <v>#N/A</v>
      </c>
      <c r="R40" s="5" t="e">
        <f t="shared" ca="1" si="3"/>
        <v>#N/A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MATCH(A41,Bowling!$A$5:$A$35,0)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MATCH(A42,Bowling!$A$5:$A$35,0)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MATCH(A43,Bowling!$A$5:$A$35,0)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MATCH(A44,Bowling!$A$5:$A$35,0)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MATCH(A45,Bowling!$A$5:$A$35,0)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MATCH(A46,Bowling!$A$5:$A$35,0)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4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8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 t="e">
        <f ca="1">FantasyPts!C6</f>
        <v>#NAME?</v>
      </c>
      <c r="C3" s="18" t="e">
        <f ca="1">FantasyPts!D6</f>
        <v>#NAME?</v>
      </c>
      <c r="D3" s="18" t="e">
        <f ca="1">FantasyPts!F6</f>
        <v>#NAME?</v>
      </c>
      <c r="E3" s="18" t="e">
        <f ca="1">FantasyPts!H6</f>
        <v>#NAME?</v>
      </c>
      <c r="F3" s="18" t="e">
        <f ca="1">FantasyPts!I6</f>
        <v>#NAME?</v>
      </c>
      <c r="G3" s="18">
        <f ca="1">FantasyPts!J6</f>
        <v>2</v>
      </c>
      <c r="H3" s="19" t="e">
        <f ca="1">FantasyPts!K6</f>
        <v>#NAME?</v>
      </c>
      <c r="I3" s="16" t="e">
        <f t="shared" ref="I3:I38" ca="1" si="0">INT(B3/100+0.5)</f>
        <v>#NAME?</v>
      </c>
      <c r="J3" s="108" t="e">
        <f t="shared" ref="J3:J42" ca="1" si="1">I3-G3</f>
        <v>#NAME?</v>
      </c>
    </row>
    <row r="4" spans="1:10" ht="12.75" customHeight="1" x14ac:dyDescent="0.3">
      <c r="A4" s="17" t="str">
        <f ca="1">FantasyPts!B7</f>
        <v>Aiden Coloe</v>
      </c>
      <c r="B4" s="18" t="e">
        <f ca="1">FantasyPts!C7</f>
        <v>#NAME?</v>
      </c>
      <c r="C4" s="18" t="e">
        <f ca="1">FantasyPts!D7</f>
        <v>#NAME?</v>
      </c>
      <c r="D4" s="18" t="e">
        <f ca="1">FantasyPts!F7</f>
        <v>#NAME?</v>
      </c>
      <c r="E4" s="18" t="e">
        <f ca="1">FantasyPts!H7</f>
        <v>#NAME?</v>
      </c>
      <c r="F4" s="18" t="e">
        <f ca="1">FantasyPts!I7</f>
        <v>#NAME?</v>
      </c>
      <c r="G4" s="18">
        <f ca="1">FantasyPts!J7</f>
        <v>3</v>
      </c>
      <c r="H4" s="19" t="e">
        <f ca="1">FantasyPts!K7</f>
        <v>#NAME?</v>
      </c>
      <c r="I4" s="16" t="e">
        <f t="shared" ca="1" si="0"/>
        <v>#NAME?</v>
      </c>
      <c r="J4" s="108" t="e">
        <f t="shared" ca="1" si="1"/>
        <v>#NAME?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8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8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 t="e">
        <f ca="1">FantasyPts!C10</f>
        <v>#NAME?</v>
      </c>
      <c r="C7" s="18" t="e">
        <f ca="1">FantasyPts!D10</f>
        <v>#NAME?</v>
      </c>
      <c r="D7" s="18" t="e">
        <f ca="1">FantasyPts!F10</f>
        <v>#NAME?</v>
      </c>
      <c r="E7" s="18" t="e">
        <f ca="1">FantasyPts!H10</f>
        <v>#NAME?</v>
      </c>
      <c r="F7" s="18" t="e">
        <f ca="1">FantasyPts!I10</f>
        <v>#NAME?</v>
      </c>
      <c r="G7" s="18">
        <f ca="1">FantasyPts!J10</f>
        <v>6</v>
      </c>
      <c r="H7" s="19" t="e">
        <f ca="1">FantasyPts!K10</f>
        <v>#NAME?</v>
      </c>
      <c r="I7" s="16" t="e">
        <f t="shared" ca="1" si="0"/>
        <v>#NAME?</v>
      </c>
      <c r="J7" s="108" t="e">
        <f t="shared" ca="1" si="1"/>
        <v>#NAME?</v>
      </c>
    </row>
    <row r="8" spans="1:10" ht="12.75" customHeight="1" x14ac:dyDescent="0.3">
      <c r="A8" s="17" t="str">
        <f ca="1">FantasyPts!B11</f>
        <v>Clive Edghill</v>
      </c>
      <c r="B8" s="18" t="e">
        <f ca="1">FantasyPts!C11</f>
        <v>#NAME?</v>
      </c>
      <c r="C8" s="18" t="e">
        <f ca="1">FantasyPts!D11</f>
        <v>#NAME?</v>
      </c>
      <c r="D8" s="18" t="e">
        <f ca="1">FantasyPts!F11</f>
        <v>#NAME?</v>
      </c>
      <c r="E8" s="18">
        <f ca="1">FantasyPts!H11</f>
        <v>0</v>
      </c>
      <c r="F8" s="18" t="e">
        <f ca="1">FantasyPts!I11</f>
        <v>#NAME?</v>
      </c>
      <c r="G8" s="18">
        <f ca="1">FantasyPts!J11</f>
        <v>2</v>
      </c>
      <c r="H8" s="19" t="e">
        <f ca="1">FantasyPts!K11</f>
        <v>#NAME?</v>
      </c>
      <c r="I8" s="16" t="e">
        <f t="shared" ca="1" si="0"/>
        <v>#NAME?</v>
      </c>
      <c r="J8" s="108" t="e">
        <f t="shared" ca="1" si="1"/>
        <v>#NAME?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8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8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8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8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 t="e">
        <f ca="1">FantasyPts!C16</f>
        <v>#NAME?</v>
      </c>
      <c r="C13" s="18" t="e">
        <f ca="1">FantasyPts!D16</f>
        <v>#NAME?</v>
      </c>
      <c r="D13" s="18" t="e">
        <f ca="1">FantasyPts!F16</f>
        <v>#NAME?</v>
      </c>
      <c r="E13" s="18" t="e">
        <f ca="1">FantasyPts!H16</f>
        <v>#NAME?</v>
      </c>
      <c r="F13" s="18" t="e">
        <f ca="1">FantasyPts!I16</f>
        <v>#NAME?</v>
      </c>
      <c r="G13" s="18">
        <f ca="1">FantasyPts!J16</f>
        <v>3</v>
      </c>
      <c r="H13" s="19" t="e">
        <f ca="1">FantasyPts!K16</f>
        <v>#NAME?</v>
      </c>
      <c r="I13" s="16" t="e">
        <f t="shared" ca="1" si="0"/>
        <v>#NAME?</v>
      </c>
      <c r="J13" s="108" t="e">
        <f t="shared" ca="1" si="1"/>
        <v>#NAME?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8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8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 t="e">
        <f ca="1">FantasyPts!C19</f>
        <v>#NAME?</v>
      </c>
      <c r="C16" s="18" t="e">
        <f ca="1">FantasyPts!D19</f>
        <v>#NAME?</v>
      </c>
      <c r="D16" s="18" t="e">
        <f ca="1">FantasyPts!F19</f>
        <v>#NAME?</v>
      </c>
      <c r="E16" s="18" t="e">
        <f ca="1">FantasyPts!H19</f>
        <v>#NAME?</v>
      </c>
      <c r="F16" s="18" t="e">
        <f ca="1">FantasyPts!I19</f>
        <v>#NAME?</v>
      </c>
      <c r="G16" s="18">
        <f ca="1">FantasyPts!J19</f>
        <v>6</v>
      </c>
      <c r="H16" s="19" t="e">
        <f ca="1">FantasyPts!K19</f>
        <v>#NAME?</v>
      </c>
      <c r="I16" s="16" t="e">
        <f t="shared" ca="1" si="0"/>
        <v>#NAME?</v>
      </c>
      <c r="J16" s="108" t="e">
        <f t="shared" ca="1" si="1"/>
        <v>#NAME?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8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8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8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 t="e">
        <f ca="1">FantasyPts!C23</f>
        <v>#NAME?</v>
      </c>
      <c r="C20" s="18" t="e">
        <f ca="1">FantasyPts!D23</f>
        <v>#NAME?</v>
      </c>
      <c r="D20" s="18" t="e">
        <f ca="1">FantasyPts!F23</f>
        <v>#NAME?</v>
      </c>
      <c r="E20" s="18" t="e">
        <f ca="1">FantasyPts!H23</f>
        <v>#NAME?</v>
      </c>
      <c r="F20" s="18" t="e">
        <f ca="1">FantasyPts!I23</f>
        <v>#NAME?</v>
      </c>
      <c r="G20" s="18">
        <f ca="1">FantasyPts!J23</f>
        <v>4</v>
      </c>
      <c r="H20" s="19" t="e">
        <f ca="1">FantasyPts!K23</f>
        <v>#NAME?</v>
      </c>
      <c r="I20" s="16" t="e">
        <f t="shared" ca="1" si="0"/>
        <v>#NAME?</v>
      </c>
      <c r="J20" s="108" t="e">
        <f t="shared" ca="1" si="1"/>
        <v>#NAME?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8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 t="e">
        <f ca="1">FantasyPts!C25</f>
        <v>#NAME?</v>
      </c>
      <c r="C22" s="18" t="e">
        <f ca="1">FantasyPts!D25</f>
        <v>#NAME?</v>
      </c>
      <c r="D22" s="18" t="e">
        <f ca="1">FantasyPts!F25</f>
        <v>#NAME?</v>
      </c>
      <c r="E22" s="18" t="e">
        <f ca="1">FantasyPts!H25</f>
        <v>#NAME?</v>
      </c>
      <c r="F22" s="18" t="e">
        <f ca="1">FantasyPts!I25</f>
        <v>#NAME?</v>
      </c>
      <c r="G22" s="18">
        <f ca="1">FantasyPts!J25</f>
        <v>11</v>
      </c>
      <c r="H22" s="19" t="e">
        <f ca="1">FantasyPts!K25</f>
        <v>#NAME?</v>
      </c>
      <c r="I22" s="16" t="e">
        <f t="shared" ca="1" si="0"/>
        <v>#NAME?</v>
      </c>
      <c r="J22" s="108" t="e">
        <f t="shared" ca="1" si="1"/>
        <v>#NAME?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8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8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8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 t="e">
        <f ca="1">FantasyPts!C29</f>
        <v>#NAME?</v>
      </c>
      <c r="C26" s="18" t="e">
        <f ca="1">FantasyPts!D29</f>
        <v>#NAME?</v>
      </c>
      <c r="D26" s="18" t="e">
        <f ca="1">FantasyPts!F29</f>
        <v>#NAME?</v>
      </c>
      <c r="E26" s="18" t="e">
        <f ca="1">FantasyPts!H29</f>
        <v>#NAME?</v>
      </c>
      <c r="F26" s="18" t="e">
        <f ca="1">FantasyPts!I29</f>
        <v>#NAME?</v>
      </c>
      <c r="G26" s="18">
        <f ca="1">FantasyPts!J29</f>
        <v>3</v>
      </c>
      <c r="H26" s="19" t="e">
        <f ca="1">FantasyPts!K29</f>
        <v>#NAME?</v>
      </c>
      <c r="I26" s="16" t="e">
        <f t="shared" ca="1" si="0"/>
        <v>#NAME?</v>
      </c>
      <c r="J26" s="108" t="e">
        <f t="shared" ca="1" si="1"/>
        <v>#NAME?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8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 t="e">
        <f ca="1">FantasyPts!C31</f>
        <v>#NAME?</v>
      </c>
      <c r="C28" s="18" t="e">
        <f ca="1">FantasyPts!D31</f>
        <v>#NAME?</v>
      </c>
      <c r="D28" s="18" t="e">
        <f ca="1">FantasyPts!F31</f>
        <v>#NAME?</v>
      </c>
      <c r="E28" s="18" t="e">
        <f ca="1">FantasyPts!H31</f>
        <v>#NAME?</v>
      </c>
      <c r="F28" s="18" t="e">
        <f ca="1">FantasyPts!I31</f>
        <v>#NAME?</v>
      </c>
      <c r="G28" s="18">
        <f ca="1">FantasyPts!J31</f>
        <v>5</v>
      </c>
      <c r="H28" s="19" t="e">
        <f ca="1">FantasyPts!K31</f>
        <v>#NAME?</v>
      </c>
      <c r="I28" s="16" t="e">
        <f t="shared" ca="1" si="0"/>
        <v>#NAME?</v>
      </c>
      <c r="J28" s="108" t="e">
        <f t="shared" ca="1" si="1"/>
        <v>#NAME?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8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8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 t="e">
        <f ca="1">FantasyPts!C34</f>
        <v>#NAME?</v>
      </c>
      <c r="C31" s="18" t="e">
        <f ca="1">FantasyPts!D34</f>
        <v>#NAME?</v>
      </c>
      <c r="D31" s="18" t="e">
        <f ca="1">FantasyPts!F34</f>
        <v>#NAME?</v>
      </c>
      <c r="E31" s="18">
        <f ca="1">FantasyPts!H34</f>
        <v>0</v>
      </c>
      <c r="F31" s="18" t="e">
        <f ca="1">FantasyPts!I34</f>
        <v>#NAME?</v>
      </c>
      <c r="G31" s="18">
        <f ca="1">FantasyPts!J34</f>
        <v>4</v>
      </c>
      <c r="H31" s="19" t="e">
        <f ca="1">FantasyPts!K34</f>
        <v>#NAME?</v>
      </c>
      <c r="I31" s="16" t="e">
        <f t="shared" ca="1" si="0"/>
        <v>#NAME?</v>
      </c>
      <c r="J31" s="108" t="e">
        <f t="shared" ca="1" si="1"/>
        <v>#NAME?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8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8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8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8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8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8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8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8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8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8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8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3" customWidth="1"/>
    <col min="2" max="2" width="18" style="82" customWidth="1"/>
    <col min="3" max="3" width="40.5703125" style="82" bestFit="1" customWidth="1"/>
    <col min="4" max="4" width="9.7109375" style="83" customWidth="1"/>
    <col min="5" max="8" width="9" style="82" customWidth="1"/>
    <col min="9" max="9" width="12.28515625" style="82" customWidth="1"/>
    <col min="10" max="10" width="9.140625" customWidth="1"/>
    <col min="11" max="15" width="5.85546875" style="82" customWidth="1"/>
    <col min="16" max="16" width="10.5703125" style="82" customWidth="1"/>
    <col min="17" max="17" width="9" style="82" customWidth="1"/>
    <col min="18" max="18" width="11.5703125" style="82" customWidth="1"/>
    <col min="19" max="16384" width="9" style="82"/>
  </cols>
  <sheetData>
    <row r="1" spans="1:27" x14ac:dyDescent="0.25">
      <c r="A1" s="81" t="s">
        <v>209</v>
      </c>
    </row>
    <row r="2" spans="1:27" x14ac:dyDescent="0.25">
      <c r="A2" s="81"/>
    </row>
    <row r="3" spans="1:27" ht="15" x14ac:dyDescent="0.3">
      <c r="A3" s="11" t="s">
        <v>202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2"/>
      <c r="D43" s="82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25"/>
  <sheetViews>
    <sheetView workbookViewId="0">
      <selection activeCell="A25" sqref="A25"/>
    </sheetView>
  </sheetViews>
  <sheetFormatPr defaultRowHeight="12.75" x14ac:dyDescent="0.15"/>
  <cols>
    <col min="1" max="1" width="4.140625" style="106" bestFit="1" customWidth="1"/>
    <col min="2" max="2" width="5" style="106" bestFit="1" customWidth="1"/>
    <col min="3" max="3" width="5.7109375" style="106" bestFit="1" customWidth="1"/>
    <col min="4" max="4" width="10.42578125" style="106" bestFit="1" customWidth="1"/>
    <col min="5" max="5" width="4" style="106" bestFit="1" customWidth="1"/>
    <col min="6" max="6" width="3.42578125" style="106" bestFit="1" customWidth="1"/>
    <col min="7" max="7" width="12.5703125" style="106" bestFit="1" customWidth="1"/>
    <col min="8" max="8" width="4" style="106" bestFit="1" customWidth="1"/>
    <col min="9" max="9" width="3.42578125" style="106" bestFit="1" customWidth="1"/>
    <col min="10" max="10" width="17.28515625" style="106" bestFit="1" customWidth="1"/>
    <col min="11" max="11" width="10.42578125" style="158" bestFit="1" customWidth="1"/>
    <col min="12" max="16" width="9.140625" style="106"/>
    <col min="17" max="17" width="13.42578125" style="106" bestFit="1" customWidth="1"/>
    <col min="18" max="18" width="14.7109375" style="106" bestFit="1" customWidth="1"/>
    <col min="19" max="16384" width="9.140625" style="106"/>
  </cols>
  <sheetData>
    <row r="1" spans="1:19" x14ac:dyDescent="0.15">
      <c r="A1" s="106" t="s">
        <v>14</v>
      </c>
      <c r="B1" s="106" t="s">
        <v>85</v>
      </c>
      <c r="C1" s="106" t="s">
        <v>495</v>
      </c>
      <c r="D1" s="106" t="s">
        <v>496</v>
      </c>
      <c r="E1" s="106" t="s">
        <v>497</v>
      </c>
      <c r="F1" s="106" t="s">
        <v>498</v>
      </c>
      <c r="G1" s="106" t="s">
        <v>499</v>
      </c>
      <c r="H1" s="106" t="s">
        <v>500</v>
      </c>
      <c r="I1" s="106" t="s">
        <v>498</v>
      </c>
      <c r="J1" s="106" t="s">
        <v>1</v>
      </c>
      <c r="K1" s="158" t="s">
        <v>0</v>
      </c>
      <c r="O1" s="106" t="s">
        <v>84</v>
      </c>
    </row>
    <row r="2" spans="1:19" x14ac:dyDescent="0.15">
      <c r="A2" s="106">
        <v>3</v>
      </c>
      <c r="B2" s="106">
        <v>146</v>
      </c>
      <c r="D2" s="106" t="s">
        <v>552</v>
      </c>
      <c r="E2" s="106">
        <v>76</v>
      </c>
      <c r="F2" s="106" t="s">
        <v>305</v>
      </c>
      <c r="G2" s="106" t="s">
        <v>254</v>
      </c>
      <c r="H2" s="106">
        <v>61</v>
      </c>
      <c r="J2" s="106" t="s">
        <v>238</v>
      </c>
      <c r="K2" s="158">
        <v>40062</v>
      </c>
      <c r="O2" s="106" t="s">
        <v>254</v>
      </c>
      <c r="Q2" s="159" t="s">
        <v>736</v>
      </c>
      <c r="R2" t="s">
        <v>740</v>
      </c>
      <c r="S2"/>
    </row>
    <row r="3" spans="1:19" x14ac:dyDescent="0.15">
      <c r="A3" s="106">
        <v>3</v>
      </c>
      <c r="B3" s="106">
        <v>101</v>
      </c>
      <c r="D3" s="106" t="s">
        <v>408</v>
      </c>
      <c r="E3" s="106">
        <v>66</v>
      </c>
      <c r="F3" s="106" t="s">
        <v>305</v>
      </c>
      <c r="G3" s="106" t="s">
        <v>151</v>
      </c>
      <c r="H3" s="106">
        <v>38</v>
      </c>
      <c r="J3" s="106" t="s">
        <v>405</v>
      </c>
      <c r="K3" s="158">
        <v>39958</v>
      </c>
      <c r="O3" s="106" t="s">
        <v>151</v>
      </c>
      <c r="Q3" s="160" t="s">
        <v>276</v>
      </c>
      <c r="R3" s="161">
        <v>2</v>
      </c>
      <c r="S3"/>
    </row>
    <row r="4" spans="1:19" x14ac:dyDescent="0.15">
      <c r="A4" s="106">
        <v>3</v>
      </c>
      <c r="B4" s="106">
        <v>89</v>
      </c>
      <c r="D4" s="106" t="s">
        <v>48</v>
      </c>
      <c r="E4" s="106">
        <v>80</v>
      </c>
      <c r="G4" s="106" t="s">
        <v>276</v>
      </c>
      <c r="H4" s="106">
        <v>21</v>
      </c>
      <c r="J4" s="106" t="s">
        <v>261</v>
      </c>
      <c r="K4" s="158">
        <v>39943</v>
      </c>
      <c r="O4" s="106" t="s">
        <v>276</v>
      </c>
      <c r="Q4" s="160" t="s">
        <v>149</v>
      </c>
      <c r="R4" s="161">
        <v>1</v>
      </c>
      <c r="S4"/>
    </row>
    <row r="5" spans="1:19" x14ac:dyDescent="0.15">
      <c r="A5" s="106">
        <v>3</v>
      </c>
      <c r="B5" s="106">
        <v>88</v>
      </c>
      <c r="C5" s="106" t="s">
        <v>305</v>
      </c>
      <c r="D5" s="106" t="s">
        <v>254</v>
      </c>
      <c r="E5" s="106">
        <v>66</v>
      </c>
      <c r="F5" s="106" t="s">
        <v>305</v>
      </c>
      <c r="G5" s="106" t="s">
        <v>149</v>
      </c>
      <c r="H5" s="106">
        <v>18</v>
      </c>
      <c r="I5" s="106" t="s">
        <v>305</v>
      </c>
      <c r="J5" s="106" t="s">
        <v>262</v>
      </c>
      <c r="K5" s="158">
        <v>39929</v>
      </c>
      <c r="O5" s="106" t="s">
        <v>149</v>
      </c>
      <c r="Q5" s="160" t="s">
        <v>408</v>
      </c>
      <c r="R5" s="161">
        <v>2</v>
      </c>
      <c r="S5"/>
    </row>
    <row r="6" spans="1:19" x14ac:dyDescent="0.15">
      <c r="A6" s="106">
        <v>2</v>
      </c>
      <c r="B6" s="106">
        <v>72</v>
      </c>
      <c r="D6" s="106" t="s">
        <v>552</v>
      </c>
      <c r="E6" s="106">
        <v>52</v>
      </c>
      <c r="G6" s="106" t="s">
        <v>153</v>
      </c>
      <c r="H6" s="106">
        <v>34</v>
      </c>
      <c r="J6" s="106" t="s">
        <v>681</v>
      </c>
      <c r="K6" s="158">
        <v>40075</v>
      </c>
      <c r="O6" s="106" t="s">
        <v>153</v>
      </c>
      <c r="Q6" s="160" t="s">
        <v>204</v>
      </c>
      <c r="R6" s="161">
        <v>1</v>
      </c>
      <c r="S6"/>
    </row>
    <row r="7" spans="1:19" x14ac:dyDescent="0.15">
      <c r="A7" s="106">
        <v>1</v>
      </c>
      <c r="B7" s="106">
        <v>66</v>
      </c>
      <c r="D7" s="106" t="s">
        <v>48</v>
      </c>
      <c r="E7" s="106">
        <v>43</v>
      </c>
      <c r="G7" s="106" t="s">
        <v>552</v>
      </c>
      <c r="H7" s="106">
        <v>52</v>
      </c>
      <c r="J7" s="106" t="s">
        <v>681</v>
      </c>
      <c r="K7" s="158">
        <v>40075</v>
      </c>
      <c r="O7" s="106" t="s">
        <v>552</v>
      </c>
      <c r="Q7" s="160" t="s">
        <v>228</v>
      </c>
      <c r="R7" s="161">
        <v>1</v>
      </c>
      <c r="S7"/>
    </row>
    <row r="8" spans="1:19" x14ac:dyDescent="0.15">
      <c r="A8" s="106">
        <v>2</v>
      </c>
      <c r="B8" s="106">
        <v>62</v>
      </c>
      <c r="D8" s="106" t="s">
        <v>408</v>
      </c>
      <c r="E8" s="106">
        <v>66</v>
      </c>
      <c r="F8" s="106" t="s">
        <v>305</v>
      </c>
      <c r="G8" s="106" t="s">
        <v>204</v>
      </c>
      <c r="H8" s="106">
        <v>30</v>
      </c>
      <c r="J8" s="106" t="s">
        <v>405</v>
      </c>
      <c r="K8" s="158">
        <v>39958</v>
      </c>
      <c r="O8" s="106" t="s">
        <v>204</v>
      </c>
      <c r="Q8" s="160" t="s">
        <v>48</v>
      </c>
      <c r="R8" s="161">
        <v>5</v>
      </c>
      <c r="S8"/>
    </row>
    <row r="9" spans="1:19" x14ac:dyDescent="0.15">
      <c r="A9" s="106">
        <v>2</v>
      </c>
      <c r="B9" s="106">
        <v>61</v>
      </c>
      <c r="D9" s="106" t="s">
        <v>48</v>
      </c>
      <c r="E9" s="106">
        <v>72</v>
      </c>
      <c r="F9" s="106" t="s">
        <v>305</v>
      </c>
      <c r="G9" s="106" t="s">
        <v>153</v>
      </c>
      <c r="H9" s="106">
        <v>9</v>
      </c>
      <c r="J9" s="106" t="s">
        <v>481</v>
      </c>
      <c r="K9" s="158">
        <v>39985</v>
      </c>
      <c r="O9" s="106" t="s">
        <v>153</v>
      </c>
      <c r="Q9" s="160" t="s">
        <v>254</v>
      </c>
      <c r="R9" s="161">
        <v>4</v>
      </c>
      <c r="S9"/>
    </row>
    <row r="10" spans="1:19" x14ac:dyDescent="0.15">
      <c r="A10" s="106">
        <v>5</v>
      </c>
      <c r="B10" s="106">
        <v>60</v>
      </c>
      <c r="D10" s="106" t="s">
        <v>48</v>
      </c>
      <c r="E10" s="106">
        <v>72</v>
      </c>
      <c r="G10" s="106" t="s">
        <v>228</v>
      </c>
      <c r="H10" s="106">
        <v>8</v>
      </c>
      <c r="J10" s="106" t="s">
        <v>264</v>
      </c>
      <c r="K10" s="158">
        <v>39936</v>
      </c>
      <c r="O10" s="106" t="s">
        <v>228</v>
      </c>
      <c r="Q10" s="160" t="s">
        <v>552</v>
      </c>
      <c r="R10" s="161">
        <v>4</v>
      </c>
      <c r="S10"/>
    </row>
    <row r="11" spans="1:19" x14ac:dyDescent="0.15">
      <c r="A11" s="106">
        <v>2</v>
      </c>
      <c r="B11" s="106">
        <v>58</v>
      </c>
      <c r="D11" s="106" t="s">
        <v>48</v>
      </c>
      <c r="E11" s="106">
        <v>32</v>
      </c>
      <c r="G11" s="106" t="s">
        <v>552</v>
      </c>
      <c r="H11" s="106">
        <v>76</v>
      </c>
      <c r="I11" s="106" t="s">
        <v>305</v>
      </c>
      <c r="J11" s="106" t="s">
        <v>238</v>
      </c>
      <c r="K11" s="158">
        <v>40062</v>
      </c>
      <c r="O11" s="106" t="s">
        <v>552</v>
      </c>
      <c r="Q11" s="160" t="s">
        <v>151</v>
      </c>
      <c r="R11" s="161">
        <v>1</v>
      </c>
      <c r="S11"/>
    </row>
    <row r="12" spans="1:19" x14ac:dyDescent="0.15">
      <c r="A12" s="106">
        <v>3</v>
      </c>
      <c r="B12" s="106">
        <v>58</v>
      </c>
      <c r="D12" s="106" t="s">
        <v>153</v>
      </c>
      <c r="E12" s="106">
        <v>36</v>
      </c>
      <c r="G12" s="106" t="s">
        <v>254</v>
      </c>
      <c r="H12" s="106">
        <v>29</v>
      </c>
      <c r="J12" s="106" t="s">
        <v>263</v>
      </c>
      <c r="K12" s="158">
        <v>40006</v>
      </c>
      <c r="O12" s="106" t="s">
        <v>254</v>
      </c>
      <c r="Q12" s="160" t="s">
        <v>153</v>
      </c>
      <c r="R12" s="161">
        <v>3</v>
      </c>
      <c r="S12"/>
    </row>
    <row r="13" spans="1:19" x14ac:dyDescent="0.15">
      <c r="A13" s="106">
        <v>5</v>
      </c>
      <c r="B13" s="106">
        <v>56</v>
      </c>
      <c r="D13" s="106" t="s">
        <v>254</v>
      </c>
      <c r="E13" s="106">
        <v>35</v>
      </c>
      <c r="G13" s="106" t="s">
        <v>276</v>
      </c>
      <c r="H13" s="106">
        <v>38</v>
      </c>
      <c r="I13" s="106" t="s">
        <v>305</v>
      </c>
      <c r="J13" s="106" t="s">
        <v>681</v>
      </c>
      <c r="K13" s="158">
        <v>40075</v>
      </c>
      <c r="O13" s="106" t="s">
        <v>276</v>
      </c>
      <c r="Q13" s="160" t="s">
        <v>737</v>
      </c>
      <c r="R13" s="161">
        <v>24</v>
      </c>
      <c r="S13"/>
    </row>
    <row r="14" spans="1:19" x14ac:dyDescent="0.15">
      <c r="G14" s="106" t="s">
        <v>552</v>
      </c>
      <c r="O14" s="106" t="s">
        <v>552</v>
      </c>
      <c r="Q14"/>
      <c r="R14"/>
      <c r="S14"/>
    </row>
    <row r="15" spans="1:19" x14ac:dyDescent="0.15">
      <c r="G15" s="106" t="s">
        <v>408</v>
      </c>
      <c r="O15" s="106" t="s">
        <v>408</v>
      </c>
      <c r="Q15"/>
      <c r="R15"/>
      <c r="S15"/>
    </row>
    <row r="16" spans="1:19" x14ac:dyDescent="0.15">
      <c r="G16" s="106" t="s">
        <v>48</v>
      </c>
      <c r="O16" s="106" t="s">
        <v>48</v>
      </c>
      <c r="Q16"/>
      <c r="R16"/>
      <c r="S16"/>
    </row>
    <row r="17" spans="7:19" x14ac:dyDescent="0.15">
      <c r="G17" s="106" t="s">
        <v>254</v>
      </c>
      <c r="O17" s="106" t="s">
        <v>254</v>
      </c>
      <c r="Q17"/>
      <c r="R17"/>
      <c r="S17"/>
    </row>
    <row r="18" spans="7:19" x14ac:dyDescent="0.15">
      <c r="G18" s="106" t="s">
        <v>552</v>
      </c>
      <c r="O18" s="106" t="s">
        <v>552</v>
      </c>
      <c r="Q18"/>
      <c r="R18"/>
      <c r="S18"/>
    </row>
    <row r="19" spans="7:19" x14ac:dyDescent="0.15">
      <c r="G19" s="106" t="s">
        <v>48</v>
      </c>
      <c r="O19" s="106" t="s">
        <v>48</v>
      </c>
      <c r="Q19"/>
      <c r="R19"/>
      <c r="S19"/>
    </row>
    <row r="20" spans="7:19" x14ac:dyDescent="0.15">
      <c r="G20" s="106" t="s">
        <v>408</v>
      </c>
      <c r="O20" s="106" t="s">
        <v>408</v>
      </c>
    </row>
    <row r="21" spans="7:19" x14ac:dyDescent="0.15">
      <c r="G21" s="106" t="s">
        <v>48</v>
      </c>
      <c r="O21" s="106" t="s">
        <v>48</v>
      </c>
    </row>
    <row r="22" spans="7:19" x14ac:dyDescent="0.15">
      <c r="G22" s="106" t="s">
        <v>48</v>
      </c>
      <c r="O22" s="106" t="s">
        <v>48</v>
      </c>
    </row>
    <row r="23" spans="7:19" x14ac:dyDescent="0.15">
      <c r="G23" s="106" t="s">
        <v>48</v>
      </c>
      <c r="O23" s="106" t="s">
        <v>48</v>
      </c>
    </row>
    <row r="24" spans="7:19" x14ac:dyDescent="0.15">
      <c r="G24" s="106" t="s">
        <v>153</v>
      </c>
      <c r="O24" s="106" t="s">
        <v>153</v>
      </c>
    </row>
    <row r="25" spans="7:19" x14ac:dyDescent="0.15">
      <c r="G25" s="106" t="s">
        <v>254</v>
      </c>
      <c r="O25" s="106" t="s">
        <v>254</v>
      </c>
    </row>
  </sheetData>
  <sortState ref="A2:K15">
    <sortCondition descending="1" ref="B2:B15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0"/>
  <sheetViews>
    <sheetView workbookViewId="0">
      <selection activeCell="C21" sqref="C21"/>
    </sheetView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243</v>
      </c>
    </row>
    <row r="2" spans="1:12" x14ac:dyDescent="0.15">
      <c r="A2">
        <v>17</v>
      </c>
      <c r="B2" t="s">
        <v>327</v>
      </c>
      <c r="C2" t="s">
        <v>328</v>
      </c>
      <c r="D2" t="s">
        <v>329</v>
      </c>
      <c r="E2" s="151">
        <v>39929</v>
      </c>
      <c r="G2">
        <v>17</v>
      </c>
      <c r="H2" t="s">
        <v>422</v>
      </c>
      <c r="I2" t="s">
        <v>183</v>
      </c>
      <c r="J2" t="s">
        <v>405</v>
      </c>
      <c r="K2" s="151">
        <v>39958</v>
      </c>
      <c r="L2" s="152" t="s">
        <v>417</v>
      </c>
    </row>
    <row r="3" spans="1:12" x14ac:dyDescent="0.15">
      <c r="A3">
        <v>18</v>
      </c>
      <c r="B3" t="s">
        <v>330</v>
      </c>
      <c r="C3" t="s">
        <v>331</v>
      </c>
      <c r="D3" t="s">
        <v>264</v>
      </c>
      <c r="E3" s="151">
        <v>39936</v>
      </c>
      <c r="F3" t="s">
        <v>332</v>
      </c>
      <c r="G3">
        <v>19</v>
      </c>
      <c r="H3" t="s">
        <v>480</v>
      </c>
      <c r="I3" t="s">
        <v>233</v>
      </c>
      <c r="J3" t="s">
        <v>252</v>
      </c>
      <c r="K3" s="151">
        <v>39978</v>
      </c>
    </row>
    <row r="4" spans="1:12" x14ac:dyDescent="0.15">
      <c r="A4">
        <v>17</v>
      </c>
      <c r="B4" t="s">
        <v>397</v>
      </c>
      <c r="C4" t="s">
        <v>398</v>
      </c>
      <c r="D4" t="s">
        <v>384</v>
      </c>
      <c r="E4" s="151">
        <v>39957</v>
      </c>
    </row>
    <row r="5" spans="1:12" x14ac:dyDescent="0.15">
      <c r="A5">
        <v>17</v>
      </c>
      <c r="B5" t="s">
        <v>415</v>
      </c>
      <c r="C5" t="s">
        <v>416</v>
      </c>
      <c r="D5" t="s">
        <v>405</v>
      </c>
      <c r="E5" s="151">
        <v>39958</v>
      </c>
    </row>
    <row r="17" spans="1:3" ht="21" x14ac:dyDescent="0.15">
      <c r="A17" s="118">
        <v>40034</v>
      </c>
      <c r="B17" s="119" t="s">
        <v>262</v>
      </c>
      <c r="C17" t="s">
        <v>609</v>
      </c>
    </row>
    <row r="20" spans="1:3" x14ac:dyDescent="0.15">
      <c r="C20">
        <f>31/64</f>
        <v>0.484375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73"/>
  <sheetViews>
    <sheetView topLeftCell="D17" workbookViewId="0">
      <selection activeCell="J39" sqref="J39:K62"/>
    </sheetView>
  </sheetViews>
  <sheetFormatPr defaultRowHeight="10.5" x14ac:dyDescent="0.15"/>
  <sheetData>
    <row r="1" spans="1:23" x14ac:dyDescent="0.15">
      <c r="A1" t="s">
        <v>708</v>
      </c>
      <c r="B1" t="s">
        <v>708</v>
      </c>
      <c r="C1" t="s">
        <v>708</v>
      </c>
      <c r="D1" t="s">
        <v>708</v>
      </c>
      <c r="E1" t="s">
        <v>708</v>
      </c>
      <c r="F1" t="s">
        <v>708</v>
      </c>
      <c r="G1" t="s">
        <v>708</v>
      </c>
      <c r="H1" t="s">
        <v>708</v>
      </c>
      <c r="I1" t="s">
        <v>708</v>
      </c>
      <c r="J1" t="s">
        <v>708</v>
      </c>
      <c r="K1" t="s">
        <v>708</v>
      </c>
      <c r="L1" t="s">
        <v>708</v>
      </c>
      <c r="M1" t="s">
        <v>708</v>
      </c>
      <c r="N1" t="s">
        <v>708</v>
      </c>
      <c r="O1" t="s">
        <v>708</v>
      </c>
      <c r="P1" t="s">
        <v>708</v>
      </c>
      <c r="Q1" t="s">
        <v>708</v>
      </c>
      <c r="R1" t="s">
        <v>708</v>
      </c>
      <c r="S1" t="s">
        <v>708</v>
      </c>
      <c r="T1" t="s">
        <v>708</v>
      </c>
      <c r="U1" t="s">
        <v>708</v>
      </c>
      <c r="V1" t="s">
        <v>708</v>
      </c>
      <c r="W1" t="s">
        <v>708</v>
      </c>
    </row>
    <row r="2" spans="1:23" x14ac:dyDescent="0.15">
      <c r="A2" t="s">
        <v>708</v>
      </c>
      <c r="B2" t="s">
        <v>708</v>
      </c>
      <c r="C2" t="s">
        <v>708</v>
      </c>
      <c r="D2" t="s">
        <v>708</v>
      </c>
      <c r="E2" t="s">
        <v>708</v>
      </c>
      <c r="F2" t="s">
        <v>708</v>
      </c>
      <c r="G2" t="s">
        <v>708</v>
      </c>
      <c r="H2" t="s">
        <v>708</v>
      </c>
      <c r="I2" t="s">
        <v>708</v>
      </c>
      <c r="J2" t="s">
        <v>708</v>
      </c>
      <c r="K2" t="s">
        <v>708</v>
      </c>
      <c r="L2" t="s">
        <v>708</v>
      </c>
      <c r="M2" t="s">
        <v>708</v>
      </c>
      <c r="N2" t="s">
        <v>708</v>
      </c>
      <c r="O2" t="s">
        <v>708</v>
      </c>
      <c r="P2" t="s">
        <v>708</v>
      </c>
      <c r="Q2" t="s">
        <v>708</v>
      </c>
      <c r="R2" t="s">
        <v>708</v>
      </c>
      <c r="S2" t="s">
        <v>708</v>
      </c>
      <c r="T2" t="s">
        <v>708</v>
      </c>
      <c r="U2" t="s">
        <v>708</v>
      </c>
      <c r="V2" t="s">
        <v>708</v>
      </c>
      <c r="W2" t="s">
        <v>708</v>
      </c>
    </row>
    <row r="3" spans="1:23" x14ac:dyDescent="0.15">
      <c r="A3" t="s">
        <v>708</v>
      </c>
      <c r="B3" t="s">
        <v>708</v>
      </c>
      <c r="C3" t="s">
        <v>708</v>
      </c>
      <c r="D3" t="s">
        <v>708</v>
      </c>
      <c r="E3" t="s">
        <v>708</v>
      </c>
      <c r="F3" t="s">
        <v>708</v>
      </c>
      <c r="G3" t="s">
        <v>708</v>
      </c>
      <c r="H3" t="s">
        <v>708</v>
      </c>
      <c r="I3" t="s">
        <v>708</v>
      </c>
      <c r="J3" t="s">
        <v>708</v>
      </c>
      <c r="K3" t="s">
        <v>708</v>
      </c>
      <c r="L3" t="s">
        <v>708</v>
      </c>
      <c r="M3" t="s">
        <v>708</v>
      </c>
      <c r="N3" t="s">
        <v>708</v>
      </c>
      <c r="O3" t="s">
        <v>708</v>
      </c>
      <c r="P3" t="s">
        <v>708</v>
      </c>
      <c r="Q3" t="s">
        <v>708</v>
      </c>
      <c r="R3" t="s">
        <v>708</v>
      </c>
      <c r="S3" t="s">
        <v>708</v>
      </c>
      <c r="T3" t="s">
        <v>708</v>
      </c>
      <c r="U3" t="s">
        <v>708</v>
      </c>
      <c r="V3" t="s">
        <v>708</v>
      </c>
      <c r="W3" t="s">
        <v>708</v>
      </c>
    </row>
    <row r="4" spans="1:23" x14ac:dyDescent="0.15">
      <c r="A4" t="s">
        <v>708</v>
      </c>
      <c r="B4" t="s">
        <v>708</v>
      </c>
      <c r="C4" t="s">
        <v>708</v>
      </c>
      <c r="D4" t="s">
        <v>708</v>
      </c>
      <c r="E4" t="s">
        <v>708</v>
      </c>
      <c r="F4" t="s">
        <v>708</v>
      </c>
      <c r="G4" t="s">
        <v>708</v>
      </c>
      <c r="H4" t="s">
        <v>708</v>
      </c>
      <c r="I4" t="s">
        <v>708</v>
      </c>
      <c r="J4" t="s">
        <v>708</v>
      </c>
      <c r="K4" t="s">
        <v>708</v>
      </c>
      <c r="L4" t="s">
        <v>708</v>
      </c>
      <c r="M4" t="s">
        <v>708</v>
      </c>
      <c r="N4" t="s">
        <v>708</v>
      </c>
      <c r="O4" t="s">
        <v>708</v>
      </c>
      <c r="P4" t="s">
        <v>708</v>
      </c>
      <c r="Q4" t="s">
        <v>708</v>
      </c>
      <c r="R4" t="s">
        <v>708</v>
      </c>
      <c r="S4" t="s">
        <v>708</v>
      </c>
      <c r="T4" t="s">
        <v>708</v>
      </c>
      <c r="U4" t="s">
        <v>708</v>
      </c>
      <c r="V4" t="s">
        <v>708</v>
      </c>
      <c r="W4" t="s">
        <v>708</v>
      </c>
    </row>
    <row r="5" spans="1:23" x14ac:dyDescent="0.15">
      <c r="A5" t="s">
        <v>708</v>
      </c>
      <c r="B5" t="s">
        <v>708</v>
      </c>
      <c r="C5" t="s">
        <v>708</v>
      </c>
      <c r="D5" t="s">
        <v>708</v>
      </c>
      <c r="E5" t="s">
        <v>708</v>
      </c>
      <c r="F5" t="s">
        <v>708</v>
      </c>
      <c r="G5" t="s">
        <v>708</v>
      </c>
      <c r="H5" t="s">
        <v>708</v>
      </c>
      <c r="I5" t="s">
        <v>708</v>
      </c>
      <c r="J5" t="s">
        <v>708</v>
      </c>
      <c r="K5" t="s">
        <v>708</v>
      </c>
      <c r="L5" t="s">
        <v>708</v>
      </c>
      <c r="M5" t="s">
        <v>708</v>
      </c>
      <c r="N5" t="s">
        <v>708</v>
      </c>
      <c r="O5" t="s">
        <v>708</v>
      </c>
      <c r="P5" t="s">
        <v>708</v>
      </c>
      <c r="Q5" t="s">
        <v>708</v>
      </c>
      <c r="R5" t="s">
        <v>708</v>
      </c>
      <c r="S5" t="s">
        <v>708</v>
      </c>
      <c r="T5" t="s">
        <v>708</v>
      </c>
      <c r="U5" t="s">
        <v>708</v>
      </c>
      <c r="V5" t="s">
        <v>708</v>
      </c>
      <c r="W5" t="s">
        <v>708</v>
      </c>
    </row>
    <row r="6" spans="1:23" x14ac:dyDescent="0.15">
      <c r="A6" t="s">
        <v>708</v>
      </c>
      <c r="B6" t="s">
        <v>708</v>
      </c>
      <c r="C6" t="s">
        <v>708</v>
      </c>
      <c r="D6" t="s">
        <v>708</v>
      </c>
      <c r="E6" t="s">
        <v>708</v>
      </c>
      <c r="F6" t="s">
        <v>708</v>
      </c>
      <c r="G6" t="s">
        <v>708</v>
      </c>
      <c r="H6" t="s">
        <v>708</v>
      </c>
      <c r="I6" t="s">
        <v>708</v>
      </c>
      <c r="J6" t="s">
        <v>708</v>
      </c>
      <c r="K6" t="s">
        <v>708</v>
      </c>
      <c r="L6" t="s">
        <v>708</v>
      </c>
      <c r="M6" t="s">
        <v>708</v>
      </c>
      <c r="N6" t="s">
        <v>708</v>
      </c>
      <c r="O6" t="s">
        <v>708</v>
      </c>
      <c r="P6" t="s">
        <v>708</v>
      </c>
      <c r="Q6" t="s">
        <v>708</v>
      </c>
      <c r="R6" t="s">
        <v>708</v>
      </c>
      <c r="S6" t="s">
        <v>708</v>
      </c>
      <c r="T6" t="s">
        <v>708</v>
      </c>
      <c r="U6" t="s">
        <v>708</v>
      </c>
      <c r="V6" t="s">
        <v>708</v>
      </c>
      <c r="W6" t="s">
        <v>708</v>
      </c>
    </row>
    <row r="7" spans="1:23" x14ac:dyDescent="0.15">
      <c r="A7" t="s">
        <v>708</v>
      </c>
      <c r="B7" t="s">
        <v>708</v>
      </c>
      <c r="C7" t="s">
        <v>708</v>
      </c>
      <c r="D7" t="s">
        <v>708</v>
      </c>
      <c r="E7" t="s">
        <v>708</v>
      </c>
      <c r="F7" t="s">
        <v>708</v>
      </c>
      <c r="G7" t="s">
        <v>708</v>
      </c>
      <c r="H7" t="s">
        <v>708</v>
      </c>
      <c r="I7" t="s">
        <v>708</v>
      </c>
      <c r="J7" t="s">
        <v>708</v>
      </c>
      <c r="K7" t="s">
        <v>708</v>
      </c>
      <c r="L7" t="s">
        <v>708</v>
      </c>
      <c r="M7" t="s">
        <v>708</v>
      </c>
      <c r="N7" t="s">
        <v>708</v>
      </c>
      <c r="O7" t="s">
        <v>708</v>
      </c>
      <c r="P7" t="s">
        <v>708</v>
      </c>
      <c r="Q7" t="s">
        <v>708</v>
      </c>
      <c r="R7" t="s">
        <v>708</v>
      </c>
      <c r="S7" t="s">
        <v>708</v>
      </c>
      <c r="T7" t="s">
        <v>708</v>
      </c>
      <c r="U7" t="s">
        <v>708</v>
      </c>
      <c r="V7" t="s">
        <v>708</v>
      </c>
      <c r="W7" t="s">
        <v>708</v>
      </c>
    </row>
    <row r="8" spans="1:23" x14ac:dyDescent="0.15">
      <c r="A8" t="s">
        <v>708</v>
      </c>
      <c r="B8" t="s">
        <v>708</v>
      </c>
      <c r="C8" t="s">
        <v>708</v>
      </c>
      <c r="D8" t="s">
        <v>708</v>
      </c>
      <c r="E8" t="s">
        <v>708</v>
      </c>
      <c r="F8" t="s">
        <v>708</v>
      </c>
      <c r="G8" t="s">
        <v>708</v>
      </c>
      <c r="H8" t="s">
        <v>708</v>
      </c>
      <c r="I8" t="s">
        <v>708</v>
      </c>
      <c r="J8" t="s">
        <v>708</v>
      </c>
      <c r="K8" t="s">
        <v>708</v>
      </c>
      <c r="L8" t="s">
        <v>708</v>
      </c>
      <c r="M8" t="s">
        <v>708</v>
      </c>
      <c r="N8" t="s">
        <v>708</v>
      </c>
      <c r="O8" t="s">
        <v>708</v>
      </c>
      <c r="P8" t="s">
        <v>708</v>
      </c>
      <c r="Q8" t="s">
        <v>708</v>
      </c>
      <c r="R8" t="s">
        <v>708</v>
      </c>
      <c r="S8" t="s">
        <v>708</v>
      </c>
      <c r="T8" t="s">
        <v>708</v>
      </c>
      <c r="U8" t="s">
        <v>708</v>
      </c>
      <c r="V8" t="s">
        <v>708</v>
      </c>
      <c r="W8" t="s">
        <v>708</v>
      </c>
    </row>
    <row r="9" spans="1:23" x14ac:dyDescent="0.15">
      <c r="A9" t="s">
        <v>708</v>
      </c>
      <c r="B9" t="s">
        <v>708</v>
      </c>
      <c r="C9" t="s">
        <v>708</v>
      </c>
      <c r="D9" t="s">
        <v>708</v>
      </c>
      <c r="E9" t="s">
        <v>708</v>
      </c>
      <c r="F9" t="s">
        <v>708</v>
      </c>
      <c r="G9" t="s">
        <v>708</v>
      </c>
      <c r="H9" t="s">
        <v>708</v>
      </c>
      <c r="I9" t="s">
        <v>708</v>
      </c>
      <c r="J9" t="s">
        <v>708</v>
      </c>
      <c r="K9" t="s">
        <v>708</v>
      </c>
      <c r="L9" t="s">
        <v>708</v>
      </c>
      <c r="M9" t="s">
        <v>708</v>
      </c>
      <c r="N9" t="s">
        <v>708</v>
      </c>
      <c r="O9" t="s">
        <v>708</v>
      </c>
      <c r="P9" t="s">
        <v>708</v>
      </c>
      <c r="Q9" t="s">
        <v>708</v>
      </c>
      <c r="R9" t="s">
        <v>708</v>
      </c>
      <c r="S9" t="s">
        <v>708</v>
      </c>
      <c r="T9" t="s">
        <v>708</v>
      </c>
      <c r="U9" t="s">
        <v>708</v>
      </c>
      <c r="V9" t="s">
        <v>708</v>
      </c>
      <c r="W9" t="s">
        <v>708</v>
      </c>
    </row>
    <row r="10" spans="1:23" x14ac:dyDescent="0.15">
      <c r="A10" t="s">
        <v>708</v>
      </c>
      <c r="B10" t="s">
        <v>708</v>
      </c>
      <c r="C10" t="s">
        <v>708</v>
      </c>
      <c r="D10" t="s">
        <v>708</v>
      </c>
      <c r="E10" t="s">
        <v>708</v>
      </c>
      <c r="F10" t="s">
        <v>708</v>
      </c>
      <c r="G10" t="s">
        <v>708</v>
      </c>
      <c r="H10" t="s">
        <v>708</v>
      </c>
      <c r="I10" t="s">
        <v>708</v>
      </c>
      <c r="J10" t="s">
        <v>708</v>
      </c>
      <c r="K10" t="s">
        <v>708</v>
      </c>
      <c r="L10" t="s">
        <v>708</v>
      </c>
      <c r="M10" t="s">
        <v>708</v>
      </c>
      <c r="N10" t="s">
        <v>708</v>
      </c>
      <c r="O10" t="s">
        <v>708</v>
      </c>
      <c r="P10" t="s">
        <v>708</v>
      </c>
      <c r="Q10" t="s">
        <v>708</v>
      </c>
      <c r="R10" t="s">
        <v>708</v>
      </c>
      <c r="S10" t="s">
        <v>708</v>
      </c>
      <c r="T10" t="s">
        <v>708</v>
      </c>
      <c r="U10" t="s">
        <v>708</v>
      </c>
      <c r="V10" t="s">
        <v>708</v>
      </c>
      <c r="W10" t="s">
        <v>708</v>
      </c>
    </row>
    <row r="11" spans="1:23" x14ac:dyDescent="0.15">
      <c r="A11" t="s">
        <v>708</v>
      </c>
      <c r="B11" t="s">
        <v>708</v>
      </c>
      <c r="C11" t="s">
        <v>708</v>
      </c>
      <c r="D11" t="s">
        <v>708</v>
      </c>
      <c r="E11" t="s">
        <v>708</v>
      </c>
      <c r="F11" t="s">
        <v>708</v>
      </c>
      <c r="G11" t="s">
        <v>708</v>
      </c>
      <c r="H11" t="s">
        <v>708</v>
      </c>
      <c r="I11" t="s">
        <v>708</v>
      </c>
      <c r="J11" t="s">
        <v>708</v>
      </c>
      <c r="K11" t="s">
        <v>708</v>
      </c>
      <c r="L11" t="s">
        <v>708</v>
      </c>
      <c r="M11" t="s">
        <v>708</v>
      </c>
      <c r="N11" t="s">
        <v>708</v>
      </c>
      <c r="O11" t="s">
        <v>708</v>
      </c>
      <c r="P11" t="s">
        <v>708</v>
      </c>
      <c r="Q11" t="s">
        <v>708</v>
      </c>
      <c r="R11" t="s">
        <v>708</v>
      </c>
      <c r="S11" t="s">
        <v>708</v>
      </c>
      <c r="T11" t="s">
        <v>708</v>
      </c>
      <c r="U11" t="s">
        <v>708</v>
      </c>
      <c r="V11" t="s">
        <v>708</v>
      </c>
      <c r="W11" t="s">
        <v>708</v>
      </c>
    </row>
    <row r="12" spans="1:23" x14ac:dyDescent="0.15">
      <c r="A12" t="s">
        <v>708</v>
      </c>
      <c r="B12" t="s">
        <v>708</v>
      </c>
      <c r="C12" t="s">
        <v>708</v>
      </c>
      <c r="D12" t="s">
        <v>708</v>
      </c>
      <c r="E12" t="s">
        <v>708</v>
      </c>
      <c r="F12" t="s">
        <v>708</v>
      </c>
      <c r="G12" t="s">
        <v>708</v>
      </c>
      <c r="H12" t="s">
        <v>708</v>
      </c>
      <c r="I12" t="s">
        <v>708</v>
      </c>
      <c r="J12" t="s">
        <v>708</v>
      </c>
      <c r="K12" t="s">
        <v>708</v>
      </c>
      <c r="L12" t="s">
        <v>708</v>
      </c>
      <c r="M12" t="s">
        <v>708</v>
      </c>
      <c r="N12" t="s">
        <v>708</v>
      </c>
      <c r="O12" t="s">
        <v>708</v>
      </c>
      <c r="P12" t="s">
        <v>708</v>
      </c>
      <c r="Q12" t="s">
        <v>708</v>
      </c>
      <c r="R12" t="s">
        <v>708</v>
      </c>
      <c r="S12" t="s">
        <v>708</v>
      </c>
      <c r="T12" t="s">
        <v>708</v>
      </c>
      <c r="U12" t="s">
        <v>708</v>
      </c>
      <c r="V12" t="s">
        <v>708</v>
      </c>
      <c r="W12" t="s">
        <v>708</v>
      </c>
    </row>
    <row r="13" spans="1:23" x14ac:dyDescent="0.15">
      <c r="A13" t="s">
        <v>708</v>
      </c>
      <c r="B13" t="s">
        <v>708</v>
      </c>
      <c r="C13" t="s">
        <v>708</v>
      </c>
      <c r="D13" t="s">
        <v>708</v>
      </c>
      <c r="E13" t="s">
        <v>708</v>
      </c>
      <c r="F13" t="s">
        <v>708</v>
      </c>
      <c r="G13" t="s">
        <v>708</v>
      </c>
      <c r="H13" t="s">
        <v>708</v>
      </c>
      <c r="I13" t="s">
        <v>708</v>
      </c>
      <c r="J13" t="s">
        <v>708</v>
      </c>
      <c r="K13" t="s">
        <v>708</v>
      </c>
      <c r="L13" t="s">
        <v>708</v>
      </c>
      <c r="M13" t="s">
        <v>708</v>
      </c>
      <c r="N13" t="s">
        <v>708</v>
      </c>
      <c r="O13" t="s">
        <v>708</v>
      </c>
      <c r="P13" t="s">
        <v>708</v>
      </c>
      <c r="Q13" t="s">
        <v>708</v>
      </c>
      <c r="R13" t="s">
        <v>708</v>
      </c>
      <c r="S13" t="s">
        <v>708</v>
      </c>
      <c r="T13" t="s">
        <v>708</v>
      </c>
      <c r="U13" t="s">
        <v>708</v>
      </c>
      <c r="V13" t="s">
        <v>708</v>
      </c>
      <c r="W13" t="s">
        <v>708</v>
      </c>
    </row>
    <row r="14" spans="1:23" x14ac:dyDescent="0.15">
      <c r="A14" t="s">
        <v>708</v>
      </c>
      <c r="B14" t="s">
        <v>708</v>
      </c>
      <c r="C14" t="s">
        <v>708</v>
      </c>
      <c r="D14" t="s">
        <v>708</v>
      </c>
      <c r="E14" t="s">
        <v>708</v>
      </c>
      <c r="F14" t="s">
        <v>708</v>
      </c>
      <c r="G14" t="s">
        <v>708</v>
      </c>
      <c r="H14" t="s">
        <v>708</v>
      </c>
      <c r="I14" t="s">
        <v>708</v>
      </c>
      <c r="J14" t="s">
        <v>708</v>
      </c>
      <c r="K14" t="s">
        <v>708</v>
      </c>
      <c r="L14" t="s">
        <v>708</v>
      </c>
      <c r="M14" t="s">
        <v>708</v>
      </c>
      <c r="N14" t="s">
        <v>708</v>
      </c>
      <c r="O14" t="s">
        <v>708</v>
      </c>
      <c r="P14" t="s">
        <v>708</v>
      </c>
      <c r="Q14" t="s">
        <v>708</v>
      </c>
      <c r="R14" t="s">
        <v>708</v>
      </c>
      <c r="S14" t="s">
        <v>708</v>
      </c>
      <c r="T14" t="s">
        <v>708</v>
      </c>
      <c r="U14" t="s">
        <v>708</v>
      </c>
      <c r="V14" t="s">
        <v>708</v>
      </c>
      <c r="W14" t="s">
        <v>708</v>
      </c>
    </row>
    <row r="15" spans="1:23" x14ac:dyDescent="0.15">
      <c r="A15" t="s">
        <v>708</v>
      </c>
      <c r="B15" t="s">
        <v>708</v>
      </c>
      <c r="C15" t="s">
        <v>708</v>
      </c>
      <c r="D15" t="s">
        <v>708</v>
      </c>
      <c r="E15" t="s">
        <v>708</v>
      </c>
      <c r="F15" t="s">
        <v>708</v>
      </c>
      <c r="G15" t="s">
        <v>709</v>
      </c>
      <c r="H15" t="s">
        <v>708</v>
      </c>
      <c r="I15" t="s">
        <v>708</v>
      </c>
      <c r="J15" t="s">
        <v>708</v>
      </c>
      <c r="K15" t="s">
        <v>708</v>
      </c>
      <c r="L15" t="s">
        <v>708</v>
      </c>
      <c r="M15" t="s">
        <v>708</v>
      </c>
      <c r="N15" t="s">
        <v>708</v>
      </c>
      <c r="O15" t="s">
        <v>708</v>
      </c>
      <c r="P15" t="s">
        <v>708</v>
      </c>
      <c r="Q15" t="s">
        <v>708</v>
      </c>
      <c r="R15" t="s">
        <v>708</v>
      </c>
      <c r="S15" t="s">
        <v>708</v>
      </c>
      <c r="T15" t="s">
        <v>708</v>
      </c>
      <c r="U15" t="s">
        <v>708</v>
      </c>
      <c r="V15" t="s">
        <v>708</v>
      </c>
      <c r="W15" t="s">
        <v>708</v>
      </c>
    </row>
    <row r="16" spans="1:23" x14ac:dyDescent="0.15">
      <c r="A16" t="s">
        <v>708</v>
      </c>
      <c r="B16" t="s">
        <v>708</v>
      </c>
      <c r="C16" t="s">
        <v>708</v>
      </c>
      <c r="D16" t="s">
        <v>708</v>
      </c>
      <c r="E16" t="s">
        <v>708</v>
      </c>
      <c r="F16" t="s">
        <v>708</v>
      </c>
      <c r="G16" t="s">
        <v>708</v>
      </c>
      <c r="H16" t="s">
        <v>708</v>
      </c>
      <c r="I16" t="s">
        <v>708</v>
      </c>
      <c r="J16" t="s">
        <v>708</v>
      </c>
      <c r="K16" t="s">
        <v>708</v>
      </c>
      <c r="L16" t="s">
        <v>708</v>
      </c>
      <c r="M16" t="s">
        <v>708</v>
      </c>
      <c r="N16" t="s">
        <v>708</v>
      </c>
      <c r="O16" t="s">
        <v>708</v>
      </c>
      <c r="P16" t="s">
        <v>708</v>
      </c>
      <c r="Q16" t="s">
        <v>708</v>
      </c>
      <c r="R16" t="s">
        <v>708</v>
      </c>
      <c r="S16" t="s">
        <v>708</v>
      </c>
      <c r="T16" t="s">
        <v>708</v>
      </c>
      <c r="U16" t="s">
        <v>708</v>
      </c>
      <c r="V16" t="s">
        <v>708</v>
      </c>
      <c r="W16" t="s">
        <v>708</v>
      </c>
    </row>
    <row r="17" spans="1:23" x14ac:dyDescent="0.15">
      <c r="A17" t="s">
        <v>708</v>
      </c>
      <c r="B17" t="s">
        <v>708</v>
      </c>
      <c r="C17" t="s">
        <v>708</v>
      </c>
      <c r="D17" t="s">
        <v>708</v>
      </c>
      <c r="E17" t="s">
        <v>708</v>
      </c>
      <c r="F17" t="s">
        <v>708</v>
      </c>
      <c r="G17" t="s">
        <v>708</v>
      </c>
      <c r="H17" t="s">
        <v>708</v>
      </c>
      <c r="I17" t="s">
        <v>708</v>
      </c>
      <c r="J17" t="s">
        <v>708</v>
      </c>
      <c r="K17" t="s">
        <v>708</v>
      </c>
      <c r="L17" t="s">
        <v>708</v>
      </c>
      <c r="M17" t="s">
        <v>708</v>
      </c>
      <c r="N17" t="s">
        <v>708</v>
      </c>
      <c r="O17" t="s">
        <v>708</v>
      </c>
      <c r="P17" t="s">
        <v>708</v>
      </c>
      <c r="Q17" t="s">
        <v>708</v>
      </c>
      <c r="R17" t="s">
        <v>708</v>
      </c>
      <c r="S17" t="s">
        <v>708</v>
      </c>
      <c r="T17" t="s">
        <v>708</v>
      </c>
      <c r="U17" t="s">
        <v>708</v>
      </c>
      <c r="V17" t="s">
        <v>708</v>
      </c>
      <c r="W17" t="s">
        <v>708</v>
      </c>
    </row>
    <row r="18" spans="1:23" x14ac:dyDescent="0.15">
      <c r="A18" t="s">
        <v>708</v>
      </c>
      <c r="B18" t="s">
        <v>708</v>
      </c>
      <c r="C18" t="s">
        <v>708</v>
      </c>
      <c r="D18" t="s">
        <v>708</v>
      </c>
      <c r="E18" t="s">
        <v>708</v>
      </c>
      <c r="F18" t="s">
        <v>708</v>
      </c>
      <c r="G18" t="s">
        <v>708</v>
      </c>
      <c r="H18" t="s">
        <v>708</v>
      </c>
      <c r="I18" t="s">
        <v>708</v>
      </c>
      <c r="J18" t="s">
        <v>708</v>
      </c>
      <c r="K18" t="s">
        <v>708</v>
      </c>
      <c r="L18" t="s">
        <v>708</v>
      </c>
      <c r="M18" t="s">
        <v>708</v>
      </c>
      <c r="N18" t="s">
        <v>708</v>
      </c>
      <c r="O18" t="s">
        <v>708</v>
      </c>
      <c r="P18" t="s">
        <v>708</v>
      </c>
      <c r="Q18" t="s">
        <v>708</v>
      </c>
      <c r="R18" t="s">
        <v>708</v>
      </c>
      <c r="S18" t="s">
        <v>708</v>
      </c>
      <c r="T18" t="s">
        <v>708</v>
      </c>
      <c r="U18" t="s">
        <v>708</v>
      </c>
      <c r="V18" t="s">
        <v>708</v>
      </c>
      <c r="W18" t="s">
        <v>708</v>
      </c>
    </row>
    <row r="19" spans="1:23" x14ac:dyDescent="0.15">
      <c r="A19" t="s">
        <v>708</v>
      </c>
      <c r="B19" t="s">
        <v>708</v>
      </c>
      <c r="C19" t="s">
        <v>708</v>
      </c>
      <c r="D19" t="s">
        <v>708</v>
      </c>
      <c r="E19" t="s">
        <v>708</v>
      </c>
      <c r="F19" t="s">
        <v>708</v>
      </c>
      <c r="G19" t="s">
        <v>708</v>
      </c>
      <c r="H19" t="s">
        <v>708</v>
      </c>
      <c r="I19" t="s">
        <v>708</v>
      </c>
      <c r="J19" t="s">
        <v>708</v>
      </c>
      <c r="K19" t="s">
        <v>708</v>
      </c>
      <c r="L19" t="s">
        <v>708</v>
      </c>
      <c r="M19" t="s">
        <v>708</v>
      </c>
      <c r="N19" t="s">
        <v>708</v>
      </c>
      <c r="O19" t="s">
        <v>708</v>
      </c>
      <c r="P19" t="s">
        <v>708</v>
      </c>
      <c r="Q19" t="s">
        <v>708</v>
      </c>
      <c r="R19" t="s">
        <v>708</v>
      </c>
      <c r="S19" t="s">
        <v>708</v>
      </c>
      <c r="T19" t="s">
        <v>708</v>
      </c>
      <c r="U19" t="s">
        <v>708</v>
      </c>
      <c r="V19" t="s">
        <v>708</v>
      </c>
      <c r="W19" t="s">
        <v>708</v>
      </c>
    </row>
    <row r="20" spans="1:23" x14ac:dyDescent="0.15">
      <c r="A20" t="s">
        <v>708</v>
      </c>
      <c r="B20" t="s">
        <v>710</v>
      </c>
      <c r="C20" t="s">
        <v>711</v>
      </c>
      <c r="D20" t="s">
        <v>708</v>
      </c>
      <c r="E20" t="s">
        <v>708</v>
      </c>
      <c r="F20" t="s">
        <v>708</v>
      </c>
      <c r="G20" t="s">
        <v>708</v>
      </c>
      <c r="H20" t="s">
        <v>708</v>
      </c>
      <c r="I20" t="s">
        <v>708</v>
      </c>
      <c r="J20" t="s">
        <v>708</v>
      </c>
      <c r="K20" t="s">
        <v>712</v>
      </c>
      <c r="L20" t="s">
        <v>708</v>
      </c>
      <c r="M20" t="s">
        <v>708</v>
      </c>
      <c r="N20" t="s">
        <v>708</v>
      </c>
      <c r="O20" t="s">
        <v>708</v>
      </c>
      <c r="P20" t="s">
        <v>708</v>
      </c>
      <c r="Q20" t="s">
        <v>708</v>
      </c>
      <c r="R20" t="s">
        <v>708</v>
      </c>
      <c r="S20" t="s">
        <v>708</v>
      </c>
      <c r="T20" t="s">
        <v>708</v>
      </c>
      <c r="U20" t="s">
        <v>708</v>
      </c>
      <c r="V20" t="s">
        <v>708</v>
      </c>
      <c r="W20" t="s">
        <v>708</v>
      </c>
    </row>
    <row r="21" spans="1:23" x14ac:dyDescent="0.15">
      <c r="A21" t="s">
        <v>708</v>
      </c>
      <c r="B21" t="s">
        <v>708</v>
      </c>
      <c r="C21" t="s">
        <v>708</v>
      </c>
      <c r="D21" t="s">
        <v>708</v>
      </c>
      <c r="E21" t="s">
        <v>708</v>
      </c>
      <c r="F21" t="s">
        <v>708</v>
      </c>
      <c r="G21" t="s">
        <v>708</v>
      </c>
      <c r="H21" t="s">
        <v>708</v>
      </c>
      <c r="I21" t="s">
        <v>708</v>
      </c>
      <c r="J21" t="s">
        <v>708</v>
      </c>
      <c r="K21" t="s">
        <v>708</v>
      </c>
      <c r="L21" t="s">
        <v>708</v>
      </c>
      <c r="M21" t="s">
        <v>708</v>
      </c>
      <c r="N21" t="s">
        <v>708</v>
      </c>
      <c r="O21" t="s">
        <v>708</v>
      </c>
      <c r="P21" t="s">
        <v>708</v>
      </c>
      <c r="Q21" t="s">
        <v>708</v>
      </c>
      <c r="R21" t="s">
        <v>708</v>
      </c>
      <c r="S21" t="s">
        <v>708</v>
      </c>
      <c r="T21" t="s">
        <v>708</v>
      </c>
      <c r="U21" t="s">
        <v>708</v>
      </c>
      <c r="V21" t="s">
        <v>708</v>
      </c>
      <c r="W21" t="s">
        <v>708</v>
      </c>
    </row>
    <row r="22" spans="1:23" x14ac:dyDescent="0.15">
      <c r="A22" t="s">
        <v>708</v>
      </c>
      <c r="B22" t="s">
        <v>708</v>
      </c>
      <c r="C22" t="s">
        <v>708</v>
      </c>
      <c r="D22" t="s">
        <v>708</v>
      </c>
      <c r="E22" t="s">
        <v>708</v>
      </c>
      <c r="F22" t="s">
        <v>708</v>
      </c>
      <c r="G22" t="s">
        <v>708</v>
      </c>
      <c r="H22" t="s">
        <v>708</v>
      </c>
      <c r="I22" t="s">
        <v>708</v>
      </c>
      <c r="J22" t="s">
        <v>708</v>
      </c>
      <c r="K22" t="s">
        <v>708</v>
      </c>
      <c r="L22" t="s">
        <v>708</v>
      </c>
      <c r="M22" t="s">
        <v>708</v>
      </c>
      <c r="N22" t="s">
        <v>708</v>
      </c>
      <c r="O22" t="s">
        <v>708</v>
      </c>
      <c r="P22" t="s">
        <v>708</v>
      </c>
      <c r="Q22" t="s">
        <v>708</v>
      </c>
      <c r="R22" t="s">
        <v>708</v>
      </c>
      <c r="S22" t="s">
        <v>708</v>
      </c>
      <c r="T22" t="s">
        <v>708</v>
      </c>
      <c r="U22" t="s">
        <v>708</v>
      </c>
      <c r="V22" t="s">
        <v>708</v>
      </c>
      <c r="W22" t="s">
        <v>708</v>
      </c>
    </row>
    <row r="23" spans="1:23" x14ac:dyDescent="0.15">
      <c r="A23" t="s">
        <v>708</v>
      </c>
      <c r="B23" t="s">
        <v>708</v>
      </c>
      <c r="C23" t="s">
        <v>708</v>
      </c>
      <c r="D23" t="s">
        <v>708</v>
      </c>
      <c r="E23" t="s">
        <v>708</v>
      </c>
      <c r="F23" t="s">
        <v>708</v>
      </c>
      <c r="G23" t="s">
        <v>708</v>
      </c>
      <c r="H23" t="s">
        <v>708</v>
      </c>
      <c r="I23" t="s">
        <v>708</v>
      </c>
      <c r="J23" t="s">
        <v>708</v>
      </c>
      <c r="K23" t="s">
        <v>708</v>
      </c>
      <c r="L23" t="s">
        <v>708</v>
      </c>
      <c r="M23" t="s">
        <v>708</v>
      </c>
      <c r="N23" t="s">
        <v>708</v>
      </c>
      <c r="O23" t="s">
        <v>708</v>
      </c>
      <c r="P23" t="s">
        <v>708</v>
      </c>
      <c r="Q23" t="s">
        <v>708</v>
      </c>
      <c r="R23" t="s">
        <v>708</v>
      </c>
      <c r="S23" t="s">
        <v>708</v>
      </c>
      <c r="T23" t="s">
        <v>708</v>
      </c>
      <c r="U23" t="s">
        <v>708</v>
      </c>
      <c r="V23" t="s">
        <v>708</v>
      </c>
      <c r="W23" t="s">
        <v>708</v>
      </c>
    </row>
    <row r="24" spans="1:23" x14ac:dyDescent="0.15">
      <c r="A24" t="s">
        <v>713</v>
      </c>
      <c r="B24" t="s">
        <v>708</v>
      </c>
      <c r="C24" t="s">
        <v>708</v>
      </c>
      <c r="D24" t="s">
        <v>708</v>
      </c>
      <c r="E24" t="s">
        <v>708</v>
      </c>
      <c r="F24" t="s">
        <v>708</v>
      </c>
      <c r="G24" t="s">
        <v>708</v>
      </c>
      <c r="H24" t="s">
        <v>708</v>
      </c>
      <c r="I24" t="s">
        <v>708</v>
      </c>
      <c r="J24" t="s">
        <v>708</v>
      </c>
      <c r="K24" t="s">
        <v>708</v>
      </c>
      <c r="L24" t="s">
        <v>708</v>
      </c>
      <c r="M24" t="s">
        <v>708</v>
      </c>
      <c r="N24" t="s">
        <v>708</v>
      </c>
      <c r="O24" t="s">
        <v>708</v>
      </c>
      <c r="P24" t="s">
        <v>708</v>
      </c>
      <c r="Q24" t="s">
        <v>708</v>
      </c>
      <c r="R24" t="s">
        <v>708</v>
      </c>
      <c r="S24" t="s">
        <v>708</v>
      </c>
      <c r="T24" t="s">
        <v>708</v>
      </c>
      <c r="U24" t="s">
        <v>708</v>
      </c>
      <c r="V24" t="s">
        <v>714</v>
      </c>
      <c r="W24" t="s">
        <v>708</v>
      </c>
    </row>
    <row r="25" spans="1:23" x14ac:dyDescent="0.15">
      <c r="A25" t="s">
        <v>708</v>
      </c>
      <c r="B25" t="s">
        <v>708</v>
      </c>
      <c r="C25" t="s">
        <v>708</v>
      </c>
      <c r="D25" t="s">
        <v>708</v>
      </c>
      <c r="E25" t="s">
        <v>708</v>
      </c>
      <c r="F25" t="s">
        <v>708</v>
      </c>
      <c r="G25" t="s">
        <v>708</v>
      </c>
      <c r="H25" t="s">
        <v>708</v>
      </c>
      <c r="I25" t="s">
        <v>708</v>
      </c>
      <c r="J25" t="s">
        <v>708</v>
      </c>
      <c r="K25" t="s">
        <v>708</v>
      </c>
      <c r="L25" t="s">
        <v>708</v>
      </c>
      <c r="M25" t="s">
        <v>708</v>
      </c>
      <c r="N25" t="s">
        <v>708</v>
      </c>
      <c r="O25" t="s">
        <v>708</v>
      </c>
      <c r="P25" t="s">
        <v>708</v>
      </c>
      <c r="Q25" t="s">
        <v>708</v>
      </c>
      <c r="R25" t="s">
        <v>708</v>
      </c>
      <c r="S25" t="s">
        <v>708</v>
      </c>
      <c r="T25" t="s">
        <v>708</v>
      </c>
      <c r="U25" t="s">
        <v>708</v>
      </c>
      <c r="V25" t="s">
        <v>708</v>
      </c>
      <c r="W25" t="s">
        <v>708</v>
      </c>
    </row>
    <row r="26" spans="1:23" x14ac:dyDescent="0.15">
      <c r="A26" t="s">
        <v>708</v>
      </c>
      <c r="B26" t="s">
        <v>708</v>
      </c>
      <c r="C26" t="s">
        <v>708</v>
      </c>
      <c r="D26" t="s">
        <v>708</v>
      </c>
      <c r="E26" t="s">
        <v>708</v>
      </c>
      <c r="F26" t="s">
        <v>708</v>
      </c>
      <c r="G26" t="s">
        <v>708</v>
      </c>
      <c r="H26" t="s">
        <v>708</v>
      </c>
      <c r="I26" t="s">
        <v>708</v>
      </c>
      <c r="J26" t="s">
        <v>708</v>
      </c>
      <c r="K26" t="s">
        <v>708</v>
      </c>
      <c r="L26" t="s">
        <v>708</v>
      </c>
      <c r="M26" t="s">
        <v>708</v>
      </c>
      <c r="N26" t="s">
        <v>708</v>
      </c>
      <c r="O26" t="s">
        <v>708</v>
      </c>
      <c r="P26" t="s">
        <v>708</v>
      </c>
      <c r="Q26" t="s">
        <v>708</v>
      </c>
      <c r="R26" t="s">
        <v>708</v>
      </c>
      <c r="S26" t="s">
        <v>708</v>
      </c>
      <c r="T26" t="s">
        <v>708</v>
      </c>
      <c r="U26" t="s">
        <v>708</v>
      </c>
      <c r="V26" t="s">
        <v>715</v>
      </c>
      <c r="W26" t="s">
        <v>716</v>
      </c>
    </row>
    <row r="27" spans="1:23" x14ac:dyDescent="0.15">
      <c r="A27" t="s">
        <v>708</v>
      </c>
      <c r="B27" t="s">
        <v>708</v>
      </c>
      <c r="C27" t="s">
        <v>708</v>
      </c>
      <c r="D27" t="s">
        <v>708</v>
      </c>
      <c r="E27" t="s">
        <v>708</v>
      </c>
      <c r="F27" t="s">
        <v>708</v>
      </c>
      <c r="G27" t="s">
        <v>708</v>
      </c>
      <c r="H27" t="s">
        <v>708</v>
      </c>
      <c r="I27" t="s">
        <v>708</v>
      </c>
      <c r="J27" t="s">
        <v>708</v>
      </c>
      <c r="K27" t="s">
        <v>708</v>
      </c>
      <c r="L27" t="s">
        <v>708</v>
      </c>
      <c r="M27" t="s">
        <v>708</v>
      </c>
      <c r="N27" t="s">
        <v>708</v>
      </c>
      <c r="O27" t="s">
        <v>708</v>
      </c>
      <c r="P27" t="s">
        <v>708</v>
      </c>
      <c r="Q27" t="s">
        <v>708</v>
      </c>
      <c r="R27" t="s">
        <v>708</v>
      </c>
      <c r="S27" t="s">
        <v>708</v>
      </c>
      <c r="T27" t="s">
        <v>708</v>
      </c>
      <c r="U27" t="s">
        <v>708</v>
      </c>
      <c r="V27" t="s">
        <v>708</v>
      </c>
      <c r="W27" t="s">
        <v>708</v>
      </c>
    </row>
    <row r="28" spans="1:23" x14ac:dyDescent="0.15">
      <c r="A28" t="s">
        <v>708</v>
      </c>
      <c r="B28" t="s">
        <v>708</v>
      </c>
      <c r="C28" t="s">
        <v>708</v>
      </c>
      <c r="D28" t="s">
        <v>708</v>
      </c>
      <c r="E28" t="s">
        <v>708</v>
      </c>
      <c r="F28" t="s">
        <v>708</v>
      </c>
      <c r="G28" t="s">
        <v>708</v>
      </c>
      <c r="H28" t="s">
        <v>708</v>
      </c>
      <c r="I28" t="s">
        <v>708</v>
      </c>
      <c r="J28" t="s">
        <v>708</v>
      </c>
      <c r="K28" t="s">
        <v>708</v>
      </c>
      <c r="L28" t="s">
        <v>708</v>
      </c>
      <c r="M28" t="s">
        <v>708</v>
      </c>
      <c r="N28" t="s">
        <v>708</v>
      </c>
      <c r="O28" t="s">
        <v>708</v>
      </c>
      <c r="P28" t="s">
        <v>708</v>
      </c>
      <c r="Q28" t="s">
        <v>708</v>
      </c>
      <c r="R28" t="s">
        <v>708</v>
      </c>
      <c r="S28" t="s">
        <v>708</v>
      </c>
      <c r="T28" t="s">
        <v>708</v>
      </c>
      <c r="U28" t="s">
        <v>708</v>
      </c>
      <c r="V28" t="s">
        <v>708</v>
      </c>
      <c r="W28" t="s">
        <v>708</v>
      </c>
    </row>
    <row r="29" spans="1:23" x14ac:dyDescent="0.15">
      <c r="A29" t="s">
        <v>708</v>
      </c>
      <c r="B29" t="s">
        <v>708</v>
      </c>
      <c r="C29" t="s">
        <v>708</v>
      </c>
      <c r="D29" t="s">
        <v>708</v>
      </c>
      <c r="E29" t="s">
        <v>708</v>
      </c>
      <c r="F29" t="s">
        <v>708</v>
      </c>
      <c r="G29" t="s">
        <v>708</v>
      </c>
      <c r="H29" t="s">
        <v>708</v>
      </c>
      <c r="I29" t="s">
        <v>708</v>
      </c>
      <c r="J29" t="s">
        <v>708</v>
      </c>
      <c r="K29" t="s">
        <v>708</v>
      </c>
      <c r="L29" t="s">
        <v>708</v>
      </c>
      <c r="M29" t="s">
        <v>708</v>
      </c>
      <c r="N29" t="s">
        <v>708</v>
      </c>
      <c r="O29" t="s">
        <v>708</v>
      </c>
      <c r="P29" t="s">
        <v>717</v>
      </c>
      <c r="Q29" t="s">
        <v>708</v>
      </c>
      <c r="R29" t="s">
        <v>708</v>
      </c>
      <c r="S29" t="s">
        <v>718</v>
      </c>
      <c r="T29" t="s">
        <v>708</v>
      </c>
      <c r="U29" t="s">
        <v>708</v>
      </c>
      <c r="V29" t="s">
        <v>708</v>
      </c>
      <c r="W29" t="s">
        <v>708</v>
      </c>
    </row>
    <row r="30" spans="1:23" x14ac:dyDescent="0.15">
      <c r="A30" t="s">
        <v>708</v>
      </c>
      <c r="B30" t="s">
        <v>708</v>
      </c>
      <c r="C30" t="s">
        <v>708</v>
      </c>
      <c r="D30" t="s">
        <v>708</v>
      </c>
      <c r="E30" t="s">
        <v>708</v>
      </c>
      <c r="F30" t="s">
        <v>708</v>
      </c>
      <c r="G30" t="s">
        <v>708</v>
      </c>
      <c r="H30" t="s">
        <v>708</v>
      </c>
      <c r="I30" t="s">
        <v>708</v>
      </c>
      <c r="J30" t="s">
        <v>708</v>
      </c>
      <c r="K30" t="s">
        <v>708</v>
      </c>
      <c r="L30" t="s">
        <v>708</v>
      </c>
      <c r="M30" t="s">
        <v>708</v>
      </c>
      <c r="N30" t="s">
        <v>708</v>
      </c>
      <c r="O30" t="s">
        <v>708</v>
      </c>
      <c r="P30" t="s">
        <v>708</v>
      </c>
      <c r="Q30" t="s">
        <v>708</v>
      </c>
      <c r="R30" t="s">
        <v>708</v>
      </c>
      <c r="S30" t="s">
        <v>708</v>
      </c>
      <c r="T30" t="s">
        <v>708</v>
      </c>
      <c r="U30" t="s">
        <v>708</v>
      </c>
      <c r="V30" t="s">
        <v>708</v>
      </c>
      <c r="W30" t="s">
        <v>708</v>
      </c>
    </row>
    <row r="31" spans="1:23" x14ac:dyDescent="0.15">
      <c r="A31" t="s">
        <v>708</v>
      </c>
      <c r="B31" t="s">
        <v>708</v>
      </c>
      <c r="C31" t="s">
        <v>708</v>
      </c>
      <c r="D31" t="s">
        <v>708</v>
      </c>
      <c r="E31" t="s">
        <v>708</v>
      </c>
      <c r="F31" t="s">
        <v>708</v>
      </c>
      <c r="G31" t="s">
        <v>708</v>
      </c>
      <c r="H31" t="s">
        <v>708</v>
      </c>
      <c r="I31" t="s">
        <v>708</v>
      </c>
      <c r="J31" t="s">
        <v>708</v>
      </c>
      <c r="K31" t="s">
        <v>708</v>
      </c>
      <c r="L31" t="s">
        <v>708</v>
      </c>
      <c r="M31" t="s">
        <v>708</v>
      </c>
      <c r="N31" t="s">
        <v>708</v>
      </c>
      <c r="O31" t="s">
        <v>708</v>
      </c>
      <c r="P31" t="s">
        <v>708</v>
      </c>
      <c r="Q31" t="s">
        <v>708</v>
      </c>
      <c r="R31" t="s">
        <v>708</v>
      </c>
      <c r="S31" t="s">
        <v>708</v>
      </c>
      <c r="T31" t="s">
        <v>708</v>
      </c>
      <c r="U31" t="s">
        <v>708</v>
      </c>
      <c r="V31" t="s">
        <v>708</v>
      </c>
      <c r="W31" t="s">
        <v>708</v>
      </c>
    </row>
    <row r="32" spans="1:23" x14ac:dyDescent="0.15">
      <c r="A32" t="s">
        <v>708</v>
      </c>
      <c r="B32" t="s">
        <v>708</v>
      </c>
      <c r="C32" t="s">
        <v>708</v>
      </c>
      <c r="D32" t="s">
        <v>708</v>
      </c>
      <c r="E32" t="s">
        <v>708</v>
      </c>
      <c r="F32" t="s">
        <v>708</v>
      </c>
      <c r="G32" t="s">
        <v>708</v>
      </c>
      <c r="H32" t="s">
        <v>708</v>
      </c>
      <c r="I32" t="s">
        <v>708</v>
      </c>
      <c r="J32" t="s">
        <v>708</v>
      </c>
      <c r="K32" t="s">
        <v>708</v>
      </c>
      <c r="L32" t="s">
        <v>708</v>
      </c>
      <c r="M32" t="s">
        <v>708</v>
      </c>
      <c r="N32" t="s">
        <v>708</v>
      </c>
      <c r="O32" t="s">
        <v>708</v>
      </c>
      <c r="P32" t="s">
        <v>708</v>
      </c>
      <c r="Q32" t="s">
        <v>708</v>
      </c>
      <c r="R32" t="s">
        <v>708</v>
      </c>
      <c r="S32" t="s">
        <v>708</v>
      </c>
      <c r="T32" t="s">
        <v>708</v>
      </c>
      <c r="U32" t="s">
        <v>708</v>
      </c>
      <c r="V32" t="s">
        <v>708</v>
      </c>
      <c r="W32" t="s">
        <v>708</v>
      </c>
    </row>
    <row r="33" spans="1:23" x14ac:dyDescent="0.15">
      <c r="A33" t="s">
        <v>708</v>
      </c>
      <c r="B33" t="s">
        <v>708</v>
      </c>
      <c r="C33" t="s">
        <v>708</v>
      </c>
      <c r="D33" t="s">
        <v>708</v>
      </c>
      <c r="E33" t="s">
        <v>708</v>
      </c>
      <c r="F33" t="s">
        <v>708</v>
      </c>
      <c r="G33" t="s">
        <v>708</v>
      </c>
      <c r="H33" t="s">
        <v>708</v>
      </c>
      <c r="I33" t="s">
        <v>708</v>
      </c>
      <c r="J33" t="s">
        <v>708</v>
      </c>
      <c r="K33" t="s">
        <v>708</v>
      </c>
      <c r="L33" t="s">
        <v>708</v>
      </c>
      <c r="M33" t="s">
        <v>708</v>
      </c>
      <c r="N33" t="s">
        <v>708</v>
      </c>
      <c r="O33" t="s">
        <v>708</v>
      </c>
      <c r="P33" t="s">
        <v>708</v>
      </c>
      <c r="Q33" t="s">
        <v>708</v>
      </c>
      <c r="R33" t="s">
        <v>708</v>
      </c>
      <c r="S33" t="s">
        <v>708</v>
      </c>
      <c r="T33" t="s">
        <v>708</v>
      </c>
      <c r="U33" t="s">
        <v>708</v>
      </c>
      <c r="V33" t="s">
        <v>708</v>
      </c>
      <c r="W33" t="s">
        <v>708</v>
      </c>
    </row>
    <row r="34" spans="1:23" x14ac:dyDescent="0.15">
      <c r="A34" t="s">
        <v>708</v>
      </c>
      <c r="B34" t="s">
        <v>708</v>
      </c>
      <c r="C34" t="s">
        <v>708</v>
      </c>
      <c r="D34" t="s">
        <v>708</v>
      </c>
      <c r="E34" t="s">
        <v>708</v>
      </c>
      <c r="F34" t="s">
        <v>708</v>
      </c>
      <c r="G34" t="s">
        <v>708</v>
      </c>
      <c r="H34" t="s">
        <v>708</v>
      </c>
      <c r="I34" t="s">
        <v>708</v>
      </c>
      <c r="J34" t="s">
        <v>708</v>
      </c>
      <c r="K34" t="s">
        <v>708</v>
      </c>
      <c r="L34" t="s">
        <v>708</v>
      </c>
      <c r="M34" t="s">
        <v>708</v>
      </c>
      <c r="N34" t="s">
        <v>708</v>
      </c>
      <c r="O34" t="s">
        <v>708</v>
      </c>
      <c r="P34" t="s">
        <v>708</v>
      </c>
      <c r="Q34" t="s">
        <v>708</v>
      </c>
      <c r="R34" t="s">
        <v>708</v>
      </c>
      <c r="S34" t="s">
        <v>708</v>
      </c>
      <c r="T34" t="s">
        <v>708</v>
      </c>
      <c r="U34" t="s">
        <v>708</v>
      </c>
      <c r="V34" t="s">
        <v>708</v>
      </c>
      <c r="W34" t="s">
        <v>708</v>
      </c>
    </row>
    <row r="35" spans="1:23" x14ac:dyDescent="0.15">
      <c r="A35" t="s">
        <v>708</v>
      </c>
      <c r="B35" t="s">
        <v>708</v>
      </c>
      <c r="C35" t="s">
        <v>708</v>
      </c>
      <c r="D35" t="s">
        <v>708</v>
      </c>
      <c r="E35" t="s">
        <v>708</v>
      </c>
      <c r="F35" t="s">
        <v>708</v>
      </c>
      <c r="G35" t="s">
        <v>708</v>
      </c>
      <c r="H35" t="s">
        <v>708</v>
      </c>
      <c r="I35" t="s">
        <v>708</v>
      </c>
      <c r="J35" t="s">
        <v>708</v>
      </c>
      <c r="K35" t="s">
        <v>708</v>
      </c>
      <c r="L35" t="s">
        <v>708</v>
      </c>
      <c r="M35" t="s">
        <v>708</v>
      </c>
      <c r="N35" t="s">
        <v>708</v>
      </c>
      <c r="O35" t="s">
        <v>708</v>
      </c>
      <c r="P35" t="s">
        <v>708</v>
      </c>
      <c r="Q35" t="s">
        <v>708</v>
      </c>
      <c r="R35" t="s">
        <v>708</v>
      </c>
      <c r="S35" t="s">
        <v>708</v>
      </c>
      <c r="T35" t="s">
        <v>708</v>
      </c>
      <c r="U35" t="s">
        <v>708</v>
      </c>
      <c r="V35" t="s">
        <v>708</v>
      </c>
      <c r="W35" t="s">
        <v>708</v>
      </c>
    </row>
    <row r="38" spans="1:23" x14ac:dyDescent="0.15">
      <c r="A38">
        <v>87</v>
      </c>
      <c r="B38" t="s">
        <v>151</v>
      </c>
      <c r="C38" t="s">
        <v>625</v>
      </c>
      <c r="D38" s="157">
        <v>40406</v>
      </c>
    </row>
    <row r="39" spans="1:23" x14ac:dyDescent="0.15">
      <c r="A39">
        <v>80</v>
      </c>
      <c r="B39" t="s">
        <v>48</v>
      </c>
      <c r="C39" t="s">
        <v>261</v>
      </c>
      <c r="D39" s="157">
        <v>40308</v>
      </c>
      <c r="J39">
        <v>10</v>
      </c>
      <c r="K39" t="s">
        <v>151</v>
      </c>
    </row>
    <row r="40" spans="1:23" x14ac:dyDescent="0.15">
      <c r="A40" t="s">
        <v>721</v>
      </c>
      <c r="B40" t="s">
        <v>552</v>
      </c>
      <c r="C40" t="s">
        <v>238</v>
      </c>
      <c r="D40" s="157">
        <v>40427</v>
      </c>
      <c r="J40">
        <v>8</v>
      </c>
      <c r="K40" t="s">
        <v>297</v>
      </c>
    </row>
    <row r="41" spans="1:23" x14ac:dyDescent="0.15">
      <c r="A41">
        <v>72</v>
      </c>
      <c r="B41" t="s">
        <v>48</v>
      </c>
      <c r="C41" t="s">
        <v>264</v>
      </c>
      <c r="D41" s="157">
        <v>40301</v>
      </c>
      <c r="J41">
        <v>5</v>
      </c>
      <c r="K41" t="s">
        <v>204</v>
      </c>
    </row>
    <row r="42" spans="1:23" x14ac:dyDescent="0.15">
      <c r="A42" t="s">
        <v>722</v>
      </c>
      <c r="B42" t="s">
        <v>48</v>
      </c>
      <c r="C42" t="s">
        <v>481</v>
      </c>
      <c r="D42" s="157">
        <v>40350</v>
      </c>
      <c r="J42">
        <v>5</v>
      </c>
      <c r="K42" t="s">
        <v>254</v>
      </c>
    </row>
    <row r="43" spans="1:23" x14ac:dyDescent="0.15">
      <c r="A43">
        <v>70</v>
      </c>
      <c r="B43" t="s">
        <v>151</v>
      </c>
      <c r="C43" t="s">
        <v>264</v>
      </c>
      <c r="D43" s="157">
        <v>40385</v>
      </c>
      <c r="J43">
        <v>4</v>
      </c>
      <c r="K43" t="s">
        <v>147</v>
      </c>
    </row>
    <row r="44" spans="1:23" x14ac:dyDescent="0.15">
      <c r="A44" t="s">
        <v>723</v>
      </c>
      <c r="B44" t="s">
        <v>254</v>
      </c>
      <c r="C44" t="s">
        <v>262</v>
      </c>
      <c r="D44" s="157">
        <v>40294</v>
      </c>
      <c r="J44">
        <v>4</v>
      </c>
      <c r="K44" t="s">
        <v>148</v>
      </c>
    </row>
    <row r="45" spans="1:23" x14ac:dyDescent="0.15">
      <c r="A45" t="s">
        <v>723</v>
      </c>
      <c r="B45" t="s">
        <v>408</v>
      </c>
      <c r="C45" t="s">
        <v>405</v>
      </c>
      <c r="D45" s="157">
        <v>40323</v>
      </c>
      <c r="J45">
        <v>4</v>
      </c>
      <c r="K45" t="s">
        <v>181</v>
      </c>
    </row>
    <row r="46" spans="1:23" x14ac:dyDescent="0.15">
      <c r="A46">
        <v>61</v>
      </c>
      <c r="B46" t="s">
        <v>254</v>
      </c>
      <c r="C46" t="s">
        <v>238</v>
      </c>
      <c r="D46" s="157">
        <v>40427</v>
      </c>
      <c r="J46">
        <v>3</v>
      </c>
      <c r="K46" t="s">
        <v>183</v>
      </c>
    </row>
    <row r="47" spans="1:23" x14ac:dyDescent="0.15">
      <c r="A47">
        <v>52</v>
      </c>
      <c r="B47" t="s">
        <v>552</v>
      </c>
      <c r="C47" t="s">
        <v>681</v>
      </c>
      <c r="D47" s="157">
        <v>40440</v>
      </c>
      <c r="J47">
        <v>2</v>
      </c>
      <c r="K47" t="s">
        <v>149</v>
      </c>
    </row>
    <row r="48" spans="1:23" x14ac:dyDescent="0.15">
      <c r="J48">
        <v>2</v>
      </c>
      <c r="K48" t="s">
        <v>44</v>
      </c>
    </row>
    <row r="49" spans="10:11" x14ac:dyDescent="0.15">
      <c r="J49">
        <v>2</v>
      </c>
      <c r="K49" t="s">
        <v>256</v>
      </c>
    </row>
    <row r="50" spans="10:11" x14ac:dyDescent="0.15">
      <c r="J50">
        <v>2</v>
      </c>
      <c r="K50" t="s">
        <v>228</v>
      </c>
    </row>
    <row r="51" spans="10:11" x14ac:dyDescent="0.15">
      <c r="J51">
        <v>2</v>
      </c>
      <c r="K51" t="s">
        <v>48</v>
      </c>
    </row>
    <row r="52" spans="10:11" x14ac:dyDescent="0.15">
      <c r="J52">
        <v>2</v>
      </c>
      <c r="K52" t="s">
        <v>425</v>
      </c>
    </row>
    <row r="53" spans="10:11" x14ac:dyDescent="0.15">
      <c r="J53">
        <v>2</v>
      </c>
      <c r="K53" t="s">
        <v>152</v>
      </c>
    </row>
    <row r="54" spans="10:11" x14ac:dyDescent="0.15">
      <c r="J54">
        <v>1</v>
      </c>
      <c r="K54" t="s">
        <v>276</v>
      </c>
    </row>
    <row r="55" spans="10:11" x14ac:dyDescent="0.15">
      <c r="J55">
        <v>1</v>
      </c>
      <c r="K55" t="s">
        <v>578</v>
      </c>
    </row>
    <row r="56" spans="10:11" x14ac:dyDescent="0.15">
      <c r="J56">
        <v>1</v>
      </c>
      <c r="K56" t="s">
        <v>231</v>
      </c>
    </row>
    <row r="57" spans="10:11" x14ac:dyDescent="0.15">
      <c r="J57">
        <v>1</v>
      </c>
      <c r="K57" t="s">
        <v>690</v>
      </c>
    </row>
    <row r="58" spans="10:11" x14ac:dyDescent="0.15">
      <c r="J58">
        <v>1</v>
      </c>
      <c r="K58" t="s">
        <v>408</v>
      </c>
    </row>
    <row r="59" spans="10:11" x14ac:dyDescent="0.15">
      <c r="J59">
        <v>1</v>
      </c>
      <c r="K59" t="s">
        <v>217</v>
      </c>
    </row>
    <row r="60" spans="10:11" x14ac:dyDescent="0.15">
      <c r="J60">
        <v>1</v>
      </c>
      <c r="K60" t="s">
        <v>552</v>
      </c>
    </row>
    <row r="61" spans="10:11" x14ac:dyDescent="0.15">
      <c r="J61">
        <v>1</v>
      </c>
      <c r="K61" t="s">
        <v>233</v>
      </c>
    </row>
    <row r="62" spans="10:11" x14ac:dyDescent="0.15">
      <c r="J62">
        <v>1</v>
      </c>
      <c r="K62" t="s">
        <v>219</v>
      </c>
    </row>
    <row r="63" spans="10:11" x14ac:dyDescent="0.15">
      <c r="J63">
        <v>0</v>
      </c>
      <c r="K63" t="s">
        <v>614</v>
      </c>
    </row>
    <row r="64" spans="10:11" x14ac:dyDescent="0.15">
      <c r="J64">
        <v>0</v>
      </c>
      <c r="K64" t="s">
        <v>311</v>
      </c>
    </row>
    <row r="65" spans="10:11" x14ac:dyDescent="0.15">
      <c r="J65">
        <v>0</v>
      </c>
      <c r="K65" t="s">
        <v>230</v>
      </c>
    </row>
    <row r="66" spans="10:11" x14ac:dyDescent="0.15">
      <c r="J66">
        <v>0</v>
      </c>
      <c r="K66" t="s">
        <v>599</v>
      </c>
    </row>
    <row r="67" spans="10:11" x14ac:dyDescent="0.15">
      <c r="J67">
        <v>0</v>
      </c>
      <c r="K67" t="s">
        <v>414</v>
      </c>
    </row>
    <row r="68" spans="10:11" x14ac:dyDescent="0.15">
      <c r="J68">
        <v>0</v>
      </c>
      <c r="K68" t="s">
        <v>150</v>
      </c>
    </row>
    <row r="69" spans="10:11" x14ac:dyDescent="0.15">
      <c r="J69">
        <v>0</v>
      </c>
      <c r="K69" t="s">
        <v>227</v>
      </c>
    </row>
    <row r="70" spans="10:11" x14ac:dyDescent="0.15">
      <c r="J70">
        <v>0</v>
      </c>
      <c r="K70" t="s">
        <v>579</v>
      </c>
    </row>
    <row r="71" spans="10:11" x14ac:dyDescent="0.15">
      <c r="J71">
        <v>0</v>
      </c>
      <c r="K71" t="s">
        <v>213</v>
      </c>
    </row>
    <row r="72" spans="10:11" x14ac:dyDescent="0.15">
      <c r="J72">
        <v>0</v>
      </c>
      <c r="K72" t="s">
        <v>153</v>
      </c>
    </row>
    <row r="73" spans="10:11" x14ac:dyDescent="0.15">
      <c r="J73">
        <v>0</v>
      </c>
      <c r="K73" t="s">
        <v>278</v>
      </c>
    </row>
  </sheetData>
  <sortState ref="J39:K73">
    <sortCondition descending="1" ref="J3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3"/>
  <sheetViews>
    <sheetView workbookViewId="0">
      <selection activeCell="F7" sqref="F7:J7"/>
    </sheetView>
  </sheetViews>
  <sheetFormatPr defaultRowHeight="10.5" x14ac:dyDescent="0.15"/>
  <cols>
    <col min="1" max="1" width="12.5703125" bestFit="1" customWidth="1"/>
    <col min="2" max="2" width="7.5703125" bestFit="1" customWidth="1"/>
    <col min="3" max="3" width="4.85546875" bestFit="1" customWidth="1"/>
    <col min="4" max="4" width="4.140625" bestFit="1" customWidth="1"/>
    <col min="5" max="5" width="6" bestFit="1" customWidth="1"/>
    <col min="6" max="8" width="4.7109375" bestFit="1" customWidth="1"/>
    <col min="9" max="10" width="3.7109375" bestFit="1" customWidth="1"/>
    <col min="11" max="11" width="4.140625" bestFit="1" customWidth="1"/>
    <col min="12" max="12" width="5.7109375" bestFit="1" customWidth="1"/>
    <col min="13" max="13" width="7.5703125" bestFit="1" customWidth="1"/>
    <col min="14" max="15" width="5.42578125" bestFit="1" customWidth="1"/>
    <col min="16" max="16" width="9.5703125" bestFit="1" customWidth="1"/>
    <col min="17" max="17" width="6.5703125" bestFit="1" customWidth="1"/>
    <col min="18" max="18" width="5.140625" bestFit="1" customWidth="1"/>
    <col min="19" max="19" width="12" bestFit="1" customWidth="1"/>
    <col min="20" max="21" width="5.140625" bestFit="1" customWidth="1"/>
    <col min="22" max="23" width="12" bestFit="1" customWidth="1"/>
    <col min="27" max="27" width="13.42578125" customWidth="1"/>
    <col min="28" max="28" width="16.7109375" customWidth="1"/>
    <col min="29" max="29" width="3.28515625" customWidth="1"/>
    <col min="30" max="30" width="2.7109375" customWidth="1"/>
    <col min="31" max="31" width="11.85546875" bestFit="1" customWidth="1"/>
  </cols>
  <sheetData>
    <row r="1" spans="1:32" x14ac:dyDescent="0.15">
      <c r="A1" t="s">
        <v>84</v>
      </c>
      <c r="B1" t="s">
        <v>5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214</v>
      </c>
      <c r="L1" t="s">
        <v>720</v>
      </c>
      <c r="M1" t="s">
        <v>21</v>
      </c>
      <c r="N1" t="s">
        <v>22</v>
      </c>
      <c r="O1" t="s">
        <v>23</v>
      </c>
      <c r="P1" t="s">
        <v>24</v>
      </c>
      <c r="Q1" t="s">
        <v>127</v>
      </c>
      <c r="R1" t="s">
        <v>128</v>
      </c>
      <c r="S1" t="s">
        <v>763</v>
      </c>
      <c r="T1" t="s">
        <v>724</v>
      </c>
      <c r="Y1" t="s">
        <v>725</v>
      </c>
      <c r="Z1" t="s">
        <v>151</v>
      </c>
      <c r="AA1" t="s">
        <v>732</v>
      </c>
      <c r="AB1" t="s">
        <v>149</v>
      </c>
      <c r="AC1" t="s">
        <v>734</v>
      </c>
      <c r="AD1" t="s">
        <v>231</v>
      </c>
    </row>
    <row r="2" spans="1:32" x14ac:dyDescent="0.15">
      <c r="A2" t="s">
        <v>219</v>
      </c>
      <c r="B2">
        <v>16</v>
      </c>
      <c r="C2">
        <v>0</v>
      </c>
      <c r="D2">
        <v>0</v>
      </c>
      <c r="E2">
        <v>3</v>
      </c>
      <c r="F2">
        <v>7</v>
      </c>
      <c r="G2">
        <v>2</v>
      </c>
      <c r="H2">
        <v>5</v>
      </c>
      <c r="I2">
        <v>0</v>
      </c>
      <c r="J2">
        <v>1</v>
      </c>
      <c r="K2">
        <v>0</v>
      </c>
      <c r="L2">
        <v>0</v>
      </c>
      <c r="M2">
        <v>1</v>
      </c>
      <c r="N2">
        <v>10</v>
      </c>
      <c r="O2">
        <v>0</v>
      </c>
      <c r="P2">
        <v>0</v>
      </c>
      <c r="Q2">
        <v>0</v>
      </c>
      <c r="R2">
        <v>0</v>
      </c>
      <c r="S2">
        <f t="shared" ref="S2:S19" si="0">SUM(F2:K2)</f>
        <v>15</v>
      </c>
      <c r="T2" t="str">
        <f t="shared" ref="T2:T19" si="1">A2</f>
        <v>Smith C</v>
      </c>
      <c r="Y2" t="s">
        <v>726</v>
      </c>
      <c r="Z2" t="s">
        <v>297</v>
      </c>
      <c r="AA2" t="s">
        <v>733</v>
      </c>
      <c r="AB2" t="s">
        <v>44</v>
      </c>
      <c r="AC2" t="s">
        <v>734</v>
      </c>
      <c r="AD2" t="s">
        <v>578</v>
      </c>
    </row>
    <row r="3" spans="1:32" x14ac:dyDescent="0.15">
      <c r="A3" t="s">
        <v>297</v>
      </c>
      <c r="B3">
        <v>18</v>
      </c>
      <c r="C3">
        <v>0</v>
      </c>
      <c r="D3">
        <v>0</v>
      </c>
      <c r="E3">
        <v>0</v>
      </c>
      <c r="F3">
        <v>7</v>
      </c>
      <c r="G3">
        <v>6</v>
      </c>
      <c r="H3">
        <v>0</v>
      </c>
      <c r="I3">
        <v>1</v>
      </c>
      <c r="J3">
        <v>0</v>
      </c>
      <c r="K3">
        <v>0</v>
      </c>
      <c r="L3">
        <v>0</v>
      </c>
      <c r="M3">
        <v>8</v>
      </c>
      <c r="N3">
        <v>19</v>
      </c>
      <c r="O3">
        <v>3</v>
      </c>
      <c r="P3">
        <v>0</v>
      </c>
      <c r="Q3">
        <v>0</v>
      </c>
      <c r="R3">
        <v>1</v>
      </c>
      <c r="S3">
        <f t="shared" si="0"/>
        <v>14</v>
      </c>
      <c r="T3" t="str">
        <f t="shared" si="1"/>
        <v>Nair S</v>
      </c>
      <c r="Y3" t="s">
        <v>727</v>
      </c>
      <c r="Z3" t="s">
        <v>204</v>
      </c>
      <c r="AA3" t="s">
        <v>733</v>
      </c>
      <c r="AB3" t="s">
        <v>256</v>
      </c>
      <c r="AC3" t="s">
        <v>734</v>
      </c>
      <c r="AD3" t="s">
        <v>408</v>
      </c>
    </row>
    <row r="4" spans="1:32" x14ac:dyDescent="0.15">
      <c r="A4" t="s">
        <v>151</v>
      </c>
      <c r="B4">
        <v>13</v>
      </c>
      <c r="C4">
        <v>1</v>
      </c>
      <c r="D4">
        <v>2</v>
      </c>
      <c r="E4">
        <v>1</v>
      </c>
      <c r="F4">
        <v>5</v>
      </c>
      <c r="G4">
        <v>5</v>
      </c>
      <c r="H4">
        <v>1</v>
      </c>
      <c r="I4">
        <v>0</v>
      </c>
      <c r="J4">
        <v>0</v>
      </c>
      <c r="K4">
        <v>0</v>
      </c>
      <c r="L4">
        <v>2</v>
      </c>
      <c r="M4">
        <v>10</v>
      </c>
      <c r="N4">
        <v>36</v>
      </c>
      <c r="O4">
        <v>11</v>
      </c>
      <c r="P4">
        <v>0</v>
      </c>
      <c r="Q4">
        <v>2</v>
      </c>
      <c r="R4">
        <v>4</v>
      </c>
      <c r="S4">
        <f t="shared" si="0"/>
        <v>11</v>
      </c>
      <c r="T4" t="str">
        <f t="shared" si="1"/>
        <v>Sharpe D</v>
      </c>
      <c r="Y4" t="s">
        <v>728</v>
      </c>
      <c r="Z4" t="s">
        <v>254</v>
      </c>
      <c r="AA4" t="s">
        <v>732</v>
      </c>
      <c r="AB4" t="s">
        <v>228</v>
      </c>
      <c r="AC4" t="s">
        <v>734</v>
      </c>
      <c r="AD4" t="s">
        <v>690</v>
      </c>
    </row>
    <row r="5" spans="1:32" x14ac:dyDescent="0.15">
      <c r="A5" t="s">
        <v>228</v>
      </c>
      <c r="B5">
        <v>13</v>
      </c>
      <c r="C5">
        <v>0</v>
      </c>
      <c r="D5">
        <v>4</v>
      </c>
      <c r="E5">
        <v>2</v>
      </c>
      <c r="F5">
        <v>8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2</v>
      </c>
      <c r="N5">
        <v>9</v>
      </c>
      <c r="O5">
        <v>0</v>
      </c>
      <c r="P5">
        <v>0</v>
      </c>
      <c r="Q5">
        <v>1</v>
      </c>
      <c r="R5">
        <v>0</v>
      </c>
      <c r="S5">
        <f t="shared" si="0"/>
        <v>10</v>
      </c>
      <c r="T5" t="str">
        <f t="shared" si="1"/>
        <v>Johnson A</v>
      </c>
      <c r="Y5" t="s">
        <v>729</v>
      </c>
      <c r="Z5" t="s">
        <v>147</v>
      </c>
      <c r="AA5" t="s">
        <v>733</v>
      </c>
      <c r="AB5" t="s">
        <v>48</v>
      </c>
      <c r="AC5" t="s">
        <v>734</v>
      </c>
      <c r="AD5" t="s">
        <v>217</v>
      </c>
    </row>
    <row r="6" spans="1:32" x14ac:dyDescent="0.15">
      <c r="A6" t="s">
        <v>233</v>
      </c>
      <c r="B6">
        <v>13</v>
      </c>
      <c r="C6">
        <v>0</v>
      </c>
      <c r="D6">
        <v>0</v>
      </c>
      <c r="E6">
        <v>2</v>
      </c>
      <c r="F6">
        <v>6</v>
      </c>
      <c r="G6">
        <v>0</v>
      </c>
      <c r="H6">
        <v>3</v>
      </c>
      <c r="I6">
        <v>0</v>
      </c>
      <c r="J6">
        <v>0</v>
      </c>
      <c r="K6">
        <v>0</v>
      </c>
      <c r="L6">
        <v>0</v>
      </c>
      <c r="M6">
        <v>1</v>
      </c>
      <c r="N6">
        <v>8</v>
      </c>
      <c r="O6">
        <v>0</v>
      </c>
      <c r="P6">
        <v>0</v>
      </c>
      <c r="Q6">
        <v>0</v>
      </c>
      <c r="R6">
        <v>0</v>
      </c>
      <c r="S6">
        <f t="shared" si="0"/>
        <v>9</v>
      </c>
      <c r="T6" t="str">
        <f t="shared" si="1"/>
        <v>Seymour C</v>
      </c>
      <c r="Y6" t="s">
        <v>729</v>
      </c>
      <c r="Z6" t="s">
        <v>148</v>
      </c>
      <c r="AA6" t="s">
        <v>733</v>
      </c>
      <c r="AB6" t="s">
        <v>425</v>
      </c>
      <c r="AC6" t="s">
        <v>734</v>
      </c>
      <c r="AD6" t="s">
        <v>552</v>
      </c>
    </row>
    <row r="7" spans="1:32" x14ac:dyDescent="0.15">
      <c r="A7" t="s">
        <v>181</v>
      </c>
      <c r="B7">
        <v>10</v>
      </c>
      <c r="C7">
        <v>0</v>
      </c>
      <c r="D7">
        <v>2</v>
      </c>
      <c r="E7">
        <v>1</v>
      </c>
      <c r="F7">
        <v>2</v>
      </c>
      <c r="G7">
        <v>3</v>
      </c>
      <c r="H7">
        <v>2</v>
      </c>
      <c r="I7">
        <v>1</v>
      </c>
      <c r="J7">
        <v>1</v>
      </c>
      <c r="K7">
        <v>0</v>
      </c>
      <c r="L7">
        <v>0</v>
      </c>
      <c r="M7">
        <v>4</v>
      </c>
      <c r="N7">
        <v>5</v>
      </c>
      <c r="O7">
        <v>0</v>
      </c>
      <c r="P7">
        <v>1</v>
      </c>
      <c r="Q7">
        <v>2</v>
      </c>
      <c r="R7">
        <v>0</v>
      </c>
      <c r="S7">
        <f t="shared" si="0"/>
        <v>9</v>
      </c>
      <c r="T7" t="str">
        <f t="shared" si="1"/>
        <v>Edghill C</v>
      </c>
      <c r="Y7" t="s">
        <v>730</v>
      </c>
      <c r="Z7" t="s">
        <v>181</v>
      </c>
      <c r="AA7" t="s">
        <v>733</v>
      </c>
      <c r="AB7" t="s">
        <v>152</v>
      </c>
      <c r="AC7" t="s">
        <v>734</v>
      </c>
      <c r="AD7" t="s">
        <v>233</v>
      </c>
    </row>
    <row r="8" spans="1:32" x14ac:dyDescent="0.15">
      <c r="A8" t="s">
        <v>152</v>
      </c>
      <c r="B8">
        <v>9</v>
      </c>
      <c r="C8">
        <v>0</v>
      </c>
      <c r="D8">
        <v>0</v>
      </c>
      <c r="E8">
        <v>1</v>
      </c>
      <c r="F8">
        <v>6</v>
      </c>
      <c r="G8">
        <v>3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8</v>
      </c>
      <c r="O8">
        <v>1</v>
      </c>
      <c r="P8">
        <v>0</v>
      </c>
      <c r="Q8">
        <v>0</v>
      </c>
      <c r="R8">
        <v>1</v>
      </c>
      <c r="S8">
        <f t="shared" si="0"/>
        <v>9</v>
      </c>
      <c r="T8" t="str">
        <f t="shared" si="1"/>
        <v>Woodhouse M</v>
      </c>
      <c r="Y8" t="s">
        <v>731</v>
      </c>
      <c r="Z8" t="s">
        <v>183</v>
      </c>
      <c r="AA8" t="s">
        <v>734</v>
      </c>
      <c r="AB8" t="s">
        <v>276</v>
      </c>
      <c r="AC8" t="s">
        <v>734</v>
      </c>
      <c r="AD8" t="s">
        <v>219</v>
      </c>
    </row>
    <row r="9" spans="1:32" x14ac:dyDescent="0.15">
      <c r="A9" t="s">
        <v>204</v>
      </c>
      <c r="B9">
        <v>9</v>
      </c>
      <c r="C9">
        <v>0</v>
      </c>
      <c r="D9">
        <v>8</v>
      </c>
      <c r="E9">
        <v>0</v>
      </c>
      <c r="F9">
        <v>3</v>
      </c>
      <c r="G9">
        <v>5</v>
      </c>
      <c r="H9">
        <v>0</v>
      </c>
      <c r="I9">
        <v>0</v>
      </c>
      <c r="J9">
        <v>1</v>
      </c>
      <c r="K9">
        <v>0</v>
      </c>
      <c r="L9">
        <v>0</v>
      </c>
      <c r="M9">
        <v>5</v>
      </c>
      <c r="N9">
        <v>29</v>
      </c>
      <c r="O9">
        <v>0</v>
      </c>
      <c r="P9">
        <v>3</v>
      </c>
      <c r="Q9">
        <v>3</v>
      </c>
      <c r="R9">
        <v>3</v>
      </c>
      <c r="S9">
        <f t="shared" si="0"/>
        <v>9</v>
      </c>
      <c r="T9" t="str">
        <f t="shared" si="1"/>
        <v>Greyling R</v>
      </c>
    </row>
    <row r="10" spans="1:32" x14ac:dyDescent="0.15">
      <c r="A10" t="s">
        <v>254</v>
      </c>
      <c r="B10">
        <v>12</v>
      </c>
      <c r="C10">
        <v>0</v>
      </c>
      <c r="D10">
        <v>0</v>
      </c>
      <c r="E10">
        <v>2</v>
      </c>
      <c r="F10">
        <v>2</v>
      </c>
      <c r="G10">
        <v>3</v>
      </c>
      <c r="H10">
        <v>3</v>
      </c>
      <c r="I10">
        <v>0</v>
      </c>
      <c r="J10">
        <v>0</v>
      </c>
      <c r="K10">
        <v>0</v>
      </c>
      <c r="L10">
        <v>2</v>
      </c>
      <c r="M10">
        <v>5</v>
      </c>
      <c r="N10">
        <v>30</v>
      </c>
      <c r="O10">
        <v>7</v>
      </c>
      <c r="P10">
        <v>0</v>
      </c>
      <c r="Q10">
        <v>0</v>
      </c>
      <c r="R10">
        <v>5</v>
      </c>
      <c r="S10">
        <f t="shared" si="0"/>
        <v>8</v>
      </c>
      <c r="T10" t="str">
        <f t="shared" si="1"/>
        <v>Middleton J</v>
      </c>
    </row>
    <row r="11" spans="1:32" x14ac:dyDescent="0.15">
      <c r="A11" t="s">
        <v>276</v>
      </c>
      <c r="B11">
        <v>10</v>
      </c>
      <c r="C11">
        <v>0</v>
      </c>
      <c r="D11">
        <v>0</v>
      </c>
      <c r="E11">
        <v>2</v>
      </c>
      <c r="F11">
        <v>2</v>
      </c>
      <c r="G11">
        <v>3</v>
      </c>
      <c r="H11">
        <v>1</v>
      </c>
      <c r="I11">
        <v>1</v>
      </c>
      <c r="J11">
        <v>0</v>
      </c>
      <c r="K11">
        <v>0</v>
      </c>
      <c r="L11">
        <v>0</v>
      </c>
      <c r="M11">
        <v>1</v>
      </c>
      <c r="N11">
        <v>14</v>
      </c>
      <c r="O11">
        <v>2</v>
      </c>
      <c r="P11">
        <v>0</v>
      </c>
      <c r="Q11">
        <v>0</v>
      </c>
      <c r="R11">
        <v>1</v>
      </c>
      <c r="S11">
        <f t="shared" si="0"/>
        <v>7</v>
      </c>
      <c r="T11" t="str">
        <f t="shared" si="1"/>
        <v>Clarkson M</v>
      </c>
    </row>
    <row r="12" spans="1:32" x14ac:dyDescent="0.15">
      <c r="A12" t="s">
        <v>147</v>
      </c>
      <c r="B12">
        <v>18</v>
      </c>
      <c r="C12">
        <v>0</v>
      </c>
      <c r="D12">
        <v>0</v>
      </c>
      <c r="E12">
        <v>1</v>
      </c>
      <c r="F12">
        <v>6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4</v>
      </c>
      <c r="N12">
        <v>14</v>
      </c>
      <c r="O12">
        <v>0</v>
      </c>
      <c r="P12">
        <v>0</v>
      </c>
      <c r="Q12">
        <v>0</v>
      </c>
      <c r="R12">
        <v>0</v>
      </c>
      <c r="S12">
        <f t="shared" si="0"/>
        <v>7</v>
      </c>
      <c r="T12" t="str">
        <f t="shared" si="1"/>
        <v>Bowers M</v>
      </c>
    </row>
    <row r="13" spans="1:32" x14ac:dyDescent="0.15">
      <c r="A13" t="s">
        <v>48</v>
      </c>
      <c r="B13">
        <v>8</v>
      </c>
      <c r="C13">
        <v>0</v>
      </c>
      <c r="D13">
        <v>0</v>
      </c>
      <c r="E13">
        <v>0</v>
      </c>
      <c r="F13">
        <v>4</v>
      </c>
      <c r="G13">
        <v>2</v>
      </c>
      <c r="H13">
        <v>0</v>
      </c>
      <c r="I13">
        <v>1</v>
      </c>
      <c r="J13">
        <v>0</v>
      </c>
      <c r="K13">
        <v>0</v>
      </c>
      <c r="L13">
        <v>3</v>
      </c>
      <c r="M13">
        <v>2</v>
      </c>
      <c r="N13">
        <v>52</v>
      </c>
      <c r="O13">
        <v>5</v>
      </c>
      <c r="P13">
        <v>0</v>
      </c>
      <c r="Q13">
        <v>0</v>
      </c>
      <c r="R13">
        <v>5</v>
      </c>
      <c r="S13">
        <f t="shared" si="0"/>
        <v>7</v>
      </c>
      <c r="T13" t="str">
        <f t="shared" si="1"/>
        <v>Leadley J</v>
      </c>
    </row>
    <row r="14" spans="1:32" x14ac:dyDescent="0.15">
      <c r="A14" t="s">
        <v>425</v>
      </c>
      <c r="B14">
        <v>6</v>
      </c>
      <c r="C14">
        <v>0</v>
      </c>
      <c r="D14">
        <v>0</v>
      </c>
      <c r="E14">
        <v>3</v>
      </c>
      <c r="F14">
        <v>3</v>
      </c>
      <c r="G14">
        <v>2</v>
      </c>
      <c r="H14">
        <v>1</v>
      </c>
      <c r="I14">
        <v>0</v>
      </c>
      <c r="J14">
        <v>0</v>
      </c>
      <c r="K14">
        <v>0</v>
      </c>
      <c r="L14">
        <v>0</v>
      </c>
      <c r="M14">
        <v>2</v>
      </c>
      <c r="N14">
        <v>1</v>
      </c>
      <c r="O14">
        <v>0</v>
      </c>
      <c r="P14">
        <v>0</v>
      </c>
      <c r="Q14">
        <v>0</v>
      </c>
      <c r="R14">
        <v>0</v>
      </c>
      <c r="S14">
        <f t="shared" si="0"/>
        <v>6</v>
      </c>
      <c r="T14" t="str">
        <f t="shared" si="1"/>
        <v>Lovell A</v>
      </c>
    </row>
    <row r="15" spans="1:32" x14ac:dyDescent="0.15">
      <c r="A15" t="s">
        <v>579</v>
      </c>
      <c r="B15">
        <v>6</v>
      </c>
      <c r="C15">
        <v>0</v>
      </c>
      <c r="D15">
        <v>0</v>
      </c>
      <c r="E15">
        <v>1</v>
      </c>
      <c r="F15">
        <v>3</v>
      </c>
      <c r="G15">
        <v>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f t="shared" si="0"/>
        <v>6</v>
      </c>
      <c r="T15" t="str">
        <f t="shared" si="1"/>
        <v>Walker G</v>
      </c>
      <c r="Y15">
        <v>52</v>
      </c>
      <c r="Z15" t="s">
        <v>48</v>
      </c>
      <c r="AA15">
        <v>14</v>
      </c>
      <c r="AB15" t="s">
        <v>147</v>
      </c>
      <c r="AC15">
        <v>8</v>
      </c>
      <c r="AD15" t="s">
        <v>152</v>
      </c>
      <c r="AE15">
        <v>1</v>
      </c>
      <c r="AF15" t="s">
        <v>217</v>
      </c>
    </row>
    <row r="16" spans="1:32" x14ac:dyDescent="0.15">
      <c r="A16" t="s">
        <v>183</v>
      </c>
      <c r="B16">
        <v>9</v>
      </c>
      <c r="C16">
        <v>1</v>
      </c>
      <c r="D16">
        <v>1</v>
      </c>
      <c r="E16">
        <v>0</v>
      </c>
      <c r="F16">
        <v>4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3</v>
      </c>
      <c r="N16">
        <v>7</v>
      </c>
      <c r="O16">
        <v>0</v>
      </c>
      <c r="P16">
        <v>0</v>
      </c>
      <c r="Q16">
        <v>1</v>
      </c>
      <c r="R16">
        <v>0</v>
      </c>
      <c r="S16">
        <f t="shared" si="0"/>
        <v>6</v>
      </c>
      <c r="T16" t="str">
        <f t="shared" si="1"/>
        <v>Lestrelle A</v>
      </c>
      <c r="Y16">
        <v>36</v>
      </c>
      <c r="Z16" t="s">
        <v>151</v>
      </c>
      <c r="AA16">
        <v>14</v>
      </c>
      <c r="AB16" t="s">
        <v>276</v>
      </c>
      <c r="AC16">
        <v>7</v>
      </c>
      <c r="AD16" t="s">
        <v>183</v>
      </c>
      <c r="AE16">
        <v>1</v>
      </c>
      <c r="AF16" t="s">
        <v>425</v>
      </c>
    </row>
    <row r="17" spans="1:32" x14ac:dyDescent="0.15">
      <c r="A17" t="s">
        <v>153</v>
      </c>
      <c r="B17">
        <v>6</v>
      </c>
      <c r="C17">
        <v>0</v>
      </c>
      <c r="D17">
        <v>5</v>
      </c>
      <c r="E17">
        <v>0</v>
      </c>
      <c r="F17">
        <v>1</v>
      </c>
      <c r="G17">
        <v>3</v>
      </c>
      <c r="H17">
        <v>2</v>
      </c>
      <c r="I17">
        <v>0</v>
      </c>
      <c r="J17">
        <v>0</v>
      </c>
      <c r="K17">
        <v>0</v>
      </c>
      <c r="L17">
        <v>0</v>
      </c>
      <c r="M17">
        <v>0</v>
      </c>
      <c r="N17">
        <v>23</v>
      </c>
      <c r="O17">
        <v>0</v>
      </c>
      <c r="P17">
        <v>0</v>
      </c>
      <c r="Q17">
        <v>0</v>
      </c>
      <c r="R17">
        <v>3</v>
      </c>
      <c r="S17">
        <f t="shared" si="0"/>
        <v>6</v>
      </c>
      <c r="T17" t="str">
        <f t="shared" si="1"/>
        <v>Worthington R</v>
      </c>
      <c r="Y17">
        <v>30</v>
      </c>
      <c r="Z17" t="s">
        <v>254</v>
      </c>
      <c r="AA17">
        <v>10</v>
      </c>
      <c r="AB17" t="s">
        <v>219</v>
      </c>
      <c r="AC17">
        <v>5</v>
      </c>
      <c r="AD17" t="s">
        <v>578</v>
      </c>
      <c r="AE17">
        <v>1</v>
      </c>
      <c r="AF17" t="s">
        <v>579</v>
      </c>
    </row>
    <row r="18" spans="1:32" x14ac:dyDescent="0.15">
      <c r="A18" t="s">
        <v>148</v>
      </c>
      <c r="B18">
        <v>23</v>
      </c>
      <c r="C18">
        <v>21</v>
      </c>
      <c r="D18">
        <v>0</v>
      </c>
      <c r="E18">
        <v>4</v>
      </c>
      <c r="F18">
        <v>4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4</v>
      </c>
      <c r="N18">
        <v>4</v>
      </c>
      <c r="O18">
        <v>0</v>
      </c>
      <c r="P18">
        <v>0</v>
      </c>
      <c r="Q18">
        <v>0</v>
      </c>
      <c r="R18">
        <v>0</v>
      </c>
      <c r="S18">
        <f t="shared" si="0"/>
        <v>5</v>
      </c>
      <c r="T18" t="str">
        <f t="shared" si="1"/>
        <v>Clark C</v>
      </c>
      <c r="Y18">
        <v>29</v>
      </c>
      <c r="Z18" t="s">
        <v>204</v>
      </c>
      <c r="AA18">
        <v>9</v>
      </c>
      <c r="AB18" t="s">
        <v>44</v>
      </c>
      <c r="AC18">
        <v>5</v>
      </c>
      <c r="AD18" t="s">
        <v>181</v>
      </c>
      <c r="AE18">
        <v>1</v>
      </c>
      <c r="AF18" t="s">
        <v>278</v>
      </c>
    </row>
    <row r="19" spans="1:32" x14ac:dyDescent="0.15">
      <c r="A19" t="s">
        <v>256</v>
      </c>
      <c r="B19">
        <v>5</v>
      </c>
      <c r="C19">
        <v>0</v>
      </c>
      <c r="D19">
        <v>0</v>
      </c>
      <c r="E19">
        <v>2</v>
      </c>
      <c r="F19">
        <v>3</v>
      </c>
      <c r="G19">
        <v>0</v>
      </c>
      <c r="H19">
        <v>2</v>
      </c>
      <c r="I19">
        <v>0</v>
      </c>
      <c r="J19">
        <v>0</v>
      </c>
      <c r="K19">
        <v>0</v>
      </c>
      <c r="L19">
        <v>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f t="shared" si="0"/>
        <v>5</v>
      </c>
      <c r="T19" t="str">
        <f t="shared" si="1"/>
        <v>Davies R</v>
      </c>
      <c r="Y19">
        <v>25</v>
      </c>
      <c r="Z19" t="s">
        <v>552</v>
      </c>
      <c r="AA19">
        <v>9</v>
      </c>
      <c r="AB19" t="s">
        <v>408</v>
      </c>
      <c r="AC19">
        <v>4</v>
      </c>
      <c r="AD19" t="s">
        <v>148</v>
      </c>
    </row>
    <row r="20" spans="1:32" x14ac:dyDescent="0.15">
      <c r="Y20">
        <v>23</v>
      </c>
      <c r="Z20" t="s">
        <v>153</v>
      </c>
      <c r="AA20">
        <v>9</v>
      </c>
      <c r="AB20" t="s">
        <v>228</v>
      </c>
      <c r="AC20">
        <v>3</v>
      </c>
      <c r="AD20" t="s">
        <v>614</v>
      </c>
    </row>
    <row r="21" spans="1:32" x14ac:dyDescent="0.15">
      <c r="A21" t="s">
        <v>217</v>
      </c>
      <c r="B21">
        <v>9</v>
      </c>
      <c r="C21">
        <v>0</v>
      </c>
      <c r="D21">
        <v>0</v>
      </c>
      <c r="E21">
        <v>3</v>
      </c>
      <c r="F21">
        <v>1</v>
      </c>
      <c r="G21">
        <v>1</v>
      </c>
      <c r="H21">
        <v>2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0</v>
      </c>
      <c r="P21">
        <v>0</v>
      </c>
      <c r="Q21">
        <v>0</v>
      </c>
      <c r="R21">
        <v>0</v>
      </c>
      <c r="S21">
        <f t="shared" ref="S21:S37" si="2">SUM(F21:K21)</f>
        <v>4</v>
      </c>
      <c r="T21" t="str">
        <f t="shared" ref="T21:T37" si="3">A21</f>
        <v>Kiernan M</v>
      </c>
      <c r="Y21">
        <v>19</v>
      </c>
      <c r="Z21" t="s">
        <v>297</v>
      </c>
      <c r="AA21">
        <v>8</v>
      </c>
      <c r="AB21" t="s">
        <v>233</v>
      </c>
      <c r="AC21">
        <v>2</v>
      </c>
      <c r="AD21" t="s">
        <v>149</v>
      </c>
    </row>
    <row r="22" spans="1:32" x14ac:dyDescent="0.15">
      <c r="A22" t="s">
        <v>578</v>
      </c>
      <c r="B22">
        <v>4</v>
      </c>
      <c r="C22">
        <v>0</v>
      </c>
      <c r="D22">
        <v>0</v>
      </c>
      <c r="E22">
        <v>1</v>
      </c>
      <c r="F22">
        <v>2</v>
      </c>
      <c r="G22">
        <v>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5</v>
      </c>
      <c r="O22">
        <v>2</v>
      </c>
      <c r="P22">
        <v>0</v>
      </c>
      <c r="Q22">
        <v>0</v>
      </c>
      <c r="R22">
        <v>0</v>
      </c>
      <c r="S22">
        <f t="shared" si="2"/>
        <v>4</v>
      </c>
      <c r="T22" t="str">
        <f t="shared" si="3"/>
        <v>Dickson G</v>
      </c>
    </row>
    <row r="23" spans="1:32" x14ac:dyDescent="0.15">
      <c r="A23" t="s">
        <v>552</v>
      </c>
      <c r="B23">
        <v>5</v>
      </c>
      <c r="C23">
        <v>0</v>
      </c>
      <c r="D23">
        <v>0</v>
      </c>
      <c r="E23">
        <v>0</v>
      </c>
      <c r="F23">
        <v>0</v>
      </c>
      <c r="G23">
        <v>4</v>
      </c>
      <c r="H23">
        <v>0</v>
      </c>
      <c r="I23">
        <v>0</v>
      </c>
      <c r="J23">
        <v>0</v>
      </c>
      <c r="K23">
        <v>0</v>
      </c>
      <c r="L23">
        <v>2</v>
      </c>
      <c r="M23">
        <v>1</v>
      </c>
      <c r="N23">
        <v>25</v>
      </c>
      <c r="O23">
        <v>0</v>
      </c>
      <c r="P23">
        <v>0</v>
      </c>
      <c r="Q23">
        <v>0</v>
      </c>
      <c r="R23">
        <v>2</v>
      </c>
      <c r="S23">
        <f t="shared" si="2"/>
        <v>4</v>
      </c>
      <c r="T23" t="str">
        <f t="shared" si="3"/>
        <v>Rao A</v>
      </c>
    </row>
    <row r="24" spans="1:32" x14ac:dyDescent="0.15">
      <c r="A24" t="s">
        <v>614</v>
      </c>
      <c r="B24">
        <v>3</v>
      </c>
      <c r="C24">
        <v>0</v>
      </c>
      <c r="D24">
        <v>0</v>
      </c>
      <c r="E24">
        <v>1</v>
      </c>
      <c r="F24">
        <v>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</v>
      </c>
      <c r="O24">
        <v>0</v>
      </c>
      <c r="P24">
        <v>0</v>
      </c>
      <c r="Q24">
        <v>0</v>
      </c>
      <c r="R24">
        <v>0</v>
      </c>
      <c r="S24">
        <f t="shared" si="2"/>
        <v>3</v>
      </c>
      <c r="T24" t="str">
        <f t="shared" si="3"/>
        <v>Childs S</v>
      </c>
    </row>
    <row r="25" spans="1:32" x14ac:dyDescent="0.15">
      <c r="A25" t="s">
        <v>231</v>
      </c>
      <c r="B25">
        <v>4</v>
      </c>
      <c r="C25">
        <v>0</v>
      </c>
      <c r="D25">
        <v>0</v>
      </c>
      <c r="E25">
        <v>1</v>
      </c>
      <c r="F25">
        <v>1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f t="shared" si="2"/>
        <v>2</v>
      </c>
      <c r="T25" t="str">
        <f t="shared" si="3"/>
        <v>de Souza C</v>
      </c>
    </row>
    <row r="26" spans="1:32" x14ac:dyDescent="0.15">
      <c r="A26" t="s">
        <v>230</v>
      </c>
      <c r="B26">
        <v>2</v>
      </c>
      <c r="C26">
        <v>0</v>
      </c>
      <c r="D26">
        <v>0</v>
      </c>
      <c r="E26">
        <v>1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f t="shared" si="2"/>
        <v>2</v>
      </c>
      <c r="T26" t="str">
        <f t="shared" si="3"/>
        <v>Edghill D</v>
      </c>
    </row>
    <row r="27" spans="1:32" x14ac:dyDescent="0.15">
      <c r="A27" t="s">
        <v>44</v>
      </c>
      <c r="B27">
        <v>9</v>
      </c>
      <c r="C27">
        <v>0</v>
      </c>
      <c r="D27">
        <v>0</v>
      </c>
      <c r="E27">
        <v>0</v>
      </c>
      <c r="F27">
        <v>0</v>
      </c>
      <c r="G27">
        <v>0</v>
      </c>
      <c r="H27">
        <v>2</v>
      </c>
      <c r="I27">
        <v>0</v>
      </c>
      <c r="J27">
        <v>0</v>
      </c>
      <c r="K27">
        <v>0</v>
      </c>
      <c r="L27">
        <v>0</v>
      </c>
      <c r="M27">
        <v>2</v>
      </c>
      <c r="N27">
        <v>9</v>
      </c>
      <c r="O27">
        <v>0</v>
      </c>
      <c r="P27">
        <v>0</v>
      </c>
      <c r="Q27">
        <v>0</v>
      </c>
      <c r="R27">
        <v>1</v>
      </c>
      <c r="S27">
        <f t="shared" si="2"/>
        <v>2</v>
      </c>
      <c r="T27" t="str">
        <f t="shared" si="3"/>
        <v>Cooper G</v>
      </c>
      <c r="W27">
        <v>23</v>
      </c>
      <c r="X27" t="s">
        <v>148</v>
      </c>
      <c r="Y27">
        <v>10</v>
      </c>
      <c r="Z27" t="s">
        <v>181</v>
      </c>
      <c r="AA27">
        <v>6</v>
      </c>
      <c r="AB27" t="s">
        <v>153</v>
      </c>
      <c r="AC27">
        <v>1</v>
      </c>
      <c r="AD27" t="s">
        <v>311</v>
      </c>
    </row>
    <row r="28" spans="1:32" x14ac:dyDescent="0.15">
      <c r="A28" t="s">
        <v>599</v>
      </c>
      <c r="B28">
        <v>2</v>
      </c>
      <c r="C28">
        <v>0</v>
      </c>
      <c r="D28">
        <v>0</v>
      </c>
      <c r="E28">
        <v>0</v>
      </c>
      <c r="F28">
        <v>0</v>
      </c>
      <c r="G28">
        <v>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f t="shared" si="2"/>
        <v>2</v>
      </c>
      <c r="T28" t="str">
        <f t="shared" si="3"/>
        <v>Edghill R</v>
      </c>
      <c r="W28">
        <v>18</v>
      </c>
      <c r="X28" t="s">
        <v>147</v>
      </c>
      <c r="Y28">
        <v>9</v>
      </c>
      <c r="Z28" t="s">
        <v>44</v>
      </c>
      <c r="AA28">
        <v>5</v>
      </c>
      <c r="AB28" t="s">
        <v>256</v>
      </c>
      <c r="AC28">
        <v>1</v>
      </c>
      <c r="AD28" t="s">
        <v>408</v>
      </c>
    </row>
    <row r="29" spans="1:32" x14ac:dyDescent="0.15">
      <c r="A29" t="s">
        <v>149</v>
      </c>
      <c r="B29">
        <v>2</v>
      </c>
      <c r="C29">
        <v>0</v>
      </c>
      <c r="D29">
        <v>1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2</v>
      </c>
      <c r="N29">
        <v>2</v>
      </c>
      <c r="O29">
        <v>0</v>
      </c>
      <c r="P29">
        <v>0</v>
      </c>
      <c r="Q29">
        <v>1</v>
      </c>
      <c r="R29">
        <v>0</v>
      </c>
      <c r="S29">
        <f t="shared" si="2"/>
        <v>1</v>
      </c>
      <c r="T29" t="str">
        <f t="shared" si="3"/>
        <v>Coloe A</v>
      </c>
      <c r="W29">
        <v>18</v>
      </c>
      <c r="X29" t="s">
        <v>297</v>
      </c>
      <c r="Y29">
        <v>9</v>
      </c>
      <c r="Z29" t="s">
        <v>204</v>
      </c>
      <c r="AA29">
        <v>5</v>
      </c>
      <c r="AB29" t="s">
        <v>552</v>
      </c>
      <c r="AC29">
        <v>1</v>
      </c>
      <c r="AD29" t="s">
        <v>414</v>
      </c>
    </row>
    <row r="30" spans="1:32" x14ac:dyDescent="0.15">
      <c r="A30" t="s">
        <v>311</v>
      </c>
      <c r="B30">
        <v>1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f t="shared" si="2"/>
        <v>1</v>
      </c>
      <c r="T30" t="str">
        <f t="shared" si="3"/>
        <v>Donnelly</v>
      </c>
      <c r="W30">
        <v>16</v>
      </c>
      <c r="X30" t="s">
        <v>219</v>
      </c>
      <c r="Y30">
        <v>9</v>
      </c>
      <c r="Z30" t="s">
        <v>217</v>
      </c>
      <c r="AA30">
        <v>4</v>
      </c>
      <c r="AB30" t="s">
        <v>231</v>
      </c>
      <c r="AC30">
        <v>1</v>
      </c>
      <c r="AD30" t="s">
        <v>690</v>
      </c>
    </row>
    <row r="31" spans="1:32" x14ac:dyDescent="0.15">
      <c r="A31" t="s">
        <v>150</v>
      </c>
      <c r="B31">
        <v>1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f t="shared" si="2"/>
        <v>1</v>
      </c>
      <c r="T31" t="str">
        <f t="shared" si="3"/>
        <v>Lestrelle J</v>
      </c>
      <c r="W31">
        <v>13</v>
      </c>
      <c r="X31" t="s">
        <v>228</v>
      </c>
      <c r="Y31">
        <v>9</v>
      </c>
      <c r="Z31" t="s">
        <v>183</v>
      </c>
      <c r="AA31">
        <v>4</v>
      </c>
      <c r="AB31" t="s">
        <v>578</v>
      </c>
      <c r="AC31">
        <v>1</v>
      </c>
      <c r="AD31" t="s">
        <v>150</v>
      </c>
    </row>
    <row r="32" spans="1:32" x14ac:dyDescent="0.15">
      <c r="A32" t="s">
        <v>278</v>
      </c>
      <c r="B32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Q32">
        <v>0</v>
      </c>
      <c r="R32">
        <v>0</v>
      </c>
      <c r="S32">
        <f t="shared" si="2"/>
        <v>1</v>
      </c>
      <c r="T32" t="str">
        <f t="shared" si="3"/>
        <v>Wright P</v>
      </c>
      <c r="W32">
        <v>13</v>
      </c>
      <c r="X32" t="s">
        <v>233</v>
      </c>
      <c r="Y32">
        <v>9</v>
      </c>
      <c r="Z32" t="s">
        <v>152</v>
      </c>
      <c r="AA32">
        <v>3</v>
      </c>
      <c r="AB32" t="s">
        <v>614</v>
      </c>
      <c r="AC32">
        <v>1</v>
      </c>
      <c r="AD32" t="s">
        <v>278</v>
      </c>
    </row>
    <row r="33" spans="1:31" x14ac:dyDescent="0.15">
      <c r="A33" t="s">
        <v>408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1</v>
      </c>
      <c r="N33">
        <v>9</v>
      </c>
      <c r="O33">
        <v>0</v>
      </c>
      <c r="P33">
        <v>0</v>
      </c>
      <c r="Q33">
        <v>0</v>
      </c>
      <c r="R33">
        <v>1</v>
      </c>
      <c r="S33">
        <f t="shared" si="2"/>
        <v>0</v>
      </c>
      <c r="T33" t="str">
        <f t="shared" si="3"/>
        <v>Gibbs A</v>
      </c>
      <c r="W33">
        <v>13</v>
      </c>
      <c r="X33" t="s">
        <v>151</v>
      </c>
      <c r="Y33">
        <v>8</v>
      </c>
      <c r="Z33" t="s">
        <v>48</v>
      </c>
      <c r="AA33">
        <v>2</v>
      </c>
      <c r="AB33" t="s">
        <v>149</v>
      </c>
    </row>
    <row r="34" spans="1:31" x14ac:dyDescent="0.15">
      <c r="A34" t="s">
        <v>414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f t="shared" si="2"/>
        <v>0</v>
      </c>
      <c r="T34" t="str">
        <f t="shared" si="3"/>
        <v>Graham</v>
      </c>
      <c r="W34">
        <v>12</v>
      </c>
      <c r="X34" t="s">
        <v>254</v>
      </c>
      <c r="Y34">
        <v>6</v>
      </c>
      <c r="Z34" t="s">
        <v>425</v>
      </c>
      <c r="AA34">
        <v>2</v>
      </c>
      <c r="AB34" t="s">
        <v>230</v>
      </c>
    </row>
    <row r="35" spans="1:31" x14ac:dyDescent="0.15">
      <c r="A35" t="s">
        <v>690</v>
      </c>
      <c r="B35">
        <v>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f t="shared" si="2"/>
        <v>0</v>
      </c>
      <c r="T35" t="str">
        <f t="shared" si="3"/>
        <v>Hefferman</v>
      </c>
      <c r="W35">
        <v>10</v>
      </c>
      <c r="X35" t="s">
        <v>276</v>
      </c>
      <c r="Y35">
        <v>6</v>
      </c>
      <c r="Z35" t="s">
        <v>579</v>
      </c>
      <c r="AA35">
        <v>2</v>
      </c>
      <c r="AB35" t="s">
        <v>599</v>
      </c>
    </row>
    <row r="36" spans="1:31" x14ac:dyDescent="0.15">
      <c r="A36" t="s">
        <v>227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f t="shared" si="2"/>
        <v>0</v>
      </c>
      <c r="T36" t="str">
        <f t="shared" si="3"/>
        <v>Rollins R</v>
      </c>
    </row>
    <row r="37" spans="1:31" x14ac:dyDescent="0.15">
      <c r="A37" t="s">
        <v>213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f t="shared" si="2"/>
        <v>0</v>
      </c>
      <c r="T37" t="str">
        <f t="shared" si="3"/>
        <v>Wiseman R</v>
      </c>
    </row>
    <row r="38" spans="1:31" x14ac:dyDescent="0.15">
      <c r="F38" s="162"/>
      <c r="G38" s="162"/>
      <c r="H38" s="162"/>
      <c r="I38" s="162"/>
      <c r="J38" s="162"/>
      <c r="K38" s="162"/>
    </row>
    <row r="40" spans="1:31" x14ac:dyDescent="0.15">
      <c r="X40" t="s">
        <v>735</v>
      </c>
      <c r="Y40" t="s">
        <v>13</v>
      </c>
    </row>
    <row r="41" spans="1:31" x14ac:dyDescent="0.15">
      <c r="L41" t="s">
        <v>741</v>
      </c>
      <c r="M41" t="s">
        <v>742</v>
      </c>
      <c r="X41" t="s">
        <v>248</v>
      </c>
      <c r="Y41" t="s">
        <v>148</v>
      </c>
    </row>
    <row r="42" spans="1:31" x14ac:dyDescent="0.15">
      <c r="L42">
        <v>0.73684210526315785</v>
      </c>
      <c r="M42" t="s">
        <v>151</v>
      </c>
      <c r="X42" t="s">
        <v>244</v>
      </c>
      <c r="Y42" t="s">
        <v>148</v>
      </c>
      <c r="AA42" s="159" t="s">
        <v>739</v>
      </c>
      <c r="AB42" s="159" t="s">
        <v>738</v>
      </c>
    </row>
    <row r="43" spans="1:31" x14ac:dyDescent="0.15">
      <c r="L43">
        <v>0.73636363636363633</v>
      </c>
      <c r="M43" t="s">
        <v>48</v>
      </c>
      <c r="X43" t="s">
        <v>244</v>
      </c>
      <c r="Y43" t="s">
        <v>148</v>
      </c>
      <c r="AA43" s="159" t="s">
        <v>736</v>
      </c>
      <c r="AB43" t="s">
        <v>216</v>
      </c>
      <c r="AC43" t="s">
        <v>244</v>
      </c>
      <c r="AD43" t="s">
        <v>248</v>
      </c>
      <c r="AE43" t="s">
        <v>737</v>
      </c>
    </row>
    <row r="44" spans="1:31" x14ac:dyDescent="0.15">
      <c r="L44">
        <v>0.71604938271604934</v>
      </c>
      <c r="M44" t="s">
        <v>204</v>
      </c>
      <c r="X44" t="s">
        <v>244</v>
      </c>
      <c r="Y44" t="s">
        <v>148</v>
      </c>
      <c r="AA44" s="160" t="s">
        <v>148</v>
      </c>
      <c r="AB44" s="161">
        <v>2</v>
      </c>
      <c r="AC44" s="161">
        <v>13</v>
      </c>
      <c r="AD44" s="161">
        <v>6</v>
      </c>
      <c r="AE44" s="161">
        <v>21</v>
      </c>
    </row>
    <row r="45" spans="1:31" x14ac:dyDescent="0.15">
      <c r="L45">
        <v>0.68067226890756305</v>
      </c>
      <c r="M45" t="s">
        <v>254</v>
      </c>
      <c r="X45" t="s">
        <v>244</v>
      </c>
      <c r="Y45" t="s">
        <v>148</v>
      </c>
      <c r="AA45" s="160" t="s">
        <v>183</v>
      </c>
      <c r="AB45" s="161"/>
      <c r="AC45" s="161"/>
      <c r="AD45" s="161">
        <v>1</v>
      </c>
      <c r="AE45" s="161">
        <v>1</v>
      </c>
    </row>
    <row r="46" spans="1:31" x14ac:dyDescent="0.15">
      <c r="L46">
        <v>0.65714285714285714</v>
      </c>
      <c r="M46" t="s">
        <v>153</v>
      </c>
      <c r="X46" t="s">
        <v>244</v>
      </c>
      <c r="Y46" t="s">
        <v>151</v>
      </c>
      <c r="AA46" s="160" t="s">
        <v>151</v>
      </c>
      <c r="AB46" s="161"/>
      <c r="AC46" s="161">
        <v>1</v>
      </c>
      <c r="AD46" s="161"/>
      <c r="AE46" s="161">
        <v>1</v>
      </c>
    </row>
    <row r="47" spans="1:31" x14ac:dyDescent="0.15">
      <c r="L47">
        <v>0.64761904761904765</v>
      </c>
      <c r="M47" t="s">
        <v>276</v>
      </c>
      <c r="X47" t="s">
        <v>248</v>
      </c>
      <c r="Y47" t="s">
        <v>183</v>
      </c>
      <c r="AA47" s="160" t="s">
        <v>737</v>
      </c>
      <c r="AB47" s="161">
        <v>2</v>
      </c>
      <c r="AC47" s="161">
        <v>14</v>
      </c>
      <c r="AD47" s="161">
        <v>7</v>
      </c>
      <c r="AE47" s="161">
        <v>23</v>
      </c>
    </row>
    <row r="48" spans="1:31" x14ac:dyDescent="0.15">
      <c r="L48">
        <v>0.64406779661016944</v>
      </c>
      <c r="M48" t="s">
        <v>152</v>
      </c>
      <c r="X48" t="s">
        <v>244</v>
      </c>
      <c r="Y48" t="s">
        <v>148</v>
      </c>
    </row>
    <row r="49" spans="12:25" x14ac:dyDescent="0.15">
      <c r="L49">
        <v>0.6292134831460674</v>
      </c>
      <c r="M49" t="s">
        <v>147</v>
      </c>
      <c r="X49" t="s">
        <v>244</v>
      </c>
      <c r="Y49" t="s">
        <v>148</v>
      </c>
    </row>
    <row r="50" spans="12:25" x14ac:dyDescent="0.15">
      <c r="L50">
        <v>0.62893081761006286</v>
      </c>
      <c r="M50" t="s">
        <v>552</v>
      </c>
      <c r="X50" t="s">
        <v>244</v>
      </c>
      <c r="Y50" t="s">
        <v>148</v>
      </c>
    </row>
    <row r="51" spans="12:25" x14ac:dyDescent="0.15">
      <c r="L51">
        <v>0.55172413793103448</v>
      </c>
      <c r="M51" t="s">
        <v>233</v>
      </c>
      <c r="X51" t="s">
        <v>248</v>
      </c>
      <c r="Y51" t="s">
        <v>148</v>
      </c>
    </row>
    <row r="52" spans="12:25" x14ac:dyDescent="0.15">
      <c r="L52">
        <v>0.54545454545454541</v>
      </c>
      <c r="M52" t="s">
        <v>408</v>
      </c>
      <c r="X52" t="s">
        <v>248</v>
      </c>
      <c r="Y52" t="s">
        <v>148</v>
      </c>
    </row>
    <row r="53" spans="12:25" x14ac:dyDescent="0.15">
      <c r="L53">
        <v>0.52941176470588236</v>
      </c>
      <c r="M53" t="s">
        <v>228</v>
      </c>
      <c r="X53" t="s">
        <v>216</v>
      </c>
      <c r="Y53" t="s">
        <v>148</v>
      </c>
    </row>
    <row r="54" spans="12:25" x14ac:dyDescent="0.15">
      <c r="L54">
        <v>0.52222222222222225</v>
      </c>
      <c r="M54" t="s">
        <v>297</v>
      </c>
      <c r="X54" t="s">
        <v>216</v>
      </c>
      <c r="Y54" t="s">
        <v>148</v>
      </c>
    </row>
    <row r="55" spans="12:25" x14ac:dyDescent="0.15">
      <c r="L55">
        <v>0.5</v>
      </c>
      <c r="M55" t="s">
        <v>44</v>
      </c>
      <c r="X55" t="s">
        <v>244</v>
      </c>
      <c r="Y55" t="s">
        <v>148</v>
      </c>
    </row>
    <row r="56" spans="12:25" x14ac:dyDescent="0.15">
      <c r="L56">
        <v>0.43956043956043955</v>
      </c>
      <c r="M56" t="s">
        <v>219</v>
      </c>
      <c r="X56" t="s">
        <v>244</v>
      </c>
      <c r="Y56" t="s">
        <v>148</v>
      </c>
    </row>
    <row r="57" spans="12:25" x14ac:dyDescent="0.15">
      <c r="L57">
        <v>0.39436619718309857</v>
      </c>
      <c r="M57" t="s">
        <v>183</v>
      </c>
      <c r="X57" t="s">
        <v>244</v>
      </c>
      <c r="Y57" t="s">
        <v>148</v>
      </c>
    </row>
    <row r="58" spans="12:25" x14ac:dyDescent="0.15">
      <c r="L58">
        <v>0.39215686274509803</v>
      </c>
      <c r="M58" t="s">
        <v>181</v>
      </c>
      <c r="X58" t="s">
        <v>244</v>
      </c>
      <c r="Y58" t="s">
        <v>148</v>
      </c>
    </row>
    <row r="59" spans="12:25" x14ac:dyDescent="0.15">
      <c r="X59" t="s">
        <v>244</v>
      </c>
      <c r="Y59" t="s">
        <v>148</v>
      </c>
    </row>
    <row r="60" spans="12:25" x14ac:dyDescent="0.15">
      <c r="X60" t="s">
        <v>248</v>
      </c>
      <c r="Y60" t="s">
        <v>148</v>
      </c>
    </row>
    <row r="61" spans="12:25" x14ac:dyDescent="0.15">
      <c r="X61" t="s">
        <v>244</v>
      </c>
      <c r="Y61" t="s">
        <v>148</v>
      </c>
    </row>
    <row r="62" spans="12:25" x14ac:dyDescent="0.15">
      <c r="X62" t="s">
        <v>248</v>
      </c>
      <c r="Y62" t="s">
        <v>148</v>
      </c>
    </row>
    <row r="63" spans="12:25" x14ac:dyDescent="0.15">
      <c r="X63" t="s">
        <v>248</v>
      </c>
      <c r="Y63" t="s">
        <v>148</v>
      </c>
    </row>
  </sheetData>
  <sortState ref="A2:T36">
    <sortCondition descending="1" ref="S2:S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Sheet1</vt:lpstr>
      <vt:lpstr>Sheet2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2018-10-02T22:08:45Z</dcterms:modified>
</cp:coreProperties>
</file>